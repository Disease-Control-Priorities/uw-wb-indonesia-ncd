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output/"/>
    </mc:Choice>
  </mc:AlternateContent>
  <xr:revisionPtr revIDLastSave="3" documentId="11_24D436C485B1E7CD2ACD37E9442E5AD54550044E" xr6:coauthVersionLast="47" xr6:coauthVersionMax="47" xr10:uidLastSave="{A1A32A6C-7C65-45AE-915C-EB6BDDB20CB0}"/>
  <bookViews>
    <workbookView xWindow="28680" yWindow="-120" windowWidth="29040" windowHeight="15720" firstSheet="1" activeTab="7" xr2:uid="{00000000-000D-0000-FFFF-FFFF00000000}"/>
  </bookViews>
  <sheets>
    <sheet name="README" sheetId="2" r:id="rId1"/>
    <sheet name="Run_Metadata" sheetId="3" r:id="rId2"/>
    <sheet name="Selected_Interventions" sheetId="4" r:id="rId3"/>
    <sheet name="Cost_Components" sheetId="5" r:id="rId4"/>
    <sheet name="Annual_Mortality" sheetId="6" r:id="rId5"/>
    <sheet name="Annual_Cost" sheetId="7" r:id="rId6"/>
    <sheet name="Budget_Impact" sheetId="8" r:id="rId7"/>
    <sheet name="Cost_Effectiveness" sheetId="9" r:id="rId8"/>
    <sheet name="Economic_Value" sheetId="10" r:id="rId9"/>
    <sheet name="QA_Checks" sheetId="12" r:id="rId10"/>
    <sheet name="Input_Diagnostic" sheetId="11" r:id="rId11"/>
    <sheet name="Methods_and_Sources" sheetId="13" r:id="rId12"/>
    <sheet name="Calculation_Assumptions" sheetId="1" r:id="rId13"/>
    <sheet name="Calculation_Map" sheetId="14" r:id="rId14"/>
  </sheets>
  <definedNames>
    <definedName name="_xlnm._FilterDatabase" localSheetId="5" hidden="1">Annual_Cost!$A$1:$AH$1353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2" l="1"/>
  <c r="D8" i="12" s="1"/>
  <c r="C7" i="12"/>
  <c r="D7" i="12" s="1"/>
  <c r="C6" i="12"/>
  <c r="D6" i="12" s="1"/>
  <c r="C5" i="12"/>
  <c r="D5" i="12" s="1"/>
  <c r="C4" i="12"/>
  <c r="D4" i="12" s="1"/>
  <c r="C3" i="12"/>
  <c r="D3" i="12" s="1"/>
  <c r="AH1353" i="7"/>
  <c r="AE1353" i="7"/>
  <c r="AD1353" i="7"/>
  <c r="AC1353" i="7"/>
  <c r="V1353" i="7"/>
  <c r="U1353" i="7"/>
  <c r="T1353" i="7"/>
  <c r="N1353" i="7"/>
  <c r="M1353" i="7"/>
  <c r="J1353" i="7"/>
  <c r="AH1352" i="7"/>
  <c r="AE1352" i="7"/>
  <c r="AD1352" i="7"/>
  <c r="AC1352" i="7"/>
  <c r="V1352" i="7"/>
  <c r="U1352" i="7"/>
  <c r="T1352" i="7"/>
  <c r="O1352" i="7"/>
  <c r="N1352" i="7"/>
  <c r="M1352" i="7"/>
  <c r="J1352" i="7"/>
  <c r="P1352" i="7" s="1"/>
  <c r="AH1351" i="7"/>
  <c r="AE1351" i="7"/>
  <c r="AD1351" i="7"/>
  <c r="AC1351" i="7"/>
  <c r="V1351" i="7"/>
  <c r="U1351" i="7"/>
  <c r="T1351" i="7"/>
  <c r="N1351" i="7"/>
  <c r="M1351" i="7"/>
  <c r="J1351" i="7"/>
  <c r="P1351" i="7" s="1"/>
  <c r="AH1350" i="7"/>
  <c r="AE1350" i="7"/>
  <c r="AD1350" i="7"/>
  <c r="AC1350" i="7"/>
  <c r="V1350" i="7"/>
  <c r="U1350" i="7"/>
  <c r="T1350" i="7"/>
  <c r="O1350" i="7"/>
  <c r="N1350" i="7"/>
  <c r="M1350" i="7"/>
  <c r="J1350" i="7"/>
  <c r="P1350" i="7" s="1"/>
  <c r="AH1349" i="7"/>
  <c r="AE1349" i="7"/>
  <c r="AD1349" i="7"/>
  <c r="AC1349" i="7"/>
  <c r="V1349" i="7"/>
  <c r="U1349" i="7"/>
  <c r="T1349" i="7"/>
  <c r="N1349" i="7"/>
  <c r="M1349" i="7"/>
  <c r="J1349" i="7"/>
  <c r="O1349" i="7" s="1"/>
  <c r="AH1348" i="7"/>
  <c r="AE1348" i="7"/>
  <c r="AD1348" i="7"/>
  <c r="AC1348" i="7"/>
  <c r="V1348" i="7"/>
  <c r="U1348" i="7"/>
  <c r="T1348" i="7"/>
  <c r="N1348" i="7"/>
  <c r="M1348" i="7"/>
  <c r="J1348" i="7"/>
  <c r="P1348" i="7" s="1"/>
  <c r="AH1347" i="7"/>
  <c r="AE1347" i="7"/>
  <c r="AD1347" i="7"/>
  <c r="AC1347" i="7"/>
  <c r="V1347" i="7"/>
  <c r="U1347" i="7"/>
  <c r="T1347" i="7"/>
  <c r="N1347" i="7"/>
  <c r="M1347" i="7"/>
  <c r="J1347" i="7"/>
  <c r="AH1346" i="7"/>
  <c r="AE1346" i="7"/>
  <c r="AD1346" i="7"/>
  <c r="AC1346" i="7"/>
  <c r="V1346" i="7"/>
  <c r="U1346" i="7"/>
  <c r="T1346" i="7"/>
  <c r="N1346" i="7"/>
  <c r="M1346" i="7"/>
  <c r="J1346" i="7"/>
  <c r="P1346" i="7" s="1"/>
  <c r="AH1345" i="7"/>
  <c r="AE1345" i="7"/>
  <c r="AD1345" i="7"/>
  <c r="AC1345" i="7"/>
  <c r="V1345" i="7"/>
  <c r="U1345" i="7"/>
  <c r="T1345" i="7"/>
  <c r="N1345" i="7"/>
  <c r="M1345" i="7"/>
  <c r="J1345" i="7"/>
  <c r="AH1344" i="7"/>
  <c r="AE1344" i="7"/>
  <c r="AD1344" i="7"/>
  <c r="AC1344" i="7"/>
  <c r="V1344" i="7"/>
  <c r="U1344" i="7"/>
  <c r="T1344" i="7"/>
  <c r="N1344" i="7"/>
  <c r="M1344" i="7"/>
  <c r="J1344" i="7"/>
  <c r="O1344" i="7" s="1"/>
  <c r="AH1343" i="7"/>
  <c r="AE1343" i="7"/>
  <c r="AD1343" i="7"/>
  <c r="AC1343" i="7"/>
  <c r="V1343" i="7"/>
  <c r="U1343" i="7"/>
  <c r="T1343" i="7"/>
  <c r="N1343" i="7"/>
  <c r="M1343" i="7"/>
  <c r="J1343" i="7"/>
  <c r="O1343" i="7" s="1"/>
  <c r="AH1342" i="7"/>
  <c r="AE1342" i="7"/>
  <c r="AD1342" i="7"/>
  <c r="AC1342" i="7"/>
  <c r="V1342" i="7"/>
  <c r="U1342" i="7"/>
  <c r="T1342" i="7"/>
  <c r="N1342" i="7"/>
  <c r="M1342" i="7"/>
  <c r="J1342" i="7"/>
  <c r="P1342" i="7" s="1"/>
  <c r="AH1341" i="7"/>
  <c r="AE1341" i="7"/>
  <c r="AD1341" i="7"/>
  <c r="AC1341" i="7"/>
  <c r="V1341" i="7"/>
  <c r="U1341" i="7"/>
  <c r="T1341" i="7"/>
  <c r="N1341" i="7"/>
  <c r="M1341" i="7"/>
  <c r="J1341" i="7"/>
  <c r="O1341" i="7" s="1"/>
  <c r="AH1340" i="7"/>
  <c r="AE1340" i="7"/>
  <c r="AD1340" i="7"/>
  <c r="AC1340" i="7"/>
  <c r="V1340" i="7"/>
  <c r="U1340" i="7"/>
  <c r="T1340" i="7"/>
  <c r="N1340" i="7"/>
  <c r="M1340" i="7"/>
  <c r="J1340" i="7"/>
  <c r="P1340" i="7" s="1"/>
  <c r="AH1339" i="7"/>
  <c r="AE1339" i="7"/>
  <c r="AD1339" i="7"/>
  <c r="AC1339" i="7"/>
  <c r="V1339" i="7"/>
  <c r="U1339" i="7"/>
  <c r="T1339" i="7"/>
  <c r="N1339" i="7"/>
  <c r="M1339" i="7"/>
  <c r="J1339" i="7"/>
  <c r="P1339" i="7" s="1"/>
  <c r="AH1338" i="7"/>
  <c r="AE1338" i="7"/>
  <c r="AD1338" i="7"/>
  <c r="AC1338" i="7"/>
  <c r="V1338" i="7"/>
  <c r="U1338" i="7"/>
  <c r="T1338" i="7"/>
  <c r="N1338" i="7"/>
  <c r="M1338" i="7"/>
  <c r="J1338" i="7"/>
  <c r="P1338" i="7" s="1"/>
  <c r="AH1337" i="7"/>
  <c r="AE1337" i="7"/>
  <c r="AD1337" i="7"/>
  <c r="AC1337" i="7"/>
  <c r="V1337" i="7"/>
  <c r="U1337" i="7"/>
  <c r="T1337" i="7"/>
  <c r="N1337" i="7"/>
  <c r="M1337" i="7"/>
  <c r="J1337" i="7"/>
  <c r="AH1336" i="7"/>
  <c r="AE1336" i="7"/>
  <c r="AD1336" i="7"/>
  <c r="AC1336" i="7"/>
  <c r="V1336" i="7"/>
  <c r="U1336" i="7"/>
  <c r="T1336" i="7"/>
  <c r="N1336" i="7"/>
  <c r="M1336" i="7"/>
  <c r="J1336" i="7"/>
  <c r="P1336" i="7" s="1"/>
  <c r="AH1335" i="7"/>
  <c r="AE1335" i="7"/>
  <c r="AD1335" i="7"/>
  <c r="AC1335" i="7"/>
  <c r="V1335" i="7"/>
  <c r="U1335" i="7"/>
  <c r="T1335" i="7"/>
  <c r="P1335" i="7"/>
  <c r="N1335" i="7"/>
  <c r="M1335" i="7"/>
  <c r="J1335" i="7"/>
  <c r="O1335" i="7" s="1"/>
  <c r="AH1334" i="7"/>
  <c r="AE1334" i="7"/>
  <c r="AD1334" i="7"/>
  <c r="AC1334" i="7"/>
  <c r="V1334" i="7"/>
  <c r="U1334" i="7"/>
  <c r="T1334" i="7"/>
  <c r="P1334" i="7"/>
  <c r="N1334" i="7"/>
  <c r="M1334" i="7"/>
  <c r="J1334" i="7"/>
  <c r="O1334" i="7" s="1"/>
  <c r="AH1333" i="7"/>
  <c r="AE1333" i="7"/>
  <c r="AD1333" i="7"/>
  <c r="AC1333" i="7"/>
  <c r="V1333" i="7"/>
  <c r="U1333" i="7"/>
  <c r="T1333" i="7"/>
  <c r="N1333" i="7"/>
  <c r="M1333" i="7"/>
  <c r="J1333" i="7"/>
  <c r="AH1332" i="7"/>
  <c r="AE1332" i="7"/>
  <c r="AD1332" i="7"/>
  <c r="AC1332" i="7"/>
  <c r="V1332" i="7"/>
  <c r="U1332" i="7"/>
  <c r="T1332" i="7"/>
  <c r="N1332" i="7"/>
  <c r="M1332" i="7"/>
  <c r="J1332" i="7"/>
  <c r="AH1331" i="7"/>
  <c r="AE1331" i="7"/>
  <c r="AD1331" i="7"/>
  <c r="AC1331" i="7"/>
  <c r="V1331" i="7"/>
  <c r="U1331" i="7"/>
  <c r="T1331" i="7"/>
  <c r="P1331" i="7"/>
  <c r="N1331" i="7"/>
  <c r="M1331" i="7"/>
  <c r="J1331" i="7"/>
  <c r="O1331" i="7" s="1"/>
  <c r="AH1330" i="7"/>
  <c r="AE1330" i="7"/>
  <c r="AD1330" i="7"/>
  <c r="AC1330" i="7"/>
  <c r="V1330" i="7"/>
  <c r="U1330" i="7"/>
  <c r="T1330" i="7"/>
  <c r="N1330" i="7"/>
  <c r="M1330" i="7"/>
  <c r="J1330" i="7"/>
  <c r="P1330" i="7" s="1"/>
  <c r="AH1329" i="7"/>
  <c r="AE1329" i="7"/>
  <c r="AD1329" i="7"/>
  <c r="AC1329" i="7"/>
  <c r="V1329" i="7"/>
  <c r="U1329" i="7"/>
  <c r="T1329" i="7"/>
  <c r="N1329" i="7"/>
  <c r="M1329" i="7"/>
  <c r="J1329" i="7"/>
  <c r="AH1328" i="7"/>
  <c r="AE1328" i="7"/>
  <c r="AD1328" i="7"/>
  <c r="AC1328" i="7"/>
  <c r="V1328" i="7"/>
  <c r="U1328" i="7"/>
  <c r="T1328" i="7"/>
  <c r="N1328" i="7"/>
  <c r="M1328" i="7"/>
  <c r="J1328" i="7"/>
  <c r="P1328" i="7" s="1"/>
  <c r="AH1327" i="7"/>
  <c r="AE1327" i="7"/>
  <c r="AD1327" i="7"/>
  <c r="AC1327" i="7"/>
  <c r="V1327" i="7"/>
  <c r="U1327" i="7"/>
  <c r="T1327" i="7"/>
  <c r="N1327" i="7"/>
  <c r="M1327" i="7"/>
  <c r="J1327" i="7"/>
  <c r="O1327" i="7" s="1"/>
  <c r="AH1326" i="7"/>
  <c r="AE1326" i="7"/>
  <c r="AD1326" i="7"/>
  <c r="AC1326" i="7"/>
  <c r="V1326" i="7"/>
  <c r="U1326" i="7"/>
  <c r="T1326" i="7"/>
  <c r="O1326" i="7"/>
  <c r="N1326" i="7"/>
  <c r="M1326" i="7"/>
  <c r="J1326" i="7"/>
  <c r="P1326" i="7" s="1"/>
  <c r="AH1325" i="7"/>
  <c r="AE1325" i="7"/>
  <c r="AD1325" i="7"/>
  <c r="AC1325" i="7"/>
  <c r="V1325" i="7"/>
  <c r="U1325" i="7"/>
  <c r="T1325" i="7"/>
  <c r="N1325" i="7"/>
  <c r="M1325" i="7"/>
  <c r="J1325" i="7"/>
  <c r="P1325" i="7" s="1"/>
  <c r="AH1324" i="7"/>
  <c r="AE1324" i="7"/>
  <c r="AD1324" i="7"/>
  <c r="AC1324" i="7"/>
  <c r="V1324" i="7"/>
  <c r="U1324" i="7"/>
  <c r="T1324" i="7"/>
  <c r="N1324" i="7"/>
  <c r="M1324" i="7"/>
  <c r="J1324" i="7"/>
  <c r="AH1323" i="7"/>
  <c r="AE1323" i="7"/>
  <c r="AD1323" i="7"/>
  <c r="AC1323" i="7"/>
  <c r="V1323" i="7"/>
  <c r="U1323" i="7"/>
  <c r="T1323" i="7"/>
  <c r="N1323" i="7"/>
  <c r="M1323" i="7"/>
  <c r="J1323" i="7"/>
  <c r="O1323" i="7" s="1"/>
  <c r="AH1322" i="7"/>
  <c r="AE1322" i="7"/>
  <c r="AD1322" i="7"/>
  <c r="AC1322" i="7"/>
  <c r="V1322" i="7"/>
  <c r="U1322" i="7"/>
  <c r="T1322" i="7"/>
  <c r="N1322" i="7"/>
  <c r="M1322" i="7"/>
  <c r="J1322" i="7"/>
  <c r="O1322" i="7" s="1"/>
  <c r="AH1321" i="7"/>
  <c r="AE1321" i="7"/>
  <c r="AD1321" i="7"/>
  <c r="AC1321" i="7"/>
  <c r="V1321" i="7"/>
  <c r="U1321" i="7"/>
  <c r="T1321" i="7"/>
  <c r="N1321" i="7"/>
  <c r="M1321" i="7"/>
  <c r="J1321" i="7"/>
  <c r="P1321" i="7" s="1"/>
  <c r="AH1320" i="7"/>
  <c r="AE1320" i="7"/>
  <c r="AD1320" i="7"/>
  <c r="AC1320" i="7"/>
  <c r="V1320" i="7"/>
  <c r="U1320" i="7"/>
  <c r="T1320" i="7"/>
  <c r="N1320" i="7"/>
  <c r="M1320" i="7"/>
  <c r="J1320" i="7"/>
  <c r="P1320" i="7" s="1"/>
  <c r="AH1319" i="7"/>
  <c r="AE1319" i="7"/>
  <c r="AD1319" i="7"/>
  <c r="AC1319" i="7"/>
  <c r="V1319" i="7"/>
  <c r="U1319" i="7"/>
  <c r="T1319" i="7"/>
  <c r="O1319" i="7"/>
  <c r="N1319" i="7"/>
  <c r="M1319" i="7"/>
  <c r="J1319" i="7"/>
  <c r="P1319" i="7" s="1"/>
  <c r="AH1318" i="7"/>
  <c r="AE1318" i="7"/>
  <c r="AD1318" i="7"/>
  <c r="AC1318" i="7"/>
  <c r="V1318" i="7"/>
  <c r="U1318" i="7"/>
  <c r="T1318" i="7"/>
  <c r="P1318" i="7"/>
  <c r="N1318" i="7"/>
  <c r="M1318" i="7"/>
  <c r="J1318" i="7"/>
  <c r="O1318" i="7" s="1"/>
  <c r="AH1317" i="7"/>
  <c r="AE1317" i="7"/>
  <c r="AD1317" i="7"/>
  <c r="AC1317" i="7"/>
  <c r="V1317" i="7"/>
  <c r="U1317" i="7"/>
  <c r="T1317" i="7"/>
  <c r="N1317" i="7"/>
  <c r="M1317" i="7"/>
  <c r="J1317" i="7"/>
  <c r="O1317" i="7" s="1"/>
  <c r="AH1316" i="7"/>
  <c r="AE1316" i="7"/>
  <c r="AD1316" i="7"/>
  <c r="AC1316" i="7"/>
  <c r="V1316" i="7"/>
  <c r="U1316" i="7"/>
  <c r="T1316" i="7"/>
  <c r="N1316" i="7"/>
  <c r="M1316" i="7"/>
  <c r="J1316" i="7"/>
  <c r="P1316" i="7" s="1"/>
  <c r="AH1315" i="7"/>
  <c r="AE1315" i="7"/>
  <c r="AD1315" i="7"/>
  <c r="AC1315" i="7"/>
  <c r="V1315" i="7"/>
  <c r="U1315" i="7"/>
  <c r="T1315" i="7"/>
  <c r="N1315" i="7"/>
  <c r="M1315" i="7"/>
  <c r="J1315" i="7"/>
  <c r="AH1314" i="7"/>
  <c r="AE1314" i="7"/>
  <c r="AD1314" i="7"/>
  <c r="AC1314" i="7"/>
  <c r="V1314" i="7"/>
  <c r="U1314" i="7"/>
  <c r="T1314" i="7"/>
  <c r="N1314" i="7"/>
  <c r="M1314" i="7"/>
  <c r="J1314" i="7"/>
  <c r="P1314" i="7" s="1"/>
  <c r="AH1313" i="7"/>
  <c r="AE1313" i="7"/>
  <c r="AD1313" i="7"/>
  <c r="AC1313" i="7"/>
  <c r="V1313" i="7"/>
  <c r="U1313" i="7"/>
  <c r="T1313" i="7"/>
  <c r="P1313" i="7"/>
  <c r="O1313" i="7"/>
  <c r="N1313" i="7"/>
  <c r="M1313" i="7"/>
  <c r="J1313" i="7"/>
  <c r="AH1312" i="7"/>
  <c r="AE1312" i="7"/>
  <c r="AD1312" i="7"/>
  <c r="AC1312" i="7"/>
  <c r="V1312" i="7"/>
  <c r="U1312" i="7"/>
  <c r="T1312" i="7"/>
  <c r="N1312" i="7"/>
  <c r="M1312" i="7"/>
  <c r="J1312" i="7"/>
  <c r="P1312" i="7" s="1"/>
  <c r="AH1311" i="7"/>
  <c r="AE1311" i="7"/>
  <c r="AD1311" i="7"/>
  <c r="AC1311" i="7"/>
  <c r="V1311" i="7"/>
  <c r="U1311" i="7"/>
  <c r="T1311" i="7"/>
  <c r="N1311" i="7"/>
  <c r="M1311" i="7"/>
  <c r="J1311" i="7"/>
  <c r="O1311" i="7" s="1"/>
  <c r="AH1310" i="7"/>
  <c r="AE1310" i="7"/>
  <c r="AD1310" i="7"/>
  <c r="AC1310" i="7"/>
  <c r="V1310" i="7"/>
  <c r="U1310" i="7"/>
  <c r="T1310" i="7"/>
  <c r="N1310" i="7"/>
  <c r="M1310" i="7"/>
  <c r="J1310" i="7"/>
  <c r="AH1309" i="7"/>
  <c r="AE1309" i="7"/>
  <c r="AD1309" i="7"/>
  <c r="AC1309" i="7"/>
  <c r="V1309" i="7"/>
  <c r="U1309" i="7"/>
  <c r="T1309" i="7"/>
  <c r="N1309" i="7"/>
  <c r="M1309" i="7"/>
  <c r="J1309" i="7"/>
  <c r="P1309" i="7" s="1"/>
  <c r="AH1308" i="7"/>
  <c r="AE1308" i="7"/>
  <c r="AD1308" i="7"/>
  <c r="AC1308" i="7"/>
  <c r="V1308" i="7"/>
  <c r="U1308" i="7"/>
  <c r="T1308" i="7"/>
  <c r="N1308" i="7"/>
  <c r="M1308" i="7"/>
  <c r="J1308" i="7"/>
  <c r="P1308" i="7" s="1"/>
  <c r="AH1307" i="7"/>
  <c r="AE1307" i="7"/>
  <c r="AD1307" i="7"/>
  <c r="AC1307" i="7"/>
  <c r="V1307" i="7"/>
  <c r="U1307" i="7"/>
  <c r="T1307" i="7"/>
  <c r="O1307" i="7"/>
  <c r="N1307" i="7"/>
  <c r="M1307" i="7"/>
  <c r="J1307" i="7"/>
  <c r="P1307" i="7" s="1"/>
  <c r="AH1306" i="7"/>
  <c r="AE1306" i="7"/>
  <c r="AD1306" i="7"/>
  <c r="AC1306" i="7"/>
  <c r="V1306" i="7"/>
  <c r="U1306" i="7"/>
  <c r="T1306" i="7"/>
  <c r="N1306" i="7"/>
  <c r="M1306" i="7"/>
  <c r="J1306" i="7"/>
  <c r="P1306" i="7" s="1"/>
  <c r="AH1305" i="7"/>
  <c r="AE1305" i="7"/>
  <c r="AD1305" i="7"/>
  <c r="AC1305" i="7"/>
  <c r="V1305" i="7"/>
  <c r="U1305" i="7"/>
  <c r="T1305" i="7"/>
  <c r="N1305" i="7"/>
  <c r="M1305" i="7"/>
  <c r="J1305" i="7"/>
  <c r="AH1304" i="7"/>
  <c r="AE1304" i="7"/>
  <c r="AD1304" i="7"/>
  <c r="AC1304" i="7"/>
  <c r="V1304" i="7"/>
  <c r="U1304" i="7"/>
  <c r="T1304" i="7"/>
  <c r="N1304" i="7"/>
  <c r="M1304" i="7"/>
  <c r="J1304" i="7"/>
  <c r="P1304" i="7" s="1"/>
  <c r="AH1303" i="7"/>
  <c r="AE1303" i="7"/>
  <c r="AD1303" i="7"/>
  <c r="AC1303" i="7"/>
  <c r="V1303" i="7"/>
  <c r="U1303" i="7"/>
  <c r="T1303" i="7"/>
  <c r="N1303" i="7"/>
  <c r="M1303" i="7"/>
  <c r="J1303" i="7"/>
  <c r="AH1302" i="7"/>
  <c r="AE1302" i="7"/>
  <c r="AD1302" i="7"/>
  <c r="AC1302" i="7"/>
  <c r="V1302" i="7"/>
  <c r="U1302" i="7"/>
  <c r="T1302" i="7"/>
  <c r="N1302" i="7"/>
  <c r="M1302" i="7"/>
  <c r="J1302" i="7"/>
  <c r="P1302" i="7" s="1"/>
  <c r="AH1301" i="7"/>
  <c r="AE1301" i="7"/>
  <c r="AD1301" i="7"/>
  <c r="AC1301" i="7"/>
  <c r="V1301" i="7"/>
  <c r="U1301" i="7"/>
  <c r="T1301" i="7"/>
  <c r="N1301" i="7"/>
  <c r="M1301" i="7"/>
  <c r="J1301" i="7"/>
  <c r="P1301" i="7" s="1"/>
  <c r="AH1300" i="7"/>
  <c r="AE1300" i="7"/>
  <c r="AD1300" i="7"/>
  <c r="AC1300" i="7"/>
  <c r="V1300" i="7"/>
  <c r="U1300" i="7"/>
  <c r="T1300" i="7"/>
  <c r="N1300" i="7"/>
  <c r="M1300" i="7"/>
  <c r="J1300" i="7"/>
  <c r="P1300" i="7" s="1"/>
  <c r="AH1299" i="7"/>
  <c r="AE1299" i="7"/>
  <c r="AD1299" i="7"/>
  <c r="AC1299" i="7"/>
  <c r="V1299" i="7"/>
  <c r="U1299" i="7"/>
  <c r="T1299" i="7"/>
  <c r="O1299" i="7"/>
  <c r="N1299" i="7"/>
  <c r="M1299" i="7"/>
  <c r="J1299" i="7"/>
  <c r="P1299" i="7" s="1"/>
  <c r="AH1298" i="7"/>
  <c r="AE1298" i="7"/>
  <c r="AD1298" i="7"/>
  <c r="AC1298" i="7"/>
  <c r="V1298" i="7"/>
  <c r="U1298" i="7"/>
  <c r="T1298" i="7"/>
  <c r="N1298" i="7"/>
  <c r="M1298" i="7"/>
  <c r="J1298" i="7"/>
  <c r="P1298" i="7" s="1"/>
  <c r="AH1297" i="7"/>
  <c r="AE1297" i="7"/>
  <c r="AD1297" i="7"/>
  <c r="AC1297" i="7"/>
  <c r="V1297" i="7"/>
  <c r="U1297" i="7"/>
  <c r="T1297" i="7"/>
  <c r="O1297" i="7"/>
  <c r="N1297" i="7"/>
  <c r="M1297" i="7"/>
  <c r="J1297" i="7"/>
  <c r="P1297" i="7" s="1"/>
  <c r="AH1296" i="7"/>
  <c r="AE1296" i="7"/>
  <c r="AD1296" i="7"/>
  <c r="AC1296" i="7"/>
  <c r="V1296" i="7"/>
  <c r="U1296" i="7"/>
  <c r="T1296" i="7"/>
  <c r="N1296" i="7"/>
  <c r="M1296" i="7"/>
  <c r="J1296" i="7"/>
  <c r="P1296" i="7" s="1"/>
  <c r="AH1295" i="7"/>
  <c r="AE1295" i="7"/>
  <c r="AD1295" i="7"/>
  <c r="AC1295" i="7"/>
  <c r="V1295" i="7"/>
  <c r="U1295" i="7"/>
  <c r="T1295" i="7"/>
  <c r="P1295" i="7"/>
  <c r="N1295" i="7"/>
  <c r="M1295" i="7"/>
  <c r="J1295" i="7"/>
  <c r="O1295" i="7" s="1"/>
  <c r="AH1294" i="7"/>
  <c r="AE1294" i="7"/>
  <c r="AD1294" i="7"/>
  <c r="AC1294" i="7"/>
  <c r="V1294" i="7"/>
  <c r="U1294" i="7"/>
  <c r="T1294" i="7"/>
  <c r="N1294" i="7"/>
  <c r="M1294" i="7"/>
  <c r="J1294" i="7"/>
  <c r="AH1293" i="7"/>
  <c r="AE1293" i="7"/>
  <c r="AD1293" i="7"/>
  <c r="AC1293" i="7"/>
  <c r="V1293" i="7"/>
  <c r="U1293" i="7"/>
  <c r="T1293" i="7"/>
  <c r="N1293" i="7"/>
  <c r="M1293" i="7"/>
  <c r="J1293" i="7"/>
  <c r="P1293" i="7" s="1"/>
  <c r="AH1292" i="7"/>
  <c r="AE1292" i="7"/>
  <c r="AD1292" i="7"/>
  <c r="AC1292" i="7"/>
  <c r="V1292" i="7"/>
  <c r="U1292" i="7"/>
  <c r="T1292" i="7"/>
  <c r="N1292" i="7"/>
  <c r="M1292" i="7"/>
  <c r="J1292" i="7"/>
  <c r="P1292" i="7" s="1"/>
  <c r="AH1291" i="7"/>
  <c r="AE1291" i="7"/>
  <c r="AD1291" i="7"/>
  <c r="AC1291" i="7"/>
  <c r="V1291" i="7"/>
  <c r="U1291" i="7"/>
  <c r="T1291" i="7"/>
  <c r="N1291" i="7"/>
  <c r="M1291" i="7"/>
  <c r="J1291" i="7"/>
  <c r="P1291" i="7" s="1"/>
  <c r="AH1290" i="7"/>
  <c r="AE1290" i="7"/>
  <c r="AD1290" i="7"/>
  <c r="AC1290" i="7"/>
  <c r="V1290" i="7"/>
  <c r="U1290" i="7"/>
  <c r="T1290" i="7"/>
  <c r="O1290" i="7"/>
  <c r="N1290" i="7"/>
  <c r="M1290" i="7"/>
  <c r="J1290" i="7"/>
  <c r="P1290" i="7" s="1"/>
  <c r="AH1289" i="7"/>
  <c r="AE1289" i="7"/>
  <c r="AD1289" i="7"/>
  <c r="AC1289" i="7"/>
  <c r="V1289" i="7"/>
  <c r="U1289" i="7"/>
  <c r="T1289" i="7"/>
  <c r="N1289" i="7"/>
  <c r="M1289" i="7"/>
  <c r="J1289" i="7"/>
  <c r="AH1288" i="7"/>
  <c r="AE1288" i="7"/>
  <c r="AD1288" i="7"/>
  <c r="AC1288" i="7"/>
  <c r="V1288" i="7"/>
  <c r="U1288" i="7"/>
  <c r="T1288" i="7"/>
  <c r="N1288" i="7"/>
  <c r="M1288" i="7"/>
  <c r="J1288" i="7"/>
  <c r="P1288" i="7" s="1"/>
  <c r="AH1287" i="7"/>
  <c r="AE1287" i="7"/>
  <c r="AD1287" i="7"/>
  <c r="AC1287" i="7"/>
  <c r="V1287" i="7"/>
  <c r="U1287" i="7"/>
  <c r="T1287" i="7"/>
  <c r="N1287" i="7"/>
  <c r="M1287" i="7"/>
  <c r="J1287" i="7"/>
  <c r="AH1286" i="7"/>
  <c r="AE1286" i="7"/>
  <c r="AD1286" i="7"/>
  <c r="AC1286" i="7"/>
  <c r="V1286" i="7"/>
  <c r="U1286" i="7"/>
  <c r="T1286" i="7"/>
  <c r="N1286" i="7"/>
  <c r="M1286" i="7"/>
  <c r="J1286" i="7"/>
  <c r="P1286" i="7" s="1"/>
  <c r="AH1285" i="7"/>
  <c r="AE1285" i="7"/>
  <c r="AD1285" i="7"/>
  <c r="AC1285" i="7"/>
  <c r="V1285" i="7"/>
  <c r="U1285" i="7"/>
  <c r="T1285" i="7"/>
  <c r="N1285" i="7"/>
  <c r="M1285" i="7"/>
  <c r="J1285" i="7"/>
  <c r="P1285" i="7" s="1"/>
  <c r="AH1284" i="7"/>
  <c r="AE1284" i="7"/>
  <c r="AD1284" i="7"/>
  <c r="AC1284" i="7"/>
  <c r="V1284" i="7"/>
  <c r="U1284" i="7"/>
  <c r="T1284" i="7"/>
  <c r="N1284" i="7"/>
  <c r="M1284" i="7"/>
  <c r="J1284" i="7"/>
  <c r="P1284" i="7" s="1"/>
  <c r="AH1283" i="7"/>
  <c r="AE1283" i="7"/>
  <c r="AD1283" i="7"/>
  <c r="AC1283" i="7"/>
  <c r="V1283" i="7"/>
  <c r="U1283" i="7"/>
  <c r="T1283" i="7"/>
  <c r="N1283" i="7"/>
  <c r="M1283" i="7"/>
  <c r="J1283" i="7"/>
  <c r="P1283" i="7" s="1"/>
  <c r="AH1282" i="7"/>
  <c r="AE1282" i="7"/>
  <c r="AD1282" i="7"/>
  <c r="AC1282" i="7"/>
  <c r="V1282" i="7"/>
  <c r="U1282" i="7"/>
  <c r="T1282" i="7"/>
  <c r="N1282" i="7"/>
  <c r="M1282" i="7"/>
  <c r="J1282" i="7"/>
  <c r="P1282" i="7" s="1"/>
  <c r="AH1281" i="7"/>
  <c r="AE1281" i="7"/>
  <c r="AD1281" i="7"/>
  <c r="AC1281" i="7"/>
  <c r="V1281" i="7"/>
  <c r="U1281" i="7"/>
  <c r="T1281" i="7"/>
  <c r="P1281" i="7"/>
  <c r="N1281" i="7"/>
  <c r="M1281" i="7"/>
  <c r="J1281" i="7"/>
  <c r="O1281" i="7" s="1"/>
  <c r="AH1280" i="7"/>
  <c r="AE1280" i="7"/>
  <c r="AD1280" i="7"/>
  <c r="AC1280" i="7"/>
  <c r="V1280" i="7"/>
  <c r="U1280" i="7"/>
  <c r="T1280" i="7"/>
  <c r="N1280" i="7"/>
  <c r="M1280" i="7"/>
  <c r="J1280" i="7"/>
  <c r="P1280" i="7" s="1"/>
  <c r="AH1279" i="7"/>
  <c r="AE1279" i="7"/>
  <c r="AD1279" i="7"/>
  <c r="AC1279" i="7"/>
  <c r="V1279" i="7"/>
  <c r="U1279" i="7"/>
  <c r="T1279" i="7"/>
  <c r="N1279" i="7"/>
  <c r="M1279" i="7"/>
  <c r="J1279" i="7"/>
  <c r="O1279" i="7" s="1"/>
  <c r="AH1278" i="7"/>
  <c r="AE1278" i="7"/>
  <c r="AD1278" i="7"/>
  <c r="AC1278" i="7"/>
  <c r="V1278" i="7"/>
  <c r="U1278" i="7"/>
  <c r="T1278" i="7"/>
  <c r="N1278" i="7"/>
  <c r="M1278" i="7"/>
  <c r="J1278" i="7"/>
  <c r="AH1277" i="7"/>
  <c r="AE1277" i="7"/>
  <c r="AD1277" i="7"/>
  <c r="AC1277" i="7"/>
  <c r="V1277" i="7"/>
  <c r="U1277" i="7"/>
  <c r="T1277" i="7"/>
  <c r="P1277" i="7"/>
  <c r="N1277" i="7"/>
  <c r="M1277" i="7"/>
  <c r="J1277" i="7"/>
  <c r="O1277" i="7" s="1"/>
  <c r="AH1276" i="7"/>
  <c r="AE1276" i="7"/>
  <c r="AD1276" i="7"/>
  <c r="AC1276" i="7"/>
  <c r="V1276" i="7"/>
  <c r="U1276" i="7"/>
  <c r="T1276" i="7"/>
  <c r="N1276" i="7"/>
  <c r="M1276" i="7"/>
  <c r="J1276" i="7"/>
  <c r="P1276" i="7" s="1"/>
  <c r="AH1275" i="7"/>
  <c r="AE1275" i="7"/>
  <c r="AD1275" i="7"/>
  <c r="AC1275" i="7"/>
  <c r="V1275" i="7"/>
  <c r="U1275" i="7"/>
  <c r="T1275" i="7"/>
  <c r="P1275" i="7"/>
  <c r="O1275" i="7"/>
  <c r="N1275" i="7"/>
  <c r="M1275" i="7"/>
  <c r="J1275" i="7"/>
  <c r="AH1274" i="7"/>
  <c r="AE1274" i="7"/>
  <c r="AD1274" i="7"/>
  <c r="AC1274" i="7"/>
  <c r="V1274" i="7"/>
  <c r="U1274" i="7"/>
  <c r="T1274" i="7"/>
  <c r="N1274" i="7"/>
  <c r="M1274" i="7"/>
  <c r="J1274" i="7"/>
  <c r="P1274" i="7" s="1"/>
  <c r="AH1273" i="7"/>
  <c r="AE1273" i="7"/>
  <c r="AD1273" i="7"/>
  <c r="AC1273" i="7"/>
  <c r="V1273" i="7"/>
  <c r="U1273" i="7"/>
  <c r="T1273" i="7"/>
  <c r="N1273" i="7"/>
  <c r="M1273" i="7"/>
  <c r="J1273" i="7"/>
  <c r="AH1272" i="7"/>
  <c r="AE1272" i="7"/>
  <c r="AD1272" i="7"/>
  <c r="AC1272" i="7"/>
  <c r="V1272" i="7"/>
  <c r="U1272" i="7"/>
  <c r="T1272" i="7"/>
  <c r="N1272" i="7"/>
  <c r="M1272" i="7"/>
  <c r="J1272" i="7"/>
  <c r="P1272" i="7" s="1"/>
  <c r="AH1271" i="7"/>
  <c r="AE1271" i="7"/>
  <c r="AD1271" i="7"/>
  <c r="AC1271" i="7"/>
  <c r="V1271" i="7"/>
  <c r="U1271" i="7"/>
  <c r="T1271" i="7"/>
  <c r="N1271" i="7"/>
  <c r="M1271" i="7"/>
  <c r="J1271" i="7"/>
  <c r="AH1270" i="7"/>
  <c r="AE1270" i="7"/>
  <c r="AD1270" i="7"/>
  <c r="AC1270" i="7"/>
  <c r="V1270" i="7"/>
  <c r="U1270" i="7"/>
  <c r="T1270" i="7"/>
  <c r="N1270" i="7"/>
  <c r="M1270" i="7"/>
  <c r="J1270" i="7"/>
  <c r="P1270" i="7" s="1"/>
  <c r="AH1269" i="7"/>
  <c r="AE1269" i="7"/>
  <c r="AD1269" i="7"/>
  <c r="AC1269" i="7"/>
  <c r="V1269" i="7"/>
  <c r="U1269" i="7"/>
  <c r="T1269" i="7"/>
  <c r="N1269" i="7"/>
  <c r="M1269" i="7"/>
  <c r="J1269" i="7"/>
  <c r="P1269" i="7" s="1"/>
  <c r="AH1268" i="7"/>
  <c r="AE1268" i="7"/>
  <c r="AD1268" i="7"/>
  <c r="AC1268" i="7"/>
  <c r="V1268" i="7"/>
  <c r="U1268" i="7"/>
  <c r="T1268" i="7"/>
  <c r="N1268" i="7"/>
  <c r="M1268" i="7"/>
  <c r="J1268" i="7"/>
  <c r="AH1267" i="7"/>
  <c r="AE1267" i="7"/>
  <c r="AD1267" i="7"/>
  <c r="AC1267" i="7"/>
  <c r="V1267" i="7"/>
  <c r="U1267" i="7"/>
  <c r="T1267" i="7"/>
  <c r="N1267" i="7"/>
  <c r="M1267" i="7"/>
  <c r="J1267" i="7"/>
  <c r="P1267" i="7" s="1"/>
  <c r="AH1266" i="7"/>
  <c r="AE1266" i="7"/>
  <c r="AD1266" i="7"/>
  <c r="AC1266" i="7"/>
  <c r="V1266" i="7"/>
  <c r="U1266" i="7"/>
  <c r="T1266" i="7"/>
  <c r="N1266" i="7"/>
  <c r="M1266" i="7"/>
  <c r="J1266" i="7"/>
  <c r="P1266" i="7" s="1"/>
  <c r="AH1265" i="7"/>
  <c r="AE1265" i="7"/>
  <c r="AD1265" i="7"/>
  <c r="AC1265" i="7"/>
  <c r="V1265" i="7"/>
  <c r="U1265" i="7"/>
  <c r="T1265" i="7"/>
  <c r="O1265" i="7"/>
  <c r="N1265" i="7"/>
  <c r="M1265" i="7"/>
  <c r="J1265" i="7"/>
  <c r="P1265" i="7" s="1"/>
  <c r="AH1264" i="7"/>
  <c r="AE1264" i="7"/>
  <c r="AD1264" i="7"/>
  <c r="AC1264" i="7"/>
  <c r="V1264" i="7"/>
  <c r="U1264" i="7"/>
  <c r="T1264" i="7"/>
  <c r="N1264" i="7"/>
  <c r="M1264" i="7"/>
  <c r="J1264" i="7"/>
  <c r="AH1263" i="7"/>
  <c r="AE1263" i="7"/>
  <c r="AD1263" i="7"/>
  <c r="AC1263" i="7"/>
  <c r="V1263" i="7"/>
  <c r="U1263" i="7"/>
  <c r="T1263" i="7"/>
  <c r="N1263" i="7"/>
  <c r="M1263" i="7"/>
  <c r="J1263" i="7"/>
  <c r="AH1262" i="7"/>
  <c r="AE1262" i="7"/>
  <c r="AD1262" i="7"/>
  <c r="AC1262" i="7"/>
  <c r="V1262" i="7"/>
  <c r="U1262" i="7"/>
  <c r="T1262" i="7"/>
  <c r="O1262" i="7"/>
  <c r="N1262" i="7"/>
  <c r="M1262" i="7"/>
  <c r="J1262" i="7"/>
  <c r="P1262" i="7" s="1"/>
  <c r="AH1261" i="7"/>
  <c r="AE1261" i="7"/>
  <c r="AD1261" i="7"/>
  <c r="AC1261" i="7"/>
  <c r="V1261" i="7"/>
  <c r="U1261" i="7"/>
  <c r="T1261" i="7"/>
  <c r="N1261" i="7"/>
  <c r="M1261" i="7"/>
  <c r="J1261" i="7"/>
  <c r="P1261" i="7" s="1"/>
  <c r="AH1260" i="7"/>
  <c r="AE1260" i="7"/>
  <c r="AD1260" i="7"/>
  <c r="AC1260" i="7"/>
  <c r="V1260" i="7"/>
  <c r="U1260" i="7"/>
  <c r="T1260" i="7"/>
  <c r="N1260" i="7"/>
  <c r="M1260" i="7"/>
  <c r="J1260" i="7"/>
  <c r="P1260" i="7" s="1"/>
  <c r="AH1259" i="7"/>
  <c r="AE1259" i="7"/>
  <c r="AD1259" i="7"/>
  <c r="AC1259" i="7"/>
  <c r="V1259" i="7"/>
  <c r="U1259" i="7"/>
  <c r="T1259" i="7"/>
  <c r="N1259" i="7"/>
  <c r="M1259" i="7"/>
  <c r="J1259" i="7"/>
  <c r="AH1258" i="7"/>
  <c r="AE1258" i="7"/>
  <c r="AD1258" i="7"/>
  <c r="AC1258" i="7"/>
  <c r="V1258" i="7"/>
  <c r="U1258" i="7"/>
  <c r="T1258" i="7"/>
  <c r="P1258" i="7"/>
  <c r="N1258" i="7"/>
  <c r="M1258" i="7"/>
  <c r="J1258" i="7"/>
  <c r="O1258" i="7" s="1"/>
  <c r="AH1257" i="7"/>
  <c r="AE1257" i="7"/>
  <c r="AD1257" i="7"/>
  <c r="AC1257" i="7"/>
  <c r="V1257" i="7"/>
  <c r="U1257" i="7"/>
  <c r="T1257" i="7"/>
  <c r="N1257" i="7"/>
  <c r="M1257" i="7"/>
  <c r="J1257" i="7"/>
  <c r="AH1256" i="7"/>
  <c r="AE1256" i="7"/>
  <c r="AD1256" i="7"/>
  <c r="AC1256" i="7"/>
  <c r="V1256" i="7"/>
  <c r="U1256" i="7"/>
  <c r="T1256" i="7"/>
  <c r="N1256" i="7"/>
  <c r="M1256" i="7"/>
  <c r="J1256" i="7"/>
  <c r="P1256" i="7" s="1"/>
  <c r="AH1255" i="7"/>
  <c r="AE1255" i="7"/>
  <c r="AD1255" i="7"/>
  <c r="AC1255" i="7"/>
  <c r="V1255" i="7"/>
  <c r="U1255" i="7"/>
  <c r="T1255" i="7"/>
  <c r="N1255" i="7"/>
  <c r="M1255" i="7"/>
  <c r="J1255" i="7"/>
  <c r="O1255" i="7" s="1"/>
  <c r="AH1254" i="7"/>
  <c r="AE1254" i="7"/>
  <c r="AD1254" i="7"/>
  <c r="AC1254" i="7"/>
  <c r="V1254" i="7"/>
  <c r="U1254" i="7"/>
  <c r="T1254" i="7"/>
  <c r="O1254" i="7"/>
  <c r="N1254" i="7"/>
  <c r="M1254" i="7"/>
  <c r="J1254" i="7"/>
  <c r="P1254" i="7" s="1"/>
  <c r="AH1253" i="7"/>
  <c r="AE1253" i="7"/>
  <c r="AD1253" i="7"/>
  <c r="AC1253" i="7"/>
  <c r="V1253" i="7"/>
  <c r="U1253" i="7"/>
  <c r="T1253" i="7"/>
  <c r="P1253" i="7"/>
  <c r="O1253" i="7"/>
  <c r="N1253" i="7"/>
  <c r="M1253" i="7"/>
  <c r="J1253" i="7"/>
  <c r="AH1252" i="7"/>
  <c r="AE1252" i="7"/>
  <c r="AD1252" i="7"/>
  <c r="AC1252" i="7"/>
  <c r="V1252" i="7"/>
  <c r="U1252" i="7"/>
  <c r="T1252" i="7"/>
  <c r="N1252" i="7"/>
  <c r="M1252" i="7"/>
  <c r="J1252" i="7"/>
  <c r="P1252" i="7" s="1"/>
  <c r="AH1251" i="7"/>
  <c r="AE1251" i="7"/>
  <c r="AD1251" i="7"/>
  <c r="AC1251" i="7"/>
  <c r="V1251" i="7"/>
  <c r="U1251" i="7"/>
  <c r="T1251" i="7"/>
  <c r="N1251" i="7"/>
  <c r="M1251" i="7"/>
  <c r="J1251" i="7"/>
  <c r="P1251" i="7" s="1"/>
  <c r="AH1250" i="7"/>
  <c r="AE1250" i="7"/>
  <c r="AD1250" i="7"/>
  <c r="AC1250" i="7"/>
  <c r="V1250" i="7"/>
  <c r="U1250" i="7"/>
  <c r="T1250" i="7"/>
  <c r="N1250" i="7"/>
  <c r="M1250" i="7"/>
  <c r="J1250" i="7"/>
  <c r="P1250" i="7" s="1"/>
  <c r="AH1249" i="7"/>
  <c r="AE1249" i="7"/>
  <c r="AD1249" i="7"/>
  <c r="AC1249" i="7"/>
  <c r="V1249" i="7"/>
  <c r="U1249" i="7"/>
  <c r="T1249" i="7"/>
  <c r="O1249" i="7"/>
  <c r="N1249" i="7"/>
  <c r="M1249" i="7"/>
  <c r="J1249" i="7"/>
  <c r="P1249" i="7" s="1"/>
  <c r="AH1248" i="7"/>
  <c r="AE1248" i="7"/>
  <c r="AD1248" i="7"/>
  <c r="AC1248" i="7"/>
  <c r="V1248" i="7"/>
  <c r="U1248" i="7"/>
  <c r="T1248" i="7"/>
  <c r="N1248" i="7"/>
  <c r="M1248" i="7"/>
  <c r="J1248" i="7"/>
  <c r="AH1247" i="7"/>
  <c r="AE1247" i="7"/>
  <c r="AD1247" i="7"/>
  <c r="AC1247" i="7"/>
  <c r="V1247" i="7"/>
  <c r="U1247" i="7"/>
  <c r="T1247" i="7"/>
  <c r="O1247" i="7"/>
  <c r="N1247" i="7"/>
  <c r="M1247" i="7"/>
  <c r="J1247" i="7"/>
  <c r="P1247" i="7" s="1"/>
  <c r="AH1246" i="7"/>
  <c r="AE1246" i="7"/>
  <c r="AD1246" i="7"/>
  <c r="AC1246" i="7"/>
  <c r="V1246" i="7"/>
  <c r="U1246" i="7"/>
  <c r="T1246" i="7"/>
  <c r="P1246" i="7"/>
  <c r="N1246" i="7"/>
  <c r="M1246" i="7"/>
  <c r="J1246" i="7"/>
  <c r="O1246" i="7" s="1"/>
  <c r="AH1245" i="7"/>
  <c r="AE1245" i="7"/>
  <c r="AD1245" i="7"/>
  <c r="AC1245" i="7"/>
  <c r="V1245" i="7"/>
  <c r="U1245" i="7"/>
  <c r="T1245" i="7"/>
  <c r="N1245" i="7"/>
  <c r="M1245" i="7"/>
  <c r="J1245" i="7"/>
  <c r="P1245" i="7" s="1"/>
  <c r="AH1244" i="7"/>
  <c r="AE1244" i="7"/>
  <c r="AD1244" i="7"/>
  <c r="AC1244" i="7"/>
  <c r="V1244" i="7"/>
  <c r="U1244" i="7"/>
  <c r="T1244" i="7"/>
  <c r="N1244" i="7"/>
  <c r="M1244" i="7"/>
  <c r="J1244" i="7"/>
  <c r="P1244" i="7" s="1"/>
  <c r="AH1243" i="7"/>
  <c r="AE1243" i="7"/>
  <c r="AD1243" i="7"/>
  <c r="AC1243" i="7"/>
  <c r="V1243" i="7"/>
  <c r="U1243" i="7"/>
  <c r="T1243" i="7"/>
  <c r="P1243" i="7"/>
  <c r="O1243" i="7"/>
  <c r="N1243" i="7"/>
  <c r="M1243" i="7"/>
  <c r="J1243" i="7"/>
  <c r="AH1242" i="7"/>
  <c r="AE1242" i="7"/>
  <c r="AD1242" i="7"/>
  <c r="AC1242" i="7"/>
  <c r="V1242" i="7"/>
  <c r="U1242" i="7"/>
  <c r="T1242" i="7"/>
  <c r="N1242" i="7"/>
  <c r="M1242" i="7"/>
  <c r="J1242" i="7"/>
  <c r="AH1241" i="7"/>
  <c r="AE1241" i="7"/>
  <c r="AD1241" i="7"/>
  <c r="AC1241" i="7"/>
  <c r="V1241" i="7"/>
  <c r="U1241" i="7"/>
  <c r="T1241" i="7"/>
  <c r="N1241" i="7"/>
  <c r="M1241" i="7"/>
  <c r="J1241" i="7"/>
  <c r="P1241" i="7" s="1"/>
  <c r="AH1240" i="7"/>
  <c r="AE1240" i="7"/>
  <c r="AD1240" i="7"/>
  <c r="AC1240" i="7"/>
  <c r="V1240" i="7"/>
  <c r="U1240" i="7"/>
  <c r="T1240" i="7"/>
  <c r="N1240" i="7"/>
  <c r="M1240" i="7"/>
  <c r="J1240" i="7"/>
  <c r="P1240" i="7" s="1"/>
  <c r="AH1239" i="7"/>
  <c r="AE1239" i="7"/>
  <c r="AD1239" i="7"/>
  <c r="AC1239" i="7"/>
  <c r="V1239" i="7"/>
  <c r="U1239" i="7"/>
  <c r="T1239" i="7"/>
  <c r="N1239" i="7"/>
  <c r="M1239" i="7"/>
  <c r="J1239" i="7"/>
  <c r="P1239" i="7" s="1"/>
  <c r="AH1238" i="7"/>
  <c r="AE1238" i="7"/>
  <c r="AD1238" i="7"/>
  <c r="AC1238" i="7"/>
  <c r="V1238" i="7"/>
  <c r="U1238" i="7"/>
  <c r="T1238" i="7"/>
  <c r="N1238" i="7"/>
  <c r="M1238" i="7"/>
  <c r="J1238" i="7"/>
  <c r="P1238" i="7" s="1"/>
  <c r="AH1237" i="7"/>
  <c r="AE1237" i="7"/>
  <c r="AD1237" i="7"/>
  <c r="AC1237" i="7"/>
  <c r="V1237" i="7"/>
  <c r="U1237" i="7"/>
  <c r="T1237" i="7"/>
  <c r="N1237" i="7"/>
  <c r="M1237" i="7"/>
  <c r="J1237" i="7"/>
  <c r="P1237" i="7" s="1"/>
  <c r="AH1236" i="7"/>
  <c r="AE1236" i="7"/>
  <c r="AD1236" i="7"/>
  <c r="AC1236" i="7"/>
  <c r="V1236" i="7"/>
  <c r="U1236" i="7"/>
  <c r="T1236" i="7"/>
  <c r="O1236" i="7"/>
  <c r="N1236" i="7"/>
  <c r="M1236" i="7"/>
  <c r="J1236" i="7"/>
  <c r="P1236" i="7" s="1"/>
  <c r="AH1235" i="7"/>
  <c r="AE1235" i="7"/>
  <c r="AD1235" i="7"/>
  <c r="AC1235" i="7"/>
  <c r="V1235" i="7"/>
  <c r="U1235" i="7"/>
  <c r="T1235" i="7"/>
  <c r="O1235" i="7"/>
  <c r="N1235" i="7"/>
  <c r="M1235" i="7"/>
  <c r="J1235" i="7"/>
  <c r="P1235" i="7" s="1"/>
  <c r="AH1234" i="7"/>
  <c r="AE1234" i="7"/>
  <c r="AD1234" i="7"/>
  <c r="AC1234" i="7"/>
  <c r="V1234" i="7"/>
  <c r="U1234" i="7"/>
  <c r="T1234" i="7"/>
  <c r="N1234" i="7"/>
  <c r="M1234" i="7"/>
  <c r="J1234" i="7"/>
  <c r="P1234" i="7" s="1"/>
  <c r="AH1233" i="7"/>
  <c r="AE1233" i="7"/>
  <c r="AD1233" i="7"/>
  <c r="AC1233" i="7"/>
  <c r="V1233" i="7"/>
  <c r="U1233" i="7"/>
  <c r="T1233" i="7"/>
  <c r="N1233" i="7"/>
  <c r="M1233" i="7"/>
  <c r="J1233" i="7"/>
  <c r="AH1232" i="7"/>
  <c r="AE1232" i="7"/>
  <c r="AD1232" i="7"/>
  <c r="AC1232" i="7"/>
  <c r="V1232" i="7"/>
  <c r="U1232" i="7"/>
  <c r="T1232" i="7"/>
  <c r="N1232" i="7"/>
  <c r="M1232" i="7"/>
  <c r="J1232" i="7"/>
  <c r="P1232" i="7" s="1"/>
  <c r="AH1231" i="7"/>
  <c r="AE1231" i="7"/>
  <c r="AD1231" i="7"/>
  <c r="AC1231" i="7"/>
  <c r="V1231" i="7"/>
  <c r="U1231" i="7"/>
  <c r="T1231" i="7"/>
  <c r="N1231" i="7"/>
  <c r="M1231" i="7"/>
  <c r="J1231" i="7"/>
  <c r="P1231" i="7" s="1"/>
  <c r="AH1230" i="7"/>
  <c r="AE1230" i="7"/>
  <c r="AD1230" i="7"/>
  <c r="AC1230" i="7"/>
  <c r="V1230" i="7"/>
  <c r="U1230" i="7"/>
  <c r="T1230" i="7"/>
  <c r="N1230" i="7"/>
  <c r="M1230" i="7"/>
  <c r="J1230" i="7"/>
  <c r="P1230" i="7" s="1"/>
  <c r="AH1229" i="7"/>
  <c r="AE1229" i="7"/>
  <c r="AD1229" i="7"/>
  <c r="AC1229" i="7"/>
  <c r="V1229" i="7"/>
  <c r="U1229" i="7"/>
  <c r="T1229" i="7"/>
  <c r="N1229" i="7"/>
  <c r="M1229" i="7"/>
  <c r="J1229" i="7"/>
  <c r="P1229" i="7" s="1"/>
  <c r="AH1228" i="7"/>
  <c r="AE1228" i="7"/>
  <c r="AD1228" i="7"/>
  <c r="AC1228" i="7"/>
  <c r="V1228" i="7"/>
  <c r="U1228" i="7"/>
  <c r="T1228" i="7"/>
  <c r="N1228" i="7"/>
  <c r="M1228" i="7"/>
  <c r="J1228" i="7"/>
  <c r="AH1227" i="7"/>
  <c r="AE1227" i="7"/>
  <c r="AD1227" i="7"/>
  <c r="AC1227" i="7"/>
  <c r="V1227" i="7"/>
  <c r="U1227" i="7"/>
  <c r="T1227" i="7"/>
  <c r="P1227" i="7"/>
  <c r="N1227" i="7"/>
  <c r="M1227" i="7"/>
  <c r="J1227" i="7"/>
  <c r="O1227" i="7" s="1"/>
  <c r="AH1226" i="7"/>
  <c r="AE1226" i="7"/>
  <c r="AD1226" i="7"/>
  <c r="AC1226" i="7"/>
  <c r="V1226" i="7"/>
  <c r="U1226" i="7"/>
  <c r="T1226" i="7"/>
  <c r="N1226" i="7"/>
  <c r="M1226" i="7"/>
  <c r="J1226" i="7"/>
  <c r="AH1225" i="7"/>
  <c r="AE1225" i="7"/>
  <c r="AD1225" i="7"/>
  <c r="AC1225" i="7"/>
  <c r="V1225" i="7"/>
  <c r="U1225" i="7"/>
  <c r="T1225" i="7"/>
  <c r="N1225" i="7"/>
  <c r="M1225" i="7"/>
  <c r="J1225" i="7"/>
  <c r="P1225" i="7" s="1"/>
  <c r="AH1224" i="7"/>
  <c r="AE1224" i="7"/>
  <c r="AD1224" i="7"/>
  <c r="AC1224" i="7"/>
  <c r="V1224" i="7"/>
  <c r="U1224" i="7"/>
  <c r="T1224" i="7"/>
  <c r="N1224" i="7"/>
  <c r="M1224" i="7"/>
  <c r="J1224" i="7"/>
  <c r="P1224" i="7" s="1"/>
  <c r="AH1223" i="7"/>
  <c r="AE1223" i="7"/>
  <c r="AD1223" i="7"/>
  <c r="AC1223" i="7"/>
  <c r="V1223" i="7"/>
  <c r="U1223" i="7"/>
  <c r="T1223" i="7"/>
  <c r="N1223" i="7"/>
  <c r="M1223" i="7"/>
  <c r="J1223" i="7"/>
  <c r="P1223" i="7" s="1"/>
  <c r="AH1222" i="7"/>
  <c r="AE1222" i="7"/>
  <c r="AD1222" i="7"/>
  <c r="AC1222" i="7"/>
  <c r="V1222" i="7"/>
  <c r="U1222" i="7"/>
  <c r="T1222" i="7"/>
  <c r="N1222" i="7"/>
  <c r="M1222" i="7"/>
  <c r="J1222" i="7"/>
  <c r="P1222" i="7" s="1"/>
  <c r="AH1221" i="7"/>
  <c r="AE1221" i="7"/>
  <c r="AD1221" i="7"/>
  <c r="AC1221" i="7"/>
  <c r="V1221" i="7"/>
  <c r="U1221" i="7"/>
  <c r="T1221" i="7"/>
  <c r="O1221" i="7"/>
  <c r="N1221" i="7"/>
  <c r="M1221" i="7"/>
  <c r="J1221" i="7"/>
  <c r="P1221" i="7" s="1"/>
  <c r="AH1220" i="7"/>
  <c r="AE1220" i="7"/>
  <c r="AD1220" i="7"/>
  <c r="AC1220" i="7"/>
  <c r="V1220" i="7"/>
  <c r="U1220" i="7"/>
  <c r="T1220" i="7"/>
  <c r="O1220" i="7"/>
  <c r="N1220" i="7"/>
  <c r="M1220" i="7"/>
  <c r="J1220" i="7"/>
  <c r="P1220" i="7" s="1"/>
  <c r="AH1219" i="7"/>
  <c r="AE1219" i="7"/>
  <c r="AD1219" i="7"/>
  <c r="AC1219" i="7"/>
  <c r="V1219" i="7"/>
  <c r="U1219" i="7"/>
  <c r="T1219" i="7"/>
  <c r="N1219" i="7"/>
  <c r="M1219" i="7"/>
  <c r="J1219" i="7"/>
  <c r="P1219" i="7" s="1"/>
  <c r="AH1218" i="7"/>
  <c r="AE1218" i="7"/>
  <c r="AD1218" i="7"/>
  <c r="AC1218" i="7"/>
  <c r="V1218" i="7"/>
  <c r="U1218" i="7"/>
  <c r="T1218" i="7"/>
  <c r="N1218" i="7"/>
  <c r="M1218" i="7"/>
  <c r="J1218" i="7"/>
  <c r="P1218" i="7" s="1"/>
  <c r="AH1217" i="7"/>
  <c r="AE1217" i="7"/>
  <c r="AD1217" i="7"/>
  <c r="AC1217" i="7"/>
  <c r="V1217" i="7"/>
  <c r="U1217" i="7"/>
  <c r="T1217" i="7"/>
  <c r="N1217" i="7"/>
  <c r="M1217" i="7"/>
  <c r="J1217" i="7"/>
  <c r="AH1216" i="7"/>
  <c r="AE1216" i="7"/>
  <c r="AD1216" i="7"/>
  <c r="AC1216" i="7"/>
  <c r="V1216" i="7"/>
  <c r="U1216" i="7"/>
  <c r="T1216" i="7"/>
  <c r="O1216" i="7"/>
  <c r="N1216" i="7"/>
  <c r="M1216" i="7"/>
  <c r="J1216" i="7"/>
  <c r="P1216" i="7" s="1"/>
  <c r="AH1215" i="7"/>
  <c r="AE1215" i="7"/>
  <c r="AD1215" i="7"/>
  <c r="AC1215" i="7"/>
  <c r="V1215" i="7"/>
  <c r="U1215" i="7"/>
  <c r="T1215" i="7"/>
  <c r="N1215" i="7"/>
  <c r="M1215" i="7"/>
  <c r="J1215" i="7"/>
  <c r="P1215" i="7" s="1"/>
  <c r="AH1214" i="7"/>
  <c r="AE1214" i="7"/>
  <c r="AD1214" i="7"/>
  <c r="AC1214" i="7"/>
  <c r="V1214" i="7"/>
  <c r="U1214" i="7"/>
  <c r="T1214" i="7"/>
  <c r="N1214" i="7"/>
  <c r="M1214" i="7"/>
  <c r="J1214" i="7"/>
  <c r="AH1213" i="7"/>
  <c r="AE1213" i="7"/>
  <c r="AD1213" i="7"/>
  <c r="AC1213" i="7"/>
  <c r="V1213" i="7"/>
  <c r="U1213" i="7"/>
  <c r="T1213" i="7"/>
  <c r="N1213" i="7"/>
  <c r="M1213" i="7"/>
  <c r="J1213" i="7"/>
  <c r="P1213" i="7" s="1"/>
  <c r="AH1212" i="7"/>
  <c r="AE1212" i="7"/>
  <c r="AD1212" i="7"/>
  <c r="AC1212" i="7"/>
  <c r="V1212" i="7"/>
  <c r="U1212" i="7"/>
  <c r="T1212" i="7"/>
  <c r="N1212" i="7"/>
  <c r="M1212" i="7"/>
  <c r="J1212" i="7"/>
  <c r="AH1211" i="7"/>
  <c r="AE1211" i="7"/>
  <c r="AD1211" i="7"/>
  <c r="AC1211" i="7"/>
  <c r="V1211" i="7"/>
  <c r="U1211" i="7"/>
  <c r="T1211" i="7"/>
  <c r="N1211" i="7"/>
  <c r="M1211" i="7"/>
  <c r="J1211" i="7"/>
  <c r="P1211" i="7" s="1"/>
  <c r="AH1210" i="7"/>
  <c r="AE1210" i="7"/>
  <c r="AD1210" i="7"/>
  <c r="AC1210" i="7"/>
  <c r="V1210" i="7"/>
  <c r="U1210" i="7"/>
  <c r="T1210" i="7"/>
  <c r="N1210" i="7"/>
  <c r="M1210" i="7"/>
  <c r="J1210" i="7"/>
  <c r="AH1209" i="7"/>
  <c r="AE1209" i="7"/>
  <c r="AD1209" i="7"/>
  <c r="AC1209" i="7"/>
  <c r="V1209" i="7"/>
  <c r="U1209" i="7"/>
  <c r="T1209" i="7"/>
  <c r="N1209" i="7"/>
  <c r="M1209" i="7"/>
  <c r="J1209" i="7"/>
  <c r="P1209" i="7" s="1"/>
  <c r="AH1208" i="7"/>
  <c r="AE1208" i="7"/>
  <c r="AD1208" i="7"/>
  <c r="AC1208" i="7"/>
  <c r="V1208" i="7"/>
  <c r="U1208" i="7"/>
  <c r="T1208" i="7"/>
  <c r="N1208" i="7"/>
  <c r="M1208" i="7"/>
  <c r="J1208" i="7"/>
  <c r="P1208" i="7" s="1"/>
  <c r="AH1207" i="7"/>
  <c r="AE1207" i="7"/>
  <c r="AD1207" i="7"/>
  <c r="AC1207" i="7"/>
  <c r="V1207" i="7"/>
  <c r="U1207" i="7"/>
  <c r="T1207" i="7"/>
  <c r="P1207" i="7"/>
  <c r="N1207" i="7"/>
  <c r="M1207" i="7"/>
  <c r="J1207" i="7"/>
  <c r="O1207" i="7" s="1"/>
  <c r="AH1206" i="7"/>
  <c r="AE1206" i="7"/>
  <c r="AD1206" i="7"/>
  <c r="AC1206" i="7"/>
  <c r="V1206" i="7"/>
  <c r="U1206" i="7"/>
  <c r="T1206" i="7"/>
  <c r="N1206" i="7"/>
  <c r="M1206" i="7"/>
  <c r="J1206" i="7"/>
  <c r="AH1205" i="7"/>
  <c r="AE1205" i="7"/>
  <c r="AD1205" i="7"/>
  <c r="AC1205" i="7"/>
  <c r="V1205" i="7"/>
  <c r="U1205" i="7"/>
  <c r="T1205" i="7"/>
  <c r="N1205" i="7"/>
  <c r="M1205" i="7"/>
  <c r="J1205" i="7"/>
  <c r="P1205" i="7" s="1"/>
  <c r="AH1204" i="7"/>
  <c r="AE1204" i="7"/>
  <c r="AD1204" i="7"/>
  <c r="AC1204" i="7"/>
  <c r="V1204" i="7"/>
  <c r="U1204" i="7"/>
  <c r="T1204" i="7"/>
  <c r="O1204" i="7"/>
  <c r="N1204" i="7"/>
  <c r="M1204" i="7"/>
  <c r="J1204" i="7"/>
  <c r="P1204" i="7" s="1"/>
  <c r="AH1203" i="7"/>
  <c r="AE1203" i="7"/>
  <c r="AD1203" i="7"/>
  <c r="AC1203" i="7"/>
  <c r="V1203" i="7"/>
  <c r="U1203" i="7"/>
  <c r="T1203" i="7"/>
  <c r="N1203" i="7"/>
  <c r="M1203" i="7"/>
  <c r="J1203" i="7"/>
  <c r="P1203" i="7" s="1"/>
  <c r="AH1202" i="7"/>
  <c r="AE1202" i="7"/>
  <c r="AD1202" i="7"/>
  <c r="AC1202" i="7"/>
  <c r="V1202" i="7"/>
  <c r="U1202" i="7"/>
  <c r="T1202" i="7"/>
  <c r="O1202" i="7"/>
  <c r="N1202" i="7"/>
  <c r="M1202" i="7"/>
  <c r="J1202" i="7"/>
  <c r="P1202" i="7" s="1"/>
  <c r="AH1201" i="7"/>
  <c r="AE1201" i="7"/>
  <c r="AD1201" i="7"/>
  <c r="AC1201" i="7"/>
  <c r="V1201" i="7"/>
  <c r="U1201" i="7"/>
  <c r="T1201" i="7"/>
  <c r="N1201" i="7"/>
  <c r="M1201" i="7"/>
  <c r="J1201" i="7"/>
  <c r="AH1200" i="7"/>
  <c r="AE1200" i="7"/>
  <c r="AD1200" i="7"/>
  <c r="AC1200" i="7"/>
  <c r="V1200" i="7"/>
  <c r="U1200" i="7"/>
  <c r="T1200" i="7"/>
  <c r="N1200" i="7"/>
  <c r="M1200" i="7"/>
  <c r="J1200" i="7"/>
  <c r="P1200" i="7" s="1"/>
  <c r="AH1199" i="7"/>
  <c r="AE1199" i="7"/>
  <c r="AD1199" i="7"/>
  <c r="AC1199" i="7"/>
  <c r="V1199" i="7"/>
  <c r="U1199" i="7"/>
  <c r="T1199" i="7"/>
  <c r="N1199" i="7"/>
  <c r="M1199" i="7"/>
  <c r="J1199" i="7"/>
  <c r="AH1198" i="7"/>
  <c r="AE1198" i="7"/>
  <c r="AD1198" i="7"/>
  <c r="AC1198" i="7"/>
  <c r="V1198" i="7"/>
  <c r="U1198" i="7"/>
  <c r="T1198" i="7"/>
  <c r="N1198" i="7"/>
  <c r="M1198" i="7"/>
  <c r="J1198" i="7"/>
  <c r="P1198" i="7" s="1"/>
  <c r="AH1197" i="7"/>
  <c r="AE1197" i="7"/>
  <c r="AD1197" i="7"/>
  <c r="AC1197" i="7"/>
  <c r="V1197" i="7"/>
  <c r="U1197" i="7"/>
  <c r="T1197" i="7"/>
  <c r="N1197" i="7"/>
  <c r="M1197" i="7"/>
  <c r="J1197" i="7"/>
  <c r="O1197" i="7" s="1"/>
  <c r="AH1196" i="7"/>
  <c r="AE1196" i="7"/>
  <c r="AD1196" i="7"/>
  <c r="AC1196" i="7"/>
  <c r="V1196" i="7"/>
  <c r="U1196" i="7"/>
  <c r="T1196" i="7"/>
  <c r="N1196" i="7"/>
  <c r="M1196" i="7"/>
  <c r="J1196" i="7"/>
  <c r="P1196" i="7" s="1"/>
  <c r="AH1195" i="7"/>
  <c r="AE1195" i="7"/>
  <c r="AD1195" i="7"/>
  <c r="AC1195" i="7"/>
  <c r="V1195" i="7"/>
  <c r="U1195" i="7"/>
  <c r="T1195" i="7"/>
  <c r="P1195" i="7"/>
  <c r="O1195" i="7"/>
  <c r="N1195" i="7"/>
  <c r="M1195" i="7"/>
  <c r="J1195" i="7"/>
  <c r="AH1194" i="7"/>
  <c r="AE1194" i="7"/>
  <c r="AD1194" i="7"/>
  <c r="AC1194" i="7"/>
  <c r="V1194" i="7"/>
  <c r="U1194" i="7"/>
  <c r="T1194" i="7"/>
  <c r="N1194" i="7"/>
  <c r="M1194" i="7"/>
  <c r="J1194" i="7"/>
  <c r="AH1193" i="7"/>
  <c r="AE1193" i="7"/>
  <c r="AD1193" i="7"/>
  <c r="AC1193" i="7"/>
  <c r="V1193" i="7"/>
  <c r="U1193" i="7"/>
  <c r="T1193" i="7"/>
  <c r="P1193" i="7"/>
  <c r="N1193" i="7"/>
  <c r="M1193" i="7"/>
  <c r="J1193" i="7"/>
  <c r="O1193" i="7" s="1"/>
  <c r="AH1192" i="7"/>
  <c r="AE1192" i="7"/>
  <c r="AD1192" i="7"/>
  <c r="AC1192" i="7"/>
  <c r="V1192" i="7"/>
  <c r="U1192" i="7"/>
  <c r="T1192" i="7"/>
  <c r="N1192" i="7"/>
  <c r="M1192" i="7"/>
  <c r="J1192" i="7"/>
  <c r="AH1191" i="7"/>
  <c r="AE1191" i="7"/>
  <c r="AD1191" i="7"/>
  <c r="AC1191" i="7"/>
  <c r="V1191" i="7"/>
  <c r="U1191" i="7"/>
  <c r="T1191" i="7"/>
  <c r="O1191" i="7"/>
  <c r="N1191" i="7"/>
  <c r="M1191" i="7"/>
  <c r="J1191" i="7"/>
  <c r="P1191" i="7" s="1"/>
  <c r="AH1190" i="7"/>
  <c r="AE1190" i="7"/>
  <c r="AD1190" i="7"/>
  <c r="AC1190" i="7"/>
  <c r="V1190" i="7"/>
  <c r="U1190" i="7"/>
  <c r="T1190" i="7"/>
  <c r="N1190" i="7"/>
  <c r="M1190" i="7"/>
  <c r="J1190" i="7"/>
  <c r="AH1189" i="7"/>
  <c r="AE1189" i="7"/>
  <c r="AD1189" i="7"/>
  <c r="AC1189" i="7"/>
  <c r="V1189" i="7"/>
  <c r="U1189" i="7"/>
  <c r="T1189" i="7"/>
  <c r="N1189" i="7"/>
  <c r="M1189" i="7"/>
  <c r="J1189" i="7"/>
  <c r="AH1188" i="7"/>
  <c r="AE1188" i="7"/>
  <c r="AD1188" i="7"/>
  <c r="AC1188" i="7"/>
  <c r="V1188" i="7"/>
  <c r="U1188" i="7"/>
  <c r="T1188" i="7"/>
  <c r="N1188" i="7"/>
  <c r="M1188" i="7"/>
  <c r="J1188" i="7"/>
  <c r="P1188" i="7" s="1"/>
  <c r="AH1187" i="7"/>
  <c r="AE1187" i="7"/>
  <c r="AD1187" i="7"/>
  <c r="AC1187" i="7"/>
  <c r="V1187" i="7"/>
  <c r="U1187" i="7"/>
  <c r="T1187" i="7"/>
  <c r="N1187" i="7"/>
  <c r="M1187" i="7"/>
  <c r="J1187" i="7"/>
  <c r="P1187" i="7" s="1"/>
  <c r="AH1186" i="7"/>
  <c r="AE1186" i="7"/>
  <c r="AD1186" i="7"/>
  <c r="AC1186" i="7"/>
  <c r="V1186" i="7"/>
  <c r="U1186" i="7"/>
  <c r="T1186" i="7"/>
  <c r="N1186" i="7"/>
  <c r="M1186" i="7"/>
  <c r="J1186" i="7"/>
  <c r="P1186" i="7" s="1"/>
  <c r="AH1185" i="7"/>
  <c r="AE1185" i="7"/>
  <c r="AD1185" i="7"/>
  <c r="AC1185" i="7"/>
  <c r="V1185" i="7"/>
  <c r="U1185" i="7"/>
  <c r="T1185" i="7"/>
  <c r="O1185" i="7"/>
  <c r="N1185" i="7"/>
  <c r="M1185" i="7"/>
  <c r="J1185" i="7"/>
  <c r="P1185" i="7" s="1"/>
  <c r="AH1184" i="7"/>
  <c r="AE1184" i="7"/>
  <c r="AD1184" i="7"/>
  <c r="AC1184" i="7"/>
  <c r="V1184" i="7"/>
  <c r="U1184" i="7"/>
  <c r="T1184" i="7"/>
  <c r="N1184" i="7"/>
  <c r="M1184" i="7"/>
  <c r="J1184" i="7"/>
  <c r="AH1183" i="7"/>
  <c r="AE1183" i="7"/>
  <c r="AD1183" i="7"/>
  <c r="AC1183" i="7"/>
  <c r="V1183" i="7"/>
  <c r="U1183" i="7"/>
  <c r="T1183" i="7"/>
  <c r="P1183" i="7"/>
  <c r="N1183" i="7"/>
  <c r="M1183" i="7"/>
  <c r="J1183" i="7"/>
  <c r="O1183" i="7" s="1"/>
  <c r="AH1182" i="7"/>
  <c r="AE1182" i="7"/>
  <c r="AD1182" i="7"/>
  <c r="AC1182" i="7"/>
  <c r="V1182" i="7"/>
  <c r="U1182" i="7"/>
  <c r="T1182" i="7"/>
  <c r="N1182" i="7"/>
  <c r="M1182" i="7"/>
  <c r="J1182" i="7"/>
  <c r="P1182" i="7" s="1"/>
  <c r="AH1181" i="7"/>
  <c r="AE1181" i="7"/>
  <c r="AD1181" i="7"/>
  <c r="AC1181" i="7"/>
  <c r="V1181" i="7"/>
  <c r="U1181" i="7"/>
  <c r="T1181" i="7"/>
  <c r="N1181" i="7"/>
  <c r="M1181" i="7"/>
  <c r="J1181" i="7"/>
  <c r="P1181" i="7" s="1"/>
  <c r="AH1180" i="7"/>
  <c r="AE1180" i="7"/>
  <c r="AD1180" i="7"/>
  <c r="AC1180" i="7"/>
  <c r="V1180" i="7"/>
  <c r="U1180" i="7"/>
  <c r="T1180" i="7"/>
  <c r="N1180" i="7"/>
  <c r="M1180" i="7"/>
  <c r="J1180" i="7"/>
  <c r="P1180" i="7" s="1"/>
  <c r="AH1179" i="7"/>
  <c r="AE1179" i="7"/>
  <c r="AD1179" i="7"/>
  <c r="AC1179" i="7"/>
  <c r="V1179" i="7"/>
  <c r="U1179" i="7"/>
  <c r="T1179" i="7"/>
  <c r="N1179" i="7"/>
  <c r="M1179" i="7"/>
  <c r="J1179" i="7"/>
  <c r="AH1178" i="7"/>
  <c r="AE1178" i="7"/>
  <c r="AD1178" i="7"/>
  <c r="AC1178" i="7"/>
  <c r="V1178" i="7"/>
  <c r="U1178" i="7"/>
  <c r="T1178" i="7"/>
  <c r="N1178" i="7"/>
  <c r="M1178" i="7"/>
  <c r="J1178" i="7"/>
  <c r="P1178" i="7" s="1"/>
  <c r="AH1177" i="7"/>
  <c r="AE1177" i="7"/>
  <c r="AD1177" i="7"/>
  <c r="AC1177" i="7"/>
  <c r="V1177" i="7"/>
  <c r="U1177" i="7"/>
  <c r="T1177" i="7"/>
  <c r="N1177" i="7"/>
  <c r="M1177" i="7"/>
  <c r="J1177" i="7"/>
  <c r="AH1176" i="7"/>
  <c r="AE1176" i="7"/>
  <c r="AD1176" i="7"/>
  <c r="AC1176" i="7"/>
  <c r="V1176" i="7"/>
  <c r="U1176" i="7"/>
  <c r="T1176" i="7"/>
  <c r="O1176" i="7"/>
  <c r="N1176" i="7"/>
  <c r="M1176" i="7"/>
  <c r="J1176" i="7"/>
  <c r="P1176" i="7" s="1"/>
  <c r="AH1175" i="7"/>
  <c r="AE1175" i="7"/>
  <c r="AD1175" i="7"/>
  <c r="AC1175" i="7"/>
  <c r="V1175" i="7"/>
  <c r="U1175" i="7"/>
  <c r="T1175" i="7"/>
  <c r="N1175" i="7"/>
  <c r="M1175" i="7"/>
  <c r="J1175" i="7"/>
  <c r="P1175" i="7" s="1"/>
  <c r="AH1174" i="7"/>
  <c r="AE1174" i="7"/>
  <c r="AD1174" i="7"/>
  <c r="AC1174" i="7"/>
  <c r="V1174" i="7"/>
  <c r="U1174" i="7"/>
  <c r="T1174" i="7"/>
  <c r="O1174" i="7"/>
  <c r="N1174" i="7"/>
  <c r="M1174" i="7"/>
  <c r="J1174" i="7"/>
  <c r="P1174" i="7" s="1"/>
  <c r="AH1173" i="7"/>
  <c r="AE1173" i="7"/>
  <c r="AD1173" i="7"/>
  <c r="AC1173" i="7"/>
  <c r="V1173" i="7"/>
  <c r="U1173" i="7"/>
  <c r="T1173" i="7"/>
  <c r="N1173" i="7"/>
  <c r="M1173" i="7"/>
  <c r="J1173" i="7"/>
  <c r="P1173" i="7" s="1"/>
  <c r="AH1172" i="7"/>
  <c r="AE1172" i="7"/>
  <c r="AD1172" i="7"/>
  <c r="AC1172" i="7"/>
  <c r="V1172" i="7"/>
  <c r="U1172" i="7"/>
  <c r="T1172" i="7"/>
  <c r="N1172" i="7"/>
  <c r="M1172" i="7"/>
  <c r="J1172" i="7"/>
  <c r="P1172" i="7" s="1"/>
  <c r="AH1171" i="7"/>
  <c r="AE1171" i="7"/>
  <c r="AD1171" i="7"/>
  <c r="AC1171" i="7"/>
  <c r="V1171" i="7"/>
  <c r="U1171" i="7"/>
  <c r="T1171" i="7"/>
  <c r="O1171" i="7"/>
  <c r="N1171" i="7"/>
  <c r="M1171" i="7"/>
  <c r="J1171" i="7"/>
  <c r="P1171" i="7" s="1"/>
  <c r="AH1170" i="7"/>
  <c r="AE1170" i="7"/>
  <c r="AD1170" i="7"/>
  <c r="AC1170" i="7"/>
  <c r="V1170" i="7"/>
  <c r="U1170" i="7"/>
  <c r="T1170" i="7"/>
  <c r="N1170" i="7"/>
  <c r="M1170" i="7"/>
  <c r="J1170" i="7"/>
  <c r="P1170" i="7" s="1"/>
  <c r="AH1169" i="7"/>
  <c r="AE1169" i="7"/>
  <c r="AD1169" i="7"/>
  <c r="AC1169" i="7"/>
  <c r="V1169" i="7"/>
  <c r="U1169" i="7"/>
  <c r="T1169" i="7"/>
  <c r="P1169" i="7"/>
  <c r="N1169" i="7"/>
  <c r="M1169" i="7"/>
  <c r="J1169" i="7"/>
  <c r="O1169" i="7" s="1"/>
  <c r="AH1168" i="7"/>
  <c r="AE1168" i="7"/>
  <c r="AD1168" i="7"/>
  <c r="AC1168" i="7"/>
  <c r="V1168" i="7"/>
  <c r="U1168" i="7"/>
  <c r="T1168" i="7"/>
  <c r="N1168" i="7"/>
  <c r="M1168" i="7"/>
  <c r="J1168" i="7"/>
  <c r="AH1167" i="7"/>
  <c r="AE1167" i="7"/>
  <c r="AD1167" i="7"/>
  <c r="AC1167" i="7"/>
  <c r="V1167" i="7"/>
  <c r="U1167" i="7"/>
  <c r="T1167" i="7"/>
  <c r="N1167" i="7"/>
  <c r="M1167" i="7"/>
  <c r="J1167" i="7"/>
  <c r="O1167" i="7" s="1"/>
  <c r="AH1166" i="7"/>
  <c r="AE1166" i="7"/>
  <c r="AD1166" i="7"/>
  <c r="AC1166" i="7"/>
  <c r="V1166" i="7"/>
  <c r="U1166" i="7"/>
  <c r="T1166" i="7"/>
  <c r="N1166" i="7"/>
  <c r="M1166" i="7"/>
  <c r="J1166" i="7"/>
  <c r="P1166" i="7" s="1"/>
  <c r="AH1165" i="7"/>
  <c r="AE1165" i="7"/>
  <c r="AD1165" i="7"/>
  <c r="AC1165" i="7"/>
  <c r="V1165" i="7"/>
  <c r="U1165" i="7"/>
  <c r="T1165" i="7"/>
  <c r="N1165" i="7"/>
  <c r="M1165" i="7"/>
  <c r="J1165" i="7"/>
  <c r="P1165" i="7" s="1"/>
  <c r="AH1164" i="7"/>
  <c r="AE1164" i="7"/>
  <c r="AD1164" i="7"/>
  <c r="AC1164" i="7"/>
  <c r="V1164" i="7"/>
  <c r="U1164" i="7"/>
  <c r="T1164" i="7"/>
  <c r="N1164" i="7"/>
  <c r="M1164" i="7"/>
  <c r="J1164" i="7"/>
  <c r="P1164" i="7" s="1"/>
  <c r="AH1163" i="7"/>
  <c r="AE1163" i="7"/>
  <c r="AD1163" i="7"/>
  <c r="AC1163" i="7"/>
  <c r="V1163" i="7"/>
  <c r="U1163" i="7"/>
  <c r="T1163" i="7"/>
  <c r="N1163" i="7"/>
  <c r="M1163" i="7"/>
  <c r="J1163" i="7"/>
  <c r="AH1162" i="7"/>
  <c r="AE1162" i="7"/>
  <c r="AD1162" i="7"/>
  <c r="AC1162" i="7"/>
  <c r="V1162" i="7"/>
  <c r="U1162" i="7"/>
  <c r="T1162" i="7"/>
  <c r="P1162" i="7"/>
  <c r="N1162" i="7"/>
  <c r="M1162" i="7"/>
  <c r="J1162" i="7"/>
  <c r="O1162" i="7" s="1"/>
  <c r="AH1161" i="7"/>
  <c r="AE1161" i="7"/>
  <c r="AD1161" i="7"/>
  <c r="AC1161" i="7"/>
  <c r="V1161" i="7"/>
  <c r="U1161" i="7"/>
  <c r="T1161" i="7"/>
  <c r="N1161" i="7"/>
  <c r="M1161" i="7"/>
  <c r="J1161" i="7"/>
  <c r="AH1160" i="7"/>
  <c r="AE1160" i="7"/>
  <c r="AD1160" i="7"/>
  <c r="AC1160" i="7"/>
  <c r="V1160" i="7"/>
  <c r="U1160" i="7"/>
  <c r="T1160" i="7"/>
  <c r="O1160" i="7"/>
  <c r="N1160" i="7"/>
  <c r="M1160" i="7"/>
  <c r="J1160" i="7"/>
  <c r="P1160" i="7" s="1"/>
  <c r="AH1159" i="7"/>
  <c r="AE1159" i="7"/>
  <c r="AD1159" i="7"/>
  <c r="AC1159" i="7"/>
  <c r="V1159" i="7"/>
  <c r="U1159" i="7"/>
  <c r="T1159" i="7"/>
  <c r="N1159" i="7"/>
  <c r="M1159" i="7"/>
  <c r="J1159" i="7"/>
  <c r="P1159" i="7" s="1"/>
  <c r="AH1158" i="7"/>
  <c r="AE1158" i="7"/>
  <c r="AD1158" i="7"/>
  <c r="AC1158" i="7"/>
  <c r="V1158" i="7"/>
  <c r="U1158" i="7"/>
  <c r="T1158" i="7"/>
  <c r="N1158" i="7"/>
  <c r="M1158" i="7"/>
  <c r="J1158" i="7"/>
  <c r="P1158" i="7" s="1"/>
  <c r="AH1157" i="7"/>
  <c r="AE1157" i="7"/>
  <c r="AD1157" i="7"/>
  <c r="AC1157" i="7"/>
  <c r="V1157" i="7"/>
  <c r="U1157" i="7"/>
  <c r="T1157" i="7"/>
  <c r="N1157" i="7"/>
  <c r="M1157" i="7"/>
  <c r="J1157" i="7"/>
  <c r="P1157" i="7" s="1"/>
  <c r="AH1156" i="7"/>
  <c r="AE1156" i="7"/>
  <c r="AD1156" i="7"/>
  <c r="AC1156" i="7"/>
  <c r="V1156" i="7"/>
  <c r="U1156" i="7"/>
  <c r="T1156" i="7"/>
  <c r="N1156" i="7"/>
  <c r="M1156" i="7"/>
  <c r="J1156" i="7"/>
  <c r="P1156" i="7" s="1"/>
  <c r="AH1155" i="7"/>
  <c r="AE1155" i="7"/>
  <c r="AD1155" i="7"/>
  <c r="AC1155" i="7"/>
  <c r="V1155" i="7"/>
  <c r="U1155" i="7"/>
  <c r="T1155" i="7"/>
  <c r="P1155" i="7"/>
  <c r="N1155" i="7"/>
  <c r="M1155" i="7"/>
  <c r="J1155" i="7"/>
  <c r="O1155" i="7" s="1"/>
  <c r="AH1154" i="7"/>
  <c r="AE1154" i="7"/>
  <c r="AD1154" i="7"/>
  <c r="AC1154" i="7"/>
  <c r="V1154" i="7"/>
  <c r="U1154" i="7"/>
  <c r="T1154" i="7"/>
  <c r="N1154" i="7"/>
  <c r="M1154" i="7"/>
  <c r="J1154" i="7"/>
  <c r="P1154" i="7" s="1"/>
  <c r="AH1153" i="7"/>
  <c r="AE1153" i="7"/>
  <c r="AD1153" i="7"/>
  <c r="AC1153" i="7"/>
  <c r="V1153" i="7"/>
  <c r="U1153" i="7"/>
  <c r="T1153" i="7"/>
  <c r="P1153" i="7"/>
  <c r="N1153" i="7"/>
  <c r="M1153" i="7"/>
  <c r="J1153" i="7"/>
  <c r="O1153" i="7" s="1"/>
  <c r="AH1152" i="7"/>
  <c r="AE1152" i="7"/>
  <c r="AD1152" i="7"/>
  <c r="AC1152" i="7"/>
  <c r="V1152" i="7"/>
  <c r="U1152" i="7"/>
  <c r="T1152" i="7"/>
  <c r="N1152" i="7"/>
  <c r="M1152" i="7"/>
  <c r="J1152" i="7"/>
  <c r="AH1151" i="7"/>
  <c r="AE1151" i="7"/>
  <c r="AD1151" i="7"/>
  <c r="AC1151" i="7"/>
  <c r="V1151" i="7"/>
  <c r="U1151" i="7"/>
  <c r="T1151" i="7"/>
  <c r="P1151" i="7"/>
  <c r="N1151" i="7"/>
  <c r="M1151" i="7"/>
  <c r="J1151" i="7"/>
  <c r="O1151" i="7" s="1"/>
  <c r="AH1150" i="7"/>
  <c r="AE1150" i="7"/>
  <c r="AD1150" i="7"/>
  <c r="AC1150" i="7"/>
  <c r="V1150" i="7"/>
  <c r="U1150" i="7"/>
  <c r="T1150" i="7"/>
  <c r="N1150" i="7"/>
  <c r="M1150" i="7"/>
  <c r="J1150" i="7"/>
  <c r="P1150" i="7" s="1"/>
  <c r="AH1149" i="7"/>
  <c r="AE1149" i="7"/>
  <c r="AD1149" i="7"/>
  <c r="AC1149" i="7"/>
  <c r="V1149" i="7"/>
  <c r="U1149" i="7"/>
  <c r="T1149" i="7"/>
  <c r="O1149" i="7"/>
  <c r="N1149" i="7"/>
  <c r="M1149" i="7"/>
  <c r="J1149" i="7"/>
  <c r="P1149" i="7" s="1"/>
  <c r="AH1148" i="7"/>
  <c r="AE1148" i="7"/>
  <c r="AD1148" i="7"/>
  <c r="AC1148" i="7"/>
  <c r="V1148" i="7"/>
  <c r="U1148" i="7"/>
  <c r="T1148" i="7"/>
  <c r="N1148" i="7"/>
  <c r="M1148" i="7"/>
  <c r="J1148" i="7"/>
  <c r="P1148" i="7" s="1"/>
  <c r="AH1147" i="7"/>
  <c r="AE1147" i="7"/>
  <c r="AD1147" i="7"/>
  <c r="AC1147" i="7"/>
  <c r="V1147" i="7"/>
  <c r="U1147" i="7"/>
  <c r="T1147" i="7"/>
  <c r="N1147" i="7"/>
  <c r="M1147" i="7"/>
  <c r="J1147" i="7"/>
  <c r="P1147" i="7" s="1"/>
  <c r="AH1146" i="7"/>
  <c r="AE1146" i="7"/>
  <c r="AD1146" i="7"/>
  <c r="AC1146" i="7"/>
  <c r="V1146" i="7"/>
  <c r="U1146" i="7"/>
  <c r="T1146" i="7"/>
  <c r="P1146" i="7"/>
  <c r="N1146" i="7"/>
  <c r="M1146" i="7"/>
  <c r="J1146" i="7"/>
  <c r="O1146" i="7" s="1"/>
  <c r="AH1145" i="7"/>
  <c r="AE1145" i="7"/>
  <c r="AD1145" i="7"/>
  <c r="AC1145" i="7"/>
  <c r="V1145" i="7"/>
  <c r="U1145" i="7"/>
  <c r="T1145" i="7"/>
  <c r="N1145" i="7"/>
  <c r="M1145" i="7"/>
  <c r="J1145" i="7"/>
  <c r="AH1144" i="7"/>
  <c r="AE1144" i="7"/>
  <c r="AD1144" i="7"/>
  <c r="AC1144" i="7"/>
  <c r="V1144" i="7"/>
  <c r="U1144" i="7"/>
  <c r="T1144" i="7"/>
  <c r="O1144" i="7"/>
  <c r="N1144" i="7"/>
  <c r="M1144" i="7"/>
  <c r="J1144" i="7"/>
  <c r="P1144" i="7" s="1"/>
  <c r="AH1143" i="7"/>
  <c r="AE1143" i="7"/>
  <c r="AD1143" i="7"/>
  <c r="AC1143" i="7"/>
  <c r="V1143" i="7"/>
  <c r="U1143" i="7"/>
  <c r="T1143" i="7"/>
  <c r="N1143" i="7"/>
  <c r="M1143" i="7"/>
  <c r="J1143" i="7"/>
  <c r="P1143" i="7" s="1"/>
  <c r="AH1142" i="7"/>
  <c r="AE1142" i="7"/>
  <c r="AD1142" i="7"/>
  <c r="AC1142" i="7"/>
  <c r="V1142" i="7"/>
  <c r="U1142" i="7"/>
  <c r="T1142" i="7"/>
  <c r="N1142" i="7"/>
  <c r="M1142" i="7"/>
  <c r="J1142" i="7"/>
  <c r="P1142" i="7" s="1"/>
  <c r="AH1141" i="7"/>
  <c r="AE1141" i="7"/>
  <c r="AD1141" i="7"/>
  <c r="AC1141" i="7"/>
  <c r="V1141" i="7"/>
  <c r="U1141" i="7"/>
  <c r="T1141" i="7"/>
  <c r="N1141" i="7"/>
  <c r="M1141" i="7"/>
  <c r="J1141" i="7"/>
  <c r="P1141" i="7" s="1"/>
  <c r="AH1140" i="7"/>
  <c r="AE1140" i="7"/>
  <c r="AD1140" i="7"/>
  <c r="AC1140" i="7"/>
  <c r="V1140" i="7"/>
  <c r="U1140" i="7"/>
  <c r="T1140" i="7"/>
  <c r="N1140" i="7"/>
  <c r="M1140" i="7"/>
  <c r="J1140" i="7"/>
  <c r="P1140" i="7" s="1"/>
  <c r="AH1139" i="7"/>
  <c r="AE1139" i="7"/>
  <c r="AD1139" i="7"/>
  <c r="AC1139" i="7"/>
  <c r="V1139" i="7"/>
  <c r="U1139" i="7"/>
  <c r="T1139" i="7"/>
  <c r="P1139" i="7"/>
  <c r="N1139" i="7"/>
  <c r="M1139" i="7"/>
  <c r="J1139" i="7"/>
  <c r="O1139" i="7" s="1"/>
  <c r="AH1138" i="7"/>
  <c r="AE1138" i="7"/>
  <c r="AD1138" i="7"/>
  <c r="AC1138" i="7"/>
  <c r="V1138" i="7"/>
  <c r="U1138" i="7"/>
  <c r="T1138" i="7"/>
  <c r="N1138" i="7"/>
  <c r="M1138" i="7"/>
  <c r="J1138" i="7"/>
  <c r="P1138" i="7" s="1"/>
  <c r="AH1137" i="7"/>
  <c r="AE1137" i="7"/>
  <c r="AD1137" i="7"/>
  <c r="AC1137" i="7"/>
  <c r="V1137" i="7"/>
  <c r="U1137" i="7"/>
  <c r="T1137" i="7"/>
  <c r="N1137" i="7"/>
  <c r="M1137" i="7"/>
  <c r="J1137" i="7"/>
  <c r="P1137" i="7" s="1"/>
  <c r="AH1136" i="7"/>
  <c r="AE1136" i="7"/>
  <c r="AD1136" i="7"/>
  <c r="AC1136" i="7"/>
  <c r="V1136" i="7"/>
  <c r="U1136" i="7"/>
  <c r="T1136" i="7"/>
  <c r="N1136" i="7"/>
  <c r="M1136" i="7"/>
  <c r="J1136" i="7"/>
  <c r="AH1135" i="7"/>
  <c r="AE1135" i="7"/>
  <c r="AD1135" i="7"/>
  <c r="AC1135" i="7"/>
  <c r="V1135" i="7"/>
  <c r="U1135" i="7"/>
  <c r="T1135" i="7"/>
  <c r="N1135" i="7"/>
  <c r="M1135" i="7"/>
  <c r="J1135" i="7"/>
  <c r="P1135" i="7" s="1"/>
  <c r="AH1134" i="7"/>
  <c r="AE1134" i="7"/>
  <c r="AD1134" i="7"/>
  <c r="AC1134" i="7"/>
  <c r="V1134" i="7"/>
  <c r="U1134" i="7"/>
  <c r="T1134" i="7"/>
  <c r="O1134" i="7"/>
  <c r="N1134" i="7"/>
  <c r="M1134" i="7"/>
  <c r="J1134" i="7"/>
  <c r="P1134" i="7" s="1"/>
  <c r="AH1133" i="7"/>
  <c r="AE1133" i="7"/>
  <c r="AD1133" i="7"/>
  <c r="AC1133" i="7"/>
  <c r="V1133" i="7"/>
  <c r="U1133" i="7"/>
  <c r="T1133" i="7"/>
  <c r="N1133" i="7"/>
  <c r="M1133" i="7"/>
  <c r="J1133" i="7"/>
  <c r="P1133" i="7" s="1"/>
  <c r="AH1132" i="7"/>
  <c r="AE1132" i="7"/>
  <c r="AD1132" i="7"/>
  <c r="AC1132" i="7"/>
  <c r="V1132" i="7"/>
  <c r="U1132" i="7"/>
  <c r="T1132" i="7"/>
  <c r="P1132" i="7"/>
  <c r="N1132" i="7"/>
  <c r="M1132" i="7"/>
  <c r="J1132" i="7"/>
  <c r="O1132" i="7" s="1"/>
  <c r="AH1131" i="7"/>
  <c r="AE1131" i="7"/>
  <c r="AD1131" i="7"/>
  <c r="AC1131" i="7"/>
  <c r="V1131" i="7"/>
  <c r="U1131" i="7"/>
  <c r="T1131" i="7"/>
  <c r="N1131" i="7"/>
  <c r="M1131" i="7"/>
  <c r="J1131" i="7"/>
  <c r="P1131" i="7" s="1"/>
  <c r="AH1130" i="7"/>
  <c r="AE1130" i="7"/>
  <c r="AD1130" i="7"/>
  <c r="AC1130" i="7"/>
  <c r="V1130" i="7"/>
  <c r="U1130" i="7"/>
  <c r="T1130" i="7"/>
  <c r="N1130" i="7"/>
  <c r="M1130" i="7"/>
  <c r="J1130" i="7"/>
  <c r="P1130" i="7" s="1"/>
  <c r="AH1129" i="7"/>
  <c r="AE1129" i="7"/>
  <c r="AD1129" i="7"/>
  <c r="AC1129" i="7"/>
  <c r="V1129" i="7"/>
  <c r="U1129" i="7"/>
  <c r="T1129" i="7"/>
  <c r="P1129" i="7"/>
  <c r="N1129" i="7"/>
  <c r="M1129" i="7"/>
  <c r="J1129" i="7"/>
  <c r="O1129" i="7" s="1"/>
  <c r="AH1128" i="7"/>
  <c r="AE1128" i="7"/>
  <c r="AD1128" i="7"/>
  <c r="AC1128" i="7"/>
  <c r="V1128" i="7"/>
  <c r="U1128" i="7"/>
  <c r="T1128" i="7"/>
  <c r="N1128" i="7"/>
  <c r="M1128" i="7"/>
  <c r="J1128" i="7"/>
  <c r="P1128" i="7" s="1"/>
  <c r="AH1127" i="7"/>
  <c r="AE1127" i="7"/>
  <c r="AD1127" i="7"/>
  <c r="AC1127" i="7"/>
  <c r="V1127" i="7"/>
  <c r="U1127" i="7"/>
  <c r="T1127" i="7"/>
  <c r="N1127" i="7"/>
  <c r="M1127" i="7"/>
  <c r="J1127" i="7"/>
  <c r="O1127" i="7" s="1"/>
  <c r="AH1126" i="7"/>
  <c r="AE1126" i="7"/>
  <c r="AD1126" i="7"/>
  <c r="AC1126" i="7"/>
  <c r="V1126" i="7"/>
  <c r="U1126" i="7"/>
  <c r="T1126" i="7"/>
  <c r="N1126" i="7"/>
  <c r="M1126" i="7"/>
  <c r="J1126" i="7"/>
  <c r="P1126" i="7" s="1"/>
  <c r="AH1125" i="7"/>
  <c r="AE1125" i="7"/>
  <c r="AD1125" i="7"/>
  <c r="AC1125" i="7"/>
  <c r="V1125" i="7"/>
  <c r="U1125" i="7"/>
  <c r="T1125" i="7"/>
  <c r="P1125" i="7"/>
  <c r="N1125" i="7"/>
  <c r="M1125" i="7"/>
  <c r="J1125" i="7"/>
  <c r="O1125" i="7" s="1"/>
  <c r="AH1124" i="7"/>
  <c r="AE1124" i="7"/>
  <c r="AD1124" i="7"/>
  <c r="AC1124" i="7"/>
  <c r="V1124" i="7"/>
  <c r="U1124" i="7"/>
  <c r="T1124" i="7"/>
  <c r="O1124" i="7"/>
  <c r="N1124" i="7"/>
  <c r="M1124" i="7"/>
  <c r="J1124" i="7"/>
  <c r="P1124" i="7" s="1"/>
  <c r="AH1123" i="7"/>
  <c r="AE1123" i="7"/>
  <c r="AD1123" i="7"/>
  <c r="AC1123" i="7"/>
  <c r="V1123" i="7"/>
  <c r="U1123" i="7"/>
  <c r="T1123" i="7"/>
  <c r="N1123" i="7"/>
  <c r="M1123" i="7"/>
  <c r="J1123" i="7"/>
  <c r="P1123" i="7" s="1"/>
  <c r="AH1122" i="7"/>
  <c r="AE1122" i="7"/>
  <c r="AD1122" i="7"/>
  <c r="AC1122" i="7"/>
  <c r="V1122" i="7"/>
  <c r="U1122" i="7"/>
  <c r="T1122" i="7"/>
  <c r="P1122" i="7"/>
  <c r="N1122" i="7"/>
  <c r="M1122" i="7"/>
  <c r="J1122" i="7"/>
  <c r="O1122" i="7" s="1"/>
  <c r="AH1121" i="7"/>
  <c r="AE1121" i="7"/>
  <c r="AD1121" i="7"/>
  <c r="AC1121" i="7"/>
  <c r="V1121" i="7"/>
  <c r="U1121" i="7"/>
  <c r="T1121" i="7"/>
  <c r="O1121" i="7"/>
  <c r="N1121" i="7"/>
  <c r="M1121" i="7"/>
  <c r="J1121" i="7"/>
  <c r="P1121" i="7" s="1"/>
  <c r="AH1120" i="7"/>
  <c r="AE1120" i="7"/>
  <c r="AD1120" i="7"/>
  <c r="AC1120" i="7"/>
  <c r="V1120" i="7"/>
  <c r="U1120" i="7"/>
  <c r="T1120" i="7"/>
  <c r="N1120" i="7"/>
  <c r="M1120" i="7"/>
  <c r="J1120" i="7"/>
  <c r="P1120" i="7" s="1"/>
  <c r="AH1119" i="7"/>
  <c r="AE1119" i="7"/>
  <c r="AD1119" i="7"/>
  <c r="AC1119" i="7"/>
  <c r="V1119" i="7"/>
  <c r="U1119" i="7"/>
  <c r="T1119" i="7"/>
  <c r="P1119" i="7"/>
  <c r="N1119" i="7"/>
  <c r="M1119" i="7"/>
  <c r="J1119" i="7"/>
  <c r="O1119" i="7" s="1"/>
  <c r="AH1118" i="7"/>
  <c r="AE1118" i="7"/>
  <c r="AD1118" i="7"/>
  <c r="AC1118" i="7"/>
  <c r="V1118" i="7"/>
  <c r="U1118" i="7"/>
  <c r="T1118" i="7"/>
  <c r="P1118" i="7"/>
  <c r="O1118" i="7"/>
  <c r="N1118" i="7"/>
  <c r="M1118" i="7"/>
  <c r="J1118" i="7"/>
  <c r="AH1117" i="7"/>
  <c r="AE1117" i="7"/>
  <c r="AD1117" i="7"/>
  <c r="AC1117" i="7"/>
  <c r="V1117" i="7"/>
  <c r="U1117" i="7"/>
  <c r="T1117" i="7"/>
  <c r="N1117" i="7"/>
  <c r="M1117" i="7"/>
  <c r="J1117" i="7"/>
  <c r="P1117" i="7" s="1"/>
  <c r="AH1116" i="7"/>
  <c r="AE1116" i="7"/>
  <c r="AD1116" i="7"/>
  <c r="AC1116" i="7"/>
  <c r="V1116" i="7"/>
  <c r="U1116" i="7"/>
  <c r="T1116" i="7"/>
  <c r="O1116" i="7"/>
  <c r="N1116" i="7"/>
  <c r="M1116" i="7"/>
  <c r="J1116" i="7"/>
  <c r="P1116" i="7" s="1"/>
  <c r="AH1115" i="7"/>
  <c r="AE1115" i="7"/>
  <c r="AD1115" i="7"/>
  <c r="AC1115" i="7"/>
  <c r="V1115" i="7"/>
  <c r="U1115" i="7"/>
  <c r="T1115" i="7"/>
  <c r="N1115" i="7"/>
  <c r="M1115" i="7"/>
  <c r="J1115" i="7"/>
  <c r="AH1114" i="7"/>
  <c r="AE1114" i="7"/>
  <c r="AD1114" i="7"/>
  <c r="AC1114" i="7"/>
  <c r="V1114" i="7"/>
  <c r="U1114" i="7"/>
  <c r="T1114" i="7"/>
  <c r="N1114" i="7"/>
  <c r="M1114" i="7"/>
  <c r="J1114" i="7"/>
  <c r="P1114" i="7" s="1"/>
  <c r="AH1113" i="7"/>
  <c r="AE1113" i="7"/>
  <c r="AD1113" i="7"/>
  <c r="AC1113" i="7"/>
  <c r="V1113" i="7"/>
  <c r="U1113" i="7"/>
  <c r="T1113" i="7"/>
  <c r="N1113" i="7"/>
  <c r="M1113" i="7"/>
  <c r="J1113" i="7"/>
  <c r="P1113" i="7" s="1"/>
  <c r="AH1112" i="7"/>
  <c r="AE1112" i="7"/>
  <c r="AD1112" i="7"/>
  <c r="AC1112" i="7"/>
  <c r="V1112" i="7"/>
  <c r="U1112" i="7"/>
  <c r="T1112" i="7"/>
  <c r="N1112" i="7"/>
  <c r="M1112" i="7"/>
  <c r="J1112" i="7"/>
  <c r="P1112" i="7" s="1"/>
  <c r="AH1111" i="7"/>
  <c r="AE1111" i="7"/>
  <c r="AD1111" i="7"/>
  <c r="AC1111" i="7"/>
  <c r="V1111" i="7"/>
  <c r="U1111" i="7"/>
  <c r="T1111" i="7"/>
  <c r="N1111" i="7"/>
  <c r="M1111" i="7"/>
  <c r="J1111" i="7"/>
  <c r="P1111" i="7" s="1"/>
  <c r="AH1110" i="7"/>
  <c r="AE1110" i="7"/>
  <c r="AD1110" i="7"/>
  <c r="AC1110" i="7"/>
  <c r="V1110" i="7"/>
  <c r="U1110" i="7"/>
  <c r="T1110" i="7"/>
  <c r="P1110" i="7"/>
  <c r="N1110" i="7"/>
  <c r="M1110" i="7"/>
  <c r="J1110" i="7"/>
  <c r="O1110" i="7" s="1"/>
  <c r="AH1109" i="7"/>
  <c r="AE1109" i="7"/>
  <c r="AD1109" i="7"/>
  <c r="AC1109" i="7"/>
  <c r="V1109" i="7"/>
  <c r="U1109" i="7"/>
  <c r="T1109" i="7"/>
  <c r="O1109" i="7"/>
  <c r="N1109" i="7"/>
  <c r="M1109" i="7"/>
  <c r="J1109" i="7"/>
  <c r="P1109" i="7" s="1"/>
  <c r="AH1108" i="7"/>
  <c r="AE1108" i="7"/>
  <c r="AD1108" i="7"/>
  <c r="AC1108" i="7"/>
  <c r="V1108" i="7"/>
  <c r="U1108" i="7"/>
  <c r="T1108" i="7"/>
  <c r="P1108" i="7"/>
  <c r="N1108" i="7"/>
  <c r="M1108" i="7"/>
  <c r="J1108" i="7"/>
  <c r="O1108" i="7" s="1"/>
  <c r="AH1107" i="7"/>
  <c r="AE1107" i="7"/>
  <c r="AD1107" i="7"/>
  <c r="AC1107" i="7"/>
  <c r="V1107" i="7"/>
  <c r="U1107" i="7"/>
  <c r="T1107" i="7"/>
  <c r="N1107" i="7"/>
  <c r="M1107" i="7"/>
  <c r="J1107" i="7"/>
  <c r="O1107" i="7" s="1"/>
  <c r="AH1106" i="7"/>
  <c r="AE1106" i="7"/>
  <c r="AD1106" i="7"/>
  <c r="AC1106" i="7"/>
  <c r="V1106" i="7"/>
  <c r="U1106" i="7"/>
  <c r="T1106" i="7"/>
  <c r="N1106" i="7"/>
  <c r="M1106" i="7"/>
  <c r="J1106" i="7"/>
  <c r="P1106" i="7" s="1"/>
  <c r="AH1105" i="7"/>
  <c r="AE1105" i="7"/>
  <c r="AD1105" i="7"/>
  <c r="AC1105" i="7"/>
  <c r="V1105" i="7"/>
  <c r="U1105" i="7"/>
  <c r="T1105" i="7"/>
  <c r="N1105" i="7"/>
  <c r="M1105" i="7"/>
  <c r="J1105" i="7"/>
  <c r="O1105" i="7" s="1"/>
  <c r="AH1104" i="7"/>
  <c r="AE1104" i="7"/>
  <c r="AD1104" i="7"/>
  <c r="AC1104" i="7"/>
  <c r="V1104" i="7"/>
  <c r="U1104" i="7"/>
  <c r="T1104" i="7"/>
  <c r="N1104" i="7"/>
  <c r="M1104" i="7"/>
  <c r="J1104" i="7"/>
  <c r="P1104" i="7" s="1"/>
  <c r="AH1103" i="7"/>
  <c r="AE1103" i="7"/>
  <c r="AD1103" i="7"/>
  <c r="AC1103" i="7"/>
  <c r="V1103" i="7"/>
  <c r="U1103" i="7"/>
  <c r="T1103" i="7"/>
  <c r="P1103" i="7"/>
  <c r="N1103" i="7"/>
  <c r="M1103" i="7"/>
  <c r="J1103" i="7"/>
  <c r="O1103" i="7" s="1"/>
  <c r="AH1102" i="7"/>
  <c r="AE1102" i="7"/>
  <c r="AD1102" i="7"/>
  <c r="AC1102" i="7"/>
  <c r="V1102" i="7"/>
  <c r="U1102" i="7"/>
  <c r="T1102" i="7"/>
  <c r="N1102" i="7"/>
  <c r="M1102" i="7"/>
  <c r="J1102" i="7"/>
  <c r="P1102" i="7" s="1"/>
  <c r="AH1101" i="7"/>
  <c r="AE1101" i="7"/>
  <c r="AD1101" i="7"/>
  <c r="AC1101" i="7"/>
  <c r="V1101" i="7"/>
  <c r="U1101" i="7"/>
  <c r="T1101" i="7"/>
  <c r="N1101" i="7"/>
  <c r="M1101" i="7"/>
  <c r="J1101" i="7"/>
  <c r="P1101" i="7" s="1"/>
  <c r="AH1100" i="7"/>
  <c r="AE1100" i="7"/>
  <c r="AD1100" i="7"/>
  <c r="AC1100" i="7"/>
  <c r="V1100" i="7"/>
  <c r="U1100" i="7"/>
  <c r="T1100" i="7"/>
  <c r="O1100" i="7"/>
  <c r="N1100" i="7"/>
  <c r="M1100" i="7"/>
  <c r="J1100" i="7"/>
  <c r="P1100" i="7" s="1"/>
  <c r="AH1099" i="7"/>
  <c r="AE1099" i="7"/>
  <c r="AD1099" i="7"/>
  <c r="AC1099" i="7"/>
  <c r="V1099" i="7"/>
  <c r="U1099" i="7"/>
  <c r="T1099" i="7"/>
  <c r="N1099" i="7"/>
  <c r="M1099" i="7"/>
  <c r="J1099" i="7"/>
  <c r="AH1098" i="7"/>
  <c r="AE1098" i="7"/>
  <c r="AD1098" i="7"/>
  <c r="AC1098" i="7"/>
  <c r="V1098" i="7"/>
  <c r="U1098" i="7"/>
  <c r="T1098" i="7"/>
  <c r="N1098" i="7"/>
  <c r="M1098" i="7"/>
  <c r="J1098" i="7"/>
  <c r="P1098" i="7" s="1"/>
  <c r="AH1097" i="7"/>
  <c r="AE1097" i="7"/>
  <c r="AD1097" i="7"/>
  <c r="AC1097" i="7"/>
  <c r="V1097" i="7"/>
  <c r="U1097" i="7"/>
  <c r="T1097" i="7"/>
  <c r="N1097" i="7"/>
  <c r="M1097" i="7"/>
  <c r="J1097" i="7"/>
  <c r="P1097" i="7" s="1"/>
  <c r="AH1096" i="7"/>
  <c r="AE1096" i="7"/>
  <c r="AD1096" i="7"/>
  <c r="AC1096" i="7"/>
  <c r="V1096" i="7"/>
  <c r="U1096" i="7"/>
  <c r="T1096" i="7"/>
  <c r="N1096" i="7"/>
  <c r="M1096" i="7"/>
  <c r="J1096" i="7"/>
  <c r="P1096" i="7" s="1"/>
  <c r="AH1095" i="7"/>
  <c r="AE1095" i="7"/>
  <c r="AD1095" i="7"/>
  <c r="AC1095" i="7"/>
  <c r="V1095" i="7"/>
  <c r="U1095" i="7"/>
  <c r="T1095" i="7"/>
  <c r="N1095" i="7"/>
  <c r="M1095" i="7"/>
  <c r="J1095" i="7"/>
  <c r="P1095" i="7" s="1"/>
  <c r="AH1094" i="7"/>
  <c r="AE1094" i="7"/>
  <c r="AD1094" i="7"/>
  <c r="AC1094" i="7"/>
  <c r="V1094" i="7"/>
  <c r="U1094" i="7"/>
  <c r="T1094" i="7"/>
  <c r="P1094" i="7"/>
  <c r="O1094" i="7"/>
  <c r="N1094" i="7"/>
  <c r="M1094" i="7"/>
  <c r="J1094" i="7"/>
  <c r="AH1093" i="7"/>
  <c r="AE1093" i="7"/>
  <c r="AD1093" i="7"/>
  <c r="AC1093" i="7"/>
  <c r="V1093" i="7"/>
  <c r="U1093" i="7"/>
  <c r="T1093" i="7"/>
  <c r="N1093" i="7"/>
  <c r="M1093" i="7"/>
  <c r="J1093" i="7"/>
  <c r="P1093" i="7" s="1"/>
  <c r="AH1092" i="7"/>
  <c r="AE1092" i="7"/>
  <c r="AD1092" i="7"/>
  <c r="AC1092" i="7"/>
  <c r="V1092" i="7"/>
  <c r="U1092" i="7"/>
  <c r="T1092" i="7"/>
  <c r="O1092" i="7"/>
  <c r="N1092" i="7"/>
  <c r="M1092" i="7"/>
  <c r="J1092" i="7"/>
  <c r="P1092" i="7" s="1"/>
  <c r="AH1091" i="7"/>
  <c r="AE1091" i="7"/>
  <c r="AD1091" i="7"/>
  <c r="AC1091" i="7"/>
  <c r="V1091" i="7"/>
  <c r="U1091" i="7"/>
  <c r="T1091" i="7"/>
  <c r="P1091" i="7"/>
  <c r="N1091" i="7"/>
  <c r="M1091" i="7"/>
  <c r="J1091" i="7"/>
  <c r="O1091" i="7" s="1"/>
  <c r="AH1090" i="7"/>
  <c r="AE1090" i="7"/>
  <c r="AD1090" i="7"/>
  <c r="AC1090" i="7"/>
  <c r="V1090" i="7"/>
  <c r="U1090" i="7"/>
  <c r="T1090" i="7"/>
  <c r="N1090" i="7"/>
  <c r="M1090" i="7"/>
  <c r="J1090" i="7"/>
  <c r="P1090" i="7" s="1"/>
  <c r="AH1089" i="7"/>
  <c r="AE1089" i="7"/>
  <c r="AD1089" i="7"/>
  <c r="AC1089" i="7"/>
  <c r="V1089" i="7"/>
  <c r="U1089" i="7"/>
  <c r="T1089" i="7"/>
  <c r="P1089" i="7"/>
  <c r="N1089" i="7"/>
  <c r="M1089" i="7"/>
  <c r="J1089" i="7"/>
  <c r="O1089" i="7" s="1"/>
  <c r="AH1088" i="7"/>
  <c r="AE1088" i="7"/>
  <c r="AD1088" i="7"/>
  <c r="AC1088" i="7"/>
  <c r="V1088" i="7"/>
  <c r="U1088" i="7"/>
  <c r="T1088" i="7"/>
  <c r="N1088" i="7"/>
  <c r="M1088" i="7"/>
  <c r="J1088" i="7"/>
  <c r="P1088" i="7" s="1"/>
  <c r="AH1087" i="7"/>
  <c r="AE1087" i="7"/>
  <c r="AD1087" i="7"/>
  <c r="AC1087" i="7"/>
  <c r="V1087" i="7"/>
  <c r="U1087" i="7"/>
  <c r="T1087" i="7"/>
  <c r="P1087" i="7"/>
  <c r="N1087" i="7"/>
  <c r="M1087" i="7"/>
  <c r="J1087" i="7"/>
  <c r="O1087" i="7" s="1"/>
  <c r="AH1086" i="7"/>
  <c r="AE1086" i="7"/>
  <c r="AD1086" i="7"/>
  <c r="AC1086" i="7"/>
  <c r="V1086" i="7"/>
  <c r="U1086" i="7"/>
  <c r="T1086" i="7"/>
  <c r="P1086" i="7"/>
  <c r="N1086" i="7"/>
  <c r="M1086" i="7"/>
  <c r="J1086" i="7"/>
  <c r="O1086" i="7" s="1"/>
  <c r="AH1085" i="7"/>
  <c r="AE1085" i="7"/>
  <c r="AD1085" i="7"/>
  <c r="AC1085" i="7"/>
  <c r="V1085" i="7"/>
  <c r="U1085" i="7"/>
  <c r="T1085" i="7"/>
  <c r="N1085" i="7"/>
  <c r="M1085" i="7"/>
  <c r="J1085" i="7"/>
  <c r="P1085" i="7" s="1"/>
  <c r="AH1084" i="7"/>
  <c r="AE1084" i="7"/>
  <c r="AD1084" i="7"/>
  <c r="AC1084" i="7"/>
  <c r="V1084" i="7"/>
  <c r="U1084" i="7"/>
  <c r="T1084" i="7"/>
  <c r="O1084" i="7"/>
  <c r="N1084" i="7"/>
  <c r="M1084" i="7"/>
  <c r="J1084" i="7"/>
  <c r="P1084" i="7" s="1"/>
  <c r="AH1083" i="7"/>
  <c r="AE1083" i="7"/>
  <c r="AD1083" i="7"/>
  <c r="AC1083" i="7"/>
  <c r="V1083" i="7"/>
  <c r="U1083" i="7"/>
  <c r="T1083" i="7"/>
  <c r="N1083" i="7"/>
  <c r="M1083" i="7"/>
  <c r="J1083" i="7"/>
  <c r="AH1082" i="7"/>
  <c r="AE1082" i="7"/>
  <c r="AD1082" i="7"/>
  <c r="AC1082" i="7"/>
  <c r="V1082" i="7"/>
  <c r="U1082" i="7"/>
  <c r="T1082" i="7"/>
  <c r="N1082" i="7"/>
  <c r="M1082" i="7"/>
  <c r="J1082" i="7"/>
  <c r="P1082" i="7" s="1"/>
  <c r="AH1081" i="7"/>
  <c r="AE1081" i="7"/>
  <c r="AD1081" i="7"/>
  <c r="AC1081" i="7"/>
  <c r="V1081" i="7"/>
  <c r="U1081" i="7"/>
  <c r="T1081" i="7"/>
  <c r="N1081" i="7"/>
  <c r="M1081" i="7"/>
  <c r="J1081" i="7"/>
  <c r="P1081" i="7" s="1"/>
  <c r="AH1080" i="7"/>
  <c r="AE1080" i="7"/>
  <c r="AD1080" i="7"/>
  <c r="AC1080" i="7"/>
  <c r="V1080" i="7"/>
  <c r="U1080" i="7"/>
  <c r="T1080" i="7"/>
  <c r="O1080" i="7"/>
  <c r="N1080" i="7"/>
  <c r="M1080" i="7"/>
  <c r="J1080" i="7"/>
  <c r="P1080" i="7" s="1"/>
  <c r="AH1079" i="7"/>
  <c r="AE1079" i="7"/>
  <c r="AD1079" i="7"/>
  <c r="AC1079" i="7"/>
  <c r="V1079" i="7"/>
  <c r="U1079" i="7"/>
  <c r="T1079" i="7"/>
  <c r="N1079" i="7"/>
  <c r="M1079" i="7"/>
  <c r="J1079" i="7"/>
  <c r="P1079" i="7" s="1"/>
  <c r="AH1078" i="7"/>
  <c r="AE1078" i="7"/>
  <c r="AD1078" i="7"/>
  <c r="AC1078" i="7"/>
  <c r="V1078" i="7"/>
  <c r="U1078" i="7"/>
  <c r="T1078" i="7"/>
  <c r="N1078" i="7"/>
  <c r="M1078" i="7"/>
  <c r="J1078" i="7"/>
  <c r="AH1077" i="7"/>
  <c r="AE1077" i="7"/>
  <c r="AD1077" i="7"/>
  <c r="AC1077" i="7"/>
  <c r="V1077" i="7"/>
  <c r="U1077" i="7"/>
  <c r="T1077" i="7"/>
  <c r="N1077" i="7"/>
  <c r="M1077" i="7"/>
  <c r="J1077" i="7"/>
  <c r="P1077" i="7" s="1"/>
  <c r="AH1076" i="7"/>
  <c r="AE1076" i="7"/>
  <c r="AD1076" i="7"/>
  <c r="AC1076" i="7"/>
  <c r="V1076" i="7"/>
  <c r="U1076" i="7"/>
  <c r="T1076" i="7"/>
  <c r="N1076" i="7"/>
  <c r="M1076" i="7"/>
  <c r="J1076" i="7"/>
  <c r="P1076" i="7" s="1"/>
  <c r="AH1075" i="7"/>
  <c r="AE1075" i="7"/>
  <c r="AD1075" i="7"/>
  <c r="AC1075" i="7"/>
  <c r="V1075" i="7"/>
  <c r="U1075" i="7"/>
  <c r="T1075" i="7"/>
  <c r="N1075" i="7"/>
  <c r="M1075" i="7"/>
  <c r="J1075" i="7"/>
  <c r="P1075" i="7" s="1"/>
  <c r="AH1074" i="7"/>
  <c r="AE1074" i="7"/>
  <c r="AD1074" i="7"/>
  <c r="AC1074" i="7"/>
  <c r="V1074" i="7"/>
  <c r="U1074" i="7"/>
  <c r="T1074" i="7"/>
  <c r="N1074" i="7"/>
  <c r="M1074" i="7"/>
  <c r="J1074" i="7"/>
  <c r="P1074" i="7" s="1"/>
  <c r="AH1073" i="7"/>
  <c r="AE1073" i="7"/>
  <c r="AD1073" i="7"/>
  <c r="AC1073" i="7"/>
  <c r="V1073" i="7"/>
  <c r="U1073" i="7"/>
  <c r="T1073" i="7"/>
  <c r="N1073" i="7"/>
  <c r="M1073" i="7"/>
  <c r="J1073" i="7"/>
  <c r="O1073" i="7" s="1"/>
  <c r="AH1072" i="7"/>
  <c r="AE1072" i="7"/>
  <c r="AD1072" i="7"/>
  <c r="AC1072" i="7"/>
  <c r="V1072" i="7"/>
  <c r="U1072" i="7"/>
  <c r="T1072" i="7"/>
  <c r="N1072" i="7"/>
  <c r="M1072" i="7"/>
  <c r="J1072" i="7"/>
  <c r="P1072" i="7" s="1"/>
  <c r="AH1071" i="7"/>
  <c r="AE1071" i="7"/>
  <c r="AD1071" i="7"/>
  <c r="AC1071" i="7"/>
  <c r="V1071" i="7"/>
  <c r="U1071" i="7"/>
  <c r="T1071" i="7"/>
  <c r="N1071" i="7"/>
  <c r="M1071" i="7"/>
  <c r="J1071" i="7"/>
  <c r="P1071" i="7" s="1"/>
  <c r="AH1070" i="7"/>
  <c r="AE1070" i="7"/>
  <c r="AD1070" i="7"/>
  <c r="AC1070" i="7"/>
  <c r="V1070" i="7"/>
  <c r="U1070" i="7"/>
  <c r="T1070" i="7"/>
  <c r="N1070" i="7"/>
  <c r="M1070" i="7"/>
  <c r="J1070" i="7"/>
  <c r="P1070" i="7" s="1"/>
  <c r="AH1069" i="7"/>
  <c r="AE1069" i="7"/>
  <c r="AD1069" i="7"/>
  <c r="AC1069" i="7"/>
  <c r="V1069" i="7"/>
  <c r="U1069" i="7"/>
  <c r="T1069" i="7"/>
  <c r="N1069" i="7"/>
  <c r="M1069" i="7"/>
  <c r="J1069" i="7"/>
  <c r="AH1068" i="7"/>
  <c r="AE1068" i="7"/>
  <c r="AD1068" i="7"/>
  <c r="AC1068" i="7"/>
  <c r="V1068" i="7"/>
  <c r="U1068" i="7"/>
  <c r="T1068" i="7"/>
  <c r="N1068" i="7"/>
  <c r="M1068" i="7"/>
  <c r="J1068" i="7"/>
  <c r="P1068" i="7" s="1"/>
  <c r="AH1067" i="7"/>
  <c r="AE1067" i="7"/>
  <c r="AD1067" i="7"/>
  <c r="AC1067" i="7"/>
  <c r="V1067" i="7"/>
  <c r="U1067" i="7"/>
  <c r="T1067" i="7"/>
  <c r="N1067" i="7"/>
  <c r="M1067" i="7"/>
  <c r="J1067" i="7"/>
  <c r="AH1066" i="7"/>
  <c r="AE1066" i="7"/>
  <c r="AD1066" i="7"/>
  <c r="AC1066" i="7"/>
  <c r="V1066" i="7"/>
  <c r="U1066" i="7"/>
  <c r="T1066" i="7"/>
  <c r="N1066" i="7"/>
  <c r="M1066" i="7"/>
  <c r="J1066" i="7"/>
  <c r="P1066" i="7" s="1"/>
  <c r="AH1065" i="7"/>
  <c r="AE1065" i="7"/>
  <c r="AD1065" i="7"/>
  <c r="AC1065" i="7"/>
  <c r="V1065" i="7"/>
  <c r="U1065" i="7"/>
  <c r="T1065" i="7"/>
  <c r="N1065" i="7"/>
  <c r="M1065" i="7"/>
  <c r="J1065" i="7"/>
  <c r="P1065" i="7" s="1"/>
  <c r="AH1064" i="7"/>
  <c r="AE1064" i="7"/>
  <c r="AD1064" i="7"/>
  <c r="AC1064" i="7"/>
  <c r="V1064" i="7"/>
  <c r="U1064" i="7"/>
  <c r="T1064" i="7"/>
  <c r="N1064" i="7"/>
  <c r="M1064" i="7"/>
  <c r="J1064" i="7"/>
  <c r="P1064" i="7" s="1"/>
  <c r="AH1063" i="7"/>
  <c r="AE1063" i="7"/>
  <c r="AD1063" i="7"/>
  <c r="AC1063" i="7"/>
  <c r="V1063" i="7"/>
  <c r="U1063" i="7"/>
  <c r="T1063" i="7"/>
  <c r="N1063" i="7"/>
  <c r="M1063" i="7"/>
  <c r="J1063" i="7"/>
  <c r="P1063" i="7" s="1"/>
  <c r="AH1062" i="7"/>
  <c r="AE1062" i="7"/>
  <c r="AD1062" i="7"/>
  <c r="AC1062" i="7"/>
  <c r="V1062" i="7"/>
  <c r="U1062" i="7"/>
  <c r="T1062" i="7"/>
  <c r="N1062" i="7"/>
  <c r="M1062" i="7"/>
  <c r="J1062" i="7"/>
  <c r="AH1061" i="7"/>
  <c r="AE1061" i="7"/>
  <c r="AD1061" i="7"/>
  <c r="AC1061" i="7"/>
  <c r="V1061" i="7"/>
  <c r="U1061" i="7"/>
  <c r="T1061" i="7"/>
  <c r="N1061" i="7"/>
  <c r="M1061" i="7"/>
  <c r="J1061" i="7"/>
  <c r="P1061" i="7" s="1"/>
  <c r="AH1060" i="7"/>
  <c r="AE1060" i="7"/>
  <c r="AD1060" i="7"/>
  <c r="AC1060" i="7"/>
  <c r="V1060" i="7"/>
  <c r="U1060" i="7"/>
  <c r="T1060" i="7"/>
  <c r="N1060" i="7"/>
  <c r="M1060" i="7"/>
  <c r="J1060" i="7"/>
  <c r="P1060" i="7" s="1"/>
  <c r="AH1059" i="7"/>
  <c r="AE1059" i="7"/>
  <c r="AD1059" i="7"/>
  <c r="AC1059" i="7"/>
  <c r="V1059" i="7"/>
  <c r="U1059" i="7"/>
  <c r="T1059" i="7"/>
  <c r="O1059" i="7"/>
  <c r="N1059" i="7"/>
  <c r="M1059" i="7"/>
  <c r="J1059" i="7"/>
  <c r="P1059" i="7" s="1"/>
  <c r="AH1058" i="7"/>
  <c r="AE1058" i="7"/>
  <c r="AD1058" i="7"/>
  <c r="AC1058" i="7"/>
  <c r="V1058" i="7"/>
  <c r="U1058" i="7"/>
  <c r="T1058" i="7"/>
  <c r="N1058" i="7"/>
  <c r="M1058" i="7"/>
  <c r="J1058" i="7"/>
  <c r="P1058" i="7" s="1"/>
  <c r="AH1057" i="7"/>
  <c r="AE1057" i="7"/>
  <c r="AD1057" i="7"/>
  <c r="AC1057" i="7"/>
  <c r="V1057" i="7"/>
  <c r="U1057" i="7"/>
  <c r="T1057" i="7"/>
  <c r="P1057" i="7"/>
  <c r="N1057" i="7"/>
  <c r="M1057" i="7"/>
  <c r="J1057" i="7"/>
  <c r="O1057" i="7" s="1"/>
  <c r="AH1056" i="7"/>
  <c r="AE1056" i="7"/>
  <c r="AD1056" i="7"/>
  <c r="AC1056" i="7"/>
  <c r="V1056" i="7"/>
  <c r="U1056" i="7"/>
  <c r="T1056" i="7"/>
  <c r="P1056" i="7"/>
  <c r="N1056" i="7"/>
  <c r="M1056" i="7"/>
  <c r="J1056" i="7"/>
  <c r="O1056" i="7" s="1"/>
  <c r="AH1055" i="7"/>
  <c r="AE1055" i="7"/>
  <c r="AD1055" i="7"/>
  <c r="AC1055" i="7"/>
  <c r="V1055" i="7"/>
  <c r="U1055" i="7"/>
  <c r="T1055" i="7"/>
  <c r="N1055" i="7"/>
  <c r="M1055" i="7"/>
  <c r="J1055" i="7"/>
  <c r="P1055" i="7" s="1"/>
  <c r="AH1054" i="7"/>
  <c r="AE1054" i="7"/>
  <c r="AD1054" i="7"/>
  <c r="AC1054" i="7"/>
  <c r="V1054" i="7"/>
  <c r="U1054" i="7"/>
  <c r="T1054" i="7"/>
  <c r="N1054" i="7"/>
  <c r="M1054" i="7"/>
  <c r="J1054" i="7"/>
  <c r="P1054" i="7" s="1"/>
  <c r="AH1053" i="7"/>
  <c r="AE1053" i="7"/>
  <c r="AD1053" i="7"/>
  <c r="AC1053" i="7"/>
  <c r="V1053" i="7"/>
  <c r="U1053" i="7"/>
  <c r="T1053" i="7"/>
  <c r="N1053" i="7"/>
  <c r="M1053" i="7"/>
  <c r="J1053" i="7"/>
  <c r="P1053" i="7" s="1"/>
  <c r="AH1052" i="7"/>
  <c r="AE1052" i="7"/>
  <c r="AD1052" i="7"/>
  <c r="AC1052" i="7"/>
  <c r="V1052" i="7"/>
  <c r="U1052" i="7"/>
  <c r="T1052" i="7"/>
  <c r="N1052" i="7"/>
  <c r="M1052" i="7"/>
  <c r="J1052" i="7"/>
  <c r="P1052" i="7" s="1"/>
  <c r="AH1051" i="7"/>
  <c r="AE1051" i="7"/>
  <c r="AD1051" i="7"/>
  <c r="AC1051" i="7"/>
  <c r="V1051" i="7"/>
  <c r="U1051" i="7"/>
  <c r="T1051" i="7"/>
  <c r="N1051" i="7"/>
  <c r="M1051" i="7"/>
  <c r="J1051" i="7"/>
  <c r="P1051" i="7" s="1"/>
  <c r="AH1050" i="7"/>
  <c r="AE1050" i="7"/>
  <c r="AD1050" i="7"/>
  <c r="AC1050" i="7"/>
  <c r="V1050" i="7"/>
  <c r="U1050" i="7"/>
  <c r="T1050" i="7"/>
  <c r="N1050" i="7"/>
  <c r="M1050" i="7"/>
  <c r="J1050" i="7"/>
  <c r="AH1049" i="7"/>
  <c r="AE1049" i="7"/>
  <c r="AD1049" i="7"/>
  <c r="AC1049" i="7"/>
  <c r="V1049" i="7"/>
  <c r="U1049" i="7"/>
  <c r="T1049" i="7"/>
  <c r="N1049" i="7"/>
  <c r="M1049" i="7"/>
  <c r="J1049" i="7"/>
  <c r="AH1048" i="7"/>
  <c r="AE1048" i="7"/>
  <c r="AD1048" i="7"/>
  <c r="AC1048" i="7"/>
  <c r="V1048" i="7"/>
  <c r="U1048" i="7"/>
  <c r="T1048" i="7"/>
  <c r="N1048" i="7"/>
  <c r="M1048" i="7"/>
  <c r="J1048" i="7"/>
  <c r="P1048" i="7" s="1"/>
  <c r="AH1047" i="7"/>
  <c r="AE1047" i="7"/>
  <c r="AD1047" i="7"/>
  <c r="AC1047" i="7"/>
  <c r="V1047" i="7"/>
  <c r="U1047" i="7"/>
  <c r="T1047" i="7"/>
  <c r="N1047" i="7"/>
  <c r="M1047" i="7"/>
  <c r="J1047" i="7"/>
  <c r="P1047" i="7" s="1"/>
  <c r="AH1046" i="7"/>
  <c r="AE1046" i="7"/>
  <c r="AD1046" i="7"/>
  <c r="AC1046" i="7"/>
  <c r="V1046" i="7"/>
  <c r="U1046" i="7"/>
  <c r="T1046" i="7"/>
  <c r="N1046" i="7"/>
  <c r="M1046" i="7"/>
  <c r="J1046" i="7"/>
  <c r="P1046" i="7" s="1"/>
  <c r="AH1045" i="7"/>
  <c r="AE1045" i="7"/>
  <c r="AD1045" i="7"/>
  <c r="AC1045" i="7"/>
  <c r="V1045" i="7"/>
  <c r="U1045" i="7"/>
  <c r="T1045" i="7"/>
  <c r="N1045" i="7"/>
  <c r="M1045" i="7"/>
  <c r="J1045" i="7"/>
  <c r="AH1044" i="7"/>
  <c r="AE1044" i="7"/>
  <c r="AD1044" i="7"/>
  <c r="AC1044" i="7"/>
  <c r="V1044" i="7"/>
  <c r="U1044" i="7"/>
  <c r="T1044" i="7"/>
  <c r="O1044" i="7"/>
  <c r="N1044" i="7"/>
  <c r="M1044" i="7"/>
  <c r="J1044" i="7"/>
  <c r="P1044" i="7" s="1"/>
  <c r="AH1043" i="7"/>
  <c r="AE1043" i="7"/>
  <c r="AD1043" i="7"/>
  <c r="AC1043" i="7"/>
  <c r="V1043" i="7"/>
  <c r="U1043" i="7"/>
  <c r="T1043" i="7"/>
  <c r="N1043" i="7"/>
  <c r="M1043" i="7"/>
  <c r="J1043" i="7"/>
  <c r="AH1042" i="7"/>
  <c r="AE1042" i="7"/>
  <c r="AD1042" i="7"/>
  <c r="AC1042" i="7"/>
  <c r="V1042" i="7"/>
  <c r="U1042" i="7"/>
  <c r="T1042" i="7"/>
  <c r="N1042" i="7"/>
  <c r="M1042" i="7"/>
  <c r="J1042" i="7"/>
  <c r="P1042" i="7" s="1"/>
  <c r="AH1041" i="7"/>
  <c r="AE1041" i="7"/>
  <c r="AD1041" i="7"/>
  <c r="AC1041" i="7"/>
  <c r="V1041" i="7"/>
  <c r="U1041" i="7"/>
  <c r="T1041" i="7"/>
  <c r="N1041" i="7"/>
  <c r="M1041" i="7"/>
  <c r="J1041" i="7"/>
  <c r="P1041" i="7" s="1"/>
  <c r="AH1040" i="7"/>
  <c r="AE1040" i="7"/>
  <c r="AD1040" i="7"/>
  <c r="AC1040" i="7"/>
  <c r="V1040" i="7"/>
  <c r="U1040" i="7"/>
  <c r="T1040" i="7"/>
  <c r="P1040" i="7"/>
  <c r="O1040" i="7"/>
  <c r="N1040" i="7"/>
  <c r="M1040" i="7"/>
  <c r="J1040" i="7"/>
  <c r="AH1039" i="7"/>
  <c r="AE1039" i="7"/>
  <c r="AD1039" i="7"/>
  <c r="AC1039" i="7"/>
  <c r="V1039" i="7"/>
  <c r="U1039" i="7"/>
  <c r="T1039" i="7"/>
  <c r="N1039" i="7"/>
  <c r="M1039" i="7"/>
  <c r="J1039" i="7"/>
  <c r="P1039" i="7" s="1"/>
  <c r="AH1038" i="7"/>
  <c r="AE1038" i="7"/>
  <c r="AD1038" i="7"/>
  <c r="AC1038" i="7"/>
  <c r="V1038" i="7"/>
  <c r="U1038" i="7"/>
  <c r="T1038" i="7"/>
  <c r="O1038" i="7"/>
  <c r="N1038" i="7"/>
  <c r="M1038" i="7"/>
  <c r="J1038" i="7"/>
  <c r="P1038" i="7" s="1"/>
  <c r="AH1037" i="7"/>
  <c r="AE1037" i="7"/>
  <c r="AD1037" i="7"/>
  <c r="AC1037" i="7"/>
  <c r="V1037" i="7"/>
  <c r="U1037" i="7"/>
  <c r="T1037" i="7"/>
  <c r="N1037" i="7"/>
  <c r="M1037" i="7"/>
  <c r="J1037" i="7"/>
  <c r="O1037" i="7" s="1"/>
  <c r="AH1036" i="7"/>
  <c r="AE1036" i="7"/>
  <c r="AD1036" i="7"/>
  <c r="AC1036" i="7"/>
  <c r="V1036" i="7"/>
  <c r="U1036" i="7"/>
  <c r="T1036" i="7"/>
  <c r="O1036" i="7"/>
  <c r="N1036" i="7"/>
  <c r="M1036" i="7"/>
  <c r="J1036" i="7"/>
  <c r="P1036" i="7" s="1"/>
  <c r="AH1035" i="7"/>
  <c r="AE1035" i="7"/>
  <c r="AD1035" i="7"/>
  <c r="AC1035" i="7"/>
  <c r="V1035" i="7"/>
  <c r="U1035" i="7"/>
  <c r="T1035" i="7"/>
  <c r="N1035" i="7"/>
  <c r="M1035" i="7"/>
  <c r="J1035" i="7"/>
  <c r="O1035" i="7" s="1"/>
  <c r="AH1034" i="7"/>
  <c r="AE1034" i="7"/>
  <c r="AD1034" i="7"/>
  <c r="AC1034" i="7"/>
  <c r="V1034" i="7"/>
  <c r="U1034" i="7"/>
  <c r="T1034" i="7"/>
  <c r="N1034" i="7"/>
  <c r="M1034" i="7"/>
  <c r="J1034" i="7"/>
  <c r="P1034" i="7" s="1"/>
  <c r="AH1033" i="7"/>
  <c r="AE1033" i="7"/>
  <c r="AD1033" i="7"/>
  <c r="AC1033" i="7"/>
  <c r="V1033" i="7"/>
  <c r="U1033" i="7"/>
  <c r="T1033" i="7"/>
  <c r="P1033" i="7"/>
  <c r="N1033" i="7"/>
  <c r="M1033" i="7"/>
  <c r="J1033" i="7"/>
  <c r="O1033" i="7" s="1"/>
  <c r="AH1032" i="7"/>
  <c r="AE1032" i="7"/>
  <c r="AD1032" i="7"/>
  <c r="AC1032" i="7"/>
  <c r="V1032" i="7"/>
  <c r="U1032" i="7"/>
  <c r="T1032" i="7"/>
  <c r="N1032" i="7"/>
  <c r="M1032" i="7"/>
  <c r="J1032" i="7"/>
  <c r="P1032" i="7" s="1"/>
  <c r="AH1031" i="7"/>
  <c r="AE1031" i="7"/>
  <c r="AD1031" i="7"/>
  <c r="AC1031" i="7"/>
  <c r="V1031" i="7"/>
  <c r="U1031" i="7"/>
  <c r="T1031" i="7"/>
  <c r="N1031" i="7"/>
  <c r="M1031" i="7"/>
  <c r="J1031" i="7"/>
  <c r="P1031" i="7" s="1"/>
  <c r="AH1030" i="7"/>
  <c r="AE1030" i="7"/>
  <c r="AD1030" i="7"/>
  <c r="AC1030" i="7"/>
  <c r="V1030" i="7"/>
  <c r="U1030" i="7"/>
  <c r="T1030" i="7"/>
  <c r="N1030" i="7"/>
  <c r="M1030" i="7"/>
  <c r="J1030" i="7"/>
  <c r="P1030" i="7" s="1"/>
  <c r="AH1029" i="7"/>
  <c r="AE1029" i="7"/>
  <c r="AD1029" i="7"/>
  <c r="AC1029" i="7"/>
  <c r="V1029" i="7"/>
  <c r="U1029" i="7"/>
  <c r="T1029" i="7"/>
  <c r="N1029" i="7"/>
  <c r="M1029" i="7"/>
  <c r="J1029" i="7"/>
  <c r="AH1028" i="7"/>
  <c r="AE1028" i="7"/>
  <c r="AD1028" i="7"/>
  <c r="AC1028" i="7"/>
  <c r="V1028" i="7"/>
  <c r="U1028" i="7"/>
  <c r="T1028" i="7"/>
  <c r="N1028" i="7"/>
  <c r="M1028" i="7"/>
  <c r="J1028" i="7"/>
  <c r="P1028" i="7" s="1"/>
  <c r="AH1027" i="7"/>
  <c r="AE1027" i="7"/>
  <c r="AD1027" i="7"/>
  <c r="AC1027" i="7"/>
  <c r="V1027" i="7"/>
  <c r="U1027" i="7"/>
  <c r="T1027" i="7"/>
  <c r="N1027" i="7"/>
  <c r="M1027" i="7"/>
  <c r="J1027" i="7"/>
  <c r="AH1026" i="7"/>
  <c r="AE1026" i="7"/>
  <c r="AD1026" i="7"/>
  <c r="AC1026" i="7"/>
  <c r="V1026" i="7"/>
  <c r="U1026" i="7"/>
  <c r="T1026" i="7"/>
  <c r="O1026" i="7"/>
  <c r="N1026" i="7"/>
  <c r="M1026" i="7"/>
  <c r="J1026" i="7"/>
  <c r="P1026" i="7" s="1"/>
  <c r="AH1025" i="7"/>
  <c r="AE1025" i="7"/>
  <c r="AD1025" i="7"/>
  <c r="AC1025" i="7"/>
  <c r="V1025" i="7"/>
  <c r="U1025" i="7"/>
  <c r="T1025" i="7"/>
  <c r="N1025" i="7"/>
  <c r="M1025" i="7"/>
  <c r="J1025" i="7"/>
  <c r="P1025" i="7" s="1"/>
  <c r="AH1024" i="7"/>
  <c r="AE1024" i="7"/>
  <c r="AD1024" i="7"/>
  <c r="AC1024" i="7"/>
  <c r="V1024" i="7"/>
  <c r="U1024" i="7"/>
  <c r="T1024" i="7"/>
  <c r="P1024" i="7"/>
  <c r="O1024" i="7"/>
  <c r="N1024" i="7"/>
  <c r="M1024" i="7"/>
  <c r="J1024" i="7"/>
  <c r="AH1023" i="7"/>
  <c r="AE1023" i="7"/>
  <c r="AD1023" i="7"/>
  <c r="AC1023" i="7"/>
  <c r="V1023" i="7"/>
  <c r="U1023" i="7"/>
  <c r="T1023" i="7"/>
  <c r="N1023" i="7"/>
  <c r="M1023" i="7"/>
  <c r="J1023" i="7"/>
  <c r="P1023" i="7" s="1"/>
  <c r="AH1022" i="7"/>
  <c r="AE1022" i="7"/>
  <c r="AD1022" i="7"/>
  <c r="AC1022" i="7"/>
  <c r="V1022" i="7"/>
  <c r="U1022" i="7"/>
  <c r="T1022" i="7"/>
  <c r="O1022" i="7"/>
  <c r="N1022" i="7"/>
  <c r="M1022" i="7"/>
  <c r="J1022" i="7"/>
  <c r="P1022" i="7" s="1"/>
  <c r="AH1021" i="7"/>
  <c r="AE1021" i="7"/>
  <c r="AD1021" i="7"/>
  <c r="AC1021" i="7"/>
  <c r="V1021" i="7"/>
  <c r="U1021" i="7"/>
  <c r="T1021" i="7"/>
  <c r="P1021" i="7"/>
  <c r="N1021" i="7"/>
  <c r="M1021" i="7"/>
  <c r="J1021" i="7"/>
  <c r="O1021" i="7" s="1"/>
  <c r="AH1020" i="7"/>
  <c r="AE1020" i="7"/>
  <c r="AD1020" i="7"/>
  <c r="AC1020" i="7"/>
  <c r="V1020" i="7"/>
  <c r="U1020" i="7"/>
  <c r="T1020" i="7"/>
  <c r="N1020" i="7"/>
  <c r="M1020" i="7"/>
  <c r="J1020" i="7"/>
  <c r="O1020" i="7" s="1"/>
  <c r="AH1019" i="7"/>
  <c r="AE1019" i="7"/>
  <c r="AD1019" i="7"/>
  <c r="AC1019" i="7"/>
  <c r="V1019" i="7"/>
  <c r="U1019" i="7"/>
  <c r="T1019" i="7"/>
  <c r="P1019" i="7"/>
  <c r="N1019" i="7"/>
  <c r="M1019" i="7"/>
  <c r="J1019" i="7"/>
  <c r="O1019" i="7" s="1"/>
  <c r="AH1018" i="7"/>
  <c r="AE1018" i="7"/>
  <c r="AD1018" i="7"/>
  <c r="AC1018" i="7"/>
  <c r="V1018" i="7"/>
  <c r="U1018" i="7"/>
  <c r="T1018" i="7"/>
  <c r="N1018" i="7"/>
  <c r="M1018" i="7"/>
  <c r="J1018" i="7"/>
  <c r="P1018" i="7" s="1"/>
  <c r="AH1017" i="7"/>
  <c r="AE1017" i="7"/>
  <c r="AD1017" i="7"/>
  <c r="AC1017" i="7"/>
  <c r="V1017" i="7"/>
  <c r="U1017" i="7"/>
  <c r="T1017" i="7"/>
  <c r="O1017" i="7"/>
  <c r="N1017" i="7"/>
  <c r="M1017" i="7"/>
  <c r="J1017" i="7"/>
  <c r="P1017" i="7" s="1"/>
  <c r="AH1016" i="7"/>
  <c r="AE1016" i="7"/>
  <c r="AD1016" i="7"/>
  <c r="AC1016" i="7"/>
  <c r="V1016" i="7"/>
  <c r="U1016" i="7"/>
  <c r="T1016" i="7"/>
  <c r="N1016" i="7"/>
  <c r="M1016" i="7"/>
  <c r="J1016" i="7"/>
  <c r="P1016" i="7" s="1"/>
  <c r="AH1015" i="7"/>
  <c r="AE1015" i="7"/>
  <c r="AD1015" i="7"/>
  <c r="AC1015" i="7"/>
  <c r="V1015" i="7"/>
  <c r="U1015" i="7"/>
  <c r="T1015" i="7"/>
  <c r="N1015" i="7"/>
  <c r="M1015" i="7"/>
  <c r="J1015" i="7"/>
  <c r="P1015" i="7" s="1"/>
  <c r="AH1014" i="7"/>
  <c r="AE1014" i="7"/>
  <c r="AD1014" i="7"/>
  <c r="AC1014" i="7"/>
  <c r="V1014" i="7"/>
  <c r="U1014" i="7"/>
  <c r="T1014" i="7"/>
  <c r="N1014" i="7"/>
  <c r="M1014" i="7"/>
  <c r="J1014" i="7"/>
  <c r="P1014" i="7" s="1"/>
  <c r="AH1013" i="7"/>
  <c r="AE1013" i="7"/>
  <c r="AD1013" i="7"/>
  <c r="AC1013" i="7"/>
  <c r="V1013" i="7"/>
  <c r="U1013" i="7"/>
  <c r="T1013" i="7"/>
  <c r="N1013" i="7"/>
  <c r="M1013" i="7"/>
  <c r="J1013" i="7"/>
  <c r="AH1012" i="7"/>
  <c r="AE1012" i="7"/>
  <c r="AD1012" i="7"/>
  <c r="AC1012" i="7"/>
  <c r="V1012" i="7"/>
  <c r="U1012" i="7"/>
  <c r="T1012" i="7"/>
  <c r="O1012" i="7"/>
  <c r="N1012" i="7"/>
  <c r="M1012" i="7"/>
  <c r="J1012" i="7"/>
  <c r="P1012" i="7" s="1"/>
  <c r="AH1011" i="7"/>
  <c r="AE1011" i="7"/>
  <c r="AD1011" i="7"/>
  <c r="AC1011" i="7"/>
  <c r="V1011" i="7"/>
  <c r="U1011" i="7"/>
  <c r="T1011" i="7"/>
  <c r="N1011" i="7"/>
  <c r="M1011" i="7"/>
  <c r="J1011" i="7"/>
  <c r="AH1010" i="7"/>
  <c r="AE1010" i="7"/>
  <c r="AD1010" i="7"/>
  <c r="AC1010" i="7"/>
  <c r="V1010" i="7"/>
  <c r="U1010" i="7"/>
  <c r="T1010" i="7"/>
  <c r="O1010" i="7"/>
  <c r="N1010" i="7"/>
  <c r="M1010" i="7"/>
  <c r="J1010" i="7"/>
  <c r="P1010" i="7" s="1"/>
  <c r="AH1009" i="7"/>
  <c r="AE1009" i="7"/>
  <c r="AD1009" i="7"/>
  <c r="AC1009" i="7"/>
  <c r="V1009" i="7"/>
  <c r="U1009" i="7"/>
  <c r="T1009" i="7"/>
  <c r="N1009" i="7"/>
  <c r="M1009" i="7"/>
  <c r="J1009" i="7"/>
  <c r="P1009" i="7" s="1"/>
  <c r="AH1008" i="7"/>
  <c r="AE1008" i="7"/>
  <c r="AD1008" i="7"/>
  <c r="AC1008" i="7"/>
  <c r="V1008" i="7"/>
  <c r="U1008" i="7"/>
  <c r="T1008" i="7"/>
  <c r="N1008" i="7"/>
  <c r="M1008" i="7"/>
  <c r="J1008" i="7"/>
  <c r="P1008" i="7" s="1"/>
  <c r="AH1007" i="7"/>
  <c r="AE1007" i="7"/>
  <c r="AD1007" i="7"/>
  <c r="AC1007" i="7"/>
  <c r="V1007" i="7"/>
  <c r="U1007" i="7"/>
  <c r="T1007" i="7"/>
  <c r="O1007" i="7"/>
  <c r="N1007" i="7"/>
  <c r="M1007" i="7"/>
  <c r="J1007" i="7"/>
  <c r="P1007" i="7" s="1"/>
  <c r="AH1006" i="7"/>
  <c r="AE1006" i="7"/>
  <c r="AD1006" i="7"/>
  <c r="AC1006" i="7"/>
  <c r="V1006" i="7"/>
  <c r="U1006" i="7"/>
  <c r="T1006" i="7"/>
  <c r="O1006" i="7"/>
  <c r="N1006" i="7"/>
  <c r="M1006" i="7"/>
  <c r="J1006" i="7"/>
  <c r="P1006" i="7" s="1"/>
  <c r="AH1005" i="7"/>
  <c r="AE1005" i="7"/>
  <c r="AD1005" i="7"/>
  <c r="AC1005" i="7"/>
  <c r="V1005" i="7"/>
  <c r="U1005" i="7"/>
  <c r="T1005" i="7"/>
  <c r="N1005" i="7"/>
  <c r="M1005" i="7"/>
  <c r="J1005" i="7"/>
  <c r="O1005" i="7" s="1"/>
  <c r="AH1004" i="7"/>
  <c r="AE1004" i="7"/>
  <c r="AD1004" i="7"/>
  <c r="AC1004" i="7"/>
  <c r="V1004" i="7"/>
  <c r="U1004" i="7"/>
  <c r="T1004" i="7"/>
  <c r="N1004" i="7"/>
  <c r="M1004" i="7"/>
  <c r="J1004" i="7"/>
  <c r="O1004" i="7" s="1"/>
  <c r="AH1003" i="7"/>
  <c r="AE1003" i="7"/>
  <c r="AD1003" i="7"/>
  <c r="AC1003" i="7"/>
  <c r="V1003" i="7"/>
  <c r="U1003" i="7"/>
  <c r="T1003" i="7"/>
  <c r="N1003" i="7"/>
  <c r="M1003" i="7"/>
  <c r="J1003" i="7"/>
  <c r="O1003" i="7" s="1"/>
  <c r="AH1002" i="7"/>
  <c r="AE1002" i="7"/>
  <c r="AD1002" i="7"/>
  <c r="AC1002" i="7"/>
  <c r="V1002" i="7"/>
  <c r="U1002" i="7"/>
  <c r="T1002" i="7"/>
  <c r="N1002" i="7"/>
  <c r="M1002" i="7"/>
  <c r="J1002" i="7"/>
  <c r="P1002" i="7" s="1"/>
  <c r="AH1001" i="7"/>
  <c r="AE1001" i="7"/>
  <c r="AD1001" i="7"/>
  <c r="AC1001" i="7"/>
  <c r="V1001" i="7"/>
  <c r="U1001" i="7"/>
  <c r="T1001" i="7"/>
  <c r="O1001" i="7"/>
  <c r="N1001" i="7"/>
  <c r="M1001" i="7"/>
  <c r="J1001" i="7"/>
  <c r="P1001" i="7" s="1"/>
  <c r="AH1000" i="7"/>
  <c r="AE1000" i="7"/>
  <c r="AD1000" i="7"/>
  <c r="AC1000" i="7"/>
  <c r="V1000" i="7"/>
  <c r="U1000" i="7"/>
  <c r="T1000" i="7"/>
  <c r="N1000" i="7"/>
  <c r="M1000" i="7"/>
  <c r="J1000" i="7"/>
  <c r="P1000" i="7" s="1"/>
  <c r="AH999" i="7"/>
  <c r="AE999" i="7"/>
  <c r="AD999" i="7"/>
  <c r="AC999" i="7"/>
  <c r="V999" i="7"/>
  <c r="U999" i="7"/>
  <c r="T999" i="7"/>
  <c r="N999" i="7"/>
  <c r="M999" i="7"/>
  <c r="J999" i="7"/>
  <c r="P999" i="7" s="1"/>
  <c r="AH998" i="7"/>
  <c r="AE998" i="7"/>
  <c r="AD998" i="7"/>
  <c r="AC998" i="7"/>
  <c r="V998" i="7"/>
  <c r="U998" i="7"/>
  <c r="T998" i="7"/>
  <c r="N998" i="7"/>
  <c r="M998" i="7"/>
  <c r="J998" i="7"/>
  <c r="O998" i="7" s="1"/>
  <c r="AH997" i="7"/>
  <c r="AE997" i="7"/>
  <c r="AD997" i="7"/>
  <c r="AC997" i="7"/>
  <c r="V997" i="7"/>
  <c r="U997" i="7"/>
  <c r="T997" i="7"/>
  <c r="N997" i="7"/>
  <c r="M997" i="7"/>
  <c r="J997" i="7"/>
  <c r="AH996" i="7"/>
  <c r="AE996" i="7"/>
  <c r="AD996" i="7"/>
  <c r="AC996" i="7"/>
  <c r="V996" i="7"/>
  <c r="U996" i="7"/>
  <c r="T996" i="7"/>
  <c r="O996" i="7"/>
  <c r="N996" i="7"/>
  <c r="M996" i="7"/>
  <c r="J996" i="7"/>
  <c r="P996" i="7" s="1"/>
  <c r="AH995" i="7"/>
  <c r="AE995" i="7"/>
  <c r="AD995" i="7"/>
  <c r="AC995" i="7"/>
  <c r="V995" i="7"/>
  <c r="U995" i="7"/>
  <c r="T995" i="7"/>
  <c r="N995" i="7"/>
  <c r="M995" i="7"/>
  <c r="J995" i="7"/>
  <c r="AH994" i="7"/>
  <c r="AE994" i="7"/>
  <c r="AD994" i="7"/>
  <c r="AC994" i="7"/>
  <c r="V994" i="7"/>
  <c r="U994" i="7"/>
  <c r="T994" i="7"/>
  <c r="N994" i="7"/>
  <c r="M994" i="7"/>
  <c r="J994" i="7"/>
  <c r="P994" i="7" s="1"/>
  <c r="AH993" i="7"/>
  <c r="AE993" i="7"/>
  <c r="AD993" i="7"/>
  <c r="AC993" i="7"/>
  <c r="V993" i="7"/>
  <c r="U993" i="7"/>
  <c r="T993" i="7"/>
  <c r="N993" i="7"/>
  <c r="M993" i="7"/>
  <c r="J993" i="7"/>
  <c r="P993" i="7" s="1"/>
  <c r="AH992" i="7"/>
  <c r="AE992" i="7"/>
  <c r="AD992" i="7"/>
  <c r="AC992" i="7"/>
  <c r="V992" i="7"/>
  <c r="U992" i="7"/>
  <c r="T992" i="7"/>
  <c r="N992" i="7"/>
  <c r="M992" i="7"/>
  <c r="J992" i="7"/>
  <c r="P992" i="7" s="1"/>
  <c r="AH991" i="7"/>
  <c r="AE991" i="7"/>
  <c r="AD991" i="7"/>
  <c r="AC991" i="7"/>
  <c r="V991" i="7"/>
  <c r="U991" i="7"/>
  <c r="T991" i="7"/>
  <c r="N991" i="7"/>
  <c r="M991" i="7"/>
  <c r="J991" i="7"/>
  <c r="P991" i="7" s="1"/>
  <c r="AH990" i="7"/>
  <c r="AE990" i="7"/>
  <c r="AD990" i="7"/>
  <c r="AC990" i="7"/>
  <c r="V990" i="7"/>
  <c r="U990" i="7"/>
  <c r="T990" i="7"/>
  <c r="N990" i="7"/>
  <c r="M990" i="7"/>
  <c r="J990" i="7"/>
  <c r="P990" i="7" s="1"/>
  <c r="AH989" i="7"/>
  <c r="AE989" i="7"/>
  <c r="AD989" i="7"/>
  <c r="AC989" i="7"/>
  <c r="V989" i="7"/>
  <c r="U989" i="7"/>
  <c r="T989" i="7"/>
  <c r="P989" i="7"/>
  <c r="N989" i="7"/>
  <c r="M989" i="7"/>
  <c r="J989" i="7"/>
  <c r="O989" i="7" s="1"/>
  <c r="AH988" i="7"/>
  <c r="AE988" i="7"/>
  <c r="AD988" i="7"/>
  <c r="AC988" i="7"/>
  <c r="V988" i="7"/>
  <c r="U988" i="7"/>
  <c r="T988" i="7"/>
  <c r="N988" i="7"/>
  <c r="M988" i="7"/>
  <c r="J988" i="7"/>
  <c r="O988" i="7" s="1"/>
  <c r="AH987" i="7"/>
  <c r="AE987" i="7"/>
  <c r="AD987" i="7"/>
  <c r="AC987" i="7"/>
  <c r="V987" i="7"/>
  <c r="U987" i="7"/>
  <c r="T987" i="7"/>
  <c r="O987" i="7"/>
  <c r="N987" i="7"/>
  <c r="M987" i="7"/>
  <c r="J987" i="7"/>
  <c r="P987" i="7" s="1"/>
  <c r="AH986" i="7"/>
  <c r="AE986" i="7"/>
  <c r="AD986" i="7"/>
  <c r="AC986" i="7"/>
  <c r="V986" i="7"/>
  <c r="U986" i="7"/>
  <c r="T986" i="7"/>
  <c r="N986" i="7"/>
  <c r="M986" i="7"/>
  <c r="J986" i="7"/>
  <c r="P986" i="7" s="1"/>
  <c r="AH985" i="7"/>
  <c r="AE985" i="7"/>
  <c r="AD985" i="7"/>
  <c r="AC985" i="7"/>
  <c r="V985" i="7"/>
  <c r="U985" i="7"/>
  <c r="T985" i="7"/>
  <c r="P985" i="7"/>
  <c r="N985" i="7"/>
  <c r="M985" i="7"/>
  <c r="J985" i="7"/>
  <c r="O985" i="7" s="1"/>
  <c r="AH984" i="7"/>
  <c r="AE984" i="7"/>
  <c r="AD984" i="7"/>
  <c r="AC984" i="7"/>
  <c r="V984" i="7"/>
  <c r="U984" i="7"/>
  <c r="T984" i="7"/>
  <c r="N984" i="7"/>
  <c r="M984" i="7"/>
  <c r="J984" i="7"/>
  <c r="P984" i="7" s="1"/>
  <c r="AH983" i="7"/>
  <c r="AE983" i="7"/>
  <c r="AD983" i="7"/>
  <c r="AC983" i="7"/>
  <c r="V983" i="7"/>
  <c r="U983" i="7"/>
  <c r="T983" i="7"/>
  <c r="N983" i="7"/>
  <c r="M983" i="7"/>
  <c r="J983" i="7"/>
  <c r="AH982" i="7"/>
  <c r="AE982" i="7"/>
  <c r="AD982" i="7"/>
  <c r="AC982" i="7"/>
  <c r="V982" i="7"/>
  <c r="U982" i="7"/>
  <c r="T982" i="7"/>
  <c r="P982" i="7"/>
  <c r="N982" i="7"/>
  <c r="M982" i="7"/>
  <c r="J982" i="7"/>
  <c r="O982" i="7" s="1"/>
  <c r="AH981" i="7"/>
  <c r="AE981" i="7"/>
  <c r="AD981" i="7"/>
  <c r="AC981" i="7"/>
  <c r="V981" i="7"/>
  <c r="U981" i="7"/>
  <c r="T981" i="7"/>
  <c r="N981" i="7"/>
  <c r="M981" i="7"/>
  <c r="J981" i="7"/>
  <c r="P981" i="7" s="1"/>
  <c r="AH980" i="7"/>
  <c r="AE980" i="7"/>
  <c r="AD980" i="7"/>
  <c r="AC980" i="7"/>
  <c r="V980" i="7"/>
  <c r="U980" i="7"/>
  <c r="T980" i="7"/>
  <c r="O980" i="7"/>
  <c r="N980" i="7"/>
  <c r="M980" i="7"/>
  <c r="J980" i="7"/>
  <c r="P980" i="7" s="1"/>
  <c r="AH979" i="7"/>
  <c r="AE979" i="7"/>
  <c r="AD979" i="7"/>
  <c r="AC979" i="7"/>
  <c r="V979" i="7"/>
  <c r="U979" i="7"/>
  <c r="T979" i="7"/>
  <c r="N979" i="7"/>
  <c r="M979" i="7"/>
  <c r="J979" i="7"/>
  <c r="AH978" i="7"/>
  <c r="AE978" i="7"/>
  <c r="AD978" i="7"/>
  <c r="AC978" i="7"/>
  <c r="V978" i="7"/>
  <c r="U978" i="7"/>
  <c r="T978" i="7"/>
  <c r="O978" i="7"/>
  <c r="N978" i="7"/>
  <c r="M978" i="7"/>
  <c r="J978" i="7"/>
  <c r="P978" i="7" s="1"/>
  <c r="AH977" i="7"/>
  <c r="AE977" i="7"/>
  <c r="AD977" i="7"/>
  <c r="AC977" i="7"/>
  <c r="V977" i="7"/>
  <c r="U977" i="7"/>
  <c r="T977" i="7"/>
  <c r="N977" i="7"/>
  <c r="M977" i="7"/>
  <c r="J977" i="7"/>
  <c r="AH976" i="7"/>
  <c r="AE976" i="7"/>
  <c r="AD976" i="7"/>
  <c r="AC976" i="7"/>
  <c r="V976" i="7"/>
  <c r="U976" i="7"/>
  <c r="T976" i="7"/>
  <c r="P976" i="7"/>
  <c r="N976" i="7"/>
  <c r="M976" i="7"/>
  <c r="J976" i="7"/>
  <c r="O976" i="7" s="1"/>
  <c r="AH975" i="7"/>
  <c r="AE975" i="7"/>
  <c r="AD975" i="7"/>
  <c r="AC975" i="7"/>
  <c r="V975" i="7"/>
  <c r="U975" i="7"/>
  <c r="T975" i="7"/>
  <c r="O975" i="7"/>
  <c r="N975" i="7"/>
  <c r="M975" i="7"/>
  <c r="J975" i="7"/>
  <c r="P975" i="7" s="1"/>
  <c r="AH974" i="7"/>
  <c r="AE974" i="7"/>
  <c r="AD974" i="7"/>
  <c r="AC974" i="7"/>
  <c r="V974" i="7"/>
  <c r="U974" i="7"/>
  <c r="T974" i="7"/>
  <c r="N974" i="7"/>
  <c r="M974" i="7"/>
  <c r="J974" i="7"/>
  <c r="P974" i="7" s="1"/>
  <c r="AH973" i="7"/>
  <c r="AE973" i="7"/>
  <c r="AD973" i="7"/>
  <c r="AC973" i="7"/>
  <c r="V973" i="7"/>
  <c r="U973" i="7"/>
  <c r="T973" i="7"/>
  <c r="N973" i="7"/>
  <c r="M973" i="7"/>
  <c r="J973" i="7"/>
  <c r="AH972" i="7"/>
  <c r="AE972" i="7"/>
  <c r="AD972" i="7"/>
  <c r="AC972" i="7"/>
  <c r="V972" i="7"/>
  <c r="U972" i="7"/>
  <c r="T972" i="7"/>
  <c r="P972" i="7"/>
  <c r="N972" i="7"/>
  <c r="M972" i="7"/>
  <c r="J972" i="7"/>
  <c r="O972" i="7" s="1"/>
  <c r="AH971" i="7"/>
  <c r="AE971" i="7"/>
  <c r="AD971" i="7"/>
  <c r="AC971" i="7"/>
  <c r="V971" i="7"/>
  <c r="U971" i="7"/>
  <c r="T971" i="7"/>
  <c r="N971" i="7"/>
  <c r="M971" i="7"/>
  <c r="J971" i="7"/>
  <c r="P971" i="7" s="1"/>
  <c r="AH970" i="7"/>
  <c r="AE970" i="7"/>
  <c r="AD970" i="7"/>
  <c r="AC970" i="7"/>
  <c r="V970" i="7"/>
  <c r="U970" i="7"/>
  <c r="T970" i="7"/>
  <c r="N970" i="7"/>
  <c r="M970" i="7"/>
  <c r="J970" i="7"/>
  <c r="P970" i="7" s="1"/>
  <c r="AH969" i="7"/>
  <c r="AE969" i="7"/>
  <c r="AD969" i="7"/>
  <c r="AC969" i="7"/>
  <c r="V969" i="7"/>
  <c r="U969" i="7"/>
  <c r="T969" i="7"/>
  <c r="N969" i="7"/>
  <c r="M969" i="7"/>
  <c r="J969" i="7"/>
  <c r="P969" i="7" s="1"/>
  <c r="AH968" i="7"/>
  <c r="AE968" i="7"/>
  <c r="AD968" i="7"/>
  <c r="AC968" i="7"/>
  <c r="V968" i="7"/>
  <c r="U968" i="7"/>
  <c r="T968" i="7"/>
  <c r="N968" i="7"/>
  <c r="M968" i="7"/>
  <c r="J968" i="7"/>
  <c r="O968" i="7" s="1"/>
  <c r="AH967" i="7"/>
  <c r="AE967" i="7"/>
  <c r="AD967" i="7"/>
  <c r="AC967" i="7"/>
  <c r="V967" i="7"/>
  <c r="U967" i="7"/>
  <c r="T967" i="7"/>
  <c r="N967" i="7"/>
  <c r="M967" i="7"/>
  <c r="J967" i="7"/>
  <c r="P967" i="7" s="1"/>
  <c r="AH966" i="7"/>
  <c r="AE966" i="7"/>
  <c r="AD966" i="7"/>
  <c r="AC966" i="7"/>
  <c r="V966" i="7"/>
  <c r="U966" i="7"/>
  <c r="T966" i="7"/>
  <c r="O966" i="7"/>
  <c r="N966" i="7"/>
  <c r="M966" i="7"/>
  <c r="J966" i="7"/>
  <c r="P966" i="7" s="1"/>
  <c r="AH965" i="7"/>
  <c r="AE965" i="7"/>
  <c r="AD965" i="7"/>
  <c r="AC965" i="7"/>
  <c r="V965" i="7"/>
  <c r="U965" i="7"/>
  <c r="T965" i="7"/>
  <c r="N965" i="7"/>
  <c r="M965" i="7"/>
  <c r="J965" i="7"/>
  <c r="P965" i="7" s="1"/>
  <c r="AH964" i="7"/>
  <c r="AE964" i="7"/>
  <c r="AD964" i="7"/>
  <c r="AC964" i="7"/>
  <c r="V964" i="7"/>
  <c r="U964" i="7"/>
  <c r="T964" i="7"/>
  <c r="P964" i="7"/>
  <c r="N964" i="7"/>
  <c r="M964" i="7"/>
  <c r="J964" i="7"/>
  <c r="O964" i="7" s="1"/>
  <c r="AH963" i="7"/>
  <c r="AE963" i="7"/>
  <c r="AD963" i="7"/>
  <c r="AC963" i="7"/>
  <c r="V963" i="7"/>
  <c r="U963" i="7"/>
  <c r="T963" i="7"/>
  <c r="N963" i="7"/>
  <c r="M963" i="7"/>
  <c r="J963" i="7"/>
  <c r="AH962" i="7"/>
  <c r="AE962" i="7"/>
  <c r="AD962" i="7"/>
  <c r="AC962" i="7"/>
  <c r="V962" i="7"/>
  <c r="U962" i="7"/>
  <c r="T962" i="7"/>
  <c r="O962" i="7"/>
  <c r="N962" i="7"/>
  <c r="M962" i="7"/>
  <c r="J962" i="7"/>
  <c r="P962" i="7" s="1"/>
  <c r="AH961" i="7"/>
  <c r="AE961" i="7"/>
  <c r="AD961" i="7"/>
  <c r="AC961" i="7"/>
  <c r="V961" i="7"/>
  <c r="U961" i="7"/>
  <c r="T961" i="7"/>
  <c r="N961" i="7"/>
  <c r="M961" i="7"/>
  <c r="J961" i="7"/>
  <c r="P961" i="7" s="1"/>
  <c r="AH960" i="7"/>
  <c r="AE960" i="7"/>
  <c r="AD960" i="7"/>
  <c r="AC960" i="7"/>
  <c r="V960" i="7"/>
  <c r="U960" i="7"/>
  <c r="T960" i="7"/>
  <c r="O960" i="7"/>
  <c r="N960" i="7"/>
  <c r="M960" i="7"/>
  <c r="J960" i="7"/>
  <c r="P960" i="7" s="1"/>
  <c r="AH959" i="7"/>
  <c r="AE959" i="7"/>
  <c r="AD959" i="7"/>
  <c r="AC959" i="7"/>
  <c r="V959" i="7"/>
  <c r="U959" i="7"/>
  <c r="T959" i="7"/>
  <c r="N959" i="7"/>
  <c r="M959" i="7"/>
  <c r="J959" i="7"/>
  <c r="P959" i="7" s="1"/>
  <c r="AH958" i="7"/>
  <c r="AE958" i="7"/>
  <c r="AD958" i="7"/>
  <c r="AC958" i="7"/>
  <c r="V958" i="7"/>
  <c r="U958" i="7"/>
  <c r="T958" i="7"/>
  <c r="N958" i="7"/>
  <c r="M958" i="7"/>
  <c r="J958" i="7"/>
  <c r="P958" i="7" s="1"/>
  <c r="AH957" i="7"/>
  <c r="AE957" i="7"/>
  <c r="AD957" i="7"/>
  <c r="AC957" i="7"/>
  <c r="V957" i="7"/>
  <c r="U957" i="7"/>
  <c r="T957" i="7"/>
  <c r="P957" i="7"/>
  <c r="O957" i="7"/>
  <c r="N957" i="7"/>
  <c r="M957" i="7"/>
  <c r="J957" i="7"/>
  <c r="AH956" i="7"/>
  <c r="AE956" i="7"/>
  <c r="AD956" i="7"/>
  <c r="AC956" i="7"/>
  <c r="V956" i="7"/>
  <c r="U956" i="7"/>
  <c r="T956" i="7"/>
  <c r="O956" i="7"/>
  <c r="N956" i="7"/>
  <c r="M956" i="7"/>
  <c r="J956" i="7"/>
  <c r="P956" i="7" s="1"/>
  <c r="AH955" i="7"/>
  <c r="AE955" i="7"/>
  <c r="AD955" i="7"/>
  <c r="AC955" i="7"/>
  <c r="V955" i="7"/>
  <c r="U955" i="7"/>
  <c r="T955" i="7"/>
  <c r="O955" i="7"/>
  <c r="N955" i="7"/>
  <c r="M955" i="7"/>
  <c r="J955" i="7"/>
  <c r="P955" i="7" s="1"/>
  <c r="AH954" i="7"/>
  <c r="AE954" i="7"/>
  <c r="AD954" i="7"/>
  <c r="AC954" i="7"/>
  <c r="V954" i="7"/>
  <c r="U954" i="7"/>
  <c r="T954" i="7"/>
  <c r="N954" i="7"/>
  <c r="M954" i="7"/>
  <c r="J954" i="7"/>
  <c r="P954" i="7" s="1"/>
  <c r="AH953" i="7"/>
  <c r="AE953" i="7"/>
  <c r="AD953" i="7"/>
  <c r="AC953" i="7"/>
  <c r="V953" i="7"/>
  <c r="U953" i="7"/>
  <c r="T953" i="7"/>
  <c r="P953" i="7"/>
  <c r="N953" i="7"/>
  <c r="M953" i="7"/>
  <c r="J953" i="7"/>
  <c r="O953" i="7" s="1"/>
  <c r="AH952" i="7"/>
  <c r="AE952" i="7"/>
  <c r="AD952" i="7"/>
  <c r="AC952" i="7"/>
  <c r="V952" i="7"/>
  <c r="U952" i="7"/>
  <c r="T952" i="7"/>
  <c r="P952" i="7"/>
  <c r="O952" i="7"/>
  <c r="N952" i="7"/>
  <c r="M952" i="7"/>
  <c r="J952" i="7"/>
  <c r="AH951" i="7"/>
  <c r="AE951" i="7"/>
  <c r="AD951" i="7"/>
  <c r="AC951" i="7"/>
  <c r="V951" i="7"/>
  <c r="U951" i="7"/>
  <c r="T951" i="7"/>
  <c r="N951" i="7"/>
  <c r="M951" i="7"/>
  <c r="J951" i="7"/>
  <c r="AH950" i="7"/>
  <c r="AE950" i="7"/>
  <c r="AD950" i="7"/>
  <c r="AC950" i="7"/>
  <c r="V950" i="7"/>
  <c r="U950" i="7"/>
  <c r="T950" i="7"/>
  <c r="N950" i="7"/>
  <c r="M950" i="7"/>
  <c r="J950" i="7"/>
  <c r="P950" i="7" s="1"/>
  <c r="AH949" i="7"/>
  <c r="AE949" i="7"/>
  <c r="AD949" i="7"/>
  <c r="AC949" i="7"/>
  <c r="V949" i="7"/>
  <c r="U949" i="7"/>
  <c r="T949" i="7"/>
  <c r="N949" i="7"/>
  <c r="M949" i="7"/>
  <c r="J949" i="7"/>
  <c r="AH948" i="7"/>
  <c r="AE948" i="7"/>
  <c r="AD948" i="7"/>
  <c r="AC948" i="7"/>
  <c r="V948" i="7"/>
  <c r="U948" i="7"/>
  <c r="T948" i="7"/>
  <c r="N948" i="7"/>
  <c r="M948" i="7"/>
  <c r="J948" i="7"/>
  <c r="P948" i="7" s="1"/>
  <c r="AH947" i="7"/>
  <c r="AE947" i="7"/>
  <c r="AD947" i="7"/>
  <c r="AC947" i="7"/>
  <c r="V947" i="7"/>
  <c r="U947" i="7"/>
  <c r="T947" i="7"/>
  <c r="N947" i="7"/>
  <c r="M947" i="7"/>
  <c r="J947" i="7"/>
  <c r="AH946" i="7"/>
  <c r="AE946" i="7"/>
  <c r="AD946" i="7"/>
  <c r="AC946" i="7"/>
  <c r="V946" i="7"/>
  <c r="U946" i="7"/>
  <c r="T946" i="7"/>
  <c r="N946" i="7"/>
  <c r="M946" i="7"/>
  <c r="J946" i="7"/>
  <c r="P946" i="7" s="1"/>
  <c r="AH945" i="7"/>
  <c r="AE945" i="7"/>
  <c r="AD945" i="7"/>
  <c r="AC945" i="7"/>
  <c r="V945" i="7"/>
  <c r="U945" i="7"/>
  <c r="T945" i="7"/>
  <c r="N945" i="7"/>
  <c r="M945" i="7"/>
  <c r="J945" i="7"/>
  <c r="P945" i="7" s="1"/>
  <c r="AH944" i="7"/>
  <c r="AE944" i="7"/>
  <c r="AD944" i="7"/>
  <c r="AC944" i="7"/>
  <c r="V944" i="7"/>
  <c r="U944" i="7"/>
  <c r="T944" i="7"/>
  <c r="N944" i="7"/>
  <c r="M944" i="7"/>
  <c r="J944" i="7"/>
  <c r="P944" i="7" s="1"/>
  <c r="AH943" i="7"/>
  <c r="AE943" i="7"/>
  <c r="AD943" i="7"/>
  <c r="AC943" i="7"/>
  <c r="V943" i="7"/>
  <c r="U943" i="7"/>
  <c r="T943" i="7"/>
  <c r="N943" i="7"/>
  <c r="M943" i="7"/>
  <c r="J943" i="7"/>
  <c r="P943" i="7" s="1"/>
  <c r="AH942" i="7"/>
  <c r="AE942" i="7"/>
  <c r="AD942" i="7"/>
  <c r="AC942" i="7"/>
  <c r="V942" i="7"/>
  <c r="U942" i="7"/>
  <c r="T942" i="7"/>
  <c r="N942" i="7"/>
  <c r="M942" i="7"/>
  <c r="J942" i="7"/>
  <c r="P942" i="7" s="1"/>
  <c r="AH941" i="7"/>
  <c r="AE941" i="7"/>
  <c r="AD941" i="7"/>
  <c r="AC941" i="7"/>
  <c r="V941" i="7"/>
  <c r="U941" i="7"/>
  <c r="T941" i="7"/>
  <c r="N941" i="7"/>
  <c r="M941" i="7"/>
  <c r="J941" i="7"/>
  <c r="P941" i="7" s="1"/>
  <c r="AH940" i="7"/>
  <c r="AE940" i="7"/>
  <c r="AD940" i="7"/>
  <c r="AC940" i="7"/>
  <c r="V940" i="7"/>
  <c r="U940" i="7"/>
  <c r="T940" i="7"/>
  <c r="N940" i="7"/>
  <c r="M940" i="7"/>
  <c r="J940" i="7"/>
  <c r="P940" i="7" s="1"/>
  <c r="AH939" i="7"/>
  <c r="AE939" i="7"/>
  <c r="AD939" i="7"/>
  <c r="AC939" i="7"/>
  <c r="V939" i="7"/>
  <c r="U939" i="7"/>
  <c r="T939" i="7"/>
  <c r="O939" i="7"/>
  <c r="N939" i="7"/>
  <c r="M939" i="7"/>
  <c r="J939" i="7"/>
  <c r="P939" i="7" s="1"/>
  <c r="AH938" i="7"/>
  <c r="AE938" i="7"/>
  <c r="AD938" i="7"/>
  <c r="AC938" i="7"/>
  <c r="V938" i="7"/>
  <c r="U938" i="7"/>
  <c r="T938" i="7"/>
  <c r="N938" i="7"/>
  <c r="M938" i="7"/>
  <c r="J938" i="7"/>
  <c r="P938" i="7" s="1"/>
  <c r="AH937" i="7"/>
  <c r="AE937" i="7"/>
  <c r="AD937" i="7"/>
  <c r="AC937" i="7"/>
  <c r="V937" i="7"/>
  <c r="U937" i="7"/>
  <c r="T937" i="7"/>
  <c r="P937" i="7"/>
  <c r="O937" i="7"/>
  <c r="N937" i="7"/>
  <c r="M937" i="7"/>
  <c r="J937" i="7"/>
  <c r="AH936" i="7"/>
  <c r="AE936" i="7"/>
  <c r="AD936" i="7"/>
  <c r="AC936" i="7"/>
  <c r="V936" i="7"/>
  <c r="U936" i="7"/>
  <c r="T936" i="7"/>
  <c r="O936" i="7"/>
  <c r="N936" i="7"/>
  <c r="M936" i="7"/>
  <c r="J936" i="7"/>
  <c r="P936" i="7" s="1"/>
  <c r="AH935" i="7"/>
  <c r="AE935" i="7"/>
  <c r="AD935" i="7"/>
  <c r="AC935" i="7"/>
  <c r="V935" i="7"/>
  <c r="U935" i="7"/>
  <c r="T935" i="7"/>
  <c r="N935" i="7"/>
  <c r="M935" i="7"/>
  <c r="J935" i="7"/>
  <c r="AH934" i="7"/>
  <c r="AE934" i="7"/>
  <c r="AD934" i="7"/>
  <c r="AC934" i="7"/>
  <c r="V934" i="7"/>
  <c r="U934" i="7"/>
  <c r="T934" i="7"/>
  <c r="N934" i="7"/>
  <c r="M934" i="7"/>
  <c r="J934" i="7"/>
  <c r="P934" i="7" s="1"/>
  <c r="AH933" i="7"/>
  <c r="AE933" i="7"/>
  <c r="AD933" i="7"/>
  <c r="AC933" i="7"/>
  <c r="V933" i="7"/>
  <c r="U933" i="7"/>
  <c r="T933" i="7"/>
  <c r="N933" i="7"/>
  <c r="M933" i="7"/>
  <c r="J933" i="7"/>
  <c r="AH932" i="7"/>
  <c r="AE932" i="7"/>
  <c r="AD932" i="7"/>
  <c r="AC932" i="7"/>
  <c r="V932" i="7"/>
  <c r="U932" i="7"/>
  <c r="T932" i="7"/>
  <c r="P932" i="7"/>
  <c r="O932" i="7"/>
  <c r="N932" i="7"/>
  <c r="M932" i="7"/>
  <c r="J932" i="7"/>
  <c r="AH931" i="7"/>
  <c r="AE931" i="7"/>
  <c r="AD931" i="7"/>
  <c r="AC931" i="7"/>
  <c r="V931" i="7"/>
  <c r="U931" i="7"/>
  <c r="T931" i="7"/>
  <c r="N931" i="7"/>
  <c r="M931" i="7"/>
  <c r="J931" i="7"/>
  <c r="AH930" i="7"/>
  <c r="AE930" i="7"/>
  <c r="AD930" i="7"/>
  <c r="AC930" i="7"/>
  <c r="V930" i="7"/>
  <c r="U930" i="7"/>
  <c r="T930" i="7"/>
  <c r="O930" i="7"/>
  <c r="N930" i="7"/>
  <c r="M930" i="7"/>
  <c r="J930" i="7"/>
  <c r="P930" i="7" s="1"/>
  <c r="AH929" i="7"/>
  <c r="AE929" i="7"/>
  <c r="AD929" i="7"/>
  <c r="AC929" i="7"/>
  <c r="V929" i="7"/>
  <c r="U929" i="7"/>
  <c r="T929" i="7"/>
  <c r="N929" i="7"/>
  <c r="M929" i="7"/>
  <c r="J929" i="7"/>
  <c r="P929" i="7" s="1"/>
  <c r="AH928" i="7"/>
  <c r="AE928" i="7"/>
  <c r="AD928" i="7"/>
  <c r="AC928" i="7"/>
  <c r="V928" i="7"/>
  <c r="U928" i="7"/>
  <c r="T928" i="7"/>
  <c r="N928" i="7"/>
  <c r="M928" i="7"/>
  <c r="J928" i="7"/>
  <c r="P928" i="7" s="1"/>
  <c r="AH927" i="7"/>
  <c r="AE927" i="7"/>
  <c r="AD927" i="7"/>
  <c r="AC927" i="7"/>
  <c r="V927" i="7"/>
  <c r="U927" i="7"/>
  <c r="T927" i="7"/>
  <c r="N927" i="7"/>
  <c r="M927" i="7"/>
  <c r="J927" i="7"/>
  <c r="P927" i="7" s="1"/>
  <c r="AH926" i="7"/>
  <c r="AE926" i="7"/>
  <c r="AD926" i="7"/>
  <c r="AC926" i="7"/>
  <c r="V926" i="7"/>
  <c r="U926" i="7"/>
  <c r="T926" i="7"/>
  <c r="N926" i="7"/>
  <c r="M926" i="7"/>
  <c r="J926" i="7"/>
  <c r="P926" i="7" s="1"/>
  <c r="AH925" i="7"/>
  <c r="AE925" i="7"/>
  <c r="AD925" i="7"/>
  <c r="AC925" i="7"/>
  <c r="V925" i="7"/>
  <c r="U925" i="7"/>
  <c r="T925" i="7"/>
  <c r="N925" i="7"/>
  <c r="M925" i="7"/>
  <c r="J925" i="7"/>
  <c r="P925" i="7" s="1"/>
  <c r="AH924" i="7"/>
  <c r="AE924" i="7"/>
  <c r="AD924" i="7"/>
  <c r="AC924" i="7"/>
  <c r="V924" i="7"/>
  <c r="U924" i="7"/>
  <c r="T924" i="7"/>
  <c r="O924" i="7"/>
  <c r="N924" i="7"/>
  <c r="M924" i="7"/>
  <c r="J924" i="7"/>
  <c r="P924" i="7" s="1"/>
  <c r="AH923" i="7"/>
  <c r="AE923" i="7"/>
  <c r="AD923" i="7"/>
  <c r="AC923" i="7"/>
  <c r="V923" i="7"/>
  <c r="U923" i="7"/>
  <c r="T923" i="7"/>
  <c r="N923" i="7"/>
  <c r="M923" i="7"/>
  <c r="J923" i="7"/>
  <c r="P923" i="7" s="1"/>
  <c r="AH922" i="7"/>
  <c r="AE922" i="7"/>
  <c r="AD922" i="7"/>
  <c r="AC922" i="7"/>
  <c r="V922" i="7"/>
  <c r="U922" i="7"/>
  <c r="T922" i="7"/>
  <c r="N922" i="7"/>
  <c r="M922" i="7"/>
  <c r="J922" i="7"/>
  <c r="P922" i="7" s="1"/>
  <c r="AH921" i="7"/>
  <c r="AE921" i="7"/>
  <c r="AD921" i="7"/>
  <c r="AC921" i="7"/>
  <c r="V921" i="7"/>
  <c r="U921" i="7"/>
  <c r="T921" i="7"/>
  <c r="P921" i="7"/>
  <c r="O921" i="7"/>
  <c r="N921" i="7"/>
  <c r="M921" i="7"/>
  <c r="J921" i="7"/>
  <c r="AH920" i="7"/>
  <c r="AE920" i="7"/>
  <c r="AD920" i="7"/>
  <c r="AC920" i="7"/>
  <c r="V920" i="7"/>
  <c r="U920" i="7"/>
  <c r="T920" i="7"/>
  <c r="P920" i="7"/>
  <c r="N920" i="7"/>
  <c r="M920" i="7"/>
  <c r="J920" i="7"/>
  <c r="O920" i="7" s="1"/>
  <c r="AH919" i="7"/>
  <c r="AE919" i="7"/>
  <c r="AD919" i="7"/>
  <c r="AC919" i="7"/>
  <c r="V919" i="7"/>
  <c r="U919" i="7"/>
  <c r="T919" i="7"/>
  <c r="N919" i="7"/>
  <c r="M919" i="7"/>
  <c r="J919" i="7"/>
  <c r="AH918" i="7"/>
  <c r="AE918" i="7"/>
  <c r="AD918" i="7"/>
  <c r="AC918" i="7"/>
  <c r="V918" i="7"/>
  <c r="U918" i="7"/>
  <c r="T918" i="7"/>
  <c r="N918" i="7"/>
  <c r="M918" i="7"/>
  <c r="J918" i="7"/>
  <c r="P918" i="7" s="1"/>
  <c r="AH917" i="7"/>
  <c r="AE917" i="7"/>
  <c r="AD917" i="7"/>
  <c r="AC917" i="7"/>
  <c r="V917" i="7"/>
  <c r="U917" i="7"/>
  <c r="T917" i="7"/>
  <c r="N917" i="7"/>
  <c r="M917" i="7"/>
  <c r="J917" i="7"/>
  <c r="AH916" i="7"/>
  <c r="AE916" i="7"/>
  <c r="AD916" i="7"/>
  <c r="AC916" i="7"/>
  <c r="V916" i="7"/>
  <c r="U916" i="7"/>
  <c r="T916" i="7"/>
  <c r="N916" i="7"/>
  <c r="M916" i="7"/>
  <c r="J916" i="7"/>
  <c r="P916" i="7" s="1"/>
  <c r="AH915" i="7"/>
  <c r="AE915" i="7"/>
  <c r="AD915" i="7"/>
  <c r="AC915" i="7"/>
  <c r="V915" i="7"/>
  <c r="U915" i="7"/>
  <c r="T915" i="7"/>
  <c r="N915" i="7"/>
  <c r="M915" i="7"/>
  <c r="J915" i="7"/>
  <c r="AH914" i="7"/>
  <c r="AE914" i="7"/>
  <c r="AD914" i="7"/>
  <c r="AC914" i="7"/>
  <c r="V914" i="7"/>
  <c r="U914" i="7"/>
  <c r="T914" i="7"/>
  <c r="P914" i="7"/>
  <c r="O914" i="7"/>
  <c r="N914" i="7"/>
  <c r="M914" i="7"/>
  <c r="J914" i="7"/>
  <c r="AH913" i="7"/>
  <c r="AE913" i="7"/>
  <c r="AD913" i="7"/>
  <c r="AC913" i="7"/>
  <c r="V913" i="7"/>
  <c r="U913" i="7"/>
  <c r="T913" i="7"/>
  <c r="N913" i="7"/>
  <c r="M913" i="7"/>
  <c r="J913" i="7"/>
  <c r="P913" i="7" s="1"/>
  <c r="AH912" i="7"/>
  <c r="AE912" i="7"/>
  <c r="AD912" i="7"/>
  <c r="AC912" i="7"/>
  <c r="V912" i="7"/>
  <c r="U912" i="7"/>
  <c r="T912" i="7"/>
  <c r="N912" i="7"/>
  <c r="M912" i="7"/>
  <c r="J912" i="7"/>
  <c r="P912" i="7" s="1"/>
  <c r="AH911" i="7"/>
  <c r="AE911" i="7"/>
  <c r="AD911" i="7"/>
  <c r="AC911" i="7"/>
  <c r="V911" i="7"/>
  <c r="U911" i="7"/>
  <c r="T911" i="7"/>
  <c r="N911" i="7"/>
  <c r="M911" i="7"/>
  <c r="J911" i="7"/>
  <c r="P911" i="7" s="1"/>
  <c r="AH910" i="7"/>
  <c r="AE910" i="7"/>
  <c r="AD910" i="7"/>
  <c r="AC910" i="7"/>
  <c r="V910" i="7"/>
  <c r="U910" i="7"/>
  <c r="T910" i="7"/>
  <c r="N910" i="7"/>
  <c r="M910" i="7"/>
  <c r="J910" i="7"/>
  <c r="P910" i="7" s="1"/>
  <c r="AH909" i="7"/>
  <c r="AE909" i="7"/>
  <c r="AD909" i="7"/>
  <c r="AC909" i="7"/>
  <c r="V909" i="7"/>
  <c r="U909" i="7"/>
  <c r="T909" i="7"/>
  <c r="N909" i="7"/>
  <c r="M909" i="7"/>
  <c r="J909" i="7"/>
  <c r="P909" i="7" s="1"/>
  <c r="AH908" i="7"/>
  <c r="AE908" i="7"/>
  <c r="AD908" i="7"/>
  <c r="AC908" i="7"/>
  <c r="V908" i="7"/>
  <c r="U908" i="7"/>
  <c r="T908" i="7"/>
  <c r="O908" i="7"/>
  <c r="N908" i="7"/>
  <c r="M908" i="7"/>
  <c r="J908" i="7"/>
  <c r="P908" i="7" s="1"/>
  <c r="AH907" i="7"/>
  <c r="AE907" i="7"/>
  <c r="AD907" i="7"/>
  <c r="AC907" i="7"/>
  <c r="V907" i="7"/>
  <c r="U907" i="7"/>
  <c r="T907" i="7"/>
  <c r="N907" i="7"/>
  <c r="M907" i="7"/>
  <c r="J907" i="7"/>
  <c r="P907" i="7" s="1"/>
  <c r="AH906" i="7"/>
  <c r="AE906" i="7"/>
  <c r="AD906" i="7"/>
  <c r="AC906" i="7"/>
  <c r="V906" i="7"/>
  <c r="U906" i="7"/>
  <c r="T906" i="7"/>
  <c r="N906" i="7"/>
  <c r="M906" i="7"/>
  <c r="J906" i="7"/>
  <c r="P906" i="7" s="1"/>
  <c r="AH905" i="7"/>
  <c r="AE905" i="7"/>
  <c r="AD905" i="7"/>
  <c r="AC905" i="7"/>
  <c r="V905" i="7"/>
  <c r="U905" i="7"/>
  <c r="T905" i="7"/>
  <c r="P905" i="7"/>
  <c r="O905" i="7"/>
  <c r="N905" i="7"/>
  <c r="M905" i="7"/>
  <c r="J905" i="7"/>
  <c r="AH904" i="7"/>
  <c r="AE904" i="7"/>
  <c r="AD904" i="7"/>
  <c r="AC904" i="7"/>
  <c r="V904" i="7"/>
  <c r="U904" i="7"/>
  <c r="T904" i="7"/>
  <c r="P904" i="7"/>
  <c r="N904" i="7"/>
  <c r="M904" i="7"/>
  <c r="J904" i="7"/>
  <c r="O904" i="7" s="1"/>
  <c r="AH903" i="7"/>
  <c r="AE903" i="7"/>
  <c r="AD903" i="7"/>
  <c r="AC903" i="7"/>
  <c r="V903" i="7"/>
  <c r="U903" i="7"/>
  <c r="T903" i="7"/>
  <c r="N903" i="7"/>
  <c r="M903" i="7"/>
  <c r="J903" i="7"/>
  <c r="AH902" i="7"/>
  <c r="AE902" i="7"/>
  <c r="AD902" i="7"/>
  <c r="AC902" i="7"/>
  <c r="V902" i="7"/>
  <c r="U902" i="7"/>
  <c r="T902" i="7"/>
  <c r="N902" i="7"/>
  <c r="M902" i="7"/>
  <c r="J902" i="7"/>
  <c r="P902" i="7" s="1"/>
  <c r="AH901" i="7"/>
  <c r="AE901" i="7"/>
  <c r="AD901" i="7"/>
  <c r="AC901" i="7"/>
  <c r="V901" i="7"/>
  <c r="U901" i="7"/>
  <c r="T901" i="7"/>
  <c r="N901" i="7"/>
  <c r="M901" i="7"/>
  <c r="J901" i="7"/>
  <c r="AH900" i="7"/>
  <c r="AE900" i="7"/>
  <c r="AD900" i="7"/>
  <c r="AC900" i="7"/>
  <c r="V900" i="7"/>
  <c r="U900" i="7"/>
  <c r="T900" i="7"/>
  <c r="N900" i="7"/>
  <c r="M900" i="7"/>
  <c r="J900" i="7"/>
  <c r="P900" i="7" s="1"/>
  <c r="AH899" i="7"/>
  <c r="AE899" i="7"/>
  <c r="AD899" i="7"/>
  <c r="AC899" i="7"/>
  <c r="V899" i="7"/>
  <c r="U899" i="7"/>
  <c r="T899" i="7"/>
  <c r="N899" i="7"/>
  <c r="M899" i="7"/>
  <c r="J899" i="7"/>
  <c r="AH898" i="7"/>
  <c r="AE898" i="7"/>
  <c r="AD898" i="7"/>
  <c r="AC898" i="7"/>
  <c r="V898" i="7"/>
  <c r="U898" i="7"/>
  <c r="T898" i="7"/>
  <c r="P898" i="7"/>
  <c r="O898" i="7"/>
  <c r="N898" i="7"/>
  <c r="M898" i="7"/>
  <c r="J898" i="7"/>
  <c r="AH897" i="7"/>
  <c r="AE897" i="7"/>
  <c r="AD897" i="7"/>
  <c r="AC897" i="7"/>
  <c r="V897" i="7"/>
  <c r="U897" i="7"/>
  <c r="T897" i="7"/>
  <c r="N897" i="7"/>
  <c r="M897" i="7"/>
  <c r="J897" i="7"/>
  <c r="AH896" i="7"/>
  <c r="AE896" i="7"/>
  <c r="AD896" i="7"/>
  <c r="AC896" i="7"/>
  <c r="V896" i="7"/>
  <c r="U896" i="7"/>
  <c r="T896" i="7"/>
  <c r="N896" i="7"/>
  <c r="M896" i="7"/>
  <c r="J896" i="7"/>
  <c r="P896" i="7" s="1"/>
  <c r="AH895" i="7"/>
  <c r="AE895" i="7"/>
  <c r="AD895" i="7"/>
  <c r="AC895" i="7"/>
  <c r="V895" i="7"/>
  <c r="U895" i="7"/>
  <c r="T895" i="7"/>
  <c r="N895" i="7"/>
  <c r="M895" i="7"/>
  <c r="J895" i="7"/>
  <c r="AH894" i="7"/>
  <c r="AE894" i="7"/>
  <c r="AD894" i="7"/>
  <c r="AC894" i="7"/>
  <c r="V894" i="7"/>
  <c r="U894" i="7"/>
  <c r="T894" i="7"/>
  <c r="N894" i="7"/>
  <c r="M894" i="7"/>
  <c r="J894" i="7"/>
  <c r="P894" i="7" s="1"/>
  <c r="AH893" i="7"/>
  <c r="AE893" i="7"/>
  <c r="AD893" i="7"/>
  <c r="AC893" i="7"/>
  <c r="V893" i="7"/>
  <c r="U893" i="7"/>
  <c r="T893" i="7"/>
  <c r="N893" i="7"/>
  <c r="M893" i="7"/>
  <c r="J893" i="7"/>
  <c r="P893" i="7" s="1"/>
  <c r="AH892" i="7"/>
  <c r="AE892" i="7"/>
  <c r="AD892" i="7"/>
  <c r="AC892" i="7"/>
  <c r="V892" i="7"/>
  <c r="U892" i="7"/>
  <c r="T892" i="7"/>
  <c r="N892" i="7"/>
  <c r="M892" i="7"/>
  <c r="J892" i="7"/>
  <c r="P892" i="7" s="1"/>
  <c r="AH891" i="7"/>
  <c r="AE891" i="7"/>
  <c r="AD891" i="7"/>
  <c r="AC891" i="7"/>
  <c r="V891" i="7"/>
  <c r="U891" i="7"/>
  <c r="T891" i="7"/>
  <c r="P891" i="7"/>
  <c r="O891" i="7"/>
  <c r="N891" i="7"/>
  <c r="M891" i="7"/>
  <c r="J891" i="7"/>
  <c r="AH890" i="7"/>
  <c r="AE890" i="7"/>
  <c r="AD890" i="7"/>
  <c r="AC890" i="7"/>
  <c r="V890" i="7"/>
  <c r="U890" i="7"/>
  <c r="T890" i="7"/>
  <c r="N890" i="7"/>
  <c r="M890" i="7"/>
  <c r="J890" i="7"/>
  <c r="AH889" i="7"/>
  <c r="AE889" i="7"/>
  <c r="AD889" i="7"/>
  <c r="AC889" i="7"/>
  <c r="V889" i="7"/>
  <c r="U889" i="7"/>
  <c r="T889" i="7"/>
  <c r="N889" i="7"/>
  <c r="M889" i="7"/>
  <c r="J889" i="7"/>
  <c r="P889" i="7" s="1"/>
  <c r="AH888" i="7"/>
  <c r="AE888" i="7"/>
  <c r="AD888" i="7"/>
  <c r="AC888" i="7"/>
  <c r="V888" i="7"/>
  <c r="U888" i="7"/>
  <c r="T888" i="7"/>
  <c r="P888" i="7"/>
  <c r="O888" i="7"/>
  <c r="N888" i="7"/>
  <c r="M888" i="7"/>
  <c r="J888" i="7"/>
  <c r="AH887" i="7"/>
  <c r="AE887" i="7"/>
  <c r="AD887" i="7"/>
  <c r="AC887" i="7"/>
  <c r="V887" i="7"/>
  <c r="U887" i="7"/>
  <c r="T887" i="7"/>
  <c r="N887" i="7"/>
  <c r="M887" i="7"/>
  <c r="J887" i="7"/>
  <c r="P887" i="7" s="1"/>
  <c r="AH886" i="7"/>
  <c r="AE886" i="7"/>
  <c r="AD886" i="7"/>
  <c r="AC886" i="7"/>
  <c r="V886" i="7"/>
  <c r="U886" i="7"/>
  <c r="T886" i="7"/>
  <c r="P886" i="7"/>
  <c r="O886" i="7"/>
  <c r="N886" i="7"/>
  <c r="M886" i="7"/>
  <c r="J886" i="7"/>
  <c r="AH885" i="7"/>
  <c r="AE885" i="7"/>
  <c r="AD885" i="7"/>
  <c r="AC885" i="7"/>
  <c r="V885" i="7"/>
  <c r="U885" i="7"/>
  <c r="T885" i="7"/>
  <c r="N885" i="7"/>
  <c r="M885" i="7"/>
  <c r="J885" i="7"/>
  <c r="AH884" i="7"/>
  <c r="AE884" i="7"/>
  <c r="AD884" i="7"/>
  <c r="AC884" i="7"/>
  <c r="V884" i="7"/>
  <c r="U884" i="7"/>
  <c r="T884" i="7"/>
  <c r="O884" i="7"/>
  <c r="N884" i="7"/>
  <c r="M884" i="7"/>
  <c r="J884" i="7"/>
  <c r="P884" i="7" s="1"/>
  <c r="AH883" i="7"/>
  <c r="AE883" i="7"/>
  <c r="AD883" i="7"/>
  <c r="AC883" i="7"/>
  <c r="V883" i="7"/>
  <c r="U883" i="7"/>
  <c r="T883" i="7"/>
  <c r="N883" i="7"/>
  <c r="M883" i="7"/>
  <c r="J883" i="7"/>
  <c r="AH882" i="7"/>
  <c r="AE882" i="7"/>
  <c r="AD882" i="7"/>
  <c r="AC882" i="7"/>
  <c r="V882" i="7"/>
  <c r="U882" i="7"/>
  <c r="T882" i="7"/>
  <c r="N882" i="7"/>
  <c r="M882" i="7"/>
  <c r="J882" i="7"/>
  <c r="AH881" i="7"/>
  <c r="AE881" i="7"/>
  <c r="AD881" i="7"/>
  <c r="AC881" i="7"/>
  <c r="V881" i="7"/>
  <c r="U881" i="7"/>
  <c r="T881" i="7"/>
  <c r="O881" i="7"/>
  <c r="N881" i="7"/>
  <c r="M881" i="7"/>
  <c r="J881" i="7"/>
  <c r="P881" i="7" s="1"/>
  <c r="AH880" i="7"/>
  <c r="AE880" i="7"/>
  <c r="AD880" i="7"/>
  <c r="AC880" i="7"/>
  <c r="V880" i="7"/>
  <c r="U880" i="7"/>
  <c r="T880" i="7"/>
  <c r="O880" i="7"/>
  <c r="N880" i="7"/>
  <c r="M880" i="7"/>
  <c r="J880" i="7"/>
  <c r="P880" i="7" s="1"/>
  <c r="AH879" i="7"/>
  <c r="AE879" i="7"/>
  <c r="AD879" i="7"/>
  <c r="AC879" i="7"/>
  <c r="V879" i="7"/>
  <c r="U879" i="7"/>
  <c r="T879" i="7"/>
  <c r="N879" i="7"/>
  <c r="M879" i="7"/>
  <c r="J879" i="7"/>
  <c r="P879" i="7" s="1"/>
  <c r="AH878" i="7"/>
  <c r="AE878" i="7"/>
  <c r="AD878" i="7"/>
  <c r="AC878" i="7"/>
  <c r="V878" i="7"/>
  <c r="U878" i="7"/>
  <c r="T878" i="7"/>
  <c r="N878" i="7"/>
  <c r="M878" i="7"/>
  <c r="J878" i="7"/>
  <c r="P878" i="7" s="1"/>
  <c r="AH877" i="7"/>
  <c r="AE877" i="7"/>
  <c r="AD877" i="7"/>
  <c r="AC877" i="7"/>
  <c r="V877" i="7"/>
  <c r="U877" i="7"/>
  <c r="T877" i="7"/>
  <c r="P877" i="7"/>
  <c r="O877" i="7"/>
  <c r="N877" i="7"/>
  <c r="M877" i="7"/>
  <c r="J877" i="7"/>
  <c r="AH876" i="7"/>
  <c r="AE876" i="7"/>
  <c r="AD876" i="7"/>
  <c r="AC876" i="7"/>
  <c r="V876" i="7"/>
  <c r="U876" i="7"/>
  <c r="T876" i="7"/>
  <c r="N876" i="7"/>
  <c r="M876" i="7"/>
  <c r="J876" i="7"/>
  <c r="P876" i="7" s="1"/>
  <c r="AH875" i="7"/>
  <c r="AE875" i="7"/>
  <c r="AD875" i="7"/>
  <c r="AC875" i="7"/>
  <c r="V875" i="7"/>
  <c r="U875" i="7"/>
  <c r="T875" i="7"/>
  <c r="N875" i="7"/>
  <c r="M875" i="7"/>
  <c r="J875" i="7"/>
  <c r="P875" i="7" s="1"/>
  <c r="AH874" i="7"/>
  <c r="AE874" i="7"/>
  <c r="AD874" i="7"/>
  <c r="AC874" i="7"/>
  <c r="V874" i="7"/>
  <c r="U874" i="7"/>
  <c r="T874" i="7"/>
  <c r="N874" i="7"/>
  <c r="M874" i="7"/>
  <c r="J874" i="7"/>
  <c r="P874" i="7" s="1"/>
  <c r="AH873" i="7"/>
  <c r="AE873" i="7"/>
  <c r="AD873" i="7"/>
  <c r="AC873" i="7"/>
  <c r="V873" i="7"/>
  <c r="U873" i="7"/>
  <c r="T873" i="7"/>
  <c r="N873" i="7"/>
  <c r="M873" i="7"/>
  <c r="J873" i="7"/>
  <c r="P873" i="7" s="1"/>
  <c r="AH872" i="7"/>
  <c r="AE872" i="7"/>
  <c r="AD872" i="7"/>
  <c r="AC872" i="7"/>
  <c r="V872" i="7"/>
  <c r="U872" i="7"/>
  <c r="T872" i="7"/>
  <c r="N872" i="7"/>
  <c r="M872" i="7"/>
  <c r="J872" i="7"/>
  <c r="P872" i="7" s="1"/>
  <c r="AH871" i="7"/>
  <c r="AE871" i="7"/>
  <c r="AD871" i="7"/>
  <c r="AC871" i="7"/>
  <c r="V871" i="7"/>
  <c r="U871" i="7"/>
  <c r="T871" i="7"/>
  <c r="P871" i="7"/>
  <c r="O871" i="7"/>
  <c r="N871" i="7"/>
  <c r="M871" i="7"/>
  <c r="J871" i="7"/>
  <c r="AH870" i="7"/>
  <c r="AE870" i="7"/>
  <c r="AD870" i="7"/>
  <c r="AC870" i="7"/>
  <c r="V870" i="7"/>
  <c r="U870" i="7"/>
  <c r="T870" i="7"/>
  <c r="O870" i="7"/>
  <c r="N870" i="7"/>
  <c r="M870" i="7"/>
  <c r="J870" i="7"/>
  <c r="P870" i="7" s="1"/>
  <c r="AH869" i="7"/>
  <c r="AE869" i="7"/>
  <c r="AD869" i="7"/>
  <c r="AC869" i="7"/>
  <c r="V869" i="7"/>
  <c r="U869" i="7"/>
  <c r="T869" i="7"/>
  <c r="P869" i="7"/>
  <c r="O869" i="7"/>
  <c r="N869" i="7"/>
  <c r="M869" i="7"/>
  <c r="J869" i="7"/>
  <c r="AH868" i="7"/>
  <c r="AE868" i="7"/>
  <c r="AD868" i="7"/>
  <c r="AC868" i="7"/>
  <c r="V868" i="7"/>
  <c r="U868" i="7"/>
  <c r="T868" i="7"/>
  <c r="N868" i="7"/>
  <c r="M868" i="7"/>
  <c r="J868" i="7"/>
  <c r="P868" i="7" s="1"/>
  <c r="AH867" i="7"/>
  <c r="AE867" i="7"/>
  <c r="AD867" i="7"/>
  <c r="AC867" i="7"/>
  <c r="V867" i="7"/>
  <c r="U867" i="7"/>
  <c r="T867" i="7"/>
  <c r="P867" i="7"/>
  <c r="N867" i="7"/>
  <c r="M867" i="7"/>
  <c r="J867" i="7"/>
  <c r="O867" i="7" s="1"/>
  <c r="AH866" i="7"/>
  <c r="AE866" i="7"/>
  <c r="AD866" i="7"/>
  <c r="AC866" i="7"/>
  <c r="V866" i="7"/>
  <c r="U866" i="7"/>
  <c r="T866" i="7"/>
  <c r="N866" i="7"/>
  <c r="M866" i="7"/>
  <c r="J866" i="7"/>
  <c r="P866" i="7" s="1"/>
  <c r="AH865" i="7"/>
  <c r="AE865" i="7"/>
  <c r="AD865" i="7"/>
  <c r="AC865" i="7"/>
  <c r="V865" i="7"/>
  <c r="U865" i="7"/>
  <c r="T865" i="7"/>
  <c r="N865" i="7"/>
  <c r="M865" i="7"/>
  <c r="J865" i="7"/>
  <c r="O865" i="7" s="1"/>
  <c r="AH864" i="7"/>
  <c r="AE864" i="7"/>
  <c r="AD864" i="7"/>
  <c r="AC864" i="7"/>
  <c r="V864" i="7"/>
  <c r="U864" i="7"/>
  <c r="T864" i="7"/>
  <c r="N864" i="7"/>
  <c r="M864" i="7"/>
  <c r="J864" i="7"/>
  <c r="P864" i="7" s="1"/>
  <c r="AH863" i="7"/>
  <c r="AE863" i="7"/>
  <c r="AD863" i="7"/>
  <c r="AC863" i="7"/>
  <c r="V863" i="7"/>
  <c r="U863" i="7"/>
  <c r="T863" i="7"/>
  <c r="N863" i="7"/>
  <c r="M863" i="7"/>
  <c r="J863" i="7"/>
  <c r="AH862" i="7"/>
  <c r="AE862" i="7"/>
  <c r="AD862" i="7"/>
  <c r="AC862" i="7"/>
  <c r="V862" i="7"/>
  <c r="U862" i="7"/>
  <c r="T862" i="7"/>
  <c r="N862" i="7"/>
  <c r="M862" i="7"/>
  <c r="J862" i="7"/>
  <c r="P862" i="7" s="1"/>
  <c r="AH861" i="7"/>
  <c r="AE861" i="7"/>
  <c r="AD861" i="7"/>
  <c r="AC861" i="7"/>
  <c r="V861" i="7"/>
  <c r="U861" i="7"/>
  <c r="T861" i="7"/>
  <c r="N861" i="7"/>
  <c r="M861" i="7"/>
  <c r="J861" i="7"/>
  <c r="P861" i="7" s="1"/>
  <c r="AH860" i="7"/>
  <c r="AE860" i="7"/>
  <c r="AD860" i="7"/>
  <c r="AC860" i="7"/>
  <c r="V860" i="7"/>
  <c r="U860" i="7"/>
  <c r="T860" i="7"/>
  <c r="N860" i="7"/>
  <c r="M860" i="7"/>
  <c r="J860" i="7"/>
  <c r="P860" i="7" s="1"/>
  <c r="AH859" i="7"/>
  <c r="AE859" i="7"/>
  <c r="AD859" i="7"/>
  <c r="AC859" i="7"/>
  <c r="V859" i="7"/>
  <c r="U859" i="7"/>
  <c r="T859" i="7"/>
  <c r="N859" i="7"/>
  <c r="M859" i="7"/>
  <c r="J859" i="7"/>
  <c r="P859" i="7" s="1"/>
  <c r="AH858" i="7"/>
  <c r="AE858" i="7"/>
  <c r="AD858" i="7"/>
  <c r="AC858" i="7"/>
  <c r="V858" i="7"/>
  <c r="U858" i="7"/>
  <c r="T858" i="7"/>
  <c r="N858" i="7"/>
  <c r="M858" i="7"/>
  <c r="J858" i="7"/>
  <c r="P858" i="7" s="1"/>
  <c r="AH857" i="7"/>
  <c r="AE857" i="7"/>
  <c r="AD857" i="7"/>
  <c r="AC857" i="7"/>
  <c r="V857" i="7"/>
  <c r="U857" i="7"/>
  <c r="T857" i="7"/>
  <c r="N857" i="7"/>
  <c r="M857" i="7"/>
  <c r="J857" i="7"/>
  <c r="P857" i="7" s="1"/>
  <c r="AH856" i="7"/>
  <c r="AE856" i="7"/>
  <c r="AD856" i="7"/>
  <c r="AC856" i="7"/>
  <c r="V856" i="7"/>
  <c r="U856" i="7"/>
  <c r="T856" i="7"/>
  <c r="N856" i="7"/>
  <c r="M856" i="7"/>
  <c r="J856" i="7"/>
  <c r="P856" i="7" s="1"/>
  <c r="AH855" i="7"/>
  <c r="AE855" i="7"/>
  <c r="AD855" i="7"/>
  <c r="AC855" i="7"/>
  <c r="V855" i="7"/>
  <c r="U855" i="7"/>
  <c r="T855" i="7"/>
  <c r="P855" i="7"/>
  <c r="N855" i="7"/>
  <c r="M855" i="7"/>
  <c r="J855" i="7"/>
  <c r="O855" i="7" s="1"/>
  <c r="AH854" i="7"/>
  <c r="AE854" i="7"/>
  <c r="AD854" i="7"/>
  <c r="AC854" i="7"/>
  <c r="V854" i="7"/>
  <c r="U854" i="7"/>
  <c r="T854" i="7"/>
  <c r="O854" i="7"/>
  <c r="N854" i="7"/>
  <c r="M854" i="7"/>
  <c r="J854" i="7"/>
  <c r="P854" i="7" s="1"/>
  <c r="AH853" i="7"/>
  <c r="AE853" i="7"/>
  <c r="AD853" i="7"/>
  <c r="AC853" i="7"/>
  <c r="V853" i="7"/>
  <c r="U853" i="7"/>
  <c r="T853" i="7"/>
  <c r="P853" i="7"/>
  <c r="O853" i="7"/>
  <c r="N853" i="7"/>
  <c r="M853" i="7"/>
  <c r="J853" i="7"/>
  <c r="AH852" i="7"/>
  <c r="AE852" i="7"/>
  <c r="AD852" i="7"/>
  <c r="AC852" i="7"/>
  <c r="V852" i="7"/>
  <c r="U852" i="7"/>
  <c r="T852" i="7"/>
  <c r="N852" i="7"/>
  <c r="M852" i="7"/>
  <c r="J852" i="7"/>
  <c r="P852" i="7" s="1"/>
  <c r="AH851" i="7"/>
  <c r="AE851" i="7"/>
  <c r="AD851" i="7"/>
  <c r="AC851" i="7"/>
  <c r="V851" i="7"/>
  <c r="U851" i="7"/>
  <c r="T851" i="7"/>
  <c r="O851" i="7"/>
  <c r="N851" i="7"/>
  <c r="M851" i="7"/>
  <c r="J851" i="7"/>
  <c r="P851" i="7" s="1"/>
  <c r="AH850" i="7"/>
  <c r="AE850" i="7"/>
  <c r="AD850" i="7"/>
  <c r="AC850" i="7"/>
  <c r="V850" i="7"/>
  <c r="U850" i="7"/>
  <c r="T850" i="7"/>
  <c r="N850" i="7"/>
  <c r="M850" i="7"/>
  <c r="J850" i="7"/>
  <c r="P850" i="7" s="1"/>
  <c r="AH849" i="7"/>
  <c r="AE849" i="7"/>
  <c r="AD849" i="7"/>
  <c r="AC849" i="7"/>
  <c r="V849" i="7"/>
  <c r="U849" i="7"/>
  <c r="T849" i="7"/>
  <c r="P849" i="7"/>
  <c r="N849" i="7"/>
  <c r="M849" i="7"/>
  <c r="J849" i="7"/>
  <c r="O849" i="7" s="1"/>
  <c r="AH848" i="7"/>
  <c r="AE848" i="7"/>
  <c r="AD848" i="7"/>
  <c r="AC848" i="7"/>
  <c r="V848" i="7"/>
  <c r="U848" i="7"/>
  <c r="T848" i="7"/>
  <c r="P848" i="7"/>
  <c r="N848" i="7"/>
  <c r="M848" i="7"/>
  <c r="J848" i="7"/>
  <c r="O848" i="7" s="1"/>
  <c r="AH847" i="7"/>
  <c r="AE847" i="7"/>
  <c r="AD847" i="7"/>
  <c r="AC847" i="7"/>
  <c r="V847" i="7"/>
  <c r="U847" i="7"/>
  <c r="T847" i="7"/>
  <c r="N847" i="7"/>
  <c r="M847" i="7"/>
  <c r="J847" i="7"/>
  <c r="AH846" i="7"/>
  <c r="AE846" i="7"/>
  <c r="AD846" i="7"/>
  <c r="AC846" i="7"/>
  <c r="V846" i="7"/>
  <c r="U846" i="7"/>
  <c r="T846" i="7"/>
  <c r="N846" i="7"/>
  <c r="M846" i="7"/>
  <c r="J846" i="7"/>
  <c r="P846" i="7" s="1"/>
  <c r="AH845" i="7"/>
  <c r="AE845" i="7"/>
  <c r="AD845" i="7"/>
  <c r="AC845" i="7"/>
  <c r="V845" i="7"/>
  <c r="U845" i="7"/>
  <c r="T845" i="7"/>
  <c r="O845" i="7"/>
  <c r="N845" i="7"/>
  <c r="M845" i="7"/>
  <c r="J845" i="7"/>
  <c r="P845" i="7" s="1"/>
  <c r="AH844" i="7"/>
  <c r="AE844" i="7"/>
  <c r="AD844" i="7"/>
  <c r="AC844" i="7"/>
  <c r="V844" i="7"/>
  <c r="U844" i="7"/>
  <c r="T844" i="7"/>
  <c r="O844" i="7"/>
  <c r="N844" i="7"/>
  <c r="M844" i="7"/>
  <c r="J844" i="7"/>
  <c r="P844" i="7" s="1"/>
  <c r="AH843" i="7"/>
  <c r="AE843" i="7"/>
  <c r="AD843" i="7"/>
  <c r="AC843" i="7"/>
  <c r="V843" i="7"/>
  <c r="U843" i="7"/>
  <c r="T843" i="7"/>
  <c r="N843" i="7"/>
  <c r="M843" i="7"/>
  <c r="J843" i="7"/>
  <c r="P843" i="7" s="1"/>
  <c r="AH842" i="7"/>
  <c r="AE842" i="7"/>
  <c r="AD842" i="7"/>
  <c r="AC842" i="7"/>
  <c r="V842" i="7"/>
  <c r="U842" i="7"/>
  <c r="T842" i="7"/>
  <c r="N842" i="7"/>
  <c r="M842" i="7"/>
  <c r="J842" i="7"/>
  <c r="P842" i="7" s="1"/>
  <c r="AH841" i="7"/>
  <c r="AE841" i="7"/>
  <c r="AD841" i="7"/>
  <c r="AC841" i="7"/>
  <c r="V841" i="7"/>
  <c r="U841" i="7"/>
  <c r="T841" i="7"/>
  <c r="N841" i="7"/>
  <c r="M841" i="7"/>
  <c r="J841" i="7"/>
  <c r="P841" i="7" s="1"/>
  <c r="AH840" i="7"/>
  <c r="AE840" i="7"/>
  <c r="AD840" i="7"/>
  <c r="AC840" i="7"/>
  <c r="V840" i="7"/>
  <c r="U840" i="7"/>
  <c r="T840" i="7"/>
  <c r="O840" i="7"/>
  <c r="N840" i="7"/>
  <c r="M840" i="7"/>
  <c r="J840" i="7"/>
  <c r="P840" i="7" s="1"/>
  <c r="AH839" i="7"/>
  <c r="AE839" i="7"/>
  <c r="AD839" i="7"/>
  <c r="AC839" i="7"/>
  <c r="V839" i="7"/>
  <c r="U839" i="7"/>
  <c r="T839" i="7"/>
  <c r="P839" i="7"/>
  <c r="O839" i="7"/>
  <c r="N839" i="7"/>
  <c r="M839" i="7"/>
  <c r="J839" i="7"/>
  <c r="AH838" i="7"/>
  <c r="AE838" i="7"/>
  <c r="AD838" i="7"/>
  <c r="AC838" i="7"/>
  <c r="V838" i="7"/>
  <c r="U838" i="7"/>
  <c r="T838" i="7"/>
  <c r="N838" i="7"/>
  <c r="M838" i="7"/>
  <c r="J838" i="7"/>
  <c r="P838" i="7" s="1"/>
  <c r="AH837" i="7"/>
  <c r="AE837" i="7"/>
  <c r="AD837" i="7"/>
  <c r="AC837" i="7"/>
  <c r="V837" i="7"/>
  <c r="U837" i="7"/>
  <c r="T837" i="7"/>
  <c r="O837" i="7"/>
  <c r="N837" i="7"/>
  <c r="M837" i="7"/>
  <c r="J837" i="7"/>
  <c r="P837" i="7" s="1"/>
  <c r="AH836" i="7"/>
  <c r="AE836" i="7"/>
  <c r="AD836" i="7"/>
  <c r="AC836" i="7"/>
  <c r="V836" i="7"/>
  <c r="U836" i="7"/>
  <c r="T836" i="7"/>
  <c r="N836" i="7"/>
  <c r="M836" i="7"/>
  <c r="J836" i="7"/>
  <c r="P836" i="7" s="1"/>
  <c r="AH835" i="7"/>
  <c r="AE835" i="7"/>
  <c r="AD835" i="7"/>
  <c r="AC835" i="7"/>
  <c r="V835" i="7"/>
  <c r="U835" i="7"/>
  <c r="T835" i="7"/>
  <c r="N835" i="7"/>
  <c r="M835" i="7"/>
  <c r="J835" i="7"/>
  <c r="P835" i="7" s="1"/>
  <c r="AH834" i="7"/>
  <c r="AE834" i="7"/>
  <c r="AD834" i="7"/>
  <c r="AC834" i="7"/>
  <c r="V834" i="7"/>
  <c r="U834" i="7"/>
  <c r="T834" i="7"/>
  <c r="N834" i="7"/>
  <c r="M834" i="7"/>
  <c r="J834" i="7"/>
  <c r="P834" i="7" s="1"/>
  <c r="AH833" i="7"/>
  <c r="AE833" i="7"/>
  <c r="AD833" i="7"/>
  <c r="AC833" i="7"/>
  <c r="V833" i="7"/>
  <c r="U833" i="7"/>
  <c r="T833" i="7"/>
  <c r="N833" i="7"/>
  <c r="M833" i="7"/>
  <c r="J833" i="7"/>
  <c r="O833" i="7" s="1"/>
  <c r="AH832" i="7"/>
  <c r="AE832" i="7"/>
  <c r="AD832" i="7"/>
  <c r="AC832" i="7"/>
  <c r="V832" i="7"/>
  <c r="U832" i="7"/>
  <c r="T832" i="7"/>
  <c r="N832" i="7"/>
  <c r="M832" i="7"/>
  <c r="J832" i="7"/>
  <c r="O832" i="7" s="1"/>
  <c r="AH831" i="7"/>
  <c r="AE831" i="7"/>
  <c r="AD831" i="7"/>
  <c r="AC831" i="7"/>
  <c r="V831" i="7"/>
  <c r="U831" i="7"/>
  <c r="T831" i="7"/>
  <c r="N831" i="7"/>
  <c r="M831" i="7"/>
  <c r="J831" i="7"/>
  <c r="AH830" i="7"/>
  <c r="AE830" i="7"/>
  <c r="AD830" i="7"/>
  <c r="AC830" i="7"/>
  <c r="V830" i="7"/>
  <c r="U830" i="7"/>
  <c r="T830" i="7"/>
  <c r="P830" i="7"/>
  <c r="O830" i="7"/>
  <c r="N830" i="7"/>
  <c r="M830" i="7"/>
  <c r="J830" i="7"/>
  <c r="AH829" i="7"/>
  <c r="AE829" i="7"/>
  <c r="AD829" i="7"/>
  <c r="AC829" i="7"/>
  <c r="V829" i="7"/>
  <c r="U829" i="7"/>
  <c r="T829" i="7"/>
  <c r="O829" i="7"/>
  <c r="N829" i="7"/>
  <c r="M829" i="7"/>
  <c r="J829" i="7"/>
  <c r="P829" i="7" s="1"/>
  <c r="AH828" i="7"/>
  <c r="AE828" i="7"/>
  <c r="AD828" i="7"/>
  <c r="AC828" i="7"/>
  <c r="V828" i="7"/>
  <c r="U828" i="7"/>
  <c r="T828" i="7"/>
  <c r="O828" i="7"/>
  <c r="N828" i="7"/>
  <c r="M828" i="7"/>
  <c r="J828" i="7"/>
  <c r="P828" i="7" s="1"/>
  <c r="AH827" i="7"/>
  <c r="AE827" i="7"/>
  <c r="AD827" i="7"/>
  <c r="AC827" i="7"/>
  <c r="V827" i="7"/>
  <c r="U827" i="7"/>
  <c r="T827" i="7"/>
  <c r="N827" i="7"/>
  <c r="M827" i="7"/>
  <c r="J827" i="7"/>
  <c r="AH826" i="7"/>
  <c r="AE826" i="7"/>
  <c r="AD826" i="7"/>
  <c r="AC826" i="7"/>
  <c r="V826" i="7"/>
  <c r="U826" i="7"/>
  <c r="T826" i="7"/>
  <c r="N826" i="7"/>
  <c r="M826" i="7"/>
  <c r="J826" i="7"/>
  <c r="AH825" i="7"/>
  <c r="AE825" i="7"/>
  <c r="AD825" i="7"/>
  <c r="AC825" i="7"/>
  <c r="V825" i="7"/>
  <c r="U825" i="7"/>
  <c r="T825" i="7"/>
  <c r="N825" i="7"/>
  <c r="M825" i="7"/>
  <c r="J825" i="7"/>
  <c r="AH824" i="7"/>
  <c r="AE824" i="7"/>
  <c r="AD824" i="7"/>
  <c r="AC824" i="7"/>
  <c r="V824" i="7"/>
  <c r="U824" i="7"/>
  <c r="T824" i="7"/>
  <c r="P824" i="7"/>
  <c r="O824" i="7"/>
  <c r="N824" i="7"/>
  <c r="M824" i="7"/>
  <c r="J824" i="7"/>
  <c r="AH823" i="7"/>
  <c r="AE823" i="7"/>
  <c r="AD823" i="7"/>
  <c r="AC823" i="7"/>
  <c r="V823" i="7"/>
  <c r="U823" i="7"/>
  <c r="T823" i="7"/>
  <c r="P823" i="7"/>
  <c r="N823" i="7"/>
  <c r="M823" i="7"/>
  <c r="J823" i="7"/>
  <c r="O823" i="7" s="1"/>
  <c r="AH822" i="7"/>
  <c r="AE822" i="7"/>
  <c r="AD822" i="7"/>
  <c r="AC822" i="7"/>
  <c r="V822" i="7"/>
  <c r="U822" i="7"/>
  <c r="T822" i="7"/>
  <c r="N822" i="7"/>
  <c r="M822" i="7"/>
  <c r="J822" i="7"/>
  <c r="P822" i="7" s="1"/>
  <c r="AH821" i="7"/>
  <c r="AE821" i="7"/>
  <c r="AD821" i="7"/>
  <c r="AC821" i="7"/>
  <c r="V821" i="7"/>
  <c r="U821" i="7"/>
  <c r="T821" i="7"/>
  <c r="N821" i="7"/>
  <c r="M821" i="7"/>
  <c r="J821" i="7"/>
  <c r="P821" i="7" s="1"/>
  <c r="AH820" i="7"/>
  <c r="AE820" i="7"/>
  <c r="AD820" i="7"/>
  <c r="AC820" i="7"/>
  <c r="V820" i="7"/>
  <c r="U820" i="7"/>
  <c r="T820" i="7"/>
  <c r="N820" i="7"/>
  <c r="M820" i="7"/>
  <c r="J820" i="7"/>
  <c r="P820" i="7" s="1"/>
  <c r="AH819" i="7"/>
  <c r="AE819" i="7"/>
  <c r="AD819" i="7"/>
  <c r="AC819" i="7"/>
  <c r="V819" i="7"/>
  <c r="U819" i="7"/>
  <c r="T819" i="7"/>
  <c r="N819" i="7"/>
  <c r="M819" i="7"/>
  <c r="J819" i="7"/>
  <c r="P819" i="7" s="1"/>
  <c r="AH818" i="7"/>
  <c r="AE818" i="7"/>
  <c r="AD818" i="7"/>
  <c r="AC818" i="7"/>
  <c r="V818" i="7"/>
  <c r="U818" i="7"/>
  <c r="T818" i="7"/>
  <c r="N818" i="7"/>
  <c r="M818" i="7"/>
  <c r="J818" i="7"/>
  <c r="AH817" i="7"/>
  <c r="AE817" i="7"/>
  <c r="AD817" i="7"/>
  <c r="AC817" i="7"/>
  <c r="V817" i="7"/>
  <c r="U817" i="7"/>
  <c r="T817" i="7"/>
  <c r="N817" i="7"/>
  <c r="M817" i="7"/>
  <c r="J817" i="7"/>
  <c r="AH816" i="7"/>
  <c r="AE816" i="7"/>
  <c r="AD816" i="7"/>
  <c r="AC816" i="7"/>
  <c r="V816" i="7"/>
  <c r="U816" i="7"/>
  <c r="T816" i="7"/>
  <c r="N816" i="7"/>
  <c r="M816" i="7"/>
  <c r="J816" i="7"/>
  <c r="AH815" i="7"/>
  <c r="AE815" i="7"/>
  <c r="AD815" i="7"/>
  <c r="AC815" i="7"/>
  <c r="V815" i="7"/>
  <c r="U815" i="7"/>
  <c r="T815" i="7"/>
  <c r="O815" i="7"/>
  <c r="N815" i="7"/>
  <c r="M815" i="7"/>
  <c r="J815" i="7"/>
  <c r="P815" i="7" s="1"/>
  <c r="AH814" i="7"/>
  <c r="AE814" i="7"/>
  <c r="AD814" i="7"/>
  <c r="AC814" i="7"/>
  <c r="V814" i="7"/>
  <c r="U814" i="7"/>
  <c r="T814" i="7"/>
  <c r="O814" i="7"/>
  <c r="N814" i="7"/>
  <c r="M814" i="7"/>
  <c r="J814" i="7"/>
  <c r="P814" i="7" s="1"/>
  <c r="AH813" i="7"/>
  <c r="AE813" i="7"/>
  <c r="AD813" i="7"/>
  <c r="AC813" i="7"/>
  <c r="V813" i="7"/>
  <c r="U813" i="7"/>
  <c r="T813" i="7"/>
  <c r="N813" i="7"/>
  <c r="M813" i="7"/>
  <c r="J813" i="7"/>
  <c r="P813" i="7" s="1"/>
  <c r="AH812" i="7"/>
  <c r="AE812" i="7"/>
  <c r="AD812" i="7"/>
  <c r="AC812" i="7"/>
  <c r="V812" i="7"/>
  <c r="U812" i="7"/>
  <c r="T812" i="7"/>
  <c r="N812" i="7"/>
  <c r="M812" i="7"/>
  <c r="J812" i="7"/>
  <c r="P812" i="7" s="1"/>
  <c r="AH811" i="7"/>
  <c r="AE811" i="7"/>
  <c r="AD811" i="7"/>
  <c r="AC811" i="7"/>
  <c r="V811" i="7"/>
  <c r="U811" i="7"/>
  <c r="T811" i="7"/>
  <c r="P811" i="7"/>
  <c r="O811" i="7"/>
  <c r="N811" i="7"/>
  <c r="M811" i="7"/>
  <c r="J811" i="7"/>
  <c r="AH810" i="7"/>
  <c r="AE810" i="7"/>
  <c r="AD810" i="7"/>
  <c r="AC810" i="7"/>
  <c r="V810" i="7"/>
  <c r="U810" i="7"/>
  <c r="T810" i="7"/>
  <c r="N810" i="7"/>
  <c r="M810" i="7"/>
  <c r="J810" i="7"/>
  <c r="AH809" i="7"/>
  <c r="AE809" i="7"/>
  <c r="AD809" i="7"/>
  <c r="AC809" i="7"/>
  <c r="V809" i="7"/>
  <c r="U809" i="7"/>
  <c r="T809" i="7"/>
  <c r="N809" i="7"/>
  <c r="M809" i="7"/>
  <c r="J809" i="7"/>
  <c r="P809" i="7" s="1"/>
  <c r="AH808" i="7"/>
  <c r="AE808" i="7"/>
  <c r="AD808" i="7"/>
  <c r="AC808" i="7"/>
  <c r="V808" i="7"/>
  <c r="U808" i="7"/>
  <c r="T808" i="7"/>
  <c r="N808" i="7"/>
  <c r="M808" i="7"/>
  <c r="J808" i="7"/>
  <c r="AH807" i="7"/>
  <c r="AE807" i="7"/>
  <c r="AD807" i="7"/>
  <c r="AC807" i="7"/>
  <c r="V807" i="7"/>
  <c r="U807" i="7"/>
  <c r="T807" i="7"/>
  <c r="N807" i="7"/>
  <c r="M807" i="7"/>
  <c r="J807" i="7"/>
  <c r="P807" i="7" s="1"/>
  <c r="AH806" i="7"/>
  <c r="AE806" i="7"/>
  <c r="AD806" i="7"/>
  <c r="AC806" i="7"/>
  <c r="V806" i="7"/>
  <c r="U806" i="7"/>
  <c r="T806" i="7"/>
  <c r="O806" i="7"/>
  <c r="N806" i="7"/>
  <c r="M806" i="7"/>
  <c r="J806" i="7"/>
  <c r="P806" i="7" s="1"/>
  <c r="AH805" i="7"/>
  <c r="AE805" i="7"/>
  <c r="AD805" i="7"/>
  <c r="AC805" i="7"/>
  <c r="V805" i="7"/>
  <c r="U805" i="7"/>
  <c r="T805" i="7"/>
  <c r="O805" i="7"/>
  <c r="N805" i="7"/>
  <c r="M805" i="7"/>
  <c r="J805" i="7"/>
  <c r="P805" i="7" s="1"/>
  <c r="AH804" i="7"/>
  <c r="AE804" i="7"/>
  <c r="AD804" i="7"/>
  <c r="AC804" i="7"/>
  <c r="V804" i="7"/>
  <c r="U804" i="7"/>
  <c r="T804" i="7"/>
  <c r="N804" i="7"/>
  <c r="M804" i="7"/>
  <c r="J804" i="7"/>
  <c r="P804" i="7" s="1"/>
  <c r="AH803" i="7"/>
  <c r="AE803" i="7"/>
  <c r="AD803" i="7"/>
  <c r="AC803" i="7"/>
  <c r="V803" i="7"/>
  <c r="U803" i="7"/>
  <c r="T803" i="7"/>
  <c r="N803" i="7"/>
  <c r="M803" i="7"/>
  <c r="J803" i="7"/>
  <c r="P803" i="7" s="1"/>
  <c r="AH802" i="7"/>
  <c r="AE802" i="7"/>
  <c r="AD802" i="7"/>
  <c r="AC802" i="7"/>
  <c r="V802" i="7"/>
  <c r="U802" i="7"/>
  <c r="T802" i="7"/>
  <c r="O802" i="7"/>
  <c r="N802" i="7"/>
  <c r="M802" i="7"/>
  <c r="J802" i="7"/>
  <c r="P802" i="7" s="1"/>
  <c r="AH801" i="7"/>
  <c r="AE801" i="7"/>
  <c r="AD801" i="7"/>
  <c r="AC801" i="7"/>
  <c r="V801" i="7"/>
  <c r="U801" i="7"/>
  <c r="T801" i="7"/>
  <c r="N801" i="7"/>
  <c r="M801" i="7"/>
  <c r="J801" i="7"/>
  <c r="P801" i="7" s="1"/>
  <c r="AH800" i="7"/>
  <c r="AE800" i="7"/>
  <c r="AD800" i="7"/>
  <c r="AC800" i="7"/>
  <c r="V800" i="7"/>
  <c r="U800" i="7"/>
  <c r="T800" i="7"/>
  <c r="O800" i="7"/>
  <c r="N800" i="7"/>
  <c r="M800" i="7"/>
  <c r="J800" i="7"/>
  <c r="P800" i="7" s="1"/>
  <c r="AH799" i="7"/>
  <c r="AE799" i="7"/>
  <c r="AD799" i="7"/>
  <c r="AC799" i="7"/>
  <c r="V799" i="7"/>
  <c r="U799" i="7"/>
  <c r="T799" i="7"/>
  <c r="O799" i="7"/>
  <c r="N799" i="7"/>
  <c r="M799" i="7"/>
  <c r="J799" i="7"/>
  <c r="P799" i="7" s="1"/>
  <c r="AH798" i="7"/>
  <c r="AE798" i="7"/>
  <c r="AD798" i="7"/>
  <c r="AC798" i="7"/>
  <c r="V798" i="7"/>
  <c r="U798" i="7"/>
  <c r="T798" i="7"/>
  <c r="O798" i="7"/>
  <c r="N798" i="7"/>
  <c r="M798" i="7"/>
  <c r="J798" i="7"/>
  <c r="P798" i="7" s="1"/>
  <c r="AH797" i="7"/>
  <c r="AE797" i="7"/>
  <c r="AD797" i="7"/>
  <c r="AC797" i="7"/>
  <c r="V797" i="7"/>
  <c r="U797" i="7"/>
  <c r="T797" i="7"/>
  <c r="N797" i="7"/>
  <c r="M797" i="7"/>
  <c r="J797" i="7"/>
  <c r="P797" i="7" s="1"/>
  <c r="AH796" i="7"/>
  <c r="AE796" i="7"/>
  <c r="AD796" i="7"/>
  <c r="AC796" i="7"/>
  <c r="V796" i="7"/>
  <c r="U796" i="7"/>
  <c r="T796" i="7"/>
  <c r="N796" i="7"/>
  <c r="M796" i="7"/>
  <c r="J796" i="7"/>
  <c r="P796" i="7" s="1"/>
  <c r="AH795" i="7"/>
  <c r="AE795" i="7"/>
  <c r="AD795" i="7"/>
  <c r="AC795" i="7"/>
  <c r="V795" i="7"/>
  <c r="U795" i="7"/>
  <c r="T795" i="7"/>
  <c r="O795" i="7"/>
  <c r="N795" i="7"/>
  <c r="M795" i="7"/>
  <c r="J795" i="7"/>
  <c r="P795" i="7" s="1"/>
  <c r="AH794" i="7"/>
  <c r="AE794" i="7"/>
  <c r="AD794" i="7"/>
  <c r="AC794" i="7"/>
  <c r="V794" i="7"/>
  <c r="U794" i="7"/>
  <c r="T794" i="7"/>
  <c r="N794" i="7"/>
  <c r="M794" i="7"/>
  <c r="J794" i="7"/>
  <c r="AH793" i="7"/>
  <c r="AE793" i="7"/>
  <c r="AD793" i="7"/>
  <c r="AC793" i="7"/>
  <c r="V793" i="7"/>
  <c r="U793" i="7"/>
  <c r="T793" i="7"/>
  <c r="N793" i="7"/>
  <c r="M793" i="7"/>
  <c r="J793" i="7"/>
  <c r="P793" i="7" s="1"/>
  <c r="AH792" i="7"/>
  <c r="AE792" i="7"/>
  <c r="AD792" i="7"/>
  <c r="AC792" i="7"/>
  <c r="V792" i="7"/>
  <c r="U792" i="7"/>
  <c r="T792" i="7"/>
  <c r="N792" i="7"/>
  <c r="M792" i="7"/>
  <c r="J792" i="7"/>
  <c r="AH791" i="7"/>
  <c r="AE791" i="7"/>
  <c r="AD791" i="7"/>
  <c r="AC791" i="7"/>
  <c r="V791" i="7"/>
  <c r="U791" i="7"/>
  <c r="T791" i="7"/>
  <c r="P791" i="7"/>
  <c r="O791" i="7"/>
  <c r="N791" i="7"/>
  <c r="M791" i="7"/>
  <c r="J791" i="7"/>
  <c r="AH790" i="7"/>
  <c r="AE790" i="7"/>
  <c r="AD790" i="7"/>
  <c r="AC790" i="7"/>
  <c r="V790" i="7"/>
  <c r="U790" i="7"/>
  <c r="T790" i="7"/>
  <c r="N790" i="7"/>
  <c r="M790" i="7"/>
  <c r="J790" i="7"/>
  <c r="P790" i="7" s="1"/>
  <c r="AH789" i="7"/>
  <c r="AE789" i="7"/>
  <c r="AD789" i="7"/>
  <c r="AC789" i="7"/>
  <c r="V789" i="7"/>
  <c r="U789" i="7"/>
  <c r="T789" i="7"/>
  <c r="O789" i="7"/>
  <c r="N789" i="7"/>
  <c r="M789" i="7"/>
  <c r="J789" i="7"/>
  <c r="P789" i="7" s="1"/>
  <c r="AH788" i="7"/>
  <c r="AE788" i="7"/>
  <c r="AD788" i="7"/>
  <c r="AC788" i="7"/>
  <c r="V788" i="7"/>
  <c r="U788" i="7"/>
  <c r="T788" i="7"/>
  <c r="N788" i="7"/>
  <c r="M788" i="7"/>
  <c r="J788" i="7"/>
  <c r="P788" i="7" s="1"/>
  <c r="AH787" i="7"/>
  <c r="AE787" i="7"/>
  <c r="AD787" i="7"/>
  <c r="AC787" i="7"/>
  <c r="V787" i="7"/>
  <c r="U787" i="7"/>
  <c r="T787" i="7"/>
  <c r="N787" i="7"/>
  <c r="M787" i="7"/>
  <c r="J787" i="7"/>
  <c r="P787" i="7" s="1"/>
  <c r="AH786" i="7"/>
  <c r="AE786" i="7"/>
  <c r="AD786" i="7"/>
  <c r="AC786" i="7"/>
  <c r="V786" i="7"/>
  <c r="U786" i="7"/>
  <c r="T786" i="7"/>
  <c r="O786" i="7"/>
  <c r="N786" i="7"/>
  <c r="M786" i="7"/>
  <c r="J786" i="7"/>
  <c r="P786" i="7" s="1"/>
  <c r="AH785" i="7"/>
  <c r="AE785" i="7"/>
  <c r="AD785" i="7"/>
  <c r="AC785" i="7"/>
  <c r="V785" i="7"/>
  <c r="U785" i="7"/>
  <c r="T785" i="7"/>
  <c r="N785" i="7"/>
  <c r="M785" i="7"/>
  <c r="J785" i="7"/>
  <c r="P785" i="7" s="1"/>
  <c r="AH784" i="7"/>
  <c r="AE784" i="7"/>
  <c r="AD784" i="7"/>
  <c r="AC784" i="7"/>
  <c r="V784" i="7"/>
  <c r="U784" i="7"/>
  <c r="T784" i="7"/>
  <c r="N784" i="7"/>
  <c r="M784" i="7"/>
  <c r="J784" i="7"/>
  <c r="P784" i="7" s="1"/>
  <c r="AH783" i="7"/>
  <c r="AE783" i="7"/>
  <c r="AD783" i="7"/>
  <c r="AC783" i="7"/>
  <c r="V783" i="7"/>
  <c r="U783" i="7"/>
  <c r="T783" i="7"/>
  <c r="O783" i="7"/>
  <c r="N783" i="7"/>
  <c r="M783" i="7"/>
  <c r="J783" i="7"/>
  <c r="P783" i="7" s="1"/>
  <c r="AH782" i="7"/>
  <c r="AE782" i="7"/>
  <c r="AD782" i="7"/>
  <c r="AC782" i="7"/>
  <c r="V782" i="7"/>
  <c r="U782" i="7"/>
  <c r="T782" i="7"/>
  <c r="P782" i="7"/>
  <c r="N782" i="7"/>
  <c r="M782" i="7"/>
  <c r="J782" i="7"/>
  <c r="O782" i="7" s="1"/>
  <c r="AH781" i="7"/>
  <c r="AE781" i="7"/>
  <c r="AD781" i="7"/>
  <c r="AC781" i="7"/>
  <c r="V781" i="7"/>
  <c r="U781" i="7"/>
  <c r="T781" i="7"/>
  <c r="N781" i="7"/>
  <c r="M781" i="7"/>
  <c r="J781" i="7"/>
  <c r="P781" i="7" s="1"/>
  <c r="AH780" i="7"/>
  <c r="AE780" i="7"/>
  <c r="AD780" i="7"/>
  <c r="AC780" i="7"/>
  <c r="V780" i="7"/>
  <c r="U780" i="7"/>
  <c r="T780" i="7"/>
  <c r="N780" i="7"/>
  <c r="M780" i="7"/>
  <c r="J780" i="7"/>
  <c r="P780" i="7" s="1"/>
  <c r="AH779" i="7"/>
  <c r="AE779" i="7"/>
  <c r="AD779" i="7"/>
  <c r="AC779" i="7"/>
  <c r="V779" i="7"/>
  <c r="U779" i="7"/>
  <c r="T779" i="7"/>
  <c r="P779" i="7"/>
  <c r="N779" i="7"/>
  <c r="M779" i="7"/>
  <c r="J779" i="7"/>
  <c r="O779" i="7" s="1"/>
  <c r="AH778" i="7"/>
  <c r="AE778" i="7"/>
  <c r="AD778" i="7"/>
  <c r="AC778" i="7"/>
  <c r="V778" i="7"/>
  <c r="U778" i="7"/>
  <c r="T778" i="7"/>
  <c r="N778" i="7"/>
  <c r="M778" i="7"/>
  <c r="J778" i="7"/>
  <c r="AH777" i="7"/>
  <c r="AE777" i="7"/>
  <c r="AD777" i="7"/>
  <c r="AC777" i="7"/>
  <c r="V777" i="7"/>
  <c r="U777" i="7"/>
  <c r="T777" i="7"/>
  <c r="P777" i="7"/>
  <c r="O777" i="7"/>
  <c r="N777" i="7"/>
  <c r="M777" i="7"/>
  <c r="J777" i="7"/>
  <c r="AH776" i="7"/>
  <c r="AE776" i="7"/>
  <c r="AD776" i="7"/>
  <c r="AC776" i="7"/>
  <c r="V776" i="7"/>
  <c r="U776" i="7"/>
  <c r="T776" i="7"/>
  <c r="N776" i="7"/>
  <c r="M776" i="7"/>
  <c r="J776" i="7"/>
  <c r="AH775" i="7"/>
  <c r="AE775" i="7"/>
  <c r="AD775" i="7"/>
  <c r="AC775" i="7"/>
  <c r="V775" i="7"/>
  <c r="U775" i="7"/>
  <c r="T775" i="7"/>
  <c r="N775" i="7"/>
  <c r="M775" i="7"/>
  <c r="J775" i="7"/>
  <c r="P775" i="7" s="1"/>
  <c r="AH774" i="7"/>
  <c r="AE774" i="7"/>
  <c r="AD774" i="7"/>
  <c r="AC774" i="7"/>
  <c r="V774" i="7"/>
  <c r="U774" i="7"/>
  <c r="T774" i="7"/>
  <c r="N774" i="7"/>
  <c r="M774" i="7"/>
  <c r="J774" i="7"/>
  <c r="P774" i="7" s="1"/>
  <c r="AH773" i="7"/>
  <c r="AE773" i="7"/>
  <c r="AD773" i="7"/>
  <c r="AC773" i="7"/>
  <c r="V773" i="7"/>
  <c r="U773" i="7"/>
  <c r="T773" i="7"/>
  <c r="O773" i="7"/>
  <c r="N773" i="7"/>
  <c r="M773" i="7"/>
  <c r="J773" i="7"/>
  <c r="P773" i="7" s="1"/>
  <c r="AH772" i="7"/>
  <c r="AE772" i="7"/>
  <c r="AD772" i="7"/>
  <c r="AC772" i="7"/>
  <c r="V772" i="7"/>
  <c r="U772" i="7"/>
  <c r="T772" i="7"/>
  <c r="N772" i="7"/>
  <c r="M772" i="7"/>
  <c r="J772" i="7"/>
  <c r="P772" i="7" s="1"/>
  <c r="AH771" i="7"/>
  <c r="AE771" i="7"/>
  <c r="AD771" i="7"/>
  <c r="AC771" i="7"/>
  <c r="V771" i="7"/>
  <c r="U771" i="7"/>
  <c r="T771" i="7"/>
  <c r="N771" i="7"/>
  <c r="M771" i="7"/>
  <c r="J771" i="7"/>
  <c r="P771" i="7" s="1"/>
  <c r="AH770" i="7"/>
  <c r="AE770" i="7"/>
  <c r="AD770" i="7"/>
  <c r="AC770" i="7"/>
  <c r="V770" i="7"/>
  <c r="U770" i="7"/>
  <c r="T770" i="7"/>
  <c r="O770" i="7"/>
  <c r="N770" i="7"/>
  <c r="M770" i="7"/>
  <c r="J770" i="7"/>
  <c r="P770" i="7" s="1"/>
  <c r="AH769" i="7"/>
  <c r="AE769" i="7"/>
  <c r="AD769" i="7"/>
  <c r="AC769" i="7"/>
  <c r="V769" i="7"/>
  <c r="U769" i="7"/>
  <c r="T769" i="7"/>
  <c r="N769" i="7"/>
  <c r="M769" i="7"/>
  <c r="J769" i="7"/>
  <c r="P769" i="7" s="1"/>
  <c r="AH768" i="7"/>
  <c r="AE768" i="7"/>
  <c r="AD768" i="7"/>
  <c r="AC768" i="7"/>
  <c r="V768" i="7"/>
  <c r="U768" i="7"/>
  <c r="T768" i="7"/>
  <c r="N768" i="7"/>
  <c r="M768" i="7"/>
  <c r="J768" i="7"/>
  <c r="P768" i="7" s="1"/>
  <c r="AH767" i="7"/>
  <c r="AE767" i="7"/>
  <c r="AD767" i="7"/>
  <c r="AC767" i="7"/>
  <c r="V767" i="7"/>
  <c r="U767" i="7"/>
  <c r="T767" i="7"/>
  <c r="P767" i="7"/>
  <c r="O767" i="7"/>
  <c r="N767" i="7"/>
  <c r="M767" i="7"/>
  <c r="J767" i="7"/>
  <c r="AH766" i="7"/>
  <c r="AE766" i="7"/>
  <c r="AD766" i="7"/>
  <c r="AC766" i="7"/>
  <c r="V766" i="7"/>
  <c r="U766" i="7"/>
  <c r="T766" i="7"/>
  <c r="P766" i="7"/>
  <c r="N766" i="7"/>
  <c r="M766" i="7"/>
  <c r="J766" i="7"/>
  <c r="O766" i="7" s="1"/>
  <c r="AH765" i="7"/>
  <c r="AE765" i="7"/>
  <c r="AD765" i="7"/>
  <c r="AC765" i="7"/>
  <c r="V765" i="7"/>
  <c r="U765" i="7"/>
  <c r="T765" i="7"/>
  <c r="N765" i="7"/>
  <c r="M765" i="7"/>
  <c r="J765" i="7"/>
  <c r="P765" i="7" s="1"/>
  <c r="AH764" i="7"/>
  <c r="AE764" i="7"/>
  <c r="AD764" i="7"/>
  <c r="AC764" i="7"/>
  <c r="V764" i="7"/>
  <c r="U764" i="7"/>
  <c r="T764" i="7"/>
  <c r="N764" i="7"/>
  <c r="M764" i="7"/>
  <c r="J764" i="7"/>
  <c r="P764" i="7" s="1"/>
  <c r="AH763" i="7"/>
  <c r="AE763" i="7"/>
  <c r="AD763" i="7"/>
  <c r="AC763" i="7"/>
  <c r="V763" i="7"/>
  <c r="U763" i="7"/>
  <c r="T763" i="7"/>
  <c r="P763" i="7"/>
  <c r="N763" i="7"/>
  <c r="M763" i="7"/>
  <c r="J763" i="7"/>
  <c r="O763" i="7" s="1"/>
  <c r="AH762" i="7"/>
  <c r="AE762" i="7"/>
  <c r="AD762" i="7"/>
  <c r="AC762" i="7"/>
  <c r="V762" i="7"/>
  <c r="U762" i="7"/>
  <c r="T762" i="7"/>
  <c r="N762" i="7"/>
  <c r="M762" i="7"/>
  <c r="J762" i="7"/>
  <c r="AH761" i="7"/>
  <c r="AE761" i="7"/>
  <c r="AD761" i="7"/>
  <c r="AC761" i="7"/>
  <c r="V761" i="7"/>
  <c r="U761" i="7"/>
  <c r="T761" i="7"/>
  <c r="O761" i="7"/>
  <c r="N761" i="7"/>
  <c r="M761" i="7"/>
  <c r="J761" i="7"/>
  <c r="P761" i="7" s="1"/>
  <c r="AH760" i="7"/>
  <c r="AE760" i="7"/>
  <c r="AD760" i="7"/>
  <c r="AC760" i="7"/>
  <c r="V760" i="7"/>
  <c r="U760" i="7"/>
  <c r="T760" i="7"/>
  <c r="N760" i="7"/>
  <c r="M760" i="7"/>
  <c r="J760" i="7"/>
  <c r="AH759" i="7"/>
  <c r="AE759" i="7"/>
  <c r="AD759" i="7"/>
  <c r="AC759" i="7"/>
  <c r="V759" i="7"/>
  <c r="U759" i="7"/>
  <c r="T759" i="7"/>
  <c r="P759" i="7"/>
  <c r="O759" i="7"/>
  <c r="N759" i="7"/>
  <c r="M759" i="7"/>
  <c r="J759" i="7"/>
  <c r="AH758" i="7"/>
  <c r="AE758" i="7"/>
  <c r="AD758" i="7"/>
  <c r="AC758" i="7"/>
  <c r="V758" i="7"/>
  <c r="U758" i="7"/>
  <c r="T758" i="7"/>
  <c r="N758" i="7"/>
  <c r="M758" i="7"/>
  <c r="J758" i="7"/>
  <c r="P758" i="7" s="1"/>
  <c r="AH757" i="7"/>
  <c r="AE757" i="7"/>
  <c r="AD757" i="7"/>
  <c r="AC757" i="7"/>
  <c r="V757" i="7"/>
  <c r="U757" i="7"/>
  <c r="T757" i="7"/>
  <c r="O757" i="7"/>
  <c r="N757" i="7"/>
  <c r="M757" i="7"/>
  <c r="J757" i="7"/>
  <c r="P757" i="7" s="1"/>
  <c r="AH756" i="7"/>
  <c r="AE756" i="7"/>
  <c r="AD756" i="7"/>
  <c r="AC756" i="7"/>
  <c r="V756" i="7"/>
  <c r="U756" i="7"/>
  <c r="T756" i="7"/>
  <c r="N756" i="7"/>
  <c r="M756" i="7"/>
  <c r="J756" i="7"/>
  <c r="P756" i="7" s="1"/>
  <c r="AH755" i="7"/>
  <c r="AE755" i="7"/>
  <c r="AD755" i="7"/>
  <c r="AC755" i="7"/>
  <c r="V755" i="7"/>
  <c r="U755" i="7"/>
  <c r="T755" i="7"/>
  <c r="N755" i="7"/>
  <c r="M755" i="7"/>
  <c r="J755" i="7"/>
  <c r="O755" i="7" s="1"/>
  <c r="AH754" i="7"/>
  <c r="AE754" i="7"/>
  <c r="AD754" i="7"/>
  <c r="AC754" i="7"/>
  <c r="V754" i="7"/>
  <c r="U754" i="7"/>
  <c r="T754" i="7"/>
  <c r="O754" i="7"/>
  <c r="N754" i="7"/>
  <c r="M754" i="7"/>
  <c r="J754" i="7"/>
  <c r="P754" i="7" s="1"/>
  <c r="AH753" i="7"/>
  <c r="AE753" i="7"/>
  <c r="AD753" i="7"/>
  <c r="AC753" i="7"/>
  <c r="V753" i="7"/>
  <c r="U753" i="7"/>
  <c r="T753" i="7"/>
  <c r="N753" i="7"/>
  <c r="M753" i="7"/>
  <c r="J753" i="7"/>
  <c r="P753" i="7" s="1"/>
  <c r="AH752" i="7"/>
  <c r="AE752" i="7"/>
  <c r="AD752" i="7"/>
  <c r="AC752" i="7"/>
  <c r="V752" i="7"/>
  <c r="U752" i="7"/>
  <c r="T752" i="7"/>
  <c r="N752" i="7"/>
  <c r="M752" i="7"/>
  <c r="J752" i="7"/>
  <c r="P752" i="7" s="1"/>
  <c r="AH751" i="7"/>
  <c r="AE751" i="7"/>
  <c r="AD751" i="7"/>
  <c r="AC751" i="7"/>
  <c r="V751" i="7"/>
  <c r="U751" i="7"/>
  <c r="T751" i="7"/>
  <c r="P751" i="7"/>
  <c r="O751" i="7"/>
  <c r="N751" i="7"/>
  <c r="M751" i="7"/>
  <c r="J751" i="7"/>
  <c r="AH750" i="7"/>
  <c r="AE750" i="7"/>
  <c r="AD750" i="7"/>
  <c r="AC750" i="7"/>
  <c r="V750" i="7"/>
  <c r="U750" i="7"/>
  <c r="T750" i="7"/>
  <c r="P750" i="7"/>
  <c r="N750" i="7"/>
  <c r="M750" i="7"/>
  <c r="J750" i="7"/>
  <c r="O750" i="7" s="1"/>
  <c r="AH749" i="7"/>
  <c r="AE749" i="7"/>
  <c r="AD749" i="7"/>
  <c r="AC749" i="7"/>
  <c r="V749" i="7"/>
  <c r="U749" i="7"/>
  <c r="T749" i="7"/>
  <c r="N749" i="7"/>
  <c r="M749" i="7"/>
  <c r="J749" i="7"/>
  <c r="P749" i="7" s="1"/>
  <c r="AH748" i="7"/>
  <c r="AE748" i="7"/>
  <c r="AD748" i="7"/>
  <c r="AC748" i="7"/>
  <c r="V748" i="7"/>
  <c r="U748" i="7"/>
  <c r="T748" i="7"/>
  <c r="N748" i="7"/>
  <c r="M748" i="7"/>
  <c r="J748" i="7"/>
  <c r="P748" i="7" s="1"/>
  <c r="AH747" i="7"/>
  <c r="AE747" i="7"/>
  <c r="AD747" i="7"/>
  <c r="AC747" i="7"/>
  <c r="V747" i="7"/>
  <c r="U747" i="7"/>
  <c r="T747" i="7"/>
  <c r="P747" i="7"/>
  <c r="N747" i="7"/>
  <c r="M747" i="7"/>
  <c r="J747" i="7"/>
  <c r="O747" i="7" s="1"/>
  <c r="AH746" i="7"/>
  <c r="AE746" i="7"/>
  <c r="AD746" i="7"/>
  <c r="AC746" i="7"/>
  <c r="V746" i="7"/>
  <c r="U746" i="7"/>
  <c r="T746" i="7"/>
  <c r="N746" i="7"/>
  <c r="M746" i="7"/>
  <c r="J746" i="7"/>
  <c r="P746" i="7" s="1"/>
  <c r="AH745" i="7"/>
  <c r="AE745" i="7"/>
  <c r="AD745" i="7"/>
  <c r="AC745" i="7"/>
  <c r="V745" i="7"/>
  <c r="U745" i="7"/>
  <c r="T745" i="7"/>
  <c r="P745" i="7"/>
  <c r="O745" i="7"/>
  <c r="N745" i="7"/>
  <c r="M745" i="7"/>
  <c r="J745" i="7"/>
  <c r="AH744" i="7"/>
  <c r="AE744" i="7"/>
  <c r="AD744" i="7"/>
  <c r="AC744" i="7"/>
  <c r="V744" i="7"/>
  <c r="U744" i="7"/>
  <c r="T744" i="7"/>
  <c r="N744" i="7"/>
  <c r="M744" i="7"/>
  <c r="J744" i="7"/>
  <c r="AH743" i="7"/>
  <c r="AE743" i="7"/>
  <c r="AD743" i="7"/>
  <c r="AC743" i="7"/>
  <c r="V743" i="7"/>
  <c r="U743" i="7"/>
  <c r="T743" i="7"/>
  <c r="N743" i="7"/>
  <c r="M743" i="7"/>
  <c r="J743" i="7"/>
  <c r="P743" i="7" s="1"/>
  <c r="AH742" i="7"/>
  <c r="AE742" i="7"/>
  <c r="AD742" i="7"/>
  <c r="AC742" i="7"/>
  <c r="V742" i="7"/>
  <c r="U742" i="7"/>
  <c r="T742" i="7"/>
  <c r="N742" i="7"/>
  <c r="M742" i="7"/>
  <c r="J742" i="7"/>
  <c r="P742" i="7" s="1"/>
  <c r="AH741" i="7"/>
  <c r="AE741" i="7"/>
  <c r="AD741" i="7"/>
  <c r="AC741" i="7"/>
  <c r="V741" i="7"/>
  <c r="U741" i="7"/>
  <c r="T741" i="7"/>
  <c r="O741" i="7"/>
  <c r="N741" i="7"/>
  <c r="M741" i="7"/>
  <c r="J741" i="7"/>
  <c r="P741" i="7" s="1"/>
  <c r="AH740" i="7"/>
  <c r="AE740" i="7"/>
  <c r="AD740" i="7"/>
  <c r="AC740" i="7"/>
  <c r="V740" i="7"/>
  <c r="U740" i="7"/>
  <c r="T740" i="7"/>
  <c r="N740" i="7"/>
  <c r="M740" i="7"/>
  <c r="J740" i="7"/>
  <c r="P740" i="7" s="1"/>
  <c r="AH739" i="7"/>
  <c r="AE739" i="7"/>
  <c r="AD739" i="7"/>
  <c r="AC739" i="7"/>
  <c r="V739" i="7"/>
  <c r="U739" i="7"/>
  <c r="T739" i="7"/>
  <c r="N739" i="7"/>
  <c r="M739" i="7"/>
  <c r="J739" i="7"/>
  <c r="O739" i="7" s="1"/>
  <c r="AH738" i="7"/>
  <c r="AE738" i="7"/>
  <c r="AD738" i="7"/>
  <c r="AC738" i="7"/>
  <c r="V738" i="7"/>
  <c r="U738" i="7"/>
  <c r="T738" i="7"/>
  <c r="N738" i="7"/>
  <c r="M738" i="7"/>
  <c r="J738" i="7"/>
  <c r="P738" i="7" s="1"/>
  <c r="AH737" i="7"/>
  <c r="AE737" i="7"/>
  <c r="AD737" i="7"/>
  <c r="AC737" i="7"/>
  <c r="V737" i="7"/>
  <c r="U737" i="7"/>
  <c r="T737" i="7"/>
  <c r="N737" i="7"/>
  <c r="M737" i="7"/>
  <c r="J737" i="7"/>
  <c r="P737" i="7" s="1"/>
  <c r="AH736" i="7"/>
  <c r="AE736" i="7"/>
  <c r="AD736" i="7"/>
  <c r="AC736" i="7"/>
  <c r="V736" i="7"/>
  <c r="U736" i="7"/>
  <c r="T736" i="7"/>
  <c r="N736" i="7"/>
  <c r="M736" i="7"/>
  <c r="J736" i="7"/>
  <c r="P736" i="7" s="1"/>
  <c r="AH735" i="7"/>
  <c r="AE735" i="7"/>
  <c r="AD735" i="7"/>
  <c r="AC735" i="7"/>
  <c r="V735" i="7"/>
  <c r="U735" i="7"/>
  <c r="T735" i="7"/>
  <c r="N735" i="7"/>
  <c r="M735" i="7"/>
  <c r="J735" i="7"/>
  <c r="P735" i="7" s="1"/>
  <c r="AH734" i="7"/>
  <c r="AE734" i="7"/>
  <c r="AD734" i="7"/>
  <c r="AC734" i="7"/>
  <c r="V734" i="7"/>
  <c r="U734" i="7"/>
  <c r="T734" i="7"/>
  <c r="P734" i="7"/>
  <c r="N734" i="7"/>
  <c r="M734" i="7"/>
  <c r="J734" i="7"/>
  <c r="O734" i="7" s="1"/>
  <c r="AH733" i="7"/>
  <c r="AE733" i="7"/>
  <c r="AD733" i="7"/>
  <c r="AC733" i="7"/>
  <c r="V733" i="7"/>
  <c r="U733" i="7"/>
  <c r="T733" i="7"/>
  <c r="N733" i="7"/>
  <c r="M733" i="7"/>
  <c r="J733" i="7"/>
  <c r="P733" i="7" s="1"/>
  <c r="AH732" i="7"/>
  <c r="AE732" i="7"/>
  <c r="AD732" i="7"/>
  <c r="AC732" i="7"/>
  <c r="V732" i="7"/>
  <c r="U732" i="7"/>
  <c r="T732" i="7"/>
  <c r="N732" i="7"/>
  <c r="M732" i="7"/>
  <c r="J732" i="7"/>
  <c r="P732" i="7" s="1"/>
  <c r="AH731" i="7"/>
  <c r="AE731" i="7"/>
  <c r="AD731" i="7"/>
  <c r="AC731" i="7"/>
  <c r="V731" i="7"/>
  <c r="U731" i="7"/>
  <c r="T731" i="7"/>
  <c r="P731" i="7"/>
  <c r="O731" i="7"/>
  <c r="N731" i="7"/>
  <c r="M731" i="7"/>
  <c r="J731" i="7"/>
  <c r="AH730" i="7"/>
  <c r="AE730" i="7"/>
  <c r="AD730" i="7"/>
  <c r="AC730" i="7"/>
  <c r="V730" i="7"/>
  <c r="U730" i="7"/>
  <c r="T730" i="7"/>
  <c r="N730" i="7"/>
  <c r="M730" i="7"/>
  <c r="J730" i="7"/>
  <c r="P730" i="7" s="1"/>
  <c r="AH729" i="7"/>
  <c r="AE729" i="7"/>
  <c r="AD729" i="7"/>
  <c r="AC729" i="7"/>
  <c r="V729" i="7"/>
  <c r="U729" i="7"/>
  <c r="T729" i="7"/>
  <c r="O729" i="7"/>
  <c r="N729" i="7"/>
  <c r="M729" i="7"/>
  <c r="J729" i="7"/>
  <c r="P729" i="7" s="1"/>
  <c r="AH728" i="7"/>
  <c r="AE728" i="7"/>
  <c r="AD728" i="7"/>
  <c r="AC728" i="7"/>
  <c r="V728" i="7"/>
  <c r="U728" i="7"/>
  <c r="T728" i="7"/>
  <c r="N728" i="7"/>
  <c r="M728" i="7"/>
  <c r="J728" i="7"/>
  <c r="O728" i="7" s="1"/>
  <c r="AH727" i="7"/>
  <c r="AE727" i="7"/>
  <c r="AD727" i="7"/>
  <c r="AC727" i="7"/>
  <c r="V727" i="7"/>
  <c r="U727" i="7"/>
  <c r="T727" i="7"/>
  <c r="N727" i="7"/>
  <c r="M727" i="7"/>
  <c r="J727" i="7"/>
  <c r="O727" i="7" s="1"/>
  <c r="AH726" i="7"/>
  <c r="AE726" i="7"/>
  <c r="AD726" i="7"/>
  <c r="AC726" i="7"/>
  <c r="V726" i="7"/>
  <c r="U726" i="7"/>
  <c r="T726" i="7"/>
  <c r="P726" i="7"/>
  <c r="N726" i="7"/>
  <c r="M726" i="7"/>
  <c r="J726" i="7"/>
  <c r="O726" i="7" s="1"/>
  <c r="AH725" i="7"/>
  <c r="AE725" i="7"/>
  <c r="AD725" i="7"/>
  <c r="AC725" i="7"/>
  <c r="V725" i="7"/>
  <c r="U725" i="7"/>
  <c r="T725" i="7"/>
  <c r="O725" i="7"/>
  <c r="N725" i="7"/>
  <c r="M725" i="7"/>
  <c r="J725" i="7"/>
  <c r="P725" i="7" s="1"/>
  <c r="AH724" i="7"/>
  <c r="AE724" i="7"/>
  <c r="AD724" i="7"/>
  <c r="AC724" i="7"/>
  <c r="V724" i="7"/>
  <c r="U724" i="7"/>
  <c r="T724" i="7"/>
  <c r="P724" i="7"/>
  <c r="O724" i="7"/>
  <c r="N724" i="7"/>
  <c r="M724" i="7"/>
  <c r="J724" i="7"/>
  <c r="AH723" i="7"/>
  <c r="AE723" i="7"/>
  <c r="AD723" i="7"/>
  <c r="AC723" i="7"/>
  <c r="V723" i="7"/>
  <c r="U723" i="7"/>
  <c r="T723" i="7"/>
  <c r="N723" i="7"/>
  <c r="M723" i="7"/>
  <c r="J723" i="7"/>
  <c r="O723" i="7" s="1"/>
  <c r="AH722" i="7"/>
  <c r="AE722" i="7"/>
  <c r="AD722" i="7"/>
  <c r="AC722" i="7"/>
  <c r="V722" i="7"/>
  <c r="U722" i="7"/>
  <c r="T722" i="7"/>
  <c r="P722" i="7"/>
  <c r="N722" i="7"/>
  <c r="M722" i="7"/>
  <c r="J722" i="7"/>
  <c r="O722" i="7" s="1"/>
  <c r="AH721" i="7"/>
  <c r="AE721" i="7"/>
  <c r="AD721" i="7"/>
  <c r="AC721" i="7"/>
  <c r="V721" i="7"/>
  <c r="U721" i="7"/>
  <c r="T721" i="7"/>
  <c r="N721" i="7"/>
  <c r="M721" i="7"/>
  <c r="J721" i="7"/>
  <c r="P721" i="7" s="1"/>
  <c r="AH720" i="7"/>
  <c r="AE720" i="7"/>
  <c r="AD720" i="7"/>
  <c r="AC720" i="7"/>
  <c r="V720" i="7"/>
  <c r="U720" i="7"/>
  <c r="T720" i="7"/>
  <c r="N720" i="7"/>
  <c r="M720" i="7"/>
  <c r="J720" i="7"/>
  <c r="P720" i="7" s="1"/>
  <c r="AH719" i="7"/>
  <c r="AE719" i="7"/>
  <c r="AD719" i="7"/>
  <c r="AC719" i="7"/>
  <c r="V719" i="7"/>
  <c r="U719" i="7"/>
  <c r="T719" i="7"/>
  <c r="N719" i="7"/>
  <c r="M719" i="7"/>
  <c r="J719" i="7"/>
  <c r="P719" i="7" s="1"/>
  <c r="AH718" i="7"/>
  <c r="AE718" i="7"/>
  <c r="AD718" i="7"/>
  <c r="AC718" i="7"/>
  <c r="V718" i="7"/>
  <c r="U718" i="7"/>
  <c r="T718" i="7"/>
  <c r="N718" i="7"/>
  <c r="M718" i="7"/>
  <c r="J718" i="7"/>
  <c r="AH717" i="7"/>
  <c r="AE717" i="7"/>
  <c r="AD717" i="7"/>
  <c r="AC717" i="7"/>
  <c r="V717" i="7"/>
  <c r="U717" i="7"/>
  <c r="T717" i="7"/>
  <c r="P717" i="7"/>
  <c r="O717" i="7"/>
  <c r="N717" i="7"/>
  <c r="M717" i="7"/>
  <c r="J717" i="7"/>
  <c r="AH716" i="7"/>
  <c r="AE716" i="7"/>
  <c r="AD716" i="7"/>
  <c r="AC716" i="7"/>
  <c r="V716" i="7"/>
  <c r="U716" i="7"/>
  <c r="T716" i="7"/>
  <c r="N716" i="7"/>
  <c r="M716" i="7"/>
  <c r="J716" i="7"/>
  <c r="P716" i="7" s="1"/>
  <c r="AH715" i="7"/>
  <c r="AE715" i="7"/>
  <c r="AD715" i="7"/>
  <c r="AC715" i="7"/>
  <c r="V715" i="7"/>
  <c r="U715" i="7"/>
  <c r="T715" i="7"/>
  <c r="N715" i="7"/>
  <c r="M715" i="7"/>
  <c r="J715" i="7"/>
  <c r="P715" i="7" s="1"/>
  <c r="AH714" i="7"/>
  <c r="AE714" i="7"/>
  <c r="AD714" i="7"/>
  <c r="AC714" i="7"/>
  <c r="V714" i="7"/>
  <c r="U714" i="7"/>
  <c r="T714" i="7"/>
  <c r="N714" i="7"/>
  <c r="M714" i="7"/>
  <c r="J714" i="7"/>
  <c r="P714" i="7" s="1"/>
  <c r="AH713" i="7"/>
  <c r="AE713" i="7"/>
  <c r="AD713" i="7"/>
  <c r="AC713" i="7"/>
  <c r="V713" i="7"/>
  <c r="U713" i="7"/>
  <c r="T713" i="7"/>
  <c r="O713" i="7"/>
  <c r="N713" i="7"/>
  <c r="M713" i="7"/>
  <c r="J713" i="7"/>
  <c r="P713" i="7" s="1"/>
  <c r="AH712" i="7"/>
  <c r="AE712" i="7"/>
  <c r="AD712" i="7"/>
  <c r="AC712" i="7"/>
  <c r="V712" i="7"/>
  <c r="U712" i="7"/>
  <c r="T712" i="7"/>
  <c r="N712" i="7"/>
  <c r="M712" i="7"/>
  <c r="J712" i="7"/>
  <c r="O712" i="7" s="1"/>
  <c r="AH711" i="7"/>
  <c r="AE711" i="7"/>
  <c r="AD711" i="7"/>
  <c r="AC711" i="7"/>
  <c r="V711" i="7"/>
  <c r="U711" i="7"/>
  <c r="T711" i="7"/>
  <c r="N711" i="7"/>
  <c r="M711" i="7"/>
  <c r="J711" i="7"/>
  <c r="AH710" i="7"/>
  <c r="AE710" i="7"/>
  <c r="AD710" i="7"/>
  <c r="AC710" i="7"/>
  <c r="V710" i="7"/>
  <c r="U710" i="7"/>
  <c r="T710" i="7"/>
  <c r="P710" i="7"/>
  <c r="N710" i="7"/>
  <c r="M710" i="7"/>
  <c r="J710" i="7"/>
  <c r="O710" i="7" s="1"/>
  <c r="AH709" i="7"/>
  <c r="AE709" i="7"/>
  <c r="AD709" i="7"/>
  <c r="AC709" i="7"/>
  <c r="V709" i="7"/>
  <c r="U709" i="7"/>
  <c r="T709" i="7"/>
  <c r="N709" i="7"/>
  <c r="M709" i="7"/>
  <c r="J709" i="7"/>
  <c r="P709" i="7" s="1"/>
  <c r="AH708" i="7"/>
  <c r="AE708" i="7"/>
  <c r="AD708" i="7"/>
  <c r="AC708" i="7"/>
  <c r="V708" i="7"/>
  <c r="U708" i="7"/>
  <c r="T708" i="7"/>
  <c r="O708" i="7"/>
  <c r="N708" i="7"/>
  <c r="M708" i="7"/>
  <c r="J708" i="7"/>
  <c r="P708" i="7" s="1"/>
  <c r="AH707" i="7"/>
  <c r="AE707" i="7"/>
  <c r="AD707" i="7"/>
  <c r="AC707" i="7"/>
  <c r="V707" i="7"/>
  <c r="U707" i="7"/>
  <c r="T707" i="7"/>
  <c r="P707" i="7"/>
  <c r="N707" i="7"/>
  <c r="M707" i="7"/>
  <c r="J707" i="7"/>
  <c r="O707" i="7" s="1"/>
  <c r="AH706" i="7"/>
  <c r="AE706" i="7"/>
  <c r="AD706" i="7"/>
  <c r="AC706" i="7"/>
  <c r="V706" i="7"/>
  <c r="U706" i="7"/>
  <c r="T706" i="7"/>
  <c r="P706" i="7"/>
  <c r="N706" i="7"/>
  <c r="M706" i="7"/>
  <c r="J706" i="7"/>
  <c r="O706" i="7" s="1"/>
  <c r="AH705" i="7"/>
  <c r="AE705" i="7"/>
  <c r="AD705" i="7"/>
  <c r="AC705" i="7"/>
  <c r="V705" i="7"/>
  <c r="U705" i="7"/>
  <c r="T705" i="7"/>
  <c r="N705" i="7"/>
  <c r="M705" i="7"/>
  <c r="J705" i="7"/>
  <c r="P705" i="7" s="1"/>
  <c r="AH704" i="7"/>
  <c r="AE704" i="7"/>
  <c r="AD704" i="7"/>
  <c r="AC704" i="7"/>
  <c r="V704" i="7"/>
  <c r="U704" i="7"/>
  <c r="T704" i="7"/>
  <c r="N704" i="7"/>
  <c r="M704" i="7"/>
  <c r="J704" i="7"/>
  <c r="P704" i="7" s="1"/>
  <c r="AH703" i="7"/>
  <c r="AE703" i="7"/>
  <c r="AD703" i="7"/>
  <c r="AC703" i="7"/>
  <c r="V703" i="7"/>
  <c r="U703" i="7"/>
  <c r="T703" i="7"/>
  <c r="N703" i="7"/>
  <c r="M703" i="7"/>
  <c r="J703" i="7"/>
  <c r="P703" i="7" s="1"/>
  <c r="AH702" i="7"/>
  <c r="AE702" i="7"/>
  <c r="AD702" i="7"/>
  <c r="AC702" i="7"/>
  <c r="V702" i="7"/>
  <c r="U702" i="7"/>
  <c r="T702" i="7"/>
  <c r="N702" i="7"/>
  <c r="M702" i="7"/>
  <c r="J702" i="7"/>
  <c r="AH701" i="7"/>
  <c r="AE701" i="7"/>
  <c r="AD701" i="7"/>
  <c r="AC701" i="7"/>
  <c r="V701" i="7"/>
  <c r="U701" i="7"/>
  <c r="T701" i="7"/>
  <c r="P701" i="7"/>
  <c r="O701" i="7"/>
  <c r="N701" i="7"/>
  <c r="M701" i="7"/>
  <c r="J701" i="7"/>
  <c r="AH700" i="7"/>
  <c r="AE700" i="7"/>
  <c r="AD700" i="7"/>
  <c r="AC700" i="7"/>
  <c r="V700" i="7"/>
  <c r="U700" i="7"/>
  <c r="T700" i="7"/>
  <c r="O700" i="7"/>
  <c r="N700" i="7"/>
  <c r="M700" i="7"/>
  <c r="J700" i="7"/>
  <c r="P700" i="7" s="1"/>
  <c r="AH699" i="7"/>
  <c r="AE699" i="7"/>
  <c r="AD699" i="7"/>
  <c r="AC699" i="7"/>
  <c r="V699" i="7"/>
  <c r="U699" i="7"/>
  <c r="T699" i="7"/>
  <c r="O699" i="7"/>
  <c r="N699" i="7"/>
  <c r="M699" i="7"/>
  <c r="J699" i="7"/>
  <c r="P699" i="7" s="1"/>
  <c r="AH698" i="7"/>
  <c r="AE698" i="7"/>
  <c r="AD698" i="7"/>
  <c r="AC698" i="7"/>
  <c r="V698" i="7"/>
  <c r="U698" i="7"/>
  <c r="T698" i="7"/>
  <c r="N698" i="7"/>
  <c r="M698" i="7"/>
  <c r="J698" i="7"/>
  <c r="P698" i="7" s="1"/>
  <c r="AH697" i="7"/>
  <c r="AE697" i="7"/>
  <c r="AD697" i="7"/>
  <c r="AC697" i="7"/>
  <c r="V697" i="7"/>
  <c r="U697" i="7"/>
  <c r="T697" i="7"/>
  <c r="O697" i="7"/>
  <c r="N697" i="7"/>
  <c r="M697" i="7"/>
  <c r="J697" i="7"/>
  <c r="P697" i="7" s="1"/>
  <c r="AH696" i="7"/>
  <c r="AE696" i="7"/>
  <c r="AD696" i="7"/>
  <c r="AC696" i="7"/>
  <c r="V696" i="7"/>
  <c r="U696" i="7"/>
  <c r="T696" i="7"/>
  <c r="P696" i="7"/>
  <c r="N696" i="7"/>
  <c r="M696" i="7"/>
  <c r="J696" i="7"/>
  <c r="O696" i="7" s="1"/>
  <c r="AH695" i="7"/>
  <c r="AE695" i="7"/>
  <c r="AD695" i="7"/>
  <c r="AC695" i="7"/>
  <c r="V695" i="7"/>
  <c r="U695" i="7"/>
  <c r="T695" i="7"/>
  <c r="N695" i="7"/>
  <c r="M695" i="7"/>
  <c r="J695" i="7"/>
  <c r="AH694" i="7"/>
  <c r="AE694" i="7"/>
  <c r="AD694" i="7"/>
  <c r="AC694" i="7"/>
  <c r="V694" i="7"/>
  <c r="U694" i="7"/>
  <c r="T694" i="7"/>
  <c r="P694" i="7"/>
  <c r="O694" i="7"/>
  <c r="N694" i="7"/>
  <c r="M694" i="7"/>
  <c r="J694" i="7"/>
  <c r="AH693" i="7"/>
  <c r="AE693" i="7"/>
  <c r="AD693" i="7"/>
  <c r="AC693" i="7"/>
  <c r="V693" i="7"/>
  <c r="U693" i="7"/>
  <c r="T693" i="7"/>
  <c r="N693" i="7"/>
  <c r="M693" i="7"/>
  <c r="J693" i="7"/>
  <c r="P693" i="7" s="1"/>
  <c r="AH692" i="7"/>
  <c r="AE692" i="7"/>
  <c r="AD692" i="7"/>
  <c r="AC692" i="7"/>
  <c r="V692" i="7"/>
  <c r="U692" i="7"/>
  <c r="T692" i="7"/>
  <c r="O692" i="7"/>
  <c r="N692" i="7"/>
  <c r="M692" i="7"/>
  <c r="J692" i="7"/>
  <c r="P692" i="7" s="1"/>
  <c r="AH691" i="7"/>
  <c r="AE691" i="7"/>
  <c r="AD691" i="7"/>
  <c r="AC691" i="7"/>
  <c r="V691" i="7"/>
  <c r="U691" i="7"/>
  <c r="T691" i="7"/>
  <c r="P691" i="7"/>
  <c r="O691" i="7"/>
  <c r="N691" i="7"/>
  <c r="M691" i="7"/>
  <c r="J691" i="7"/>
  <c r="AH690" i="7"/>
  <c r="AE690" i="7"/>
  <c r="AD690" i="7"/>
  <c r="AC690" i="7"/>
  <c r="V690" i="7"/>
  <c r="U690" i="7"/>
  <c r="T690" i="7"/>
  <c r="P690" i="7"/>
  <c r="N690" i="7"/>
  <c r="M690" i="7"/>
  <c r="J690" i="7"/>
  <c r="O690" i="7" s="1"/>
  <c r="AH689" i="7"/>
  <c r="AE689" i="7"/>
  <c r="AD689" i="7"/>
  <c r="AC689" i="7"/>
  <c r="V689" i="7"/>
  <c r="U689" i="7"/>
  <c r="T689" i="7"/>
  <c r="N689" i="7"/>
  <c r="M689" i="7"/>
  <c r="J689" i="7"/>
  <c r="P689" i="7" s="1"/>
  <c r="AH688" i="7"/>
  <c r="AE688" i="7"/>
  <c r="AD688" i="7"/>
  <c r="AC688" i="7"/>
  <c r="V688" i="7"/>
  <c r="U688" i="7"/>
  <c r="T688" i="7"/>
  <c r="N688" i="7"/>
  <c r="M688" i="7"/>
  <c r="J688" i="7"/>
  <c r="P688" i="7" s="1"/>
  <c r="AH687" i="7"/>
  <c r="AE687" i="7"/>
  <c r="AD687" i="7"/>
  <c r="AC687" i="7"/>
  <c r="V687" i="7"/>
  <c r="U687" i="7"/>
  <c r="T687" i="7"/>
  <c r="N687" i="7"/>
  <c r="M687" i="7"/>
  <c r="J687" i="7"/>
  <c r="AH686" i="7"/>
  <c r="AE686" i="7"/>
  <c r="AD686" i="7"/>
  <c r="AC686" i="7"/>
  <c r="V686" i="7"/>
  <c r="U686" i="7"/>
  <c r="T686" i="7"/>
  <c r="N686" i="7"/>
  <c r="M686" i="7"/>
  <c r="J686" i="7"/>
  <c r="AH685" i="7"/>
  <c r="AE685" i="7"/>
  <c r="AD685" i="7"/>
  <c r="AC685" i="7"/>
  <c r="V685" i="7"/>
  <c r="U685" i="7"/>
  <c r="T685" i="7"/>
  <c r="O685" i="7"/>
  <c r="N685" i="7"/>
  <c r="M685" i="7"/>
  <c r="J685" i="7"/>
  <c r="P685" i="7" s="1"/>
  <c r="AH684" i="7"/>
  <c r="AE684" i="7"/>
  <c r="AD684" i="7"/>
  <c r="AC684" i="7"/>
  <c r="V684" i="7"/>
  <c r="U684" i="7"/>
  <c r="T684" i="7"/>
  <c r="O684" i="7"/>
  <c r="N684" i="7"/>
  <c r="M684" i="7"/>
  <c r="J684" i="7"/>
  <c r="P684" i="7" s="1"/>
  <c r="AH683" i="7"/>
  <c r="AE683" i="7"/>
  <c r="AD683" i="7"/>
  <c r="AC683" i="7"/>
  <c r="V683" i="7"/>
  <c r="U683" i="7"/>
  <c r="T683" i="7"/>
  <c r="N683" i="7"/>
  <c r="M683" i="7"/>
  <c r="J683" i="7"/>
  <c r="P683" i="7" s="1"/>
  <c r="AH682" i="7"/>
  <c r="AE682" i="7"/>
  <c r="AD682" i="7"/>
  <c r="AC682" i="7"/>
  <c r="V682" i="7"/>
  <c r="U682" i="7"/>
  <c r="T682" i="7"/>
  <c r="N682" i="7"/>
  <c r="M682" i="7"/>
  <c r="J682" i="7"/>
  <c r="P682" i="7" s="1"/>
  <c r="AH681" i="7"/>
  <c r="AE681" i="7"/>
  <c r="AD681" i="7"/>
  <c r="AC681" i="7"/>
  <c r="V681" i="7"/>
  <c r="U681" i="7"/>
  <c r="T681" i="7"/>
  <c r="O681" i="7"/>
  <c r="N681" i="7"/>
  <c r="M681" i="7"/>
  <c r="J681" i="7"/>
  <c r="P681" i="7" s="1"/>
  <c r="AH680" i="7"/>
  <c r="AE680" i="7"/>
  <c r="AD680" i="7"/>
  <c r="AC680" i="7"/>
  <c r="V680" i="7"/>
  <c r="U680" i="7"/>
  <c r="T680" i="7"/>
  <c r="N680" i="7"/>
  <c r="M680" i="7"/>
  <c r="J680" i="7"/>
  <c r="O680" i="7" s="1"/>
  <c r="AH679" i="7"/>
  <c r="AE679" i="7"/>
  <c r="AD679" i="7"/>
  <c r="AC679" i="7"/>
  <c r="V679" i="7"/>
  <c r="U679" i="7"/>
  <c r="T679" i="7"/>
  <c r="N679" i="7"/>
  <c r="M679" i="7"/>
  <c r="J679" i="7"/>
  <c r="AH678" i="7"/>
  <c r="AE678" i="7"/>
  <c r="AD678" i="7"/>
  <c r="AC678" i="7"/>
  <c r="V678" i="7"/>
  <c r="U678" i="7"/>
  <c r="T678" i="7"/>
  <c r="P678" i="7"/>
  <c r="N678" i="7"/>
  <c r="M678" i="7"/>
  <c r="J678" i="7"/>
  <c r="O678" i="7" s="1"/>
  <c r="AH677" i="7"/>
  <c r="AE677" i="7"/>
  <c r="AD677" i="7"/>
  <c r="AC677" i="7"/>
  <c r="V677" i="7"/>
  <c r="U677" i="7"/>
  <c r="T677" i="7"/>
  <c r="N677" i="7"/>
  <c r="M677" i="7"/>
  <c r="J677" i="7"/>
  <c r="P677" i="7" s="1"/>
  <c r="AH676" i="7"/>
  <c r="AE676" i="7"/>
  <c r="AD676" i="7"/>
  <c r="AC676" i="7"/>
  <c r="V676" i="7"/>
  <c r="U676" i="7"/>
  <c r="T676" i="7"/>
  <c r="N676" i="7"/>
  <c r="M676" i="7"/>
  <c r="J676" i="7"/>
  <c r="P676" i="7" s="1"/>
  <c r="AH675" i="7"/>
  <c r="AE675" i="7"/>
  <c r="AD675" i="7"/>
  <c r="AC675" i="7"/>
  <c r="V675" i="7"/>
  <c r="U675" i="7"/>
  <c r="T675" i="7"/>
  <c r="P675" i="7"/>
  <c r="O675" i="7"/>
  <c r="N675" i="7"/>
  <c r="M675" i="7"/>
  <c r="J675" i="7"/>
  <c r="AH674" i="7"/>
  <c r="AE674" i="7"/>
  <c r="AD674" i="7"/>
  <c r="AC674" i="7"/>
  <c r="V674" i="7"/>
  <c r="U674" i="7"/>
  <c r="T674" i="7"/>
  <c r="N674" i="7"/>
  <c r="M674" i="7"/>
  <c r="J674" i="7"/>
  <c r="O674" i="7" s="1"/>
  <c r="AH673" i="7"/>
  <c r="AE673" i="7"/>
  <c r="AD673" i="7"/>
  <c r="AC673" i="7"/>
  <c r="V673" i="7"/>
  <c r="U673" i="7"/>
  <c r="T673" i="7"/>
  <c r="N673" i="7"/>
  <c r="M673" i="7"/>
  <c r="J673" i="7"/>
  <c r="AH672" i="7"/>
  <c r="AE672" i="7"/>
  <c r="AD672" i="7"/>
  <c r="AC672" i="7"/>
  <c r="V672" i="7"/>
  <c r="U672" i="7"/>
  <c r="T672" i="7"/>
  <c r="N672" i="7"/>
  <c r="M672" i="7"/>
  <c r="J672" i="7"/>
  <c r="AH671" i="7"/>
  <c r="AE671" i="7"/>
  <c r="AD671" i="7"/>
  <c r="AC671" i="7"/>
  <c r="V671" i="7"/>
  <c r="U671" i="7"/>
  <c r="T671" i="7"/>
  <c r="N671" i="7"/>
  <c r="M671" i="7"/>
  <c r="J671" i="7"/>
  <c r="P671" i="7" s="1"/>
  <c r="AH670" i="7"/>
  <c r="AE670" i="7"/>
  <c r="AD670" i="7"/>
  <c r="AC670" i="7"/>
  <c r="V670" i="7"/>
  <c r="U670" i="7"/>
  <c r="T670" i="7"/>
  <c r="N670" i="7"/>
  <c r="M670" i="7"/>
  <c r="J670" i="7"/>
  <c r="P670" i="7" s="1"/>
  <c r="AH669" i="7"/>
  <c r="AE669" i="7"/>
  <c r="AD669" i="7"/>
  <c r="AC669" i="7"/>
  <c r="V669" i="7"/>
  <c r="U669" i="7"/>
  <c r="T669" i="7"/>
  <c r="P669" i="7"/>
  <c r="O669" i="7"/>
  <c r="N669" i="7"/>
  <c r="M669" i="7"/>
  <c r="J669" i="7"/>
  <c r="AH668" i="7"/>
  <c r="AE668" i="7"/>
  <c r="AD668" i="7"/>
  <c r="AC668" i="7"/>
  <c r="V668" i="7"/>
  <c r="U668" i="7"/>
  <c r="T668" i="7"/>
  <c r="N668" i="7"/>
  <c r="M668" i="7"/>
  <c r="J668" i="7"/>
  <c r="P668" i="7" s="1"/>
  <c r="AH667" i="7"/>
  <c r="AE667" i="7"/>
  <c r="AD667" i="7"/>
  <c r="AC667" i="7"/>
  <c r="V667" i="7"/>
  <c r="U667" i="7"/>
  <c r="T667" i="7"/>
  <c r="N667" i="7"/>
  <c r="M667" i="7"/>
  <c r="J667" i="7"/>
  <c r="P667" i="7" s="1"/>
  <c r="AH666" i="7"/>
  <c r="AE666" i="7"/>
  <c r="AD666" i="7"/>
  <c r="AC666" i="7"/>
  <c r="V666" i="7"/>
  <c r="U666" i="7"/>
  <c r="T666" i="7"/>
  <c r="N666" i="7"/>
  <c r="M666" i="7"/>
  <c r="J666" i="7"/>
  <c r="P666" i="7" s="1"/>
  <c r="AH665" i="7"/>
  <c r="AE665" i="7"/>
  <c r="AD665" i="7"/>
  <c r="AC665" i="7"/>
  <c r="V665" i="7"/>
  <c r="U665" i="7"/>
  <c r="T665" i="7"/>
  <c r="N665" i="7"/>
  <c r="M665" i="7"/>
  <c r="J665" i="7"/>
  <c r="P665" i="7" s="1"/>
  <c r="AH664" i="7"/>
  <c r="AE664" i="7"/>
  <c r="AD664" i="7"/>
  <c r="AC664" i="7"/>
  <c r="V664" i="7"/>
  <c r="U664" i="7"/>
  <c r="T664" i="7"/>
  <c r="N664" i="7"/>
  <c r="M664" i="7"/>
  <c r="J664" i="7"/>
  <c r="O664" i="7" s="1"/>
  <c r="AH663" i="7"/>
  <c r="AE663" i="7"/>
  <c r="AD663" i="7"/>
  <c r="AC663" i="7"/>
  <c r="V663" i="7"/>
  <c r="U663" i="7"/>
  <c r="T663" i="7"/>
  <c r="P663" i="7"/>
  <c r="N663" i="7"/>
  <c r="M663" i="7"/>
  <c r="J663" i="7"/>
  <c r="O663" i="7" s="1"/>
  <c r="AH662" i="7"/>
  <c r="AE662" i="7"/>
  <c r="AD662" i="7"/>
  <c r="AC662" i="7"/>
  <c r="V662" i="7"/>
  <c r="U662" i="7"/>
  <c r="T662" i="7"/>
  <c r="P662" i="7"/>
  <c r="N662" i="7"/>
  <c r="M662" i="7"/>
  <c r="J662" i="7"/>
  <c r="O662" i="7" s="1"/>
  <c r="AH661" i="7"/>
  <c r="AE661" i="7"/>
  <c r="AD661" i="7"/>
  <c r="AC661" i="7"/>
  <c r="V661" i="7"/>
  <c r="U661" i="7"/>
  <c r="T661" i="7"/>
  <c r="N661" i="7"/>
  <c r="M661" i="7"/>
  <c r="J661" i="7"/>
  <c r="P661" i="7" s="1"/>
  <c r="AH660" i="7"/>
  <c r="AE660" i="7"/>
  <c r="AD660" i="7"/>
  <c r="AC660" i="7"/>
  <c r="V660" i="7"/>
  <c r="U660" i="7"/>
  <c r="T660" i="7"/>
  <c r="P660" i="7"/>
  <c r="O660" i="7"/>
  <c r="N660" i="7"/>
  <c r="M660" i="7"/>
  <c r="J660" i="7"/>
  <c r="AH659" i="7"/>
  <c r="AE659" i="7"/>
  <c r="AD659" i="7"/>
  <c r="AC659" i="7"/>
  <c r="V659" i="7"/>
  <c r="U659" i="7"/>
  <c r="T659" i="7"/>
  <c r="P659" i="7"/>
  <c r="N659" i="7"/>
  <c r="M659" i="7"/>
  <c r="J659" i="7"/>
  <c r="O659" i="7" s="1"/>
  <c r="AH658" i="7"/>
  <c r="AE658" i="7"/>
  <c r="AD658" i="7"/>
  <c r="AC658" i="7"/>
  <c r="V658" i="7"/>
  <c r="U658" i="7"/>
  <c r="T658" i="7"/>
  <c r="N658" i="7"/>
  <c r="M658" i="7"/>
  <c r="J658" i="7"/>
  <c r="O658" i="7" s="1"/>
  <c r="AH657" i="7"/>
  <c r="AE657" i="7"/>
  <c r="AD657" i="7"/>
  <c r="AC657" i="7"/>
  <c r="V657" i="7"/>
  <c r="U657" i="7"/>
  <c r="T657" i="7"/>
  <c r="N657" i="7"/>
  <c r="M657" i="7"/>
  <c r="J657" i="7"/>
  <c r="AH656" i="7"/>
  <c r="AE656" i="7"/>
  <c r="AD656" i="7"/>
  <c r="AC656" i="7"/>
  <c r="V656" i="7"/>
  <c r="U656" i="7"/>
  <c r="T656" i="7"/>
  <c r="P656" i="7"/>
  <c r="N656" i="7"/>
  <c r="M656" i="7"/>
  <c r="J656" i="7"/>
  <c r="O656" i="7" s="1"/>
  <c r="AH655" i="7"/>
  <c r="AE655" i="7"/>
  <c r="AD655" i="7"/>
  <c r="AC655" i="7"/>
  <c r="V655" i="7"/>
  <c r="U655" i="7"/>
  <c r="T655" i="7"/>
  <c r="N655" i="7"/>
  <c r="M655" i="7"/>
  <c r="J655" i="7"/>
  <c r="AH654" i="7"/>
  <c r="AE654" i="7"/>
  <c r="AD654" i="7"/>
  <c r="AC654" i="7"/>
  <c r="V654" i="7"/>
  <c r="U654" i="7"/>
  <c r="T654" i="7"/>
  <c r="P654" i="7"/>
  <c r="O654" i="7"/>
  <c r="N654" i="7"/>
  <c r="M654" i="7"/>
  <c r="J654" i="7"/>
  <c r="AH653" i="7"/>
  <c r="AE653" i="7"/>
  <c r="AD653" i="7"/>
  <c r="AC653" i="7"/>
  <c r="V653" i="7"/>
  <c r="U653" i="7"/>
  <c r="T653" i="7"/>
  <c r="P653" i="7"/>
  <c r="O653" i="7"/>
  <c r="N653" i="7"/>
  <c r="M653" i="7"/>
  <c r="J653" i="7"/>
  <c r="AH652" i="7"/>
  <c r="AE652" i="7"/>
  <c r="AD652" i="7"/>
  <c r="AC652" i="7"/>
  <c r="V652" i="7"/>
  <c r="U652" i="7"/>
  <c r="T652" i="7"/>
  <c r="N652" i="7"/>
  <c r="M652" i="7"/>
  <c r="J652" i="7"/>
  <c r="P652" i="7" s="1"/>
  <c r="AH651" i="7"/>
  <c r="AE651" i="7"/>
  <c r="AD651" i="7"/>
  <c r="AC651" i="7"/>
  <c r="V651" i="7"/>
  <c r="U651" i="7"/>
  <c r="T651" i="7"/>
  <c r="N651" i="7"/>
  <c r="M651" i="7"/>
  <c r="J651" i="7"/>
  <c r="AH650" i="7"/>
  <c r="AE650" i="7"/>
  <c r="AD650" i="7"/>
  <c r="AC650" i="7"/>
  <c r="V650" i="7"/>
  <c r="U650" i="7"/>
  <c r="T650" i="7"/>
  <c r="O650" i="7"/>
  <c r="N650" i="7"/>
  <c r="M650" i="7"/>
  <c r="J650" i="7"/>
  <c r="P650" i="7" s="1"/>
  <c r="AH649" i="7"/>
  <c r="AE649" i="7"/>
  <c r="AD649" i="7"/>
  <c r="AC649" i="7"/>
  <c r="V649" i="7"/>
  <c r="U649" i="7"/>
  <c r="T649" i="7"/>
  <c r="N649" i="7"/>
  <c r="M649" i="7"/>
  <c r="J649" i="7"/>
  <c r="P649" i="7" s="1"/>
  <c r="AH648" i="7"/>
  <c r="AE648" i="7"/>
  <c r="AD648" i="7"/>
  <c r="AC648" i="7"/>
  <c r="V648" i="7"/>
  <c r="U648" i="7"/>
  <c r="T648" i="7"/>
  <c r="N648" i="7"/>
  <c r="M648" i="7"/>
  <c r="J648" i="7"/>
  <c r="AH647" i="7"/>
  <c r="AE647" i="7"/>
  <c r="AD647" i="7"/>
  <c r="AC647" i="7"/>
  <c r="V647" i="7"/>
  <c r="U647" i="7"/>
  <c r="T647" i="7"/>
  <c r="N647" i="7"/>
  <c r="M647" i="7"/>
  <c r="J647" i="7"/>
  <c r="AH646" i="7"/>
  <c r="AE646" i="7"/>
  <c r="AD646" i="7"/>
  <c r="AC646" i="7"/>
  <c r="V646" i="7"/>
  <c r="U646" i="7"/>
  <c r="T646" i="7"/>
  <c r="N646" i="7"/>
  <c r="M646" i="7"/>
  <c r="J646" i="7"/>
  <c r="P646" i="7" s="1"/>
  <c r="AH645" i="7"/>
  <c r="AE645" i="7"/>
  <c r="AD645" i="7"/>
  <c r="AC645" i="7"/>
  <c r="V645" i="7"/>
  <c r="U645" i="7"/>
  <c r="T645" i="7"/>
  <c r="P645" i="7"/>
  <c r="O645" i="7"/>
  <c r="N645" i="7"/>
  <c r="M645" i="7"/>
  <c r="J645" i="7"/>
  <c r="AH644" i="7"/>
  <c r="AE644" i="7"/>
  <c r="AD644" i="7"/>
  <c r="AC644" i="7"/>
  <c r="V644" i="7"/>
  <c r="U644" i="7"/>
  <c r="T644" i="7"/>
  <c r="P644" i="7"/>
  <c r="O644" i="7"/>
  <c r="N644" i="7"/>
  <c r="M644" i="7"/>
  <c r="J644" i="7"/>
  <c r="AH643" i="7"/>
  <c r="AE643" i="7"/>
  <c r="AD643" i="7"/>
  <c r="AC643" i="7"/>
  <c r="V643" i="7"/>
  <c r="U643" i="7"/>
  <c r="T643" i="7"/>
  <c r="O643" i="7"/>
  <c r="N643" i="7"/>
  <c r="M643" i="7"/>
  <c r="J643" i="7"/>
  <c r="P643" i="7" s="1"/>
  <c r="AH642" i="7"/>
  <c r="AE642" i="7"/>
  <c r="AD642" i="7"/>
  <c r="AC642" i="7"/>
  <c r="V642" i="7"/>
  <c r="U642" i="7"/>
  <c r="T642" i="7"/>
  <c r="N642" i="7"/>
  <c r="M642" i="7"/>
  <c r="J642" i="7"/>
  <c r="O642" i="7" s="1"/>
  <c r="AH641" i="7"/>
  <c r="AE641" i="7"/>
  <c r="AD641" i="7"/>
  <c r="AC641" i="7"/>
  <c r="V641" i="7"/>
  <c r="U641" i="7"/>
  <c r="T641" i="7"/>
  <c r="N641" i="7"/>
  <c r="M641" i="7"/>
  <c r="J641" i="7"/>
  <c r="P641" i="7" s="1"/>
  <c r="AH640" i="7"/>
  <c r="AE640" i="7"/>
  <c r="AD640" i="7"/>
  <c r="AC640" i="7"/>
  <c r="V640" i="7"/>
  <c r="U640" i="7"/>
  <c r="T640" i="7"/>
  <c r="N640" i="7"/>
  <c r="M640" i="7"/>
  <c r="J640" i="7"/>
  <c r="P640" i="7" s="1"/>
  <c r="AH639" i="7"/>
  <c r="AE639" i="7"/>
  <c r="AD639" i="7"/>
  <c r="AC639" i="7"/>
  <c r="V639" i="7"/>
  <c r="U639" i="7"/>
  <c r="T639" i="7"/>
  <c r="N639" i="7"/>
  <c r="M639" i="7"/>
  <c r="J639" i="7"/>
  <c r="O639" i="7" s="1"/>
  <c r="AH638" i="7"/>
  <c r="AE638" i="7"/>
  <c r="AD638" i="7"/>
  <c r="AC638" i="7"/>
  <c r="V638" i="7"/>
  <c r="U638" i="7"/>
  <c r="T638" i="7"/>
  <c r="P638" i="7"/>
  <c r="N638" i="7"/>
  <c r="M638" i="7"/>
  <c r="J638" i="7"/>
  <c r="O638" i="7" s="1"/>
  <c r="AH637" i="7"/>
  <c r="AE637" i="7"/>
  <c r="AD637" i="7"/>
  <c r="AC637" i="7"/>
  <c r="V637" i="7"/>
  <c r="U637" i="7"/>
  <c r="T637" i="7"/>
  <c r="O637" i="7"/>
  <c r="N637" i="7"/>
  <c r="M637" i="7"/>
  <c r="J637" i="7"/>
  <c r="P637" i="7" s="1"/>
  <c r="AH636" i="7"/>
  <c r="AE636" i="7"/>
  <c r="AD636" i="7"/>
  <c r="AC636" i="7"/>
  <c r="V636" i="7"/>
  <c r="U636" i="7"/>
  <c r="T636" i="7"/>
  <c r="O636" i="7"/>
  <c r="N636" i="7"/>
  <c r="M636" i="7"/>
  <c r="J636" i="7"/>
  <c r="P636" i="7" s="1"/>
  <c r="AH635" i="7"/>
  <c r="AE635" i="7"/>
  <c r="AD635" i="7"/>
  <c r="AC635" i="7"/>
  <c r="V635" i="7"/>
  <c r="U635" i="7"/>
  <c r="T635" i="7"/>
  <c r="O635" i="7"/>
  <c r="N635" i="7"/>
  <c r="M635" i="7"/>
  <c r="J635" i="7"/>
  <c r="P635" i="7" s="1"/>
  <c r="AH634" i="7"/>
  <c r="AE634" i="7"/>
  <c r="AD634" i="7"/>
  <c r="AC634" i="7"/>
  <c r="V634" i="7"/>
  <c r="U634" i="7"/>
  <c r="T634" i="7"/>
  <c r="O634" i="7"/>
  <c r="N634" i="7"/>
  <c r="M634" i="7"/>
  <c r="J634" i="7"/>
  <c r="P634" i="7" s="1"/>
  <c r="AH633" i="7"/>
  <c r="AE633" i="7"/>
  <c r="AD633" i="7"/>
  <c r="AC633" i="7"/>
  <c r="V633" i="7"/>
  <c r="U633" i="7"/>
  <c r="T633" i="7"/>
  <c r="N633" i="7"/>
  <c r="M633" i="7"/>
  <c r="J633" i="7"/>
  <c r="AH632" i="7"/>
  <c r="AE632" i="7"/>
  <c r="AD632" i="7"/>
  <c r="AC632" i="7"/>
  <c r="V632" i="7"/>
  <c r="U632" i="7"/>
  <c r="T632" i="7"/>
  <c r="N632" i="7"/>
  <c r="M632" i="7"/>
  <c r="J632" i="7"/>
  <c r="AH631" i="7"/>
  <c r="AE631" i="7"/>
  <c r="AD631" i="7"/>
  <c r="AC631" i="7"/>
  <c r="V631" i="7"/>
  <c r="U631" i="7"/>
  <c r="T631" i="7"/>
  <c r="N631" i="7"/>
  <c r="M631" i="7"/>
  <c r="J631" i="7"/>
  <c r="O631" i="7" s="1"/>
  <c r="AH630" i="7"/>
  <c r="AE630" i="7"/>
  <c r="AD630" i="7"/>
  <c r="AC630" i="7"/>
  <c r="V630" i="7"/>
  <c r="U630" i="7"/>
  <c r="T630" i="7"/>
  <c r="O630" i="7"/>
  <c r="N630" i="7"/>
  <c r="M630" i="7"/>
  <c r="J630" i="7"/>
  <c r="P630" i="7" s="1"/>
  <c r="AH629" i="7"/>
  <c r="AE629" i="7"/>
  <c r="AD629" i="7"/>
  <c r="AC629" i="7"/>
  <c r="V629" i="7"/>
  <c r="U629" i="7"/>
  <c r="T629" i="7"/>
  <c r="P629" i="7"/>
  <c r="O629" i="7"/>
  <c r="N629" i="7"/>
  <c r="M629" i="7"/>
  <c r="J629" i="7"/>
  <c r="AH628" i="7"/>
  <c r="AE628" i="7"/>
  <c r="AD628" i="7"/>
  <c r="AC628" i="7"/>
  <c r="V628" i="7"/>
  <c r="U628" i="7"/>
  <c r="T628" i="7"/>
  <c r="P628" i="7"/>
  <c r="O628" i="7"/>
  <c r="N628" i="7"/>
  <c r="M628" i="7"/>
  <c r="J628" i="7"/>
  <c r="AH627" i="7"/>
  <c r="AE627" i="7"/>
  <c r="AD627" i="7"/>
  <c r="AC627" i="7"/>
  <c r="V627" i="7"/>
  <c r="U627" i="7"/>
  <c r="T627" i="7"/>
  <c r="O627" i="7"/>
  <c r="N627" i="7"/>
  <c r="M627" i="7"/>
  <c r="J627" i="7"/>
  <c r="P627" i="7" s="1"/>
  <c r="AH626" i="7"/>
  <c r="AE626" i="7"/>
  <c r="AD626" i="7"/>
  <c r="AC626" i="7"/>
  <c r="V626" i="7"/>
  <c r="U626" i="7"/>
  <c r="T626" i="7"/>
  <c r="P626" i="7"/>
  <c r="N626" i="7"/>
  <c r="M626" i="7"/>
  <c r="J626" i="7"/>
  <c r="O626" i="7" s="1"/>
  <c r="AH625" i="7"/>
  <c r="AE625" i="7"/>
  <c r="AD625" i="7"/>
  <c r="AC625" i="7"/>
  <c r="V625" i="7"/>
  <c r="U625" i="7"/>
  <c r="T625" i="7"/>
  <c r="N625" i="7"/>
  <c r="M625" i="7"/>
  <c r="J625" i="7"/>
  <c r="AH624" i="7"/>
  <c r="AE624" i="7"/>
  <c r="AD624" i="7"/>
  <c r="AC624" i="7"/>
  <c r="V624" i="7"/>
  <c r="U624" i="7"/>
  <c r="T624" i="7"/>
  <c r="N624" i="7"/>
  <c r="M624" i="7"/>
  <c r="J624" i="7"/>
  <c r="AH623" i="7"/>
  <c r="AE623" i="7"/>
  <c r="AD623" i="7"/>
  <c r="AC623" i="7"/>
  <c r="V623" i="7"/>
  <c r="U623" i="7"/>
  <c r="T623" i="7"/>
  <c r="N623" i="7"/>
  <c r="M623" i="7"/>
  <c r="J623" i="7"/>
  <c r="O623" i="7" s="1"/>
  <c r="AH622" i="7"/>
  <c r="AE622" i="7"/>
  <c r="AD622" i="7"/>
  <c r="AC622" i="7"/>
  <c r="V622" i="7"/>
  <c r="U622" i="7"/>
  <c r="T622" i="7"/>
  <c r="O622" i="7"/>
  <c r="N622" i="7"/>
  <c r="M622" i="7"/>
  <c r="J622" i="7"/>
  <c r="P622" i="7" s="1"/>
  <c r="AH621" i="7"/>
  <c r="AE621" i="7"/>
  <c r="AD621" i="7"/>
  <c r="AC621" i="7"/>
  <c r="V621" i="7"/>
  <c r="U621" i="7"/>
  <c r="T621" i="7"/>
  <c r="O621" i="7"/>
  <c r="N621" i="7"/>
  <c r="M621" i="7"/>
  <c r="J621" i="7"/>
  <c r="P621" i="7" s="1"/>
  <c r="AH620" i="7"/>
  <c r="AE620" i="7"/>
  <c r="AD620" i="7"/>
  <c r="AC620" i="7"/>
  <c r="V620" i="7"/>
  <c r="U620" i="7"/>
  <c r="T620" i="7"/>
  <c r="O620" i="7"/>
  <c r="N620" i="7"/>
  <c r="M620" i="7"/>
  <c r="J620" i="7"/>
  <c r="P620" i="7" s="1"/>
  <c r="AH619" i="7"/>
  <c r="AE619" i="7"/>
  <c r="AD619" i="7"/>
  <c r="AC619" i="7"/>
  <c r="V619" i="7"/>
  <c r="U619" i="7"/>
  <c r="T619" i="7"/>
  <c r="O619" i="7"/>
  <c r="N619" i="7"/>
  <c r="M619" i="7"/>
  <c r="J619" i="7"/>
  <c r="P619" i="7" s="1"/>
  <c r="AH618" i="7"/>
  <c r="AE618" i="7"/>
  <c r="AD618" i="7"/>
  <c r="AC618" i="7"/>
  <c r="V618" i="7"/>
  <c r="U618" i="7"/>
  <c r="T618" i="7"/>
  <c r="O618" i="7"/>
  <c r="N618" i="7"/>
  <c r="M618" i="7"/>
  <c r="J618" i="7"/>
  <c r="P618" i="7" s="1"/>
  <c r="AH617" i="7"/>
  <c r="AE617" i="7"/>
  <c r="AD617" i="7"/>
  <c r="AC617" i="7"/>
  <c r="V617" i="7"/>
  <c r="U617" i="7"/>
  <c r="T617" i="7"/>
  <c r="N617" i="7"/>
  <c r="M617" i="7"/>
  <c r="J617" i="7"/>
  <c r="AH616" i="7"/>
  <c r="AE616" i="7"/>
  <c r="AD616" i="7"/>
  <c r="AC616" i="7"/>
  <c r="V616" i="7"/>
  <c r="U616" i="7"/>
  <c r="T616" i="7"/>
  <c r="N616" i="7"/>
  <c r="M616" i="7"/>
  <c r="J616" i="7"/>
  <c r="AH615" i="7"/>
  <c r="AE615" i="7"/>
  <c r="AD615" i="7"/>
  <c r="AC615" i="7"/>
  <c r="V615" i="7"/>
  <c r="U615" i="7"/>
  <c r="T615" i="7"/>
  <c r="N615" i="7"/>
  <c r="M615" i="7"/>
  <c r="J615" i="7"/>
  <c r="O615" i="7" s="1"/>
  <c r="AH614" i="7"/>
  <c r="AE614" i="7"/>
  <c r="AD614" i="7"/>
  <c r="AC614" i="7"/>
  <c r="V614" i="7"/>
  <c r="U614" i="7"/>
  <c r="T614" i="7"/>
  <c r="N614" i="7"/>
  <c r="M614" i="7"/>
  <c r="J614" i="7"/>
  <c r="P614" i="7" s="1"/>
  <c r="AH613" i="7"/>
  <c r="AE613" i="7"/>
  <c r="AD613" i="7"/>
  <c r="AC613" i="7"/>
  <c r="V613" i="7"/>
  <c r="U613" i="7"/>
  <c r="T613" i="7"/>
  <c r="P613" i="7"/>
  <c r="O613" i="7"/>
  <c r="N613" i="7"/>
  <c r="M613" i="7"/>
  <c r="J613" i="7"/>
  <c r="AH612" i="7"/>
  <c r="AE612" i="7"/>
  <c r="AD612" i="7"/>
  <c r="AC612" i="7"/>
  <c r="V612" i="7"/>
  <c r="U612" i="7"/>
  <c r="T612" i="7"/>
  <c r="P612" i="7"/>
  <c r="O612" i="7"/>
  <c r="N612" i="7"/>
  <c r="M612" i="7"/>
  <c r="J612" i="7"/>
  <c r="AH611" i="7"/>
  <c r="AE611" i="7"/>
  <c r="AD611" i="7"/>
  <c r="AC611" i="7"/>
  <c r="V611" i="7"/>
  <c r="U611" i="7"/>
  <c r="T611" i="7"/>
  <c r="O611" i="7"/>
  <c r="N611" i="7"/>
  <c r="M611" i="7"/>
  <c r="J611" i="7"/>
  <c r="P611" i="7" s="1"/>
  <c r="AH610" i="7"/>
  <c r="AE610" i="7"/>
  <c r="AD610" i="7"/>
  <c r="AC610" i="7"/>
  <c r="V610" i="7"/>
  <c r="U610" i="7"/>
  <c r="T610" i="7"/>
  <c r="N610" i="7"/>
  <c r="M610" i="7"/>
  <c r="J610" i="7"/>
  <c r="O610" i="7" s="1"/>
  <c r="AH609" i="7"/>
  <c r="AE609" i="7"/>
  <c r="AD609" i="7"/>
  <c r="AC609" i="7"/>
  <c r="V609" i="7"/>
  <c r="U609" i="7"/>
  <c r="T609" i="7"/>
  <c r="N609" i="7"/>
  <c r="M609" i="7"/>
  <c r="J609" i="7"/>
  <c r="AH608" i="7"/>
  <c r="AE608" i="7"/>
  <c r="AD608" i="7"/>
  <c r="AC608" i="7"/>
  <c r="V608" i="7"/>
  <c r="U608" i="7"/>
  <c r="T608" i="7"/>
  <c r="N608" i="7"/>
  <c r="M608" i="7"/>
  <c r="J608" i="7"/>
  <c r="AH607" i="7"/>
  <c r="AE607" i="7"/>
  <c r="AD607" i="7"/>
  <c r="AC607" i="7"/>
  <c r="V607" i="7"/>
  <c r="U607" i="7"/>
  <c r="T607" i="7"/>
  <c r="N607" i="7"/>
  <c r="M607" i="7"/>
  <c r="J607" i="7"/>
  <c r="O607" i="7" s="1"/>
  <c r="AH606" i="7"/>
  <c r="AE606" i="7"/>
  <c r="AD606" i="7"/>
  <c r="AC606" i="7"/>
  <c r="V606" i="7"/>
  <c r="U606" i="7"/>
  <c r="T606" i="7"/>
  <c r="P606" i="7"/>
  <c r="N606" i="7"/>
  <c r="M606" i="7"/>
  <c r="J606" i="7"/>
  <c r="O606" i="7" s="1"/>
  <c r="AH605" i="7"/>
  <c r="AE605" i="7"/>
  <c r="AD605" i="7"/>
  <c r="AC605" i="7"/>
  <c r="V605" i="7"/>
  <c r="U605" i="7"/>
  <c r="T605" i="7"/>
  <c r="N605" i="7"/>
  <c r="M605" i="7"/>
  <c r="J605" i="7"/>
  <c r="P605" i="7" s="1"/>
  <c r="AH604" i="7"/>
  <c r="AE604" i="7"/>
  <c r="AD604" i="7"/>
  <c r="AC604" i="7"/>
  <c r="V604" i="7"/>
  <c r="U604" i="7"/>
  <c r="T604" i="7"/>
  <c r="N604" i="7"/>
  <c r="M604" i="7"/>
  <c r="J604" i="7"/>
  <c r="P604" i="7" s="1"/>
  <c r="AH603" i="7"/>
  <c r="AE603" i="7"/>
  <c r="AD603" i="7"/>
  <c r="AC603" i="7"/>
  <c r="V603" i="7"/>
  <c r="U603" i="7"/>
  <c r="T603" i="7"/>
  <c r="O603" i="7"/>
  <c r="N603" i="7"/>
  <c r="M603" i="7"/>
  <c r="J603" i="7"/>
  <c r="P603" i="7" s="1"/>
  <c r="AH602" i="7"/>
  <c r="AE602" i="7"/>
  <c r="AD602" i="7"/>
  <c r="AC602" i="7"/>
  <c r="V602" i="7"/>
  <c r="U602" i="7"/>
  <c r="T602" i="7"/>
  <c r="O602" i="7"/>
  <c r="N602" i="7"/>
  <c r="M602" i="7"/>
  <c r="J602" i="7"/>
  <c r="P602" i="7" s="1"/>
  <c r="AH601" i="7"/>
  <c r="AE601" i="7"/>
  <c r="AD601" i="7"/>
  <c r="AC601" i="7"/>
  <c r="V601" i="7"/>
  <c r="U601" i="7"/>
  <c r="T601" i="7"/>
  <c r="N601" i="7"/>
  <c r="M601" i="7"/>
  <c r="J601" i="7"/>
  <c r="AH600" i="7"/>
  <c r="AE600" i="7"/>
  <c r="AD600" i="7"/>
  <c r="AC600" i="7"/>
  <c r="V600" i="7"/>
  <c r="U600" i="7"/>
  <c r="T600" i="7"/>
  <c r="N600" i="7"/>
  <c r="M600" i="7"/>
  <c r="J600" i="7"/>
  <c r="AH599" i="7"/>
  <c r="AE599" i="7"/>
  <c r="AD599" i="7"/>
  <c r="AC599" i="7"/>
  <c r="V599" i="7"/>
  <c r="U599" i="7"/>
  <c r="T599" i="7"/>
  <c r="N599" i="7"/>
  <c r="M599" i="7"/>
  <c r="J599" i="7"/>
  <c r="O599" i="7" s="1"/>
  <c r="AH598" i="7"/>
  <c r="AE598" i="7"/>
  <c r="AD598" i="7"/>
  <c r="AC598" i="7"/>
  <c r="V598" i="7"/>
  <c r="U598" i="7"/>
  <c r="T598" i="7"/>
  <c r="N598" i="7"/>
  <c r="M598" i="7"/>
  <c r="J598" i="7"/>
  <c r="P598" i="7" s="1"/>
  <c r="AH597" i="7"/>
  <c r="AE597" i="7"/>
  <c r="AD597" i="7"/>
  <c r="AC597" i="7"/>
  <c r="V597" i="7"/>
  <c r="U597" i="7"/>
  <c r="T597" i="7"/>
  <c r="P597" i="7"/>
  <c r="O597" i="7"/>
  <c r="N597" i="7"/>
  <c r="M597" i="7"/>
  <c r="J597" i="7"/>
  <c r="AH596" i="7"/>
  <c r="AE596" i="7"/>
  <c r="AD596" i="7"/>
  <c r="AC596" i="7"/>
  <c r="V596" i="7"/>
  <c r="U596" i="7"/>
  <c r="T596" i="7"/>
  <c r="P596" i="7"/>
  <c r="O596" i="7"/>
  <c r="N596" i="7"/>
  <c r="M596" i="7"/>
  <c r="J596" i="7"/>
  <c r="AH595" i="7"/>
  <c r="AE595" i="7"/>
  <c r="AD595" i="7"/>
  <c r="AC595" i="7"/>
  <c r="V595" i="7"/>
  <c r="U595" i="7"/>
  <c r="T595" i="7"/>
  <c r="O595" i="7"/>
  <c r="N595" i="7"/>
  <c r="M595" i="7"/>
  <c r="J595" i="7"/>
  <c r="P595" i="7" s="1"/>
  <c r="AH594" i="7"/>
  <c r="AE594" i="7"/>
  <c r="AD594" i="7"/>
  <c r="AC594" i="7"/>
  <c r="V594" i="7"/>
  <c r="U594" i="7"/>
  <c r="T594" i="7"/>
  <c r="O594" i="7"/>
  <c r="N594" i="7"/>
  <c r="M594" i="7"/>
  <c r="J594" i="7"/>
  <c r="P594" i="7" s="1"/>
  <c r="AH593" i="7"/>
  <c r="AE593" i="7"/>
  <c r="AD593" i="7"/>
  <c r="AC593" i="7"/>
  <c r="V593" i="7"/>
  <c r="U593" i="7"/>
  <c r="T593" i="7"/>
  <c r="N593" i="7"/>
  <c r="M593" i="7"/>
  <c r="J593" i="7"/>
  <c r="AH592" i="7"/>
  <c r="AE592" i="7"/>
  <c r="AD592" i="7"/>
  <c r="AC592" i="7"/>
  <c r="V592" i="7"/>
  <c r="U592" i="7"/>
  <c r="T592" i="7"/>
  <c r="O592" i="7"/>
  <c r="N592" i="7"/>
  <c r="M592" i="7"/>
  <c r="J592" i="7"/>
  <c r="P592" i="7" s="1"/>
  <c r="AH591" i="7"/>
  <c r="AE591" i="7"/>
  <c r="AD591" i="7"/>
  <c r="AC591" i="7"/>
  <c r="V591" i="7"/>
  <c r="U591" i="7"/>
  <c r="T591" i="7"/>
  <c r="N591" i="7"/>
  <c r="M591" i="7"/>
  <c r="J591" i="7"/>
  <c r="O591" i="7" s="1"/>
  <c r="AH590" i="7"/>
  <c r="AE590" i="7"/>
  <c r="AD590" i="7"/>
  <c r="AC590" i="7"/>
  <c r="V590" i="7"/>
  <c r="U590" i="7"/>
  <c r="T590" i="7"/>
  <c r="N590" i="7"/>
  <c r="M590" i="7"/>
  <c r="J590" i="7"/>
  <c r="P590" i="7" s="1"/>
  <c r="AH589" i="7"/>
  <c r="AE589" i="7"/>
  <c r="AD589" i="7"/>
  <c r="AC589" i="7"/>
  <c r="V589" i="7"/>
  <c r="U589" i="7"/>
  <c r="T589" i="7"/>
  <c r="N589" i="7"/>
  <c r="M589" i="7"/>
  <c r="J589" i="7"/>
  <c r="P589" i="7" s="1"/>
  <c r="AH588" i="7"/>
  <c r="AE588" i="7"/>
  <c r="AD588" i="7"/>
  <c r="AC588" i="7"/>
  <c r="V588" i="7"/>
  <c r="U588" i="7"/>
  <c r="T588" i="7"/>
  <c r="N588" i="7"/>
  <c r="M588" i="7"/>
  <c r="J588" i="7"/>
  <c r="P588" i="7" s="1"/>
  <c r="AH587" i="7"/>
  <c r="AE587" i="7"/>
  <c r="AD587" i="7"/>
  <c r="AC587" i="7"/>
  <c r="V587" i="7"/>
  <c r="U587" i="7"/>
  <c r="T587" i="7"/>
  <c r="N587" i="7"/>
  <c r="M587" i="7"/>
  <c r="J587" i="7"/>
  <c r="P587" i="7" s="1"/>
  <c r="AH586" i="7"/>
  <c r="AE586" i="7"/>
  <c r="AD586" i="7"/>
  <c r="AC586" i="7"/>
  <c r="V586" i="7"/>
  <c r="U586" i="7"/>
  <c r="T586" i="7"/>
  <c r="O586" i="7"/>
  <c r="N586" i="7"/>
  <c r="M586" i="7"/>
  <c r="J586" i="7"/>
  <c r="P586" i="7" s="1"/>
  <c r="AH585" i="7"/>
  <c r="AE585" i="7"/>
  <c r="AD585" i="7"/>
  <c r="AC585" i="7"/>
  <c r="V585" i="7"/>
  <c r="U585" i="7"/>
  <c r="T585" i="7"/>
  <c r="N585" i="7"/>
  <c r="M585" i="7"/>
  <c r="J585" i="7"/>
  <c r="P585" i="7" s="1"/>
  <c r="AH584" i="7"/>
  <c r="AE584" i="7"/>
  <c r="AD584" i="7"/>
  <c r="AC584" i="7"/>
  <c r="V584" i="7"/>
  <c r="U584" i="7"/>
  <c r="T584" i="7"/>
  <c r="N584" i="7"/>
  <c r="M584" i="7"/>
  <c r="J584" i="7"/>
  <c r="AH583" i="7"/>
  <c r="AE583" i="7"/>
  <c r="AD583" i="7"/>
  <c r="AC583" i="7"/>
  <c r="V583" i="7"/>
  <c r="U583" i="7"/>
  <c r="T583" i="7"/>
  <c r="N583" i="7"/>
  <c r="M583" i="7"/>
  <c r="J583" i="7"/>
  <c r="O583" i="7" s="1"/>
  <c r="AH582" i="7"/>
  <c r="AE582" i="7"/>
  <c r="AD582" i="7"/>
  <c r="AC582" i="7"/>
  <c r="V582" i="7"/>
  <c r="U582" i="7"/>
  <c r="T582" i="7"/>
  <c r="N582" i="7"/>
  <c r="M582" i="7"/>
  <c r="J582" i="7"/>
  <c r="P582" i="7" s="1"/>
  <c r="AH581" i="7"/>
  <c r="AE581" i="7"/>
  <c r="AD581" i="7"/>
  <c r="AC581" i="7"/>
  <c r="V581" i="7"/>
  <c r="U581" i="7"/>
  <c r="T581" i="7"/>
  <c r="P581" i="7"/>
  <c r="O581" i="7"/>
  <c r="N581" i="7"/>
  <c r="M581" i="7"/>
  <c r="J581" i="7"/>
  <c r="AH580" i="7"/>
  <c r="AE580" i="7"/>
  <c r="AD580" i="7"/>
  <c r="AC580" i="7"/>
  <c r="V580" i="7"/>
  <c r="U580" i="7"/>
  <c r="T580" i="7"/>
  <c r="P580" i="7"/>
  <c r="O580" i="7"/>
  <c r="N580" i="7"/>
  <c r="M580" i="7"/>
  <c r="J580" i="7"/>
  <c r="AH579" i="7"/>
  <c r="AE579" i="7"/>
  <c r="AD579" i="7"/>
  <c r="AC579" i="7"/>
  <c r="V579" i="7"/>
  <c r="U579" i="7"/>
  <c r="T579" i="7"/>
  <c r="N579" i="7"/>
  <c r="M579" i="7"/>
  <c r="J579" i="7"/>
  <c r="P579" i="7" s="1"/>
  <c r="AH578" i="7"/>
  <c r="AE578" i="7"/>
  <c r="AD578" i="7"/>
  <c r="AC578" i="7"/>
  <c r="V578" i="7"/>
  <c r="U578" i="7"/>
  <c r="T578" i="7"/>
  <c r="N578" i="7"/>
  <c r="M578" i="7"/>
  <c r="J578" i="7"/>
  <c r="O578" i="7" s="1"/>
  <c r="AH577" i="7"/>
  <c r="AE577" i="7"/>
  <c r="AD577" i="7"/>
  <c r="AC577" i="7"/>
  <c r="V577" i="7"/>
  <c r="U577" i="7"/>
  <c r="T577" i="7"/>
  <c r="O577" i="7"/>
  <c r="N577" i="7"/>
  <c r="M577" i="7"/>
  <c r="J577" i="7"/>
  <c r="P577" i="7" s="1"/>
  <c r="AH576" i="7"/>
  <c r="AE576" i="7"/>
  <c r="AD576" i="7"/>
  <c r="AC576" i="7"/>
  <c r="V576" i="7"/>
  <c r="U576" i="7"/>
  <c r="T576" i="7"/>
  <c r="N576" i="7"/>
  <c r="M576" i="7"/>
  <c r="J576" i="7"/>
  <c r="P576" i="7" s="1"/>
  <c r="AH575" i="7"/>
  <c r="AE575" i="7"/>
  <c r="AD575" i="7"/>
  <c r="AC575" i="7"/>
  <c r="V575" i="7"/>
  <c r="U575" i="7"/>
  <c r="T575" i="7"/>
  <c r="N575" i="7"/>
  <c r="M575" i="7"/>
  <c r="J575" i="7"/>
  <c r="P575" i="7" s="1"/>
  <c r="AH574" i="7"/>
  <c r="AE574" i="7"/>
  <c r="AD574" i="7"/>
  <c r="AC574" i="7"/>
  <c r="V574" i="7"/>
  <c r="U574" i="7"/>
  <c r="T574" i="7"/>
  <c r="O574" i="7"/>
  <c r="N574" i="7"/>
  <c r="M574" i="7"/>
  <c r="J574" i="7"/>
  <c r="P574" i="7" s="1"/>
  <c r="AH573" i="7"/>
  <c r="AE573" i="7"/>
  <c r="AD573" i="7"/>
  <c r="AC573" i="7"/>
  <c r="V573" i="7"/>
  <c r="U573" i="7"/>
  <c r="T573" i="7"/>
  <c r="O573" i="7"/>
  <c r="N573" i="7"/>
  <c r="M573" i="7"/>
  <c r="J573" i="7"/>
  <c r="P573" i="7" s="1"/>
  <c r="AH572" i="7"/>
  <c r="AE572" i="7"/>
  <c r="AD572" i="7"/>
  <c r="AC572" i="7"/>
  <c r="V572" i="7"/>
  <c r="U572" i="7"/>
  <c r="T572" i="7"/>
  <c r="O572" i="7"/>
  <c r="N572" i="7"/>
  <c r="M572" i="7"/>
  <c r="J572" i="7"/>
  <c r="P572" i="7" s="1"/>
  <c r="AH571" i="7"/>
  <c r="AE571" i="7"/>
  <c r="AD571" i="7"/>
  <c r="AC571" i="7"/>
  <c r="V571" i="7"/>
  <c r="U571" i="7"/>
  <c r="T571" i="7"/>
  <c r="O571" i="7"/>
  <c r="N571" i="7"/>
  <c r="M571" i="7"/>
  <c r="J571" i="7"/>
  <c r="P571" i="7" s="1"/>
  <c r="AH570" i="7"/>
  <c r="AE570" i="7"/>
  <c r="AD570" i="7"/>
  <c r="AC570" i="7"/>
  <c r="V570" i="7"/>
  <c r="U570" i="7"/>
  <c r="T570" i="7"/>
  <c r="P570" i="7"/>
  <c r="O570" i="7"/>
  <c r="N570" i="7"/>
  <c r="M570" i="7"/>
  <c r="J570" i="7"/>
  <c r="AH569" i="7"/>
  <c r="AE569" i="7"/>
  <c r="AD569" i="7"/>
  <c r="AC569" i="7"/>
  <c r="V569" i="7"/>
  <c r="U569" i="7"/>
  <c r="T569" i="7"/>
  <c r="N569" i="7"/>
  <c r="M569" i="7"/>
  <c r="J569" i="7"/>
  <c r="P569" i="7" s="1"/>
  <c r="AH568" i="7"/>
  <c r="AE568" i="7"/>
  <c r="AD568" i="7"/>
  <c r="AC568" i="7"/>
  <c r="V568" i="7"/>
  <c r="U568" i="7"/>
  <c r="T568" i="7"/>
  <c r="N568" i="7"/>
  <c r="M568" i="7"/>
  <c r="J568" i="7"/>
  <c r="P568" i="7" s="1"/>
  <c r="AH567" i="7"/>
  <c r="AE567" i="7"/>
  <c r="AD567" i="7"/>
  <c r="AC567" i="7"/>
  <c r="V567" i="7"/>
  <c r="U567" i="7"/>
  <c r="T567" i="7"/>
  <c r="N567" i="7"/>
  <c r="M567" i="7"/>
  <c r="J567" i="7"/>
  <c r="AH566" i="7"/>
  <c r="AE566" i="7"/>
  <c r="AD566" i="7"/>
  <c r="AC566" i="7"/>
  <c r="V566" i="7"/>
  <c r="U566" i="7"/>
  <c r="T566" i="7"/>
  <c r="N566" i="7"/>
  <c r="M566" i="7"/>
  <c r="J566" i="7"/>
  <c r="P566" i="7" s="1"/>
  <c r="AH565" i="7"/>
  <c r="AE565" i="7"/>
  <c r="AD565" i="7"/>
  <c r="AC565" i="7"/>
  <c r="V565" i="7"/>
  <c r="U565" i="7"/>
  <c r="T565" i="7"/>
  <c r="P565" i="7"/>
  <c r="O565" i="7"/>
  <c r="N565" i="7"/>
  <c r="M565" i="7"/>
  <c r="J565" i="7"/>
  <c r="AH564" i="7"/>
  <c r="AE564" i="7"/>
  <c r="AD564" i="7"/>
  <c r="AC564" i="7"/>
  <c r="V564" i="7"/>
  <c r="U564" i="7"/>
  <c r="T564" i="7"/>
  <c r="P564" i="7"/>
  <c r="O564" i="7"/>
  <c r="N564" i="7"/>
  <c r="M564" i="7"/>
  <c r="J564" i="7"/>
  <c r="AH563" i="7"/>
  <c r="AE563" i="7"/>
  <c r="AD563" i="7"/>
  <c r="AC563" i="7"/>
  <c r="V563" i="7"/>
  <c r="U563" i="7"/>
  <c r="T563" i="7"/>
  <c r="N563" i="7"/>
  <c r="M563" i="7"/>
  <c r="J563" i="7"/>
  <c r="P563" i="7" s="1"/>
  <c r="AH562" i="7"/>
  <c r="AE562" i="7"/>
  <c r="AD562" i="7"/>
  <c r="AC562" i="7"/>
  <c r="V562" i="7"/>
  <c r="U562" i="7"/>
  <c r="T562" i="7"/>
  <c r="N562" i="7"/>
  <c r="M562" i="7"/>
  <c r="J562" i="7"/>
  <c r="O562" i="7" s="1"/>
  <c r="AH561" i="7"/>
  <c r="AE561" i="7"/>
  <c r="AD561" i="7"/>
  <c r="AC561" i="7"/>
  <c r="V561" i="7"/>
  <c r="U561" i="7"/>
  <c r="T561" i="7"/>
  <c r="N561" i="7"/>
  <c r="M561" i="7"/>
  <c r="J561" i="7"/>
  <c r="P561" i="7" s="1"/>
  <c r="AH560" i="7"/>
  <c r="AE560" i="7"/>
  <c r="AD560" i="7"/>
  <c r="AC560" i="7"/>
  <c r="V560" i="7"/>
  <c r="U560" i="7"/>
  <c r="T560" i="7"/>
  <c r="N560" i="7"/>
  <c r="M560" i="7"/>
  <c r="J560" i="7"/>
  <c r="P560" i="7" s="1"/>
  <c r="AH559" i="7"/>
  <c r="AE559" i="7"/>
  <c r="AD559" i="7"/>
  <c r="AC559" i="7"/>
  <c r="V559" i="7"/>
  <c r="U559" i="7"/>
  <c r="T559" i="7"/>
  <c r="N559" i="7"/>
  <c r="M559" i="7"/>
  <c r="J559" i="7"/>
  <c r="P559" i="7" s="1"/>
  <c r="AH558" i="7"/>
  <c r="AE558" i="7"/>
  <c r="AD558" i="7"/>
  <c r="AC558" i="7"/>
  <c r="V558" i="7"/>
  <c r="U558" i="7"/>
  <c r="T558" i="7"/>
  <c r="N558" i="7"/>
  <c r="M558" i="7"/>
  <c r="J558" i="7"/>
  <c r="P558" i="7" s="1"/>
  <c r="AH557" i="7"/>
  <c r="AE557" i="7"/>
  <c r="AD557" i="7"/>
  <c r="AC557" i="7"/>
  <c r="V557" i="7"/>
  <c r="U557" i="7"/>
  <c r="T557" i="7"/>
  <c r="N557" i="7"/>
  <c r="M557" i="7"/>
  <c r="J557" i="7"/>
  <c r="P557" i="7" s="1"/>
  <c r="AH556" i="7"/>
  <c r="AE556" i="7"/>
  <c r="AD556" i="7"/>
  <c r="AC556" i="7"/>
  <c r="V556" i="7"/>
  <c r="U556" i="7"/>
  <c r="T556" i="7"/>
  <c r="N556" i="7"/>
  <c r="M556" i="7"/>
  <c r="J556" i="7"/>
  <c r="P556" i="7" s="1"/>
  <c r="AH555" i="7"/>
  <c r="AE555" i="7"/>
  <c r="AD555" i="7"/>
  <c r="AC555" i="7"/>
  <c r="V555" i="7"/>
  <c r="U555" i="7"/>
  <c r="T555" i="7"/>
  <c r="O555" i="7"/>
  <c r="N555" i="7"/>
  <c r="M555" i="7"/>
  <c r="J555" i="7"/>
  <c r="P555" i="7" s="1"/>
  <c r="AH554" i="7"/>
  <c r="AE554" i="7"/>
  <c r="AD554" i="7"/>
  <c r="AC554" i="7"/>
  <c r="V554" i="7"/>
  <c r="U554" i="7"/>
  <c r="T554" i="7"/>
  <c r="O554" i="7"/>
  <c r="N554" i="7"/>
  <c r="M554" i="7"/>
  <c r="J554" i="7"/>
  <c r="P554" i="7" s="1"/>
  <c r="AH553" i="7"/>
  <c r="AE553" i="7"/>
  <c r="AD553" i="7"/>
  <c r="AC553" i="7"/>
  <c r="V553" i="7"/>
  <c r="U553" i="7"/>
  <c r="T553" i="7"/>
  <c r="N553" i="7"/>
  <c r="M553" i="7"/>
  <c r="J553" i="7"/>
  <c r="P553" i="7" s="1"/>
  <c r="AH552" i="7"/>
  <c r="AE552" i="7"/>
  <c r="AD552" i="7"/>
  <c r="AC552" i="7"/>
  <c r="V552" i="7"/>
  <c r="U552" i="7"/>
  <c r="T552" i="7"/>
  <c r="N552" i="7"/>
  <c r="M552" i="7"/>
  <c r="J552" i="7"/>
  <c r="P552" i="7" s="1"/>
  <c r="AH551" i="7"/>
  <c r="AE551" i="7"/>
  <c r="AD551" i="7"/>
  <c r="AC551" i="7"/>
  <c r="V551" i="7"/>
  <c r="U551" i="7"/>
  <c r="T551" i="7"/>
  <c r="N551" i="7"/>
  <c r="M551" i="7"/>
  <c r="J551" i="7"/>
  <c r="AH550" i="7"/>
  <c r="AE550" i="7"/>
  <c r="AD550" i="7"/>
  <c r="AC550" i="7"/>
  <c r="V550" i="7"/>
  <c r="U550" i="7"/>
  <c r="T550" i="7"/>
  <c r="N550" i="7"/>
  <c r="M550" i="7"/>
  <c r="J550" i="7"/>
  <c r="P550" i="7" s="1"/>
  <c r="AH549" i="7"/>
  <c r="AE549" i="7"/>
  <c r="AD549" i="7"/>
  <c r="AC549" i="7"/>
  <c r="V549" i="7"/>
  <c r="U549" i="7"/>
  <c r="T549" i="7"/>
  <c r="P549" i="7"/>
  <c r="O549" i="7"/>
  <c r="N549" i="7"/>
  <c r="M549" i="7"/>
  <c r="J549" i="7"/>
  <c r="AH548" i="7"/>
  <c r="AE548" i="7"/>
  <c r="AD548" i="7"/>
  <c r="AC548" i="7"/>
  <c r="V548" i="7"/>
  <c r="U548" i="7"/>
  <c r="T548" i="7"/>
  <c r="O548" i="7"/>
  <c r="N548" i="7"/>
  <c r="M548" i="7"/>
  <c r="J548" i="7"/>
  <c r="P548" i="7" s="1"/>
  <c r="AH547" i="7"/>
  <c r="AE547" i="7"/>
  <c r="AD547" i="7"/>
  <c r="AC547" i="7"/>
  <c r="V547" i="7"/>
  <c r="U547" i="7"/>
  <c r="T547" i="7"/>
  <c r="O547" i="7"/>
  <c r="N547" i="7"/>
  <c r="M547" i="7"/>
  <c r="J547" i="7"/>
  <c r="P547" i="7" s="1"/>
  <c r="AH546" i="7"/>
  <c r="AE546" i="7"/>
  <c r="AD546" i="7"/>
  <c r="AC546" i="7"/>
  <c r="V546" i="7"/>
  <c r="U546" i="7"/>
  <c r="T546" i="7"/>
  <c r="P546" i="7"/>
  <c r="N546" i="7"/>
  <c r="M546" i="7"/>
  <c r="J546" i="7"/>
  <c r="O546" i="7" s="1"/>
  <c r="AH545" i="7"/>
  <c r="AE545" i="7"/>
  <c r="AD545" i="7"/>
  <c r="AC545" i="7"/>
  <c r="V545" i="7"/>
  <c r="U545" i="7"/>
  <c r="T545" i="7"/>
  <c r="N545" i="7"/>
  <c r="M545" i="7"/>
  <c r="J545" i="7"/>
  <c r="P545" i="7" s="1"/>
  <c r="AH544" i="7"/>
  <c r="AE544" i="7"/>
  <c r="AD544" i="7"/>
  <c r="AC544" i="7"/>
  <c r="V544" i="7"/>
  <c r="U544" i="7"/>
  <c r="T544" i="7"/>
  <c r="N544" i="7"/>
  <c r="M544" i="7"/>
  <c r="J544" i="7"/>
  <c r="P544" i="7" s="1"/>
  <c r="AH543" i="7"/>
  <c r="AE543" i="7"/>
  <c r="AD543" i="7"/>
  <c r="AC543" i="7"/>
  <c r="V543" i="7"/>
  <c r="U543" i="7"/>
  <c r="T543" i="7"/>
  <c r="N543" i="7"/>
  <c r="M543" i="7"/>
  <c r="J543" i="7"/>
  <c r="P543" i="7" s="1"/>
  <c r="AH542" i="7"/>
  <c r="AE542" i="7"/>
  <c r="AD542" i="7"/>
  <c r="AC542" i="7"/>
  <c r="V542" i="7"/>
  <c r="U542" i="7"/>
  <c r="T542" i="7"/>
  <c r="N542" i="7"/>
  <c r="M542" i="7"/>
  <c r="J542" i="7"/>
  <c r="P542" i="7" s="1"/>
  <c r="AH541" i="7"/>
  <c r="AE541" i="7"/>
  <c r="AD541" i="7"/>
  <c r="AC541" i="7"/>
  <c r="V541" i="7"/>
  <c r="U541" i="7"/>
  <c r="T541" i="7"/>
  <c r="O541" i="7"/>
  <c r="N541" i="7"/>
  <c r="M541" i="7"/>
  <c r="J541" i="7"/>
  <c r="P541" i="7" s="1"/>
  <c r="AH540" i="7"/>
  <c r="AE540" i="7"/>
  <c r="AD540" i="7"/>
  <c r="AC540" i="7"/>
  <c r="V540" i="7"/>
  <c r="U540" i="7"/>
  <c r="T540" i="7"/>
  <c r="P540" i="7"/>
  <c r="O540" i="7"/>
  <c r="N540" i="7"/>
  <c r="M540" i="7"/>
  <c r="J540" i="7"/>
  <c r="AH539" i="7"/>
  <c r="AE539" i="7"/>
  <c r="AD539" i="7"/>
  <c r="AC539" i="7"/>
  <c r="V539" i="7"/>
  <c r="U539" i="7"/>
  <c r="T539" i="7"/>
  <c r="O539" i="7"/>
  <c r="N539" i="7"/>
  <c r="M539" i="7"/>
  <c r="J539" i="7"/>
  <c r="P539" i="7" s="1"/>
  <c r="AH538" i="7"/>
  <c r="AE538" i="7"/>
  <c r="AD538" i="7"/>
  <c r="AC538" i="7"/>
  <c r="V538" i="7"/>
  <c r="U538" i="7"/>
  <c r="T538" i="7"/>
  <c r="N538" i="7"/>
  <c r="M538" i="7"/>
  <c r="J538" i="7"/>
  <c r="P538" i="7" s="1"/>
  <c r="AH537" i="7"/>
  <c r="AE537" i="7"/>
  <c r="AD537" i="7"/>
  <c r="AC537" i="7"/>
  <c r="V537" i="7"/>
  <c r="U537" i="7"/>
  <c r="T537" i="7"/>
  <c r="N537" i="7"/>
  <c r="M537" i="7"/>
  <c r="J537" i="7"/>
  <c r="AH536" i="7"/>
  <c r="AE536" i="7"/>
  <c r="AD536" i="7"/>
  <c r="AC536" i="7"/>
  <c r="V536" i="7"/>
  <c r="U536" i="7"/>
  <c r="T536" i="7"/>
  <c r="N536" i="7"/>
  <c r="M536" i="7"/>
  <c r="J536" i="7"/>
  <c r="AH535" i="7"/>
  <c r="AE535" i="7"/>
  <c r="AD535" i="7"/>
  <c r="AC535" i="7"/>
  <c r="V535" i="7"/>
  <c r="U535" i="7"/>
  <c r="T535" i="7"/>
  <c r="N535" i="7"/>
  <c r="M535" i="7"/>
  <c r="J535" i="7"/>
  <c r="O535" i="7" s="1"/>
  <c r="AH534" i="7"/>
  <c r="AE534" i="7"/>
  <c r="AD534" i="7"/>
  <c r="AC534" i="7"/>
  <c r="V534" i="7"/>
  <c r="U534" i="7"/>
  <c r="T534" i="7"/>
  <c r="O534" i="7"/>
  <c r="N534" i="7"/>
  <c r="M534" i="7"/>
  <c r="J534" i="7"/>
  <c r="P534" i="7" s="1"/>
  <c r="AH533" i="7"/>
  <c r="AE533" i="7"/>
  <c r="AD533" i="7"/>
  <c r="AC533" i="7"/>
  <c r="V533" i="7"/>
  <c r="U533" i="7"/>
  <c r="T533" i="7"/>
  <c r="P533" i="7"/>
  <c r="O533" i="7"/>
  <c r="N533" i="7"/>
  <c r="M533" i="7"/>
  <c r="J533" i="7"/>
  <c r="AH532" i="7"/>
  <c r="AE532" i="7"/>
  <c r="AD532" i="7"/>
  <c r="AC532" i="7"/>
  <c r="V532" i="7"/>
  <c r="U532" i="7"/>
  <c r="T532" i="7"/>
  <c r="O532" i="7"/>
  <c r="N532" i="7"/>
  <c r="M532" i="7"/>
  <c r="J532" i="7"/>
  <c r="P532" i="7" s="1"/>
  <c r="AH531" i="7"/>
  <c r="AE531" i="7"/>
  <c r="AD531" i="7"/>
  <c r="AC531" i="7"/>
  <c r="V531" i="7"/>
  <c r="U531" i="7"/>
  <c r="T531" i="7"/>
  <c r="O531" i="7"/>
  <c r="N531" i="7"/>
  <c r="M531" i="7"/>
  <c r="J531" i="7"/>
  <c r="P531" i="7" s="1"/>
  <c r="AH530" i="7"/>
  <c r="AE530" i="7"/>
  <c r="AD530" i="7"/>
  <c r="AC530" i="7"/>
  <c r="V530" i="7"/>
  <c r="U530" i="7"/>
  <c r="T530" i="7"/>
  <c r="P530" i="7"/>
  <c r="N530" i="7"/>
  <c r="M530" i="7"/>
  <c r="J530" i="7"/>
  <c r="O530" i="7" s="1"/>
  <c r="AH529" i="7"/>
  <c r="AE529" i="7"/>
  <c r="AD529" i="7"/>
  <c r="AC529" i="7"/>
  <c r="V529" i="7"/>
  <c r="U529" i="7"/>
  <c r="T529" i="7"/>
  <c r="N529" i="7"/>
  <c r="M529" i="7"/>
  <c r="J529" i="7"/>
  <c r="AH528" i="7"/>
  <c r="AE528" i="7"/>
  <c r="AD528" i="7"/>
  <c r="AC528" i="7"/>
  <c r="V528" i="7"/>
  <c r="U528" i="7"/>
  <c r="T528" i="7"/>
  <c r="N528" i="7"/>
  <c r="M528" i="7"/>
  <c r="J528" i="7"/>
  <c r="AH527" i="7"/>
  <c r="AE527" i="7"/>
  <c r="AD527" i="7"/>
  <c r="AC527" i="7"/>
  <c r="V527" i="7"/>
  <c r="U527" i="7"/>
  <c r="T527" i="7"/>
  <c r="N527" i="7"/>
  <c r="M527" i="7"/>
  <c r="J527" i="7"/>
  <c r="O527" i="7" s="1"/>
  <c r="AH526" i="7"/>
  <c r="AE526" i="7"/>
  <c r="AD526" i="7"/>
  <c r="AC526" i="7"/>
  <c r="V526" i="7"/>
  <c r="U526" i="7"/>
  <c r="T526" i="7"/>
  <c r="N526" i="7"/>
  <c r="M526" i="7"/>
  <c r="J526" i="7"/>
  <c r="P526" i="7" s="1"/>
  <c r="AH525" i="7"/>
  <c r="AE525" i="7"/>
  <c r="AD525" i="7"/>
  <c r="AC525" i="7"/>
  <c r="V525" i="7"/>
  <c r="U525" i="7"/>
  <c r="T525" i="7"/>
  <c r="N525" i="7"/>
  <c r="M525" i="7"/>
  <c r="J525" i="7"/>
  <c r="P525" i="7" s="1"/>
  <c r="AH524" i="7"/>
  <c r="AE524" i="7"/>
  <c r="AD524" i="7"/>
  <c r="AC524" i="7"/>
  <c r="V524" i="7"/>
  <c r="U524" i="7"/>
  <c r="T524" i="7"/>
  <c r="P524" i="7"/>
  <c r="O524" i="7"/>
  <c r="N524" i="7"/>
  <c r="M524" i="7"/>
  <c r="J524" i="7"/>
  <c r="AH523" i="7"/>
  <c r="AE523" i="7"/>
  <c r="AD523" i="7"/>
  <c r="AC523" i="7"/>
  <c r="V523" i="7"/>
  <c r="U523" i="7"/>
  <c r="T523" i="7"/>
  <c r="N523" i="7"/>
  <c r="M523" i="7"/>
  <c r="J523" i="7"/>
  <c r="P523" i="7" s="1"/>
  <c r="AH522" i="7"/>
  <c r="AE522" i="7"/>
  <c r="AD522" i="7"/>
  <c r="AC522" i="7"/>
  <c r="V522" i="7"/>
  <c r="U522" i="7"/>
  <c r="T522" i="7"/>
  <c r="N522" i="7"/>
  <c r="M522" i="7"/>
  <c r="J522" i="7"/>
  <c r="P522" i="7" s="1"/>
  <c r="AH521" i="7"/>
  <c r="AE521" i="7"/>
  <c r="AD521" i="7"/>
  <c r="AC521" i="7"/>
  <c r="V521" i="7"/>
  <c r="U521" i="7"/>
  <c r="T521" i="7"/>
  <c r="N521" i="7"/>
  <c r="M521" i="7"/>
  <c r="J521" i="7"/>
  <c r="AH520" i="7"/>
  <c r="AE520" i="7"/>
  <c r="AD520" i="7"/>
  <c r="AC520" i="7"/>
  <c r="V520" i="7"/>
  <c r="U520" i="7"/>
  <c r="T520" i="7"/>
  <c r="N520" i="7"/>
  <c r="M520" i="7"/>
  <c r="J520" i="7"/>
  <c r="AH519" i="7"/>
  <c r="AE519" i="7"/>
  <c r="AD519" i="7"/>
  <c r="AC519" i="7"/>
  <c r="V519" i="7"/>
  <c r="U519" i="7"/>
  <c r="T519" i="7"/>
  <c r="N519" i="7"/>
  <c r="M519" i="7"/>
  <c r="J519" i="7"/>
  <c r="O519" i="7" s="1"/>
  <c r="AH518" i="7"/>
  <c r="AE518" i="7"/>
  <c r="AD518" i="7"/>
  <c r="AC518" i="7"/>
  <c r="V518" i="7"/>
  <c r="U518" i="7"/>
  <c r="T518" i="7"/>
  <c r="P518" i="7"/>
  <c r="N518" i="7"/>
  <c r="M518" i="7"/>
  <c r="J518" i="7"/>
  <c r="O518" i="7" s="1"/>
  <c r="AH517" i="7"/>
  <c r="AE517" i="7"/>
  <c r="AD517" i="7"/>
  <c r="AC517" i="7"/>
  <c r="V517" i="7"/>
  <c r="U517" i="7"/>
  <c r="T517" i="7"/>
  <c r="P517" i="7"/>
  <c r="O517" i="7"/>
  <c r="N517" i="7"/>
  <c r="M517" i="7"/>
  <c r="J517" i="7"/>
  <c r="AH516" i="7"/>
  <c r="AE516" i="7"/>
  <c r="AD516" i="7"/>
  <c r="AC516" i="7"/>
  <c r="V516" i="7"/>
  <c r="U516" i="7"/>
  <c r="T516" i="7"/>
  <c r="N516" i="7"/>
  <c r="M516" i="7"/>
  <c r="J516" i="7"/>
  <c r="O516" i="7" s="1"/>
  <c r="AH515" i="7"/>
  <c r="AE515" i="7"/>
  <c r="AD515" i="7"/>
  <c r="AC515" i="7"/>
  <c r="V515" i="7"/>
  <c r="U515" i="7"/>
  <c r="T515" i="7"/>
  <c r="N515" i="7"/>
  <c r="M515" i="7"/>
  <c r="J515" i="7"/>
  <c r="P515" i="7" s="1"/>
  <c r="AH514" i="7"/>
  <c r="AE514" i="7"/>
  <c r="AD514" i="7"/>
  <c r="AC514" i="7"/>
  <c r="V514" i="7"/>
  <c r="U514" i="7"/>
  <c r="T514" i="7"/>
  <c r="P514" i="7"/>
  <c r="N514" i="7"/>
  <c r="M514" i="7"/>
  <c r="J514" i="7"/>
  <c r="O514" i="7" s="1"/>
  <c r="AH513" i="7"/>
  <c r="AE513" i="7"/>
  <c r="AD513" i="7"/>
  <c r="AC513" i="7"/>
  <c r="V513" i="7"/>
  <c r="U513" i="7"/>
  <c r="T513" i="7"/>
  <c r="O513" i="7"/>
  <c r="N513" i="7"/>
  <c r="M513" i="7"/>
  <c r="J513" i="7"/>
  <c r="P513" i="7" s="1"/>
  <c r="AH512" i="7"/>
  <c r="AE512" i="7"/>
  <c r="AD512" i="7"/>
  <c r="AC512" i="7"/>
  <c r="V512" i="7"/>
  <c r="U512" i="7"/>
  <c r="T512" i="7"/>
  <c r="N512" i="7"/>
  <c r="M512" i="7"/>
  <c r="J512" i="7"/>
  <c r="P512" i="7" s="1"/>
  <c r="AH511" i="7"/>
  <c r="AE511" i="7"/>
  <c r="AD511" i="7"/>
  <c r="AC511" i="7"/>
  <c r="V511" i="7"/>
  <c r="U511" i="7"/>
  <c r="T511" i="7"/>
  <c r="N511" i="7"/>
  <c r="M511" i="7"/>
  <c r="J511" i="7"/>
  <c r="P511" i="7" s="1"/>
  <c r="AH510" i="7"/>
  <c r="AE510" i="7"/>
  <c r="AD510" i="7"/>
  <c r="AC510" i="7"/>
  <c r="V510" i="7"/>
  <c r="U510" i="7"/>
  <c r="T510" i="7"/>
  <c r="O510" i="7"/>
  <c r="N510" i="7"/>
  <c r="M510" i="7"/>
  <c r="J510" i="7"/>
  <c r="P510" i="7" s="1"/>
  <c r="AH509" i="7"/>
  <c r="AE509" i="7"/>
  <c r="AD509" i="7"/>
  <c r="AC509" i="7"/>
  <c r="V509" i="7"/>
  <c r="U509" i="7"/>
  <c r="T509" i="7"/>
  <c r="O509" i="7"/>
  <c r="N509" i="7"/>
  <c r="M509" i="7"/>
  <c r="J509" i="7"/>
  <c r="P509" i="7" s="1"/>
  <c r="AH508" i="7"/>
  <c r="AE508" i="7"/>
  <c r="AD508" i="7"/>
  <c r="AC508" i="7"/>
  <c r="V508" i="7"/>
  <c r="U508" i="7"/>
  <c r="T508" i="7"/>
  <c r="N508" i="7"/>
  <c r="M508" i="7"/>
  <c r="J508" i="7"/>
  <c r="P508" i="7" s="1"/>
  <c r="AH507" i="7"/>
  <c r="AE507" i="7"/>
  <c r="AD507" i="7"/>
  <c r="AC507" i="7"/>
  <c r="V507" i="7"/>
  <c r="U507" i="7"/>
  <c r="T507" i="7"/>
  <c r="N507" i="7"/>
  <c r="M507" i="7"/>
  <c r="J507" i="7"/>
  <c r="AH506" i="7"/>
  <c r="AE506" i="7"/>
  <c r="AD506" i="7"/>
  <c r="AC506" i="7"/>
  <c r="V506" i="7"/>
  <c r="U506" i="7"/>
  <c r="T506" i="7"/>
  <c r="N506" i="7"/>
  <c r="M506" i="7"/>
  <c r="J506" i="7"/>
  <c r="P506" i="7" s="1"/>
  <c r="AH505" i="7"/>
  <c r="AE505" i="7"/>
  <c r="AD505" i="7"/>
  <c r="AC505" i="7"/>
  <c r="V505" i="7"/>
  <c r="U505" i="7"/>
  <c r="T505" i="7"/>
  <c r="N505" i="7"/>
  <c r="M505" i="7"/>
  <c r="J505" i="7"/>
  <c r="P505" i="7" s="1"/>
  <c r="AH504" i="7"/>
  <c r="AE504" i="7"/>
  <c r="AD504" i="7"/>
  <c r="AC504" i="7"/>
  <c r="V504" i="7"/>
  <c r="U504" i="7"/>
  <c r="T504" i="7"/>
  <c r="O504" i="7"/>
  <c r="N504" i="7"/>
  <c r="M504" i="7"/>
  <c r="J504" i="7"/>
  <c r="P504" i="7" s="1"/>
  <c r="AH503" i="7"/>
  <c r="AE503" i="7"/>
  <c r="AD503" i="7"/>
  <c r="AC503" i="7"/>
  <c r="V503" i="7"/>
  <c r="U503" i="7"/>
  <c r="T503" i="7"/>
  <c r="P503" i="7"/>
  <c r="N503" i="7"/>
  <c r="M503" i="7"/>
  <c r="J503" i="7"/>
  <c r="O503" i="7" s="1"/>
  <c r="AH502" i="7"/>
  <c r="AE502" i="7"/>
  <c r="AD502" i="7"/>
  <c r="AC502" i="7"/>
  <c r="V502" i="7"/>
  <c r="U502" i="7"/>
  <c r="T502" i="7"/>
  <c r="N502" i="7"/>
  <c r="M502" i="7"/>
  <c r="J502" i="7"/>
  <c r="P502" i="7" s="1"/>
  <c r="AH501" i="7"/>
  <c r="AE501" i="7"/>
  <c r="AD501" i="7"/>
  <c r="AC501" i="7"/>
  <c r="V501" i="7"/>
  <c r="U501" i="7"/>
  <c r="T501" i="7"/>
  <c r="N501" i="7"/>
  <c r="M501" i="7"/>
  <c r="J501" i="7"/>
  <c r="P501" i="7" s="1"/>
  <c r="AH500" i="7"/>
  <c r="AE500" i="7"/>
  <c r="AD500" i="7"/>
  <c r="AC500" i="7"/>
  <c r="V500" i="7"/>
  <c r="U500" i="7"/>
  <c r="T500" i="7"/>
  <c r="N500" i="7"/>
  <c r="M500" i="7"/>
  <c r="J500" i="7"/>
  <c r="P500" i="7" s="1"/>
  <c r="AH499" i="7"/>
  <c r="AE499" i="7"/>
  <c r="AD499" i="7"/>
  <c r="AC499" i="7"/>
  <c r="V499" i="7"/>
  <c r="U499" i="7"/>
  <c r="T499" i="7"/>
  <c r="N499" i="7"/>
  <c r="M499" i="7"/>
  <c r="J499" i="7"/>
  <c r="P499" i="7" s="1"/>
  <c r="AH498" i="7"/>
  <c r="AE498" i="7"/>
  <c r="AD498" i="7"/>
  <c r="AC498" i="7"/>
  <c r="V498" i="7"/>
  <c r="U498" i="7"/>
  <c r="T498" i="7"/>
  <c r="N498" i="7"/>
  <c r="M498" i="7"/>
  <c r="J498" i="7"/>
  <c r="P498" i="7" s="1"/>
  <c r="AH497" i="7"/>
  <c r="AE497" i="7"/>
  <c r="AD497" i="7"/>
  <c r="AC497" i="7"/>
  <c r="V497" i="7"/>
  <c r="U497" i="7"/>
  <c r="T497" i="7"/>
  <c r="P497" i="7"/>
  <c r="N497" i="7"/>
  <c r="M497" i="7"/>
  <c r="J497" i="7"/>
  <c r="O497" i="7" s="1"/>
  <c r="AH496" i="7"/>
  <c r="AE496" i="7"/>
  <c r="AD496" i="7"/>
  <c r="AC496" i="7"/>
  <c r="V496" i="7"/>
  <c r="U496" i="7"/>
  <c r="T496" i="7"/>
  <c r="O496" i="7"/>
  <c r="N496" i="7"/>
  <c r="M496" i="7"/>
  <c r="J496" i="7"/>
  <c r="P496" i="7" s="1"/>
  <c r="AH495" i="7"/>
  <c r="AE495" i="7"/>
  <c r="AD495" i="7"/>
  <c r="AC495" i="7"/>
  <c r="V495" i="7"/>
  <c r="U495" i="7"/>
  <c r="T495" i="7"/>
  <c r="O495" i="7"/>
  <c r="N495" i="7"/>
  <c r="M495" i="7"/>
  <c r="P495" i="7"/>
  <c r="AH494" i="7"/>
  <c r="AE494" i="7"/>
  <c r="AD494" i="7"/>
  <c r="AC494" i="7"/>
  <c r="V494" i="7"/>
  <c r="U494" i="7"/>
  <c r="T494" i="7"/>
  <c r="N494" i="7"/>
  <c r="M494" i="7"/>
  <c r="P494" i="7"/>
  <c r="AH493" i="7"/>
  <c r="AE493" i="7"/>
  <c r="AD493" i="7"/>
  <c r="AC493" i="7"/>
  <c r="V493" i="7"/>
  <c r="U493" i="7"/>
  <c r="T493" i="7"/>
  <c r="N493" i="7"/>
  <c r="M493" i="7"/>
  <c r="P493" i="7"/>
  <c r="AH492" i="7"/>
  <c r="AE492" i="7"/>
  <c r="AD492" i="7"/>
  <c r="AC492" i="7"/>
  <c r="V492" i="7"/>
  <c r="U492" i="7"/>
  <c r="T492" i="7"/>
  <c r="N492" i="7"/>
  <c r="M492" i="7"/>
  <c r="P492" i="7"/>
  <c r="AH491" i="7"/>
  <c r="AE491" i="7"/>
  <c r="AD491" i="7"/>
  <c r="AC491" i="7"/>
  <c r="V491" i="7"/>
  <c r="U491" i="7"/>
  <c r="T491" i="7"/>
  <c r="N491" i="7"/>
  <c r="M491" i="7"/>
  <c r="AH490" i="7"/>
  <c r="AE490" i="7"/>
  <c r="AD490" i="7"/>
  <c r="AC490" i="7"/>
  <c r="V490" i="7"/>
  <c r="U490" i="7"/>
  <c r="T490" i="7"/>
  <c r="N490" i="7"/>
  <c r="M490" i="7"/>
  <c r="P490" i="7"/>
  <c r="AH489" i="7"/>
  <c r="AE489" i="7"/>
  <c r="AD489" i="7"/>
  <c r="AC489" i="7"/>
  <c r="V489" i="7"/>
  <c r="U489" i="7"/>
  <c r="T489" i="7"/>
  <c r="O489" i="7"/>
  <c r="N489" i="7"/>
  <c r="M489" i="7"/>
  <c r="P489" i="7"/>
  <c r="AH488" i="7"/>
  <c r="AE488" i="7"/>
  <c r="AD488" i="7"/>
  <c r="AC488" i="7"/>
  <c r="V488" i="7"/>
  <c r="U488" i="7"/>
  <c r="T488" i="7"/>
  <c r="O488" i="7"/>
  <c r="N488" i="7"/>
  <c r="M488" i="7"/>
  <c r="P488" i="7"/>
  <c r="AH487" i="7"/>
  <c r="AE487" i="7"/>
  <c r="AD487" i="7"/>
  <c r="AC487" i="7"/>
  <c r="V487" i="7"/>
  <c r="U487" i="7"/>
  <c r="T487" i="7"/>
  <c r="N487" i="7"/>
  <c r="M487" i="7"/>
  <c r="O487" i="7"/>
  <c r="AH486" i="7"/>
  <c r="AE486" i="7"/>
  <c r="AD486" i="7"/>
  <c r="AC486" i="7"/>
  <c r="V486" i="7"/>
  <c r="U486" i="7"/>
  <c r="T486" i="7"/>
  <c r="N486" i="7"/>
  <c r="M486" i="7"/>
  <c r="P486" i="7"/>
  <c r="AH485" i="7"/>
  <c r="AE485" i="7"/>
  <c r="AD485" i="7"/>
  <c r="AC485" i="7"/>
  <c r="V485" i="7"/>
  <c r="U485" i="7"/>
  <c r="T485" i="7"/>
  <c r="N485" i="7"/>
  <c r="M485" i="7"/>
  <c r="P485" i="7"/>
  <c r="AH484" i="7"/>
  <c r="AE484" i="7"/>
  <c r="AD484" i="7"/>
  <c r="AC484" i="7"/>
  <c r="V484" i="7"/>
  <c r="U484" i="7"/>
  <c r="T484" i="7"/>
  <c r="N484" i="7"/>
  <c r="M484" i="7"/>
  <c r="P484" i="7"/>
  <c r="AH483" i="7"/>
  <c r="AE483" i="7"/>
  <c r="AD483" i="7"/>
  <c r="AC483" i="7"/>
  <c r="V483" i="7"/>
  <c r="U483" i="7"/>
  <c r="T483" i="7"/>
  <c r="N483" i="7"/>
  <c r="M483" i="7"/>
  <c r="P483" i="7"/>
  <c r="AH482" i="7"/>
  <c r="AE482" i="7"/>
  <c r="AD482" i="7"/>
  <c r="AC482" i="7"/>
  <c r="V482" i="7"/>
  <c r="U482" i="7"/>
  <c r="T482" i="7"/>
  <c r="N482" i="7"/>
  <c r="M482" i="7"/>
  <c r="P482" i="7"/>
  <c r="AH481" i="7"/>
  <c r="AE481" i="7"/>
  <c r="AD481" i="7"/>
  <c r="AC481" i="7"/>
  <c r="V481" i="7"/>
  <c r="U481" i="7"/>
  <c r="T481" i="7"/>
  <c r="P481" i="7"/>
  <c r="N481" i="7"/>
  <c r="M481" i="7"/>
  <c r="O481" i="7"/>
  <c r="AH480" i="7"/>
  <c r="AE480" i="7"/>
  <c r="AD480" i="7"/>
  <c r="AC480" i="7"/>
  <c r="V480" i="7"/>
  <c r="U480" i="7"/>
  <c r="T480" i="7"/>
  <c r="O480" i="7"/>
  <c r="N480" i="7"/>
  <c r="M480" i="7"/>
  <c r="P480" i="7"/>
  <c r="AH479" i="7"/>
  <c r="AE479" i="7"/>
  <c r="AD479" i="7"/>
  <c r="AC479" i="7"/>
  <c r="V479" i="7"/>
  <c r="U479" i="7"/>
  <c r="T479" i="7"/>
  <c r="O479" i="7"/>
  <c r="N479" i="7"/>
  <c r="M479" i="7"/>
  <c r="P479" i="7"/>
  <c r="AH478" i="7"/>
  <c r="AE478" i="7"/>
  <c r="AD478" i="7"/>
  <c r="AC478" i="7"/>
  <c r="V478" i="7"/>
  <c r="U478" i="7"/>
  <c r="T478" i="7"/>
  <c r="N478" i="7"/>
  <c r="M478" i="7"/>
  <c r="P478" i="7"/>
  <c r="AH477" i="7"/>
  <c r="AE477" i="7"/>
  <c r="AD477" i="7"/>
  <c r="AC477" i="7"/>
  <c r="V477" i="7"/>
  <c r="U477" i="7"/>
  <c r="T477" i="7"/>
  <c r="N477" i="7"/>
  <c r="M477" i="7"/>
  <c r="P477" i="7"/>
  <c r="AH476" i="7"/>
  <c r="AE476" i="7"/>
  <c r="AD476" i="7"/>
  <c r="AC476" i="7"/>
  <c r="V476" i="7"/>
  <c r="U476" i="7"/>
  <c r="T476" i="7"/>
  <c r="N476" i="7"/>
  <c r="M476" i="7"/>
  <c r="P476" i="7"/>
  <c r="AH475" i="7"/>
  <c r="AE475" i="7"/>
  <c r="AD475" i="7"/>
  <c r="AC475" i="7"/>
  <c r="V475" i="7"/>
  <c r="U475" i="7"/>
  <c r="T475" i="7"/>
  <c r="N475" i="7"/>
  <c r="M475" i="7"/>
  <c r="AH474" i="7"/>
  <c r="AE474" i="7"/>
  <c r="AD474" i="7"/>
  <c r="AC474" i="7"/>
  <c r="V474" i="7"/>
  <c r="U474" i="7"/>
  <c r="T474" i="7"/>
  <c r="N474" i="7"/>
  <c r="M474" i="7"/>
  <c r="P474" i="7"/>
  <c r="AH473" i="7"/>
  <c r="AE473" i="7"/>
  <c r="AD473" i="7"/>
  <c r="AC473" i="7"/>
  <c r="V473" i="7"/>
  <c r="U473" i="7"/>
  <c r="T473" i="7"/>
  <c r="O473" i="7"/>
  <c r="N473" i="7"/>
  <c r="M473" i="7"/>
  <c r="P473" i="7"/>
  <c r="AH472" i="7"/>
  <c r="AE472" i="7"/>
  <c r="AD472" i="7"/>
  <c r="AC472" i="7"/>
  <c r="V472" i="7"/>
  <c r="U472" i="7"/>
  <c r="T472" i="7"/>
  <c r="O472" i="7"/>
  <c r="N472" i="7"/>
  <c r="M472" i="7"/>
  <c r="P472" i="7"/>
  <c r="AH471" i="7"/>
  <c r="AE471" i="7"/>
  <c r="AD471" i="7"/>
  <c r="AC471" i="7"/>
  <c r="V471" i="7"/>
  <c r="U471" i="7"/>
  <c r="T471" i="7"/>
  <c r="N471" i="7"/>
  <c r="M471" i="7"/>
  <c r="O471" i="7"/>
  <c r="AH470" i="7"/>
  <c r="AE470" i="7"/>
  <c r="AD470" i="7"/>
  <c r="AC470" i="7"/>
  <c r="V470" i="7"/>
  <c r="U470" i="7"/>
  <c r="T470" i="7"/>
  <c r="N470" i="7"/>
  <c r="M470" i="7"/>
  <c r="P470" i="7"/>
  <c r="AH469" i="7"/>
  <c r="AE469" i="7"/>
  <c r="AD469" i="7"/>
  <c r="AC469" i="7"/>
  <c r="V469" i="7"/>
  <c r="U469" i="7"/>
  <c r="T469" i="7"/>
  <c r="O469" i="7"/>
  <c r="N469" i="7"/>
  <c r="M469" i="7"/>
  <c r="J469" i="7"/>
  <c r="P469" i="7" s="1"/>
  <c r="AH468" i="7"/>
  <c r="AE468" i="7"/>
  <c r="AD468" i="7"/>
  <c r="AC468" i="7"/>
  <c r="V468" i="7"/>
  <c r="U468" i="7"/>
  <c r="T468" i="7"/>
  <c r="O468" i="7"/>
  <c r="N468" i="7"/>
  <c r="M468" i="7"/>
  <c r="J468" i="7"/>
  <c r="P468" i="7" s="1"/>
  <c r="AH467" i="7"/>
  <c r="AE467" i="7"/>
  <c r="AD467" i="7"/>
  <c r="AC467" i="7"/>
  <c r="V467" i="7"/>
  <c r="U467" i="7"/>
  <c r="T467" i="7"/>
  <c r="N467" i="7"/>
  <c r="M467" i="7"/>
  <c r="J467" i="7"/>
  <c r="P467" i="7" s="1"/>
  <c r="AH466" i="7"/>
  <c r="AE466" i="7"/>
  <c r="AD466" i="7"/>
  <c r="AC466" i="7"/>
  <c r="V466" i="7"/>
  <c r="U466" i="7"/>
  <c r="T466" i="7"/>
  <c r="N466" i="7"/>
  <c r="M466" i="7"/>
  <c r="J466" i="7"/>
  <c r="P466" i="7" s="1"/>
  <c r="AH465" i="7"/>
  <c r="AE465" i="7"/>
  <c r="AD465" i="7"/>
  <c r="AC465" i="7"/>
  <c r="V465" i="7"/>
  <c r="U465" i="7"/>
  <c r="T465" i="7"/>
  <c r="P465" i="7"/>
  <c r="N465" i="7"/>
  <c r="M465" i="7"/>
  <c r="J465" i="7"/>
  <c r="O465" i="7" s="1"/>
  <c r="AH464" i="7"/>
  <c r="AE464" i="7"/>
  <c r="AD464" i="7"/>
  <c r="AC464" i="7"/>
  <c r="V464" i="7"/>
  <c r="U464" i="7"/>
  <c r="T464" i="7"/>
  <c r="O464" i="7"/>
  <c r="N464" i="7"/>
  <c r="M464" i="7"/>
  <c r="J464" i="7"/>
  <c r="P464" i="7" s="1"/>
  <c r="AH463" i="7"/>
  <c r="AE463" i="7"/>
  <c r="AD463" i="7"/>
  <c r="AC463" i="7"/>
  <c r="V463" i="7"/>
  <c r="U463" i="7"/>
  <c r="T463" i="7"/>
  <c r="N463" i="7"/>
  <c r="M463" i="7"/>
  <c r="J463" i="7"/>
  <c r="P463" i="7" s="1"/>
  <c r="AH462" i="7"/>
  <c r="AE462" i="7"/>
  <c r="AD462" i="7"/>
  <c r="AC462" i="7"/>
  <c r="V462" i="7"/>
  <c r="U462" i="7"/>
  <c r="T462" i="7"/>
  <c r="N462" i="7"/>
  <c r="M462" i="7"/>
  <c r="J462" i="7"/>
  <c r="P462" i="7" s="1"/>
  <c r="AH461" i="7"/>
  <c r="AE461" i="7"/>
  <c r="AD461" i="7"/>
  <c r="AC461" i="7"/>
  <c r="V461" i="7"/>
  <c r="U461" i="7"/>
  <c r="T461" i="7"/>
  <c r="N461" i="7"/>
  <c r="M461" i="7"/>
  <c r="J461" i="7"/>
  <c r="P461" i="7" s="1"/>
  <c r="AH460" i="7"/>
  <c r="AE460" i="7"/>
  <c r="AD460" i="7"/>
  <c r="AC460" i="7"/>
  <c r="V460" i="7"/>
  <c r="U460" i="7"/>
  <c r="T460" i="7"/>
  <c r="N460" i="7"/>
  <c r="M460" i="7"/>
  <c r="J460" i="7"/>
  <c r="P460" i="7" s="1"/>
  <c r="AH459" i="7"/>
  <c r="AE459" i="7"/>
  <c r="AD459" i="7"/>
  <c r="AC459" i="7"/>
  <c r="V459" i="7"/>
  <c r="U459" i="7"/>
  <c r="T459" i="7"/>
  <c r="N459" i="7"/>
  <c r="M459" i="7"/>
  <c r="J459" i="7"/>
  <c r="AH458" i="7"/>
  <c r="AE458" i="7"/>
  <c r="AD458" i="7"/>
  <c r="AC458" i="7"/>
  <c r="V458" i="7"/>
  <c r="U458" i="7"/>
  <c r="T458" i="7"/>
  <c r="N458" i="7"/>
  <c r="M458" i="7"/>
  <c r="J458" i="7"/>
  <c r="P458" i="7" s="1"/>
  <c r="AH457" i="7"/>
  <c r="AE457" i="7"/>
  <c r="AD457" i="7"/>
  <c r="AC457" i="7"/>
  <c r="V457" i="7"/>
  <c r="U457" i="7"/>
  <c r="T457" i="7"/>
  <c r="P457" i="7"/>
  <c r="O457" i="7"/>
  <c r="N457" i="7"/>
  <c r="M457" i="7"/>
  <c r="J457" i="7"/>
  <c r="AH456" i="7"/>
  <c r="AE456" i="7"/>
  <c r="AD456" i="7"/>
  <c r="AC456" i="7"/>
  <c r="V456" i="7"/>
  <c r="U456" i="7"/>
  <c r="T456" i="7"/>
  <c r="N456" i="7"/>
  <c r="M456" i="7"/>
  <c r="J456" i="7"/>
  <c r="P456" i="7" s="1"/>
  <c r="AH455" i="7"/>
  <c r="AE455" i="7"/>
  <c r="AD455" i="7"/>
  <c r="AC455" i="7"/>
  <c r="V455" i="7"/>
  <c r="U455" i="7"/>
  <c r="T455" i="7"/>
  <c r="N455" i="7"/>
  <c r="M455" i="7"/>
  <c r="J455" i="7"/>
  <c r="O455" i="7" s="1"/>
  <c r="AH454" i="7"/>
  <c r="AE454" i="7"/>
  <c r="AD454" i="7"/>
  <c r="AC454" i="7"/>
  <c r="V454" i="7"/>
  <c r="U454" i="7"/>
  <c r="T454" i="7"/>
  <c r="N454" i="7"/>
  <c r="M454" i="7"/>
  <c r="J454" i="7"/>
  <c r="P454" i="7" s="1"/>
  <c r="AH453" i="7"/>
  <c r="AE453" i="7"/>
  <c r="AD453" i="7"/>
  <c r="AC453" i="7"/>
  <c r="V453" i="7"/>
  <c r="U453" i="7"/>
  <c r="T453" i="7"/>
  <c r="O453" i="7"/>
  <c r="N453" i="7"/>
  <c r="M453" i="7"/>
  <c r="J453" i="7"/>
  <c r="P453" i="7" s="1"/>
  <c r="AH452" i="7"/>
  <c r="AE452" i="7"/>
  <c r="AD452" i="7"/>
  <c r="AC452" i="7"/>
  <c r="V452" i="7"/>
  <c r="U452" i="7"/>
  <c r="T452" i="7"/>
  <c r="O452" i="7"/>
  <c r="N452" i="7"/>
  <c r="M452" i="7"/>
  <c r="J452" i="7"/>
  <c r="P452" i="7" s="1"/>
  <c r="AH451" i="7"/>
  <c r="AE451" i="7"/>
  <c r="AD451" i="7"/>
  <c r="AC451" i="7"/>
  <c r="V451" i="7"/>
  <c r="U451" i="7"/>
  <c r="T451" i="7"/>
  <c r="N451" i="7"/>
  <c r="M451" i="7"/>
  <c r="J451" i="7"/>
  <c r="AH450" i="7"/>
  <c r="AE450" i="7"/>
  <c r="AD450" i="7"/>
  <c r="AC450" i="7"/>
  <c r="V450" i="7"/>
  <c r="U450" i="7"/>
  <c r="T450" i="7"/>
  <c r="N450" i="7"/>
  <c r="M450" i="7"/>
  <c r="J450" i="7"/>
  <c r="O450" i="7" s="1"/>
  <c r="AH449" i="7"/>
  <c r="AE449" i="7"/>
  <c r="AD449" i="7"/>
  <c r="AC449" i="7"/>
  <c r="V449" i="7"/>
  <c r="U449" i="7"/>
  <c r="T449" i="7"/>
  <c r="N449" i="7"/>
  <c r="M449" i="7"/>
  <c r="J449" i="7"/>
  <c r="O449" i="7" s="1"/>
  <c r="AH448" i="7"/>
  <c r="AE448" i="7"/>
  <c r="AD448" i="7"/>
  <c r="AC448" i="7"/>
  <c r="V448" i="7"/>
  <c r="U448" i="7"/>
  <c r="T448" i="7"/>
  <c r="O448" i="7"/>
  <c r="N448" i="7"/>
  <c r="M448" i="7"/>
  <c r="J448" i="7"/>
  <c r="P448" i="7" s="1"/>
  <c r="AH447" i="7"/>
  <c r="AE447" i="7"/>
  <c r="AD447" i="7"/>
  <c r="AC447" i="7"/>
  <c r="V447" i="7"/>
  <c r="U447" i="7"/>
  <c r="T447" i="7"/>
  <c r="O447" i="7"/>
  <c r="N447" i="7"/>
  <c r="M447" i="7"/>
  <c r="J447" i="7"/>
  <c r="P447" i="7" s="1"/>
  <c r="AH446" i="7"/>
  <c r="AE446" i="7"/>
  <c r="AD446" i="7"/>
  <c r="AC446" i="7"/>
  <c r="V446" i="7"/>
  <c r="U446" i="7"/>
  <c r="T446" i="7"/>
  <c r="N446" i="7"/>
  <c r="M446" i="7"/>
  <c r="J446" i="7"/>
  <c r="O446" i="7" s="1"/>
  <c r="AH445" i="7"/>
  <c r="AE445" i="7"/>
  <c r="AD445" i="7"/>
  <c r="AC445" i="7"/>
  <c r="V445" i="7"/>
  <c r="U445" i="7"/>
  <c r="T445" i="7"/>
  <c r="P445" i="7"/>
  <c r="O445" i="7"/>
  <c r="N445" i="7"/>
  <c r="M445" i="7"/>
  <c r="J445" i="7"/>
  <c r="AH444" i="7"/>
  <c r="AE444" i="7"/>
  <c r="AD444" i="7"/>
  <c r="AC444" i="7"/>
  <c r="V444" i="7"/>
  <c r="U444" i="7"/>
  <c r="T444" i="7"/>
  <c r="N444" i="7"/>
  <c r="M444" i="7"/>
  <c r="J444" i="7"/>
  <c r="O444" i="7" s="1"/>
  <c r="AH443" i="7"/>
  <c r="AE443" i="7"/>
  <c r="AD443" i="7"/>
  <c r="AC443" i="7"/>
  <c r="V443" i="7"/>
  <c r="U443" i="7"/>
  <c r="T443" i="7"/>
  <c r="N443" i="7"/>
  <c r="M443" i="7"/>
  <c r="J443" i="7"/>
  <c r="P443" i="7" s="1"/>
  <c r="AH442" i="7"/>
  <c r="AE442" i="7"/>
  <c r="AD442" i="7"/>
  <c r="AC442" i="7"/>
  <c r="V442" i="7"/>
  <c r="U442" i="7"/>
  <c r="T442" i="7"/>
  <c r="N442" i="7"/>
  <c r="M442" i="7"/>
  <c r="J442" i="7"/>
  <c r="P442" i="7" s="1"/>
  <c r="AH441" i="7"/>
  <c r="AE441" i="7"/>
  <c r="AD441" i="7"/>
  <c r="AC441" i="7"/>
  <c r="V441" i="7"/>
  <c r="U441" i="7"/>
  <c r="T441" i="7"/>
  <c r="O441" i="7"/>
  <c r="N441" i="7"/>
  <c r="M441" i="7"/>
  <c r="J441" i="7"/>
  <c r="P441" i="7" s="1"/>
  <c r="AH440" i="7"/>
  <c r="AE440" i="7"/>
  <c r="AD440" i="7"/>
  <c r="AC440" i="7"/>
  <c r="V440" i="7"/>
  <c r="U440" i="7"/>
  <c r="T440" i="7"/>
  <c r="P440" i="7"/>
  <c r="N440" i="7"/>
  <c r="M440" i="7"/>
  <c r="J440" i="7"/>
  <c r="O440" i="7" s="1"/>
  <c r="AH439" i="7"/>
  <c r="AE439" i="7"/>
  <c r="AD439" i="7"/>
  <c r="AC439" i="7"/>
  <c r="V439" i="7"/>
  <c r="U439" i="7"/>
  <c r="T439" i="7"/>
  <c r="P439" i="7"/>
  <c r="N439" i="7"/>
  <c r="M439" i="7"/>
  <c r="J439" i="7"/>
  <c r="O439" i="7" s="1"/>
  <c r="AH438" i="7"/>
  <c r="AE438" i="7"/>
  <c r="AD438" i="7"/>
  <c r="AC438" i="7"/>
  <c r="V438" i="7"/>
  <c r="U438" i="7"/>
  <c r="T438" i="7"/>
  <c r="N438" i="7"/>
  <c r="M438" i="7"/>
  <c r="J438" i="7"/>
  <c r="P438" i="7" s="1"/>
  <c r="AH437" i="7"/>
  <c r="AE437" i="7"/>
  <c r="AD437" i="7"/>
  <c r="AC437" i="7"/>
  <c r="V437" i="7"/>
  <c r="U437" i="7"/>
  <c r="T437" i="7"/>
  <c r="O437" i="7"/>
  <c r="N437" i="7"/>
  <c r="M437" i="7"/>
  <c r="J437" i="7"/>
  <c r="P437" i="7" s="1"/>
  <c r="AH436" i="7"/>
  <c r="AE436" i="7"/>
  <c r="AD436" i="7"/>
  <c r="AC436" i="7"/>
  <c r="V436" i="7"/>
  <c r="U436" i="7"/>
  <c r="T436" i="7"/>
  <c r="P436" i="7"/>
  <c r="N436" i="7"/>
  <c r="M436" i="7"/>
  <c r="J436" i="7"/>
  <c r="O436" i="7" s="1"/>
  <c r="AH435" i="7"/>
  <c r="AE435" i="7"/>
  <c r="AD435" i="7"/>
  <c r="AC435" i="7"/>
  <c r="V435" i="7"/>
  <c r="U435" i="7"/>
  <c r="T435" i="7"/>
  <c r="N435" i="7"/>
  <c r="M435" i="7"/>
  <c r="J435" i="7"/>
  <c r="P435" i="7" s="1"/>
  <c r="AH434" i="7"/>
  <c r="AE434" i="7"/>
  <c r="AD434" i="7"/>
  <c r="AC434" i="7"/>
  <c r="V434" i="7"/>
  <c r="U434" i="7"/>
  <c r="T434" i="7"/>
  <c r="P434" i="7"/>
  <c r="N434" i="7"/>
  <c r="M434" i="7"/>
  <c r="J434" i="7"/>
  <c r="O434" i="7" s="1"/>
  <c r="AH433" i="7"/>
  <c r="AE433" i="7"/>
  <c r="AD433" i="7"/>
  <c r="AC433" i="7"/>
  <c r="V433" i="7"/>
  <c r="U433" i="7"/>
  <c r="T433" i="7"/>
  <c r="P433" i="7"/>
  <c r="O433" i="7"/>
  <c r="N433" i="7"/>
  <c r="M433" i="7"/>
  <c r="J433" i="7"/>
  <c r="AH432" i="7"/>
  <c r="AE432" i="7"/>
  <c r="AD432" i="7"/>
  <c r="AC432" i="7"/>
  <c r="V432" i="7"/>
  <c r="U432" i="7"/>
  <c r="T432" i="7"/>
  <c r="N432" i="7"/>
  <c r="M432" i="7"/>
  <c r="J432" i="7"/>
  <c r="P432" i="7" s="1"/>
  <c r="AH431" i="7"/>
  <c r="AE431" i="7"/>
  <c r="AD431" i="7"/>
  <c r="AC431" i="7"/>
  <c r="V431" i="7"/>
  <c r="U431" i="7"/>
  <c r="T431" i="7"/>
  <c r="N431" i="7"/>
  <c r="M431" i="7"/>
  <c r="J431" i="7"/>
  <c r="P431" i="7" s="1"/>
  <c r="AH430" i="7"/>
  <c r="AE430" i="7"/>
  <c r="AD430" i="7"/>
  <c r="AC430" i="7"/>
  <c r="V430" i="7"/>
  <c r="U430" i="7"/>
  <c r="T430" i="7"/>
  <c r="N430" i="7"/>
  <c r="M430" i="7"/>
  <c r="J430" i="7"/>
  <c r="AH429" i="7"/>
  <c r="AE429" i="7"/>
  <c r="AD429" i="7"/>
  <c r="AC429" i="7"/>
  <c r="V429" i="7"/>
  <c r="U429" i="7"/>
  <c r="T429" i="7"/>
  <c r="N429" i="7"/>
  <c r="M429" i="7"/>
  <c r="J429" i="7"/>
  <c r="P429" i="7" s="1"/>
  <c r="AH428" i="7"/>
  <c r="AE428" i="7"/>
  <c r="AD428" i="7"/>
  <c r="AC428" i="7"/>
  <c r="V428" i="7"/>
  <c r="U428" i="7"/>
  <c r="T428" i="7"/>
  <c r="N428" i="7"/>
  <c r="M428" i="7"/>
  <c r="J428" i="7"/>
  <c r="P428" i="7" s="1"/>
  <c r="AH427" i="7"/>
  <c r="AE427" i="7"/>
  <c r="AD427" i="7"/>
  <c r="AC427" i="7"/>
  <c r="V427" i="7"/>
  <c r="U427" i="7"/>
  <c r="T427" i="7"/>
  <c r="O427" i="7"/>
  <c r="N427" i="7"/>
  <c r="M427" i="7"/>
  <c r="J427" i="7"/>
  <c r="P427" i="7" s="1"/>
  <c r="AH426" i="7"/>
  <c r="AE426" i="7"/>
  <c r="AD426" i="7"/>
  <c r="AC426" i="7"/>
  <c r="V426" i="7"/>
  <c r="U426" i="7"/>
  <c r="T426" i="7"/>
  <c r="N426" i="7"/>
  <c r="M426" i="7"/>
  <c r="J426" i="7"/>
  <c r="O426" i="7" s="1"/>
  <c r="AH425" i="7"/>
  <c r="AE425" i="7"/>
  <c r="AD425" i="7"/>
  <c r="AC425" i="7"/>
  <c r="V425" i="7"/>
  <c r="U425" i="7"/>
  <c r="T425" i="7"/>
  <c r="N425" i="7"/>
  <c r="M425" i="7"/>
  <c r="J425" i="7"/>
  <c r="P425" i="7" s="1"/>
  <c r="AH424" i="7"/>
  <c r="AE424" i="7"/>
  <c r="AD424" i="7"/>
  <c r="AC424" i="7"/>
  <c r="V424" i="7"/>
  <c r="U424" i="7"/>
  <c r="T424" i="7"/>
  <c r="N424" i="7"/>
  <c r="M424" i="7"/>
  <c r="J424" i="7"/>
  <c r="P424" i="7" s="1"/>
  <c r="AH423" i="7"/>
  <c r="AE423" i="7"/>
  <c r="AD423" i="7"/>
  <c r="AC423" i="7"/>
  <c r="V423" i="7"/>
  <c r="U423" i="7"/>
  <c r="T423" i="7"/>
  <c r="P423" i="7"/>
  <c r="N423" i="7"/>
  <c r="M423" i="7"/>
  <c r="J423" i="7"/>
  <c r="O423" i="7" s="1"/>
  <c r="AH422" i="7"/>
  <c r="AE422" i="7"/>
  <c r="AD422" i="7"/>
  <c r="AC422" i="7"/>
  <c r="V422" i="7"/>
  <c r="U422" i="7"/>
  <c r="T422" i="7"/>
  <c r="P422" i="7"/>
  <c r="N422" i="7"/>
  <c r="M422" i="7"/>
  <c r="J422" i="7"/>
  <c r="O422" i="7" s="1"/>
  <c r="AH421" i="7"/>
  <c r="AE421" i="7"/>
  <c r="AD421" i="7"/>
  <c r="AC421" i="7"/>
  <c r="V421" i="7"/>
  <c r="U421" i="7"/>
  <c r="T421" i="7"/>
  <c r="P421" i="7"/>
  <c r="N421" i="7"/>
  <c r="M421" i="7"/>
  <c r="J421" i="7"/>
  <c r="O421" i="7" s="1"/>
  <c r="AH420" i="7"/>
  <c r="AE420" i="7"/>
  <c r="AD420" i="7"/>
  <c r="AC420" i="7"/>
  <c r="V420" i="7"/>
  <c r="U420" i="7"/>
  <c r="T420" i="7"/>
  <c r="P420" i="7"/>
  <c r="N420" i="7"/>
  <c r="M420" i="7"/>
  <c r="J420" i="7"/>
  <c r="O420" i="7" s="1"/>
  <c r="AH419" i="7"/>
  <c r="AE419" i="7"/>
  <c r="AD419" i="7"/>
  <c r="AC419" i="7"/>
  <c r="V419" i="7"/>
  <c r="U419" i="7"/>
  <c r="T419" i="7"/>
  <c r="N419" i="7"/>
  <c r="M419" i="7"/>
  <c r="J419" i="7"/>
  <c r="P419" i="7" s="1"/>
  <c r="AH418" i="7"/>
  <c r="AE418" i="7"/>
  <c r="AD418" i="7"/>
  <c r="AC418" i="7"/>
  <c r="V418" i="7"/>
  <c r="U418" i="7"/>
  <c r="T418" i="7"/>
  <c r="P418" i="7"/>
  <c r="N418" i="7"/>
  <c r="M418" i="7"/>
  <c r="J418" i="7"/>
  <c r="O418" i="7" s="1"/>
  <c r="AH417" i="7"/>
  <c r="AE417" i="7"/>
  <c r="AD417" i="7"/>
  <c r="AC417" i="7"/>
  <c r="V417" i="7"/>
  <c r="U417" i="7"/>
  <c r="T417" i="7"/>
  <c r="P417" i="7"/>
  <c r="O417" i="7"/>
  <c r="N417" i="7"/>
  <c r="M417" i="7"/>
  <c r="J417" i="7"/>
  <c r="AH416" i="7"/>
  <c r="AE416" i="7"/>
  <c r="AD416" i="7"/>
  <c r="AC416" i="7"/>
  <c r="V416" i="7"/>
  <c r="U416" i="7"/>
  <c r="T416" i="7"/>
  <c r="N416" i="7"/>
  <c r="M416" i="7"/>
  <c r="J416" i="7"/>
  <c r="P416" i="7" s="1"/>
  <c r="AH415" i="7"/>
  <c r="AE415" i="7"/>
  <c r="AD415" i="7"/>
  <c r="AC415" i="7"/>
  <c r="V415" i="7"/>
  <c r="U415" i="7"/>
  <c r="T415" i="7"/>
  <c r="N415" i="7"/>
  <c r="M415" i="7"/>
  <c r="J415" i="7"/>
  <c r="P415" i="7" s="1"/>
  <c r="AH414" i="7"/>
  <c r="AE414" i="7"/>
  <c r="AD414" i="7"/>
  <c r="AC414" i="7"/>
  <c r="V414" i="7"/>
  <c r="U414" i="7"/>
  <c r="T414" i="7"/>
  <c r="N414" i="7"/>
  <c r="M414" i="7"/>
  <c r="J414" i="7"/>
  <c r="AH413" i="7"/>
  <c r="AE413" i="7"/>
  <c r="AD413" i="7"/>
  <c r="AC413" i="7"/>
  <c r="V413" i="7"/>
  <c r="U413" i="7"/>
  <c r="T413" i="7"/>
  <c r="O413" i="7"/>
  <c r="N413" i="7"/>
  <c r="M413" i="7"/>
  <c r="J413" i="7"/>
  <c r="P413" i="7" s="1"/>
  <c r="AH412" i="7"/>
  <c r="AE412" i="7"/>
  <c r="AD412" i="7"/>
  <c r="AC412" i="7"/>
  <c r="V412" i="7"/>
  <c r="U412" i="7"/>
  <c r="T412" i="7"/>
  <c r="N412" i="7"/>
  <c r="M412" i="7"/>
  <c r="J412" i="7"/>
  <c r="P412" i="7" s="1"/>
  <c r="AH411" i="7"/>
  <c r="AE411" i="7"/>
  <c r="AD411" i="7"/>
  <c r="AC411" i="7"/>
  <c r="V411" i="7"/>
  <c r="U411" i="7"/>
  <c r="T411" i="7"/>
  <c r="N411" i="7"/>
  <c r="M411" i="7"/>
  <c r="J411" i="7"/>
  <c r="P411" i="7" s="1"/>
  <c r="AH410" i="7"/>
  <c r="AE410" i="7"/>
  <c r="AD410" i="7"/>
  <c r="AC410" i="7"/>
  <c r="V410" i="7"/>
  <c r="U410" i="7"/>
  <c r="T410" i="7"/>
  <c r="P410" i="7"/>
  <c r="N410" i="7"/>
  <c r="M410" i="7"/>
  <c r="J410" i="7"/>
  <c r="O410" i="7" s="1"/>
  <c r="AH409" i="7"/>
  <c r="AE409" i="7"/>
  <c r="AD409" i="7"/>
  <c r="AC409" i="7"/>
  <c r="V409" i="7"/>
  <c r="U409" i="7"/>
  <c r="T409" i="7"/>
  <c r="O409" i="7"/>
  <c r="N409" i="7"/>
  <c r="M409" i="7"/>
  <c r="J409" i="7"/>
  <c r="P409" i="7" s="1"/>
  <c r="AH408" i="7"/>
  <c r="AE408" i="7"/>
  <c r="AD408" i="7"/>
  <c r="AC408" i="7"/>
  <c r="V408" i="7"/>
  <c r="U408" i="7"/>
  <c r="T408" i="7"/>
  <c r="P408" i="7"/>
  <c r="O408" i="7"/>
  <c r="N408" i="7"/>
  <c r="M408" i="7"/>
  <c r="J408" i="7"/>
  <c r="AH407" i="7"/>
  <c r="AE407" i="7"/>
  <c r="AD407" i="7"/>
  <c r="AC407" i="7"/>
  <c r="V407" i="7"/>
  <c r="U407" i="7"/>
  <c r="T407" i="7"/>
  <c r="O407" i="7"/>
  <c r="N407" i="7"/>
  <c r="M407" i="7"/>
  <c r="J407" i="7"/>
  <c r="P407" i="7" s="1"/>
  <c r="AH406" i="7"/>
  <c r="AE406" i="7"/>
  <c r="AD406" i="7"/>
  <c r="AC406" i="7"/>
  <c r="V406" i="7"/>
  <c r="U406" i="7"/>
  <c r="T406" i="7"/>
  <c r="O406" i="7"/>
  <c r="N406" i="7"/>
  <c r="M406" i="7"/>
  <c r="J406" i="7"/>
  <c r="P406" i="7" s="1"/>
  <c r="AH405" i="7"/>
  <c r="AE405" i="7"/>
  <c r="AD405" i="7"/>
  <c r="AC405" i="7"/>
  <c r="V405" i="7"/>
  <c r="U405" i="7"/>
  <c r="T405" i="7"/>
  <c r="P405" i="7"/>
  <c r="N405" i="7"/>
  <c r="M405" i="7"/>
  <c r="J405" i="7"/>
  <c r="O405" i="7" s="1"/>
  <c r="AH404" i="7"/>
  <c r="AE404" i="7"/>
  <c r="AD404" i="7"/>
  <c r="AC404" i="7"/>
  <c r="V404" i="7"/>
  <c r="U404" i="7"/>
  <c r="T404" i="7"/>
  <c r="P404" i="7"/>
  <c r="N404" i="7"/>
  <c r="M404" i="7"/>
  <c r="J404" i="7"/>
  <c r="O404" i="7" s="1"/>
  <c r="AH403" i="7"/>
  <c r="AE403" i="7"/>
  <c r="AD403" i="7"/>
  <c r="AC403" i="7"/>
  <c r="V403" i="7"/>
  <c r="U403" i="7"/>
  <c r="T403" i="7"/>
  <c r="N403" i="7"/>
  <c r="M403" i="7"/>
  <c r="J403" i="7"/>
  <c r="P403" i="7" s="1"/>
  <c r="AH402" i="7"/>
  <c r="AE402" i="7"/>
  <c r="AD402" i="7"/>
  <c r="AC402" i="7"/>
  <c r="V402" i="7"/>
  <c r="U402" i="7"/>
  <c r="T402" i="7"/>
  <c r="P402" i="7"/>
  <c r="N402" i="7"/>
  <c r="M402" i="7"/>
  <c r="J402" i="7"/>
  <c r="O402" i="7" s="1"/>
  <c r="AH401" i="7"/>
  <c r="AE401" i="7"/>
  <c r="AD401" i="7"/>
  <c r="AC401" i="7"/>
  <c r="V401" i="7"/>
  <c r="U401" i="7"/>
  <c r="T401" i="7"/>
  <c r="O401" i="7"/>
  <c r="N401" i="7"/>
  <c r="M401" i="7"/>
  <c r="J401" i="7"/>
  <c r="P401" i="7" s="1"/>
  <c r="AH400" i="7"/>
  <c r="AE400" i="7"/>
  <c r="AD400" i="7"/>
  <c r="AC400" i="7"/>
  <c r="V400" i="7"/>
  <c r="U400" i="7"/>
  <c r="T400" i="7"/>
  <c r="N400" i="7"/>
  <c r="M400" i="7"/>
  <c r="J400" i="7"/>
  <c r="P400" i="7" s="1"/>
  <c r="AH399" i="7"/>
  <c r="AE399" i="7"/>
  <c r="AD399" i="7"/>
  <c r="AC399" i="7"/>
  <c r="V399" i="7"/>
  <c r="U399" i="7"/>
  <c r="T399" i="7"/>
  <c r="N399" i="7"/>
  <c r="M399" i="7"/>
  <c r="J399" i="7"/>
  <c r="P399" i="7" s="1"/>
  <c r="AH398" i="7"/>
  <c r="AE398" i="7"/>
  <c r="AD398" i="7"/>
  <c r="AC398" i="7"/>
  <c r="V398" i="7"/>
  <c r="U398" i="7"/>
  <c r="T398" i="7"/>
  <c r="N398" i="7"/>
  <c r="M398" i="7"/>
  <c r="J398" i="7"/>
  <c r="AH397" i="7"/>
  <c r="AE397" i="7"/>
  <c r="AD397" i="7"/>
  <c r="AC397" i="7"/>
  <c r="V397" i="7"/>
  <c r="U397" i="7"/>
  <c r="T397" i="7"/>
  <c r="O397" i="7"/>
  <c r="N397" i="7"/>
  <c r="M397" i="7"/>
  <c r="J397" i="7"/>
  <c r="P397" i="7" s="1"/>
  <c r="AH396" i="7"/>
  <c r="AE396" i="7"/>
  <c r="AD396" i="7"/>
  <c r="AC396" i="7"/>
  <c r="V396" i="7"/>
  <c r="U396" i="7"/>
  <c r="T396" i="7"/>
  <c r="N396" i="7"/>
  <c r="M396" i="7"/>
  <c r="J396" i="7"/>
  <c r="P396" i="7" s="1"/>
  <c r="AH395" i="7"/>
  <c r="AE395" i="7"/>
  <c r="AD395" i="7"/>
  <c r="AC395" i="7"/>
  <c r="V395" i="7"/>
  <c r="U395" i="7"/>
  <c r="T395" i="7"/>
  <c r="O395" i="7"/>
  <c r="N395" i="7"/>
  <c r="M395" i="7"/>
  <c r="J395" i="7"/>
  <c r="P395" i="7" s="1"/>
  <c r="AH394" i="7"/>
  <c r="AE394" i="7"/>
  <c r="AD394" i="7"/>
  <c r="AC394" i="7"/>
  <c r="V394" i="7"/>
  <c r="U394" i="7"/>
  <c r="T394" i="7"/>
  <c r="N394" i="7"/>
  <c r="M394" i="7"/>
  <c r="J394" i="7"/>
  <c r="P394" i="7" s="1"/>
  <c r="AH393" i="7"/>
  <c r="AE393" i="7"/>
  <c r="AD393" i="7"/>
  <c r="AC393" i="7"/>
  <c r="V393" i="7"/>
  <c r="U393" i="7"/>
  <c r="T393" i="7"/>
  <c r="N393" i="7"/>
  <c r="M393" i="7"/>
  <c r="J393" i="7"/>
  <c r="P393" i="7" s="1"/>
  <c r="AH392" i="7"/>
  <c r="AE392" i="7"/>
  <c r="AD392" i="7"/>
  <c r="AC392" i="7"/>
  <c r="V392" i="7"/>
  <c r="U392" i="7"/>
  <c r="T392" i="7"/>
  <c r="P392" i="7"/>
  <c r="O392" i="7"/>
  <c r="N392" i="7"/>
  <c r="M392" i="7"/>
  <c r="J392" i="7"/>
  <c r="AH391" i="7"/>
  <c r="AE391" i="7"/>
  <c r="AD391" i="7"/>
  <c r="AC391" i="7"/>
  <c r="V391" i="7"/>
  <c r="U391" i="7"/>
  <c r="T391" i="7"/>
  <c r="P391" i="7"/>
  <c r="O391" i="7"/>
  <c r="N391" i="7"/>
  <c r="M391" i="7"/>
  <c r="J391" i="7"/>
  <c r="AH390" i="7"/>
  <c r="AE390" i="7"/>
  <c r="AD390" i="7"/>
  <c r="AC390" i="7"/>
  <c r="V390" i="7"/>
  <c r="U390" i="7"/>
  <c r="T390" i="7"/>
  <c r="N390" i="7"/>
  <c r="M390" i="7"/>
  <c r="J390" i="7"/>
  <c r="P390" i="7" s="1"/>
  <c r="AH389" i="7"/>
  <c r="AE389" i="7"/>
  <c r="AD389" i="7"/>
  <c r="AC389" i="7"/>
  <c r="V389" i="7"/>
  <c r="U389" i="7"/>
  <c r="T389" i="7"/>
  <c r="N389" i="7"/>
  <c r="M389" i="7"/>
  <c r="J389" i="7"/>
  <c r="O389" i="7" s="1"/>
  <c r="AH388" i="7"/>
  <c r="AE388" i="7"/>
  <c r="AD388" i="7"/>
  <c r="AC388" i="7"/>
  <c r="V388" i="7"/>
  <c r="U388" i="7"/>
  <c r="T388" i="7"/>
  <c r="P388" i="7"/>
  <c r="N388" i="7"/>
  <c r="M388" i="7"/>
  <c r="J388" i="7"/>
  <c r="O388" i="7" s="1"/>
  <c r="AH387" i="7"/>
  <c r="AE387" i="7"/>
  <c r="AD387" i="7"/>
  <c r="AC387" i="7"/>
  <c r="V387" i="7"/>
  <c r="U387" i="7"/>
  <c r="T387" i="7"/>
  <c r="N387" i="7"/>
  <c r="M387" i="7"/>
  <c r="J387" i="7"/>
  <c r="P387" i="7" s="1"/>
  <c r="AH386" i="7"/>
  <c r="AE386" i="7"/>
  <c r="AD386" i="7"/>
  <c r="AC386" i="7"/>
  <c r="V386" i="7"/>
  <c r="U386" i="7"/>
  <c r="T386" i="7"/>
  <c r="N386" i="7"/>
  <c r="M386" i="7"/>
  <c r="J386" i="7"/>
  <c r="O386" i="7" s="1"/>
  <c r="AH385" i="7"/>
  <c r="AE385" i="7"/>
  <c r="AD385" i="7"/>
  <c r="AC385" i="7"/>
  <c r="V385" i="7"/>
  <c r="U385" i="7"/>
  <c r="T385" i="7"/>
  <c r="N385" i="7"/>
  <c r="M385" i="7"/>
  <c r="J385" i="7"/>
  <c r="P385" i="7" s="1"/>
  <c r="AH384" i="7"/>
  <c r="AE384" i="7"/>
  <c r="AD384" i="7"/>
  <c r="AC384" i="7"/>
  <c r="V384" i="7"/>
  <c r="U384" i="7"/>
  <c r="T384" i="7"/>
  <c r="N384" i="7"/>
  <c r="M384" i="7"/>
  <c r="J384" i="7"/>
  <c r="P384" i="7" s="1"/>
  <c r="AH383" i="7"/>
  <c r="AE383" i="7"/>
  <c r="AD383" i="7"/>
  <c r="AC383" i="7"/>
  <c r="V383" i="7"/>
  <c r="U383" i="7"/>
  <c r="T383" i="7"/>
  <c r="N383" i="7"/>
  <c r="M383" i="7"/>
  <c r="J383" i="7"/>
  <c r="P383" i="7" s="1"/>
  <c r="AH382" i="7"/>
  <c r="AE382" i="7"/>
  <c r="AD382" i="7"/>
  <c r="AC382" i="7"/>
  <c r="V382" i="7"/>
  <c r="U382" i="7"/>
  <c r="T382" i="7"/>
  <c r="N382" i="7"/>
  <c r="M382" i="7"/>
  <c r="J382" i="7"/>
  <c r="AH381" i="7"/>
  <c r="AE381" i="7"/>
  <c r="AD381" i="7"/>
  <c r="AC381" i="7"/>
  <c r="V381" i="7"/>
  <c r="U381" i="7"/>
  <c r="T381" i="7"/>
  <c r="O381" i="7"/>
  <c r="N381" i="7"/>
  <c r="M381" i="7"/>
  <c r="J381" i="7"/>
  <c r="P381" i="7" s="1"/>
  <c r="AH380" i="7"/>
  <c r="AE380" i="7"/>
  <c r="AD380" i="7"/>
  <c r="AC380" i="7"/>
  <c r="V380" i="7"/>
  <c r="U380" i="7"/>
  <c r="T380" i="7"/>
  <c r="N380" i="7"/>
  <c r="M380" i="7"/>
  <c r="J380" i="7"/>
  <c r="P380" i="7" s="1"/>
  <c r="AH379" i="7"/>
  <c r="AE379" i="7"/>
  <c r="AD379" i="7"/>
  <c r="AC379" i="7"/>
  <c r="V379" i="7"/>
  <c r="U379" i="7"/>
  <c r="T379" i="7"/>
  <c r="N379" i="7"/>
  <c r="M379" i="7"/>
  <c r="J379" i="7"/>
  <c r="P379" i="7" s="1"/>
  <c r="AH378" i="7"/>
  <c r="AE378" i="7"/>
  <c r="AD378" i="7"/>
  <c r="AC378" i="7"/>
  <c r="V378" i="7"/>
  <c r="U378" i="7"/>
  <c r="T378" i="7"/>
  <c r="N378" i="7"/>
  <c r="M378" i="7"/>
  <c r="J378" i="7"/>
  <c r="P378" i="7" s="1"/>
  <c r="AH377" i="7"/>
  <c r="AE377" i="7"/>
  <c r="AD377" i="7"/>
  <c r="AC377" i="7"/>
  <c r="V377" i="7"/>
  <c r="U377" i="7"/>
  <c r="T377" i="7"/>
  <c r="P377" i="7"/>
  <c r="O377" i="7"/>
  <c r="N377" i="7"/>
  <c r="M377" i="7"/>
  <c r="J377" i="7"/>
  <c r="AH376" i="7"/>
  <c r="AE376" i="7"/>
  <c r="AD376" i="7"/>
  <c r="AC376" i="7"/>
  <c r="V376" i="7"/>
  <c r="U376" i="7"/>
  <c r="T376" i="7"/>
  <c r="P376" i="7"/>
  <c r="O376" i="7"/>
  <c r="N376" i="7"/>
  <c r="M376" i="7"/>
  <c r="J376" i="7"/>
  <c r="AH375" i="7"/>
  <c r="AE375" i="7"/>
  <c r="AD375" i="7"/>
  <c r="AC375" i="7"/>
  <c r="V375" i="7"/>
  <c r="U375" i="7"/>
  <c r="T375" i="7"/>
  <c r="O375" i="7"/>
  <c r="N375" i="7"/>
  <c r="M375" i="7"/>
  <c r="J375" i="7"/>
  <c r="P375" i="7" s="1"/>
  <c r="AH374" i="7"/>
  <c r="AE374" i="7"/>
  <c r="AD374" i="7"/>
  <c r="AC374" i="7"/>
  <c r="V374" i="7"/>
  <c r="U374" i="7"/>
  <c r="T374" i="7"/>
  <c r="O374" i="7"/>
  <c r="N374" i="7"/>
  <c r="M374" i="7"/>
  <c r="J374" i="7"/>
  <c r="P374" i="7" s="1"/>
  <c r="AH373" i="7"/>
  <c r="AE373" i="7"/>
  <c r="AD373" i="7"/>
  <c r="AC373" i="7"/>
  <c r="V373" i="7"/>
  <c r="U373" i="7"/>
  <c r="T373" i="7"/>
  <c r="P373" i="7"/>
  <c r="N373" i="7"/>
  <c r="M373" i="7"/>
  <c r="J373" i="7"/>
  <c r="O373" i="7" s="1"/>
  <c r="AH372" i="7"/>
  <c r="AE372" i="7"/>
  <c r="AD372" i="7"/>
  <c r="AC372" i="7"/>
  <c r="V372" i="7"/>
  <c r="U372" i="7"/>
  <c r="T372" i="7"/>
  <c r="N372" i="7"/>
  <c r="M372" i="7"/>
  <c r="J372" i="7"/>
  <c r="O372" i="7" s="1"/>
  <c r="AH371" i="7"/>
  <c r="AE371" i="7"/>
  <c r="AD371" i="7"/>
  <c r="AC371" i="7"/>
  <c r="V371" i="7"/>
  <c r="U371" i="7"/>
  <c r="T371" i="7"/>
  <c r="N371" i="7"/>
  <c r="M371" i="7"/>
  <c r="J371" i="7"/>
  <c r="AH370" i="7"/>
  <c r="AE370" i="7"/>
  <c r="AD370" i="7"/>
  <c r="AC370" i="7"/>
  <c r="V370" i="7"/>
  <c r="U370" i="7"/>
  <c r="T370" i="7"/>
  <c r="P370" i="7"/>
  <c r="N370" i="7"/>
  <c r="M370" i="7"/>
  <c r="J370" i="7"/>
  <c r="O370" i="7" s="1"/>
  <c r="AH369" i="7"/>
  <c r="AE369" i="7"/>
  <c r="AD369" i="7"/>
  <c r="AC369" i="7"/>
  <c r="V369" i="7"/>
  <c r="U369" i="7"/>
  <c r="T369" i="7"/>
  <c r="N369" i="7"/>
  <c r="M369" i="7"/>
  <c r="J369" i="7"/>
  <c r="P369" i="7" s="1"/>
  <c r="AH368" i="7"/>
  <c r="AE368" i="7"/>
  <c r="AD368" i="7"/>
  <c r="AC368" i="7"/>
  <c r="V368" i="7"/>
  <c r="U368" i="7"/>
  <c r="T368" i="7"/>
  <c r="N368" i="7"/>
  <c r="M368" i="7"/>
  <c r="J368" i="7"/>
  <c r="P368" i="7" s="1"/>
  <c r="AH367" i="7"/>
  <c r="AE367" i="7"/>
  <c r="AD367" i="7"/>
  <c r="AC367" i="7"/>
  <c r="V367" i="7"/>
  <c r="U367" i="7"/>
  <c r="T367" i="7"/>
  <c r="N367" i="7"/>
  <c r="M367" i="7"/>
  <c r="J367" i="7"/>
  <c r="P367" i="7" s="1"/>
  <c r="AH366" i="7"/>
  <c r="AE366" i="7"/>
  <c r="AD366" i="7"/>
  <c r="AC366" i="7"/>
  <c r="V366" i="7"/>
  <c r="U366" i="7"/>
  <c r="T366" i="7"/>
  <c r="N366" i="7"/>
  <c r="M366" i="7"/>
  <c r="J366" i="7"/>
  <c r="AH365" i="7"/>
  <c r="AE365" i="7"/>
  <c r="AD365" i="7"/>
  <c r="AC365" i="7"/>
  <c r="V365" i="7"/>
  <c r="U365" i="7"/>
  <c r="T365" i="7"/>
  <c r="N365" i="7"/>
  <c r="M365" i="7"/>
  <c r="J365" i="7"/>
  <c r="P365" i="7" s="1"/>
  <c r="AH364" i="7"/>
  <c r="AE364" i="7"/>
  <c r="AD364" i="7"/>
  <c r="AC364" i="7"/>
  <c r="V364" i="7"/>
  <c r="U364" i="7"/>
  <c r="T364" i="7"/>
  <c r="N364" i="7"/>
  <c r="M364" i="7"/>
  <c r="J364" i="7"/>
  <c r="P364" i="7" s="1"/>
  <c r="AH363" i="7"/>
  <c r="AE363" i="7"/>
  <c r="AD363" i="7"/>
  <c r="AC363" i="7"/>
  <c r="V363" i="7"/>
  <c r="U363" i="7"/>
  <c r="T363" i="7"/>
  <c r="N363" i="7"/>
  <c r="M363" i="7"/>
  <c r="J363" i="7"/>
  <c r="P363" i="7" s="1"/>
  <c r="AH362" i="7"/>
  <c r="AE362" i="7"/>
  <c r="AD362" i="7"/>
  <c r="AC362" i="7"/>
  <c r="V362" i="7"/>
  <c r="U362" i="7"/>
  <c r="T362" i="7"/>
  <c r="N362" i="7"/>
  <c r="M362" i="7"/>
  <c r="J362" i="7"/>
  <c r="P362" i="7" s="1"/>
  <c r="AH361" i="7"/>
  <c r="AE361" i="7"/>
  <c r="AD361" i="7"/>
  <c r="AC361" i="7"/>
  <c r="V361" i="7"/>
  <c r="U361" i="7"/>
  <c r="T361" i="7"/>
  <c r="O361" i="7"/>
  <c r="N361" i="7"/>
  <c r="M361" i="7"/>
  <c r="J361" i="7"/>
  <c r="P361" i="7" s="1"/>
  <c r="AH360" i="7"/>
  <c r="AE360" i="7"/>
  <c r="AD360" i="7"/>
  <c r="AC360" i="7"/>
  <c r="V360" i="7"/>
  <c r="U360" i="7"/>
  <c r="T360" i="7"/>
  <c r="O360" i="7"/>
  <c r="N360" i="7"/>
  <c r="M360" i="7"/>
  <c r="J360" i="7"/>
  <c r="P360" i="7" s="1"/>
  <c r="AH359" i="7"/>
  <c r="AE359" i="7"/>
  <c r="AD359" i="7"/>
  <c r="AC359" i="7"/>
  <c r="V359" i="7"/>
  <c r="U359" i="7"/>
  <c r="T359" i="7"/>
  <c r="O359" i="7"/>
  <c r="N359" i="7"/>
  <c r="M359" i="7"/>
  <c r="J359" i="7"/>
  <c r="P359" i="7" s="1"/>
  <c r="AH358" i="7"/>
  <c r="AE358" i="7"/>
  <c r="AD358" i="7"/>
  <c r="AC358" i="7"/>
  <c r="V358" i="7"/>
  <c r="U358" i="7"/>
  <c r="T358" i="7"/>
  <c r="P358" i="7"/>
  <c r="O358" i="7"/>
  <c r="N358" i="7"/>
  <c r="M358" i="7"/>
  <c r="J358" i="7"/>
  <c r="AH357" i="7"/>
  <c r="AE357" i="7"/>
  <c r="AD357" i="7"/>
  <c r="AC357" i="7"/>
  <c r="V357" i="7"/>
  <c r="U357" i="7"/>
  <c r="T357" i="7"/>
  <c r="P357" i="7"/>
  <c r="N357" i="7"/>
  <c r="M357" i="7"/>
  <c r="J357" i="7"/>
  <c r="O357" i="7" s="1"/>
  <c r="AH356" i="7"/>
  <c r="AE356" i="7"/>
  <c r="AD356" i="7"/>
  <c r="AC356" i="7"/>
  <c r="V356" i="7"/>
  <c r="U356" i="7"/>
  <c r="T356" i="7"/>
  <c r="N356" i="7"/>
  <c r="M356" i="7"/>
  <c r="J356" i="7"/>
  <c r="O356" i="7" s="1"/>
  <c r="AH355" i="7"/>
  <c r="AE355" i="7"/>
  <c r="AD355" i="7"/>
  <c r="AC355" i="7"/>
  <c r="V355" i="7"/>
  <c r="U355" i="7"/>
  <c r="T355" i="7"/>
  <c r="N355" i="7"/>
  <c r="M355" i="7"/>
  <c r="J355" i="7"/>
  <c r="AH354" i="7"/>
  <c r="AE354" i="7"/>
  <c r="AD354" i="7"/>
  <c r="AC354" i="7"/>
  <c r="V354" i="7"/>
  <c r="U354" i="7"/>
  <c r="T354" i="7"/>
  <c r="P354" i="7"/>
  <c r="N354" i="7"/>
  <c r="M354" i="7"/>
  <c r="J354" i="7"/>
  <c r="O354" i="7" s="1"/>
  <c r="AH353" i="7"/>
  <c r="AE353" i="7"/>
  <c r="AD353" i="7"/>
  <c r="AC353" i="7"/>
  <c r="V353" i="7"/>
  <c r="U353" i="7"/>
  <c r="T353" i="7"/>
  <c r="N353" i="7"/>
  <c r="M353" i="7"/>
  <c r="J353" i="7"/>
  <c r="AH352" i="7"/>
  <c r="AE352" i="7"/>
  <c r="AD352" i="7"/>
  <c r="AC352" i="7"/>
  <c r="V352" i="7"/>
  <c r="U352" i="7"/>
  <c r="T352" i="7"/>
  <c r="P352" i="7"/>
  <c r="N352" i="7"/>
  <c r="M352" i="7"/>
  <c r="J352" i="7"/>
  <c r="O352" i="7" s="1"/>
  <c r="AH351" i="7"/>
  <c r="AE351" i="7"/>
  <c r="AD351" i="7"/>
  <c r="AC351" i="7"/>
  <c r="V351" i="7"/>
  <c r="U351" i="7"/>
  <c r="T351" i="7"/>
  <c r="N351" i="7"/>
  <c r="M351" i="7"/>
  <c r="J351" i="7"/>
  <c r="P351" i="7" s="1"/>
  <c r="AH350" i="7"/>
  <c r="AE350" i="7"/>
  <c r="AD350" i="7"/>
  <c r="AC350" i="7"/>
  <c r="V350" i="7"/>
  <c r="U350" i="7"/>
  <c r="T350" i="7"/>
  <c r="N350" i="7"/>
  <c r="M350" i="7"/>
  <c r="J350" i="7"/>
  <c r="P350" i="7" s="1"/>
  <c r="AH349" i="7"/>
  <c r="AE349" i="7"/>
  <c r="AD349" i="7"/>
  <c r="AC349" i="7"/>
  <c r="V349" i="7"/>
  <c r="U349" i="7"/>
  <c r="T349" i="7"/>
  <c r="O349" i="7"/>
  <c r="N349" i="7"/>
  <c r="M349" i="7"/>
  <c r="J349" i="7"/>
  <c r="P349" i="7" s="1"/>
  <c r="AH348" i="7"/>
  <c r="AE348" i="7"/>
  <c r="AD348" i="7"/>
  <c r="AC348" i="7"/>
  <c r="V348" i="7"/>
  <c r="U348" i="7"/>
  <c r="T348" i="7"/>
  <c r="O348" i="7"/>
  <c r="N348" i="7"/>
  <c r="M348" i="7"/>
  <c r="J348" i="7"/>
  <c r="P348" i="7" s="1"/>
  <c r="AH347" i="7"/>
  <c r="AE347" i="7"/>
  <c r="AD347" i="7"/>
  <c r="AC347" i="7"/>
  <c r="V347" i="7"/>
  <c r="U347" i="7"/>
  <c r="T347" i="7"/>
  <c r="N347" i="7"/>
  <c r="M347" i="7"/>
  <c r="J347" i="7"/>
  <c r="P347" i="7" s="1"/>
  <c r="AH346" i="7"/>
  <c r="AE346" i="7"/>
  <c r="AD346" i="7"/>
  <c r="AC346" i="7"/>
  <c r="V346" i="7"/>
  <c r="U346" i="7"/>
  <c r="T346" i="7"/>
  <c r="N346" i="7"/>
  <c r="M346" i="7"/>
  <c r="J346" i="7"/>
  <c r="O346" i="7" s="1"/>
  <c r="AH345" i="7"/>
  <c r="AE345" i="7"/>
  <c r="AD345" i="7"/>
  <c r="AC345" i="7"/>
  <c r="V345" i="7"/>
  <c r="U345" i="7"/>
  <c r="T345" i="7"/>
  <c r="O345" i="7"/>
  <c r="N345" i="7"/>
  <c r="M345" i="7"/>
  <c r="J345" i="7"/>
  <c r="P345" i="7" s="1"/>
  <c r="AH344" i="7"/>
  <c r="AE344" i="7"/>
  <c r="AD344" i="7"/>
  <c r="AC344" i="7"/>
  <c r="V344" i="7"/>
  <c r="U344" i="7"/>
  <c r="T344" i="7"/>
  <c r="O344" i="7"/>
  <c r="N344" i="7"/>
  <c r="M344" i="7"/>
  <c r="J344" i="7"/>
  <c r="P344" i="7" s="1"/>
  <c r="AH343" i="7"/>
  <c r="AE343" i="7"/>
  <c r="AD343" i="7"/>
  <c r="AC343" i="7"/>
  <c r="V343" i="7"/>
  <c r="U343" i="7"/>
  <c r="T343" i="7"/>
  <c r="N343" i="7"/>
  <c r="M343" i="7"/>
  <c r="J343" i="7"/>
  <c r="P343" i="7" s="1"/>
  <c r="AH342" i="7"/>
  <c r="AE342" i="7"/>
  <c r="AD342" i="7"/>
  <c r="AC342" i="7"/>
  <c r="V342" i="7"/>
  <c r="U342" i="7"/>
  <c r="T342" i="7"/>
  <c r="N342" i="7"/>
  <c r="M342" i="7"/>
  <c r="J342" i="7"/>
  <c r="AH341" i="7"/>
  <c r="AE341" i="7"/>
  <c r="AD341" i="7"/>
  <c r="AC341" i="7"/>
  <c r="V341" i="7"/>
  <c r="U341" i="7"/>
  <c r="T341" i="7"/>
  <c r="N341" i="7"/>
  <c r="M341" i="7"/>
  <c r="J341" i="7"/>
  <c r="P341" i="7" s="1"/>
  <c r="AH340" i="7"/>
  <c r="AE340" i="7"/>
  <c r="AD340" i="7"/>
  <c r="AC340" i="7"/>
  <c r="V340" i="7"/>
  <c r="U340" i="7"/>
  <c r="T340" i="7"/>
  <c r="N340" i="7"/>
  <c r="M340" i="7"/>
  <c r="J340" i="7"/>
  <c r="P340" i="7" s="1"/>
  <c r="AH339" i="7"/>
  <c r="AE339" i="7"/>
  <c r="AD339" i="7"/>
  <c r="AC339" i="7"/>
  <c r="V339" i="7"/>
  <c r="U339" i="7"/>
  <c r="T339" i="7"/>
  <c r="P339" i="7"/>
  <c r="O339" i="7"/>
  <c r="N339" i="7"/>
  <c r="M339" i="7"/>
  <c r="J339" i="7"/>
  <c r="AH338" i="7"/>
  <c r="AE338" i="7"/>
  <c r="AD338" i="7"/>
  <c r="AC338" i="7"/>
  <c r="V338" i="7"/>
  <c r="U338" i="7"/>
  <c r="T338" i="7"/>
  <c r="N338" i="7"/>
  <c r="M338" i="7"/>
  <c r="J338" i="7"/>
  <c r="AH337" i="7"/>
  <c r="AE337" i="7"/>
  <c r="AD337" i="7"/>
  <c r="AC337" i="7"/>
  <c r="V337" i="7"/>
  <c r="U337" i="7"/>
  <c r="T337" i="7"/>
  <c r="N337" i="7"/>
  <c r="M337" i="7"/>
  <c r="J337" i="7"/>
  <c r="P337" i="7" s="1"/>
  <c r="AH336" i="7"/>
  <c r="AE336" i="7"/>
  <c r="AD336" i="7"/>
  <c r="AC336" i="7"/>
  <c r="V336" i="7"/>
  <c r="U336" i="7"/>
  <c r="T336" i="7"/>
  <c r="N336" i="7"/>
  <c r="M336" i="7"/>
  <c r="J336" i="7"/>
  <c r="P336" i="7" s="1"/>
  <c r="AH335" i="7"/>
  <c r="AE335" i="7"/>
  <c r="AD335" i="7"/>
  <c r="AC335" i="7"/>
  <c r="V335" i="7"/>
  <c r="U335" i="7"/>
  <c r="T335" i="7"/>
  <c r="O335" i="7"/>
  <c r="N335" i="7"/>
  <c r="M335" i="7"/>
  <c r="J335" i="7"/>
  <c r="P335" i="7" s="1"/>
  <c r="AH334" i="7"/>
  <c r="AE334" i="7"/>
  <c r="AD334" i="7"/>
  <c r="AC334" i="7"/>
  <c r="V334" i="7"/>
  <c r="U334" i="7"/>
  <c r="T334" i="7"/>
  <c r="N334" i="7"/>
  <c r="M334" i="7"/>
  <c r="J334" i="7"/>
  <c r="P334" i="7" s="1"/>
  <c r="AH333" i="7"/>
  <c r="AE333" i="7"/>
  <c r="AD333" i="7"/>
  <c r="AC333" i="7"/>
  <c r="V333" i="7"/>
  <c r="U333" i="7"/>
  <c r="T333" i="7"/>
  <c r="N333" i="7"/>
  <c r="M333" i="7"/>
  <c r="J333" i="7"/>
  <c r="P333" i="7" s="1"/>
  <c r="AH332" i="7"/>
  <c r="AE332" i="7"/>
  <c r="AD332" i="7"/>
  <c r="AC332" i="7"/>
  <c r="V332" i="7"/>
  <c r="U332" i="7"/>
  <c r="T332" i="7"/>
  <c r="O332" i="7"/>
  <c r="N332" i="7"/>
  <c r="M332" i="7"/>
  <c r="J332" i="7"/>
  <c r="P332" i="7" s="1"/>
  <c r="AH331" i="7"/>
  <c r="AE331" i="7"/>
  <c r="AD331" i="7"/>
  <c r="AC331" i="7"/>
  <c r="V331" i="7"/>
  <c r="U331" i="7"/>
  <c r="T331" i="7"/>
  <c r="O331" i="7"/>
  <c r="N331" i="7"/>
  <c r="M331" i="7"/>
  <c r="J331" i="7"/>
  <c r="P331" i="7" s="1"/>
  <c r="AH330" i="7"/>
  <c r="AE330" i="7"/>
  <c r="AD330" i="7"/>
  <c r="AC330" i="7"/>
  <c r="V330" i="7"/>
  <c r="U330" i="7"/>
  <c r="T330" i="7"/>
  <c r="O330" i="7"/>
  <c r="N330" i="7"/>
  <c r="M330" i="7"/>
  <c r="J330" i="7"/>
  <c r="P330" i="7" s="1"/>
  <c r="AH329" i="7"/>
  <c r="AE329" i="7"/>
  <c r="AD329" i="7"/>
  <c r="AC329" i="7"/>
  <c r="V329" i="7"/>
  <c r="U329" i="7"/>
  <c r="T329" i="7"/>
  <c r="N329" i="7"/>
  <c r="M329" i="7"/>
  <c r="J329" i="7"/>
  <c r="P329" i="7" s="1"/>
  <c r="AH328" i="7"/>
  <c r="AE328" i="7"/>
  <c r="AD328" i="7"/>
  <c r="AC328" i="7"/>
  <c r="V328" i="7"/>
  <c r="U328" i="7"/>
  <c r="T328" i="7"/>
  <c r="P328" i="7"/>
  <c r="N328" i="7"/>
  <c r="M328" i="7"/>
  <c r="J328" i="7"/>
  <c r="O328" i="7" s="1"/>
  <c r="AH327" i="7"/>
  <c r="AE327" i="7"/>
  <c r="AD327" i="7"/>
  <c r="AC327" i="7"/>
  <c r="V327" i="7"/>
  <c r="U327" i="7"/>
  <c r="T327" i="7"/>
  <c r="N327" i="7"/>
  <c r="M327" i="7"/>
  <c r="J327" i="7"/>
  <c r="P327" i="7" s="1"/>
  <c r="AH326" i="7"/>
  <c r="AE326" i="7"/>
  <c r="AD326" i="7"/>
  <c r="AC326" i="7"/>
  <c r="V326" i="7"/>
  <c r="U326" i="7"/>
  <c r="T326" i="7"/>
  <c r="N326" i="7"/>
  <c r="M326" i="7"/>
  <c r="J326" i="7"/>
  <c r="AH325" i="7"/>
  <c r="AE325" i="7"/>
  <c r="AD325" i="7"/>
  <c r="AC325" i="7"/>
  <c r="V325" i="7"/>
  <c r="U325" i="7"/>
  <c r="T325" i="7"/>
  <c r="N325" i="7"/>
  <c r="M325" i="7"/>
  <c r="J325" i="7"/>
  <c r="P325" i="7" s="1"/>
  <c r="AH324" i="7"/>
  <c r="AE324" i="7"/>
  <c r="AD324" i="7"/>
  <c r="AC324" i="7"/>
  <c r="V324" i="7"/>
  <c r="U324" i="7"/>
  <c r="T324" i="7"/>
  <c r="P324" i="7"/>
  <c r="O324" i="7"/>
  <c r="N324" i="7"/>
  <c r="M324" i="7"/>
  <c r="J324" i="7"/>
  <c r="AH323" i="7"/>
  <c r="AE323" i="7"/>
  <c r="AD323" i="7"/>
  <c r="AC323" i="7"/>
  <c r="V323" i="7"/>
  <c r="U323" i="7"/>
  <c r="T323" i="7"/>
  <c r="P323" i="7"/>
  <c r="O323" i="7"/>
  <c r="N323" i="7"/>
  <c r="M323" i="7"/>
  <c r="J323" i="7"/>
  <c r="AH322" i="7"/>
  <c r="AE322" i="7"/>
  <c r="AD322" i="7"/>
  <c r="AC322" i="7"/>
  <c r="V322" i="7"/>
  <c r="U322" i="7"/>
  <c r="T322" i="7"/>
  <c r="N322" i="7"/>
  <c r="M322" i="7"/>
  <c r="J322" i="7"/>
  <c r="AH321" i="7"/>
  <c r="AE321" i="7"/>
  <c r="AD321" i="7"/>
  <c r="AC321" i="7"/>
  <c r="V321" i="7"/>
  <c r="U321" i="7"/>
  <c r="T321" i="7"/>
  <c r="N321" i="7"/>
  <c r="M321" i="7"/>
  <c r="J321" i="7"/>
  <c r="P321" i="7" s="1"/>
  <c r="AH320" i="7"/>
  <c r="AE320" i="7"/>
  <c r="AD320" i="7"/>
  <c r="AC320" i="7"/>
  <c r="V320" i="7"/>
  <c r="U320" i="7"/>
  <c r="T320" i="7"/>
  <c r="N320" i="7"/>
  <c r="M320" i="7"/>
  <c r="J320" i="7"/>
  <c r="P320" i="7" s="1"/>
  <c r="AH319" i="7"/>
  <c r="AE319" i="7"/>
  <c r="AD319" i="7"/>
  <c r="AC319" i="7"/>
  <c r="V319" i="7"/>
  <c r="U319" i="7"/>
  <c r="T319" i="7"/>
  <c r="N319" i="7"/>
  <c r="M319" i="7"/>
  <c r="J319" i="7"/>
  <c r="P319" i="7" s="1"/>
  <c r="AH318" i="7"/>
  <c r="AE318" i="7"/>
  <c r="AD318" i="7"/>
  <c r="AC318" i="7"/>
  <c r="V318" i="7"/>
  <c r="U318" i="7"/>
  <c r="T318" i="7"/>
  <c r="N318" i="7"/>
  <c r="M318" i="7"/>
  <c r="J318" i="7"/>
  <c r="P318" i="7" s="1"/>
  <c r="AH317" i="7"/>
  <c r="AE317" i="7"/>
  <c r="AD317" i="7"/>
  <c r="AC317" i="7"/>
  <c r="V317" i="7"/>
  <c r="U317" i="7"/>
  <c r="T317" i="7"/>
  <c r="N317" i="7"/>
  <c r="M317" i="7"/>
  <c r="J317" i="7"/>
  <c r="P317" i="7" s="1"/>
  <c r="AH316" i="7"/>
  <c r="AE316" i="7"/>
  <c r="AD316" i="7"/>
  <c r="AC316" i="7"/>
  <c r="V316" i="7"/>
  <c r="U316" i="7"/>
  <c r="T316" i="7"/>
  <c r="O316" i="7"/>
  <c r="N316" i="7"/>
  <c r="M316" i="7"/>
  <c r="J316" i="7"/>
  <c r="P316" i="7" s="1"/>
  <c r="AH315" i="7"/>
  <c r="AE315" i="7"/>
  <c r="AD315" i="7"/>
  <c r="AC315" i="7"/>
  <c r="V315" i="7"/>
  <c r="U315" i="7"/>
  <c r="T315" i="7"/>
  <c r="P315" i="7"/>
  <c r="O315" i="7"/>
  <c r="N315" i="7"/>
  <c r="M315" i="7"/>
  <c r="J315" i="7"/>
  <c r="AH314" i="7"/>
  <c r="AE314" i="7"/>
  <c r="AD314" i="7"/>
  <c r="AC314" i="7"/>
  <c r="V314" i="7"/>
  <c r="U314" i="7"/>
  <c r="T314" i="7"/>
  <c r="O314" i="7"/>
  <c r="N314" i="7"/>
  <c r="M314" i="7"/>
  <c r="J314" i="7"/>
  <c r="P314" i="7" s="1"/>
  <c r="AH313" i="7"/>
  <c r="AE313" i="7"/>
  <c r="AD313" i="7"/>
  <c r="AC313" i="7"/>
  <c r="V313" i="7"/>
  <c r="U313" i="7"/>
  <c r="T313" i="7"/>
  <c r="N313" i="7"/>
  <c r="M313" i="7"/>
  <c r="J313" i="7"/>
  <c r="P313" i="7" s="1"/>
  <c r="AH312" i="7"/>
  <c r="AE312" i="7"/>
  <c r="AD312" i="7"/>
  <c r="AC312" i="7"/>
  <c r="V312" i="7"/>
  <c r="U312" i="7"/>
  <c r="T312" i="7"/>
  <c r="P312" i="7"/>
  <c r="N312" i="7"/>
  <c r="M312" i="7"/>
  <c r="J312" i="7"/>
  <c r="O312" i="7" s="1"/>
  <c r="AH311" i="7"/>
  <c r="AE311" i="7"/>
  <c r="AD311" i="7"/>
  <c r="AC311" i="7"/>
  <c r="V311" i="7"/>
  <c r="U311" i="7"/>
  <c r="T311" i="7"/>
  <c r="N311" i="7"/>
  <c r="M311" i="7"/>
  <c r="J311" i="7"/>
  <c r="P311" i="7" s="1"/>
  <c r="AH310" i="7"/>
  <c r="AE310" i="7"/>
  <c r="AD310" i="7"/>
  <c r="AC310" i="7"/>
  <c r="V310" i="7"/>
  <c r="U310" i="7"/>
  <c r="T310" i="7"/>
  <c r="N310" i="7"/>
  <c r="M310" i="7"/>
  <c r="J310" i="7"/>
  <c r="AH309" i="7"/>
  <c r="AE309" i="7"/>
  <c r="AD309" i="7"/>
  <c r="AC309" i="7"/>
  <c r="V309" i="7"/>
  <c r="U309" i="7"/>
  <c r="T309" i="7"/>
  <c r="N309" i="7"/>
  <c r="M309" i="7"/>
  <c r="J309" i="7"/>
  <c r="P309" i="7" s="1"/>
  <c r="AH308" i="7"/>
  <c r="AE308" i="7"/>
  <c r="AD308" i="7"/>
  <c r="AC308" i="7"/>
  <c r="V308" i="7"/>
  <c r="U308" i="7"/>
  <c r="T308" i="7"/>
  <c r="P308" i="7"/>
  <c r="O308" i="7"/>
  <c r="N308" i="7"/>
  <c r="M308" i="7"/>
  <c r="J308" i="7"/>
  <c r="AH307" i="7"/>
  <c r="AE307" i="7"/>
  <c r="AD307" i="7"/>
  <c r="AC307" i="7"/>
  <c r="V307" i="7"/>
  <c r="U307" i="7"/>
  <c r="T307" i="7"/>
  <c r="N307" i="7"/>
  <c r="M307" i="7"/>
  <c r="J307" i="7"/>
  <c r="P307" i="7" s="1"/>
  <c r="AH306" i="7"/>
  <c r="AE306" i="7"/>
  <c r="AD306" i="7"/>
  <c r="AC306" i="7"/>
  <c r="V306" i="7"/>
  <c r="U306" i="7"/>
  <c r="T306" i="7"/>
  <c r="N306" i="7"/>
  <c r="M306" i="7"/>
  <c r="J306" i="7"/>
  <c r="P306" i="7" s="1"/>
  <c r="AH305" i="7"/>
  <c r="AE305" i="7"/>
  <c r="AD305" i="7"/>
  <c r="AC305" i="7"/>
  <c r="V305" i="7"/>
  <c r="U305" i="7"/>
  <c r="T305" i="7"/>
  <c r="N305" i="7"/>
  <c r="M305" i="7"/>
  <c r="J305" i="7"/>
  <c r="P305" i="7" s="1"/>
  <c r="AH304" i="7"/>
  <c r="AE304" i="7"/>
  <c r="AD304" i="7"/>
  <c r="AC304" i="7"/>
  <c r="V304" i="7"/>
  <c r="U304" i="7"/>
  <c r="T304" i="7"/>
  <c r="N304" i="7"/>
  <c r="M304" i="7"/>
  <c r="J304" i="7"/>
  <c r="P304" i="7" s="1"/>
  <c r="AH303" i="7"/>
  <c r="AE303" i="7"/>
  <c r="AD303" i="7"/>
  <c r="AC303" i="7"/>
  <c r="V303" i="7"/>
  <c r="U303" i="7"/>
  <c r="T303" i="7"/>
  <c r="O303" i="7"/>
  <c r="N303" i="7"/>
  <c r="M303" i="7"/>
  <c r="J303" i="7"/>
  <c r="P303" i="7" s="1"/>
  <c r="AH302" i="7"/>
  <c r="AE302" i="7"/>
  <c r="AD302" i="7"/>
  <c r="AC302" i="7"/>
  <c r="V302" i="7"/>
  <c r="U302" i="7"/>
  <c r="T302" i="7"/>
  <c r="N302" i="7"/>
  <c r="M302" i="7"/>
  <c r="J302" i="7"/>
  <c r="P302" i="7" s="1"/>
  <c r="AH301" i="7"/>
  <c r="AE301" i="7"/>
  <c r="AD301" i="7"/>
  <c r="AC301" i="7"/>
  <c r="V301" i="7"/>
  <c r="U301" i="7"/>
  <c r="T301" i="7"/>
  <c r="N301" i="7"/>
  <c r="M301" i="7"/>
  <c r="J301" i="7"/>
  <c r="P301" i="7" s="1"/>
  <c r="AH300" i="7"/>
  <c r="AE300" i="7"/>
  <c r="AD300" i="7"/>
  <c r="AC300" i="7"/>
  <c r="V300" i="7"/>
  <c r="U300" i="7"/>
  <c r="T300" i="7"/>
  <c r="O300" i="7"/>
  <c r="N300" i="7"/>
  <c r="M300" i="7"/>
  <c r="J300" i="7"/>
  <c r="P300" i="7" s="1"/>
  <c r="AH299" i="7"/>
  <c r="AE299" i="7"/>
  <c r="AD299" i="7"/>
  <c r="AC299" i="7"/>
  <c r="V299" i="7"/>
  <c r="U299" i="7"/>
  <c r="T299" i="7"/>
  <c r="P299" i="7"/>
  <c r="O299" i="7"/>
  <c r="N299" i="7"/>
  <c r="M299" i="7"/>
  <c r="J299" i="7"/>
  <c r="AH298" i="7"/>
  <c r="AE298" i="7"/>
  <c r="AD298" i="7"/>
  <c r="AC298" i="7"/>
  <c r="V298" i="7"/>
  <c r="U298" i="7"/>
  <c r="T298" i="7"/>
  <c r="N298" i="7"/>
  <c r="M298" i="7"/>
  <c r="J298" i="7"/>
  <c r="P298" i="7" s="1"/>
  <c r="AH297" i="7"/>
  <c r="AE297" i="7"/>
  <c r="AD297" i="7"/>
  <c r="AC297" i="7"/>
  <c r="V297" i="7"/>
  <c r="U297" i="7"/>
  <c r="T297" i="7"/>
  <c r="N297" i="7"/>
  <c r="M297" i="7"/>
  <c r="J297" i="7"/>
  <c r="P297" i="7" s="1"/>
  <c r="AH296" i="7"/>
  <c r="AE296" i="7"/>
  <c r="AD296" i="7"/>
  <c r="AC296" i="7"/>
  <c r="V296" i="7"/>
  <c r="U296" i="7"/>
  <c r="T296" i="7"/>
  <c r="P296" i="7"/>
  <c r="N296" i="7"/>
  <c r="M296" i="7"/>
  <c r="J296" i="7"/>
  <c r="O296" i="7" s="1"/>
  <c r="AH295" i="7"/>
  <c r="AE295" i="7"/>
  <c r="AD295" i="7"/>
  <c r="AC295" i="7"/>
  <c r="V295" i="7"/>
  <c r="U295" i="7"/>
  <c r="T295" i="7"/>
  <c r="N295" i="7"/>
  <c r="M295" i="7"/>
  <c r="J295" i="7"/>
  <c r="P295" i="7" s="1"/>
  <c r="AH294" i="7"/>
  <c r="AE294" i="7"/>
  <c r="AD294" i="7"/>
  <c r="AC294" i="7"/>
  <c r="V294" i="7"/>
  <c r="U294" i="7"/>
  <c r="T294" i="7"/>
  <c r="N294" i="7"/>
  <c r="M294" i="7"/>
  <c r="J294" i="7"/>
  <c r="AH293" i="7"/>
  <c r="AE293" i="7"/>
  <c r="AD293" i="7"/>
  <c r="AC293" i="7"/>
  <c r="V293" i="7"/>
  <c r="U293" i="7"/>
  <c r="T293" i="7"/>
  <c r="N293" i="7"/>
  <c r="M293" i="7"/>
  <c r="J293" i="7"/>
  <c r="AH292" i="7"/>
  <c r="AE292" i="7"/>
  <c r="AD292" i="7"/>
  <c r="AC292" i="7"/>
  <c r="V292" i="7"/>
  <c r="U292" i="7"/>
  <c r="T292" i="7"/>
  <c r="N292" i="7"/>
  <c r="M292" i="7"/>
  <c r="J292" i="7"/>
  <c r="P292" i="7" s="1"/>
  <c r="AH291" i="7"/>
  <c r="AE291" i="7"/>
  <c r="AD291" i="7"/>
  <c r="AC291" i="7"/>
  <c r="V291" i="7"/>
  <c r="U291" i="7"/>
  <c r="T291" i="7"/>
  <c r="N291" i="7"/>
  <c r="M291" i="7"/>
  <c r="J291" i="7"/>
  <c r="P291" i="7" s="1"/>
  <c r="AH290" i="7"/>
  <c r="AE290" i="7"/>
  <c r="AD290" i="7"/>
  <c r="AC290" i="7"/>
  <c r="V290" i="7"/>
  <c r="U290" i="7"/>
  <c r="T290" i="7"/>
  <c r="O290" i="7"/>
  <c r="N290" i="7"/>
  <c r="M290" i="7"/>
  <c r="J290" i="7"/>
  <c r="P290" i="7" s="1"/>
  <c r="AH289" i="7"/>
  <c r="AE289" i="7"/>
  <c r="AD289" i="7"/>
  <c r="AC289" i="7"/>
  <c r="V289" i="7"/>
  <c r="U289" i="7"/>
  <c r="T289" i="7"/>
  <c r="N289" i="7"/>
  <c r="M289" i="7"/>
  <c r="J289" i="7"/>
  <c r="P289" i="7" s="1"/>
  <c r="AH288" i="7"/>
  <c r="AE288" i="7"/>
  <c r="AD288" i="7"/>
  <c r="AC288" i="7"/>
  <c r="V288" i="7"/>
  <c r="U288" i="7"/>
  <c r="T288" i="7"/>
  <c r="N288" i="7"/>
  <c r="M288" i="7"/>
  <c r="J288" i="7"/>
  <c r="P288" i="7" s="1"/>
  <c r="AH287" i="7"/>
  <c r="AE287" i="7"/>
  <c r="AD287" i="7"/>
  <c r="AC287" i="7"/>
  <c r="V287" i="7"/>
  <c r="U287" i="7"/>
  <c r="T287" i="7"/>
  <c r="O287" i="7"/>
  <c r="N287" i="7"/>
  <c r="M287" i="7"/>
  <c r="J287" i="7"/>
  <c r="P287" i="7" s="1"/>
  <c r="AH286" i="7"/>
  <c r="AE286" i="7"/>
  <c r="AD286" i="7"/>
  <c r="AC286" i="7"/>
  <c r="V286" i="7"/>
  <c r="U286" i="7"/>
  <c r="T286" i="7"/>
  <c r="N286" i="7"/>
  <c r="M286" i="7"/>
  <c r="J286" i="7"/>
  <c r="P286" i="7" s="1"/>
  <c r="AH285" i="7"/>
  <c r="AE285" i="7"/>
  <c r="AD285" i="7"/>
  <c r="AC285" i="7"/>
  <c r="V285" i="7"/>
  <c r="U285" i="7"/>
  <c r="T285" i="7"/>
  <c r="N285" i="7"/>
  <c r="M285" i="7"/>
  <c r="J285" i="7"/>
  <c r="P285" i="7" s="1"/>
  <c r="AH284" i="7"/>
  <c r="AE284" i="7"/>
  <c r="AD284" i="7"/>
  <c r="AC284" i="7"/>
  <c r="V284" i="7"/>
  <c r="U284" i="7"/>
  <c r="T284" i="7"/>
  <c r="P284" i="7"/>
  <c r="O284" i="7"/>
  <c r="N284" i="7"/>
  <c r="M284" i="7"/>
  <c r="J284" i="7"/>
  <c r="AH283" i="7"/>
  <c r="AE283" i="7"/>
  <c r="AD283" i="7"/>
  <c r="AC283" i="7"/>
  <c r="V283" i="7"/>
  <c r="U283" i="7"/>
  <c r="T283" i="7"/>
  <c r="O283" i="7"/>
  <c r="N283" i="7"/>
  <c r="M283" i="7"/>
  <c r="J283" i="7"/>
  <c r="P283" i="7" s="1"/>
  <c r="AH282" i="7"/>
  <c r="AE282" i="7"/>
  <c r="AD282" i="7"/>
  <c r="AC282" i="7"/>
  <c r="V282" i="7"/>
  <c r="U282" i="7"/>
  <c r="T282" i="7"/>
  <c r="O282" i="7"/>
  <c r="N282" i="7"/>
  <c r="M282" i="7"/>
  <c r="J282" i="7"/>
  <c r="P282" i="7" s="1"/>
  <c r="AH281" i="7"/>
  <c r="AE281" i="7"/>
  <c r="AD281" i="7"/>
  <c r="AC281" i="7"/>
  <c r="V281" i="7"/>
  <c r="U281" i="7"/>
  <c r="T281" i="7"/>
  <c r="N281" i="7"/>
  <c r="M281" i="7"/>
  <c r="J281" i="7"/>
  <c r="P281" i="7" s="1"/>
  <c r="AH280" i="7"/>
  <c r="AE280" i="7"/>
  <c r="AD280" i="7"/>
  <c r="AC280" i="7"/>
  <c r="V280" i="7"/>
  <c r="U280" i="7"/>
  <c r="T280" i="7"/>
  <c r="P280" i="7"/>
  <c r="N280" i="7"/>
  <c r="M280" i="7"/>
  <c r="J280" i="7"/>
  <c r="O280" i="7" s="1"/>
  <c r="AH279" i="7"/>
  <c r="AE279" i="7"/>
  <c r="AD279" i="7"/>
  <c r="AC279" i="7"/>
  <c r="V279" i="7"/>
  <c r="U279" i="7"/>
  <c r="T279" i="7"/>
  <c r="N279" i="7"/>
  <c r="M279" i="7"/>
  <c r="J279" i="7"/>
  <c r="P279" i="7" s="1"/>
  <c r="AH278" i="7"/>
  <c r="AE278" i="7"/>
  <c r="AD278" i="7"/>
  <c r="AC278" i="7"/>
  <c r="V278" i="7"/>
  <c r="U278" i="7"/>
  <c r="T278" i="7"/>
  <c r="N278" i="7"/>
  <c r="M278" i="7"/>
  <c r="J278" i="7"/>
  <c r="AH277" i="7"/>
  <c r="AE277" i="7"/>
  <c r="AD277" i="7"/>
  <c r="AC277" i="7"/>
  <c r="V277" i="7"/>
  <c r="U277" i="7"/>
  <c r="T277" i="7"/>
  <c r="N277" i="7"/>
  <c r="M277" i="7"/>
  <c r="J277" i="7"/>
  <c r="AH276" i="7"/>
  <c r="AE276" i="7"/>
  <c r="AD276" i="7"/>
  <c r="AC276" i="7"/>
  <c r="V276" i="7"/>
  <c r="U276" i="7"/>
  <c r="T276" i="7"/>
  <c r="N276" i="7"/>
  <c r="M276" i="7"/>
  <c r="J276" i="7"/>
  <c r="P276" i="7" s="1"/>
  <c r="AH275" i="7"/>
  <c r="AE275" i="7"/>
  <c r="AD275" i="7"/>
  <c r="AC275" i="7"/>
  <c r="V275" i="7"/>
  <c r="U275" i="7"/>
  <c r="T275" i="7"/>
  <c r="P275" i="7"/>
  <c r="N275" i="7"/>
  <c r="M275" i="7"/>
  <c r="J275" i="7"/>
  <c r="O275" i="7" s="1"/>
  <c r="AH274" i="7"/>
  <c r="AE274" i="7"/>
  <c r="AD274" i="7"/>
  <c r="AC274" i="7"/>
  <c r="V274" i="7"/>
  <c r="U274" i="7"/>
  <c r="T274" i="7"/>
  <c r="O274" i="7"/>
  <c r="N274" i="7"/>
  <c r="M274" i="7"/>
  <c r="J274" i="7"/>
  <c r="P274" i="7" s="1"/>
  <c r="AH273" i="7"/>
  <c r="AE273" i="7"/>
  <c r="AD273" i="7"/>
  <c r="AC273" i="7"/>
  <c r="V273" i="7"/>
  <c r="U273" i="7"/>
  <c r="T273" i="7"/>
  <c r="N273" i="7"/>
  <c r="M273" i="7"/>
  <c r="J273" i="7"/>
  <c r="P273" i="7" s="1"/>
  <c r="AH272" i="7"/>
  <c r="AE272" i="7"/>
  <c r="AD272" i="7"/>
  <c r="AC272" i="7"/>
  <c r="V272" i="7"/>
  <c r="U272" i="7"/>
  <c r="T272" i="7"/>
  <c r="N272" i="7"/>
  <c r="M272" i="7"/>
  <c r="J272" i="7"/>
  <c r="P272" i="7" s="1"/>
  <c r="AH271" i="7"/>
  <c r="AE271" i="7"/>
  <c r="AD271" i="7"/>
  <c r="AC271" i="7"/>
  <c r="V271" i="7"/>
  <c r="U271" i="7"/>
  <c r="T271" i="7"/>
  <c r="O271" i="7"/>
  <c r="N271" i="7"/>
  <c r="M271" i="7"/>
  <c r="J271" i="7"/>
  <c r="P271" i="7" s="1"/>
  <c r="AH270" i="7"/>
  <c r="AE270" i="7"/>
  <c r="AD270" i="7"/>
  <c r="AC270" i="7"/>
  <c r="V270" i="7"/>
  <c r="U270" i="7"/>
  <c r="T270" i="7"/>
  <c r="N270" i="7"/>
  <c r="M270" i="7"/>
  <c r="J270" i="7"/>
  <c r="P270" i="7" s="1"/>
  <c r="AH269" i="7"/>
  <c r="AE269" i="7"/>
  <c r="AD269" i="7"/>
  <c r="AC269" i="7"/>
  <c r="V269" i="7"/>
  <c r="U269" i="7"/>
  <c r="T269" i="7"/>
  <c r="N269" i="7"/>
  <c r="M269" i="7"/>
  <c r="J269" i="7"/>
  <c r="P269" i="7" s="1"/>
  <c r="AH268" i="7"/>
  <c r="AE268" i="7"/>
  <c r="AD268" i="7"/>
  <c r="AC268" i="7"/>
  <c r="V268" i="7"/>
  <c r="U268" i="7"/>
  <c r="T268" i="7"/>
  <c r="O268" i="7"/>
  <c r="N268" i="7"/>
  <c r="M268" i="7"/>
  <c r="J268" i="7"/>
  <c r="P268" i="7" s="1"/>
  <c r="AH267" i="7"/>
  <c r="AE267" i="7"/>
  <c r="AD267" i="7"/>
  <c r="AC267" i="7"/>
  <c r="V267" i="7"/>
  <c r="U267" i="7"/>
  <c r="T267" i="7"/>
  <c r="P267" i="7"/>
  <c r="N267" i="7"/>
  <c r="M267" i="7"/>
  <c r="J267" i="7"/>
  <c r="O267" i="7" s="1"/>
  <c r="AH266" i="7"/>
  <c r="AE266" i="7"/>
  <c r="AD266" i="7"/>
  <c r="AC266" i="7"/>
  <c r="V266" i="7"/>
  <c r="U266" i="7"/>
  <c r="T266" i="7"/>
  <c r="O266" i="7"/>
  <c r="N266" i="7"/>
  <c r="M266" i="7"/>
  <c r="J266" i="7"/>
  <c r="P266" i="7" s="1"/>
  <c r="AH265" i="7"/>
  <c r="AE265" i="7"/>
  <c r="AD265" i="7"/>
  <c r="AC265" i="7"/>
  <c r="V265" i="7"/>
  <c r="U265" i="7"/>
  <c r="T265" i="7"/>
  <c r="N265" i="7"/>
  <c r="M265" i="7"/>
  <c r="J265" i="7"/>
  <c r="P265" i="7" s="1"/>
  <c r="AH264" i="7"/>
  <c r="AE264" i="7"/>
  <c r="AD264" i="7"/>
  <c r="AC264" i="7"/>
  <c r="V264" i="7"/>
  <c r="U264" i="7"/>
  <c r="T264" i="7"/>
  <c r="N264" i="7"/>
  <c r="M264" i="7"/>
  <c r="J264" i="7"/>
  <c r="O264" i="7" s="1"/>
  <c r="AH263" i="7"/>
  <c r="AE263" i="7"/>
  <c r="AD263" i="7"/>
  <c r="AC263" i="7"/>
  <c r="V263" i="7"/>
  <c r="U263" i="7"/>
  <c r="T263" i="7"/>
  <c r="N263" i="7"/>
  <c r="M263" i="7"/>
  <c r="J263" i="7"/>
  <c r="P263" i="7" s="1"/>
  <c r="AH262" i="7"/>
  <c r="AE262" i="7"/>
  <c r="AD262" i="7"/>
  <c r="AC262" i="7"/>
  <c r="V262" i="7"/>
  <c r="U262" i="7"/>
  <c r="T262" i="7"/>
  <c r="N262" i="7"/>
  <c r="M262" i="7"/>
  <c r="J262" i="7"/>
  <c r="AH261" i="7"/>
  <c r="AE261" i="7"/>
  <c r="AD261" i="7"/>
  <c r="AC261" i="7"/>
  <c r="V261" i="7"/>
  <c r="U261" i="7"/>
  <c r="T261" i="7"/>
  <c r="N261" i="7"/>
  <c r="M261" i="7"/>
  <c r="J261" i="7"/>
  <c r="AH260" i="7"/>
  <c r="AE260" i="7"/>
  <c r="AD260" i="7"/>
  <c r="AC260" i="7"/>
  <c r="V260" i="7"/>
  <c r="U260" i="7"/>
  <c r="T260" i="7"/>
  <c r="P260" i="7"/>
  <c r="N260" i="7"/>
  <c r="M260" i="7"/>
  <c r="J260" i="7"/>
  <c r="O260" i="7" s="1"/>
  <c r="AH259" i="7"/>
  <c r="AE259" i="7"/>
  <c r="AD259" i="7"/>
  <c r="AC259" i="7"/>
  <c r="V259" i="7"/>
  <c r="U259" i="7"/>
  <c r="T259" i="7"/>
  <c r="N259" i="7"/>
  <c r="M259" i="7"/>
  <c r="J259" i="7"/>
  <c r="P259" i="7" s="1"/>
  <c r="AH258" i="7"/>
  <c r="AE258" i="7"/>
  <c r="AD258" i="7"/>
  <c r="AC258" i="7"/>
  <c r="V258" i="7"/>
  <c r="U258" i="7"/>
  <c r="T258" i="7"/>
  <c r="N258" i="7"/>
  <c r="M258" i="7"/>
  <c r="J258" i="7"/>
  <c r="P258" i="7" s="1"/>
  <c r="AH257" i="7"/>
  <c r="AE257" i="7"/>
  <c r="AD257" i="7"/>
  <c r="AC257" i="7"/>
  <c r="V257" i="7"/>
  <c r="U257" i="7"/>
  <c r="T257" i="7"/>
  <c r="N257" i="7"/>
  <c r="M257" i="7"/>
  <c r="J257" i="7"/>
  <c r="P257" i="7" s="1"/>
  <c r="AH256" i="7"/>
  <c r="AE256" i="7"/>
  <c r="AD256" i="7"/>
  <c r="AC256" i="7"/>
  <c r="V256" i="7"/>
  <c r="U256" i="7"/>
  <c r="T256" i="7"/>
  <c r="N256" i="7"/>
  <c r="M256" i="7"/>
  <c r="J256" i="7"/>
  <c r="P256" i="7" s="1"/>
  <c r="AH255" i="7"/>
  <c r="AE255" i="7"/>
  <c r="AD255" i="7"/>
  <c r="AC255" i="7"/>
  <c r="V255" i="7"/>
  <c r="U255" i="7"/>
  <c r="T255" i="7"/>
  <c r="O255" i="7"/>
  <c r="N255" i="7"/>
  <c r="M255" i="7"/>
  <c r="J255" i="7"/>
  <c r="P255" i="7" s="1"/>
  <c r="AH254" i="7"/>
  <c r="AE254" i="7"/>
  <c r="AD254" i="7"/>
  <c r="AC254" i="7"/>
  <c r="V254" i="7"/>
  <c r="U254" i="7"/>
  <c r="T254" i="7"/>
  <c r="N254" i="7"/>
  <c r="M254" i="7"/>
  <c r="J254" i="7"/>
  <c r="P254" i="7" s="1"/>
  <c r="AH253" i="7"/>
  <c r="AE253" i="7"/>
  <c r="AD253" i="7"/>
  <c r="AC253" i="7"/>
  <c r="V253" i="7"/>
  <c r="U253" i="7"/>
  <c r="T253" i="7"/>
  <c r="N253" i="7"/>
  <c r="M253" i="7"/>
  <c r="J253" i="7"/>
  <c r="P253" i="7" s="1"/>
  <c r="AH252" i="7"/>
  <c r="AE252" i="7"/>
  <c r="AD252" i="7"/>
  <c r="AC252" i="7"/>
  <c r="V252" i="7"/>
  <c r="U252" i="7"/>
  <c r="T252" i="7"/>
  <c r="O252" i="7"/>
  <c r="N252" i="7"/>
  <c r="M252" i="7"/>
  <c r="J252" i="7"/>
  <c r="P252" i="7" s="1"/>
  <c r="AH251" i="7"/>
  <c r="AE251" i="7"/>
  <c r="AD251" i="7"/>
  <c r="AC251" i="7"/>
  <c r="V251" i="7"/>
  <c r="U251" i="7"/>
  <c r="T251" i="7"/>
  <c r="O251" i="7"/>
  <c r="N251" i="7"/>
  <c r="M251" i="7"/>
  <c r="J251" i="7"/>
  <c r="P251" i="7" s="1"/>
  <c r="AH250" i="7"/>
  <c r="AE250" i="7"/>
  <c r="AD250" i="7"/>
  <c r="AC250" i="7"/>
  <c r="V250" i="7"/>
  <c r="U250" i="7"/>
  <c r="T250" i="7"/>
  <c r="N250" i="7"/>
  <c r="M250" i="7"/>
  <c r="J250" i="7"/>
  <c r="P250" i="7" s="1"/>
  <c r="AH249" i="7"/>
  <c r="AE249" i="7"/>
  <c r="AD249" i="7"/>
  <c r="AC249" i="7"/>
  <c r="V249" i="7"/>
  <c r="U249" i="7"/>
  <c r="T249" i="7"/>
  <c r="O249" i="7"/>
  <c r="N249" i="7"/>
  <c r="M249" i="7"/>
  <c r="J249" i="7"/>
  <c r="P249" i="7" s="1"/>
  <c r="AH248" i="7"/>
  <c r="AE248" i="7"/>
  <c r="AD248" i="7"/>
  <c r="AC248" i="7"/>
  <c r="V248" i="7"/>
  <c r="U248" i="7"/>
  <c r="T248" i="7"/>
  <c r="P248" i="7"/>
  <c r="N248" i="7"/>
  <c r="M248" i="7"/>
  <c r="J248" i="7"/>
  <c r="O248" i="7" s="1"/>
  <c r="AH247" i="7"/>
  <c r="AE247" i="7"/>
  <c r="AD247" i="7"/>
  <c r="AC247" i="7"/>
  <c r="V247" i="7"/>
  <c r="U247" i="7"/>
  <c r="T247" i="7"/>
  <c r="N247" i="7"/>
  <c r="M247" i="7"/>
  <c r="J247" i="7"/>
  <c r="P247" i="7" s="1"/>
  <c r="AH246" i="7"/>
  <c r="AE246" i="7"/>
  <c r="AD246" i="7"/>
  <c r="AC246" i="7"/>
  <c r="V246" i="7"/>
  <c r="U246" i="7"/>
  <c r="T246" i="7"/>
  <c r="N246" i="7"/>
  <c r="M246" i="7"/>
  <c r="J246" i="7"/>
  <c r="AH245" i="7"/>
  <c r="AE245" i="7"/>
  <c r="AD245" i="7"/>
  <c r="AC245" i="7"/>
  <c r="V245" i="7"/>
  <c r="U245" i="7"/>
  <c r="T245" i="7"/>
  <c r="N245" i="7"/>
  <c r="M245" i="7"/>
  <c r="J245" i="7"/>
  <c r="AH244" i="7"/>
  <c r="AE244" i="7"/>
  <c r="AD244" i="7"/>
  <c r="AC244" i="7"/>
  <c r="V244" i="7"/>
  <c r="U244" i="7"/>
  <c r="T244" i="7"/>
  <c r="N244" i="7"/>
  <c r="M244" i="7"/>
  <c r="J244" i="7"/>
  <c r="P244" i="7" s="1"/>
  <c r="AH243" i="7"/>
  <c r="AE243" i="7"/>
  <c r="AD243" i="7"/>
  <c r="AC243" i="7"/>
  <c r="V243" i="7"/>
  <c r="U243" i="7"/>
  <c r="T243" i="7"/>
  <c r="N243" i="7"/>
  <c r="M243" i="7"/>
  <c r="J243" i="7"/>
  <c r="P243" i="7" s="1"/>
  <c r="AH242" i="7"/>
  <c r="AE242" i="7"/>
  <c r="AD242" i="7"/>
  <c r="AC242" i="7"/>
  <c r="V242" i="7"/>
  <c r="U242" i="7"/>
  <c r="T242" i="7"/>
  <c r="N242" i="7"/>
  <c r="M242" i="7"/>
  <c r="J242" i="7"/>
  <c r="P242" i="7" s="1"/>
  <c r="AH241" i="7"/>
  <c r="AE241" i="7"/>
  <c r="AD241" i="7"/>
  <c r="AC241" i="7"/>
  <c r="V241" i="7"/>
  <c r="U241" i="7"/>
  <c r="T241" i="7"/>
  <c r="N241" i="7"/>
  <c r="M241" i="7"/>
  <c r="J241" i="7"/>
  <c r="P241" i="7" s="1"/>
  <c r="AH240" i="7"/>
  <c r="AE240" i="7"/>
  <c r="AD240" i="7"/>
  <c r="AC240" i="7"/>
  <c r="V240" i="7"/>
  <c r="U240" i="7"/>
  <c r="T240" i="7"/>
  <c r="N240" i="7"/>
  <c r="M240" i="7"/>
  <c r="J240" i="7"/>
  <c r="P240" i="7" s="1"/>
  <c r="AH239" i="7"/>
  <c r="AE239" i="7"/>
  <c r="AD239" i="7"/>
  <c r="AC239" i="7"/>
  <c r="V239" i="7"/>
  <c r="U239" i="7"/>
  <c r="T239" i="7"/>
  <c r="O239" i="7"/>
  <c r="N239" i="7"/>
  <c r="M239" i="7"/>
  <c r="J239" i="7"/>
  <c r="P239" i="7" s="1"/>
  <c r="AH238" i="7"/>
  <c r="AE238" i="7"/>
  <c r="AD238" i="7"/>
  <c r="AC238" i="7"/>
  <c r="V238" i="7"/>
  <c r="U238" i="7"/>
  <c r="T238" i="7"/>
  <c r="N238" i="7"/>
  <c r="M238" i="7"/>
  <c r="J238" i="7"/>
  <c r="P238" i="7" s="1"/>
  <c r="AH237" i="7"/>
  <c r="AE237" i="7"/>
  <c r="AD237" i="7"/>
  <c r="AC237" i="7"/>
  <c r="V237" i="7"/>
  <c r="U237" i="7"/>
  <c r="T237" i="7"/>
  <c r="N237" i="7"/>
  <c r="M237" i="7"/>
  <c r="J237" i="7"/>
  <c r="P237" i="7" s="1"/>
  <c r="AH236" i="7"/>
  <c r="AE236" i="7"/>
  <c r="AD236" i="7"/>
  <c r="AC236" i="7"/>
  <c r="V236" i="7"/>
  <c r="U236" i="7"/>
  <c r="T236" i="7"/>
  <c r="O236" i="7"/>
  <c r="N236" i="7"/>
  <c r="M236" i="7"/>
  <c r="J236" i="7"/>
  <c r="P236" i="7" s="1"/>
  <c r="AH235" i="7"/>
  <c r="AE235" i="7"/>
  <c r="AD235" i="7"/>
  <c r="AC235" i="7"/>
  <c r="V235" i="7"/>
  <c r="U235" i="7"/>
  <c r="T235" i="7"/>
  <c r="P235" i="7"/>
  <c r="O235" i="7"/>
  <c r="N235" i="7"/>
  <c r="M235" i="7"/>
  <c r="J235" i="7"/>
  <c r="AH234" i="7"/>
  <c r="AE234" i="7"/>
  <c r="AD234" i="7"/>
  <c r="AC234" i="7"/>
  <c r="V234" i="7"/>
  <c r="U234" i="7"/>
  <c r="T234" i="7"/>
  <c r="N234" i="7"/>
  <c r="M234" i="7"/>
  <c r="J234" i="7"/>
  <c r="P234" i="7" s="1"/>
  <c r="AH233" i="7"/>
  <c r="AE233" i="7"/>
  <c r="AD233" i="7"/>
  <c r="AC233" i="7"/>
  <c r="V233" i="7"/>
  <c r="U233" i="7"/>
  <c r="T233" i="7"/>
  <c r="N233" i="7"/>
  <c r="M233" i="7"/>
  <c r="J233" i="7"/>
  <c r="P233" i="7" s="1"/>
  <c r="AH232" i="7"/>
  <c r="AE232" i="7"/>
  <c r="AD232" i="7"/>
  <c r="AC232" i="7"/>
  <c r="V232" i="7"/>
  <c r="U232" i="7"/>
  <c r="T232" i="7"/>
  <c r="P232" i="7"/>
  <c r="N232" i="7"/>
  <c r="M232" i="7"/>
  <c r="J232" i="7"/>
  <c r="O232" i="7" s="1"/>
  <c r="AH231" i="7"/>
  <c r="AE231" i="7"/>
  <c r="AD231" i="7"/>
  <c r="AC231" i="7"/>
  <c r="V231" i="7"/>
  <c r="U231" i="7"/>
  <c r="T231" i="7"/>
  <c r="N231" i="7"/>
  <c r="M231" i="7"/>
  <c r="J231" i="7"/>
  <c r="P231" i="7" s="1"/>
  <c r="AH230" i="7"/>
  <c r="AE230" i="7"/>
  <c r="AD230" i="7"/>
  <c r="AC230" i="7"/>
  <c r="V230" i="7"/>
  <c r="U230" i="7"/>
  <c r="T230" i="7"/>
  <c r="N230" i="7"/>
  <c r="M230" i="7"/>
  <c r="J230" i="7"/>
  <c r="AH229" i="7"/>
  <c r="AE229" i="7"/>
  <c r="AD229" i="7"/>
  <c r="AC229" i="7"/>
  <c r="V229" i="7"/>
  <c r="U229" i="7"/>
  <c r="T229" i="7"/>
  <c r="N229" i="7"/>
  <c r="M229" i="7"/>
  <c r="J229" i="7"/>
  <c r="AH228" i="7"/>
  <c r="AE228" i="7"/>
  <c r="AD228" i="7"/>
  <c r="AC228" i="7"/>
  <c r="V228" i="7"/>
  <c r="U228" i="7"/>
  <c r="T228" i="7"/>
  <c r="O228" i="7"/>
  <c r="N228" i="7"/>
  <c r="M228" i="7"/>
  <c r="J228" i="7"/>
  <c r="P228" i="7" s="1"/>
  <c r="AH227" i="7"/>
  <c r="AE227" i="7"/>
  <c r="AD227" i="7"/>
  <c r="AC227" i="7"/>
  <c r="V227" i="7"/>
  <c r="U227" i="7"/>
  <c r="T227" i="7"/>
  <c r="P227" i="7"/>
  <c r="O227" i="7"/>
  <c r="N227" i="7"/>
  <c r="M227" i="7"/>
  <c r="J227" i="7"/>
  <c r="AH226" i="7"/>
  <c r="AE226" i="7"/>
  <c r="AD226" i="7"/>
  <c r="AC226" i="7"/>
  <c r="V226" i="7"/>
  <c r="U226" i="7"/>
  <c r="T226" i="7"/>
  <c r="N226" i="7"/>
  <c r="M226" i="7"/>
  <c r="J226" i="7"/>
  <c r="P226" i="7" s="1"/>
  <c r="AH225" i="7"/>
  <c r="AE225" i="7"/>
  <c r="AD225" i="7"/>
  <c r="AC225" i="7"/>
  <c r="V225" i="7"/>
  <c r="U225" i="7"/>
  <c r="T225" i="7"/>
  <c r="N225" i="7"/>
  <c r="M225" i="7"/>
  <c r="J225" i="7"/>
  <c r="P225" i="7" s="1"/>
  <c r="AH224" i="7"/>
  <c r="AE224" i="7"/>
  <c r="AD224" i="7"/>
  <c r="AC224" i="7"/>
  <c r="V224" i="7"/>
  <c r="U224" i="7"/>
  <c r="T224" i="7"/>
  <c r="N224" i="7"/>
  <c r="M224" i="7"/>
  <c r="J224" i="7"/>
  <c r="P224" i="7" s="1"/>
  <c r="AH223" i="7"/>
  <c r="AE223" i="7"/>
  <c r="AD223" i="7"/>
  <c r="AC223" i="7"/>
  <c r="V223" i="7"/>
  <c r="U223" i="7"/>
  <c r="T223" i="7"/>
  <c r="N223" i="7"/>
  <c r="M223" i="7"/>
  <c r="J223" i="7"/>
  <c r="P223" i="7" s="1"/>
  <c r="AH222" i="7"/>
  <c r="AE222" i="7"/>
  <c r="AD222" i="7"/>
  <c r="AC222" i="7"/>
  <c r="V222" i="7"/>
  <c r="U222" i="7"/>
  <c r="T222" i="7"/>
  <c r="N222" i="7"/>
  <c r="M222" i="7"/>
  <c r="J222" i="7"/>
  <c r="P222" i="7" s="1"/>
  <c r="AH221" i="7"/>
  <c r="AE221" i="7"/>
  <c r="AD221" i="7"/>
  <c r="AC221" i="7"/>
  <c r="V221" i="7"/>
  <c r="U221" i="7"/>
  <c r="T221" i="7"/>
  <c r="N221" i="7"/>
  <c r="M221" i="7"/>
  <c r="J221" i="7"/>
  <c r="AH220" i="7"/>
  <c r="AE220" i="7"/>
  <c r="AD220" i="7"/>
  <c r="AC220" i="7"/>
  <c r="V220" i="7"/>
  <c r="U220" i="7"/>
  <c r="T220" i="7"/>
  <c r="N220" i="7"/>
  <c r="M220" i="7"/>
  <c r="J220" i="7"/>
  <c r="P220" i="7" s="1"/>
  <c r="AH219" i="7"/>
  <c r="AE219" i="7"/>
  <c r="AD219" i="7"/>
  <c r="AC219" i="7"/>
  <c r="V219" i="7"/>
  <c r="U219" i="7"/>
  <c r="T219" i="7"/>
  <c r="N219" i="7"/>
  <c r="M219" i="7"/>
  <c r="J219" i="7"/>
  <c r="P219" i="7" s="1"/>
  <c r="AH218" i="7"/>
  <c r="AE218" i="7"/>
  <c r="AD218" i="7"/>
  <c r="AC218" i="7"/>
  <c r="V218" i="7"/>
  <c r="U218" i="7"/>
  <c r="T218" i="7"/>
  <c r="O218" i="7"/>
  <c r="N218" i="7"/>
  <c r="M218" i="7"/>
  <c r="J218" i="7"/>
  <c r="P218" i="7" s="1"/>
  <c r="AH217" i="7"/>
  <c r="AE217" i="7"/>
  <c r="AD217" i="7"/>
  <c r="AC217" i="7"/>
  <c r="V217" i="7"/>
  <c r="U217" i="7"/>
  <c r="T217" i="7"/>
  <c r="N217" i="7"/>
  <c r="M217" i="7"/>
  <c r="J217" i="7"/>
  <c r="P217" i="7" s="1"/>
  <c r="AH216" i="7"/>
  <c r="AE216" i="7"/>
  <c r="AD216" i="7"/>
  <c r="AC216" i="7"/>
  <c r="V216" i="7"/>
  <c r="U216" i="7"/>
  <c r="T216" i="7"/>
  <c r="N216" i="7"/>
  <c r="M216" i="7"/>
  <c r="J216" i="7"/>
  <c r="O216" i="7" s="1"/>
  <c r="AH215" i="7"/>
  <c r="AE215" i="7"/>
  <c r="AD215" i="7"/>
  <c r="AC215" i="7"/>
  <c r="V215" i="7"/>
  <c r="U215" i="7"/>
  <c r="T215" i="7"/>
  <c r="N215" i="7"/>
  <c r="M215" i="7"/>
  <c r="J215" i="7"/>
  <c r="AH214" i="7"/>
  <c r="AE214" i="7"/>
  <c r="AD214" i="7"/>
  <c r="AC214" i="7"/>
  <c r="V214" i="7"/>
  <c r="U214" i="7"/>
  <c r="T214" i="7"/>
  <c r="N214" i="7"/>
  <c r="M214" i="7"/>
  <c r="J214" i="7"/>
  <c r="AH213" i="7"/>
  <c r="AE213" i="7"/>
  <c r="AD213" i="7"/>
  <c r="AC213" i="7"/>
  <c r="V213" i="7"/>
  <c r="U213" i="7"/>
  <c r="T213" i="7"/>
  <c r="N213" i="7"/>
  <c r="M213" i="7"/>
  <c r="J213" i="7"/>
  <c r="AH212" i="7"/>
  <c r="AE212" i="7"/>
  <c r="AD212" i="7"/>
  <c r="AC212" i="7"/>
  <c r="V212" i="7"/>
  <c r="U212" i="7"/>
  <c r="T212" i="7"/>
  <c r="O212" i="7"/>
  <c r="N212" i="7"/>
  <c r="M212" i="7"/>
  <c r="J212" i="7"/>
  <c r="P212" i="7" s="1"/>
  <c r="AH211" i="7"/>
  <c r="AE211" i="7"/>
  <c r="AD211" i="7"/>
  <c r="AC211" i="7"/>
  <c r="V211" i="7"/>
  <c r="U211" i="7"/>
  <c r="T211" i="7"/>
  <c r="P211" i="7"/>
  <c r="O211" i="7"/>
  <c r="N211" i="7"/>
  <c r="M211" i="7"/>
  <c r="J211" i="7"/>
  <c r="AH210" i="7"/>
  <c r="AE210" i="7"/>
  <c r="AD210" i="7"/>
  <c r="AC210" i="7"/>
  <c r="V210" i="7"/>
  <c r="U210" i="7"/>
  <c r="T210" i="7"/>
  <c r="N210" i="7"/>
  <c r="M210" i="7"/>
  <c r="J210" i="7"/>
  <c r="P210" i="7" s="1"/>
  <c r="AH209" i="7"/>
  <c r="AE209" i="7"/>
  <c r="AD209" i="7"/>
  <c r="AC209" i="7"/>
  <c r="V209" i="7"/>
  <c r="U209" i="7"/>
  <c r="T209" i="7"/>
  <c r="N209" i="7"/>
  <c r="M209" i="7"/>
  <c r="J209" i="7"/>
  <c r="P209" i="7" s="1"/>
  <c r="AH208" i="7"/>
  <c r="AE208" i="7"/>
  <c r="AD208" i="7"/>
  <c r="AC208" i="7"/>
  <c r="V208" i="7"/>
  <c r="U208" i="7"/>
  <c r="T208" i="7"/>
  <c r="N208" i="7"/>
  <c r="M208" i="7"/>
  <c r="J208" i="7"/>
  <c r="AH207" i="7"/>
  <c r="AE207" i="7"/>
  <c r="AD207" i="7"/>
  <c r="AC207" i="7"/>
  <c r="V207" i="7"/>
  <c r="U207" i="7"/>
  <c r="T207" i="7"/>
  <c r="N207" i="7"/>
  <c r="M207" i="7"/>
  <c r="J207" i="7"/>
  <c r="P207" i="7" s="1"/>
  <c r="AH206" i="7"/>
  <c r="AE206" i="7"/>
  <c r="AD206" i="7"/>
  <c r="AC206" i="7"/>
  <c r="V206" i="7"/>
  <c r="U206" i="7"/>
  <c r="T206" i="7"/>
  <c r="P206" i="7"/>
  <c r="N206" i="7"/>
  <c r="M206" i="7"/>
  <c r="J206" i="7"/>
  <c r="O206" i="7" s="1"/>
  <c r="AH205" i="7"/>
  <c r="AE205" i="7"/>
  <c r="AD205" i="7"/>
  <c r="AC205" i="7"/>
  <c r="V205" i="7"/>
  <c r="U205" i="7"/>
  <c r="T205" i="7"/>
  <c r="N205" i="7"/>
  <c r="M205" i="7"/>
  <c r="J205" i="7"/>
  <c r="P205" i="7" s="1"/>
  <c r="AH204" i="7"/>
  <c r="AE204" i="7"/>
  <c r="AD204" i="7"/>
  <c r="AC204" i="7"/>
  <c r="V204" i="7"/>
  <c r="U204" i="7"/>
  <c r="T204" i="7"/>
  <c r="N204" i="7"/>
  <c r="M204" i="7"/>
  <c r="J204" i="7"/>
  <c r="P204" i="7" s="1"/>
  <c r="AH203" i="7"/>
  <c r="AE203" i="7"/>
  <c r="AD203" i="7"/>
  <c r="AC203" i="7"/>
  <c r="V203" i="7"/>
  <c r="U203" i="7"/>
  <c r="T203" i="7"/>
  <c r="N203" i="7"/>
  <c r="M203" i="7"/>
  <c r="J203" i="7"/>
  <c r="P203" i="7" s="1"/>
  <c r="AH202" i="7"/>
  <c r="AE202" i="7"/>
  <c r="AD202" i="7"/>
  <c r="AC202" i="7"/>
  <c r="V202" i="7"/>
  <c r="U202" i="7"/>
  <c r="T202" i="7"/>
  <c r="O202" i="7"/>
  <c r="N202" i="7"/>
  <c r="M202" i="7"/>
  <c r="J202" i="7"/>
  <c r="P202" i="7" s="1"/>
  <c r="AH201" i="7"/>
  <c r="AE201" i="7"/>
  <c r="AD201" i="7"/>
  <c r="AC201" i="7"/>
  <c r="V201" i="7"/>
  <c r="U201" i="7"/>
  <c r="T201" i="7"/>
  <c r="N201" i="7"/>
  <c r="M201" i="7"/>
  <c r="J201" i="7"/>
  <c r="P201" i="7" s="1"/>
  <c r="AH200" i="7"/>
  <c r="AE200" i="7"/>
  <c r="AD200" i="7"/>
  <c r="AC200" i="7"/>
  <c r="V200" i="7"/>
  <c r="U200" i="7"/>
  <c r="T200" i="7"/>
  <c r="N200" i="7"/>
  <c r="M200" i="7"/>
  <c r="J200" i="7"/>
  <c r="O200" i="7" s="1"/>
  <c r="AH199" i="7"/>
  <c r="AE199" i="7"/>
  <c r="AD199" i="7"/>
  <c r="AC199" i="7"/>
  <c r="V199" i="7"/>
  <c r="U199" i="7"/>
  <c r="T199" i="7"/>
  <c r="N199" i="7"/>
  <c r="M199" i="7"/>
  <c r="J199" i="7"/>
  <c r="AH198" i="7"/>
  <c r="AE198" i="7"/>
  <c r="AD198" i="7"/>
  <c r="AC198" i="7"/>
  <c r="V198" i="7"/>
  <c r="U198" i="7"/>
  <c r="T198" i="7"/>
  <c r="N198" i="7"/>
  <c r="M198" i="7"/>
  <c r="J198" i="7"/>
  <c r="P198" i="7" s="1"/>
  <c r="AH197" i="7"/>
  <c r="AE197" i="7"/>
  <c r="AD197" i="7"/>
  <c r="AC197" i="7"/>
  <c r="V197" i="7"/>
  <c r="U197" i="7"/>
  <c r="T197" i="7"/>
  <c r="N197" i="7"/>
  <c r="M197" i="7"/>
  <c r="J197" i="7"/>
  <c r="P197" i="7" s="1"/>
  <c r="AH196" i="7"/>
  <c r="AE196" i="7"/>
  <c r="AD196" i="7"/>
  <c r="AC196" i="7"/>
  <c r="V196" i="7"/>
  <c r="U196" i="7"/>
  <c r="T196" i="7"/>
  <c r="P196" i="7"/>
  <c r="O196" i="7"/>
  <c r="N196" i="7"/>
  <c r="M196" i="7"/>
  <c r="J196" i="7"/>
  <c r="AH195" i="7"/>
  <c r="AE195" i="7"/>
  <c r="AD195" i="7"/>
  <c r="AC195" i="7"/>
  <c r="V195" i="7"/>
  <c r="U195" i="7"/>
  <c r="T195" i="7"/>
  <c r="N195" i="7"/>
  <c r="M195" i="7"/>
  <c r="J195" i="7"/>
  <c r="P195" i="7" s="1"/>
  <c r="AH194" i="7"/>
  <c r="AE194" i="7"/>
  <c r="AD194" i="7"/>
  <c r="AC194" i="7"/>
  <c r="V194" i="7"/>
  <c r="U194" i="7"/>
  <c r="T194" i="7"/>
  <c r="N194" i="7"/>
  <c r="M194" i="7"/>
  <c r="J194" i="7"/>
  <c r="P194" i="7" s="1"/>
  <c r="AH193" i="7"/>
  <c r="AE193" i="7"/>
  <c r="AD193" i="7"/>
  <c r="AC193" i="7"/>
  <c r="V193" i="7"/>
  <c r="U193" i="7"/>
  <c r="T193" i="7"/>
  <c r="N193" i="7"/>
  <c r="M193" i="7"/>
  <c r="J193" i="7"/>
  <c r="P193" i="7" s="1"/>
  <c r="AH192" i="7"/>
  <c r="AE192" i="7"/>
  <c r="AD192" i="7"/>
  <c r="AC192" i="7"/>
  <c r="V192" i="7"/>
  <c r="U192" i="7"/>
  <c r="T192" i="7"/>
  <c r="N192" i="7"/>
  <c r="M192" i="7"/>
  <c r="J192" i="7"/>
  <c r="AH191" i="7"/>
  <c r="AE191" i="7"/>
  <c r="AD191" i="7"/>
  <c r="AC191" i="7"/>
  <c r="V191" i="7"/>
  <c r="U191" i="7"/>
  <c r="T191" i="7"/>
  <c r="N191" i="7"/>
  <c r="M191" i="7"/>
  <c r="J191" i="7"/>
  <c r="P191" i="7" s="1"/>
  <c r="AH190" i="7"/>
  <c r="AE190" i="7"/>
  <c r="AD190" i="7"/>
  <c r="AC190" i="7"/>
  <c r="V190" i="7"/>
  <c r="U190" i="7"/>
  <c r="T190" i="7"/>
  <c r="N190" i="7"/>
  <c r="M190" i="7"/>
  <c r="J190" i="7"/>
  <c r="O190" i="7" s="1"/>
  <c r="AH189" i="7"/>
  <c r="AE189" i="7"/>
  <c r="AD189" i="7"/>
  <c r="AC189" i="7"/>
  <c r="V189" i="7"/>
  <c r="U189" i="7"/>
  <c r="T189" i="7"/>
  <c r="O189" i="7"/>
  <c r="N189" i="7"/>
  <c r="M189" i="7"/>
  <c r="J189" i="7"/>
  <c r="P189" i="7" s="1"/>
  <c r="AH188" i="7"/>
  <c r="AE188" i="7"/>
  <c r="AD188" i="7"/>
  <c r="AC188" i="7"/>
  <c r="V188" i="7"/>
  <c r="U188" i="7"/>
  <c r="T188" i="7"/>
  <c r="P188" i="7"/>
  <c r="N188" i="7"/>
  <c r="M188" i="7"/>
  <c r="J188" i="7"/>
  <c r="O188" i="7" s="1"/>
  <c r="AH187" i="7"/>
  <c r="AE187" i="7"/>
  <c r="AD187" i="7"/>
  <c r="AC187" i="7"/>
  <c r="V187" i="7"/>
  <c r="U187" i="7"/>
  <c r="T187" i="7"/>
  <c r="O187" i="7"/>
  <c r="N187" i="7"/>
  <c r="M187" i="7"/>
  <c r="J187" i="7"/>
  <c r="P187" i="7" s="1"/>
  <c r="AH186" i="7"/>
  <c r="AE186" i="7"/>
  <c r="AD186" i="7"/>
  <c r="AC186" i="7"/>
  <c r="V186" i="7"/>
  <c r="U186" i="7"/>
  <c r="T186" i="7"/>
  <c r="O186" i="7"/>
  <c r="N186" i="7"/>
  <c r="M186" i="7"/>
  <c r="J186" i="7"/>
  <c r="P186" i="7" s="1"/>
  <c r="AH185" i="7"/>
  <c r="AE185" i="7"/>
  <c r="AD185" i="7"/>
  <c r="AC185" i="7"/>
  <c r="V185" i="7"/>
  <c r="U185" i="7"/>
  <c r="T185" i="7"/>
  <c r="N185" i="7"/>
  <c r="M185" i="7"/>
  <c r="J185" i="7"/>
  <c r="AH184" i="7"/>
  <c r="AE184" i="7"/>
  <c r="AD184" i="7"/>
  <c r="AC184" i="7"/>
  <c r="V184" i="7"/>
  <c r="U184" i="7"/>
  <c r="T184" i="7"/>
  <c r="N184" i="7"/>
  <c r="M184" i="7"/>
  <c r="J184" i="7"/>
  <c r="O184" i="7" s="1"/>
  <c r="AH183" i="7"/>
  <c r="AE183" i="7"/>
  <c r="AD183" i="7"/>
  <c r="AC183" i="7"/>
  <c r="V183" i="7"/>
  <c r="U183" i="7"/>
  <c r="T183" i="7"/>
  <c r="N183" i="7"/>
  <c r="M183" i="7"/>
  <c r="J183" i="7"/>
  <c r="O183" i="7" s="1"/>
  <c r="AH182" i="7"/>
  <c r="AE182" i="7"/>
  <c r="AD182" i="7"/>
  <c r="AC182" i="7"/>
  <c r="V182" i="7"/>
  <c r="U182" i="7"/>
  <c r="T182" i="7"/>
  <c r="O182" i="7"/>
  <c r="N182" i="7"/>
  <c r="M182" i="7"/>
  <c r="J182" i="7"/>
  <c r="P182" i="7" s="1"/>
  <c r="AH181" i="7"/>
  <c r="AE181" i="7"/>
  <c r="AD181" i="7"/>
  <c r="AC181" i="7"/>
  <c r="V181" i="7"/>
  <c r="U181" i="7"/>
  <c r="T181" i="7"/>
  <c r="N181" i="7"/>
  <c r="M181" i="7"/>
  <c r="J181" i="7"/>
  <c r="P181" i="7" s="1"/>
  <c r="AH180" i="7"/>
  <c r="AE180" i="7"/>
  <c r="AD180" i="7"/>
  <c r="AC180" i="7"/>
  <c r="V180" i="7"/>
  <c r="U180" i="7"/>
  <c r="T180" i="7"/>
  <c r="P180" i="7"/>
  <c r="O180" i="7"/>
  <c r="N180" i="7"/>
  <c r="M180" i="7"/>
  <c r="J180" i="7"/>
  <c r="AH179" i="7"/>
  <c r="AE179" i="7"/>
  <c r="AD179" i="7"/>
  <c r="AC179" i="7"/>
  <c r="V179" i="7"/>
  <c r="U179" i="7"/>
  <c r="T179" i="7"/>
  <c r="N179" i="7"/>
  <c r="M179" i="7"/>
  <c r="J179" i="7"/>
  <c r="P179" i="7" s="1"/>
  <c r="AH178" i="7"/>
  <c r="AE178" i="7"/>
  <c r="AD178" i="7"/>
  <c r="AC178" i="7"/>
  <c r="V178" i="7"/>
  <c r="U178" i="7"/>
  <c r="T178" i="7"/>
  <c r="N178" i="7"/>
  <c r="M178" i="7"/>
  <c r="J178" i="7"/>
  <c r="P178" i="7" s="1"/>
  <c r="AH177" i="7"/>
  <c r="AE177" i="7"/>
  <c r="AD177" i="7"/>
  <c r="AC177" i="7"/>
  <c r="V177" i="7"/>
  <c r="U177" i="7"/>
  <c r="T177" i="7"/>
  <c r="N177" i="7"/>
  <c r="M177" i="7"/>
  <c r="J177" i="7"/>
  <c r="AH176" i="7"/>
  <c r="AE176" i="7"/>
  <c r="AD176" i="7"/>
  <c r="AC176" i="7"/>
  <c r="V176" i="7"/>
  <c r="U176" i="7"/>
  <c r="T176" i="7"/>
  <c r="N176" i="7"/>
  <c r="M176" i="7"/>
  <c r="J176" i="7"/>
  <c r="AH175" i="7"/>
  <c r="AE175" i="7"/>
  <c r="AD175" i="7"/>
  <c r="AC175" i="7"/>
  <c r="V175" i="7"/>
  <c r="U175" i="7"/>
  <c r="T175" i="7"/>
  <c r="N175" i="7"/>
  <c r="M175" i="7"/>
  <c r="J175" i="7"/>
  <c r="P175" i="7" s="1"/>
  <c r="AH174" i="7"/>
  <c r="AE174" i="7"/>
  <c r="AD174" i="7"/>
  <c r="AC174" i="7"/>
  <c r="V174" i="7"/>
  <c r="U174" i="7"/>
  <c r="T174" i="7"/>
  <c r="P174" i="7"/>
  <c r="O174" i="7"/>
  <c r="N174" i="7"/>
  <c r="M174" i="7"/>
  <c r="J174" i="7"/>
  <c r="AH173" i="7"/>
  <c r="AE173" i="7"/>
  <c r="AD173" i="7"/>
  <c r="AC173" i="7"/>
  <c r="V173" i="7"/>
  <c r="U173" i="7"/>
  <c r="T173" i="7"/>
  <c r="N173" i="7"/>
  <c r="M173" i="7"/>
  <c r="J173" i="7"/>
  <c r="P173" i="7" s="1"/>
  <c r="AH172" i="7"/>
  <c r="AE172" i="7"/>
  <c r="AD172" i="7"/>
  <c r="AC172" i="7"/>
  <c r="V172" i="7"/>
  <c r="U172" i="7"/>
  <c r="T172" i="7"/>
  <c r="N172" i="7"/>
  <c r="M172" i="7"/>
  <c r="J172" i="7"/>
  <c r="P172" i="7" s="1"/>
  <c r="AH171" i="7"/>
  <c r="AE171" i="7"/>
  <c r="AD171" i="7"/>
  <c r="AC171" i="7"/>
  <c r="V171" i="7"/>
  <c r="U171" i="7"/>
  <c r="T171" i="7"/>
  <c r="P171" i="7"/>
  <c r="O171" i="7"/>
  <c r="N171" i="7"/>
  <c r="M171" i="7"/>
  <c r="J171" i="7"/>
  <c r="AH170" i="7"/>
  <c r="AE170" i="7"/>
  <c r="AD170" i="7"/>
  <c r="AC170" i="7"/>
  <c r="V170" i="7"/>
  <c r="U170" i="7"/>
  <c r="T170" i="7"/>
  <c r="O170" i="7"/>
  <c r="N170" i="7"/>
  <c r="M170" i="7"/>
  <c r="J170" i="7"/>
  <c r="P170" i="7" s="1"/>
  <c r="AH169" i="7"/>
  <c r="AE169" i="7"/>
  <c r="AD169" i="7"/>
  <c r="AC169" i="7"/>
  <c r="V169" i="7"/>
  <c r="U169" i="7"/>
  <c r="T169" i="7"/>
  <c r="N169" i="7"/>
  <c r="M169" i="7"/>
  <c r="J169" i="7"/>
  <c r="AH168" i="7"/>
  <c r="AE168" i="7"/>
  <c r="AD168" i="7"/>
  <c r="AC168" i="7"/>
  <c r="V168" i="7"/>
  <c r="U168" i="7"/>
  <c r="T168" i="7"/>
  <c r="N168" i="7"/>
  <c r="M168" i="7"/>
  <c r="J168" i="7"/>
  <c r="O168" i="7" s="1"/>
  <c r="AH167" i="7"/>
  <c r="AE167" i="7"/>
  <c r="AD167" i="7"/>
  <c r="AC167" i="7"/>
  <c r="V167" i="7"/>
  <c r="U167" i="7"/>
  <c r="T167" i="7"/>
  <c r="N167" i="7"/>
  <c r="M167" i="7"/>
  <c r="J167" i="7"/>
  <c r="O167" i="7" s="1"/>
  <c r="AH166" i="7"/>
  <c r="AE166" i="7"/>
  <c r="AD166" i="7"/>
  <c r="AC166" i="7"/>
  <c r="V166" i="7"/>
  <c r="U166" i="7"/>
  <c r="T166" i="7"/>
  <c r="O166" i="7"/>
  <c r="N166" i="7"/>
  <c r="M166" i="7"/>
  <c r="J166" i="7"/>
  <c r="P166" i="7" s="1"/>
  <c r="AH165" i="7"/>
  <c r="AE165" i="7"/>
  <c r="AD165" i="7"/>
  <c r="AC165" i="7"/>
  <c r="V165" i="7"/>
  <c r="U165" i="7"/>
  <c r="T165" i="7"/>
  <c r="N165" i="7"/>
  <c r="M165" i="7"/>
  <c r="J165" i="7"/>
  <c r="P165" i="7" s="1"/>
  <c r="AH164" i="7"/>
  <c r="AE164" i="7"/>
  <c r="AD164" i="7"/>
  <c r="AC164" i="7"/>
  <c r="V164" i="7"/>
  <c r="U164" i="7"/>
  <c r="T164" i="7"/>
  <c r="O164" i="7"/>
  <c r="N164" i="7"/>
  <c r="M164" i="7"/>
  <c r="J164" i="7"/>
  <c r="P164" i="7" s="1"/>
  <c r="AH163" i="7"/>
  <c r="AE163" i="7"/>
  <c r="AD163" i="7"/>
  <c r="AC163" i="7"/>
  <c r="V163" i="7"/>
  <c r="U163" i="7"/>
  <c r="T163" i="7"/>
  <c r="O163" i="7"/>
  <c r="N163" i="7"/>
  <c r="M163" i="7"/>
  <c r="J163" i="7"/>
  <c r="P163" i="7" s="1"/>
  <c r="AH162" i="7"/>
  <c r="AE162" i="7"/>
  <c r="AD162" i="7"/>
  <c r="AC162" i="7"/>
  <c r="V162" i="7"/>
  <c r="U162" i="7"/>
  <c r="T162" i="7"/>
  <c r="O162" i="7"/>
  <c r="N162" i="7"/>
  <c r="M162" i="7"/>
  <c r="J162" i="7"/>
  <c r="P162" i="7" s="1"/>
  <c r="AH161" i="7"/>
  <c r="AE161" i="7"/>
  <c r="AD161" i="7"/>
  <c r="AC161" i="7"/>
  <c r="V161" i="7"/>
  <c r="U161" i="7"/>
  <c r="T161" i="7"/>
  <c r="N161" i="7"/>
  <c r="M161" i="7"/>
  <c r="J161" i="7"/>
  <c r="AH160" i="7"/>
  <c r="AE160" i="7"/>
  <c r="AD160" i="7"/>
  <c r="AC160" i="7"/>
  <c r="V160" i="7"/>
  <c r="U160" i="7"/>
  <c r="T160" i="7"/>
  <c r="N160" i="7"/>
  <c r="M160" i="7"/>
  <c r="J160" i="7"/>
  <c r="AH159" i="7"/>
  <c r="AE159" i="7"/>
  <c r="AD159" i="7"/>
  <c r="AC159" i="7"/>
  <c r="V159" i="7"/>
  <c r="U159" i="7"/>
  <c r="T159" i="7"/>
  <c r="N159" i="7"/>
  <c r="M159" i="7"/>
  <c r="J159" i="7"/>
  <c r="P159" i="7" s="1"/>
  <c r="AH158" i="7"/>
  <c r="AE158" i="7"/>
  <c r="AD158" i="7"/>
  <c r="AC158" i="7"/>
  <c r="V158" i="7"/>
  <c r="U158" i="7"/>
  <c r="T158" i="7"/>
  <c r="N158" i="7"/>
  <c r="M158" i="7"/>
  <c r="J158" i="7"/>
  <c r="P158" i="7" s="1"/>
  <c r="AH157" i="7"/>
  <c r="AE157" i="7"/>
  <c r="AD157" i="7"/>
  <c r="AC157" i="7"/>
  <c r="V157" i="7"/>
  <c r="U157" i="7"/>
  <c r="T157" i="7"/>
  <c r="O157" i="7"/>
  <c r="N157" i="7"/>
  <c r="M157" i="7"/>
  <c r="J157" i="7"/>
  <c r="P157" i="7" s="1"/>
  <c r="AH156" i="7"/>
  <c r="AE156" i="7"/>
  <c r="AD156" i="7"/>
  <c r="AC156" i="7"/>
  <c r="V156" i="7"/>
  <c r="U156" i="7"/>
  <c r="T156" i="7"/>
  <c r="N156" i="7"/>
  <c r="M156" i="7"/>
  <c r="J156" i="7"/>
  <c r="P156" i="7" s="1"/>
  <c r="AH155" i="7"/>
  <c r="AE155" i="7"/>
  <c r="AD155" i="7"/>
  <c r="AC155" i="7"/>
  <c r="V155" i="7"/>
  <c r="U155" i="7"/>
  <c r="T155" i="7"/>
  <c r="N155" i="7"/>
  <c r="M155" i="7"/>
  <c r="J155" i="7"/>
  <c r="P155" i="7" s="1"/>
  <c r="AH154" i="7"/>
  <c r="AE154" i="7"/>
  <c r="AD154" i="7"/>
  <c r="AC154" i="7"/>
  <c r="V154" i="7"/>
  <c r="U154" i="7"/>
  <c r="T154" i="7"/>
  <c r="N154" i="7"/>
  <c r="M154" i="7"/>
  <c r="J154" i="7"/>
  <c r="P154" i="7" s="1"/>
  <c r="AH153" i="7"/>
  <c r="AE153" i="7"/>
  <c r="AD153" i="7"/>
  <c r="AC153" i="7"/>
  <c r="V153" i="7"/>
  <c r="U153" i="7"/>
  <c r="T153" i="7"/>
  <c r="O153" i="7"/>
  <c r="N153" i="7"/>
  <c r="M153" i="7"/>
  <c r="J153" i="7"/>
  <c r="P153" i="7" s="1"/>
  <c r="AH152" i="7"/>
  <c r="AE152" i="7"/>
  <c r="AD152" i="7"/>
  <c r="AC152" i="7"/>
  <c r="V152" i="7"/>
  <c r="U152" i="7"/>
  <c r="T152" i="7"/>
  <c r="O152" i="7"/>
  <c r="N152" i="7"/>
  <c r="M152" i="7"/>
  <c r="J152" i="7"/>
  <c r="P152" i="7" s="1"/>
  <c r="AH151" i="7"/>
  <c r="AE151" i="7"/>
  <c r="AD151" i="7"/>
  <c r="AC151" i="7"/>
  <c r="V151" i="7"/>
  <c r="U151" i="7"/>
  <c r="T151" i="7"/>
  <c r="O151" i="7"/>
  <c r="N151" i="7"/>
  <c r="M151" i="7"/>
  <c r="J151" i="7"/>
  <c r="P151" i="7" s="1"/>
  <c r="AH150" i="7"/>
  <c r="AE150" i="7"/>
  <c r="AD150" i="7"/>
  <c r="AC150" i="7"/>
  <c r="V150" i="7"/>
  <c r="U150" i="7"/>
  <c r="T150" i="7"/>
  <c r="P150" i="7"/>
  <c r="N150" i="7"/>
  <c r="M150" i="7"/>
  <c r="J150" i="7"/>
  <c r="O150" i="7" s="1"/>
  <c r="AH149" i="7"/>
  <c r="AE149" i="7"/>
  <c r="AD149" i="7"/>
  <c r="AC149" i="7"/>
  <c r="V149" i="7"/>
  <c r="U149" i="7"/>
  <c r="T149" i="7"/>
  <c r="O149" i="7"/>
  <c r="N149" i="7"/>
  <c r="M149" i="7"/>
  <c r="J149" i="7"/>
  <c r="P149" i="7" s="1"/>
  <c r="AH148" i="7"/>
  <c r="AE148" i="7"/>
  <c r="AD148" i="7"/>
  <c r="AC148" i="7"/>
  <c r="V148" i="7"/>
  <c r="U148" i="7"/>
  <c r="T148" i="7"/>
  <c r="N148" i="7"/>
  <c r="M148" i="7"/>
  <c r="J148" i="7"/>
  <c r="P148" i="7" s="1"/>
  <c r="AH147" i="7"/>
  <c r="AE147" i="7"/>
  <c r="AD147" i="7"/>
  <c r="AC147" i="7"/>
  <c r="V147" i="7"/>
  <c r="U147" i="7"/>
  <c r="T147" i="7"/>
  <c r="N147" i="7"/>
  <c r="M147" i="7"/>
  <c r="J147" i="7"/>
  <c r="P147" i="7" s="1"/>
  <c r="AH146" i="7"/>
  <c r="AE146" i="7"/>
  <c r="AD146" i="7"/>
  <c r="AC146" i="7"/>
  <c r="V146" i="7"/>
  <c r="U146" i="7"/>
  <c r="T146" i="7"/>
  <c r="P146" i="7"/>
  <c r="N146" i="7"/>
  <c r="M146" i="7"/>
  <c r="J146" i="7"/>
  <c r="O146" i="7" s="1"/>
  <c r="AH145" i="7"/>
  <c r="AE145" i="7"/>
  <c r="AD145" i="7"/>
  <c r="AC145" i="7"/>
  <c r="V145" i="7"/>
  <c r="U145" i="7"/>
  <c r="T145" i="7"/>
  <c r="N145" i="7"/>
  <c r="M145" i="7"/>
  <c r="J145" i="7"/>
  <c r="P145" i="7" s="1"/>
  <c r="AH144" i="7"/>
  <c r="AE144" i="7"/>
  <c r="AD144" i="7"/>
  <c r="AC144" i="7"/>
  <c r="V144" i="7"/>
  <c r="U144" i="7"/>
  <c r="T144" i="7"/>
  <c r="P144" i="7"/>
  <c r="N144" i="7"/>
  <c r="M144" i="7"/>
  <c r="J144" i="7"/>
  <c r="O144" i="7" s="1"/>
  <c r="AH143" i="7"/>
  <c r="AE143" i="7"/>
  <c r="AD143" i="7"/>
  <c r="AC143" i="7"/>
  <c r="V143" i="7"/>
  <c r="U143" i="7"/>
  <c r="T143" i="7"/>
  <c r="O143" i="7"/>
  <c r="N143" i="7"/>
  <c r="M143" i="7"/>
  <c r="J143" i="7"/>
  <c r="P143" i="7" s="1"/>
  <c r="AH142" i="7"/>
  <c r="AE142" i="7"/>
  <c r="AD142" i="7"/>
  <c r="AC142" i="7"/>
  <c r="V142" i="7"/>
  <c r="U142" i="7"/>
  <c r="T142" i="7"/>
  <c r="O142" i="7"/>
  <c r="N142" i="7"/>
  <c r="M142" i="7"/>
  <c r="J142" i="7"/>
  <c r="P142" i="7" s="1"/>
  <c r="AH141" i="7"/>
  <c r="AE141" i="7"/>
  <c r="AD141" i="7"/>
  <c r="AC141" i="7"/>
  <c r="V141" i="7"/>
  <c r="U141" i="7"/>
  <c r="T141" i="7"/>
  <c r="N141" i="7"/>
  <c r="M141" i="7"/>
  <c r="J141" i="7"/>
  <c r="P141" i="7" s="1"/>
  <c r="AH140" i="7"/>
  <c r="AE140" i="7"/>
  <c r="AD140" i="7"/>
  <c r="AC140" i="7"/>
  <c r="V140" i="7"/>
  <c r="U140" i="7"/>
  <c r="T140" i="7"/>
  <c r="N140" i="7"/>
  <c r="M140" i="7"/>
  <c r="J140" i="7"/>
  <c r="P140" i="7" s="1"/>
  <c r="AH139" i="7"/>
  <c r="AE139" i="7"/>
  <c r="AD139" i="7"/>
  <c r="AC139" i="7"/>
  <c r="V139" i="7"/>
  <c r="U139" i="7"/>
  <c r="T139" i="7"/>
  <c r="N139" i="7"/>
  <c r="M139" i="7"/>
  <c r="J139" i="7"/>
  <c r="P139" i="7" s="1"/>
  <c r="AH138" i="7"/>
  <c r="AE138" i="7"/>
  <c r="AD138" i="7"/>
  <c r="AC138" i="7"/>
  <c r="V138" i="7"/>
  <c r="U138" i="7"/>
  <c r="T138" i="7"/>
  <c r="N138" i="7"/>
  <c r="M138" i="7"/>
  <c r="J138" i="7"/>
  <c r="P138" i="7" s="1"/>
  <c r="AH137" i="7"/>
  <c r="AE137" i="7"/>
  <c r="AD137" i="7"/>
  <c r="AC137" i="7"/>
  <c r="AA137" i="7"/>
  <c r="V137" i="7"/>
  <c r="U137" i="7"/>
  <c r="T137" i="7"/>
  <c r="O137" i="7"/>
  <c r="N137" i="7"/>
  <c r="M137" i="7"/>
  <c r="J137" i="7"/>
  <c r="P137" i="7" s="1"/>
  <c r="AH136" i="7"/>
  <c r="AE136" i="7"/>
  <c r="AD136" i="7"/>
  <c r="AC136" i="7"/>
  <c r="V136" i="7"/>
  <c r="U136" i="7"/>
  <c r="T136" i="7"/>
  <c r="N136" i="7"/>
  <c r="M136" i="7"/>
  <c r="J136" i="7"/>
  <c r="P136" i="7" s="1"/>
  <c r="AH135" i="7"/>
  <c r="AE135" i="7"/>
  <c r="AD135" i="7"/>
  <c r="AC135" i="7"/>
  <c r="V135" i="7"/>
  <c r="U135" i="7"/>
  <c r="T135" i="7"/>
  <c r="N135" i="7"/>
  <c r="M135" i="7"/>
  <c r="J135" i="7"/>
  <c r="P135" i="7" s="1"/>
  <c r="AH134" i="7"/>
  <c r="AE134" i="7"/>
  <c r="AD134" i="7"/>
  <c r="AC134" i="7"/>
  <c r="V134" i="7"/>
  <c r="U134" i="7"/>
  <c r="T134" i="7"/>
  <c r="N134" i="7"/>
  <c r="M134" i="7"/>
  <c r="J134" i="7"/>
  <c r="P134" i="7" s="1"/>
  <c r="AH133" i="7"/>
  <c r="AE133" i="7"/>
  <c r="AD133" i="7"/>
  <c r="AC133" i="7"/>
  <c r="V133" i="7"/>
  <c r="U133" i="7"/>
  <c r="T133" i="7"/>
  <c r="O133" i="7"/>
  <c r="N133" i="7"/>
  <c r="M133" i="7"/>
  <c r="J133" i="7"/>
  <c r="P133" i="7" s="1"/>
  <c r="AH132" i="7"/>
  <c r="AE132" i="7"/>
  <c r="AD132" i="7"/>
  <c r="AC132" i="7"/>
  <c r="V132" i="7"/>
  <c r="U132" i="7"/>
  <c r="T132" i="7"/>
  <c r="N132" i="7"/>
  <c r="M132" i="7"/>
  <c r="J132" i="7"/>
  <c r="P132" i="7" s="1"/>
  <c r="AH131" i="7"/>
  <c r="AE131" i="7"/>
  <c r="AD131" i="7"/>
  <c r="AC131" i="7"/>
  <c r="V131" i="7"/>
  <c r="U131" i="7"/>
  <c r="T131" i="7"/>
  <c r="N131" i="7"/>
  <c r="M131" i="7"/>
  <c r="J131" i="7"/>
  <c r="P131" i="7" s="1"/>
  <c r="AH130" i="7"/>
  <c r="AE130" i="7"/>
  <c r="AD130" i="7"/>
  <c r="AC130" i="7"/>
  <c r="V130" i="7"/>
  <c r="U130" i="7"/>
  <c r="T130" i="7"/>
  <c r="N130" i="7"/>
  <c r="M130" i="7"/>
  <c r="J130" i="7"/>
  <c r="AH129" i="7"/>
  <c r="AE129" i="7"/>
  <c r="AD129" i="7"/>
  <c r="AC129" i="7"/>
  <c r="V129" i="7"/>
  <c r="U129" i="7"/>
  <c r="T129" i="7"/>
  <c r="N129" i="7"/>
  <c r="M129" i="7"/>
  <c r="J129" i="7"/>
  <c r="P129" i="7" s="1"/>
  <c r="AH128" i="7"/>
  <c r="AE128" i="7"/>
  <c r="AD128" i="7"/>
  <c r="AC128" i="7"/>
  <c r="V128" i="7"/>
  <c r="U128" i="7"/>
  <c r="T128" i="7"/>
  <c r="N128" i="7"/>
  <c r="M128" i="7"/>
  <c r="J128" i="7"/>
  <c r="AH127" i="7"/>
  <c r="AE127" i="7"/>
  <c r="AD127" i="7"/>
  <c r="AC127" i="7"/>
  <c r="V127" i="7"/>
  <c r="U127" i="7"/>
  <c r="T127" i="7"/>
  <c r="P127" i="7"/>
  <c r="O127" i="7"/>
  <c r="N127" i="7"/>
  <c r="M127" i="7"/>
  <c r="J127" i="7"/>
  <c r="AH126" i="7"/>
  <c r="AE126" i="7"/>
  <c r="AD126" i="7"/>
  <c r="AC126" i="7"/>
  <c r="V126" i="7"/>
  <c r="U126" i="7"/>
  <c r="T126" i="7"/>
  <c r="N126" i="7"/>
  <c r="M126" i="7"/>
  <c r="J126" i="7"/>
  <c r="P126" i="7" s="1"/>
  <c r="AH125" i="7"/>
  <c r="AE125" i="7"/>
  <c r="AD125" i="7"/>
  <c r="AC125" i="7"/>
  <c r="V125" i="7"/>
  <c r="U125" i="7"/>
  <c r="T125" i="7"/>
  <c r="N125" i="7"/>
  <c r="M125" i="7"/>
  <c r="J125" i="7"/>
  <c r="P125" i="7" s="1"/>
  <c r="AH124" i="7"/>
  <c r="AE124" i="7"/>
  <c r="AD124" i="7"/>
  <c r="AC124" i="7"/>
  <c r="V124" i="7"/>
  <c r="U124" i="7"/>
  <c r="T124" i="7"/>
  <c r="N124" i="7"/>
  <c r="M124" i="7"/>
  <c r="J124" i="7"/>
  <c r="P124" i="7" s="1"/>
  <c r="AH123" i="7"/>
  <c r="AE123" i="7"/>
  <c r="AD123" i="7"/>
  <c r="AC123" i="7"/>
  <c r="V123" i="7"/>
  <c r="U123" i="7"/>
  <c r="T123" i="7"/>
  <c r="N123" i="7"/>
  <c r="M123" i="7"/>
  <c r="J123" i="7"/>
  <c r="P123" i="7" s="1"/>
  <c r="AH122" i="7"/>
  <c r="AE122" i="7"/>
  <c r="AD122" i="7"/>
  <c r="AC122" i="7"/>
  <c r="V122" i="7"/>
  <c r="U122" i="7"/>
  <c r="T122" i="7"/>
  <c r="N122" i="7"/>
  <c r="M122" i="7"/>
  <c r="J122" i="7"/>
  <c r="P122" i="7" s="1"/>
  <c r="AH121" i="7"/>
  <c r="AE121" i="7"/>
  <c r="AD121" i="7"/>
  <c r="AC121" i="7"/>
  <c r="V121" i="7"/>
  <c r="U121" i="7"/>
  <c r="T121" i="7"/>
  <c r="O121" i="7"/>
  <c r="N121" i="7"/>
  <c r="M121" i="7"/>
  <c r="J121" i="7"/>
  <c r="P121" i="7" s="1"/>
  <c r="AH120" i="7"/>
  <c r="AE120" i="7"/>
  <c r="AD120" i="7"/>
  <c r="AC120" i="7"/>
  <c r="V120" i="7"/>
  <c r="U120" i="7"/>
  <c r="T120" i="7"/>
  <c r="N120" i="7"/>
  <c r="M120" i="7"/>
  <c r="J120" i="7"/>
  <c r="P120" i="7" s="1"/>
  <c r="AH119" i="7"/>
  <c r="AE119" i="7"/>
  <c r="AD119" i="7"/>
  <c r="AC119" i="7"/>
  <c r="V119" i="7"/>
  <c r="U119" i="7"/>
  <c r="T119" i="7"/>
  <c r="O119" i="7"/>
  <c r="N119" i="7"/>
  <c r="M119" i="7"/>
  <c r="J119" i="7"/>
  <c r="P119" i="7" s="1"/>
  <c r="AH118" i="7"/>
  <c r="AE118" i="7"/>
  <c r="AD118" i="7"/>
  <c r="AC118" i="7"/>
  <c r="V118" i="7"/>
  <c r="U118" i="7"/>
  <c r="T118" i="7"/>
  <c r="P118" i="7"/>
  <c r="O118" i="7"/>
  <c r="N118" i="7"/>
  <c r="M118" i="7"/>
  <c r="J118" i="7"/>
  <c r="AH117" i="7"/>
  <c r="AE117" i="7"/>
  <c r="AD117" i="7"/>
  <c r="AC117" i="7"/>
  <c r="V117" i="7"/>
  <c r="U117" i="7"/>
  <c r="T117" i="7"/>
  <c r="N117" i="7"/>
  <c r="M117" i="7"/>
  <c r="J117" i="7"/>
  <c r="P117" i="7" s="1"/>
  <c r="AH116" i="7"/>
  <c r="AE116" i="7"/>
  <c r="AD116" i="7"/>
  <c r="AC116" i="7"/>
  <c r="V116" i="7"/>
  <c r="U116" i="7"/>
  <c r="T116" i="7"/>
  <c r="N116" i="7"/>
  <c r="M116" i="7"/>
  <c r="J116" i="7"/>
  <c r="P116" i="7" s="1"/>
  <c r="AH115" i="7"/>
  <c r="AE115" i="7"/>
  <c r="AD115" i="7"/>
  <c r="AC115" i="7"/>
  <c r="V115" i="7"/>
  <c r="U115" i="7"/>
  <c r="T115" i="7"/>
  <c r="N115" i="7"/>
  <c r="M115" i="7"/>
  <c r="J115" i="7"/>
  <c r="P115" i="7" s="1"/>
  <c r="AH114" i="7"/>
  <c r="AE114" i="7"/>
  <c r="AD114" i="7"/>
  <c r="AC114" i="7"/>
  <c r="V114" i="7"/>
  <c r="U114" i="7"/>
  <c r="T114" i="7"/>
  <c r="N114" i="7"/>
  <c r="M114" i="7"/>
  <c r="J114" i="7"/>
  <c r="AH113" i="7"/>
  <c r="AE113" i="7"/>
  <c r="AD113" i="7"/>
  <c r="AC113" i="7"/>
  <c r="V113" i="7"/>
  <c r="U113" i="7"/>
  <c r="T113" i="7"/>
  <c r="N113" i="7"/>
  <c r="M113" i="7"/>
  <c r="J113" i="7"/>
  <c r="AH112" i="7"/>
  <c r="AE112" i="7"/>
  <c r="AD112" i="7"/>
  <c r="AC112" i="7"/>
  <c r="V112" i="7"/>
  <c r="U112" i="7"/>
  <c r="T112" i="7"/>
  <c r="N112" i="7"/>
  <c r="M112" i="7"/>
  <c r="J112" i="7"/>
  <c r="AH111" i="7"/>
  <c r="AE111" i="7"/>
  <c r="AD111" i="7"/>
  <c r="AC111" i="7"/>
  <c r="V111" i="7"/>
  <c r="U111" i="7"/>
  <c r="T111" i="7"/>
  <c r="P111" i="7"/>
  <c r="O111" i="7"/>
  <c r="N111" i="7"/>
  <c r="M111" i="7"/>
  <c r="J111" i="7"/>
  <c r="AH110" i="7"/>
  <c r="AE110" i="7"/>
  <c r="AD110" i="7"/>
  <c r="AC110" i="7"/>
  <c r="V110" i="7"/>
  <c r="U110" i="7"/>
  <c r="T110" i="7"/>
  <c r="N110" i="7"/>
  <c r="M110" i="7"/>
  <c r="J110" i="7"/>
  <c r="P110" i="7" s="1"/>
  <c r="AH109" i="7"/>
  <c r="AE109" i="7"/>
  <c r="AD109" i="7"/>
  <c r="AC109" i="7"/>
  <c r="V109" i="7"/>
  <c r="U109" i="7"/>
  <c r="T109" i="7"/>
  <c r="N109" i="7"/>
  <c r="M109" i="7"/>
  <c r="J109" i="7"/>
  <c r="P109" i="7" s="1"/>
  <c r="AH108" i="7"/>
  <c r="AE108" i="7"/>
  <c r="AD108" i="7"/>
  <c r="AC108" i="7"/>
  <c r="V108" i="7"/>
  <c r="U108" i="7"/>
  <c r="T108" i="7"/>
  <c r="O108" i="7"/>
  <c r="N108" i="7"/>
  <c r="M108" i="7"/>
  <c r="J108" i="7"/>
  <c r="P108" i="7" s="1"/>
  <c r="AH107" i="7"/>
  <c r="AE107" i="7"/>
  <c r="AD107" i="7"/>
  <c r="AC107" i="7"/>
  <c r="V107" i="7"/>
  <c r="U107" i="7"/>
  <c r="T107" i="7"/>
  <c r="N107" i="7"/>
  <c r="M107" i="7"/>
  <c r="J107" i="7"/>
  <c r="P107" i="7" s="1"/>
  <c r="AH106" i="7"/>
  <c r="AE106" i="7"/>
  <c r="AD106" i="7"/>
  <c r="AC106" i="7"/>
  <c r="V106" i="7"/>
  <c r="U106" i="7"/>
  <c r="T106" i="7"/>
  <c r="N106" i="7"/>
  <c r="M106" i="7"/>
  <c r="J106" i="7"/>
  <c r="P106" i="7" s="1"/>
  <c r="AH105" i="7"/>
  <c r="AE105" i="7"/>
  <c r="AD105" i="7"/>
  <c r="AC105" i="7"/>
  <c r="V105" i="7"/>
  <c r="U105" i="7"/>
  <c r="T105" i="7"/>
  <c r="O105" i="7"/>
  <c r="N105" i="7"/>
  <c r="M105" i="7"/>
  <c r="J105" i="7"/>
  <c r="P105" i="7" s="1"/>
  <c r="AH104" i="7"/>
  <c r="AE104" i="7"/>
  <c r="AD104" i="7"/>
  <c r="AC104" i="7"/>
  <c r="V104" i="7"/>
  <c r="U104" i="7"/>
  <c r="T104" i="7"/>
  <c r="O104" i="7"/>
  <c r="N104" i="7"/>
  <c r="M104" i="7"/>
  <c r="J104" i="7"/>
  <c r="P104" i="7" s="1"/>
  <c r="AH103" i="7"/>
  <c r="AE103" i="7"/>
  <c r="AD103" i="7"/>
  <c r="AC103" i="7"/>
  <c r="V103" i="7"/>
  <c r="U103" i="7"/>
  <c r="T103" i="7"/>
  <c r="P103" i="7"/>
  <c r="N103" i="7"/>
  <c r="M103" i="7"/>
  <c r="J103" i="7"/>
  <c r="O103" i="7" s="1"/>
  <c r="AH102" i="7"/>
  <c r="AE102" i="7"/>
  <c r="AD102" i="7"/>
  <c r="AC102" i="7"/>
  <c r="V102" i="7"/>
  <c r="U102" i="7"/>
  <c r="T102" i="7"/>
  <c r="P102" i="7"/>
  <c r="N102" i="7"/>
  <c r="M102" i="7"/>
  <c r="J102" i="7"/>
  <c r="O102" i="7" s="1"/>
  <c r="AH101" i="7"/>
  <c r="AE101" i="7"/>
  <c r="AD101" i="7"/>
  <c r="AC101" i="7"/>
  <c r="V101" i="7"/>
  <c r="U101" i="7"/>
  <c r="T101" i="7"/>
  <c r="N101" i="7"/>
  <c r="M101" i="7"/>
  <c r="J101" i="7"/>
  <c r="O101" i="7" s="1"/>
  <c r="AH100" i="7"/>
  <c r="AE100" i="7"/>
  <c r="AD100" i="7"/>
  <c r="AC100" i="7"/>
  <c r="V100" i="7"/>
  <c r="U100" i="7"/>
  <c r="T100" i="7"/>
  <c r="N100" i="7"/>
  <c r="M100" i="7"/>
  <c r="J100" i="7"/>
  <c r="P100" i="7" s="1"/>
  <c r="AH99" i="7"/>
  <c r="AE99" i="7"/>
  <c r="AD99" i="7"/>
  <c r="AC99" i="7"/>
  <c r="V99" i="7"/>
  <c r="U99" i="7"/>
  <c r="T99" i="7"/>
  <c r="O99" i="7"/>
  <c r="N99" i="7"/>
  <c r="M99" i="7"/>
  <c r="J99" i="7"/>
  <c r="P99" i="7" s="1"/>
  <c r="AH98" i="7"/>
  <c r="AE98" i="7"/>
  <c r="AD98" i="7"/>
  <c r="AC98" i="7"/>
  <c r="V98" i="7"/>
  <c r="U98" i="7"/>
  <c r="T98" i="7"/>
  <c r="N98" i="7"/>
  <c r="M98" i="7"/>
  <c r="J98" i="7"/>
  <c r="AH97" i="7"/>
  <c r="AE97" i="7"/>
  <c r="AD97" i="7"/>
  <c r="AC97" i="7"/>
  <c r="V97" i="7"/>
  <c r="U97" i="7"/>
  <c r="T97" i="7"/>
  <c r="N97" i="7"/>
  <c r="M97" i="7"/>
  <c r="J97" i="7"/>
  <c r="AH96" i="7"/>
  <c r="AE96" i="7"/>
  <c r="AD96" i="7"/>
  <c r="AC96" i="7"/>
  <c r="V96" i="7"/>
  <c r="U96" i="7"/>
  <c r="T96" i="7"/>
  <c r="N96" i="7"/>
  <c r="M96" i="7"/>
  <c r="J96" i="7"/>
  <c r="AH95" i="7"/>
  <c r="AE95" i="7"/>
  <c r="AD95" i="7"/>
  <c r="AC95" i="7"/>
  <c r="V95" i="7"/>
  <c r="U95" i="7"/>
  <c r="T95" i="7"/>
  <c r="N95" i="7"/>
  <c r="M95" i="7"/>
  <c r="J95" i="7"/>
  <c r="P95" i="7" s="1"/>
  <c r="AH94" i="7"/>
  <c r="AE94" i="7"/>
  <c r="AD94" i="7"/>
  <c r="AC94" i="7"/>
  <c r="V94" i="7"/>
  <c r="U94" i="7"/>
  <c r="T94" i="7"/>
  <c r="N94" i="7"/>
  <c r="M94" i="7"/>
  <c r="J94" i="7"/>
  <c r="P94" i="7" s="1"/>
  <c r="AH93" i="7"/>
  <c r="AE93" i="7"/>
  <c r="AD93" i="7"/>
  <c r="AC93" i="7"/>
  <c r="V93" i="7"/>
  <c r="U93" i="7"/>
  <c r="T93" i="7"/>
  <c r="P93" i="7"/>
  <c r="O93" i="7"/>
  <c r="N93" i="7"/>
  <c r="M93" i="7"/>
  <c r="J93" i="7"/>
  <c r="AH92" i="7"/>
  <c r="AE92" i="7"/>
  <c r="AD92" i="7"/>
  <c r="AC92" i="7"/>
  <c r="V92" i="7"/>
  <c r="U92" i="7"/>
  <c r="T92" i="7"/>
  <c r="O92" i="7"/>
  <c r="N92" i="7"/>
  <c r="M92" i="7"/>
  <c r="J92" i="7"/>
  <c r="P92" i="7" s="1"/>
  <c r="AH91" i="7"/>
  <c r="AE91" i="7"/>
  <c r="AD91" i="7"/>
  <c r="AC91" i="7"/>
  <c r="V91" i="7"/>
  <c r="U91" i="7"/>
  <c r="T91" i="7"/>
  <c r="N91" i="7"/>
  <c r="M91" i="7"/>
  <c r="J91" i="7"/>
  <c r="P91" i="7" s="1"/>
  <c r="AH90" i="7"/>
  <c r="AE90" i="7"/>
  <c r="AD90" i="7"/>
  <c r="AC90" i="7"/>
  <c r="V90" i="7"/>
  <c r="U90" i="7"/>
  <c r="T90" i="7"/>
  <c r="N90" i="7"/>
  <c r="M90" i="7"/>
  <c r="J90" i="7"/>
  <c r="AH89" i="7"/>
  <c r="AE89" i="7"/>
  <c r="AD89" i="7"/>
  <c r="AC89" i="7"/>
  <c r="V89" i="7"/>
  <c r="U89" i="7"/>
  <c r="T89" i="7"/>
  <c r="O89" i="7"/>
  <c r="N89" i="7"/>
  <c r="M89" i="7"/>
  <c r="J89" i="7"/>
  <c r="P89" i="7" s="1"/>
  <c r="AH88" i="7"/>
  <c r="AE88" i="7"/>
  <c r="AD88" i="7"/>
  <c r="AC88" i="7"/>
  <c r="V88" i="7"/>
  <c r="U88" i="7"/>
  <c r="T88" i="7"/>
  <c r="N88" i="7"/>
  <c r="M88" i="7"/>
  <c r="J88" i="7"/>
  <c r="P88" i="7" s="1"/>
  <c r="AH87" i="7"/>
  <c r="AE87" i="7"/>
  <c r="AD87" i="7"/>
  <c r="AC87" i="7"/>
  <c r="V87" i="7"/>
  <c r="U87" i="7"/>
  <c r="T87" i="7"/>
  <c r="O87" i="7"/>
  <c r="N87" i="7"/>
  <c r="M87" i="7"/>
  <c r="J87" i="7"/>
  <c r="P87" i="7" s="1"/>
  <c r="AH86" i="7"/>
  <c r="AE86" i="7"/>
  <c r="AD86" i="7"/>
  <c r="AC86" i="7"/>
  <c r="V86" i="7"/>
  <c r="U86" i="7"/>
  <c r="T86" i="7"/>
  <c r="P86" i="7"/>
  <c r="O86" i="7"/>
  <c r="N86" i="7"/>
  <c r="M86" i="7"/>
  <c r="J86" i="7"/>
  <c r="AH85" i="7"/>
  <c r="AE85" i="7"/>
  <c r="AD85" i="7"/>
  <c r="AC85" i="7"/>
  <c r="V85" i="7"/>
  <c r="U85" i="7"/>
  <c r="T85" i="7"/>
  <c r="P85" i="7"/>
  <c r="N85" i="7"/>
  <c r="M85" i="7"/>
  <c r="J85" i="7"/>
  <c r="O85" i="7" s="1"/>
  <c r="AH84" i="7"/>
  <c r="AE84" i="7"/>
  <c r="AD84" i="7"/>
  <c r="AC84" i="7"/>
  <c r="V84" i="7"/>
  <c r="U84" i="7"/>
  <c r="T84" i="7"/>
  <c r="N84" i="7"/>
  <c r="M84" i="7"/>
  <c r="J84" i="7"/>
  <c r="P84" i="7" s="1"/>
  <c r="AH83" i="7"/>
  <c r="AE83" i="7"/>
  <c r="AD83" i="7"/>
  <c r="AC83" i="7"/>
  <c r="V83" i="7"/>
  <c r="U83" i="7"/>
  <c r="T83" i="7"/>
  <c r="O83" i="7"/>
  <c r="N83" i="7"/>
  <c r="M83" i="7"/>
  <c r="J83" i="7"/>
  <c r="P83" i="7" s="1"/>
  <c r="AH82" i="7"/>
  <c r="AE82" i="7"/>
  <c r="AD82" i="7"/>
  <c r="AC82" i="7"/>
  <c r="V82" i="7"/>
  <c r="U82" i="7"/>
  <c r="T82" i="7"/>
  <c r="N82" i="7"/>
  <c r="M82" i="7"/>
  <c r="J82" i="7"/>
  <c r="AH81" i="7"/>
  <c r="AE81" i="7"/>
  <c r="AD81" i="7"/>
  <c r="AC81" i="7"/>
  <c r="V81" i="7"/>
  <c r="U81" i="7"/>
  <c r="T81" i="7"/>
  <c r="N81" i="7"/>
  <c r="M81" i="7"/>
  <c r="J81" i="7"/>
  <c r="AH80" i="7"/>
  <c r="AE80" i="7"/>
  <c r="AD80" i="7"/>
  <c r="AC80" i="7"/>
  <c r="V80" i="7"/>
  <c r="U80" i="7"/>
  <c r="T80" i="7"/>
  <c r="N80" i="7"/>
  <c r="M80" i="7"/>
  <c r="J80" i="7"/>
  <c r="O80" i="7" s="1"/>
  <c r="AH79" i="7"/>
  <c r="AE79" i="7"/>
  <c r="AD79" i="7"/>
  <c r="AC79" i="7"/>
  <c r="V79" i="7"/>
  <c r="U79" i="7"/>
  <c r="T79" i="7"/>
  <c r="O79" i="7"/>
  <c r="N79" i="7"/>
  <c r="M79" i="7"/>
  <c r="J79" i="7"/>
  <c r="P79" i="7" s="1"/>
  <c r="AH78" i="7"/>
  <c r="AE78" i="7"/>
  <c r="AD78" i="7"/>
  <c r="AC78" i="7"/>
  <c r="V78" i="7"/>
  <c r="U78" i="7"/>
  <c r="T78" i="7"/>
  <c r="P78" i="7"/>
  <c r="N78" i="7"/>
  <c r="M78" i="7"/>
  <c r="J78" i="7"/>
  <c r="O78" i="7" s="1"/>
  <c r="AH77" i="7"/>
  <c r="AE77" i="7"/>
  <c r="AD77" i="7"/>
  <c r="AC77" i="7"/>
  <c r="V77" i="7"/>
  <c r="U77" i="7"/>
  <c r="T77" i="7"/>
  <c r="O77" i="7"/>
  <c r="N77" i="7"/>
  <c r="M77" i="7"/>
  <c r="J77" i="7"/>
  <c r="P77" i="7" s="1"/>
  <c r="AH76" i="7"/>
  <c r="AE76" i="7"/>
  <c r="AD76" i="7"/>
  <c r="AC76" i="7"/>
  <c r="V76" i="7"/>
  <c r="U76" i="7"/>
  <c r="T76" i="7"/>
  <c r="O76" i="7"/>
  <c r="N76" i="7"/>
  <c r="M76" i="7"/>
  <c r="J76" i="7"/>
  <c r="P76" i="7" s="1"/>
  <c r="AH75" i="7"/>
  <c r="AE75" i="7"/>
  <c r="AD75" i="7"/>
  <c r="AC75" i="7"/>
  <c r="V75" i="7"/>
  <c r="U75" i="7"/>
  <c r="T75" i="7"/>
  <c r="N75" i="7"/>
  <c r="M75" i="7"/>
  <c r="J75" i="7"/>
  <c r="P75" i="7" s="1"/>
  <c r="AH74" i="7"/>
  <c r="AE74" i="7"/>
  <c r="AD74" i="7"/>
  <c r="AC74" i="7"/>
  <c r="V74" i="7"/>
  <c r="U74" i="7"/>
  <c r="T74" i="7"/>
  <c r="N74" i="7"/>
  <c r="M74" i="7"/>
  <c r="J74" i="7"/>
  <c r="AH73" i="7"/>
  <c r="AE73" i="7"/>
  <c r="AD73" i="7"/>
  <c r="AC73" i="7"/>
  <c r="V73" i="7"/>
  <c r="U73" i="7"/>
  <c r="T73" i="7"/>
  <c r="O73" i="7"/>
  <c r="N73" i="7"/>
  <c r="M73" i="7"/>
  <c r="J73" i="7"/>
  <c r="P73" i="7" s="1"/>
  <c r="AH72" i="7"/>
  <c r="AE72" i="7"/>
  <c r="AD72" i="7"/>
  <c r="AC72" i="7"/>
  <c r="V72" i="7"/>
  <c r="U72" i="7"/>
  <c r="T72" i="7"/>
  <c r="O72" i="7"/>
  <c r="N72" i="7"/>
  <c r="M72" i="7"/>
  <c r="J72" i="7"/>
  <c r="P72" i="7" s="1"/>
  <c r="AH71" i="7"/>
  <c r="AE71" i="7"/>
  <c r="AD71" i="7"/>
  <c r="AC71" i="7"/>
  <c r="V71" i="7"/>
  <c r="U71" i="7"/>
  <c r="T71" i="7"/>
  <c r="P71" i="7"/>
  <c r="O71" i="7"/>
  <c r="N71" i="7"/>
  <c r="M71" i="7"/>
  <c r="J71" i="7"/>
  <c r="AH70" i="7"/>
  <c r="AE70" i="7"/>
  <c r="AD70" i="7"/>
  <c r="AC70" i="7"/>
  <c r="V70" i="7"/>
  <c r="U70" i="7"/>
  <c r="T70" i="7"/>
  <c r="P70" i="7"/>
  <c r="O70" i="7"/>
  <c r="N70" i="7"/>
  <c r="M70" i="7"/>
  <c r="J70" i="7"/>
  <c r="AH69" i="7"/>
  <c r="AE69" i="7"/>
  <c r="AD69" i="7"/>
  <c r="AC69" i="7"/>
  <c r="V69" i="7"/>
  <c r="U69" i="7"/>
  <c r="T69" i="7"/>
  <c r="N69" i="7"/>
  <c r="M69" i="7"/>
  <c r="J69" i="7"/>
  <c r="O69" i="7" s="1"/>
  <c r="AH68" i="7"/>
  <c r="AE68" i="7"/>
  <c r="AD68" i="7"/>
  <c r="AC68" i="7"/>
  <c r="V68" i="7"/>
  <c r="U68" i="7"/>
  <c r="T68" i="7"/>
  <c r="N68" i="7"/>
  <c r="M68" i="7"/>
  <c r="J68" i="7"/>
  <c r="P68" i="7" s="1"/>
  <c r="AH67" i="7"/>
  <c r="AE67" i="7"/>
  <c r="AD67" i="7"/>
  <c r="AC67" i="7"/>
  <c r="AB67" i="7"/>
  <c r="V67" i="7"/>
  <c r="U67" i="7"/>
  <c r="T67" i="7"/>
  <c r="O67" i="7"/>
  <c r="N67" i="7"/>
  <c r="M67" i="7"/>
  <c r="J67" i="7"/>
  <c r="P67" i="7" s="1"/>
  <c r="AH66" i="7"/>
  <c r="AE66" i="7"/>
  <c r="AD66" i="7"/>
  <c r="AC66" i="7"/>
  <c r="AB66" i="7"/>
  <c r="V66" i="7"/>
  <c r="U66" i="7"/>
  <c r="T66" i="7"/>
  <c r="N66" i="7"/>
  <c r="M66" i="7"/>
  <c r="J66" i="7"/>
  <c r="AH65" i="7"/>
  <c r="AE65" i="7"/>
  <c r="AD65" i="7"/>
  <c r="AC65" i="7"/>
  <c r="Z65" i="7"/>
  <c r="V65" i="7"/>
  <c r="U65" i="7"/>
  <c r="T65" i="7"/>
  <c r="N65" i="7"/>
  <c r="M65" i="7"/>
  <c r="J65" i="7"/>
  <c r="AH64" i="7"/>
  <c r="AE64" i="7"/>
  <c r="AD64" i="7"/>
  <c r="AC64" i="7"/>
  <c r="V64" i="7"/>
  <c r="U64" i="7"/>
  <c r="T64" i="7"/>
  <c r="P64" i="7"/>
  <c r="N64" i="7"/>
  <c r="M64" i="7"/>
  <c r="J64" i="7"/>
  <c r="O64" i="7" s="1"/>
  <c r="AH63" i="7"/>
  <c r="AE63" i="7"/>
  <c r="AD63" i="7"/>
  <c r="AC63" i="7"/>
  <c r="V63" i="7"/>
  <c r="U63" i="7"/>
  <c r="T63" i="7"/>
  <c r="O63" i="7"/>
  <c r="N63" i="7"/>
  <c r="M63" i="7"/>
  <c r="J63" i="7"/>
  <c r="P63" i="7" s="1"/>
  <c r="AH62" i="7"/>
  <c r="AE62" i="7"/>
  <c r="AD62" i="7"/>
  <c r="AC62" i="7"/>
  <c r="V62" i="7"/>
  <c r="U62" i="7"/>
  <c r="T62" i="7"/>
  <c r="N62" i="7"/>
  <c r="M62" i="7"/>
  <c r="J62" i="7"/>
  <c r="P62" i="7" s="1"/>
  <c r="AH61" i="7"/>
  <c r="AE61" i="7"/>
  <c r="AD61" i="7"/>
  <c r="AC61" i="7"/>
  <c r="V61" i="7"/>
  <c r="U61" i="7"/>
  <c r="T61" i="7"/>
  <c r="O61" i="7"/>
  <c r="N61" i="7"/>
  <c r="M61" i="7"/>
  <c r="J61" i="7"/>
  <c r="P61" i="7" s="1"/>
  <c r="AH60" i="7"/>
  <c r="AE60" i="7"/>
  <c r="AD60" i="7"/>
  <c r="AC60" i="7"/>
  <c r="V60" i="7"/>
  <c r="U60" i="7"/>
  <c r="T60" i="7"/>
  <c r="O60" i="7"/>
  <c r="N60" i="7"/>
  <c r="M60" i="7"/>
  <c r="J60" i="7"/>
  <c r="P60" i="7" s="1"/>
  <c r="AH59" i="7"/>
  <c r="AE59" i="7"/>
  <c r="AD59" i="7"/>
  <c r="AC59" i="7"/>
  <c r="V59" i="7"/>
  <c r="U59" i="7"/>
  <c r="T59" i="7"/>
  <c r="N59" i="7"/>
  <c r="M59" i="7"/>
  <c r="J59" i="7"/>
  <c r="P59" i="7" s="1"/>
  <c r="AH58" i="7"/>
  <c r="AE58" i="7"/>
  <c r="AD58" i="7"/>
  <c r="AC58" i="7"/>
  <c r="V58" i="7"/>
  <c r="U58" i="7"/>
  <c r="T58" i="7"/>
  <c r="N58" i="7"/>
  <c r="M58" i="7"/>
  <c r="J58" i="7"/>
  <c r="AH57" i="7"/>
  <c r="AE57" i="7"/>
  <c r="AD57" i="7"/>
  <c r="AC57" i="7"/>
  <c r="AA57" i="7"/>
  <c r="V57" i="7"/>
  <c r="U57" i="7"/>
  <c r="T57" i="7"/>
  <c r="O57" i="7"/>
  <c r="N57" i="7"/>
  <c r="M57" i="7"/>
  <c r="J57" i="7"/>
  <c r="P57" i="7" s="1"/>
  <c r="AH56" i="7"/>
  <c r="AE56" i="7"/>
  <c r="AD56" i="7"/>
  <c r="AC56" i="7"/>
  <c r="AA56" i="7"/>
  <c r="V56" i="7"/>
  <c r="U56" i="7"/>
  <c r="T56" i="7"/>
  <c r="P56" i="7"/>
  <c r="O56" i="7"/>
  <c r="N56" i="7"/>
  <c r="M56" i="7"/>
  <c r="J56" i="7"/>
  <c r="AH55" i="7"/>
  <c r="AE55" i="7"/>
  <c r="AD55" i="7"/>
  <c r="AC55" i="7"/>
  <c r="V55" i="7"/>
  <c r="U55" i="7"/>
  <c r="T55" i="7"/>
  <c r="N55" i="7"/>
  <c r="M55" i="7"/>
  <c r="J55" i="7"/>
  <c r="P55" i="7" s="1"/>
  <c r="AH54" i="7"/>
  <c r="AE54" i="7"/>
  <c r="AD54" i="7"/>
  <c r="AC54" i="7"/>
  <c r="V54" i="7"/>
  <c r="U54" i="7"/>
  <c r="T54" i="7"/>
  <c r="O54" i="7"/>
  <c r="N54" i="7"/>
  <c r="M54" i="7"/>
  <c r="J54" i="7"/>
  <c r="P54" i="7" s="1"/>
  <c r="AH53" i="7"/>
  <c r="AE53" i="7"/>
  <c r="AD53" i="7"/>
  <c r="AC53" i="7"/>
  <c r="V53" i="7"/>
  <c r="U53" i="7"/>
  <c r="T53" i="7"/>
  <c r="P53" i="7"/>
  <c r="N53" i="7"/>
  <c r="M53" i="7"/>
  <c r="J53" i="7"/>
  <c r="O53" i="7" s="1"/>
  <c r="AH52" i="7"/>
  <c r="AE52" i="7"/>
  <c r="AD52" i="7"/>
  <c r="AC52" i="7"/>
  <c r="V52" i="7"/>
  <c r="U52" i="7"/>
  <c r="T52" i="7"/>
  <c r="N52" i="7"/>
  <c r="M52" i="7"/>
  <c r="J52" i="7"/>
  <c r="P52" i="7" s="1"/>
  <c r="AH51" i="7"/>
  <c r="AE51" i="7"/>
  <c r="AD51" i="7"/>
  <c r="AC51" i="7"/>
  <c r="V51" i="7"/>
  <c r="U51" i="7"/>
  <c r="T51" i="7"/>
  <c r="P51" i="7"/>
  <c r="N51" i="7"/>
  <c r="M51" i="7"/>
  <c r="J51" i="7"/>
  <c r="O51" i="7" s="1"/>
  <c r="AH50" i="7"/>
  <c r="AE50" i="7"/>
  <c r="AD50" i="7"/>
  <c r="AC50" i="7"/>
  <c r="V50" i="7"/>
  <c r="U50" i="7"/>
  <c r="T50" i="7"/>
  <c r="N50" i="7"/>
  <c r="M50" i="7"/>
  <c r="J50" i="7"/>
  <c r="O50" i="7" s="1"/>
  <c r="AH49" i="7"/>
  <c r="AE49" i="7"/>
  <c r="AD49" i="7"/>
  <c r="AC49" i="7"/>
  <c r="V49" i="7"/>
  <c r="U49" i="7"/>
  <c r="T49" i="7"/>
  <c r="N49" i="7"/>
  <c r="M49" i="7"/>
  <c r="J49" i="7"/>
  <c r="O49" i="7" s="1"/>
  <c r="AH48" i="7"/>
  <c r="AE48" i="7"/>
  <c r="AD48" i="7"/>
  <c r="AC48" i="7"/>
  <c r="V48" i="7"/>
  <c r="U48" i="7"/>
  <c r="T48" i="7"/>
  <c r="N48" i="7"/>
  <c r="M48" i="7"/>
  <c r="J48" i="7"/>
  <c r="O48" i="7" s="1"/>
  <c r="AH47" i="7"/>
  <c r="AE47" i="7"/>
  <c r="AD47" i="7"/>
  <c r="AC47" i="7"/>
  <c r="V47" i="7"/>
  <c r="U47" i="7"/>
  <c r="T47" i="7"/>
  <c r="N47" i="7"/>
  <c r="M47" i="7"/>
  <c r="J47" i="7"/>
  <c r="P47" i="7" s="1"/>
  <c r="AH46" i="7"/>
  <c r="AE46" i="7"/>
  <c r="AD46" i="7"/>
  <c r="AC46" i="7"/>
  <c r="V46" i="7"/>
  <c r="U46" i="7"/>
  <c r="T46" i="7"/>
  <c r="O46" i="7"/>
  <c r="N46" i="7"/>
  <c r="M46" i="7"/>
  <c r="J46" i="7"/>
  <c r="P46" i="7" s="1"/>
  <c r="AH45" i="7"/>
  <c r="AE45" i="7"/>
  <c r="AD45" i="7"/>
  <c r="AC45" i="7"/>
  <c r="V45" i="7"/>
  <c r="U45" i="7"/>
  <c r="T45" i="7"/>
  <c r="P45" i="7"/>
  <c r="N45" i="7"/>
  <c r="M45" i="7"/>
  <c r="J45" i="7"/>
  <c r="O45" i="7" s="1"/>
  <c r="AH44" i="7"/>
  <c r="AE44" i="7"/>
  <c r="AD44" i="7"/>
  <c r="AC44" i="7"/>
  <c r="V44" i="7"/>
  <c r="U44" i="7"/>
  <c r="T44" i="7"/>
  <c r="O44" i="7"/>
  <c r="N44" i="7"/>
  <c r="M44" i="7"/>
  <c r="J44" i="7"/>
  <c r="P44" i="7" s="1"/>
  <c r="AH43" i="7"/>
  <c r="AE43" i="7"/>
  <c r="AD43" i="7"/>
  <c r="AC43" i="7"/>
  <c r="AA43" i="7"/>
  <c r="V43" i="7"/>
  <c r="U43" i="7"/>
  <c r="T43" i="7"/>
  <c r="N43" i="7"/>
  <c r="M43" i="7"/>
  <c r="J43" i="7"/>
  <c r="O43" i="7" s="1"/>
  <c r="AH42" i="7"/>
  <c r="AE42" i="7"/>
  <c r="AD42" i="7"/>
  <c r="AC42" i="7"/>
  <c r="V42" i="7"/>
  <c r="U42" i="7"/>
  <c r="T42" i="7"/>
  <c r="P42" i="7"/>
  <c r="N42" i="7"/>
  <c r="M42" i="7"/>
  <c r="J42" i="7"/>
  <c r="O42" i="7" s="1"/>
  <c r="AH41" i="7"/>
  <c r="AE41" i="7"/>
  <c r="AD41" i="7"/>
  <c r="AC41" i="7"/>
  <c r="V41" i="7"/>
  <c r="U41" i="7"/>
  <c r="T41" i="7"/>
  <c r="N41" i="7"/>
  <c r="M41" i="7"/>
  <c r="J41" i="7"/>
  <c r="P41" i="7" s="1"/>
  <c r="AH40" i="7"/>
  <c r="AE40" i="7"/>
  <c r="AD40" i="7"/>
  <c r="AC40" i="7"/>
  <c r="V40" i="7"/>
  <c r="U40" i="7"/>
  <c r="T40" i="7"/>
  <c r="O40" i="7"/>
  <c r="N40" i="7"/>
  <c r="M40" i="7"/>
  <c r="J40" i="7"/>
  <c r="P40" i="7" s="1"/>
  <c r="AH39" i="7"/>
  <c r="AE39" i="7"/>
  <c r="AD39" i="7"/>
  <c r="AC39" i="7"/>
  <c r="AB39" i="7"/>
  <c r="V39" i="7"/>
  <c r="U39" i="7"/>
  <c r="T39" i="7"/>
  <c r="N39" i="7"/>
  <c r="M39" i="7"/>
  <c r="J39" i="7"/>
  <c r="P39" i="7" s="1"/>
  <c r="AH38" i="7"/>
  <c r="AE38" i="7"/>
  <c r="AD38" i="7"/>
  <c r="AC38" i="7"/>
  <c r="V38" i="7"/>
  <c r="U38" i="7"/>
  <c r="T38" i="7"/>
  <c r="O38" i="7"/>
  <c r="N38" i="7"/>
  <c r="M38" i="7"/>
  <c r="J38" i="7"/>
  <c r="P38" i="7" s="1"/>
  <c r="AH37" i="7"/>
  <c r="AE37" i="7"/>
  <c r="AD37" i="7"/>
  <c r="AC37" i="7"/>
  <c r="V37" i="7"/>
  <c r="U37" i="7"/>
  <c r="T37" i="7"/>
  <c r="N37" i="7"/>
  <c r="M37" i="7"/>
  <c r="J37" i="7"/>
  <c r="P37" i="7" s="1"/>
  <c r="AH36" i="7"/>
  <c r="AE36" i="7"/>
  <c r="AD36" i="7"/>
  <c r="AC36" i="7"/>
  <c r="V36" i="7"/>
  <c r="U36" i="7"/>
  <c r="T36" i="7"/>
  <c r="N36" i="7"/>
  <c r="M36" i="7"/>
  <c r="J36" i="7"/>
  <c r="P36" i="7" s="1"/>
  <c r="AH35" i="7"/>
  <c r="AE35" i="7"/>
  <c r="AD35" i="7"/>
  <c r="AC35" i="7"/>
  <c r="V35" i="7"/>
  <c r="U35" i="7"/>
  <c r="T35" i="7"/>
  <c r="N35" i="7"/>
  <c r="M35" i="7"/>
  <c r="J35" i="7"/>
  <c r="P35" i="7" s="1"/>
  <c r="AH34" i="7"/>
  <c r="AE34" i="7"/>
  <c r="AD34" i="7"/>
  <c r="AC34" i="7"/>
  <c r="V34" i="7"/>
  <c r="U34" i="7"/>
  <c r="T34" i="7"/>
  <c r="O34" i="7"/>
  <c r="N34" i="7"/>
  <c r="M34" i="7"/>
  <c r="J34" i="7"/>
  <c r="P34" i="7" s="1"/>
  <c r="AH33" i="7"/>
  <c r="AE33" i="7"/>
  <c r="AD33" i="7"/>
  <c r="AC33" i="7"/>
  <c r="AB33" i="7"/>
  <c r="V33" i="7"/>
  <c r="U33" i="7"/>
  <c r="T33" i="7"/>
  <c r="P33" i="7"/>
  <c r="N33" i="7"/>
  <c r="M33" i="7"/>
  <c r="L33" i="7"/>
  <c r="J33" i="7"/>
  <c r="O33" i="7" s="1"/>
  <c r="AH32" i="7"/>
  <c r="AE32" i="7"/>
  <c r="AD32" i="7"/>
  <c r="AC32" i="7"/>
  <c r="V32" i="7"/>
  <c r="U32" i="7"/>
  <c r="T32" i="7"/>
  <c r="O32" i="7"/>
  <c r="N32" i="7"/>
  <c r="M32" i="7"/>
  <c r="J32" i="7"/>
  <c r="P32" i="7" s="1"/>
  <c r="AH31" i="7"/>
  <c r="AE31" i="7"/>
  <c r="AD31" i="7"/>
  <c r="AC31" i="7"/>
  <c r="Z31" i="7"/>
  <c r="V31" i="7"/>
  <c r="U31" i="7"/>
  <c r="T31" i="7"/>
  <c r="N31" i="7"/>
  <c r="M31" i="7"/>
  <c r="J31" i="7"/>
  <c r="P31" i="7" s="1"/>
  <c r="AH30" i="7"/>
  <c r="AE30" i="7"/>
  <c r="AD30" i="7"/>
  <c r="AC30" i="7"/>
  <c r="V30" i="7"/>
  <c r="U30" i="7"/>
  <c r="T30" i="7"/>
  <c r="P30" i="7"/>
  <c r="N30" i="7"/>
  <c r="M30" i="7"/>
  <c r="J30" i="7"/>
  <c r="O30" i="7" s="1"/>
  <c r="AH29" i="7"/>
  <c r="AE29" i="7"/>
  <c r="AD29" i="7"/>
  <c r="AC29" i="7"/>
  <c r="V29" i="7"/>
  <c r="U29" i="7"/>
  <c r="T29" i="7"/>
  <c r="N29" i="7"/>
  <c r="M29" i="7"/>
  <c r="J29" i="7"/>
  <c r="P29" i="7" s="1"/>
  <c r="AH28" i="7"/>
  <c r="AE28" i="7"/>
  <c r="AD28" i="7"/>
  <c r="AC28" i="7"/>
  <c r="V28" i="7"/>
  <c r="U28" i="7"/>
  <c r="T28" i="7"/>
  <c r="N28" i="7"/>
  <c r="M28" i="7"/>
  <c r="J28" i="7"/>
  <c r="P28" i="7" s="1"/>
  <c r="AH27" i="7"/>
  <c r="AE27" i="7"/>
  <c r="AD27" i="7"/>
  <c r="AC27" i="7"/>
  <c r="V27" i="7"/>
  <c r="U27" i="7"/>
  <c r="T27" i="7"/>
  <c r="N27" i="7"/>
  <c r="M27" i="7"/>
  <c r="J27" i="7"/>
  <c r="P27" i="7" s="1"/>
  <c r="AH26" i="7"/>
  <c r="AE26" i="7"/>
  <c r="AD26" i="7"/>
  <c r="AC26" i="7"/>
  <c r="V26" i="7"/>
  <c r="U26" i="7"/>
  <c r="T26" i="7"/>
  <c r="N26" i="7"/>
  <c r="M26" i="7"/>
  <c r="J26" i="7"/>
  <c r="P26" i="7" s="1"/>
  <c r="AH25" i="7"/>
  <c r="AE25" i="7"/>
  <c r="AD25" i="7"/>
  <c r="AC25" i="7"/>
  <c r="V25" i="7"/>
  <c r="U25" i="7"/>
  <c r="T25" i="7"/>
  <c r="O25" i="7"/>
  <c r="N25" i="7"/>
  <c r="M25" i="7"/>
  <c r="J25" i="7"/>
  <c r="P25" i="7" s="1"/>
  <c r="AH24" i="7"/>
  <c r="AE24" i="7"/>
  <c r="AD24" i="7"/>
  <c r="AC24" i="7"/>
  <c r="AA24" i="7"/>
  <c r="V24" i="7"/>
  <c r="U24" i="7"/>
  <c r="T24" i="7"/>
  <c r="P24" i="7"/>
  <c r="O24" i="7"/>
  <c r="N24" i="7"/>
  <c r="M24" i="7"/>
  <c r="J24" i="7"/>
  <c r="AH23" i="7"/>
  <c r="AE23" i="7"/>
  <c r="AD23" i="7"/>
  <c r="AC23" i="7"/>
  <c r="V23" i="7"/>
  <c r="U23" i="7"/>
  <c r="T23" i="7"/>
  <c r="N23" i="7"/>
  <c r="M23" i="7"/>
  <c r="J23" i="7"/>
  <c r="P23" i="7" s="1"/>
  <c r="AH22" i="7"/>
  <c r="AE22" i="7"/>
  <c r="AD22" i="7"/>
  <c r="AC22" i="7"/>
  <c r="V22" i="7"/>
  <c r="U22" i="7"/>
  <c r="T22" i="7"/>
  <c r="N22" i="7"/>
  <c r="M22" i="7"/>
  <c r="J22" i="7"/>
  <c r="P22" i="7" s="1"/>
  <c r="AH21" i="7"/>
  <c r="AE21" i="7"/>
  <c r="AD21" i="7"/>
  <c r="AC21" i="7"/>
  <c r="V21" i="7"/>
  <c r="U21" i="7"/>
  <c r="T21" i="7"/>
  <c r="P21" i="7"/>
  <c r="N21" i="7"/>
  <c r="M21" i="7"/>
  <c r="J21" i="7"/>
  <c r="O21" i="7" s="1"/>
  <c r="AH20" i="7"/>
  <c r="AE20" i="7"/>
  <c r="AD20" i="7"/>
  <c r="AC20" i="7"/>
  <c r="V20" i="7"/>
  <c r="U20" i="7"/>
  <c r="T20" i="7"/>
  <c r="N20" i="7"/>
  <c r="M20" i="7"/>
  <c r="J20" i="7"/>
  <c r="P20" i="7" s="1"/>
  <c r="AH19" i="7"/>
  <c r="AE19" i="7"/>
  <c r="AD19" i="7"/>
  <c r="AC19" i="7"/>
  <c r="V19" i="7"/>
  <c r="U19" i="7"/>
  <c r="T19" i="7"/>
  <c r="N19" i="7"/>
  <c r="M19" i="7"/>
  <c r="J19" i="7"/>
  <c r="O19" i="7" s="1"/>
  <c r="AH18" i="7"/>
  <c r="AE18" i="7"/>
  <c r="AD18" i="7"/>
  <c r="AC18" i="7"/>
  <c r="V18" i="7"/>
  <c r="U18" i="7"/>
  <c r="T18" i="7"/>
  <c r="P18" i="7"/>
  <c r="N18" i="7"/>
  <c r="M18" i="7"/>
  <c r="J18" i="7"/>
  <c r="O18" i="7" s="1"/>
  <c r="AH17" i="7"/>
  <c r="AE17" i="7"/>
  <c r="AD17" i="7"/>
  <c r="AC17" i="7"/>
  <c r="AB17" i="7"/>
  <c r="V17" i="7"/>
  <c r="U17" i="7"/>
  <c r="T17" i="7"/>
  <c r="P17" i="7"/>
  <c r="O17" i="7"/>
  <c r="N17" i="7"/>
  <c r="M17" i="7"/>
  <c r="J17" i="7"/>
  <c r="AH16" i="7"/>
  <c r="AE16" i="7"/>
  <c r="AD16" i="7"/>
  <c r="AC16" i="7"/>
  <c r="V16" i="7"/>
  <c r="U16" i="7"/>
  <c r="T16" i="7"/>
  <c r="P16" i="7"/>
  <c r="O16" i="7"/>
  <c r="N16" i="7"/>
  <c r="M16" i="7"/>
  <c r="J16" i="7"/>
  <c r="AH15" i="7"/>
  <c r="AE15" i="7"/>
  <c r="AD15" i="7"/>
  <c r="AC15" i="7"/>
  <c r="Z15" i="7"/>
  <c r="V15" i="7"/>
  <c r="U15" i="7"/>
  <c r="T15" i="7"/>
  <c r="N15" i="7"/>
  <c r="M15" i="7"/>
  <c r="J15" i="7"/>
  <c r="P15" i="7" s="1"/>
  <c r="AH14" i="7"/>
  <c r="AE14" i="7"/>
  <c r="AD14" i="7"/>
  <c r="AC14" i="7"/>
  <c r="V14" i="7"/>
  <c r="U14" i="7"/>
  <c r="T14" i="7"/>
  <c r="P14" i="7"/>
  <c r="N14" i="7"/>
  <c r="M14" i="7"/>
  <c r="J14" i="7"/>
  <c r="O14" i="7" s="1"/>
  <c r="AH13" i="7"/>
  <c r="AE13" i="7"/>
  <c r="AD13" i="7"/>
  <c r="AC13" i="7"/>
  <c r="V13" i="7"/>
  <c r="U13" i="7"/>
  <c r="T13" i="7"/>
  <c r="N13" i="7"/>
  <c r="M13" i="7"/>
  <c r="J13" i="7"/>
  <c r="P13" i="7" s="1"/>
  <c r="AH12" i="7"/>
  <c r="AE12" i="7"/>
  <c r="AD12" i="7"/>
  <c r="AC12" i="7"/>
  <c r="V12" i="7"/>
  <c r="U12" i="7"/>
  <c r="T12" i="7"/>
  <c r="N12" i="7"/>
  <c r="M12" i="7"/>
  <c r="J12" i="7"/>
  <c r="P12" i="7" s="1"/>
  <c r="AH11" i="7"/>
  <c r="AE11" i="7"/>
  <c r="AD11" i="7"/>
  <c r="AC11" i="7"/>
  <c r="V11" i="7"/>
  <c r="U11" i="7"/>
  <c r="T11" i="7"/>
  <c r="N11" i="7"/>
  <c r="M11" i="7"/>
  <c r="J11" i="7"/>
  <c r="P11" i="7" s="1"/>
  <c r="AH10" i="7"/>
  <c r="AE10" i="7"/>
  <c r="AD10" i="7"/>
  <c r="AC10" i="7"/>
  <c r="V10" i="7"/>
  <c r="U10" i="7"/>
  <c r="T10" i="7"/>
  <c r="P10" i="7"/>
  <c r="O10" i="7"/>
  <c r="N10" i="7"/>
  <c r="M10" i="7"/>
  <c r="J10" i="7"/>
  <c r="AH9" i="7"/>
  <c r="AE9" i="7"/>
  <c r="AD9" i="7"/>
  <c r="AC9" i="7"/>
  <c r="V9" i="7"/>
  <c r="U9" i="7"/>
  <c r="T9" i="7"/>
  <c r="N9" i="7"/>
  <c r="M9" i="7"/>
  <c r="J9" i="7"/>
  <c r="P9" i="7" s="1"/>
  <c r="AH8" i="7"/>
  <c r="AE8" i="7"/>
  <c r="AD8" i="7"/>
  <c r="AC8" i="7"/>
  <c r="AA8" i="7"/>
  <c r="V8" i="7"/>
  <c r="U8" i="7"/>
  <c r="T8" i="7"/>
  <c r="P8" i="7"/>
  <c r="O8" i="7"/>
  <c r="N8" i="7"/>
  <c r="M8" i="7"/>
  <c r="J8" i="7"/>
  <c r="AH7" i="7"/>
  <c r="AE7" i="7"/>
  <c r="AD7" i="7"/>
  <c r="AC7" i="7"/>
  <c r="V7" i="7"/>
  <c r="U7" i="7"/>
  <c r="T7" i="7"/>
  <c r="P7" i="7"/>
  <c r="N7" i="7"/>
  <c r="M7" i="7"/>
  <c r="J7" i="7"/>
  <c r="O7" i="7" s="1"/>
  <c r="AH6" i="7"/>
  <c r="AE6" i="7"/>
  <c r="AD6" i="7"/>
  <c r="AC6" i="7"/>
  <c r="V6" i="7"/>
  <c r="U6" i="7"/>
  <c r="T6" i="7"/>
  <c r="O6" i="7"/>
  <c r="N6" i="7"/>
  <c r="M6" i="7"/>
  <c r="J6" i="7"/>
  <c r="P6" i="7" s="1"/>
  <c r="AH5" i="7"/>
  <c r="AE5" i="7"/>
  <c r="AD5" i="7"/>
  <c r="AC5" i="7"/>
  <c r="V5" i="7"/>
  <c r="U5" i="7"/>
  <c r="T5" i="7"/>
  <c r="N5" i="7"/>
  <c r="M5" i="7"/>
  <c r="J5" i="7"/>
  <c r="O5" i="7" s="1"/>
  <c r="AH4" i="7"/>
  <c r="AE4" i="7"/>
  <c r="AD4" i="7"/>
  <c r="AC4" i="7"/>
  <c r="V4" i="7"/>
  <c r="U4" i="7"/>
  <c r="T4" i="7"/>
  <c r="N4" i="7"/>
  <c r="M4" i="7"/>
  <c r="J4" i="7"/>
  <c r="P4" i="7" s="1"/>
  <c r="AH3" i="7"/>
  <c r="AE3" i="7"/>
  <c r="AD3" i="7"/>
  <c r="AC3" i="7"/>
  <c r="V3" i="7"/>
  <c r="U3" i="7"/>
  <c r="T3" i="7"/>
  <c r="P3" i="7"/>
  <c r="N3" i="7"/>
  <c r="M3" i="7"/>
  <c r="J3" i="7"/>
  <c r="O3" i="7" s="1"/>
  <c r="AH2" i="7"/>
  <c r="AE2" i="7"/>
  <c r="AD2" i="7"/>
  <c r="AC2" i="7"/>
  <c r="V2" i="7"/>
  <c r="U2" i="7"/>
  <c r="T2" i="7"/>
  <c r="N2" i="7"/>
  <c r="M2" i="7"/>
  <c r="J2" i="7"/>
  <c r="P2" i="7" s="1"/>
  <c r="J1821" i="6"/>
  <c r="H1821" i="6"/>
  <c r="J1820" i="6"/>
  <c r="H1820" i="6"/>
  <c r="J1819" i="6"/>
  <c r="H1819" i="6"/>
  <c r="J1818" i="6"/>
  <c r="H1818" i="6"/>
  <c r="J1817" i="6"/>
  <c r="H1817" i="6"/>
  <c r="J1816" i="6"/>
  <c r="H1816" i="6"/>
  <c r="J1815" i="6"/>
  <c r="H1815" i="6"/>
  <c r="J1814" i="6"/>
  <c r="H1814" i="6"/>
  <c r="J1813" i="6"/>
  <c r="H1813" i="6"/>
  <c r="J1812" i="6"/>
  <c r="H1812" i="6"/>
  <c r="J1811" i="6"/>
  <c r="H1811" i="6"/>
  <c r="J1810" i="6"/>
  <c r="H1810" i="6"/>
  <c r="J1809" i="6"/>
  <c r="H1809" i="6"/>
  <c r="J1808" i="6"/>
  <c r="H1808" i="6"/>
  <c r="J1807" i="6"/>
  <c r="H1807" i="6"/>
  <c r="J1806" i="6"/>
  <c r="H1806" i="6"/>
  <c r="J1805" i="6"/>
  <c r="H1805" i="6"/>
  <c r="J1804" i="6"/>
  <c r="H1804" i="6"/>
  <c r="J1803" i="6"/>
  <c r="H1803" i="6"/>
  <c r="J1802" i="6"/>
  <c r="H1802" i="6"/>
  <c r="J1801" i="6"/>
  <c r="H1801" i="6"/>
  <c r="J1800" i="6"/>
  <c r="H1800" i="6"/>
  <c r="J1799" i="6"/>
  <c r="H1799" i="6"/>
  <c r="J1798" i="6"/>
  <c r="H1798" i="6"/>
  <c r="J1797" i="6"/>
  <c r="H1797" i="6"/>
  <c r="J1796" i="6"/>
  <c r="H1796" i="6"/>
  <c r="J1795" i="6"/>
  <c r="H1795" i="6"/>
  <c r="J1794" i="6"/>
  <c r="H1794" i="6"/>
  <c r="J1793" i="6"/>
  <c r="H1793" i="6"/>
  <c r="J1792" i="6"/>
  <c r="H1792" i="6"/>
  <c r="J1791" i="6"/>
  <c r="H1791" i="6"/>
  <c r="J1790" i="6"/>
  <c r="H1790" i="6"/>
  <c r="J1789" i="6"/>
  <c r="H1789" i="6"/>
  <c r="J1788" i="6"/>
  <c r="H1788" i="6"/>
  <c r="J1787" i="6"/>
  <c r="H1787" i="6"/>
  <c r="J1786" i="6"/>
  <c r="H1786" i="6"/>
  <c r="J1785" i="6"/>
  <c r="H1785" i="6"/>
  <c r="J1784" i="6"/>
  <c r="H1784" i="6"/>
  <c r="J1783" i="6"/>
  <c r="H1783" i="6"/>
  <c r="J1782" i="6"/>
  <c r="H1782" i="6"/>
  <c r="J1781" i="6"/>
  <c r="H1781" i="6"/>
  <c r="J1780" i="6"/>
  <c r="H1780" i="6"/>
  <c r="J1779" i="6"/>
  <c r="H1779" i="6"/>
  <c r="J1778" i="6"/>
  <c r="H1778" i="6"/>
  <c r="J1777" i="6"/>
  <c r="H1777" i="6"/>
  <c r="J1776" i="6"/>
  <c r="H1776" i="6"/>
  <c r="J1775" i="6"/>
  <c r="H1775" i="6"/>
  <c r="J1774" i="6"/>
  <c r="H1774" i="6"/>
  <c r="J1773" i="6"/>
  <c r="H1773" i="6"/>
  <c r="J1772" i="6"/>
  <c r="H1772" i="6"/>
  <c r="J1771" i="6"/>
  <c r="H1771" i="6"/>
  <c r="J1770" i="6"/>
  <c r="H1770" i="6"/>
  <c r="J1769" i="6"/>
  <c r="H1769" i="6"/>
  <c r="J1768" i="6"/>
  <c r="H1768" i="6"/>
  <c r="J1767" i="6"/>
  <c r="H1767" i="6"/>
  <c r="J1766" i="6"/>
  <c r="H1766" i="6"/>
  <c r="J1765" i="6"/>
  <c r="H1765" i="6"/>
  <c r="J1764" i="6"/>
  <c r="H1764" i="6"/>
  <c r="J1763" i="6"/>
  <c r="H1763" i="6"/>
  <c r="J1762" i="6"/>
  <c r="H1762" i="6"/>
  <c r="J1761" i="6"/>
  <c r="H1761" i="6"/>
  <c r="J1760" i="6"/>
  <c r="H1760" i="6"/>
  <c r="J1759" i="6"/>
  <c r="H1759" i="6"/>
  <c r="J1758" i="6"/>
  <c r="H1758" i="6"/>
  <c r="J1757" i="6"/>
  <c r="H1757" i="6"/>
  <c r="J1756" i="6"/>
  <c r="H1756" i="6"/>
  <c r="J1755" i="6"/>
  <c r="H1755" i="6"/>
  <c r="J1754" i="6"/>
  <c r="H1754" i="6"/>
  <c r="J1753" i="6"/>
  <c r="H1753" i="6"/>
  <c r="J1752" i="6"/>
  <c r="H1752" i="6"/>
  <c r="J1751" i="6"/>
  <c r="H1751" i="6"/>
  <c r="J1750" i="6"/>
  <c r="H1750" i="6"/>
  <c r="J1749" i="6"/>
  <c r="H1749" i="6"/>
  <c r="J1748" i="6"/>
  <c r="H1748" i="6"/>
  <c r="J1747" i="6"/>
  <c r="H1747" i="6"/>
  <c r="J1746" i="6"/>
  <c r="H1746" i="6"/>
  <c r="J1745" i="6"/>
  <c r="H1745" i="6"/>
  <c r="J1744" i="6"/>
  <c r="H1744" i="6"/>
  <c r="J1743" i="6"/>
  <c r="H1743" i="6"/>
  <c r="J1742" i="6"/>
  <c r="H1742" i="6"/>
  <c r="J1741" i="6"/>
  <c r="H1741" i="6"/>
  <c r="J1740" i="6"/>
  <c r="H1740" i="6"/>
  <c r="J1739" i="6"/>
  <c r="H1739" i="6"/>
  <c r="J1738" i="6"/>
  <c r="H1738" i="6"/>
  <c r="J1737" i="6"/>
  <c r="H1737" i="6"/>
  <c r="J1736" i="6"/>
  <c r="H1736" i="6"/>
  <c r="J1735" i="6"/>
  <c r="H1735" i="6"/>
  <c r="J1734" i="6"/>
  <c r="H1734" i="6"/>
  <c r="J1733" i="6"/>
  <c r="H1733" i="6"/>
  <c r="J1732" i="6"/>
  <c r="H1732" i="6"/>
  <c r="J1731" i="6"/>
  <c r="H1731" i="6"/>
  <c r="J1730" i="6"/>
  <c r="H1730" i="6"/>
  <c r="J1729" i="6"/>
  <c r="H1729" i="6"/>
  <c r="J1728" i="6"/>
  <c r="H1728" i="6"/>
  <c r="J1727" i="6"/>
  <c r="H1727" i="6"/>
  <c r="J1726" i="6"/>
  <c r="H1726" i="6"/>
  <c r="J1725" i="6"/>
  <c r="H1725" i="6"/>
  <c r="J1724" i="6"/>
  <c r="H1724" i="6"/>
  <c r="J1723" i="6"/>
  <c r="H1723" i="6"/>
  <c r="J1722" i="6"/>
  <c r="H1722" i="6"/>
  <c r="J1721" i="6"/>
  <c r="H1721" i="6"/>
  <c r="J1720" i="6"/>
  <c r="H1720" i="6"/>
  <c r="J1719" i="6"/>
  <c r="H1719" i="6"/>
  <c r="J1718" i="6"/>
  <c r="H1718" i="6"/>
  <c r="J1717" i="6"/>
  <c r="H1717" i="6"/>
  <c r="J1716" i="6"/>
  <c r="H1716" i="6"/>
  <c r="J1715" i="6"/>
  <c r="H1715" i="6"/>
  <c r="J1714" i="6"/>
  <c r="H1714" i="6"/>
  <c r="J1713" i="6"/>
  <c r="H1713" i="6"/>
  <c r="J1712" i="6"/>
  <c r="H1712" i="6"/>
  <c r="J1711" i="6"/>
  <c r="H1711" i="6"/>
  <c r="J1710" i="6"/>
  <c r="H1710" i="6"/>
  <c r="J1709" i="6"/>
  <c r="H1709" i="6"/>
  <c r="J1708" i="6"/>
  <c r="H1708" i="6"/>
  <c r="J1707" i="6"/>
  <c r="H1707" i="6"/>
  <c r="J1706" i="6"/>
  <c r="H1706" i="6"/>
  <c r="J1705" i="6"/>
  <c r="H1705" i="6"/>
  <c r="J1704" i="6"/>
  <c r="H1704" i="6"/>
  <c r="J1703" i="6"/>
  <c r="H1703" i="6"/>
  <c r="J1702" i="6"/>
  <c r="H1702" i="6"/>
  <c r="J1701" i="6"/>
  <c r="H1701" i="6"/>
  <c r="J1700" i="6"/>
  <c r="H1700" i="6"/>
  <c r="J1699" i="6"/>
  <c r="H1699" i="6"/>
  <c r="J1698" i="6"/>
  <c r="H1698" i="6"/>
  <c r="J1697" i="6"/>
  <c r="H1697" i="6"/>
  <c r="J1696" i="6"/>
  <c r="H1696" i="6"/>
  <c r="J1695" i="6"/>
  <c r="H1695" i="6"/>
  <c r="J1694" i="6"/>
  <c r="H1694" i="6"/>
  <c r="J1693" i="6"/>
  <c r="H1693" i="6"/>
  <c r="J1692" i="6"/>
  <c r="H1692" i="6"/>
  <c r="J1691" i="6"/>
  <c r="H1691" i="6"/>
  <c r="J1690" i="6"/>
  <c r="H1690" i="6"/>
  <c r="J1689" i="6"/>
  <c r="H1689" i="6"/>
  <c r="J1688" i="6"/>
  <c r="H1688" i="6"/>
  <c r="J1687" i="6"/>
  <c r="H1687" i="6"/>
  <c r="J1686" i="6"/>
  <c r="H1686" i="6"/>
  <c r="J1685" i="6"/>
  <c r="H1685" i="6"/>
  <c r="J1684" i="6"/>
  <c r="H1684" i="6"/>
  <c r="J1683" i="6"/>
  <c r="H1683" i="6"/>
  <c r="J1682" i="6"/>
  <c r="H1682" i="6"/>
  <c r="J1681" i="6"/>
  <c r="H1681" i="6"/>
  <c r="J1680" i="6"/>
  <c r="H1680" i="6"/>
  <c r="J1679" i="6"/>
  <c r="H1679" i="6"/>
  <c r="J1678" i="6"/>
  <c r="H1678" i="6"/>
  <c r="J1677" i="6"/>
  <c r="H1677" i="6"/>
  <c r="J1676" i="6"/>
  <c r="H1676" i="6"/>
  <c r="J1675" i="6"/>
  <c r="H1675" i="6"/>
  <c r="J1674" i="6"/>
  <c r="H1674" i="6"/>
  <c r="J1673" i="6"/>
  <c r="H1673" i="6"/>
  <c r="J1672" i="6"/>
  <c r="H1672" i="6"/>
  <c r="J1671" i="6"/>
  <c r="H1671" i="6"/>
  <c r="J1670" i="6"/>
  <c r="H1670" i="6"/>
  <c r="J1669" i="6"/>
  <c r="H1669" i="6"/>
  <c r="J1668" i="6"/>
  <c r="H1668" i="6"/>
  <c r="J1667" i="6"/>
  <c r="H1667" i="6"/>
  <c r="J1666" i="6"/>
  <c r="H1666" i="6"/>
  <c r="J1665" i="6"/>
  <c r="H1665" i="6"/>
  <c r="J1664" i="6"/>
  <c r="H1664" i="6"/>
  <c r="J1663" i="6"/>
  <c r="H1663" i="6"/>
  <c r="J1662" i="6"/>
  <c r="H1662" i="6"/>
  <c r="J1661" i="6"/>
  <c r="H1661" i="6"/>
  <c r="J1660" i="6"/>
  <c r="H1660" i="6"/>
  <c r="J1659" i="6"/>
  <c r="H1659" i="6"/>
  <c r="J1658" i="6"/>
  <c r="H1658" i="6"/>
  <c r="J1657" i="6"/>
  <c r="H1657" i="6"/>
  <c r="J1656" i="6"/>
  <c r="H1656" i="6"/>
  <c r="J1655" i="6"/>
  <c r="H1655" i="6"/>
  <c r="J1654" i="6"/>
  <c r="H1654" i="6"/>
  <c r="J1653" i="6"/>
  <c r="H1653" i="6"/>
  <c r="J1652" i="6"/>
  <c r="H1652" i="6"/>
  <c r="J1651" i="6"/>
  <c r="H1651" i="6"/>
  <c r="J1650" i="6"/>
  <c r="H1650" i="6"/>
  <c r="J1649" i="6"/>
  <c r="H1649" i="6"/>
  <c r="J1648" i="6"/>
  <c r="H1648" i="6"/>
  <c r="J1647" i="6"/>
  <c r="H1647" i="6"/>
  <c r="J1646" i="6"/>
  <c r="H1646" i="6"/>
  <c r="J1645" i="6"/>
  <c r="H1645" i="6"/>
  <c r="J1644" i="6"/>
  <c r="H1644" i="6"/>
  <c r="J1643" i="6"/>
  <c r="H1643" i="6"/>
  <c r="J1642" i="6"/>
  <c r="H1642" i="6"/>
  <c r="J1641" i="6"/>
  <c r="H1641" i="6"/>
  <c r="J1640" i="6"/>
  <c r="H1640" i="6"/>
  <c r="J1639" i="6"/>
  <c r="H1639" i="6"/>
  <c r="J1638" i="6"/>
  <c r="H1638" i="6"/>
  <c r="J1637" i="6"/>
  <c r="H1637" i="6"/>
  <c r="J1636" i="6"/>
  <c r="H1636" i="6"/>
  <c r="J1635" i="6"/>
  <c r="H1635" i="6"/>
  <c r="J1634" i="6"/>
  <c r="H1634" i="6"/>
  <c r="J1633" i="6"/>
  <c r="H1633" i="6"/>
  <c r="J1632" i="6"/>
  <c r="H1632" i="6"/>
  <c r="J1631" i="6"/>
  <c r="H1631" i="6"/>
  <c r="J1630" i="6"/>
  <c r="H1630" i="6"/>
  <c r="J1629" i="6"/>
  <c r="H1629" i="6"/>
  <c r="J1628" i="6"/>
  <c r="H1628" i="6"/>
  <c r="J1627" i="6"/>
  <c r="H1627" i="6"/>
  <c r="J1626" i="6"/>
  <c r="H1626" i="6"/>
  <c r="J1625" i="6"/>
  <c r="H1625" i="6"/>
  <c r="J1624" i="6"/>
  <c r="H1624" i="6"/>
  <c r="J1623" i="6"/>
  <c r="H1623" i="6"/>
  <c r="J1622" i="6"/>
  <c r="H1622" i="6"/>
  <c r="J1621" i="6"/>
  <c r="H1621" i="6"/>
  <c r="J1620" i="6"/>
  <c r="H1620" i="6"/>
  <c r="J1619" i="6"/>
  <c r="H1619" i="6"/>
  <c r="J1618" i="6"/>
  <c r="H1618" i="6"/>
  <c r="J1617" i="6"/>
  <c r="H1617" i="6"/>
  <c r="J1616" i="6"/>
  <c r="H1616" i="6"/>
  <c r="J1615" i="6"/>
  <c r="H1615" i="6"/>
  <c r="J1614" i="6"/>
  <c r="H1614" i="6"/>
  <c r="J1613" i="6"/>
  <c r="H1613" i="6"/>
  <c r="J1612" i="6"/>
  <c r="H1612" i="6"/>
  <c r="J1611" i="6"/>
  <c r="H1611" i="6"/>
  <c r="J1610" i="6"/>
  <c r="H1610" i="6"/>
  <c r="J1609" i="6"/>
  <c r="H1609" i="6"/>
  <c r="J1608" i="6"/>
  <c r="H1608" i="6"/>
  <c r="J1607" i="6"/>
  <c r="H1607" i="6"/>
  <c r="J1606" i="6"/>
  <c r="H1606" i="6"/>
  <c r="J1605" i="6"/>
  <c r="H1605" i="6"/>
  <c r="J1604" i="6"/>
  <c r="H1604" i="6"/>
  <c r="J1603" i="6"/>
  <c r="H1603" i="6"/>
  <c r="J1602" i="6"/>
  <c r="H1602" i="6"/>
  <c r="J1601" i="6"/>
  <c r="H1601" i="6"/>
  <c r="J1600" i="6"/>
  <c r="H1600" i="6"/>
  <c r="J1599" i="6"/>
  <c r="H1599" i="6"/>
  <c r="J1598" i="6"/>
  <c r="H1598" i="6"/>
  <c r="J1597" i="6"/>
  <c r="H1597" i="6"/>
  <c r="J1596" i="6"/>
  <c r="H1596" i="6"/>
  <c r="J1595" i="6"/>
  <c r="H1595" i="6"/>
  <c r="J1594" i="6"/>
  <c r="H1594" i="6"/>
  <c r="J1593" i="6"/>
  <c r="H1593" i="6"/>
  <c r="J1592" i="6"/>
  <c r="H1592" i="6"/>
  <c r="J1591" i="6"/>
  <c r="H1591" i="6"/>
  <c r="J1590" i="6"/>
  <c r="H1590" i="6"/>
  <c r="J1589" i="6"/>
  <c r="H1589" i="6"/>
  <c r="J1588" i="6"/>
  <c r="H1588" i="6"/>
  <c r="J1587" i="6"/>
  <c r="H1587" i="6"/>
  <c r="J1586" i="6"/>
  <c r="H1586" i="6"/>
  <c r="J1585" i="6"/>
  <c r="H1585" i="6"/>
  <c r="J1584" i="6"/>
  <c r="H1584" i="6"/>
  <c r="J1583" i="6"/>
  <c r="H1583" i="6"/>
  <c r="J1582" i="6"/>
  <c r="H1582" i="6"/>
  <c r="J1581" i="6"/>
  <c r="H1581" i="6"/>
  <c r="J1580" i="6"/>
  <c r="H1580" i="6"/>
  <c r="J1579" i="6"/>
  <c r="H1579" i="6"/>
  <c r="J1578" i="6"/>
  <c r="H1578" i="6"/>
  <c r="J1577" i="6"/>
  <c r="H1577" i="6"/>
  <c r="J1576" i="6"/>
  <c r="H1576" i="6"/>
  <c r="J1575" i="6"/>
  <c r="H1575" i="6"/>
  <c r="J1574" i="6"/>
  <c r="H1574" i="6"/>
  <c r="J1573" i="6"/>
  <c r="H1573" i="6"/>
  <c r="J1572" i="6"/>
  <c r="H1572" i="6"/>
  <c r="J1571" i="6"/>
  <c r="H1571" i="6"/>
  <c r="J1570" i="6"/>
  <c r="H1570" i="6"/>
  <c r="J1569" i="6"/>
  <c r="H1569" i="6"/>
  <c r="J1568" i="6"/>
  <c r="H1568" i="6"/>
  <c r="J1567" i="6"/>
  <c r="H1567" i="6"/>
  <c r="J1566" i="6"/>
  <c r="H1566" i="6"/>
  <c r="J1565" i="6"/>
  <c r="H1565" i="6"/>
  <c r="J1564" i="6"/>
  <c r="H1564" i="6"/>
  <c r="J1563" i="6"/>
  <c r="H1563" i="6"/>
  <c r="J1562" i="6"/>
  <c r="H1562" i="6"/>
  <c r="J1561" i="6"/>
  <c r="H1561" i="6"/>
  <c r="J1560" i="6"/>
  <c r="H1560" i="6"/>
  <c r="J1559" i="6"/>
  <c r="H1559" i="6"/>
  <c r="J1558" i="6"/>
  <c r="H1558" i="6"/>
  <c r="J1557" i="6"/>
  <c r="H1557" i="6"/>
  <c r="J1556" i="6"/>
  <c r="H1556" i="6"/>
  <c r="J1555" i="6"/>
  <c r="H1555" i="6"/>
  <c r="J1554" i="6"/>
  <c r="H1554" i="6"/>
  <c r="J1553" i="6"/>
  <c r="H1553" i="6"/>
  <c r="J1552" i="6"/>
  <c r="H1552" i="6"/>
  <c r="J1551" i="6"/>
  <c r="H1551" i="6"/>
  <c r="J1550" i="6"/>
  <c r="H1550" i="6"/>
  <c r="J1549" i="6"/>
  <c r="H1549" i="6"/>
  <c r="J1548" i="6"/>
  <c r="H1548" i="6"/>
  <c r="J1547" i="6"/>
  <c r="H1547" i="6"/>
  <c r="J1546" i="6"/>
  <c r="H1546" i="6"/>
  <c r="J1545" i="6"/>
  <c r="H1545" i="6"/>
  <c r="J1544" i="6"/>
  <c r="H1544" i="6"/>
  <c r="J1543" i="6"/>
  <c r="H1543" i="6"/>
  <c r="J1542" i="6"/>
  <c r="H1542" i="6"/>
  <c r="J1541" i="6"/>
  <c r="H1541" i="6"/>
  <c r="J1540" i="6"/>
  <c r="H1540" i="6"/>
  <c r="J1539" i="6"/>
  <c r="H1539" i="6"/>
  <c r="J1538" i="6"/>
  <c r="H1538" i="6"/>
  <c r="J1537" i="6"/>
  <c r="H1537" i="6"/>
  <c r="J1536" i="6"/>
  <c r="H1536" i="6"/>
  <c r="J1535" i="6"/>
  <c r="H1535" i="6"/>
  <c r="J1534" i="6"/>
  <c r="H1534" i="6"/>
  <c r="J1533" i="6"/>
  <c r="H1533" i="6"/>
  <c r="J1532" i="6"/>
  <c r="H1532" i="6"/>
  <c r="J1531" i="6"/>
  <c r="H1531" i="6"/>
  <c r="J1530" i="6"/>
  <c r="H1530" i="6"/>
  <c r="J1529" i="6"/>
  <c r="H1529" i="6"/>
  <c r="J1528" i="6"/>
  <c r="H1528" i="6"/>
  <c r="J1527" i="6"/>
  <c r="H1527" i="6"/>
  <c r="J1526" i="6"/>
  <c r="H1526" i="6"/>
  <c r="J1525" i="6"/>
  <c r="H1525" i="6"/>
  <c r="J1524" i="6"/>
  <c r="H1524" i="6"/>
  <c r="J1523" i="6"/>
  <c r="H1523" i="6"/>
  <c r="J1522" i="6"/>
  <c r="H1522" i="6"/>
  <c r="J1521" i="6"/>
  <c r="H1521" i="6"/>
  <c r="J1520" i="6"/>
  <c r="H1520" i="6"/>
  <c r="J1519" i="6"/>
  <c r="H1519" i="6"/>
  <c r="J1518" i="6"/>
  <c r="H1518" i="6"/>
  <c r="J1517" i="6"/>
  <c r="H1517" i="6"/>
  <c r="J1516" i="6"/>
  <c r="H1516" i="6"/>
  <c r="J1515" i="6"/>
  <c r="H1515" i="6"/>
  <c r="J1514" i="6"/>
  <c r="H1514" i="6"/>
  <c r="J1513" i="6"/>
  <c r="H1513" i="6"/>
  <c r="J1512" i="6"/>
  <c r="H1512" i="6"/>
  <c r="J1511" i="6"/>
  <c r="H1511" i="6"/>
  <c r="J1510" i="6"/>
  <c r="H1510" i="6"/>
  <c r="J1509" i="6"/>
  <c r="H1509" i="6"/>
  <c r="J1508" i="6"/>
  <c r="H1508" i="6"/>
  <c r="J1507" i="6"/>
  <c r="H1507" i="6"/>
  <c r="J1506" i="6"/>
  <c r="H1506" i="6"/>
  <c r="J1505" i="6"/>
  <c r="H1505" i="6"/>
  <c r="J1504" i="6"/>
  <c r="H1504" i="6"/>
  <c r="J1503" i="6"/>
  <c r="H1503" i="6"/>
  <c r="J1502" i="6"/>
  <c r="H1502" i="6"/>
  <c r="J1501" i="6"/>
  <c r="H1501" i="6"/>
  <c r="J1500" i="6"/>
  <c r="H1500" i="6"/>
  <c r="J1499" i="6"/>
  <c r="H1499" i="6"/>
  <c r="J1498" i="6"/>
  <c r="H1498" i="6"/>
  <c r="J1497" i="6"/>
  <c r="H1497" i="6"/>
  <c r="J1496" i="6"/>
  <c r="H1496" i="6"/>
  <c r="J1495" i="6"/>
  <c r="H1495" i="6"/>
  <c r="J1494" i="6"/>
  <c r="H1494" i="6"/>
  <c r="J1493" i="6"/>
  <c r="H1493" i="6"/>
  <c r="J1492" i="6"/>
  <c r="H1492" i="6"/>
  <c r="J1491" i="6"/>
  <c r="H1491" i="6"/>
  <c r="J1490" i="6"/>
  <c r="H1490" i="6"/>
  <c r="J1489" i="6"/>
  <c r="H1489" i="6"/>
  <c r="J1488" i="6"/>
  <c r="H1488" i="6"/>
  <c r="J1487" i="6"/>
  <c r="H1487" i="6"/>
  <c r="J1486" i="6"/>
  <c r="H1486" i="6"/>
  <c r="J1485" i="6"/>
  <c r="H1485" i="6"/>
  <c r="J1484" i="6"/>
  <c r="H1484" i="6"/>
  <c r="J1483" i="6"/>
  <c r="H1483" i="6"/>
  <c r="J1482" i="6"/>
  <c r="H1482" i="6"/>
  <c r="J1481" i="6"/>
  <c r="H1481" i="6"/>
  <c r="J1480" i="6"/>
  <c r="H1480" i="6"/>
  <c r="J1479" i="6"/>
  <c r="H1479" i="6"/>
  <c r="J1478" i="6"/>
  <c r="H1478" i="6"/>
  <c r="J1477" i="6"/>
  <c r="H1477" i="6"/>
  <c r="J1476" i="6"/>
  <c r="H1476" i="6"/>
  <c r="J1475" i="6"/>
  <c r="H1475" i="6"/>
  <c r="J1474" i="6"/>
  <c r="H1474" i="6"/>
  <c r="J1473" i="6"/>
  <c r="H1473" i="6"/>
  <c r="J1472" i="6"/>
  <c r="H1472" i="6"/>
  <c r="J1471" i="6"/>
  <c r="H1471" i="6"/>
  <c r="J1470" i="6"/>
  <c r="H1470" i="6"/>
  <c r="J1469" i="6"/>
  <c r="H1469" i="6"/>
  <c r="J1468" i="6"/>
  <c r="H1468" i="6"/>
  <c r="J1467" i="6"/>
  <c r="H1467" i="6"/>
  <c r="J1466" i="6"/>
  <c r="H1466" i="6"/>
  <c r="J1465" i="6"/>
  <c r="H1465" i="6"/>
  <c r="J1464" i="6"/>
  <c r="H1464" i="6"/>
  <c r="J1463" i="6"/>
  <c r="H1463" i="6"/>
  <c r="J1462" i="6"/>
  <c r="H1462" i="6"/>
  <c r="J1461" i="6"/>
  <c r="H1461" i="6"/>
  <c r="J1460" i="6"/>
  <c r="H1460" i="6"/>
  <c r="J1459" i="6"/>
  <c r="H1459" i="6"/>
  <c r="J1458" i="6"/>
  <c r="H1458" i="6"/>
  <c r="J1457" i="6"/>
  <c r="H1457" i="6"/>
  <c r="J1456" i="6"/>
  <c r="H1456" i="6"/>
  <c r="J1455" i="6"/>
  <c r="H1455" i="6"/>
  <c r="J1454" i="6"/>
  <c r="H1454" i="6"/>
  <c r="J1453" i="6"/>
  <c r="H1453" i="6"/>
  <c r="J1452" i="6"/>
  <c r="H1452" i="6"/>
  <c r="J1451" i="6"/>
  <c r="H1451" i="6"/>
  <c r="J1450" i="6"/>
  <c r="H1450" i="6"/>
  <c r="J1449" i="6"/>
  <c r="H1449" i="6"/>
  <c r="J1448" i="6"/>
  <c r="H1448" i="6"/>
  <c r="J1447" i="6"/>
  <c r="H1447" i="6"/>
  <c r="J1446" i="6"/>
  <c r="H1446" i="6"/>
  <c r="J1445" i="6"/>
  <c r="H1445" i="6"/>
  <c r="J1444" i="6"/>
  <c r="H1444" i="6"/>
  <c r="J1443" i="6"/>
  <c r="H1443" i="6"/>
  <c r="J1442" i="6"/>
  <c r="H1442" i="6"/>
  <c r="J1441" i="6"/>
  <c r="H1441" i="6"/>
  <c r="J1440" i="6"/>
  <c r="H1440" i="6"/>
  <c r="J1439" i="6"/>
  <c r="H1439" i="6"/>
  <c r="J1438" i="6"/>
  <c r="H1438" i="6"/>
  <c r="J1437" i="6"/>
  <c r="H1437" i="6"/>
  <c r="J1436" i="6"/>
  <c r="H1436" i="6"/>
  <c r="J1435" i="6"/>
  <c r="H1435" i="6"/>
  <c r="J1434" i="6"/>
  <c r="H1434" i="6"/>
  <c r="J1433" i="6"/>
  <c r="H1433" i="6"/>
  <c r="J1432" i="6"/>
  <c r="H1432" i="6"/>
  <c r="J1431" i="6"/>
  <c r="H1431" i="6"/>
  <c r="J1430" i="6"/>
  <c r="H1430" i="6"/>
  <c r="J1429" i="6"/>
  <c r="H1429" i="6"/>
  <c r="J1428" i="6"/>
  <c r="H1428" i="6"/>
  <c r="J1427" i="6"/>
  <c r="H1427" i="6"/>
  <c r="J1426" i="6"/>
  <c r="H1426" i="6"/>
  <c r="J1425" i="6"/>
  <c r="H1425" i="6"/>
  <c r="J1424" i="6"/>
  <c r="H1424" i="6"/>
  <c r="J1423" i="6"/>
  <c r="H1423" i="6"/>
  <c r="J1422" i="6"/>
  <c r="H1422" i="6"/>
  <c r="J1421" i="6"/>
  <c r="H1421" i="6"/>
  <c r="J1420" i="6"/>
  <c r="H1420" i="6"/>
  <c r="J1419" i="6"/>
  <c r="H1419" i="6"/>
  <c r="J1418" i="6"/>
  <c r="H1418" i="6"/>
  <c r="J1417" i="6"/>
  <c r="H1417" i="6"/>
  <c r="J1416" i="6"/>
  <c r="H1416" i="6"/>
  <c r="J1415" i="6"/>
  <c r="H1415" i="6"/>
  <c r="J1414" i="6"/>
  <c r="H1414" i="6"/>
  <c r="J1413" i="6"/>
  <c r="H1413" i="6"/>
  <c r="J1412" i="6"/>
  <c r="H1412" i="6"/>
  <c r="J1411" i="6"/>
  <c r="H1411" i="6"/>
  <c r="J1410" i="6"/>
  <c r="H1410" i="6"/>
  <c r="J1409" i="6"/>
  <c r="H1409" i="6"/>
  <c r="J1408" i="6"/>
  <c r="H1408" i="6"/>
  <c r="J1407" i="6"/>
  <c r="H1407" i="6"/>
  <c r="J1406" i="6"/>
  <c r="H1406" i="6"/>
  <c r="J1405" i="6"/>
  <c r="H1405" i="6"/>
  <c r="J1404" i="6"/>
  <c r="H1404" i="6"/>
  <c r="J1403" i="6"/>
  <c r="H1403" i="6"/>
  <c r="J1402" i="6"/>
  <c r="H1402" i="6"/>
  <c r="J1401" i="6"/>
  <c r="H1401" i="6"/>
  <c r="J1400" i="6"/>
  <c r="H1400" i="6"/>
  <c r="J1399" i="6"/>
  <c r="H1399" i="6"/>
  <c r="J1398" i="6"/>
  <c r="H1398" i="6"/>
  <c r="J1397" i="6"/>
  <c r="H1397" i="6"/>
  <c r="J1396" i="6"/>
  <c r="H1396" i="6"/>
  <c r="J1395" i="6"/>
  <c r="H1395" i="6"/>
  <c r="J1394" i="6"/>
  <c r="H1394" i="6"/>
  <c r="J1393" i="6"/>
  <c r="H1393" i="6"/>
  <c r="J1392" i="6"/>
  <c r="H1392" i="6"/>
  <c r="J1391" i="6"/>
  <c r="H1391" i="6"/>
  <c r="J1390" i="6"/>
  <c r="H1390" i="6"/>
  <c r="J1389" i="6"/>
  <c r="H1389" i="6"/>
  <c r="J1388" i="6"/>
  <c r="H1388" i="6"/>
  <c r="J1387" i="6"/>
  <c r="H1387" i="6"/>
  <c r="J1386" i="6"/>
  <c r="H1386" i="6"/>
  <c r="J1385" i="6"/>
  <c r="H1385" i="6"/>
  <c r="J1384" i="6"/>
  <c r="H1384" i="6"/>
  <c r="J1383" i="6"/>
  <c r="H1383" i="6"/>
  <c r="J1382" i="6"/>
  <c r="H1382" i="6"/>
  <c r="J1381" i="6"/>
  <c r="H1381" i="6"/>
  <c r="J1380" i="6"/>
  <c r="H1380" i="6"/>
  <c r="J1379" i="6"/>
  <c r="H1379" i="6"/>
  <c r="J1378" i="6"/>
  <c r="H1378" i="6"/>
  <c r="J1377" i="6"/>
  <c r="H1377" i="6"/>
  <c r="J1376" i="6"/>
  <c r="H1376" i="6"/>
  <c r="J1375" i="6"/>
  <c r="H1375" i="6"/>
  <c r="J1374" i="6"/>
  <c r="H1374" i="6"/>
  <c r="J1373" i="6"/>
  <c r="H1373" i="6"/>
  <c r="J1372" i="6"/>
  <c r="H1372" i="6"/>
  <c r="J1371" i="6"/>
  <c r="H1371" i="6"/>
  <c r="J1370" i="6"/>
  <c r="H1370" i="6"/>
  <c r="J1369" i="6"/>
  <c r="H1369" i="6"/>
  <c r="J1368" i="6"/>
  <c r="H1368" i="6"/>
  <c r="J1367" i="6"/>
  <c r="H1367" i="6"/>
  <c r="J1366" i="6"/>
  <c r="H1366" i="6"/>
  <c r="J1365" i="6"/>
  <c r="H1365" i="6"/>
  <c r="J1364" i="6"/>
  <c r="H1364" i="6"/>
  <c r="J1363" i="6"/>
  <c r="H1363" i="6"/>
  <c r="J1362" i="6"/>
  <c r="H1362" i="6"/>
  <c r="J1361" i="6"/>
  <c r="H1361" i="6"/>
  <c r="J1360" i="6"/>
  <c r="H1360" i="6"/>
  <c r="J1359" i="6"/>
  <c r="H1359" i="6"/>
  <c r="J1358" i="6"/>
  <c r="H1358" i="6"/>
  <c r="J1357" i="6"/>
  <c r="H1357" i="6"/>
  <c r="J1356" i="6"/>
  <c r="H1356" i="6"/>
  <c r="J1355" i="6"/>
  <c r="H1355" i="6"/>
  <c r="J1354" i="6"/>
  <c r="H1354" i="6"/>
  <c r="J1353" i="6"/>
  <c r="H1353" i="6"/>
  <c r="J1352" i="6"/>
  <c r="H1352" i="6"/>
  <c r="J1351" i="6"/>
  <c r="H1351" i="6"/>
  <c r="J1350" i="6"/>
  <c r="H1350" i="6"/>
  <c r="J1349" i="6"/>
  <c r="H1349" i="6"/>
  <c r="J1348" i="6"/>
  <c r="H1348" i="6"/>
  <c r="J1347" i="6"/>
  <c r="H1347" i="6"/>
  <c r="J1346" i="6"/>
  <c r="H1346" i="6"/>
  <c r="J1345" i="6"/>
  <c r="H1345" i="6"/>
  <c r="J1344" i="6"/>
  <c r="H1344" i="6"/>
  <c r="J1343" i="6"/>
  <c r="H1343" i="6"/>
  <c r="J1342" i="6"/>
  <c r="H1342" i="6"/>
  <c r="J1341" i="6"/>
  <c r="H1341" i="6"/>
  <c r="J1340" i="6"/>
  <c r="H1340" i="6"/>
  <c r="J1339" i="6"/>
  <c r="H1339" i="6"/>
  <c r="J1338" i="6"/>
  <c r="H1338" i="6"/>
  <c r="J1337" i="6"/>
  <c r="H1337" i="6"/>
  <c r="J1336" i="6"/>
  <c r="H1336" i="6"/>
  <c r="J1335" i="6"/>
  <c r="H1335" i="6"/>
  <c r="J1334" i="6"/>
  <c r="H1334" i="6"/>
  <c r="J1333" i="6"/>
  <c r="H1333" i="6"/>
  <c r="J1332" i="6"/>
  <c r="H1332" i="6"/>
  <c r="J1331" i="6"/>
  <c r="H1331" i="6"/>
  <c r="J1330" i="6"/>
  <c r="H1330" i="6"/>
  <c r="J1329" i="6"/>
  <c r="H1329" i="6"/>
  <c r="J1328" i="6"/>
  <c r="H1328" i="6"/>
  <c r="J1327" i="6"/>
  <c r="H1327" i="6"/>
  <c r="J1326" i="6"/>
  <c r="H1326" i="6"/>
  <c r="J1325" i="6"/>
  <c r="H1325" i="6"/>
  <c r="J1324" i="6"/>
  <c r="H1324" i="6"/>
  <c r="J1323" i="6"/>
  <c r="H1323" i="6"/>
  <c r="J1322" i="6"/>
  <c r="H1322" i="6"/>
  <c r="J1321" i="6"/>
  <c r="H1321" i="6"/>
  <c r="J1320" i="6"/>
  <c r="H1320" i="6"/>
  <c r="J1319" i="6"/>
  <c r="H1319" i="6"/>
  <c r="J1318" i="6"/>
  <c r="H1318" i="6"/>
  <c r="J1317" i="6"/>
  <c r="H1317" i="6"/>
  <c r="J1316" i="6"/>
  <c r="H1316" i="6"/>
  <c r="J1315" i="6"/>
  <c r="H1315" i="6"/>
  <c r="J1314" i="6"/>
  <c r="H1314" i="6"/>
  <c r="J1313" i="6"/>
  <c r="H1313" i="6"/>
  <c r="J1312" i="6"/>
  <c r="H1312" i="6"/>
  <c r="J1311" i="6"/>
  <c r="H1311" i="6"/>
  <c r="J1310" i="6"/>
  <c r="H1310" i="6"/>
  <c r="J1309" i="6"/>
  <c r="H1309" i="6"/>
  <c r="J1308" i="6"/>
  <c r="H1308" i="6"/>
  <c r="J1307" i="6"/>
  <c r="H1307" i="6"/>
  <c r="J1306" i="6"/>
  <c r="H1306" i="6"/>
  <c r="J1305" i="6"/>
  <c r="H1305" i="6"/>
  <c r="J1304" i="6"/>
  <c r="H1304" i="6"/>
  <c r="J1303" i="6"/>
  <c r="H1303" i="6"/>
  <c r="J1302" i="6"/>
  <c r="H1302" i="6"/>
  <c r="J1301" i="6"/>
  <c r="H1301" i="6"/>
  <c r="J1300" i="6"/>
  <c r="H1300" i="6"/>
  <c r="J1299" i="6"/>
  <c r="H1299" i="6"/>
  <c r="J1298" i="6"/>
  <c r="H1298" i="6"/>
  <c r="J1297" i="6"/>
  <c r="H1297" i="6"/>
  <c r="J1296" i="6"/>
  <c r="H1296" i="6"/>
  <c r="J1295" i="6"/>
  <c r="H1295" i="6"/>
  <c r="J1294" i="6"/>
  <c r="H1294" i="6"/>
  <c r="J1293" i="6"/>
  <c r="H1293" i="6"/>
  <c r="J1292" i="6"/>
  <c r="H1292" i="6"/>
  <c r="J1291" i="6"/>
  <c r="H1291" i="6"/>
  <c r="J1290" i="6"/>
  <c r="H1290" i="6"/>
  <c r="J1289" i="6"/>
  <c r="H1289" i="6"/>
  <c r="J1288" i="6"/>
  <c r="H1288" i="6"/>
  <c r="J1287" i="6"/>
  <c r="H1287" i="6"/>
  <c r="J1286" i="6"/>
  <c r="H1286" i="6"/>
  <c r="J1285" i="6"/>
  <c r="H1285" i="6"/>
  <c r="J1284" i="6"/>
  <c r="H1284" i="6"/>
  <c r="J1283" i="6"/>
  <c r="H1283" i="6"/>
  <c r="J1282" i="6"/>
  <c r="H1282" i="6"/>
  <c r="J1281" i="6"/>
  <c r="H1281" i="6"/>
  <c r="J1280" i="6"/>
  <c r="H1280" i="6"/>
  <c r="J1279" i="6"/>
  <c r="H1279" i="6"/>
  <c r="J1278" i="6"/>
  <c r="H1278" i="6"/>
  <c r="J1277" i="6"/>
  <c r="H1277" i="6"/>
  <c r="J1276" i="6"/>
  <c r="H1276" i="6"/>
  <c r="J1275" i="6"/>
  <c r="H1275" i="6"/>
  <c r="J1274" i="6"/>
  <c r="H1274" i="6"/>
  <c r="J1273" i="6"/>
  <c r="H1273" i="6"/>
  <c r="J1272" i="6"/>
  <c r="H1272" i="6"/>
  <c r="J1271" i="6"/>
  <c r="H1271" i="6"/>
  <c r="J1270" i="6"/>
  <c r="H1270" i="6"/>
  <c r="J1269" i="6"/>
  <c r="H1269" i="6"/>
  <c r="J1268" i="6"/>
  <c r="H1268" i="6"/>
  <c r="J1267" i="6"/>
  <c r="H1267" i="6"/>
  <c r="J1266" i="6"/>
  <c r="H1266" i="6"/>
  <c r="J1265" i="6"/>
  <c r="H1265" i="6"/>
  <c r="J1264" i="6"/>
  <c r="H1264" i="6"/>
  <c r="J1263" i="6"/>
  <c r="H1263" i="6"/>
  <c r="J1262" i="6"/>
  <c r="H1262" i="6"/>
  <c r="J1261" i="6"/>
  <c r="H1261" i="6"/>
  <c r="J1260" i="6"/>
  <c r="H1260" i="6"/>
  <c r="J1259" i="6"/>
  <c r="H1259" i="6"/>
  <c r="J1258" i="6"/>
  <c r="H1258" i="6"/>
  <c r="J1257" i="6"/>
  <c r="H1257" i="6"/>
  <c r="J1256" i="6"/>
  <c r="H1256" i="6"/>
  <c r="J1255" i="6"/>
  <c r="H1255" i="6"/>
  <c r="J1254" i="6"/>
  <c r="H1254" i="6"/>
  <c r="J1253" i="6"/>
  <c r="H1253" i="6"/>
  <c r="J1252" i="6"/>
  <c r="H1252" i="6"/>
  <c r="J1251" i="6"/>
  <c r="H1251" i="6"/>
  <c r="J1250" i="6"/>
  <c r="H1250" i="6"/>
  <c r="J1249" i="6"/>
  <c r="H1249" i="6"/>
  <c r="J1248" i="6"/>
  <c r="H1248" i="6"/>
  <c r="J1247" i="6"/>
  <c r="H1247" i="6"/>
  <c r="J1246" i="6"/>
  <c r="H1246" i="6"/>
  <c r="J1245" i="6"/>
  <c r="H1245" i="6"/>
  <c r="J1244" i="6"/>
  <c r="H1244" i="6"/>
  <c r="J1243" i="6"/>
  <c r="H1243" i="6"/>
  <c r="J1242" i="6"/>
  <c r="H1242" i="6"/>
  <c r="J1241" i="6"/>
  <c r="H1241" i="6"/>
  <c r="J1240" i="6"/>
  <c r="H1240" i="6"/>
  <c r="J1239" i="6"/>
  <c r="H1239" i="6"/>
  <c r="J1238" i="6"/>
  <c r="H1238" i="6"/>
  <c r="J1237" i="6"/>
  <c r="H1237" i="6"/>
  <c r="J1236" i="6"/>
  <c r="H1236" i="6"/>
  <c r="J1235" i="6"/>
  <c r="H1235" i="6"/>
  <c r="J1234" i="6"/>
  <c r="H1234" i="6"/>
  <c r="J1233" i="6"/>
  <c r="H1233" i="6"/>
  <c r="J1232" i="6"/>
  <c r="H1232" i="6"/>
  <c r="J1231" i="6"/>
  <c r="H1231" i="6"/>
  <c r="J1230" i="6"/>
  <c r="H1230" i="6"/>
  <c r="J1229" i="6"/>
  <c r="H1229" i="6"/>
  <c r="J1228" i="6"/>
  <c r="H1228" i="6"/>
  <c r="J1227" i="6"/>
  <c r="H1227" i="6"/>
  <c r="J1226" i="6"/>
  <c r="H1226" i="6"/>
  <c r="J1225" i="6"/>
  <c r="H1225" i="6"/>
  <c r="J1224" i="6"/>
  <c r="H1224" i="6"/>
  <c r="J1223" i="6"/>
  <c r="H1223" i="6"/>
  <c r="J1222" i="6"/>
  <c r="H1222" i="6"/>
  <c r="J1221" i="6"/>
  <c r="H1221" i="6"/>
  <c r="J1220" i="6"/>
  <c r="H1220" i="6"/>
  <c r="J1219" i="6"/>
  <c r="H1219" i="6"/>
  <c r="J1218" i="6"/>
  <c r="H1218" i="6"/>
  <c r="J1217" i="6"/>
  <c r="H1217" i="6"/>
  <c r="J1216" i="6"/>
  <c r="H1216" i="6"/>
  <c r="J1215" i="6"/>
  <c r="H1215" i="6"/>
  <c r="J1214" i="6"/>
  <c r="H1214" i="6"/>
  <c r="J1213" i="6"/>
  <c r="H1213" i="6"/>
  <c r="J1212" i="6"/>
  <c r="H1212" i="6"/>
  <c r="J1211" i="6"/>
  <c r="H1211" i="6"/>
  <c r="J1210" i="6"/>
  <c r="H1210" i="6"/>
  <c r="J1209" i="6"/>
  <c r="H1209" i="6"/>
  <c r="J1208" i="6"/>
  <c r="H1208" i="6"/>
  <c r="J1207" i="6"/>
  <c r="H1207" i="6"/>
  <c r="J1206" i="6"/>
  <c r="H1206" i="6"/>
  <c r="J1205" i="6"/>
  <c r="H1205" i="6"/>
  <c r="J1204" i="6"/>
  <c r="H1204" i="6"/>
  <c r="J1203" i="6"/>
  <c r="H1203" i="6"/>
  <c r="J1202" i="6"/>
  <c r="H1202" i="6"/>
  <c r="J1201" i="6"/>
  <c r="H1201" i="6"/>
  <c r="J1200" i="6"/>
  <c r="H1200" i="6"/>
  <c r="J1199" i="6"/>
  <c r="H1199" i="6"/>
  <c r="J1198" i="6"/>
  <c r="H1198" i="6"/>
  <c r="J1197" i="6"/>
  <c r="H1197" i="6"/>
  <c r="J1196" i="6"/>
  <c r="H1196" i="6"/>
  <c r="J1195" i="6"/>
  <c r="H1195" i="6"/>
  <c r="J1194" i="6"/>
  <c r="H1194" i="6"/>
  <c r="J1193" i="6"/>
  <c r="H1193" i="6"/>
  <c r="J1192" i="6"/>
  <c r="H1192" i="6"/>
  <c r="J1191" i="6"/>
  <c r="H1191" i="6"/>
  <c r="J1190" i="6"/>
  <c r="H1190" i="6"/>
  <c r="J1189" i="6"/>
  <c r="H1189" i="6"/>
  <c r="J1188" i="6"/>
  <c r="H1188" i="6"/>
  <c r="J1187" i="6"/>
  <c r="H1187" i="6"/>
  <c r="J1186" i="6"/>
  <c r="H1186" i="6"/>
  <c r="J1185" i="6"/>
  <c r="H1185" i="6"/>
  <c r="J1184" i="6"/>
  <c r="H1184" i="6"/>
  <c r="J1183" i="6"/>
  <c r="H1183" i="6"/>
  <c r="J1182" i="6"/>
  <c r="H1182" i="6"/>
  <c r="J1181" i="6"/>
  <c r="H1181" i="6"/>
  <c r="J1180" i="6"/>
  <c r="H1180" i="6"/>
  <c r="J1179" i="6"/>
  <c r="H1179" i="6"/>
  <c r="J1178" i="6"/>
  <c r="H1178" i="6"/>
  <c r="J1177" i="6"/>
  <c r="H1177" i="6"/>
  <c r="J1176" i="6"/>
  <c r="H1176" i="6"/>
  <c r="J1175" i="6"/>
  <c r="H1175" i="6"/>
  <c r="J1174" i="6"/>
  <c r="H1174" i="6"/>
  <c r="J1173" i="6"/>
  <c r="H1173" i="6"/>
  <c r="J1172" i="6"/>
  <c r="H1172" i="6"/>
  <c r="J1171" i="6"/>
  <c r="H1171" i="6"/>
  <c r="J1170" i="6"/>
  <c r="H1170" i="6"/>
  <c r="J1169" i="6"/>
  <c r="H1169" i="6"/>
  <c r="J1168" i="6"/>
  <c r="H1168" i="6"/>
  <c r="J1167" i="6"/>
  <c r="H1167" i="6"/>
  <c r="J1166" i="6"/>
  <c r="H1166" i="6"/>
  <c r="J1165" i="6"/>
  <c r="H1165" i="6"/>
  <c r="J1164" i="6"/>
  <c r="H1164" i="6"/>
  <c r="J1163" i="6"/>
  <c r="H1163" i="6"/>
  <c r="J1162" i="6"/>
  <c r="H1162" i="6"/>
  <c r="J1161" i="6"/>
  <c r="H1161" i="6"/>
  <c r="J1160" i="6"/>
  <c r="H1160" i="6"/>
  <c r="J1159" i="6"/>
  <c r="H1159" i="6"/>
  <c r="J1158" i="6"/>
  <c r="H1158" i="6"/>
  <c r="J1157" i="6"/>
  <c r="H1157" i="6"/>
  <c r="J1156" i="6"/>
  <c r="H1156" i="6"/>
  <c r="J1155" i="6"/>
  <c r="H1155" i="6"/>
  <c r="J1154" i="6"/>
  <c r="H1154" i="6"/>
  <c r="J1153" i="6"/>
  <c r="H1153" i="6"/>
  <c r="J1152" i="6"/>
  <c r="H1152" i="6"/>
  <c r="J1151" i="6"/>
  <c r="H1151" i="6"/>
  <c r="J1150" i="6"/>
  <c r="H1150" i="6"/>
  <c r="J1149" i="6"/>
  <c r="H1149" i="6"/>
  <c r="J1148" i="6"/>
  <c r="H1148" i="6"/>
  <c r="J1147" i="6"/>
  <c r="H1147" i="6"/>
  <c r="J1146" i="6"/>
  <c r="H1146" i="6"/>
  <c r="J1145" i="6"/>
  <c r="H1145" i="6"/>
  <c r="J1144" i="6"/>
  <c r="H1144" i="6"/>
  <c r="J1143" i="6"/>
  <c r="H1143" i="6"/>
  <c r="J1142" i="6"/>
  <c r="H1142" i="6"/>
  <c r="J1141" i="6"/>
  <c r="H1141" i="6"/>
  <c r="J1140" i="6"/>
  <c r="H1140" i="6"/>
  <c r="J1139" i="6"/>
  <c r="H1139" i="6"/>
  <c r="J1138" i="6"/>
  <c r="H1138" i="6"/>
  <c r="J1137" i="6"/>
  <c r="H1137" i="6"/>
  <c r="J1136" i="6"/>
  <c r="H1136" i="6"/>
  <c r="J1135" i="6"/>
  <c r="H1135" i="6"/>
  <c r="J1134" i="6"/>
  <c r="H1134" i="6"/>
  <c r="J1133" i="6"/>
  <c r="H1133" i="6"/>
  <c r="J1132" i="6"/>
  <c r="H1132" i="6"/>
  <c r="J1131" i="6"/>
  <c r="H1131" i="6"/>
  <c r="J1130" i="6"/>
  <c r="H1130" i="6"/>
  <c r="J1129" i="6"/>
  <c r="H1129" i="6"/>
  <c r="J1128" i="6"/>
  <c r="H1128" i="6"/>
  <c r="J1127" i="6"/>
  <c r="H1127" i="6"/>
  <c r="J1126" i="6"/>
  <c r="H1126" i="6"/>
  <c r="J1125" i="6"/>
  <c r="H1125" i="6"/>
  <c r="J1124" i="6"/>
  <c r="H1124" i="6"/>
  <c r="J1123" i="6"/>
  <c r="H1123" i="6"/>
  <c r="J1122" i="6"/>
  <c r="H1122" i="6"/>
  <c r="J1121" i="6"/>
  <c r="H1121" i="6"/>
  <c r="J1120" i="6"/>
  <c r="H1120" i="6"/>
  <c r="J1119" i="6"/>
  <c r="H1119" i="6"/>
  <c r="J1118" i="6"/>
  <c r="H1118" i="6"/>
  <c r="J1117" i="6"/>
  <c r="H1117" i="6"/>
  <c r="J1116" i="6"/>
  <c r="H1116" i="6"/>
  <c r="J1115" i="6"/>
  <c r="H1115" i="6"/>
  <c r="J1114" i="6"/>
  <c r="H1114" i="6"/>
  <c r="J1113" i="6"/>
  <c r="H1113" i="6"/>
  <c r="J1112" i="6"/>
  <c r="H1112" i="6"/>
  <c r="J1111" i="6"/>
  <c r="H1111" i="6"/>
  <c r="J1110" i="6"/>
  <c r="H1110" i="6"/>
  <c r="J1109" i="6"/>
  <c r="H1109" i="6"/>
  <c r="J1108" i="6"/>
  <c r="H1108" i="6"/>
  <c r="J1107" i="6"/>
  <c r="H1107" i="6"/>
  <c r="J1106" i="6"/>
  <c r="H1106" i="6"/>
  <c r="J1105" i="6"/>
  <c r="H1105" i="6"/>
  <c r="J1104" i="6"/>
  <c r="H1104" i="6"/>
  <c r="J1103" i="6"/>
  <c r="H1103" i="6"/>
  <c r="J1102" i="6"/>
  <c r="H1102" i="6"/>
  <c r="J1101" i="6"/>
  <c r="H1101" i="6"/>
  <c r="J1100" i="6"/>
  <c r="H1100" i="6"/>
  <c r="J1099" i="6"/>
  <c r="H1099" i="6"/>
  <c r="J1098" i="6"/>
  <c r="H1098" i="6"/>
  <c r="J1097" i="6"/>
  <c r="H1097" i="6"/>
  <c r="J1096" i="6"/>
  <c r="H1096" i="6"/>
  <c r="J1095" i="6"/>
  <c r="H1095" i="6"/>
  <c r="J1094" i="6"/>
  <c r="H1094" i="6"/>
  <c r="J1093" i="6"/>
  <c r="H1093" i="6"/>
  <c r="J1092" i="6"/>
  <c r="H1092" i="6"/>
  <c r="J1091" i="6"/>
  <c r="H1091" i="6"/>
  <c r="J1090" i="6"/>
  <c r="H1090" i="6"/>
  <c r="J1089" i="6"/>
  <c r="H1089" i="6"/>
  <c r="J1088" i="6"/>
  <c r="H1088" i="6"/>
  <c r="J1087" i="6"/>
  <c r="H1087" i="6"/>
  <c r="J1086" i="6"/>
  <c r="H1086" i="6"/>
  <c r="J1085" i="6"/>
  <c r="H1085" i="6"/>
  <c r="J1084" i="6"/>
  <c r="H1084" i="6"/>
  <c r="J1083" i="6"/>
  <c r="H1083" i="6"/>
  <c r="J1082" i="6"/>
  <c r="H1082" i="6"/>
  <c r="J1081" i="6"/>
  <c r="H1081" i="6"/>
  <c r="J1080" i="6"/>
  <c r="H1080" i="6"/>
  <c r="J1079" i="6"/>
  <c r="H1079" i="6"/>
  <c r="J1078" i="6"/>
  <c r="H1078" i="6"/>
  <c r="J1077" i="6"/>
  <c r="H1077" i="6"/>
  <c r="J1076" i="6"/>
  <c r="H1076" i="6"/>
  <c r="J1075" i="6"/>
  <c r="H1075" i="6"/>
  <c r="J1074" i="6"/>
  <c r="H1074" i="6"/>
  <c r="J1073" i="6"/>
  <c r="H1073" i="6"/>
  <c r="J1072" i="6"/>
  <c r="H1072" i="6"/>
  <c r="J1071" i="6"/>
  <c r="H1071" i="6"/>
  <c r="J1070" i="6"/>
  <c r="H1070" i="6"/>
  <c r="J1069" i="6"/>
  <c r="H1069" i="6"/>
  <c r="J1068" i="6"/>
  <c r="H1068" i="6"/>
  <c r="J1067" i="6"/>
  <c r="H1067" i="6"/>
  <c r="J1066" i="6"/>
  <c r="H1066" i="6"/>
  <c r="J1065" i="6"/>
  <c r="H1065" i="6"/>
  <c r="J1064" i="6"/>
  <c r="H1064" i="6"/>
  <c r="J1063" i="6"/>
  <c r="H1063" i="6"/>
  <c r="J1062" i="6"/>
  <c r="H1062" i="6"/>
  <c r="J1061" i="6"/>
  <c r="H1061" i="6"/>
  <c r="J1060" i="6"/>
  <c r="H1060" i="6"/>
  <c r="J1059" i="6"/>
  <c r="H1059" i="6"/>
  <c r="J1058" i="6"/>
  <c r="H1058" i="6"/>
  <c r="J1057" i="6"/>
  <c r="H1057" i="6"/>
  <c r="J1056" i="6"/>
  <c r="H1056" i="6"/>
  <c r="J1055" i="6"/>
  <c r="H1055" i="6"/>
  <c r="J1054" i="6"/>
  <c r="H1054" i="6"/>
  <c r="J1053" i="6"/>
  <c r="H1053" i="6"/>
  <c r="J1052" i="6"/>
  <c r="H1052" i="6"/>
  <c r="J1051" i="6"/>
  <c r="H1051" i="6"/>
  <c r="J1050" i="6"/>
  <c r="H1050" i="6"/>
  <c r="J1049" i="6"/>
  <c r="H1049" i="6"/>
  <c r="J1048" i="6"/>
  <c r="H1048" i="6"/>
  <c r="J1047" i="6"/>
  <c r="H1047" i="6"/>
  <c r="J1046" i="6"/>
  <c r="H1046" i="6"/>
  <c r="J1045" i="6"/>
  <c r="H1045" i="6"/>
  <c r="J1044" i="6"/>
  <c r="H1044" i="6"/>
  <c r="J1043" i="6"/>
  <c r="H1043" i="6"/>
  <c r="J1042" i="6"/>
  <c r="H1042" i="6"/>
  <c r="J1041" i="6"/>
  <c r="H1041" i="6"/>
  <c r="J1040" i="6"/>
  <c r="H1040" i="6"/>
  <c r="J1039" i="6"/>
  <c r="H1039" i="6"/>
  <c r="J1038" i="6"/>
  <c r="H1038" i="6"/>
  <c r="J1037" i="6"/>
  <c r="H1037" i="6"/>
  <c r="J1036" i="6"/>
  <c r="H1036" i="6"/>
  <c r="J1035" i="6"/>
  <c r="H1035" i="6"/>
  <c r="J1034" i="6"/>
  <c r="H1034" i="6"/>
  <c r="J1033" i="6"/>
  <c r="H1033" i="6"/>
  <c r="J1032" i="6"/>
  <c r="H1032" i="6"/>
  <c r="J1031" i="6"/>
  <c r="H1031" i="6"/>
  <c r="J1030" i="6"/>
  <c r="H1030" i="6"/>
  <c r="J1029" i="6"/>
  <c r="H1029" i="6"/>
  <c r="J1028" i="6"/>
  <c r="H1028" i="6"/>
  <c r="J1027" i="6"/>
  <c r="H1027" i="6"/>
  <c r="J1026" i="6"/>
  <c r="H1026" i="6"/>
  <c r="J1025" i="6"/>
  <c r="H1025" i="6"/>
  <c r="J1024" i="6"/>
  <c r="H1024" i="6"/>
  <c r="J1023" i="6"/>
  <c r="H1023" i="6"/>
  <c r="J1022" i="6"/>
  <c r="H1022" i="6"/>
  <c r="J1021" i="6"/>
  <c r="H1021" i="6"/>
  <c r="J1020" i="6"/>
  <c r="H1020" i="6"/>
  <c r="J1019" i="6"/>
  <c r="H1019" i="6"/>
  <c r="J1018" i="6"/>
  <c r="H1018" i="6"/>
  <c r="J1017" i="6"/>
  <c r="H1017" i="6"/>
  <c r="J1016" i="6"/>
  <c r="H1016" i="6"/>
  <c r="J1015" i="6"/>
  <c r="H1015" i="6"/>
  <c r="J1014" i="6"/>
  <c r="H1014" i="6"/>
  <c r="J1013" i="6"/>
  <c r="H1013" i="6"/>
  <c r="J1012" i="6"/>
  <c r="H1012" i="6"/>
  <c r="J1011" i="6"/>
  <c r="H1011" i="6"/>
  <c r="J1010" i="6"/>
  <c r="H1010" i="6"/>
  <c r="J1009" i="6"/>
  <c r="H1009" i="6"/>
  <c r="J1008" i="6"/>
  <c r="H1008" i="6"/>
  <c r="J1007" i="6"/>
  <c r="H1007" i="6"/>
  <c r="J1006" i="6"/>
  <c r="H1006" i="6"/>
  <c r="J1005" i="6"/>
  <c r="H1005" i="6"/>
  <c r="J1004" i="6"/>
  <c r="H1004" i="6"/>
  <c r="J1003" i="6"/>
  <c r="H1003" i="6"/>
  <c r="J1002" i="6"/>
  <c r="H1002" i="6"/>
  <c r="J1001" i="6"/>
  <c r="H1001" i="6"/>
  <c r="J1000" i="6"/>
  <c r="H1000" i="6"/>
  <c r="J999" i="6"/>
  <c r="H999" i="6"/>
  <c r="J998" i="6"/>
  <c r="H998" i="6"/>
  <c r="J997" i="6"/>
  <c r="H997" i="6"/>
  <c r="J996" i="6"/>
  <c r="H996" i="6"/>
  <c r="J995" i="6"/>
  <c r="H995" i="6"/>
  <c r="J994" i="6"/>
  <c r="H994" i="6"/>
  <c r="J993" i="6"/>
  <c r="H993" i="6"/>
  <c r="J992" i="6"/>
  <c r="H992" i="6"/>
  <c r="J991" i="6"/>
  <c r="H991" i="6"/>
  <c r="J990" i="6"/>
  <c r="H990" i="6"/>
  <c r="J989" i="6"/>
  <c r="H989" i="6"/>
  <c r="J988" i="6"/>
  <c r="H988" i="6"/>
  <c r="J987" i="6"/>
  <c r="H987" i="6"/>
  <c r="J986" i="6"/>
  <c r="H986" i="6"/>
  <c r="J985" i="6"/>
  <c r="H985" i="6"/>
  <c r="J984" i="6"/>
  <c r="H984" i="6"/>
  <c r="J983" i="6"/>
  <c r="H983" i="6"/>
  <c r="J982" i="6"/>
  <c r="H982" i="6"/>
  <c r="J981" i="6"/>
  <c r="H981" i="6"/>
  <c r="J980" i="6"/>
  <c r="H980" i="6"/>
  <c r="J979" i="6"/>
  <c r="H979" i="6"/>
  <c r="J978" i="6"/>
  <c r="H978" i="6"/>
  <c r="J977" i="6"/>
  <c r="H977" i="6"/>
  <c r="J976" i="6"/>
  <c r="H976" i="6"/>
  <c r="J975" i="6"/>
  <c r="H975" i="6"/>
  <c r="J974" i="6"/>
  <c r="H974" i="6"/>
  <c r="J973" i="6"/>
  <c r="H973" i="6"/>
  <c r="J972" i="6"/>
  <c r="H972" i="6"/>
  <c r="J971" i="6"/>
  <c r="H971" i="6"/>
  <c r="J970" i="6"/>
  <c r="H970" i="6"/>
  <c r="J969" i="6"/>
  <c r="H969" i="6"/>
  <c r="J968" i="6"/>
  <c r="H968" i="6"/>
  <c r="J967" i="6"/>
  <c r="H967" i="6"/>
  <c r="J966" i="6"/>
  <c r="H966" i="6"/>
  <c r="J965" i="6"/>
  <c r="H965" i="6"/>
  <c r="J964" i="6"/>
  <c r="H964" i="6"/>
  <c r="J963" i="6"/>
  <c r="H963" i="6"/>
  <c r="J962" i="6"/>
  <c r="H962" i="6"/>
  <c r="J961" i="6"/>
  <c r="H961" i="6"/>
  <c r="J960" i="6"/>
  <c r="H960" i="6"/>
  <c r="J959" i="6"/>
  <c r="H959" i="6"/>
  <c r="J958" i="6"/>
  <c r="H958" i="6"/>
  <c r="J957" i="6"/>
  <c r="H957" i="6"/>
  <c r="J956" i="6"/>
  <c r="H956" i="6"/>
  <c r="J955" i="6"/>
  <c r="H955" i="6"/>
  <c r="J954" i="6"/>
  <c r="H954" i="6"/>
  <c r="J953" i="6"/>
  <c r="H953" i="6"/>
  <c r="J952" i="6"/>
  <c r="H952" i="6"/>
  <c r="J951" i="6"/>
  <c r="H951" i="6"/>
  <c r="J950" i="6"/>
  <c r="H950" i="6"/>
  <c r="J949" i="6"/>
  <c r="H949" i="6"/>
  <c r="J948" i="6"/>
  <c r="H948" i="6"/>
  <c r="J947" i="6"/>
  <c r="H947" i="6"/>
  <c r="J946" i="6"/>
  <c r="H946" i="6"/>
  <c r="J945" i="6"/>
  <c r="H945" i="6"/>
  <c r="J944" i="6"/>
  <c r="H944" i="6"/>
  <c r="J943" i="6"/>
  <c r="H943" i="6"/>
  <c r="J942" i="6"/>
  <c r="H942" i="6"/>
  <c r="J941" i="6"/>
  <c r="H941" i="6"/>
  <c r="J940" i="6"/>
  <c r="H940" i="6"/>
  <c r="J939" i="6"/>
  <c r="H939" i="6"/>
  <c r="J938" i="6"/>
  <c r="H938" i="6"/>
  <c r="J937" i="6"/>
  <c r="H937" i="6"/>
  <c r="J936" i="6"/>
  <c r="H936" i="6"/>
  <c r="J935" i="6"/>
  <c r="H935" i="6"/>
  <c r="J934" i="6"/>
  <c r="H934" i="6"/>
  <c r="J933" i="6"/>
  <c r="H933" i="6"/>
  <c r="J932" i="6"/>
  <c r="H932" i="6"/>
  <c r="J931" i="6"/>
  <c r="H931" i="6"/>
  <c r="J930" i="6"/>
  <c r="H930" i="6"/>
  <c r="J929" i="6"/>
  <c r="H929" i="6"/>
  <c r="J928" i="6"/>
  <c r="H928" i="6"/>
  <c r="J927" i="6"/>
  <c r="H927" i="6"/>
  <c r="J926" i="6"/>
  <c r="H926" i="6"/>
  <c r="J925" i="6"/>
  <c r="H925" i="6"/>
  <c r="J924" i="6"/>
  <c r="H924" i="6"/>
  <c r="J923" i="6"/>
  <c r="H923" i="6"/>
  <c r="J922" i="6"/>
  <c r="H922" i="6"/>
  <c r="J921" i="6"/>
  <c r="H921" i="6"/>
  <c r="J920" i="6"/>
  <c r="H920" i="6"/>
  <c r="J919" i="6"/>
  <c r="H919" i="6"/>
  <c r="J918" i="6"/>
  <c r="H918" i="6"/>
  <c r="J917" i="6"/>
  <c r="H917" i="6"/>
  <c r="J916" i="6"/>
  <c r="H916" i="6"/>
  <c r="J915" i="6"/>
  <c r="H915" i="6"/>
  <c r="J914" i="6"/>
  <c r="H914" i="6"/>
  <c r="J913" i="6"/>
  <c r="H913" i="6"/>
  <c r="J912" i="6"/>
  <c r="H912" i="6"/>
  <c r="J911" i="6"/>
  <c r="H911" i="6"/>
  <c r="J910" i="6"/>
  <c r="H910" i="6"/>
  <c r="J909" i="6"/>
  <c r="H909" i="6"/>
  <c r="J908" i="6"/>
  <c r="H908" i="6"/>
  <c r="J907" i="6"/>
  <c r="H907" i="6"/>
  <c r="J906" i="6"/>
  <c r="H906" i="6"/>
  <c r="J905" i="6"/>
  <c r="H905" i="6"/>
  <c r="J904" i="6"/>
  <c r="H904" i="6"/>
  <c r="J903" i="6"/>
  <c r="H903" i="6"/>
  <c r="J902" i="6"/>
  <c r="H902" i="6"/>
  <c r="J901" i="6"/>
  <c r="H901" i="6"/>
  <c r="J900" i="6"/>
  <c r="H900" i="6"/>
  <c r="J899" i="6"/>
  <c r="H899" i="6"/>
  <c r="J898" i="6"/>
  <c r="H898" i="6"/>
  <c r="J897" i="6"/>
  <c r="H897" i="6"/>
  <c r="J896" i="6"/>
  <c r="H896" i="6"/>
  <c r="J895" i="6"/>
  <c r="H895" i="6"/>
  <c r="J894" i="6"/>
  <c r="H894" i="6"/>
  <c r="J893" i="6"/>
  <c r="H893" i="6"/>
  <c r="J892" i="6"/>
  <c r="H892" i="6"/>
  <c r="J891" i="6"/>
  <c r="H891" i="6"/>
  <c r="J890" i="6"/>
  <c r="H890" i="6"/>
  <c r="J889" i="6"/>
  <c r="H889" i="6"/>
  <c r="J888" i="6"/>
  <c r="H888" i="6"/>
  <c r="J887" i="6"/>
  <c r="H887" i="6"/>
  <c r="J886" i="6"/>
  <c r="H886" i="6"/>
  <c r="J885" i="6"/>
  <c r="H885" i="6"/>
  <c r="J884" i="6"/>
  <c r="H884" i="6"/>
  <c r="J883" i="6"/>
  <c r="H883" i="6"/>
  <c r="J882" i="6"/>
  <c r="H882" i="6"/>
  <c r="J881" i="6"/>
  <c r="H881" i="6"/>
  <c r="J880" i="6"/>
  <c r="H880" i="6"/>
  <c r="J879" i="6"/>
  <c r="H879" i="6"/>
  <c r="J878" i="6"/>
  <c r="H878" i="6"/>
  <c r="J877" i="6"/>
  <c r="H877" i="6"/>
  <c r="J876" i="6"/>
  <c r="H876" i="6"/>
  <c r="J875" i="6"/>
  <c r="H875" i="6"/>
  <c r="J874" i="6"/>
  <c r="H874" i="6"/>
  <c r="J873" i="6"/>
  <c r="H873" i="6"/>
  <c r="J872" i="6"/>
  <c r="H872" i="6"/>
  <c r="J871" i="6"/>
  <c r="H871" i="6"/>
  <c r="J870" i="6"/>
  <c r="H870" i="6"/>
  <c r="J869" i="6"/>
  <c r="H869" i="6"/>
  <c r="J868" i="6"/>
  <c r="H868" i="6"/>
  <c r="J867" i="6"/>
  <c r="H867" i="6"/>
  <c r="J866" i="6"/>
  <c r="H866" i="6"/>
  <c r="J865" i="6"/>
  <c r="H865" i="6"/>
  <c r="J864" i="6"/>
  <c r="H864" i="6"/>
  <c r="J863" i="6"/>
  <c r="H863" i="6"/>
  <c r="J862" i="6"/>
  <c r="H862" i="6"/>
  <c r="J861" i="6"/>
  <c r="H861" i="6"/>
  <c r="J860" i="6"/>
  <c r="H860" i="6"/>
  <c r="J859" i="6"/>
  <c r="H859" i="6"/>
  <c r="J858" i="6"/>
  <c r="H858" i="6"/>
  <c r="J857" i="6"/>
  <c r="H857" i="6"/>
  <c r="J856" i="6"/>
  <c r="H856" i="6"/>
  <c r="J855" i="6"/>
  <c r="H855" i="6"/>
  <c r="J854" i="6"/>
  <c r="H854" i="6"/>
  <c r="J853" i="6"/>
  <c r="H853" i="6"/>
  <c r="J852" i="6"/>
  <c r="H852" i="6"/>
  <c r="J851" i="6"/>
  <c r="H851" i="6"/>
  <c r="J850" i="6"/>
  <c r="H850" i="6"/>
  <c r="J849" i="6"/>
  <c r="H849" i="6"/>
  <c r="J848" i="6"/>
  <c r="H848" i="6"/>
  <c r="J847" i="6"/>
  <c r="H847" i="6"/>
  <c r="J846" i="6"/>
  <c r="H846" i="6"/>
  <c r="J845" i="6"/>
  <c r="H845" i="6"/>
  <c r="J844" i="6"/>
  <c r="H844" i="6"/>
  <c r="J843" i="6"/>
  <c r="H843" i="6"/>
  <c r="J842" i="6"/>
  <c r="H842" i="6"/>
  <c r="J841" i="6"/>
  <c r="H841" i="6"/>
  <c r="J840" i="6"/>
  <c r="H840" i="6"/>
  <c r="J839" i="6"/>
  <c r="H839" i="6"/>
  <c r="J838" i="6"/>
  <c r="H838" i="6"/>
  <c r="J837" i="6"/>
  <c r="H837" i="6"/>
  <c r="J836" i="6"/>
  <c r="H836" i="6"/>
  <c r="J835" i="6"/>
  <c r="H835" i="6"/>
  <c r="J834" i="6"/>
  <c r="H834" i="6"/>
  <c r="J833" i="6"/>
  <c r="H833" i="6"/>
  <c r="J832" i="6"/>
  <c r="H832" i="6"/>
  <c r="J831" i="6"/>
  <c r="H831" i="6"/>
  <c r="J830" i="6"/>
  <c r="H830" i="6"/>
  <c r="J829" i="6"/>
  <c r="H829" i="6"/>
  <c r="J828" i="6"/>
  <c r="H828" i="6"/>
  <c r="J827" i="6"/>
  <c r="H827" i="6"/>
  <c r="J826" i="6"/>
  <c r="H826" i="6"/>
  <c r="J825" i="6"/>
  <c r="H825" i="6"/>
  <c r="J824" i="6"/>
  <c r="H824" i="6"/>
  <c r="J823" i="6"/>
  <c r="H823" i="6"/>
  <c r="J822" i="6"/>
  <c r="H822" i="6"/>
  <c r="J821" i="6"/>
  <c r="H821" i="6"/>
  <c r="J820" i="6"/>
  <c r="H820" i="6"/>
  <c r="J819" i="6"/>
  <c r="H819" i="6"/>
  <c r="J818" i="6"/>
  <c r="H818" i="6"/>
  <c r="J817" i="6"/>
  <c r="H817" i="6"/>
  <c r="J816" i="6"/>
  <c r="H816" i="6"/>
  <c r="J815" i="6"/>
  <c r="H815" i="6"/>
  <c r="J814" i="6"/>
  <c r="H814" i="6"/>
  <c r="J813" i="6"/>
  <c r="H813" i="6"/>
  <c r="J812" i="6"/>
  <c r="H812" i="6"/>
  <c r="J811" i="6"/>
  <c r="H811" i="6"/>
  <c r="J810" i="6"/>
  <c r="H810" i="6"/>
  <c r="J809" i="6"/>
  <c r="H809" i="6"/>
  <c r="J808" i="6"/>
  <c r="H808" i="6"/>
  <c r="J807" i="6"/>
  <c r="H807" i="6"/>
  <c r="J806" i="6"/>
  <c r="H806" i="6"/>
  <c r="J805" i="6"/>
  <c r="H805" i="6"/>
  <c r="J804" i="6"/>
  <c r="H804" i="6"/>
  <c r="J803" i="6"/>
  <c r="H803" i="6"/>
  <c r="J802" i="6"/>
  <c r="H802" i="6"/>
  <c r="J801" i="6"/>
  <c r="H801" i="6"/>
  <c r="J800" i="6"/>
  <c r="H800" i="6"/>
  <c r="J799" i="6"/>
  <c r="H799" i="6"/>
  <c r="J798" i="6"/>
  <c r="H798" i="6"/>
  <c r="J797" i="6"/>
  <c r="H797" i="6"/>
  <c r="J796" i="6"/>
  <c r="H796" i="6"/>
  <c r="J795" i="6"/>
  <c r="H795" i="6"/>
  <c r="J794" i="6"/>
  <c r="H794" i="6"/>
  <c r="J793" i="6"/>
  <c r="H793" i="6"/>
  <c r="J792" i="6"/>
  <c r="H792" i="6"/>
  <c r="J791" i="6"/>
  <c r="H791" i="6"/>
  <c r="J790" i="6"/>
  <c r="H790" i="6"/>
  <c r="J789" i="6"/>
  <c r="H789" i="6"/>
  <c r="J788" i="6"/>
  <c r="H788" i="6"/>
  <c r="J787" i="6"/>
  <c r="H787" i="6"/>
  <c r="J786" i="6"/>
  <c r="H786" i="6"/>
  <c r="J785" i="6"/>
  <c r="H785" i="6"/>
  <c r="J784" i="6"/>
  <c r="H784" i="6"/>
  <c r="J783" i="6"/>
  <c r="H783" i="6"/>
  <c r="J782" i="6"/>
  <c r="H782" i="6"/>
  <c r="J781" i="6"/>
  <c r="H781" i="6"/>
  <c r="J780" i="6"/>
  <c r="H780" i="6"/>
  <c r="J779" i="6"/>
  <c r="H779" i="6"/>
  <c r="J778" i="6"/>
  <c r="H778" i="6"/>
  <c r="J777" i="6"/>
  <c r="H777" i="6"/>
  <c r="J776" i="6"/>
  <c r="H776" i="6"/>
  <c r="J775" i="6"/>
  <c r="H775" i="6"/>
  <c r="J774" i="6"/>
  <c r="H774" i="6"/>
  <c r="J773" i="6"/>
  <c r="H773" i="6"/>
  <c r="J772" i="6"/>
  <c r="H772" i="6"/>
  <c r="J771" i="6"/>
  <c r="H771" i="6"/>
  <c r="J770" i="6"/>
  <c r="H770" i="6"/>
  <c r="J769" i="6"/>
  <c r="H769" i="6"/>
  <c r="J768" i="6"/>
  <c r="H768" i="6"/>
  <c r="J767" i="6"/>
  <c r="H767" i="6"/>
  <c r="J766" i="6"/>
  <c r="H766" i="6"/>
  <c r="J765" i="6"/>
  <c r="H765" i="6"/>
  <c r="J764" i="6"/>
  <c r="H764" i="6"/>
  <c r="J763" i="6"/>
  <c r="H763" i="6"/>
  <c r="J762" i="6"/>
  <c r="H762" i="6"/>
  <c r="J761" i="6"/>
  <c r="H761" i="6"/>
  <c r="J760" i="6"/>
  <c r="H760" i="6"/>
  <c r="J759" i="6"/>
  <c r="H759" i="6"/>
  <c r="J758" i="6"/>
  <c r="H758" i="6"/>
  <c r="J757" i="6"/>
  <c r="H757" i="6"/>
  <c r="J756" i="6"/>
  <c r="H756" i="6"/>
  <c r="J755" i="6"/>
  <c r="H755" i="6"/>
  <c r="J754" i="6"/>
  <c r="H754" i="6"/>
  <c r="J753" i="6"/>
  <c r="H753" i="6"/>
  <c r="J752" i="6"/>
  <c r="H752" i="6"/>
  <c r="J751" i="6"/>
  <c r="H751" i="6"/>
  <c r="J750" i="6"/>
  <c r="H750" i="6"/>
  <c r="J749" i="6"/>
  <c r="H749" i="6"/>
  <c r="J748" i="6"/>
  <c r="H748" i="6"/>
  <c r="J747" i="6"/>
  <c r="H747" i="6"/>
  <c r="J746" i="6"/>
  <c r="H746" i="6"/>
  <c r="J745" i="6"/>
  <c r="H745" i="6"/>
  <c r="J744" i="6"/>
  <c r="H744" i="6"/>
  <c r="J743" i="6"/>
  <c r="H743" i="6"/>
  <c r="J742" i="6"/>
  <c r="H742" i="6"/>
  <c r="J741" i="6"/>
  <c r="H741" i="6"/>
  <c r="J740" i="6"/>
  <c r="H740" i="6"/>
  <c r="J739" i="6"/>
  <c r="H739" i="6"/>
  <c r="J738" i="6"/>
  <c r="H738" i="6"/>
  <c r="J737" i="6"/>
  <c r="H737" i="6"/>
  <c r="J736" i="6"/>
  <c r="H736" i="6"/>
  <c r="J735" i="6"/>
  <c r="H735" i="6"/>
  <c r="J734" i="6"/>
  <c r="H734" i="6"/>
  <c r="J733" i="6"/>
  <c r="H733" i="6"/>
  <c r="J732" i="6"/>
  <c r="H732" i="6"/>
  <c r="J731" i="6"/>
  <c r="H731" i="6"/>
  <c r="J730" i="6"/>
  <c r="H730" i="6"/>
  <c r="J729" i="6"/>
  <c r="H729" i="6"/>
  <c r="J728" i="6"/>
  <c r="H728" i="6"/>
  <c r="J727" i="6"/>
  <c r="H727" i="6"/>
  <c r="J726" i="6"/>
  <c r="H726" i="6"/>
  <c r="J725" i="6"/>
  <c r="H725" i="6"/>
  <c r="J724" i="6"/>
  <c r="H724" i="6"/>
  <c r="J723" i="6"/>
  <c r="H723" i="6"/>
  <c r="J722" i="6"/>
  <c r="H722" i="6"/>
  <c r="J721" i="6"/>
  <c r="H721" i="6"/>
  <c r="J720" i="6"/>
  <c r="H720" i="6"/>
  <c r="J719" i="6"/>
  <c r="H719" i="6"/>
  <c r="J718" i="6"/>
  <c r="H718" i="6"/>
  <c r="J717" i="6"/>
  <c r="H717" i="6"/>
  <c r="J716" i="6"/>
  <c r="H716" i="6"/>
  <c r="J715" i="6"/>
  <c r="H715" i="6"/>
  <c r="J714" i="6"/>
  <c r="H714" i="6"/>
  <c r="J713" i="6"/>
  <c r="H713" i="6"/>
  <c r="J712" i="6"/>
  <c r="H712" i="6"/>
  <c r="J711" i="6"/>
  <c r="H711" i="6"/>
  <c r="J710" i="6"/>
  <c r="H710" i="6"/>
  <c r="J709" i="6"/>
  <c r="H709" i="6"/>
  <c r="J708" i="6"/>
  <c r="H708" i="6"/>
  <c r="J707" i="6"/>
  <c r="H707" i="6"/>
  <c r="J706" i="6"/>
  <c r="H706" i="6"/>
  <c r="J705" i="6"/>
  <c r="H705" i="6"/>
  <c r="J704" i="6"/>
  <c r="H704" i="6"/>
  <c r="J703" i="6"/>
  <c r="H703" i="6"/>
  <c r="J702" i="6"/>
  <c r="H702" i="6"/>
  <c r="J701" i="6"/>
  <c r="H701" i="6"/>
  <c r="J700" i="6"/>
  <c r="H700" i="6"/>
  <c r="J699" i="6"/>
  <c r="H699" i="6"/>
  <c r="J698" i="6"/>
  <c r="H698" i="6"/>
  <c r="J697" i="6"/>
  <c r="H697" i="6"/>
  <c r="J696" i="6"/>
  <c r="H696" i="6"/>
  <c r="J695" i="6"/>
  <c r="H695" i="6"/>
  <c r="J694" i="6"/>
  <c r="H694" i="6"/>
  <c r="J693" i="6"/>
  <c r="H693" i="6"/>
  <c r="J692" i="6"/>
  <c r="H692" i="6"/>
  <c r="J691" i="6"/>
  <c r="H691" i="6"/>
  <c r="J690" i="6"/>
  <c r="H690" i="6"/>
  <c r="J689" i="6"/>
  <c r="H689" i="6"/>
  <c r="J688" i="6"/>
  <c r="H688" i="6"/>
  <c r="J687" i="6"/>
  <c r="H687" i="6"/>
  <c r="J686" i="6"/>
  <c r="H686" i="6"/>
  <c r="J685" i="6"/>
  <c r="H685" i="6"/>
  <c r="J684" i="6"/>
  <c r="H684" i="6"/>
  <c r="J683" i="6"/>
  <c r="H683" i="6"/>
  <c r="J682" i="6"/>
  <c r="H682" i="6"/>
  <c r="J681" i="6"/>
  <c r="H681" i="6"/>
  <c r="J680" i="6"/>
  <c r="H680" i="6"/>
  <c r="J679" i="6"/>
  <c r="H679" i="6"/>
  <c r="J678" i="6"/>
  <c r="H678" i="6"/>
  <c r="J677" i="6"/>
  <c r="H677" i="6"/>
  <c r="J676" i="6"/>
  <c r="H676" i="6"/>
  <c r="J675" i="6"/>
  <c r="H675" i="6"/>
  <c r="J674" i="6"/>
  <c r="H674" i="6"/>
  <c r="J673" i="6"/>
  <c r="H673" i="6"/>
  <c r="J672" i="6"/>
  <c r="H672" i="6"/>
  <c r="J671" i="6"/>
  <c r="H671" i="6"/>
  <c r="J670" i="6"/>
  <c r="H670" i="6"/>
  <c r="J669" i="6"/>
  <c r="H669" i="6"/>
  <c r="J668" i="6"/>
  <c r="H668" i="6"/>
  <c r="J667" i="6"/>
  <c r="H667" i="6"/>
  <c r="J666" i="6"/>
  <c r="H666" i="6"/>
  <c r="J665" i="6"/>
  <c r="H665" i="6"/>
  <c r="J664" i="6"/>
  <c r="H664" i="6"/>
  <c r="J663" i="6"/>
  <c r="H663" i="6"/>
  <c r="J662" i="6"/>
  <c r="H662" i="6"/>
  <c r="J661" i="6"/>
  <c r="H661" i="6"/>
  <c r="J660" i="6"/>
  <c r="H660" i="6"/>
  <c r="J659" i="6"/>
  <c r="H659" i="6"/>
  <c r="J658" i="6"/>
  <c r="H658" i="6"/>
  <c r="J657" i="6"/>
  <c r="H657" i="6"/>
  <c r="J656" i="6"/>
  <c r="H656" i="6"/>
  <c r="J655" i="6"/>
  <c r="H655" i="6"/>
  <c r="J654" i="6"/>
  <c r="H654" i="6"/>
  <c r="J653" i="6"/>
  <c r="H653" i="6"/>
  <c r="J652" i="6"/>
  <c r="H652" i="6"/>
  <c r="J651" i="6"/>
  <c r="H651" i="6"/>
  <c r="J650" i="6"/>
  <c r="H650" i="6"/>
  <c r="J649" i="6"/>
  <c r="H649" i="6"/>
  <c r="J648" i="6"/>
  <c r="H648" i="6"/>
  <c r="J647" i="6"/>
  <c r="H647" i="6"/>
  <c r="J646" i="6"/>
  <c r="H646" i="6"/>
  <c r="J645" i="6"/>
  <c r="H645" i="6"/>
  <c r="J644" i="6"/>
  <c r="H644" i="6"/>
  <c r="J643" i="6"/>
  <c r="H643" i="6"/>
  <c r="J642" i="6"/>
  <c r="H642" i="6"/>
  <c r="J641" i="6"/>
  <c r="H641" i="6"/>
  <c r="J640" i="6"/>
  <c r="H640" i="6"/>
  <c r="J639" i="6"/>
  <c r="H639" i="6"/>
  <c r="J638" i="6"/>
  <c r="H638" i="6"/>
  <c r="J637" i="6"/>
  <c r="H637" i="6"/>
  <c r="J636" i="6"/>
  <c r="H636" i="6"/>
  <c r="J635" i="6"/>
  <c r="H635" i="6"/>
  <c r="J634" i="6"/>
  <c r="H634" i="6"/>
  <c r="J633" i="6"/>
  <c r="H633" i="6"/>
  <c r="J632" i="6"/>
  <c r="H632" i="6"/>
  <c r="J631" i="6"/>
  <c r="H631" i="6"/>
  <c r="J630" i="6"/>
  <c r="H630" i="6"/>
  <c r="J629" i="6"/>
  <c r="H629" i="6"/>
  <c r="J628" i="6"/>
  <c r="H628" i="6"/>
  <c r="J627" i="6"/>
  <c r="H627" i="6"/>
  <c r="J626" i="6"/>
  <c r="H626" i="6"/>
  <c r="J625" i="6"/>
  <c r="H625" i="6"/>
  <c r="J624" i="6"/>
  <c r="H624" i="6"/>
  <c r="J623" i="6"/>
  <c r="H623" i="6"/>
  <c r="J622" i="6"/>
  <c r="H622" i="6"/>
  <c r="J621" i="6"/>
  <c r="H621" i="6"/>
  <c r="J620" i="6"/>
  <c r="H620" i="6"/>
  <c r="J619" i="6"/>
  <c r="H619" i="6"/>
  <c r="J618" i="6"/>
  <c r="H618" i="6"/>
  <c r="J617" i="6"/>
  <c r="H617" i="6"/>
  <c r="J616" i="6"/>
  <c r="H616" i="6"/>
  <c r="J615" i="6"/>
  <c r="H615" i="6"/>
  <c r="J614" i="6"/>
  <c r="H614" i="6"/>
  <c r="J613" i="6"/>
  <c r="H613" i="6"/>
  <c r="J612" i="6"/>
  <c r="H612" i="6"/>
  <c r="J611" i="6"/>
  <c r="H611" i="6"/>
  <c r="J610" i="6"/>
  <c r="H610" i="6"/>
  <c r="J609" i="6"/>
  <c r="H609" i="6"/>
  <c r="J608" i="6"/>
  <c r="H608" i="6"/>
  <c r="J607" i="6"/>
  <c r="H607" i="6"/>
  <c r="J606" i="6"/>
  <c r="H606" i="6"/>
  <c r="J605" i="6"/>
  <c r="H605" i="6"/>
  <c r="J604" i="6"/>
  <c r="H604" i="6"/>
  <c r="J603" i="6"/>
  <c r="H603" i="6"/>
  <c r="J602" i="6"/>
  <c r="H602" i="6"/>
  <c r="J601" i="6"/>
  <c r="H601" i="6"/>
  <c r="J600" i="6"/>
  <c r="H600" i="6"/>
  <c r="J599" i="6"/>
  <c r="H599" i="6"/>
  <c r="J598" i="6"/>
  <c r="H598" i="6"/>
  <c r="J597" i="6"/>
  <c r="H597" i="6"/>
  <c r="J596" i="6"/>
  <c r="H596" i="6"/>
  <c r="J595" i="6"/>
  <c r="H595" i="6"/>
  <c r="J594" i="6"/>
  <c r="H594" i="6"/>
  <c r="J593" i="6"/>
  <c r="H593" i="6"/>
  <c r="J592" i="6"/>
  <c r="H592" i="6"/>
  <c r="J591" i="6"/>
  <c r="H591" i="6"/>
  <c r="J590" i="6"/>
  <c r="H590" i="6"/>
  <c r="J589" i="6"/>
  <c r="H589" i="6"/>
  <c r="J588" i="6"/>
  <c r="H588" i="6"/>
  <c r="J587" i="6"/>
  <c r="H587" i="6"/>
  <c r="J586" i="6"/>
  <c r="H586" i="6"/>
  <c r="J585" i="6"/>
  <c r="H585" i="6"/>
  <c r="J584" i="6"/>
  <c r="H584" i="6"/>
  <c r="J583" i="6"/>
  <c r="H583" i="6"/>
  <c r="J582" i="6"/>
  <c r="H582" i="6"/>
  <c r="J581" i="6"/>
  <c r="H581" i="6"/>
  <c r="J580" i="6"/>
  <c r="H580" i="6"/>
  <c r="J579" i="6"/>
  <c r="H579" i="6"/>
  <c r="J578" i="6"/>
  <c r="H578" i="6"/>
  <c r="J577" i="6"/>
  <c r="H577" i="6"/>
  <c r="J576" i="6"/>
  <c r="H576" i="6"/>
  <c r="J575" i="6"/>
  <c r="H575" i="6"/>
  <c r="J574" i="6"/>
  <c r="H574" i="6"/>
  <c r="J573" i="6"/>
  <c r="H573" i="6"/>
  <c r="J572" i="6"/>
  <c r="H572" i="6"/>
  <c r="J571" i="6"/>
  <c r="H571" i="6"/>
  <c r="J570" i="6"/>
  <c r="H570" i="6"/>
  <c r="J569" i="6"/>
  <c r="H569" i="6"/>
  <c r="J568" i="6"/>
  <c r="H568" i="6"/>
  <c r="J567" i="6"/>
  <c r="H567" i="6"/>
  <c r="J566" i="6"/>
  <c r="H566" i="6"/>
  <c r="J565" i="6"/>
  <c r="H565" i="6"/>
  <c r="J564" i="6"/>
  <c r="H564" i="6"/>
  <c r="J563" i="6"/>
  <c r="H563" i="6"/>
  <c r="J562" i="6"/>
  <c r="H562" i="6"/>
  <c r="J561" i="6"/>
  <c r="H561" i="6"/>
  <c r="J560" i="6"/>
  <c r="H560" i="6"/>
  <c r="J559" i="6"/>
  <c r="H559" i="6"/>
  <c r="J558" i="6"/>
  <c r="H558" i="6"/>
  <c r="J557" i="6"/>
  <c r="H557" i="6"/>
  <c r="J556" i="6"/>
  <c r="H556" i="6"/>
  <c r="J555" i="6"/>
  <c r="H555" i="6"/>
  <c r="J554" i="6"/>
  <c r="H554" i="6"/>
  <c r="J553" i="6"/>
  <c r="H553" i="6"/>
  <c r="J552" i="6"/>
  <c r="H552" i="6"/>
  <c r="J551" i="6"/>
  <c r="H551" i="6"/>
  <c r="J550" i="6"/>
  <c r="H550" i="6"/>
  <c r="J549" i="6"/>
  <c r="H549" i="6"/>
  <c r="J548" i="6"/>
  <c r="H548" i="6"/>
  <c r="J547" i="6"/>
  <c r="H547" i="6"/>
  <c r="J546" i="6"/>
  <c r="H546" i="6"/>
  <c r="J545" i="6"/>
  <c r="H545" i="6"/>
  <c r="J544" i="6"/>
  <c r="H544" i="6"/>
  <c r="J543" i="6"/>
  <c r="H543" i="6"/>
  <c r="J542" i="6"/>
  <c r="H542" i="6"/>
  <c r="J541" i="6"/>
  <c r="H541" i="6"/>
  <c r="J540" i="6"/>
  <c r="H540" i="6"/>
  <c r="J539" i="6"/>
  <c r="H539" i="6"/>
  <c r="J538" i="6"/>
  <c r="H538" i="6"/>
  <c r="J537" i="6"/>
  <c r="H537" i="6"/>
  <c r="J536" i="6"/>
  <c r="H536" i="6"/>
  <c r="J535" i="6"/>
  <c r="H535" i="6"/>
  <c r="J534" i="6"/>
  <c r="H534" i="6"/>
  <c r="J533" i="6"/>
  <c r="H533" i="6"/>
  <c r="J532" i="6"/>
  <c r="H532" i="6"/>
  <c r="J531" i="6"/>
  <c r="H531" i="6"/>
  <c r="J530" i="6"/>
  <c r="H530" i="6"/>
  <c r="J529" i="6"/>
  <c r="H529" i="6"/>
  <c r="J528" i="6"/>
  <c r="H528" i="6"/>
  <c r="J527" i="6"/>
  <c r="H527" i="6"/>
  <c r="J526" i="6"/>
  <c r="H526" i="6"/>
  <c r="J525" i="6"/>
  <c r="H525" i="6"/>
  <c r="J524" i="6"/>
  <c r="H524" i="6"/>
  <c r="J523" i="6"/>
  <c r="H523" i="6"/>
  <c r="J522" i="6"/>
  <c r="H522" i="6"/>
  <c r="J521" i="6"/>
  <c r="H521" i="6"/>
  <c r="J520" i="6"/>
  <c r="H520" i="6"/>
  <c r="J519" i="6"/>
  <c r="H519" i="6"/>
  <c r="J518" i="6"/>
  <c r="H518" i="6"/>
  <c r="J517" i="6"/>
  <c r="H517" i="6"/>
  <c r="J516" i="6"/>
  <c r="H516" i="6"/>
  <c r="J515" i="6"/>
  <c r="H515" i="6"/>
  <c r="J514" i="6"/>
  <c r="H514" i="6"/>
  <c r="J513" i="6"/>
  <c r="H513" i="6"/>
  <c r="J512" i="6"/>
  <c r="H512" i="6"/>
  <c r="J511" i="6"/>
  <c r="H511" i="6"/>
  <c r="J510" i="6"/>
  <c r="H510" i="6"/>
  <c r="J509" i="6"/>
  <c r="H509" i="6"/>
  <c r="J508" i="6"/>
  <c r="H508" i="6"/>
  <c r="J507" i="6"/>
  <c r="H507" i="6"/>
  <c r="J506" i="6"/>
  <c r="H506" i="6"/>
  <c r="J505" i="6"/>
  <c r="H505" i="6"/>
  <c r="J504" i="6"/>
  <c r="H504" i="6"/>
  <c r="J503" i="6"/>
  <c r="H503" i="6"/>
  <c r="J502" i="6"/>
  <c r="H502" i="6"/>
  <c r="J501" i="6"/>
  <c r="H501" i="6"/>
  <c r="J500" i="6"/>
  <c r="H500" i="6"/>
  <c r="J499" i="6"/>
  <c r="H499" i="6"/>
  <c r="J498" i="6"/>
  <c r="H498" i="6"/>
  <c r="J497" i="6"/>
  <c r="H497" i="6"/>
  <c r="J496" i="6"/>
  <c r="H496" i="6"/>
  <c r="J495" i="6"/>
  <c r="H495" i="6"/>
  <c r="J494" i="6"/>
  <c r="H494" i="6"/>
  <c r="J493" i="6"/>
  <c r="H493" i="6"/>
  <c r="J492" i="6"/>
  <c r="H492" i="6"/>
  <c r="J491" i="6"/>
  <c r="H491" i="6"/>
  <c r="J490" i="6"/>
  <c r="H490" i="6"/>
  <c r="J489" i="6"/>
  <c r="H489" i="6"/>
  <c r="J488" i="6"/>
  <c r="H488" i="6"/>
  <c r="J487" i="6"/>
  <c r="H487" i="6"/>
  <c r="J486" i="6"/>
  <c r="H486" i="6"/>
  <c r="J485" i="6"/>
  <c r="H485" i="6"/>
  <c r="J484" i="6"/>
  <c r="H484" i="6"/>
  <c r="J483" i="6"/>
  <c r="H483" i="6"/>
  <c r="J482" i="6"/>
  <c r="H482" i="6"/>
  <c r="J481" i="6"/>
  <c r="H481" i="6"/>
  <c r="J480" i="6"/>
  <c r="H480" i="6"/>
  <c r="J479" i="6"/>
  <c r="H479" i="6"/>
  <c r="J478" i="6"/>
  <c r="H478" i="6"/>
  <c r="J477" i="6"/>
  <c r="H477" i="6"/>
  <c r="J476" i="6"/>
  <c r="H476" i="6"/>
  <c r="J475" i="6"/>
  <c r="H475" i="6"/>
  <c r="J474" i="6"/>
  <c r="H474" i="6"/>
  <c r="J473" i="6"/>
  <c r="H473" i="6"/>
  <c r="J472" i="6"/>
  <c r="H472" i="6"/>
  <c r="J471" i="6"/>
  <c r="H471" i="6"/>
  <c r="J470" i="6"/>
  <c r="H470" i="6"/>
  <c r="J469" i="6"/>
  <c r="H469" i="6"/>
  <c r="J468" i="6"/>
  <c r="H468" i="6"/>
  <c r="J467" i="6"/>
  <c r="H467" i="6"/>
  <c r="J466" i="6"/>
  <c r="H466" i="6"/>
  <c r="J465" i="6"/>
  <c r="H465" i="6"/>
  <c r="J464" i="6"/>
  <c r="H464" i="6"/>
  <c r="J463" i="6"/>
  <c r="H463" i="6"/>
  <c r="J462" i="6"/>
  <c r="H462" i="6"/>
  <c r="J461" i="6"/>
  <c r="H461" i="6"/>
  <c r="J460" i="6"/>
  <c r="H460" i="6"/>
  <c r="J459" i="6"/>
  <c r="H459" i="6"/>
  <c r="J458" i="6"/>
  <c r="H458" i="6"/>
  <c r="J457" i="6"/>
  <c r="H457" i="6"/>
  <c r="J456" i="6"/>
  <c r="H456" i="6"/>
  <c r="J455" i="6"/>
  <c r="H455" i="6"/>
  <c r="J454" i="6"/>
  <c r="H454" i="6"/>
  <c r="J453" i="6"/>
  <c r="H453" i="6"/>
  <c r="J452" i="6"/>
  <c r="H452" i="6"/>
  <c r="J451" i="6"/>
  <c r="H451" i="6"/>
  <c r="J450" i="6"/>
  <c r="H450" i="6"/>
  <c r="J449" i="6"/>
  <c r="H449" i="6"/>
  <c r="J448" i="6"/>
  <c r="H448" i="6"/>
  <c r="J447" i="6"/>
  <c r="H447" i="6"/>
  <c r="J446" i="6"/>
  <c r="H446" i="6"/>
  <c r="J445" i="6"/>
  <c r="H445" i="6"/>
  <c r="J444" i="6"/>
  <c r="H444" i="6"/>
  <c r="J443" i="6"/>
  <c r="H443" i="6"/>
  <c r="J442" i="6"/>
  <c r="H442" i="6"/>
  <c r="J441" i="6"/>
  <c r="H441" i="6"/>
  <c r="J440" i="6"/>
  <c r="H440" i="6"/>
  <c r="J439" i="6"/>
  <c r="H439" i="6"/>
  <c r="J438" i="6"/>
  <c r="H438" i="6"/>
  <c r="J437" i="6"/>
  <c r="H437" i="6"/>
  <c r="J436" i="6"/>
  <c r="H436" i="6"/>
  <c r="J435" i="6"/>
  <c r="H435" i="6"/>
  <c r="J434" i="6"/>
  <c r="H434" i="6"/>
  <c r="J433" i="6"/>
  <c r="H433" i="6"/>
  <c r="J432" i="6"/>
  <c r="H432" i="6"/>
  <c r="J431" i="6"/>
  <c r="H431" i="6"/>
  <c r="J430" i="6"/>
  <c r="H430" i="6"/>
  <c r="J429" i="6"/>
  <c r="H429" i="6"/>
  <c r="J428" i="6"/>
  <c r="H428" i="6"/>
  <c r="J427" i="6"/>
  <c r="H427" i="6"/>
  <c r="J426" i="6"/>
  <c r="H426" i="6"/>
  <c r="J425" i="6"/>
  <c r="H425" i="6"/>
  <c r="J424" i="6"/>
  <c r="H424" i="6"/>
  <c r="J423" i="6"/>
  <c r="H423" i="6"/>
  <c r="J422" i="6"/>
  <c r="H422" i="6"/>
  <c r="J421" i="6"/>
  <c r="H421" i="6"/>
  <c r="J420" i="6"/>
  <c r="H420" i="6"/>
  <c r="J419" i="6"/>
  <c r="H419" i="6"/>
  <c r="J418" i="6"/>
  <c r="H418" i="6"/>
  <c r="J417" i="6"/>
  <c r="H417" i="6"/>
  <c r="J416" i="6"/>
  <c r="H416" i="6"/>
  <c r="J415" i="6"/>
  <c r="H415" i="6"/>
  <c r="J414" i="6"/>
  <c r="H414" i="6"/>
  <c r="J413" i="6"/>
  <c r="H413" i="6"/>
  <c r="J412" i="6"/>
  <c r="H412" i="6"/>
  <c r="J411" i="6"/>
  <c r="H411" i="6"/>
  <c r="J410" i="6"/>
  <c r="H410" i="6"/>
  <c r="J409" i="6"/>
  <c r="H409" i="6"/>
  <c r="J408" i="6"/>
  <c r="H408" i="6"/>
  <c r="J407" i="6"/>
  <c r="H407" i="6"/>
  <c r="J406" i="6"/>
  <c r="H406" i="6"/>
  <c r="J405" i="6"/>
  <c r="H405" i="6"/>
  <c r="J404" i="6"/>
  <c r="H404" i="6"/>
  <c r="J403" i="6"/>
  <c r="H403" i="6"/>
  <c r="J402" i="6"/>
  <c r="H402" i="6"/>
  <c r="J401" i="6"/>
  <c r="H401" i="6"/>
  <c r="J400" i="6"/>
  <c r="H400" i="6"/>
  <c r="J399" i="6"/>
  <c r="H399" i="6"/>
  <c r="J398" i="6"/>
  <c r="H398" i="6"/>
  <c r="J397" i="6"/>
  <c r="H397" i="6"/>
  <c r="J396" i="6"/>
  <c r="H396" i="6"/>
  <c r="J395" i="6"/>
  <c r="H395" i="6"/>
  <c r="J394" i="6"/>
  <c r="H394" i="6"/>
  <c r="J393" i="6"/>
  <c r="H393" i="6"/>
  <c r="J392" i="6"/>
  <c r="H392" i="6"/>
  <c r="J391" i="6"/>
  <c r="H391" i="6"/>
  <c r="J390" i="6"/>
  <c r="H390" i="6"/>
  <c r="J389" i="6"/>
  <c r="H389" i="6"/>
  <c r="J388" i="6"/>
  <c r="H388" i="6"/>
  <c r="J387" i="6"/>
  <c r="H387" i="6"/>
  <c r="J386" i="6"/>
  <c r="H386" i="6"/>
  <c r="J385" i="6"/>
  <c r="H385" i="6"/>
  <c r="J384" i="6"/>
  <c r="H384" i="6"/>
  <c r="J383" i="6"/>
  <c r="H383" i="6"/>
  <c r="J382" i="6"/>
  <c r="H382" i="6"/>
  <c r="J381" i="6"/>
  <c r="H381" i="6"/>
  <c r="J380" i="6"/>
  <c r="H380" i="6"/>
  <c r="J379" i="6"/>
  <c r="H379" i="6"/>
  <c r="J378" i="6"/>
  <c r="H378" i="6"/>
  <c r="J377" i="6"/>
  <c r="H377" i="6"/>
  <c r="J376" i="6"/>
  <c r="H376" i="6"/>
  <c r="J375" i="6"/>
  <c r="H375" i="6"/>
  <c r="J374" i="6"/>
  <c r="H374" i="6"/>
  <c r="J373" i="6"/>
  <c r="H373" i="6"/>
  <c r="J372" i="6"/>
  <c r="H372" i="6"/>
  <c r="J371" i="6"/>
  <c r="H371" i="6"/>
  <c r="J370" i="6"/>
  <c r="H370" i="6"/>
  <c r="J369" i="6"/>
  <c r="H369" i="6"/>
  <c r="J368" i="6"/>
  <c r="H368" i="6"/>
  <c r="J367" i="6"/>
  <c r="H367" i="6"/>
  <c r="J366" i="6"/>
  <c r="H366" i="6"/>
  <c r="J365" i="6"/>
  <c r="H365" i="6"/>
  <c r="J364" i="6"/>
  <c r="H364" i="6"/>
  <c r="J363" i="6"/>
  <c r="H363" i="6"/>
  <c r="J362" i="6"/>
  <c r="H362" i="6"/>
  <c r="J361" i="6"/>
  <c r="H361" i="6"/>
  <c r="J360" i="6"/>
  <c r="H360" i="6"/>
  <c r="J359" i="6"/>
  <c r="H359" i="6"/>
  <c r="J358" i="6"/>
  <c r="H358" i="6"/>
  <c r="J357" i="6"/>
  <c r="H357" i="6"/>
  <c r="J356" i="6"/>
  <c r="H356" i="6"/>
  <c r="J355" i="6"/>
  <c r="H355" i="6"/>
  <c r="J354" i="6"/>
  <c r="H354" i="6"/>
  <c r="J353" i="6"/>
  <c r="H353" i="6"/>
  <c r="J352" i="6"/>
  <c r="H352" i="6"/>
  <c r="J351" i="6"/>
  <c r="H351" i="6"/>
  <c r="J350" i="6"/>
  <c r="H350" i="6"/>
  <c r="J349" i="6"/>
  <c r="H349" i="6"/>
  <c r="J348" i="6"/>
  <c r="H348" i="6"/>
  <c r="J347" i="6"/>
  <c r="H347" i="6"/>
  <c r="J346" i="6"/>
  <c r="H346" i="6"/>
  <c r="J345" i="6"/>
  <c r="H345" i="6"/>
  <c r="J344" i="6"/>
  <c r="H344" i="6"/>
  <c r="J343" i="6"/>
  <c r="H343" i="6"/>
  <c r="J342" i="6"/>
  <c r="H342" i="6"/>
  <c r="J341" i="6"/>
  <c r="H341" i="6"/>
  <c r="J340" i="6"/>
  <c r="H340" i="6"/>
  <c r="J339" i="6"/>
  <c r="H339" i="6"/>
  <c r="J338" i="6"/>
  <c r="H338" i="6"/>
  <c r="J337" i="6"/>
  <c r="H337" i="6"/>
  <c r="J336" i="6"/>
  <c r="H336" i="6"/>
  <c r="J335" i="6"/>
  <c r="H335" i="6"/>
  <c r="J334" i="6"/>
  <c r="H334" i="6"/>
  <c r="J333" i="6"/>
  <c r="H333" i="6"/>
  <c r="J332" i="6"/>
  <c r="H332" i="6"/>
  <c r="J331" i="6"/>
  <c r="H331" i="6"/>
  <c r="J330" i="6"/>
  <c r="H330" i="6"/>
  <c r="J329" i="6"/>
  <c r="H329" i="6"/>
  <c r="J328" i="6"/>
  <c r="H328" i="6"/>
  <c r="J327" i="6"/>
  <c r="H327" i="6"/>
  <c r="J326" i="6"/>
  <c r="H326" i="6"/>
  <c r="J325" i="6"/>
  <c r="H325" i="6"/>
  <c r="J324" i="6"/>
  <c r="H324" i="6"/>
  <c r="J323" i="6"/>
  <c r="H323" i="6"/>
  <c r="J322" i="6"/>
  <c r="H322" i="6"/>
  <c r="J321" i="6"/>
  <c r="H321" i="6"/>
  <c r="J320" i="6"/>
  <c r="H320" i="6"/>
  <c r="J319" i="6"/>
  <c r="H319" i="6"/>
  <c r="J318" i="6"/>
  <c r="H318" i="6"/>
  <c r="J317" i="6"/>
  <c r="H317" i="6"/>
  <c r="J316" i="6"/>
  <c r="H316" i="6"/>
  <c r="J315" i="6"/>
  <c r="H315" i="6"/>
  <c r="J314" i="6"/>
  <c r="H314" i="6"/>
  <c r="J313" i="6"/>
  <c r="H313" i="6"/>
  <c r="J312" i="6"/>
  <c r="H312" i="6"/>
  <c r="J311" i="6"/>
  <c r="H311" i="6"/>
  <c r="J310" i="6"/>
  <c r="H310" i="6"/>
  <c r="J309" i="6"/>
  <c r="H309" i="6"/>
  <c r="J308" i="6"/>
  <c r="H308" i="6"/>
  <c r="J307" i="6"/>
  <c r="H307" i="6"/>
  <c r="J306" i="6"/>
  <c r="H306" i="6"/>
  <c r="J305" i="6"/>
  <c r="H305" i="6"/>
  <c r="J304" i="6"/>
  <c r="H304" i="6"/>
  <c r="J303" i="6"/>
  <c r="H303" i="6"/>
  <c r="J302" i="6"/>
  <c r="H302" i="6"/>
  <c r="J301" i="6"/>
  <c r="H301" i="6"/>
  <c r="J300" i="6"/>
  <c r="H300" i="6"/>
  <c r="J299" i="6"/>
  <c r="H299" i="6"/>
  <c r="J298" i="6"/>
  <c r="H298" i="6"/>
  <c r="J297" i="6"/>
  <c r="H297" i="6"/>
  <c r="J296" i="6"/>
  <c r="H296" i="6"/>
  <c r="J295" i="6"/>
  <c r="H295" i="6"/>
  <c r="J294" i="6"/>
  <c r="H294" i="6"/>
  <c r="J293" i="6"/>
  <c r="H293" i="6"/>
  <c r="J292" i="6"/>
  <c r="H292" i="6"/>
  <c r="J291" i="6"/>
  <c r="H291" i="6"/>
  <c r="J290" i="6"/>
  <c r="H290" i="6"/>
  <c r="J289" i="6"/>
  <c r="H289" i="6"/>
  <c r="J288" i="6"/>
  <c r="H288" i="6"/>
  <c r="J287" i="6"/>
  <c r="H287" i="6"/>
  <c r="J286" i="6"/>
  <c r="H286" i="6"/>
  <c r="J285" i="6"/>
  <c r="H285" i="6"/>
  <c r="J284" i="6"/>
  <c r="H284" i="6"/>
  <c r="J283" i="6"/>
  <c r="H283" i="6"/>
  <c r="J282" i="6"/>
  <c r="H282" i="6"/>
  <c r="J281" i="6"/>
  <c r="H281" i="6"/>
  <c r="J280" i="6"/>
  <c r="H280" i="6"/>
  <c r="J279" i="6"/>
  <c r="H279" i="6"/>
  <c r="J278" i="6"/>
  <c r="H278" i="6"/>
  <c r="J277" i="6"/>
  <c r="H277" i="6"/>
  <c r="J276" i="6"/>
  <c r="H276" i="6"/>
  <c r="J275" i="6"/>
  <c r="H275" i="6"/>
  <c r="J274" i="6"/>
  <c r="H274" i="6"/>
  <c r="J273" i="6"/>
  <c r="H273" i="6"/>
  <c r="J272" i="6"/>
  <c r="H272" i="6"/>
  <c r="J271" i="6"/>
  <c r="H271" i="6"/>
  <c r="J270" i="6"/>
  <c r="H270" i="6"/>
  <c r="J269" i="6"/>
  <c r="H269" i="6"/>
  <c r="J268" i="6"/>
  <c r="H268" i="6"/>
  <c r="J267" i="6"/>
  <c r="H267" i="6"/>
  <c r="J266" i="6"/>
  <c r="H266" i="6"/>
  <c r="J265" i="6"/>
  <c r="H265" i="6"/>
  <c r="J264" i="6"/>
  <c r="H264" i="6"/>
  <c r="J263" i="6"/>
  <c r="H263" i="6"/>
  <c r="J262" i="6"/>
  <c r="H262" i="6"/>
  <c r="J261" i="6"/>
  <c r="H261" i="6"/>
  <c r="J260" i="6"/>
  <c r="H260" i="6"/>
  <c r="J259" i="6"/>
  <c r="H259" i="6"/>
  <c r="J258" i="6"/>
  <c r="H258" i="6"/>
  <c r="J257" i="6"/>
  <c r="H257" i="6"/>
  <c r="J256" i="6"/>
  <c r="H256" i="6"/>
  <c r="J255" i="6"/>
  <c r="H255" i="6"/>
  <c r="J254" i="6"/>
  <c r="H254" i="6"/>
  <c r="J253" i="6"/>
  <c r="H253" i="6"/>
  <c r="J252" i="6"/>
  <c r="H252" i="6"/>
  <c r="J251" i="6"/>
  <c r="H251" i="6"/>
  <c r="J250" i="6"/>
  <c r="H250" i="6"/>
  <c r="J249" i="6"/>
  <c r="H249" i="6"/>
  <c r="J248" i="6"/>
  <c r="H248" i="6"/>
  <c r="J247" i="6"/>
  <c r="H247" i="6"/>
  <c r="J246" i="6"/>
  <c r="H246" i="6"/>
  <c r="J245" i="6"/>
  <c r="H245" i="6"/>
  <c r="J244" i="6"/>
  <c r="H244" i="6"/>
  <c r="J243" i="6"/>
  <c r="H243" i="6"/>
  <c r="J242" i="6"/>
  <c r="H242" i="6"/>
  <c r="J241" i="6"/>
  <c r="H241" i="6"/>
  <c r="J240" i="6"/>
  <c r="H240" i="6"/>
  <c r="J239" i="6"/>
  <c r="H239" i="6"/>
  <c r="J238" i="6"/>
  <c r="H238" i="6"/>
  <c r="J237" i="6"/>
  <c r="H237" i="6"/>
  <c r="J236" i="6"/>
  <c r="H236" i="6"/>
  <c r="J235" i="6"/>
  <c r="H235" i="6"/>
  <c r="J234" i="6"/>
  <c r="H234" i="6"/>
  <c r="J233" i="6"/>
  <c r="H233" i="6"/>
  <c r="J232" i="6"/>
  <c r="H232" i="6"/>
  <c r="J231" i="6"/>
  <c r="H231" i="6"/>
  <c r="J230" i="6"/>
  <c r="H230" i="6"/>
  <c r="J229" i="6"/>
  <c r="H229" i="6"/>
  <c r="J228" i="6"/>
  <c r="H228" i="6"/>
  <c r="J227" i="6"/>
  <c r="H227" i="6"/>
  <c r="J226" i="6"/>
  <c r="H226" i="6"/>
  <c r="J225" i="6"/>
  <c r="H225" i="6"/>
  <c r="J224" i="6"/>
  <c r="H224" i="6"/>
  <c r="J223" i="6"/>
  <c r="H223" i="6"/>
  <c r="J222" i="6"/>
  <c r="H222" i="6"/>
  <c r="J221" i="6"/>
  <c r="H221" i="6"/>
  <c r="J220" i="6"/>
  <c r="H220" i="6"/>
  <c r="J219" i="6"/>
  <c r="H219" i="6"/>
  <c r="J218" i="6"/>
  <c r="H218" i="6"/>
  <c r="J217" i="6"/>
  <c r="H217" i="6"/>
  <c r="J216" i="6"/>
  <c r="H216" i="6"/>
  <c r="J215" i="6"/>
  <c r="H215" i="6"/>
  <c r="J214" i="6"/>
  <c r="H214" i="6"/>
  <c r="J213" i="6"/>
  <c r="H213" i="6"/>
  <c r="J212" i="6"/>
  <c r="H212" i="6"/>
  <c r="J211" i="6"/>
  <c r="H211" i="6"/>
  <c r="J210" i="6"/>
  <c r="H210" i="6"/>
  <c r="J209" i="6"/>
  <c r="H209" i="6"/>
  <c r="J208" i="6"/>
  <c r="H208" i="6"/>
  <c r="J207" i="6"/>
  <c r="H207" i="6"/>
  <c r="J206" i="6"/>
  <c r="H206" i="6"/>
  <c r="J205" i="6"/>
  <c r="H205" i="6"/>
  <c r="J204" i="6"/>
  <c r="H204" i="6"/>
  <c r="J203" i="6"/>
  <c r="H203" i="6"/>
  <c r="J202" i="6"/>
  <c r="H202" i="6"/>
  <c r="J201" i="6"/>
  <c r="H201" i="6"/>
  <c r="J200" i="6"/>
  <c r="H200" i="6"/>
  <c r="J199" i="6"/>
  <c r="H199" i="6"/>
  <c r="J198" i="6"/>
  <c r="H198" i="6"/>
  <c r="J197" i="6"/>
  <c r="H197" i="6"/>
  <c r="J196" i="6"/>
  <c r="H196" i="6"/>
  <c r="J195" i="6"/>
  <c r="H195" i="6"/>
  <c r="J194" i="6"/>
  <c r="H194" i="6"/>
  <c r="J193" i="6"/>
  <c r="H193" i="6"/>
  <c r="J192" i="6"/>
  <c r="H192" i="6"/>
  <c r="J191" i="6"/>
  <c r="H191" i="6"/>
  <c r="J190" i="6"/>
  <c r="H190" i="6"/>
  <c r="J189" i="6"/>
  <c r="H189" i="6"/>
  <c r="J188" i="6"/>
  <c r="H188" i="6"/>
  <c r="J187" i="6"/>
  <c r="H187" i="6"/>
  <c r="J186" i="6"/>
  <c r="H186" i="6"/>
  <c r="J185" i="6"/>
  <c r="H185" i="6"/>
  <c r="J184" i="6"/>
  <c r="H184" i="6"/>
  <c r="J183" i="6"/>
  <c r="H183" i="6"/>
  <c r="J182" i="6"/>
  <c r="H182" i="6"/>
  <c r="J181" i="6"/>
  <c r="H181" i="6"/>
  <c r="J180" i="6"/>
  <c r="H180" i="6"/>
  <c r="J179" i="6"/>
  <c r="H179" i="6"/>
  <c r="J178" i="6"/>
  <c r="H178" i="6"/>
  <c r="J177" i="6"/>
  <c r="H177" i="6"/>
  <c r="J176" i="6"/>
  <c r="H176" i="6"/>
  <c r="J175" i="6"/>
  <c r="H175" i="6"/>
  <c r="J174" i="6"/>
  <c r="H174" i="6"/>
  <c r="J173" i="6"/>
  <c r="H173" i="6"/>
  <c r="J172" i="6"/>
  <c r="H172" i="6"/>
  <c r="J171" i="6"/>
  <c r="H171" i="6"/>
  <c r="J170" i="6"/>
  <c r="H170" i="6"/>
  <c r="J169" i="6"/>
  <c r="H169" i="6"/>
  <c r="J168" i="6"/>
  <c r="H168" i="6"/>
  <c r="J167" i="6"/>
  <c r="H167" i="6"/>
  <c r="J166" i="6"/>
  <c r="H166" i="6"/>
  <c r="J165" i="6"/>
  <c r="H165" i="6"/>
  <c r="J164" i="6"/>
  <c r="H164" i="6"/>
  <c r="J163" i="6"/>
  <c r="H163" i="6"/>
  <c r="J162" i="6"/>
  <c r="H162" i="6"/>
  <c r="J161" i="6"/>
  <c r="H161" i="6"/>
  <c r="J160" i="6"/>
  <c r="H160" i="6"/>
  <c r="J159" i="6"/>
  <c r="H159" i="6"/>
  <c r="J158" i="6"/>
  <c r="H158" i="6"/>
  <c r="J157" i="6"/>
  <c r="H157" i="6"/>
  <c r="J156" i="6"/>
  <c r="H156" i="6"/>
  <c r="J155" i="6"/>
  <c r="H155" i="6"/>
  <c r="J154" i="6"/>
  <c r="H154" i="6"/>
  <c r="J153" i="6"/>
  <c r="H153" i="6"/>
  <c r="J152" i="6"/>
  <c r="H152" i="6"/>
  <c r="J151" i="6"/>
  <c r="H151" i="6"/>
  <c r="J150" i="6"/>
  <c r="H150" i="6"/>
  <c r="J149" i="6"/>
  <c r="H149" i="6"/>
  <c r="J148" i="6"/>
  <c r="H148" i="6"/>
  <c r="J147" i="6"/>
  <c r="H147" i="6"/>
  <c r="J146" i="6"/>
  <c r="H146" i="6"/>
  <c r="J145" i="6"/>
  <c r="H145" i="6"/>
  <c r="J144" i="6"/>
  <c r="H144" i="6"/>
  <c r="J143" i="6"/>
  <c r="H143" i="6"/>
  <c r="J142" i="6"/>
  <c r="H142" i="6"/>
  <c r="J141" i="6"/>
  <c r="H141" i="6"/>
  <c r="J140" i="6"/>
  <c r="H140" i="6"/>
  <c r="J139" i="6"/>
  <c r="H139" i="6"/>
  <c r="J138" i="6"/>
  <c r="H138" i="6"/>
  <c r="J137" i="6"/>
  <c r="H137" i="6"/>
  <c r="J136" i="6"/>
  <c r="H136" i="6"/>
  <c r="J135" i="6"/>
  <c r="H135" i="6"/>
  <c r="J134" i="6"/>
  <c r="H134" i="6"/>
  <c r="J133" i="6"/>
  <c r="H133" i="6"/>
  <c r="J132" i="6"/>
  <c r="H132" i="6"/>
  <c r="J131" i="6"/>
  <c r="H131" i="6"/>
  <c r="J130" i="6"/>
  <c r="H130" i="6"/>
  <c r="J129" i="6"/>
  <c r="H129" i="6"/>
  <c r="J128" i="6"/>
  <c r="H128" i="6"/>
  <c r="J127" i="6"/>
  <c r="H127" i="6"/>
  <c r="J126" i="6"/>
  <c r="H126" i="6"/>
  <c r="J125" i="6"/>
  <c r="H125" i="6"/>
  <c r="J124" i="6"/>
  <c r="H124" i="6"/>
  <c r="J123" i="6"/>
  <c r="H123" i="6"/>
  <c r="J122" i="6"/>
  <c r="H122" i="6"/>
  <c r="J121" i="6"/>
  <c r="H121" i="6"/>
  <c r="J120" i="6"/>
  <c r="H120" i="6"/>
  <c r="J119" i="6"/>
  <c r="H119" i="6"/>
  <c r="J118" i="6"/>
  <c r="H118" i="6"/>
  <c r="J117" i="6"/>
  <c r="H117" i="6"/>
  <c r="J116" i="6"/>
  <c r="H116" i="6"/>
  <c r="J115" i="6"/>
  <c r="H115" i="6"/>
  <c r="J114" i="6"/>
  <c r="H114" i="6"/>
  <c r="J113" i="6"/>
  <c r="H113" i="6"/>
  <c r="J112" i="6"/>
  <c r="H112" i="6"/>
  <c r="J111" i="6"/>
  <c r="H111" i="6"/>
  <c r="J110" i="6"/>
  <c r="H110" i="6"/>
  <c r="J109" i="6"/>
  <c r="H109" i="6"/>
  <c r="J108" i="6"/>
  <c r="H108" i="6"/>
  <c r="J107" i="6"/>
  <c r="H107" i="6"/>
  <c r="J106" i="6"/>
  <c r="H106" i="6"/>
  <c r="J105" i="6"/>
  <c r="H105" i="6"/>
  <c r="J104" i="6"/>
  <c r="H104" i="6"/>
  <c r="J103" i="6"/>
  <c r="H103" i="6"/>
  <c r="J102" i="6"/>
  <c r="H102" i="6"/>
  <c r="J101" i="6"/>
  <c r="H101" i="6"/>
  <c r="J100" i="6"/>
  <c r="H100" i="6"/>
  <c r="J99" i="6"/>
  <c r="H99" i="6"/>
  <c r="J98" i="6"/>
  <c r="H98" i="6"/>
  <c r="J97" i="6"/>
  <c r="H97" i="6"/>
  <c r="J96" i="6"/>
  <c r="H96" i="6"/>
  <c r="J95" i="6"/>
  <c r="H95" i="6"/>
  <c r="J94" i="6"/>
  <c r="H94" i="6"/>
  <c r="J93" i="6"/>
  <c r="H93" i="6"/>
  <c r="J92" i="6"/>
  <c r="H92" i="6"/>
  <c r="J91" i="6"/>
  <c r="H91" i="6"/>
  <c r="J90" i="6"/>
  <c r="H90" i="6"/>
  <c r="J89" i="6"/>
  <c r="H89" i="6"/>
  <c r="J88" i="6"/>
  <c r="H88" i="6"/>
  <c r="J87" i="6"/>
  <c r="H87" i="6"/>
  <c r="J86" i="6"/>
  <c r="H86" i="6"/>
  <c r="J85" i="6"/>
  <c r="H85" i="6"/>
  <c r="J84" i="6"/>
  <c r="H84" i="6"/>
  <c r="J83" i="6"/>
  <c r="H83" i="6"/>
  <c r="J82" i="6"/>
  <c r="H82" i="6"/>
  <c r="J81" i="6"/>
  <c r="H81" i="6"/>
  <c r="J80" i="6"/>
  <c r="H80" i="6"/>
  <c r="J79" i="6"/>
  <c r="H79" i="6"/>
  <c r="J78" i="6"/>
  <c r="H78" i="6"/>
  <c r="J77" i="6"/>
  <c r="H77" i="6"/>
  <c r="J76" i="6"/>
  <c r="H76" i="6"/>
  <c r="J75" i="6"/>
  <c r="H75" i="6"/>
  <c r="J74" i="6"/>
  <c r="H74" i="6"/>
  <c r="J73" i="6"/>
  <c r="H73" i="6"/>
  <c r="J72" i="6"/>
  <c r="H72" i="6"/>
  <c r="J71" i="6"/>
  <c r="H71" i="6"/>
  <c r="J70" i="6"/>
  <c r="H70" i="6"/>
  <c r="J69" i="6"/>
  <c r="H69" i="6"/>
  <c r="J68" i="6"/>
  <c r="H68" i="6"/>
  <c r="J67" i="6"/>
  <c r="H67" i="6"/>
  <c r="J66" i="6"/>
  <c r="H66" i="6"/>
  <c r="J65" i="6"/>
  <c r="H65" i="6"/>
  <c r="J64" i="6"/>
  <c r="H64" i="6"/>
  <c r="J63" i="6"/>
  <c r="H63" i="6"/>
  <c r="J62" i="6"/>
  <c r="H62" i="6"/>
  <c r="J61" i="6"/>
  <c r="H61" i="6"/>
  <c r="J60" i="6"/>
  <c r="H60" i="6"/>
  <c r="J59" i="6"/>
  <c r="H59" i="6"/>
  <c r="J58" i="6"/>
  <c r="H58" i="6"/>
  <c r="J57" i="6"/>
  <c r="H57" i="6"/>
  <c r="J56" i="6"/>
  <c r="H56" i="6"/>
  <c r="J55" i="6"/>
  <c r="H55" i="6"/>
  <c r="J54" i="6"/>
  <c r="H54" i="6"/>
  <c r="J53" i="6"/>
  <c r="H53" i="6"/>
  <c r="J52" i="6"/>
  <c r="H52" i="6"/>
  <c r="J51" i="6"/>
  <c r="H51" i="6"/>
  <c r="J50" i="6"/>
  <c r="H50" i="6"/>
  <c r="J49" i="6"/>
  <c r="H49" i="6"/>
  <c r="J48" i="6"/>
  <c r="H48" i="6"/>
  <c r="J47" i="6"/>
  <c r="H47" i="6"/>
  <c r="J46" i="6"/>
  <c r="H46" i="6"/>
  <c r="J45" i="6"/>
  <c r="H45" i="6"/>
  <c r="J44" i="6"/>
  <c r="H44" i="6"/>
  <c r="J43" i="6"/>
  <c r="H43" i="6"/>
  <c r="J42" i="6"/>
  <c r="H42" i="6"/>
  <c r="J41" i="6"/>
  <c r="H41" i="6"/>
  <c r="J40" i="6"/>
  <c r="H40" i="6"/>
  <c r="J39" i="6"/>
  <c r="H39" i="6"/>
  <c r="J38" i="6"/>
  <c r="H38" i="6"/>
  <c r="J37" i="6"/>
  <c r="H37" i="6"/>
  <c r="J36" i="6"/>
  <c r="H36" i="6"/>
  <c r="J35" i="6"/>
  <c r="H35" i="6"/>
  <c r="J34" i="6"/>
  <c r="H34" i="6"/>
  <c r="J33" i="6"/>
  <c r="H33" i="6"/>
  <c r="J32" i="6"/>
  <c r="H32" i="6"/>
  <c r="J31" i="6"/>
  <c r="H31" i="6"/>
  <c r="J30" i="6"/>
  <c r="H30" i="6"/>
  <c r="J29" i="6"/>
  <c r="H29" i="6"/>
  <c r="J28" i="6"/>
  <c r="H28" i="6"/>
  <c r="J27" i="6"/>
  <c r="H27" i="6"/>
  <c r="J26" i="6"/>
  <c r="H26" i="6"/>
  <c r="J25" i="6"/>
  <c r="H25" i="6"/>
  <c r="J24" i="6"/>
  <c r="H24" i="6"/>
  <c r="J23" i="6"/>
  <c r="H23" i="6"/>
  <c r="J22" i="6"/>
  <c r="H22" i="6"/>
  <c r="J21" i="6"/>
  <c r="H21" i="6"/>
  <c r="J20" i="6"/>
  <c r="H20" i="6"/>
  <c r="J19" i="6"/>
  <c r="H19" i="6"/>
  <c r="J18" i="6"/>
  <c r="H18" i="6"/>
  <c r="J17" i="6"/>
  <c r="H17" i="6"/>
  <c r="J16" i="6"/>
  <c r="H16" i="6"/>
  <c r="J15" i="6"/>
  <c r="H15" i="6"/>
  <c r="J14" i="6"/>
  <c r="H14" i="6"/>
  <c r="J13" i="6"/>
  <c r="H13" i="6"/>
  <c r="J12" i="6"/>
  <c r="H12" i="6"/>
  <c r="J11" i="6"/>
  <c r="H11" i="6"/>
  <c r="J10" i="6"/>
  <c r="H10" i="6"/>
  <c r="J9" i="6"/>
  <c r="H9" i="6"/>
  <c r="J8" i="6"/>
  <c r="H8" i="6"/>
  <c r="J7" i="6"/>
  <c r="H7" i="6"/>
  <c r="J6" i="6"/>
  <c r="H6" i="6"/>
  <c r="J5" i="6"/>
  <c r="H5" i="6"/>
  <c r="J4" i="6"/>
  <c r="H4" i="6"/>
  <c r="J3" i="6"/>
  <c r="H3" i="6"/>
  <c r="J2" i="6"/>
  <c r="H2" i="6"/>
  <c r="X27" i="5"/>
  <c r="V27" i="5"/>
  <c r="U27" i="5"/>
  <c r="T27" i="5"/>
  <c r="S27" i="5"/>
  <c r="V26" i="5"/>
  <c r="U26" i="5"/>
  <c r="T26" i="5"/>
  <c r="S26" i="5"/>
  <c r="X25" i="5"/>
  <c r="V25" i="5"/>
  <c r="U25" i="5"/>
  <c r="T25" i="5"/>
  <c r="S25" i="5"/>
  <c r="X24" i="5"/>
  <c r="V24" i="5"/>
  <c r="U24" i="5"/>
  <c r="T24" i="5"/>
  <c r="S24" i="5"/>
  <c r="V23" i="5"/>
  <c r="U23" i="5"/>
  <c r="T23" i="5"/>
  <c r="S23" i="5"/>
  <c r="X23" i="5" s="1"/>
  <c r="X22" i="5"/>
  <c r="V22" i="5"/>
  <c r="U22" i="5"/>
  <c r="T22" i="5"/>
  <c r="S22" i="5"/>
  <c r="V21" i="5"/>
  <c r="U21" i="5"/>
  <c r="T21" i="5"/>
  <c r="S21" i="5"/>
  <c r="X21" i="5" s="1"/>
  <c r="V20" i="5"/>
  <c r="U20" i="5"/>
  <c r="T20" i="5"/>
  <c r="S20" i="5"/>
  <c r="V19" i="5"/>
  <c r="U19" i="5"/>
  <c r="T19" i="5"/>
  <c r="S19" i="5"/>
  <c r="X19" i="5" s="1"/>
  <c r="V18" i="5"/>
  <c r="U18" i="5"/>
  <c r="T18" i="5"/>
  <c r="S18" i="5"/>
  <c r="X17" i="5"/>
  <c r="V17" i="5"/>
  <c r="U17" i="5"/>
  <c r="T17" i="5"/>
  <c r="S17" i="5"/>
  <c r="X16" i="5"/>
  <c r="V16" i="5"/>
  <c r="U16" i="5"/>
  <c r="T16" i="5"/>
  <c r="S16" i="5"/>
  <c r="X15" i="5"/>
  <c r="V15" i="5"/>
  <c r="U15" i="5"/>
  <c r="T15" i="5"/>
  <c r="S15" i="5"/>
  <c r="X14" i="5"/>
  <c r="V14" i="5"/>
  <c r="U14" i="5"/>
  <c r="T14" i="5"/>
  <c r="S14" i="5"/>
  <c r="V13" i="5"/>
  <c r="U13" i="5"/>
  <c r="T13" i="5"/>
  <c r="S13" i="5"/>
  <c r="V12" i="5"/>
  <c r="U12" i="5"/>
  <c r="T12" i="5"/>
  <c r="S12" i="5"/>
  <c r="X12" i="5" s="1"/>
  <c r="X11" i="5"/>
  <c r="V11" i="5"/>
  <c r="U11" i="5"/>
  <c r="T11" i="5"/>
  <c r="S11" i="5"/>
  <c r="V10" i="5"/>
  <c r="U10" i="5"/>
  <c r="T10" i="5"/>
  <c r="S10" i="5"/>
  <c r="X9" i="5"/>
  <c r="V9" i="5"/>
  <c r="U9" i="5"/>
  <c r="T9" i="5"/>
  <c r="S9" i="5"/>
  <c r="X8" i="5"/>
  <c r="V8" i="5"/>
  <c r="U8" i="5"/>
  <c r="T8" i="5"/>
  <c r="S8" i="5"/>
  <c r="V7" i="5"/>
  <c r="U7" i="5"/>
  <c r="T7" i="5"/>
  <c r="S7" i="5"/>
  <c r="X6" i="5"/>
  <c r="V6" i="5"/>
  <c r="U6" i="5"/>
  <c r="T6" i="5"/>
  <c r="Z112" i="7" s="1"/>
  <c r="S6" i="5"/>
  <c r="L114" i="7" s="1"/>
  <c r="V5" i="5"/>
  <c r="AB97" i="7" s="1"/>
  <c r="U5" i="5"/>
  <c r="AA89" i="7" s="1"/>
  <c r="T5" i="5"/>
  <c r="Z90" i="7" s="1"/>
  <c r="S5" i="5"/>
  <c r="L83" i="7" s="1"/>
  <c r="V4" i="5"/>
  <c r="AB65" i="7" s="1"/>
  <c r="U4" i="5"/>
  <c r="AA74" i="7" s="1"/>
  <c r="T4" i="5"/>
  <c r="Z74" i="7" s="1"/>
  <c r="S4" i="5"/>
  <c r="L76" i="7" s="1"/>
  <c r="V3" i="5"/>
  <c r="AB13" i="7" s="1"/>
  <c r="U3" i="5"/>
  <c r="AA13" i="7" s="1"/>
  <c r="T3" i="5"/>
  <c r="S3" i="5"/>
  <c r="L12" i="7" s="1"/>
  <c r="V2" i="5"/>
  <c r="AB35" i="7" s="1"/>
  <c r="U2" i="5"/>
  <c r="AA42" i="7" s="1"/>
  <c r="T2" i="5"/>
  <c r="Z35" i="7" s="1"/>
  <c r="S2" i="5"/>
  <c r="L45" i="7" s="1"/>
  <c r="V18" i="4"/>
  <c r="U18" i="4"/>
  <c r="P18" i="4"/>
  <c r="U17" i="4"/>
  <c r="V17" i="4" s="1"/>
  <c r="P17" i="4"/>
  <c r="U16" i="4"/>
  <c r="V16" i="4" s="1"/>
  <c r="P16" i="4"/>
  <c r="U15" i="4"/>
  <c r="V15" i="4" s="1"/>
  <c r="P15" i="4"/>
  <c r="U14" i="4"/>
  <c r="V14" i="4" s="1"/>
  <c r="P14" i="4"/>
  <c r="U13" i="4"/>
  <c r="V13" i="4" s="1"/>
  <c r="P13" i="4"/>
  <c r="V12" i="4"/>
  <c r="U12" i="4"/>
  <c r="P12" i="4"/>
  <c r="U11" i="4"/>
  <c r="V11" i="4" s="1"/>
  <c r="P11" i="4"/>
  <c r="V10" i="4"/>
  <c r="U10" i="4"/>
  <c r="P10" i="4"/>
  <c r="V9" i="4"/>
  <c r="U9" i="4"/>
  <c r="P9" i="4"/>
  <c r="U8" i="4"/>
  <c r="V8" i="4" s="1"/>
  <c r="P8" i="4"/>
  <c r="U7" i="4"/>
  <c r="V7" i="4" s="1"/>
  <c r="P7" i="4"/>
  <c r="U6" i="4"/>
  <c r="V6" i="4" s="1"/>
  <c r="P6" i="4"/>
  <c r="U5" i="4"/>
  <c r="V5" i="4" s="1"/>
  <c r="P5" i="4"/>
  <c r="V4" i="4"/>
  <c r="U4" i="4"/>
  <c r="P4" i="4"/>
  <c r="U3" i="4"/>
  <c r="V3" i="4" s="1"/>
  <c r="P3" i="4"/>
  <c r="V2" i="4"/>
  <c r="U2" i="4"/>
  <c r="P2" i="4"/>
  <c r="B16" i="3"/>
  <c r="B15" i="3"/>
  <c r="B14" i="3"/>
  <c r="B13" i="3"/>
  <c r="B12" i="3"/>
  <c r="B11" i="3"/>
  <c r="B9" i="3"/>
  <c r="B8" i="3"/>
  <c r="O807" i="7" l="1"/>
  <c r="P832" i="7"/>
  <c r="O838" i="7"/>
  <c r="O860" i="7"/>
  <c r="O907" i="7"/>
  <c r="O923" i="7"/>
  <c r="O948" i="7"/>
  <c r="O967" i="7"/>
  <c r="O970" i="7"/>
  <c r="P988" i="7"/>
  <c r="O1068" i="7"/>
  <c r="O1093" i="7"/>
  <c r="O1128" i="7"/>
  <c r="O1135" i="7"/>
  <c r="O1142" i="7"/>
  <c r="O1158" i="7"/>
  <c r="R1158" i="7" s="1"/>
  <c r="P1167" i="7"/>
  <c r="O1186" i="7"/>
  <c r="O1205" i="7"/>
  <c r="O1211" i="7"/>
  <c r="O1239" i="7"/>
  <c r="O1274" i="7"/>
  <c r="O1300" i="7"/>
  <c r="O1306" i="7"/>
  <c r="P1322" i="7"/>
  <c r="O1325" i="7"/>
  <c r="O1028" i="7"/>
  <c r="O1170" i="7"/>
  <c r="O1309" i="7"/>
  <c r="O1312" i="7"/>
  <c r="P101" i="7"/>
  <c r="O117" i="7"/>
  <c r="O136" i="7"/>
  <c r="O158" i="7"/>
  <c r="O220" i="7"/>
  <c r="O223" i="7"/>
  <c r="O244" i="7"/>
  <c r="O250" i="7"/>
  <c r="O259" i="7"/>
  <c r="P372" i="7"/>
  <c r="O379" i="7"/>
  <c r="P426" i="7"/>
  <c r="O429" i="7"/>
  <c r="P444" i="7"/>
  <c r="O463" i="7"/>
  <c r="O485" i="7"/>
  <c r="O501" i="7"/>
  <c r="O523" i="7"/>
  <c r="O605" i="7"/>
  <c r="P615" i="7"/>
  <c r="O709" i="7"/>
  <c r="P728" i="7"/>
  <c r="O737" i="7"/>
  <c r="O743" i="7"/>
  <c r="O775" i="7"/>
  <c r="O813" i="7"/>
  <c r="O822" i="7"/>
  <c r="O900" i="7"/>
  <c r="O916" i="7"/>
  <c r="P1037" i="7"/>
  <c r="O1052" i="7"/>
  <c r="O1077" i="7"/>
  <c r="O1102" i="7"/>
  <c r="O1138" i="7"/>
  <c r="O1154" i="7"/>
  <c r="O1198" i="7"/>
  <c r="O1223" i="7"/>
  <c r="O1232" i="7"/>
  <c r="O1293" i="7"/>
  <c r="O1328" i="7"/>
  <c r="O693" i="7"/>
  <c r="O991" i="7"/>
  <c r="O994" i="7"/>
  <c r="P1003" i="7"/>
  <c r="O1096" i="7"/>
  <c r="P1105" i="7"/>
  <c r="O1112" i="7"/>
  <c r="O1131" i="7"/>
  <c r="O1340" i="7"/>
  <c r="O1346" i="7"/>
  <c r="P712" i="7"/>
  <c r="O715" i="7"/>
  <c r="P1349" i="7"/>
  <c r="O120" i="7"/>
  <c r="O126" i="7"/>
  <c r="O179" i="7"/>
  <c r="O195" i="7"/>
  <c r="O210" i="7"/>
  <c r="O298" i="7"/>
  <c r="O307" i="7"/>
  <c r="O347" i="7"/>
  <c r="P356" i="7"/>
  <c r="O363" i="7"/>
  <c r="O390" i="7"/>
  <c r="O456" i="7"/>
  <c r="O478" i="7"/>
  <c r="O494" i="7"/>
  <c r="O538" i="7"/>
  <c r="O563" i="7"/>
  <c r="O579" i="7"/>
  <c r="O665" i="7"/>
  <c r="O677" i="7"/>
  <c r="O784" i="7"/>
  <c r="O790" i="7"/>
  <c r="O872" i="7"/>
  <c r="O887" i="7"/>
  <c r="O1061" i="7"/>
  <c r="P1073" i="7"/>
  <c r="O1283" i="7"/>
  <c r="O1286" i="7"/>
  <c r="P69" i="7"/>
  <c r="O110" i="7"/>
  <c r="O116" i="7"/>
  <c r="O135" i="7"/>
  <c r="O204" i="7"/>
  <c r="P216" i="7"/>
  <c r="O219" i="7"/>
  <c r="O234" i="7"/>
  <c r="O243" i="7"/>
  <c r="O292" i="7"/>
  <c r="O425" i="7"/>
  <c r="O462" i="7"/>
  <c r="O484" i="7"/>
  <c r="O500" i="7"/>
  <c r="P516" i="7"/>
  <c r="O522" i="7"/>
  <c r="O557" i="7"/>
  <c r="R557" i="7" s="1"/>
  <c r="O604" i="7"/>
  <c r="P658" i="7"/>
  <c r="P680" i="7"/>
  <c r="O683" i="7"/>
  <c r="O742" i="7"/>
  <c r="O752" i="7"/>
  <c r="O768" i="7"/>
  <c r="O774" i="7"/>
  <c r="O809" i="7"/>
  <c r="O821" i="7"/>
  <c r="O862" i="7"/>
  <c r="P865" i="7"/>
  <c r="O941" i="7"/>
  <c r="O944" i="7"/>
  <c r="O950" i="7"/>
  <c r="O1064" i="7"/>
  <c r="O1070" i="7"/>
  <c r="O1076" i="7"/>
  <c r="O1137" i="7"/>
  <c r="O1188" i="7"/>
  <c r="O1219" i="7"/>
  <c r="O1241" i="7"/>
  <c r="O1251" i="7"/>
  <c r="O1267" i="7"/>
  <c r="O1270" i="7"/>
  <c r="O1292" i="7"/>
  <c r="O1302" i="7"/>
  <c r="P1311" i="7"/>
  <c r="P727" i="7"/>
  <c r="P755" i="7"/>
  <c r="O758" i="7"/>
  <c r="O793" i="7"/>
  <c r="O846" i="7"/>
  <c r="O856" i="7"/>
  <c r="O893" i="7"/>
  <c r="O896" i="7"/>
  <c r="O909" i="7"/>
  <c r="O912" i="7"/>
  <c r="O925" i="7"/>
  <c r="O928" i="7"/>
  <c r="O934" i="7"/>
  <c r="O990" i="7"/>
  <c r="O1111" i="7"/>
  <c r="O1117" i="7"/>
  <c r="O1130" i="7"/>
  <c r="O1147" i="7"/>
  <c r="P1197" i="7"/>
  <c r="O1200" i="7"/>
  <c r="P1327" i="7"/>
  <c r="O9" i="7"/>
  <c r="O26" i="7"/>
  <c r="O55" i="7"/>
  <c r="O62" i="7"/>
  <c r="O88" i="7"/>
  <c r="O141" i="7"/>
  <c r="P264" i="7"/>
  <c r="O319" i="7"/>
  <c r="O661" i="7"/>
  <c r="P723" i="7"/>
  <c r="O902" i="7"/>
  <c r="O918" i="7"/>
  <c r="O1054" i="7"/>
  <c r="O1079" i="7"/>
  <c r="O1082" i="7"/>
  <c r="O1095" i="7"/>
  <c r="O1098" i="7"/>
  <c r="P1107" i="7"/>
  <c r="O1225" i="7"/>
  <c r="O1234" i="7"/>
  <c r="O1244" i="7"/>
  <c r="O1276" i="7"/>
  <c r="O1314" i="7"/>
  <c r="P1317" i="7"/>
  <c r="O1330" i="7"/>
  <c r="O334" i="7"/>
  <c r="O340" i="7"/>
  <c r="O393" i="7"/>
  <c r="P446" i="7"/>
  <c r="P471" i="7"/>
  <c r="O477" i="7"/>
  <c r="P487" i="7"/>
  <c r="O493" i="7"/>
  <c r="O512" i="7"/>
  <c r="O525" i="7"/>
  <c r="O582" i="7"/>
  <c r="O588" i="7"/>
  <c r="P610" i="7"/>
  <c r="P642" i="7"/>
  <c r="O676" i="7"/>
  <c r="P1005" i="7"/>
  <c r="P1020" i="7"/>
  <c r="O1039" i="7"/>
  <c r="O1048" i="7"/>
  <c r="O1060" i="7"/>
  <c r="O1172" i="7"/>
  <c r="O1203" i="7"/>
  <c r="O1260" i="7"/>
  <c r="P1279" i="7"/>
  <c r="O1298" i="7"/>
  <c r="O1342" i="7"/>
  <c r="O1348" i="7"/>
  <c r="Q33" i="7"/>
  <c r="W33" i="7" s="1"/>
  <c r="O2" i="7"/>
  <c r="P5" i="7"/>
  <c r="O12" i="7"/>
  <c r="P19" i="7"/>
  <c r="O22" i="7"/>
  <c r="O94" i="7"/>
  <c r="O109" i="7"/>
  <c r="O125" i="7"/>
  <c r="O134" i="7"/>
  <c r="O172" i="7"/>
  <c r="O178" i="7"/>
  <c r="O191" i="7"/>
  <c r="O194" i="7"/>
  <c r="O203" i="7"/>
  <c r="O276" i="7"/>
  <c r="O291" i="7"/>
  <c r="O365" i="7"/>
  <c r="P386" i="7"/>
  <c r="P389" i="7"/>
  <c r="O424" i="7"/>
  <c r="P455" i="7"/>
  <c r="O461" i="7"/>
  <c r="O515" i="7"/>
  <c r="O556" i="7"/>
  <c r="P562" i="7"/>
  <c r="P578" i="7"/>
  <c r="P607" i="7"/>
  <c r="P639" i="7"/>
  <c r="P664" i="7"/>
  <c r="O667" i="7"/>
  <c r="O1008" i="7"/>
  <c r="O1042" i="7"/>
  <c r="O1075" i="7"/>
  <c r="O1126" i="7"/>
  <c r="O1133" i="7"/>
  <c r="O1140" i="7"/>
  <c r="O1156" i="7"/>
  <c r="O1178" i="7"/>
  <c r="O1181" i="7"/>
  <c r="O1209" i="7"/>
  <c r="O1218" i="7"/>
  <c r="O1282" i="7"/>
  <c r="O1288" i="7"/>
  <c r="O1336" i="7"/>
  <c r="O115" i="7"/>
  <c r="P833" i="7"/>
  <c r="O861" i="7"/>
  <c r="O940" i="7"/>
  <c r="O946" i="7"/>
  <c r="P968" i="7"/>
  <c r="O1023" i="7"/>
  <c r="P1035" i="7"/>
  <c r="O1063" i="7"/>
  <c r="O1066" i="7"/>
  <c r="O1165" i="7"/>
  <c r="O1237" i="7"/>
  <c r="O1250" i="7"/>
  <c r="O1266" i="7"/>
  <c r="O1291" i="7"/>
  <c r="O1304" i="7"/>
  <c r="O1320" i="7"/>
  <c r="P1323" i="7"/>
  <c r="O1351" i="7"/>
  <c r="O318" i="7"/>
  <c r="O28" i="7"/>
  <c r="O411" i="7"/>
  <c r="O486" i="7"/>
  <c r="O505" i="7"/>
  <c r="O587" i="7"/>
  <c r="O876" i="7"/>
  <c r="O992" i="7"/>
  <c r="P998" i="7"/>
  <c r="P1004" i="7"/>
  <c r="O1256" i="7"/>
  <c r="P1341" i="7"/>
  <c r="Q1341" i="7" s="1"/>
  <c r="W1341" i="7" s="1"/>
  <c r="P1344" i="7"/>
  <c r="Q12" i="7"/>
  <c r="AB960" i="7"/>
  <c r="AB944" i="7"/>
  <c r="AB962" i="7"/>
  <c r="AB946" i="7"/>
  <c r="AB955" i="7"/>
  <c r="AB939" i="7"/>
  <c r="AB948" i="7"/>
  <c r="AB957" i="7"/>
  <c r="AB941" i="7"/>
  <c r="AB950" i="7"/>
  <c r="AB959" i="7"/>
  <c r="AB943" i="7"/>
  <c r="AB952" i="7"/>
  <c r="AB961" i="7"/>
  <c r="AB945" i="7"/>
  <c r="AB954" i="7"/>
  <c r="AB938" i="7"/>
  <c r="AB963" i="7"/>
  <c r="AB947" i="7"/>
  <c r="AB956" i="7"/>
  <c r="AB940" i="7"/>
  <c r="AB958" i="7"/>
  <c r="AB942" i="7"/>
  <c r="AB949" i="7"/>
  <c r="AB951" i="7"/>
  <c r="AB953" i="7"/>
  <c r="AB273" i="7"/>
  <c r="AB282" i="7"/>
  <c r="AB266" i="7"/>
  <c r="AB275" i="7"/>
  <c r="AB284" i="7"/>
  <c r="AB268" i="7"/>
  <c r="AB277" i="7"/>
  <c r="AB286" i="7"/>
  <c r="AB270" i="7"/>
  <c r="AB272" i="7"/>
  <c r="AB281" i="7"/>
  <c r="AB265" i="7"/>
  <c r="AB274" i="7"/>
  <c r="AB283" i="7"/>
  <c r="AB267" i="7"/>
  <c r="AB285" i="7"/>
  <c r="AB269" i="7"/>
  <c r="AB278" i="7"/>
  <c r="AB262" i="7"/>
  <c r="AB287" i="7"/>
  <c r="AB271" i="7"/>
  <c r="AB263" i="7"/>
  <c r="AB279" i="7"/>
  <c r="AB264" i="7"/>
  <c r="AB280" i="7"/>
  <c r="AB276" i="7"/>
  <c r="P98" i="7"/>
  <c r="O98" i="7"/>
  <c r="P130" i="7"/>
  <c r="O130" i="7"/>
  <c r="Z1223" i="7"/>
  <c r="Z1216" i="7"/>
  <c r="Z1200" i="7"/>
  <c r="Z1209" i="7"/>
  <c r="Z1218" i="7"/>
  <c r="Z1202" i="7"/>
  <c r="Z1211" i="7"/>
  <c r="Z1220" i="7"/>
  <c r="Z1204" i="7"/>
  <c r="Z1213" i="7"/>
  <c r="Z1222" i="7"/>
  <c r="Z1215" i="7"/>
  <c r="Z1208" i="7"/>
  <c r="Z1219" i="7"/>
  <c r="Z1221" i="7"/>
  <c r="Z1205" i="7"/>
  <c r="Z1198" i="7"/>
  <c r="Z1214" i="7"/>
  <c r="Z1206" i="7"/>
  <c r="Z1207" i="7"/>
  <c r="Z1203" i="7"/>
  <c r="Z1201" i="7"/>
  <c r="Z1217" i="7"/>
  <c r="Z1210" i="7"/>
  <c r="Z1212" i="7"/>
  <c r="Z1199" i="7"/>
  <c r="Z544" i="7"/>
  <c r="Z537" i="7"/>
  <c r="Z546" i="7"/>
  <c r="Z530" i="7"/>
  <c r="Z539" i="7"/>
  <c r="Z523" i="7"/>
  <c r="Z532" i="7"/>
  <c r="Z541" i="7"/>
  <c r="Z525" i="7"/>
  <c r="Z543" i="7"/>
  <c r="Z545" i="7"/>
  <c r="Z538" i="7"/>
  <c r="Z522" i="7"/>
  <c r="Z547" i="7"/>
  <c r="Z531" i="7"/>
  <c r="Z540" i="7"/>
  <c r="Z524" i="7"/>
  <c r="Z533" i="7"/>
  <c r="Z542" i="7"/>
  <c r="Z534" i="7"/>
  <c r="Z529" i="7"/>
  <c r="Z528" i="7"/>
  <c r="Z527" i="7"/>
  <c r="Z526" i="7"/>
  <c r="Z536" i="7"/>
  <c r="Z535" i="7"/>
  <c r="L17" i="7"/>
  <c r="Q17" i="7" s="1"/>
  <c r="Z697" i="7"/>
  <c r="Z681" i="7"/>
  <c r="Z690" i="7"/>
  <c r="Z699" i="7"/>
  <c r="Z683" i="7"/>
  <c r="Z692" i="7"/>
  <c r="Z701" i="7"/>
  <c r="Z685" i="7"/>
  <c r="Z694" i="7"/>
  <c r="Z678" i="7"/>
  <c r="Z703" i="7"/>
  <c r="Z696" i="7"/>
  <c r="Z680" i="7"/>
  <c r="Z689" i="7"/>
  <c r="Z698" i="7"/>
  <c r="Z682" i="7"/>
  <c r="Z691" i="7"/>
  <c r="Z700" i="7"/>
  <c r="Z684" i="7"/>
  <c r="Z693" i="7"/>
  <c r="Z688" i="7"/>
  <c r="Z702" i="7"/>
  <c r="Z679" i="7"/>
  <c r="Z695" i="7"/>
  <c r="Z686" i="7"/>
  <c r="Z687" i="7"/>
  <c r="AA798" i="7"/>
  <c r="AA807" i="7"/>
  <c r="AA791" i="7"/>
  <c r="AA800" i="7"/>
  <c r="AA784" i="7"/>
  <c r="AA793" i="7"/>
  <c r="AA802" i="7"/>
  <c r="AA786" i="7"/>
  <c r="AA795" i="7"/>
  <c r="AA804" i="7"/>
  <c r="AA788" i="7"/>
  <c r="AA797" i="7"/>
  <c r="AA806" i="7"/>
  <c r="AA790" i="7"/>
  <c r="AA799" i="7"/>
  <c r="AA783" i="7"/>
  <c r="AA792" i="7"/>
  <c r="AA794" i="7"/>
  <c r="AA796" i="7"/>
  <c r="AA805" i="7"/>
  <c r="AA789" i="7"/>
  <c r="AA785" i="7"/>
  <c r="AA803" i="7"/>
  <c r="AA782" i="7"/>
  <c r="AA787" i="7"/>
  <c r="AA801" i="7"/>
  <c r="AA131" i="7"/>
  <c r="AA115" i="7"/>
  <c r="AA124" i="7"/>
  <c r="AA108" i="7"/>
  <c r="AA117" i="7"/>
  <c r="AA126" i="7"/>
  <c r="AA110" i="7"/>
  <c r="AA119" i="7"/>
  <c r="AA128" i="7"/>
  <c r="AA112" i="7"/>
  <c r="AA130" i="7"/>
  <c r="AA114" i="7"/>
  <c r="AA116" i="7"/>
  <c r="AA125" i="7"/>
  <c r="AA109" i="7"/>
  <c r="AA118" i="7"/>
  <c r="AA127" i="7"/>
  <c r="AA111" i="7"/>
  <c r="AA120" i="7"/>
  <c r="AA129" i="7"/>
  <c r="AA113" i="7"/>
  <c r="AA122" i="7"/>
  <c r="AB879" i="7"/>
  <c r="AB860" i="7"/>
  <c r="AB876" i="7"/>
  <c r="AB869" i="7"/>
  <c r="AB884" i="7"/>
  <c r="AB881" i="7"/>
  <c r="AB862" i="7"/>
  <c r="AB871" i="7"/>
  <c r="AB864" i="7"/>
  <c r="AB878" i="7"/>
  <c r="AB873" i="7"/>
  <c r="AB866" i="7"/>
  <c r="AB883" i="7"/>
  <c r="AB875" i="7"/>
  <c r="AB868" i="7"/>
  <c r="AB880" i="7"/>
  <c r="AB861" i="7"/>
  <c r="AB870" i="7"/>
  <c r="AB877" i="7"/>
  <c r="AB863" i="7"/>
  <c r="AB882" i="7"/>
  <c r="AB872" i="7"/>
  <c r="AB874" i="7"/>
  <c r="AB867" i="7"/>
  <c r="AB865" i="7"/>
  <c r="AB885" i="7"/>
  <c r="AB195" i="7"/>
  <c r="AB204" i="7"/>
  <c r="AB188" i="7"/>
  <c r="AB197" i="7"/>
  <c r="AB206" i="7"/>
  <c r="AB190" i="7"/>
  <c r="AB203" i="7"/>
  <c r="AB205" i="7"/>
  <c r="AB189" i="7"/>
  <c r="AB198" i="7"/>
  <c r="AB193" i="7"/>
  <c r="AB192" i="7"/>
  <c r="AB186" i="7"/>
  <c r="AB185" i="7"/>
  <c r="AB201" i="7"/>
  <c r="AB200" i="7"/>
  <c r="AB202" i="7"/>
  <c r="AB184" i="7"/>
  <c r="AB199" i="7"/>
  <c r="AB191" i="7"/>
  <c r="AB209" i="7"/>
  <c r="AB208" i="7"/>
  <c r="AB207" i="7"/>
  <c r="AB196" i="7"/>
  <c r="AB194" i="7"/>
  <c r="AB187" i="7"/>
  <c r="L1062" i="7"/>
  <c r="L1066" i="7"/>
  <c r="L1061" i="7"/>
  <c r="L1054" i="7"/>
  <c r="L1063" i="7"/>
  <c r="L1065" i="7"/>
  <c r="L1067" i="7"/>
  <c r="L1060" i="7"/>
  <c r="L1057" i="7"/>
  <c r="L1042" i="7"/>
  <c r="L1064" i="7"/>
  <c r="L1044" i="7"/>
  <c r="L1053" i="7"/>
  <c r="L1046" i="7"/>
  <c r="Q1046" i="7" s="1"/>
  <c r="W1046" i="7" s="1"/>
  <c r="L1056" i="7"/>
  <c r="Q1056" i="7" s="1"/>
  <c r="W1056" i="7" s="1"/>
  <c r="L1052" i="7"/>
  <c r="L1048" i="7"/>
  <c r="L1051" i="7"/>
  <c r="L1043" i="7"/>
  <c r="L1049" i="7"/>
  <c r="L1059" i="7"/>
  <c r="L1045" i="7"/>
  <c r="L1050" i="7"/>
  <c r="L1058" i="7"/>
  <c r="L1055" i="7"/>
  <c r="L1047" i="7"/>
  <c r="L377" i="7"/>
  <c r="L386" i="7"/>
  <c r="L379" i="7"/>
  <c r="L388" i="7"/>
  <c r="Q388" i="7" s="1"/>
  <c r="L372" i="7"/>
  <c r="Q372" i="7" s="1"/>
  <c r="L381" i="7"/>
  <c r="L390" i="7"/>
  <c r="L374" i="7"/>
  <c r="L383" i="7"/>
  <c r="L367" i="7"/>
  <c r="L376" i="7"/>
  <c r="L385" i="7"/>
  <c r="L369" i="7"/>
  <c r="L378" i="7"/>
  <c r="L387" i="7"/>
  <c r="L371" i="7"/>
  <c r="L380" i="7"/>
  <c r="L389" i="7"/>
  <c r="L382" i="7"/>
  <c r="L366" i="7"/>
  <c r="L391" i="7"/>
  <c r="Q391" i="7" s="1"/>
  <c r="L375" i="7"/>
  <c r="L370" i="7"/>
  <c r="L384" i="7"/>
  <c r="L368" i="7"/>
  <c r="L373" i="7"/>
  <c r="Z1142" i="7"/>
  <c r="Z1135" i="7"/>
  <c r="Z1144" i="7"/>
  <c r="Z1128" i="7"/>
  <c r="Z1137" i="7"/>
  <c r="Z1130" i="7"/>
  <c r="Z1139" i="7"/>
  <c r="Z1132" i="7"/>
  <c r="Z1141" i="7"/>
  <c r="Z1143" i="7"/>
  <c r="Z1138" i="7"/>
  <c r="Z1140" i="7"/>
  <c r="Z1125" i="7"/>
  <c r="Z1145" i="7"/>
  <c r="Z1122" i="7"/>
  <c r="Z1131" i="7"/>
  <c r="Z1136" i="7"/>
  <c r="Z1127" i="7"/>
  <c r="Z1124" i="7"/>
  <c r="Z1121" i="7"/>
  <c r="Z1134" i="7"/>
  <c r="Z1126" i="7"/>
  <c r="Z1133" i="7"/>
  <c r="Z1129" i="7"/>
  <c r="Z1123" i="7"/>
  <c r="Z1120" i="7"/>
  <c r="Z468" i="7"/>
  <c r="Z452" i="7"/>
  <c r="Z461" i="7"/>
  <c r="Z445" i="7"/>
  <c r="Z454" i="7"/>
  <c r="Z463" i="7"/>
  <c r="Z447" i="7"/>
  <c r="Z456" i="7"/>
  <c r="Z465" i="7"/>
  <c r="Z458" i="7"/>
  <c r="Z467" i="7"/>
  <c r="Z460" i="7"/>
  <c r="Z469" i="7"/>
  <c r="Z453" i="7"/>
  <c r="Z462" i="7"/>
  <c r="Z446" i="7"/>
  <c r="Z455" i="7"/>
  <c r="Z464" i="7"/>
  <c r="Z448" i="7"/>
  <c r="Z457" i="7"/>
  <c r="Z466" i="7"/>
  <c r="Z450" i="7"/>
  <c r="Z449" i="7"/>
  <c r="Z451" i="7"/>
  <c r="Z459" i="7"/>
  <c r="Z444" i="7"/>
  <c r="AA1216" i="7"/>
  <c r="AA1209" i="7"/>
  <c r="AA1218" i="7"/>
  <c r="AA1202" i="7"/>
  <c r="AA1211" i="7"/>
  <c r="AA1220" i="7"/>
  <c r="AA1204" i="7"/>
  <c r="AA1213" i="7"/>
  <c r="AA1222" i="7"/>
  <c r="AA1206" i="7"/>
  <c r="AA1215" i="7"/>
  <c r="AA1208" i="7"/>
  <c r="AA1217" i="7"/>
  <c r="AA1212" i="7"/>
  <c r="AA1214" i="7"/>
  <c r="AA1198" i="7"/>
  <c r="AA1205" i="7"/>
  <c r="AA1223" i="7"/>
  <c r="AA1207" i="7"/>
  <c r="AA1203" i="7"/>
  <c r="AA1201" i="7"/>
  <c r="AA1210" i="7"/>
  <c r="AA1200" i="7"/>
  <c r="AA1199" i="7"/>
  <c r="AA1221" i="7"/>
  <c r="AA1219" i="7"/>
  <c r="AA546" i="7"/>
  <c r="AA539" i="7"/>
  <c r="AA523" i="7"/>
  <c r="AA532" i="7"/>
  <c r="AA541" i="7"/>
  <c r="AA525" i="7"/>
  <c r="AA534" i="7"/>
  <c r="AA543" i="7"/>
  <c r="AA545" i="7"/>
  <c r="AA547" i="7"/>
  <c r="AA531" i="7"/>
  <c r="AA540" i="7"/>
  <c r="AA524" i="7"/>
  <c r="AA533" i="7"/>
  <c r="AA542" i="7"/>
  <c r="AA526" i="7"/>
  <c r="AA530" i="7"/>
  <c r="AA529" i="7"/>
  <c r="AA528" i="7"/>
  <c r="AA527" i="7"/>
  <c r="AA522" i="7"/>
  <c r="AA544" i="7"/>
  <c r="AA536" i="7"/>
  <c r="AA537" i="7"/>
  <c r="AA538" i="7"/>
  <c r="AA535" i="7"/>
  <c r="AB1295" i="7"/>
  <c r="AB1279" i="7"/>
  <c r="AB1288" i="7"/>
  <c r="AB1297" i="7"/>
  <c r="AB1281" i="7"/>
  <c r="AB1290" i="7"/>
  <c r="AB1299" i="7"/>
  <c r="AB1283" i="7"/>
  <c r="AB1292" i="7"/>
  <c r="AB1276" i="7"/>
  <c r="AB1301" i="7"/>
  <c r="AB1285" i="7"/>
  <c r="AB1294" i="7"/>
  <c r="AB1278" i="7"/>
  <c r="AB1287" i="7"/>
  <c r="AB1298" i="7"/>
  <c r="AB1282" i="7"/>
  <c r="AB1300" i="7"/>
  <c r="AB1284" i="7"/>
  <c r="AB1286" i="7"/>
  <c r="AB1277" i="7"/>
  <c r="AB1289" i="7"/>
  <c r="AB1280" i="7"/>
  <c r="AB1293" i="7"/>
  <c r="AB1296" i="7"/>
  <c r="AB1291" i="7"/>
  <c r="AB612" i="7"/>
  <c r="AB621" i="7"/>
  <c r="AB605" i="7"/>
  <c r="AB614" i="7"/>
  <c r="AB623" i="7"/>
  <c r="AB607" i="7"/>
  <c r="AB620" i="7"/>
  <c r="AB604" i="7"/>
  <c r="AB613" i="7"/>
  <c r="AB622" i="7"/>
  <c r="AB606" i="7"/>
  <c r="AB615" i="7"/>
  <c r="AB610" i="7"/>
  <c r="AB609" i="7"/>
  <c r="AB611" i="7"/>
  <c r="AB608" i="7"/>
  <c r="AB625" i="7"/>
  <c r="AB602" i="7"/>
  <c r="AB601" i="7"/>
  <c r="AB624" i="7"/>
  <c r="AB600" i="7"/>
  <c r="AB603" i="7"/>
  <c r="AB618" i="7"/>
  <c r="AB617" i="7"/>
  <c r="AB616" i="7"/>
  <c r="AB619" i="7"/>
  <c r="C5" i="9"/>
  <c r="C4" i="9"/>
  <c r="Z6" i="7"/>
  <c r="L8" i="7"/>
  <c r="Q8" i="7" s="1"/>
  <c r="AB8" i="7"/>
  <c r="AA15" i="7"/>
  <c r="Z22" i="7"/>
  <c r="L24" i="7"/>
  <c r="AB24" i="7"/>
  <c r="AA31" i="7"/>
  <c r="O35" i="7"/>
  <c r="Z36" i="7"/>
  <c r="L39" i="7"/>
  <c r="AB43" i="7"/>
  <c r="P50" i="7"/>
  <c r="L60" i="7"/>
  <c r="Q60" i="7" s="1"/>
  <c r="Z64" i="7"/>
  <c r="P80" i="7"/>
  <c r="P97" i="7"/>
  <c r="O97" i="7"/>
  <c r="L98" i="7"/>
  <c r="L116" i="7"/>
  <c r="L130" i="7"/>
  <c r="AB1218" i="7"/>
  <c r="AB1202" i="7"/>
  <c r="AB1211" i="7"/>
  <c r="AB1220" i="7"/>
  <c r="AB1204" i="7"/>
  <c r="AB1213" i="7"/>
  <c r="AB1222" i="7"/>
  <c r="AB1206" i="7"/>
  <c r="AB1215" i="7"/>
  <c r="AB1217" i="7"/>
  <c r="AB1210" i="7"/>
  <c r="AB1221" i="7"/>
  <c r="AB1205" i="7"/>
  <c r="AB1223" i="7"/>
  <c r="AB1207" i="7"/>
  <c r="AB1214" i="7"/>
  <c r="AB1203" i="7"/>
  <c r="AB1216" i="7"/>
  <c r="AB1209" i="7"/>
  <c r="AB1208" i="7"/>
  <c r="AB1201" i="7"/>
  <c r="AB1200" i="7"/>
  <c r="AB1212" i="7"/>
  <c r="AB1198" i="7"/>
  <c r="AB1219" i="7"/>
  <c r="AB1199" i="7"/>
  <c r="AB546" i="7"/>
  <c r="AB539" i="7"/>
  <c r="AB532" i="7"/>
  <c r="AB541" i="7"/>
  <c r="AB525" i="7"/>
  <c r="AB534" i="7"/>
  <c r="AB543" i="7"/>
  <c r="AB527" i="7"/>
  <c r="AB545" i="7"/>
  <c r="AB538" i="7"/>
  <c r="AB547" i="7"/>
  <c r="AB540" i="7"/>
  <c r="AB524" i="7"/>
  <c r="AB533" i="7"/>
  <c r="AB542" i="7"/>
  <c r="AB526" i="7"/>
  <c r="AB535" i="7"/>
  <c r="AB544" i="7"/>
  <c r="AB530" i="7"/>
  <c r="AB529" i="7"/>
  <c r="AB531" i="7"/>
  <c r="AB528" i="7"/>
  <c r="AB522" i="7"/>
  <c r="AB523" i="7"/>
  <c r="AB536" i="7"/>
  <c r="AB537" i="7"/>
  <c r="D5" i="9"/>
  <c r="D4" i="9"/>
  <c r="AA6" i="7"/>
  <c r="Z13" i="7"/>
  <c r="L15" i="7"/>
  <c r="AB15" i="7"/>
  <c r="AA22" i="7"/>
  <c r="Z29" i="7"/>
  <c r="L31" i="7"/>
  <c r="Q31" i="7" s="1"/>
  <c r="W31" i="7" s="1"/>
  <c r="AB31" i="7"/>
  <c r="AA36" i="7"/>
  <c r="Z44" i="7"/>
  <c r="Z63" i="7"/>
  <c r="AA75" i="7"/>
  <c r="L97" i="7"/>
  <c r="Z4" i="7"/>
  <c r="L6" i="7"/>
  <c r="AB6" i="7"/>
  <c r="Z20" i="7"/>
  <c r="L22" i="7"/>
  <c r="Q22" i="7" s="1"/>
  <c r="AB22" i="7"/>
  <c r="AA29" i="7"/>
  <c r="AB36" i="7"/>
  <c r="AB44" i="7"/>
  <c r="P90" i="7"/>
  <c r="O90" i="7"/>
  <c r="P96" i="7"/>
  <c r="O96" i="7"/>
  <c r="L115" i="7"/>
  <c r="Q115" i="7" s="1"/>
  <c r="W115" i="7" s="1"/>
  <c r="AA690" i="7"/>
  <c r="AA699" i="7"/>
  <c r="AA683" i="7"/>
  <c r="AA692" i="7"/>
  <c r="AA701" i="7"/>
  <c r="AA685" i="7"/>
  <c r="AA694" i="7"/>
  <c r="AA678" i="7"/>
  <c r="AA703" i="7"/>
  <c r="AA687" i="7"/>
  <c r="AA696" i="7"/>
  <c r="AA689" i="7"/>
  <c r="AA698" i="7"/>
  <c r="AA682" i="7"/>
  <c r="AA691" i="7"/>
  <c r="AA700" i="7"/>
  <c r="AA684" i="7"/>
  <c r="AA693" i="7"/>
  <c r="AA702" i="7"/>
  <c r="AA686" i="7"/>
  <c r="AA697" i="7"/>
  <c r="AA681" i="7"/>
  <c r="AA688" i="7"/>
  <c r="AA679" i="7"/>
  <c r="AA680" i="7"/>
  <c r="AA695" i="7"/>
  <c r="AA985" i="7"/>
  <c r="AA978" i="7"/>
  <c r="AA987" i="7"/>
  <c r="AA980" i="7"/>
  <c r="AA989" i="7"/>
  <c r="AA973" i="7"/>
  <c r="AA982" i="7"/>
  <c r="AA975" i="7"/>
  <c r="AA984" i="7"/>
  <c r="AA968" i="7"/>
  <c r="AA986" i="7"/>
  <c r="AA981" i="7"/>
  <c r="AA983" i="7"/>
  <c r="AA965" i="7"/>
  <c r="AA970" i="7"/>
  <c r="AA977" i="7"/>
  <c r="AA979" i="7"/>
  <c r="AA967" i="7"/>
  <c r="AA976" i="7"/>
  <c r="AA972" i="7"/>
  <c r="AA964" i="7"/>
  <c r="AA969" i="7"/>
  <c r="AA988" i="7"/>
  <c r="AA971" i="7"/>
  <c r="AA966" i="7"/>
  <c r="AA974" i="7"/>
  <c r="AA312" i="7"/>
  <c r="AA296" i="7"/>
  <c r="AA305" i="7"/>
  <c r="AA289" i="7"/>
  <c r="AA298" i="7"/>
  <c r="AA307" i="7"/>
  <c r="AA291" i="7"/>
  <c r="AA300" i="7"/>
  <c r="AA309" i="7"/>
  <c r="AA293" i="7"/>
  <c r="AA311" i="7"/>
  <c r="AA295" i="7"/>
  <c r="AA304" i="7"/>
  <c r="AA288" i="7"/>
  <c r="AA313" i="7"/>
  <c r="AA297" i="7"/>
  <c r="AA306" i="7"/>
  <c r="AA290" i="7"/>
  <c r="AA308" i="7"/>
  <c r="AA292" i="7"/>
  <c r="AA301" i="7"/>
  <c r="AA310" i="7"/>
  <c r="AA294" i="7"/>
  <c r="AA302" i="7"/>
  <c r="AA303" i="7"/>
  <c r="AA299" i="7"/>
  <c r="AA4" i="7"/>
  <c r="Z11" i="7"/>
  <c r="L13" i="7"/>
  <c r="Q13" i="7" s="1"/>
  <c r="AA20" i="7"/>
  <c r="Z27" i="7"/>
  <c r="L29" i="7"/>
  <c r="AB29" i="7"/>
  <c r="L36" i="7"/>
  <c r="K36" i="7" s="1"/>
  <c r="O39" i="7"/>
  <c r="AA40" i="7"/>
  <c r="L43" i="7"/>
  <c r="AA45" i="7"/>
  <c r="AB84" i="7"/>
  <c r="AB100" i="7"/>
  <c r="AA107" i="7"/>
  <c r="P114" i="7"/>
  <c r="Q114" i="7" s="1"/>
  <c r="W114" i="7" s="1"/>
  <c r="O114" i="7"/>
  <c r="AA123" i="7"/>
  <c r="Q148" i="7"/>
  <c r="AA1286" i="7"/>
  <c r="AA1295" i="7"/>
  <c r="AA1279" i="7"/>
  <c r="AA1288" i="7"/>
  <c r="AA1297" i="7"/>
  <c r="AA1281" i="7"/>
  <c r="AA1290" i="7"/>
  <c r="AA1299" i="7"/>
  <c r="AA1283" i="7"/>
  <c r="AA1292" i="7"/>
  <c r="AA1276" i="7"/>
  <c r="AA1301" i="7"/>
  <c r="AA1285" i="7"/>
  <c r="AA1294" i="7"/>
  <c r="AA1289" i="7"/>
  <c r="AA1291" i="7"/>
  <c r="AA1296" i="7"/>
  <c r="AA1287" i="7"/>
  <c r="AA1298" i="7"/>
  <c r="AA1278" i="7"/>
  <c r="AA1277" i="7"/>
  <c r="AA1300" i="7"/>
  <c r="AA1280" i="7"/>
  <c r="AA1284" i="7"/>
  <c r="AA1293" i="7"/>
  <c r="AA1282" i="7"/>
  <c r="AA619" i="7"/>
  <c r="AA603" i="7"/>
  <c r="AA612" i="7"/>
  <c r="AA621" i="7"/>
  <c r="AA605" i="7"/>
  <c r="AA614" i="7"/>
  <c r="AA611" i="7"/>
  <c r="AA620" i="7"/>
  <c r="AA604" i="7"/>
  <c r="AA613" i="7"/>
  <c r="AA622" i="7"/>
  <c r="AA606" i="7"/>
  <c r="AA610" i="7"/>
  <c r="AA609" i="7"/>
  <c r="AA608" i="7"/>
  <c r="AA607" i="7"/>
  <c r="AA625" i="7"/>
  <c r="AA602" i="7"/>
  <c r="AA601" i="7"/>
  <c r="AA624" i="7"/>
  <c r="AA600" i="7"/>
  <c r="AA623" i="7"/>
  <c r="AA618" i="7"/>
  <c r="AA617" i="7"/>
  <c r="AA616" i="7"/>
  <c r="AA615" i="7"/>
  <c r="AB699" i="7"/>
  <c r="AB683" i="7"/>
  <c r="AB692" i="7"/>
  <c r="AB701" i="7"/>
  <c r="AB685" i="7"/>
  <c r="AB694" i="7"/>
  <c r="AB678" i="7"/>
  <c r="AB703" i="7"/>
  <c r="AB687" i="7"/>
  <c r="AB696" i="7"/>
  <c r="AB680" i="7"/>
  <c r="AB698" i="7"/>
  <c r="AB682" i="7"/>
  <c r="AB691" i="7"/>
  <c r="AB700" i="7"/>
  <c r="AB684" i="7"/>
  <c r="AB693" i="7"/>
  <c r="AB702" i="7"/>
  <c r="AB686" i="7"/>
  <c r="AB695" i="7"/>
  <c r="AB679" i="7"/>
  <c r="AB690" i="7"/>
  <c r="AB688" i="7"/>
  <c r="AB689" i="7"/>
  <c r="AB681" i="7"/>
  <c r="AB697" i="7"/>
  <c r="L1322" i="7"/>
  <c r="L1316" i="7"/>
  <c r="L1320" i="7"/>
  <c r="L1318" i="7"/>
  <c r="L1309" i="7"/>
  <c r="Q1309" i="7" s="1"/>
  <c r="W1309" i="7" s="1"/>
  <c r="L1302" i="7"/>
  <c r="L1314" i="7"/>
  <c r="L1326" i="7"/>
  <c r="L1311" i="7"/>
  <c r="L1304" i="7"/>
  <c r="L1317" i="7"/>
  <c r="L1306" i="7"/>
  <c r="L1325" i="7"/>
  <c r="L1313" i="7"/>
  <c r="L1321" i="7"/>
  <c r="L1308" i="7"/>
  <c r="L1310" i="7"/>
  <c r="L1303" i="7"/>
  <c r="L1312" i="7"/>
  <c r="L1323" i="7"/>
  <c r="L1307" i="7"/>
  <c r="Q1307" i="7" s="1"/>
  <c r="W1307" i="7" s="1"/>
  <c r="L1324" i="7"/>
  <c r="L1319" i="7"/>
  <c r="L1315" i="7"/>
  <c r="L1327" i="7"/>
  <c r="L1305" i="7"/>
  <c r="L651" i="7"/>
  <c r="L642" i="7"/>
  <c r="L644" i="7"/>
  <c r="L628" i="7"/>
  <c r="L637" i="7"/>
  <c r="L646" i="7"/>
  <c r="L630" i="7"/>
  <c r="Q630" i="7" s="1"/>
  <c r="W630" i="7" s="1"/>
  <c r="L639" i="7"/>
  <c r="L648" i="7"/>
  <c r="L650" i="7"/>
  <c r="L643" i="7"/>
  <c r="Q643" i="7" s="1"/>
  <c r="W643" i="7" s="1"/>
  <c r="L636" i="7"/>
  <c r="L645" i="7"/>
  <c r="L629" i="7"/>
  <c r="L638" i="7"/>
  <c r="L647" i="7"/>
  <c r="L631" i="7"/>
  <c r="L640" i="7"/>
  <c r="L641" i="7"/>
  <c r="L634" i="7"/>
  <c r="L635" i="7"/>
  <c r="L633" i="7"/>
  <c r="L649" i="7"/>
  <c r="Q649" i="7" s="1"/>
  <c r="W649" i="7" s="1"/>
  <c r="L632" i="7"/>
  <c r="L626" i="7"/>
  <c r="L627" i="7"/>
  <c r="Q627" i="7" s="1"/>
  <c r="W627" i="7" s="1"/>
  <c r="Z910" i="7"/>
  <c r="Z896" i="7"/>
  <c r="Z905" i="7"/>
  <c r="Z889" i="7"/>
  <c r="Z898" i="7"/>
  <c r="Z907" i="7"/>
  <c r="Z891" i="7"/>
  <c r="Z900" i="7"/>
  <c r="Z909" i="7"/>
  <c r="Z893" i="7"/>
  <c r="Z902" i="7"/>
  <c r="Z886" i="7"/>
  <c r="Z911" i="7"/>
  <c r="Z904" i="7"/>
  <c r="Z888" i="7"/>
  <c r="Z906" i="7"/>
  <c r="Z908" i="7"/>
  <c r="Z901" i="7"/>
  <c r="Z887" i="7"/>
  <c r="Z903" i="7"/>
  <c r="Z895" i="7"/>
  <c r="Z894" i="7"/>
  <c r="Z897" i="7"/>
  <c r="Z890" i="7"/>
  <c r="Z899" i="7"/>
  <c r="Z892" i="7"/>
  <c r="Z223" i="7"/>
  <c r="Z232" i="7"/>
  <c r="Z216" i="7"/>
  <c r="Z225" i="7"/>
  <c r="Z234" i="7"/>
  <c r="Z218" i="7"/>
  <c r="Z227" i="7"/>
  <c r="Z211" i="7"/>
  <c r="Z220" i="7"/>
  <c r="Z222" i="7"/>
  <c r="Z231" i="7"/>
  <c r="Z224" i="7"/>
  <c r="Z233" i="7"/>
  <c r="Z217" i="7"/>
  <c r="Z235" i="7"/>
  <c r="Z219" i="7"/>
  <c r="Z228" i="7"/>
  <c r="Z212" i="7"/>
  <c r="Z226" i="7"/>
  <c r="Z221" i="7"/>
  <c r="Z213" i="7"/>
  <c r="Z210" i="7"/>
  <c r="Z229" i="7"/>
  <c r="Z215" i="7"/>
  <c r="Z214" i="7"/>
  <c r="Z230" i="7"/>
  <c r="AB987" i="7"/>
  <c r="AB980" i="7"/>
  <c r="AB989" i="7"/>
  <c r="AB982" i="7"/>
  <c r="AB984" i="7"/>
  <c r="AB977" i="7"/>
  <c r="AB986" i="7"/>
  <c r="AB988" i="7"/>
  <c r="AB974" i="7"/>
  <c r="AB973" i="7"/>
  <c r="AB970" i="7"/>
  <c r="AB985" i="7"/>
  <c r="AB979" i="7"/>
  <c r="AB978" i="7"/>
  <c r="AB967" i="7"/>
  <c r="AB976" i="7"/>
  <c r="AB972" i="7"/>
  <c r="AB964" i="7"/>
  <c r="AB981" i="7"/>
  <c r="AB969" i="7"/>
  <c r="AB975" i="7"/>
  <c r="AB971" i="7"/>
  <c r="AB966" i="7"/>
  <c r="AB983" i="7"/>
  <c r="AB968" i="7"/>
  <c r="AB965" i="7"/>
  <c r="AB305" i="7"/>
  <c r="AB289" i="7"/>
  <c r="AB298" i="7"/>
  <c r="AB307" i="7"/>
  <c r="AB291" i="7"/>
  <c r="AB300" i="7"/>
  <c r="AB309" i="7"/>
  <c r="AB293" i="7"/>
  <c r="AB302" i="7"/>
  <c r="AB311" i="7"/>
  <c r="AB304" i="7"/>
  <c r="AB288" i="7"/>
  <c r="AB313" i="7"/>
  <c r="AB297" i="7"/>
  <c r="AB306" i="7"/>
  <c r="AB290" i="7"/>
  <c r="AB299" i="7"/>
  <c r="AB301" i="7"/>
  <c r="AB310" i="7"/>
  <c r="AB294" i="7"/>
  <c r="AB303" i="7"/>
  <c r="AB292" i="7"/>
  <c r="AB308" i="7"/>
  <c r="AB312" i="7"/>
  <c r="AB295" i="7"/>
  <c r="AB296" i="7"/>
  <c r="C8" i="9"/>
  <c r="Z2" i="7"/>
  <c r="L4" i="7"/>
  <c r="K4" i="7" s="1"/>
  <c r="AB4" i="7"/>
  <c r="AA11" i="7"/>
  <c r="O15" i="7"/>
  <c r="Z18" i="7"/>
  <c r="L20" i="7"/>
  <c r="Q20" i="7" s="1"/>
  <c r="AB20" i="7"/>
  <c r="AA27" i="7"/>
  <c r="O31" i="7"/>
  <c r="Z34" i="7"/>
  <c r="AB40" i="7"/>
  <c r="AB45" i="7"/>
  <c r="P58" i="7"/>
  <c r="O58" i="7"/>
  <c r="Q116" i="7"/>
  <c r="W116" i="7" s="1"/>
  <c r="Z805" i="7"/>
  <c r="Z789" i="7"/>
  <c r="Z798" i="7"/>
  <c r="Z782" i="7"/>
  <c r="Z807" i="7"/>
  <c r="Z791" i="7"/>
  <c r="Z800" i="7"/>
  <c r="Z784" i="7"/>
  <c r="Z793" i="7"/>
  <c r="Z802" i="7"/>
  <c r="Z786" i="7"/>
  <c r="Z795" i="7"/>
  <c r="Z804" i="7"/>
  <c r="Z788" i="7"/>
  <c r="Z797" i="7"/>
  <c r="Z806" i="7"/>
  <c r="Z790" i="7"/>
  <c r="Z799" i="7"/>
  <c r="Z783" i="7"/>
  <c r="Z801" i="7"/>
  <c r="Z785" i="7"/>
  <c r="Z803" i="7"/>
  <c r="Z787" i="7"/>
  <c r="Z796" i="7"/>
  <c r="Z792" i="7"/>
  <c r="Z794" i="7"/>
  <c r="Z122" i="7"/>
  <c r="Z106" i="7"/>
  <c r="Z131" i="7"/>
  <c r="Z115" i="7"/>
  <c r="Z124" i="7"/>
  <c r="Z108" i="7"/>
  <c r="Z117" i="7"/>
  <c r="Z126" i="7"/>
  <c r="Z110" i="7"/>
  <c r="Z119" i="7"/>
  <c r="Z121" i="7"/>
  <c r="Z123" i="7"/>
  <c r="Z107" i="7"/>
  <c r="Z116" i="7"/>
  <c r="Z125" i="7"/>
  <c r="Z109" i="7"/>
  <c r="Z118" i="7"/>
  <c r="Z127" i="7"/>
  <c r="Z111" i="7"/>
  <c r="Z120" i="7"/>
  <c r="Z129" i="7"/>
  <c r="AB807" i="7"/>
  <c r="AB791" i="7"/>
  <c r="AB800" i="7"/>
  <c r="AB784" i="7"/>
  <c r="AB793" i="7"/>
  <c r="AB802" i="7"/>
  <c r="AB786" i="7"/>
  <c r="AB795" i="7"/>
  <c r="AB804" i="7"/>
  <c r="AB788" i="7"/>
  <c r="AB797" i="7"/>
  <c r="AB806" i="7"/>
  <c r="AB790" i="7"/>
  <c r="AB799" i="7"/>
  <c r="AB783" i="7"/>
  <c r="AB792" i="7"/>
  <c r="AB801" i="7"/>
  <c r="AB785" i="7"/>
  <c r="AB803" i="7"/>
  <c r="AB787" i="7"/>
  <c r="AB805" i="7"/>
  <c r="AB789" i="7"/>
  <c r="AB798" i="7"/>
  <c r="AB782" i="7"/>
  <c r="AB794" i="7"/>
  <c r="AB796" i="7"/>
  <c r="AB124" i="7"/>
  <c r="AB108" i="7"/>
  <c r="AB117" i="7"/>
  <c r="AB126" i="7"/>
  <c r="AB110" i="7"/>
  <c r="AB119" i="7"/>
  <c r="AB128" i="7"/>
  <c r="AB112" i="7"/>
  <c r="AB121" i="7"/>
  <c r="AB123" i="7"/>
  <c r="AB107" i="7"/>
  <c r="AB125" i="7"/>
  <c r="AB109" i="7"/>
  <c r="AB118" i="7"/>
  <c r="AB127" i="7"/>
  <c r="AB111" i="7"/>
  <c r="AB120" i="7"/>
  <c r="AB129" i="7"/>
  <c r="AB113" i="7"/>
  <c r="AB122" i="7"/>
  <c r="AB106" i="7"/>
  <c r="AB131" i="7"/>
  <c r="L987" i="7"/>
  <c r="L980" i="7"/>
  <c r="L989" i="7"/>
  <c r="L982" i="7"/>
  <c r="L984" i="7"/>
  <c r="K984" i="7" s="1"/>
  <c r="L977" i="7"/>
  <c r="L986" i="7"/>
  <c r="L988" i="7"/>
  <c r="L974" i="7"/>
  <c r="Q974" i="7" s="1"/>
  <c r="W974" i="7" s="1"/>
  <c r="L970" i="7"/>
  <c r="L976" i="7"/>
  <c r="L972" i="7"/>
  <c r="L967" i="7"/>
  <c r="L983" i="7"/>
  <c r="L964" i="7"/>
  <c r="L975" i="7"/>
  <c r="L969" i="7"/>
  <c r="L966" i="7"/>
  <c r="L971" i="7"/>
  <c r="L985" i="7"/>
  <c r="L979" i="7"/>
  <c r="L965" i="7"/>
  <c r="L978" i="7"/>
  <c r="L968" i="7"/>
  <c r="L973" i="7"/>
  <c r="L981" i="7"/>
  <c r="K981" i="7" s="1"/>
  <c r="L305" i="7"/>
  <c r="L289" i="7"/>
  <c r="Q289" i="7" s="1"/>
  <c r="W289" i="7" s="1"/>
  <c r="L298" i="7"/>
  <c r="L307" i="7"/>
  <c r="L291" i="7"/>
  <c r="L300" i="7"/>
  <c r="L309" i="7"/>
  <c r="L293" i="7"/>
  <c r="L302" i="7"/>
  <c r="L311" i="7"/>
  <c r="L304" i="7"/>
  <c r="K304" i="7" s="1"/>
  <c r="L288" i="7"/>
  <c r="K288" i="7" s="1"/>
  <c r="L313" i="7"/>
  <c r="L297" i="7"/>
  <c r="L306" i="7"/>
  <c r="Q306" i="7" s="1"/>
  <c r="W306" i="7" s="1"/>
  <c r="L290" i="7"/>
  <c r="L299" i="7"/>
  <c r="L301" i="7"/>
  <c r="L310" i="7"/>
  <c r="L294" i="7"/>
  <c r="L303" i="7"/>
  <c r="L295" i="7"/>
  <c r="L296" i="7"/>
  <c r="L292" i="7"/>
  <c r="L312" i="7"/>
  <c r="L308" i="7"/>
  <c r="Z985" i="7"/>
  <c r="Z978" i="7"/>
  <c r="Z987" i="7"/>
  <c r="Z980" i="7"/>
  <c r="Z989" i="7"/>
  <c r="Z982" i="7"/>
  <c r="Z975" i="7"/>
  <c r="Z984" i="7"/>
  <c r="Z986" i="7"/>
  <c r="Z988" i="7"/>
  <c r="Z972" i="7"/>
  <c r="Z973" i="7"/>
  <c r="Z970" i="7"/>
  <c r="Z977" i="7"/>
  <c r="Z979" i="7"/>
  <c r="Z967" i="7"/>
  <c r="Z976" i="7"/>
  <c r="Z981" i="7"/>
  <c r="Z964" i="7"/>
  <c r="Z969" i="7"/>
  <c r="Z971" i="7"/>
  <c r="Z966" i="7"/>
  <c r="Z983" i="7"/>
  <c r="Z965" i="7"/>
  <c r="Z974" i="7"/>
  <c r="Z968" i="7"/>
  <c r="Z303" i="7"/>
  <c r="Z312" i="7"/>
  <c r="Z296" i="7"/>
  <c r="Z305" i="7"/>
  <c r="Z289" i="7"/>
  <c r="Z298" i="7"/>
  <c r="Z307" i="7"/>
  <c r="Z291" i="7"/>
  <c r="Z300" i="7"/>
  <c r="Z309" i="7"/>
  <c r="Z302" i="7"/>
  <c r="Z311" i="7"/>
  <c r="Z295" i="7"/>
  <c r="Z304" i="7"/>
  <c r="Z288" i="7"/>
  <c r="Z313" i="7"/>
  <c r="Z297" i="7"/>
  <c r="Z299" i="7"/>
  <c r="Z308" i="7"/>
  <c r="Z292" i="7"/>
  <c r="Z301" i="7"/>
  <c r="Z306" i="7"/>
  <c r="Z293" i="7"/>
  <c r="Z294" i="7"/>
  <c r="Z290" i="7"/>
  <c r="Z310" i="7"/>
  <c r="L821" i="7"/>
  <c r="Q821" i="7" s="1"/>
  <c r="W821" i="7" s="1"/>
  <c r="L830" i="7"/>
  <c r="L823" i="7"/>
  <c r="L832" i="7"/>
  <c r="L816" i="7"/>
  <c r="L825" i="7"/>
  <c r="L822" i="7"/>
  <c r="L831" i="7"/>
  <c r="L815" i="7"/>
  <c r="L824" i="7"/>
  <c r="L814" i="7"/>
  <c r="L809" i="7"/>
  <c r="L827" i="7"/>
  <c r="L826" i="7"/>
  <c r="L820" i="7"/>
  <c r="L819" i="7"/>
  <c r="L811" i="7"/>
  <c r="L818" i="7"/>
  <c r="L828" i="7"/>
  <c r="L833" i="7"/>
  <c r="L813" i="7"/>
  <c r="L829" i="7"/>
  <c r="L817" i="7"/>
  <c r="L808" i="7"/>
  <c r="L810" i="7"/>
  <c r="L812" i="7"/>
  <c r="L156" i="7"/>
  <c r="L140" i="7"/>
  <c r="L149" i="7"/>
  <c r="K149" i="7" s="1"/>
  <c r="R149" i="7" s="1"/>
  <c r="L133" i="7"/>
  <c r="L142" i="7"/>
  <c r="L151" i="7"/>
  <c r="Q151" i="7" s="1"/>
  <c r="L135" i="7"/>
  <c r="Q135" i="7" s="1"/>
  <c r="L144" i="7"/>
  <c r="L153" i="7"/>
  <c r="L137" i="7"/>
  <c r="L146" i="7"/>
  <c r="L155" i="7"/>
  <c r="L139" i="7"/>
  <c r="L148" i="7"/>
  <c r="L157" i="7"/>
  <c r="L141" i="7"/>
  <c r="L150" i="7"/>
  <c r="L134" i="7"/>
  <c r="L143" i="7"/>
  <c r="Q143" i="7" s="1"/>
  <c r="L152" i="7"/>
  <c r="L136" i="7"/>
  <c r="L145" i="7"/>
  <c r="Q145" i="7" s="1"/>
  <c r="L154" i="7"/>
  <c r="Q154" i="7" s="1"/>
  <c r="L138" i="7"/>
  <c r="L147" i="7"/>
  <c r="Z819" i="7"/>
  <c r="Z828" i="7"/>
  <c r="Z821" i="7"/>
  <c r="Z830" i="7"/>
  <c r="Z814" i="7"/>
  <c r="Z823" i="7"/>
  <c r="Z832" i="7"/>
  <c r="Z820" i="7"/>
  <c r="Z829" i="7"/>
  <c r="Z822" i="7"/>
  <c r="Z833" i="7"/>
  <c r="Z816" i="7"/>
  <c r="Z812" i="7"/>
  <c r="Z815" i="7"/>
  <c r="Z809" i="7"/>
  <c r="Z811" i="7"/>
  <c r="Z831" i="7"/>
  <c r="Z813" i="7"/>
  <c r="Z827" i="7"/>
  <c r="Z824" i="7"/>
  <c r="Z818" i="7"/>
  <c r="Z817" i="7"/>
  <c r="Z810" i="7"/>
  <c r="Z826" i="7"/>
  <c r="Z808" i="7"/>
  <c r="Z825" i="7"/>
  <c r="Z154" i="7"/>
  <c r="Z138" i="7"/>
  <c r="Z147" i="7"/>
  <c r="Z156" i="7"/>
  <c r="Z140" i="7"/>
  <c r="Z149" i="7"/>
  <c r="Z133" i="7"/>
  <c r="Z142" i="7"/>
  <c r="Z151" i="7"/>
  <c r="Z135" i="7"/>
  <c r="Z144" i="7"/>
  <c r="Z153" i="7"/>
  <c r="Z137" i="7"/>
  <c r="Z146" i="7"/>
  <c r="Z155" i="7"/>
  <c r="Z139" i="7"/>
  <c r="Z148" i="7"/>
  <c r="Z132" i="7"/>
  <c r="Z157" i="7"/>
  <c r="Z141" i="7"/>
  <c r="Z150" i="7"/>
  <c r="Z134" i="7"/>
  <c r="Z143" i="7"/>
  <c r="Z152" i="7"/>
  <c r="Z136" i="7"/>
  <c r="Z145" i="7"/>
  <c r="AA1313" i="7"/>
  <c r="AA1319" i="7"/>
  <c r="AA1323" i="7"/>
  <c r="AA1307" i="7"/>
  <c r="AA1327" i="7"/>
  <c r="AA1309" i="7"/>
  <c r="AA1302" i="7"/>
  <c r="AA1314" i="7"/>
  <c r="AA1304" i="7"/>
  <c r="AA1318" i="7"/>
  <c r="AA1311" i="7"/>
  <c r="AA1322" i="7"/>
  <c r="AA1306" i="7"/>
  <c r="AA1326" i="7"/>
  <c r="AA1317" i="7"/>
  <c r="AA1308" i="7"/>
  <c r="AA1305" i="7"/>
  <c r="AA1324" i="7"/>
  <c r="AA1320" i="7"/>
  <c r="AA1312" i="7"/>
  <c r="AA1303" i="7"/>
  <c r="AA1315" i="7"/>
  <c r="AA1321" i="7"/>
  <c r="AA1310" i="7"/>
  <c r="AA1316" i="7"/>
  <c r="AA1325" i="7"/>
  <c r="AA649" i="7"/>
  <c r="AA635" i="7"/>
  <c r="AA644" i="7"/>
  <c r="AA628" i="7"/>
  <c r="AA637" i="7"/>
  <c r="AA646" i="7"/>
  <c r="AA630" i="7"/>
  <c r="AA639" i="7"/>
  <c r="AA643" i="7"/>
  <c r="AA627" i="7"/>
  <c r="AA651" i="7"/>
  <c r="AA636" i="7"/>
  <c r="AA645" i="7"/>
  <c r="AA629" i="7"/>
  <c r="AA650" i="7"/>
  <c r="AA638" i="7"/>
  <c r="AA647" i="7"/>
  <c r="AA642" i="7"/>
  <c r="AA634" i="7"/>
  <c r="AA633" i="7"/>
  <c r="AA632" i="7"/>
  <c r="AA648" i="7"/>
  <c r="AA631" i="7"/>
  <c r="AA626" i="7"/>
  <c r="AA640" i="7"/>
  <c r="AA641" i="7"/>
  <c r="Z750" i="7"/>
  <c r="Z743" i="7"/>
  <c r="Z752" i="7"/>
  <c r="Z745" i="7"/>
  <c r="Z754" i="7"/>
  <c r="Z747" i="7"/>
  <c r="Z731" i="7"/>
  <c r="Z749" i="7"/>
  <c r="Z742" i="7"/>
  <c r="Z751" i="7"/>
  <c r="Z753" i="7"/>
  <c r="Z755" i="7"/>
  <c r="Z748" i="7"/>
  <c r="Z735" i="7"/>
  <c r="Z732" i="7"/>
  <c r="Z746" i="7"/>
  <c r="Z744" i="7"/>
  <c r="Z737" i="7"/>
  <c r="Z734" i="7"/>
  <c r="Z741" i="7"/>
  <c r="Z740" i="7"/>
  <c r="Z739" i="7"/>
  <c r="Z736" i="7"/>
  <c r="Z733" i="7"/>
  <c r="Z730" i="7"/>
  <c r="Z738" i="7"/>
  <c r="Z67" i="7"/>
  <c r="Z76" i="7"/>
  <c r="Z60" i="7"/>
  <c r="Z69" i="7"/>
  <c r="Z78" i="7"/>
  <c r="Z62" i="7"/>
  <c r="Z71" i="7"/>
  <c r="Z55" i="7"/>
  <c r="Z73" i="7"/>
  <c r="Z57" i="7"/>
  <c r="Z75" i="7"/>
  <c r="Z59" i="7"/>
  <c r="Z68" i="7"/>
  <c r="Z77" i="7"/>
  <c r="Z61" i="7"/>
  <c r="Z70" i="7"/>
  <c r="Z54" i="7"/>
  <c r="Z72" i="7"/>
  <c r="Z56" i="7"/>
  <c r="AA828" i="7"/>
  <c r="AA821" i="7"/>
  <c r="AA830" i="7"/>
  <c r="AA823" i="7"/>
  <c r="AA832" i="7"/>
  <c r="AA816" i="7"/>
  <c r="AA827" i="7"/>
  <c r="AA829" i="7"/>
  <c r="AA822" i="7"/>
  <c r="AA831" i="7"/>
  <c r="AA815" i="7"/>
  <c r="AA833" i="7"/>
  <c r="AA809" i="7"/>
  <c r="AA814" i="7"/>
  <c r="AA811" i="7"/>
  <c r="AA813" i="7"/>
  <c r="AA826" i="7"/>
  <c r="AA825" i="7"/>
  <c r="AA808" i="7"/>
  <c r="AA820" i="7"/>
  <c r="AA810" i="7"/>
  <c r="AA812" i="7"/>
  <c r="AA818" i="7"/>
  <c r="AA819" i="7"/>
  <c r="AA824" i="7"/>
  <c r="AA817" i="7"/>
  <c r="AA147" i="7"/>
  <c r="AA156" i="7"/>
  <c r="AA140" i="7"/>
  <c r="AA149" i="7"/>
  <c r="AA133" i="7"/>
  <c r="AA142" i="7"/>
  <c r="AA151" i="7"/>
  <c r="AA135" i="7"/>
  <c r="AA144" i="7"/>
  <c r="AA153" i="7"/>
  <c r="AA146" i="7"/>
  <c r="AA155" i="7"/>
  <c r="AA148" i="7"/>
  <c r="AA132" i="7"/>
  <c r="AA157" i="7"/>
  <c r="AA141" i="7"/>
  <c r="AA150" i="7"/>
  <c r="AA134" i="7"/>
  <c r="AA143" i="7"/>
  <c r="AA152" i="7"/>
  <c r="AA136" i="7"/>
  <c r="AA145" i="7"/>
  <c r="AA154" i="7"/>
  <c r="AA138" i="7"/>
  <c r="AB898" i="7"/>
  <c r="AB907" i="7"/>
  <c r="AB891" i="7"/>
  <c r="AB900" i="7"/>
  <c r="AB909" i="7"/>
  <c r="AB893" i="7"/>
  <c r="AB902" i="7"/>
  <c r="AB911" i="7"/>
  <c r="AB895" i="7"/>
  <c r="AB904" i="7"/>
  <c r="AB888" i="7"/>
  <c r="AB906" i="7"/>
  <c r="AB890" i="7"/>
  <c r="AB908" i="7"/>
  <c r="AB892" i="7"/>
  <c r="AB910" i="7"/>
  <c r="AB901" i="7"/>
  <c r="AB887" i="7"/>
  <c r="AB903" i="7"/>
  <c r="AB896" i="7"/>
  <c r="AB894" i="7"/>
  <c r="AB886" i="7"/>
  <c r="AB905" i="7"/>
  <c r="AB897" i="7"/>
  <c r="AB889" i="7"/>
  <c r="AB899" i="7"/>
  <c r="AB225" i="7"/>
  <c r="AB234" i="7"/>
  <c r="AB218" i="7"/>
  <c r="AB227" i="7"/>
  <c r="AB211" i="7"/>
  <c r="AB220" i="7"/>
  <c r="AB229" i="7"/>
  <c r="AB213" i="7"/>
  <c r="AB222" i="7"/>
  <c r="AB224" i="7"/>
  <c r="AB233" i="7"/>
  <c r="AB217" i="7"/>
  <c r="AB226" i="7"/>
  <c r="AB235" i="7"/>
  <c r="AB219" i="7"/>
  <c r="AB221" i="7"/>
  <c r="AB230" i="7"/>
  <c r="AB214" i="7"/>
  <c r="AB232" i="7"/>
  <c r="AB228" i="7"/>
  <c r="AB215" i="7"/>
  <c r="AB212" i="7"/>
  <c r="AB210" i="7"/>
  <c r="AB223" i="7"/>
  <c r="AB216" i="7"/>
  <c r="AB231" i="7"/>
  <c r="X13" i="5"/>
  <c r="L1078" i="7"/>
  <c r="L1087" i="7"/>
  <c r="L1089" i="7"/>
  <c r="L1073" i="7"/>
  <c r="L1082" i="7"/>
  <c r="L1091" i="7"/>
  <c r="L1075" i="7"/>
  <c r="L1084" i="7"/>
  <c r="L1068" i="7"/>
  <c r="L1093" i="7"/>
  <c r="L1077" i="7"/>
  <c r="L1086" i="7"/>
  <c r="L1070" i="7"/>
  <c r="L1079" i="7"/>
  <c r="Q1079" i="7" s="1"/>
  <c r="W1079" i="7" s="1"/>
  <c r="L1088" i="7"/>
  <c r="L1072" i="7"/>
  <c r="L1081" i="7"/>
  <c r="L1090" i="7"/>
  <c r="Q1090" i="7" s="1"/>
  <c r="W1090" i="7" s="1"/>
  <c r="L1074" i="7"/>
  <c r="L1083" i="7"/>
  <c r="L1092" i="7"/>
  <c r="L1076" i="7"/>
  <c r="L1069" i="7"/>
  <c r="L1071" i="7"/>
  <c r="L1080" i="7"/>
  <c r="L1085" i="7"/>
  <c r="L409" i="7"/>
  <c r="L393" i="7"/>
  <c r="L402" i="7"/>
  <c r="L411" i="7"/>
  <c r="Q411" i="7" s="1"/>
  <c r="W411" i="7" s="1"/>
  <c r="L395" i="7"/>
  <c r="L404" i="7"/>
  <c r="L413" i="7"/>
  <c r="Q413" i="7" s="1"/>
  <c r="W413" i="7" s="1"/>
  <c r="L397" i="7"/>
  <c r="L406" i="7"/>
  <c r="L415" i="7"/>
  <c r="L399" i="7"/>
  <c r="L408" i="7"/>
  <c r="L392" i="7"/>
  <c r="L417" i="7"/>
  <c r="L401" i="7"/>
  <c r="L410" i="7"/>
  <c r="L394" i="7"/>
  <c r="L403" i="7"/>
  <c r="L412" i="7"/>
  <c r="L396" i="7"/>
  <c r="Q396" i="7" s="1"/>
  <c r="W396" i="7" s="1"/>
  <c r="L405" i="7"/>
  <c r="L414" i="7"/>
  <c r="L398" i="7"/>
  <c r="L407" i="7"/>
  <c r="Q407" i="7" s="1"/>
  <c r="W407" i="7" s="1"/>
  <c r="L400" i="7"/>
  <c r="L416" i="7"/>
  <c r="Z1158" i="7"/>
  <c r="Z1167" i="7"/>
  <c r="Z1151" i="7"/>
  <c r="Z1160" i="7"/>
  <c r="Z1169" i="7"/>
  <c r="Z1153" i="7"/>
  <c r="Z1162" i="7"/>
  <c r="Z1146" i="7"/>
  <c r="Z1171" i="7"/>
  <c r="Z1155" i="7"/>
  <c r="Z1164" i="7"/>
  <c r="Z1148" i="7"/>
  <c r="Z1157" i="7"/>
  <c r="Z1166" i="7"/>
  <c r="Z1150" i="7"/>
  <c r="Z1159" i="7"/>
  <c r="Z1170" i="7"/>
  <c r="Z1154" i="7"/>
  <c r="Z1156" i="7"/>
  <c r="Z1165" i="7"/>
  <c r="Z1149" i="7"/>
  <c r="Z1161" i="7"/>
  <c r="Z1163" i="7"/>
  <c r="Z1147" i="7"/>
  <c r="Z1168" i="7"/>
  <c r="Z1152" i="7"/>
  <c r="Z484" i="7"/>
  <c r="Z493" i="7"/>
  <c r="Z477" i="7"/>
  <c r="Z486" i="7"/>
  <c r="Z470" i="7"/>
  <c r="Z495" i="7"/>
  <c r="Z479" i="7"/>
  <c r="Z488" i="7"/>
  <c r="Z472" i="7"/>
  <c r="Z481" i="7"/>
  <c r="Z490" i="7"/>
  <c r="Z474" i="7"/>
  <c r="Z483" i="7"/>
  <c r="Z492" i="7"/>
  <c r="Z476" i="7"/>
  <c r="Z485" i="7"/>
  <c r="Z494" i="7"/>
  <c r="Z478" i="7"/>
  <c r="Z487" i="7"/>
  <c r="Z471" i="7"/>
  <c r="Z480" i="7"/>
  <c r="Z489" i="7"/>
  <c r="Z473" i="7"/>
  <c r="Z482" i="7"/>
  <c r="Z491" i="7"/>
  <c r="Z475" i="7"/>
  <c r="AA1232" i="7"/>
  <c r="AA1241" i="7"/>
  <c r="AA1225" i="7"/>
  <c r="AA1234" i="7"/>
  <c r="AA1246" i="7"/>
  <c r="AA1227" i="7"/>
  <c r="AA1243" i="7"/>
  <c r="AA1236" i="7"/>
  <c r="AA1249" i="7"/>
  <c r="AA1229" i="7"/>
  <c r="AA1238" i="7"/>
  <c r="AA1231" i="7"/>
  <c r="AA1240" i="7"/>
  <c r="AA1224" i="7"/>
  <c r="AA1248" i="7"/>
  <c r="AA1245" i="7"/>
  <c r="AA1233" i="7"/>
  <c r="AA1228" i="7"/>
  <c r="AA1247" i="7"/>
  <c r="AA1244" i="7"/>
  <c r="AA1230" i="7"/>
  <c r="AA1235" i="7"/>
  <c r="AA1242" i="7"/>
  <c r="AA1237" i="7"/>
  <c r="AA1239" i="7"/>
  <c r="AA1226" i="7"/>
  <c r="AA569" i="7"/>
  <c r="AA553" i="7"/>
  <c r="AA562" i="7"/>
  <c r="AA571" i="7"/>
  <c r="AA555" i="7"/>
  <c r="AA564" i="7"/>
  <c r="AA548" i="7"/>
  <c r="AA573" i="7"/>
  <c r="AA557" i="7"/>
  <c r="AA566" i="7"/>
  <c r="AA550" i="7"/>
  <c r="AA559" i="7"/>
  <c r="AA568" i="7"/>
  <c r="AA552" i="7"/>
  <c r="AA561" i="7"/>
  <c r="AA570" i="7"/>
  <c r="AA554" i="7"/>
  <c r="AA563" i="7"/>
  <c r="AA572" i="7"/>
  <c r="AA556" i="7"/>
  <c r="AA565" i="7"/>
  <c r="AA549" i="7"/>
  <c r="AA558" i="7"/>
  <c r="AA567" i="7"/>
  <c r="AA551" i="7"/>
  <c r="AA560" i="7"/>
  <c r="AB1322" i="7"/>
  <c r="AB1316" i="7"/>
  <c r="AB1320" i="7"/>
  <c r="AB1309" i="7"/>
  <c r="AB1302" i="7"/>
  <c r="AB1319" i="7"/>
  <c r="AB1323" i="7"/>
  <c r="AB1314" i="7"/>
  <c r="AB1304" i="7"/>
  <c r="AB1327" i="7"/>
  <c r="AB1318" i="7"/>
  <c r="AB1311" i="7"/>
  <c r="AB1306" i="7"/>
  <c r="AB1326" i="7"/>
  <c r="AB1317" i="7"/>
  <c r="AB1308" i="7"/>
  <c r="AB1313" i="7"/>
  <c r="AB1325" i="7"/>
  <c r="AB1321" i="7"/>
  <c r="AB1310" i="7"/>
  <c r="AB1303" i="7"/>
  <c r="AB1315" i="7"/>
  <c r="AB1307" i="7"/>
  <c r="AB1305" i="7"/>
  <c r="AB1324" i="7"/>
  <c r="AB1312" i="7"/>
  <c r="AB651" i="7"/>
  <c r="AB649" i="7"/>
  <c r="AB642" i="7"/>
  <c r="AB644" i="7"/>
  <c r="AB628" i="7"/>
  <c r="AB637" i="7"/>
  <c r="AB646" i="7"/>
  <c r="AB630" i="7"/>
  <c r="AB639" i="7"/>
  <c r="AB648" i="7"/>
  <c r="AB643" i="7"/>
  <c r="AB636" i="7"/>
  <c r="AB645" i="7"/>
  <c r="AB629" i="7"/>
  <c r="AB650" i="7"/>
  <c r="AB638" i="7"/>
  <c r="AB647" i="7"/>
  <c r="AB631" i="7"/>
  <c r="AB640" i="7"/>
  <c r="AB632" i="7"/>
  <c r="AB635" i="7"/>
  <c r="AB626" i="7"/>
  <c r="AB627" i="7"/>
  <c r="AB641" i="7"/>
  <c r="AB633" i="7"/>
  <c r="AB634" i="7"/>
  <c r="D6" i="9"/>
  <c r="D8" i="9"/>
  <c r="AA2" i="7"/>
  <c r="Z9" i="7"/>
  <c r="L11" i="7"/>
  <c r="AB11" i="7"/>
  <c r="AA18" i="7"/>
  <c r="Z25" i="7"/>
  <c r="L27" i="7"/>
  <c r="Q27" i="7" s="1"/>
  <c r="AB27" i="7"/>
  <c r="AA34" i="7"/>
  <c r="Z37" i="7"/>
  <c r="AB46" i="7"/>
  <c r="Z47" i="7"/>
  <c r="Z48" i="7"/>
  <c r="AB52" i="7"/>
  <c r="P65" i="7"/>
  <c r="O65" i="7"/>
  <c r="P66" i="7"/>
  <c r="O66" i="7"/>
  <c r="L68" i="7"/>
  <c r="Q68" i="7" s="1"/>
  <c r="Z82" i="7"/>
  <c r="AA83" i="7"/>
  <c r="AB92" i="7"/>
  <c r="Q141" i="7"/>
  <c r="AA1144" i="7"/>
  <c r="AA1137" i="7"/>
  <c r="AA1121" i="7"/>
  <c r="AA1139" i="7"/>
  <c r="AA1123" i="7"/>
  <c r="AA1141" i="7"/>
  <c r="AA1132" i="7"/>
  <c r="AA1128" i="7"/>
  <c r="AA1125" i="7"/>
  <c r="AA1145" i="7"/>
  <c r="AA1122" i="7"/>
  <c r="AA1131" i="7"/>
  <c r="AA1138" i="7"/>
  <c r="AA1136" i="7"/>
  <c r="AA1127" i="7"/>
  <c r="AA1135" i="7"/>
  <c r="AA1124" i="7"/>
  <c r="AA1140" i="7"/>
  <c r="AA1134" i="7"/>
  <c r="AA1130" i="7"/>
  <c r="AA1126" i="7"/>
  <c r="AA1142" i="7"/>
  <c r="AA1133" i="7"/>
  <c r="AA1129" i="7"/>
  <c r="AA1120" i="7"/>
  <c r="AA1143" i="7"/>
  <c r="AA461" i="7"/>
  <c r="AA445" i="7"/>
  <c r="AA454" i="7"/>
  <c r="AA463" i="7"/>
  <c r="AA447" i="7"/>
  <c r="AA456" i="7"/>
  <c r="AA465" i="7"/>
  <c r="AA458" i="7"/>
  <c r="AA467" i="7"/>
  <c r="AA451" i="7"/>
  <c r="AA460" i="7"/>
  <c r="AA469" i="7"/>
  <c r="AA453" i="7"/>
  <c r="AA462" i="7"/>
  <c r="AA446" i="7"/>
  <c r="AA455" i="7"/>
  <c r="AA464" i="7"/>
  <c r="AA448" i="7"/>
  <c r="AA457" i="7"/>
  <c r="AA466" i="7"/>
  <c r="AA450" i="7"/>
  <c r="AA459" i="7"/>
  <c r="AA449" i="7"/>
  <c r="AA452" i="7"/>
  <c r="AA444" i="7"/>
  <c r="AA468" i="7"/>
  <c r="L898" i="7"/>
  <c r="L907" i="7"/>
  <c r="L891" i="7"/>
  <c r="L900" i="7"/>
  <c r="L909" i="7"/>
  <c r="Q909" i="7" s="1"/>
  <c r="W909" i="7" s="1"/>
  <c r="L893" i="7"/>
  <c r="L902" i="7"/>
  <c r="L911" i="7"/>
  <c r="L895" i="7"/>
  <c r="L904" i="7"/>
  <c r="L888" i="7"/>
  <c r="L906" i="7"/>
  <c r="L890" i="7"/>
  <c r="L908" i="7"/>
  <c r="L892" i="7"/>
  <c r="L910" i="7"/>
  <c r="L887" i="7"/>
  <c r="L905" i="7"/>
  <c r="L897" i="7"/>
  <c r="L896" i="7"/>
  <c r="L894" i="7"/>
  <c r="Q894" i="7" s="1"/>
  <c r="W894" i="7" s="1"/>
  <c r="L899" i="7"/>
  <c r="L886" i="7"/>
  <c r="L889" i="7"/>
  <c r="L901" i="7"/>
  <c r="L903" i="7"/>
  <c r="L225" i="7"/>
  <c r="L234" i="7"/>
  <c r="L218" i="7"/>
  <c r="L227" i="7"/>
  <c r="L211" i="7"/>
  <c r="L220" i="7"/>
  <c r="Q220" i="7" s="1"/>
  <c r="W220" i="7" s="1"/>
  <c r="L229" i="7"/>
  <c r="L213" i="7"/>
  <c r="L222" i="7"/>
  <c r="L224" i="7"/>
  <c r="Q224" i="7" s="1"/>
  <c r="W224" i="7" s="1"/>
  <c r="L233" i="7"/>
  <c r="Q233" i="7" s="1"/>
  <c r="W233" i="7" s="1"/>
  <c r="L226" i="7"/>
  <c r="L235" i="7"/>
  <c r="L219" i="7"/>
  <c r="L221" i="7"/>
  <c r="L230" i="7"/>
  <c r="L214" i="7"/>
  <c r="L223" i="7"/>
  <c r="L210" i="7"/>
  <c r="L228" i="7"/>
  <c r="L216" i="7"/>
  <c r="L215" i="7"/>
  <c r="L212" i="7"/>
  <c r="L217" i="7"/>
  <c r="L231" i="7"/>
  <c r="L232" i="7"/>
  <c r="Q232" i="7" s="1"/>
  <c r="W232" i="7" s="1"/>
  <c r="Z1320" i="7"/>
  <c r="Z1326" i="7"/>
  <c r="Z1314" i="7"/>
  <c r="Z1318" i="7"/>
  <c r="Z1315" i="7"/>
  <c r="Z1319" i="7"/>
  <c r="Z1309" i="7"/>
  <c r="Z1302" i="7"/>
  <c r="Z1323" i="7"/>
  <c r="Z1327" i="7"/>
  <c r="Z1304" i="7"/>
  <c r="Z1311" i="7"/>
  <c r="Z1322" i="7"/>
  <c r="Z1306" i="7"/>
  <c r="Z1317" i="7"/>
  <c r="Z1313" i="7"/>
  <c r="Z1308" i="7"/>
  <c r="Z1316" i="7"/>
  <c r="Z1303" i="7"/>
  <c r="Z1321" i="7"/>
  <c r="Z1310" i="7"/>
  <c r="Z1305" i="7"/>
  <c r="Z1325" i="7"/>
  <c r="Z1324" i="7"/>
  <c r="Z1307" i="7"/>
  <c r="Z1312" i="7"/>
  <c r="Z640" i="7"/>
  <c r="Z649" i="7"/>
  <c r="Z642" i="7"/>
  <c r="Z626" i="7"/>
  <c r="Z635" i="7"/>
  <c r="Z644" i="7"/>
  <c r="Z628" i="7"/>
  <c r="Z637" i="7"/>
  <c r="Z646" i="7"/>
  <c r="Z641" i="7"/>
  <c r="Z634" i="7"/>
  <c r="Z643" i="7"/>
  <c r="Z627" i="7"/>
  <c r="Z651" i="7"/>
  <c r="Z636" i="7"/>
  <c r="Z645" i="7"/>
  <c r="Z629" i="7"/>
  <c r="Z650" i="7"/>
  <c r="Z638" i="7"/>
  <c r="Z647" i="7"/>
  <c r="Z633" i="7"/>
  <c r="Z632" i="7"/>
  <c r="Z648" i="7"/>
  <c r="Z631" i="7"/>
  <c r="Z630" i="7"/>
  <c r="Z639" i="7"/>
  <c r="Z1244" i="7"/>
  <c r="Z1239" i="7"/>
  <c r="Z1232" i="7"/>
  <c r="Z1241" i="7"/>
  <c r="Z1225" i="7"/>
  <c r="Z1234" i="7"/>
  <c r="Z1246" i="7"/>
  <c r="Z1227" i="7"/>
  <c r="Z1243" i="7"/>
  <c r="Z1236" i="7"/>
  <c r="Z1249" i="7"/>
  <c r="Z1229" i="7"/>
  <c r="Z1238" i="7"/>
  <c r="Z1231" i="7"/>
  <c r="Z1240" i="7"/>
  <c r="Z1224" i="7"/>
  <c r="Z1235" i="7"/>
  <c r="Z1237" i="7"/>
  <c r="Z1248" i="7"/>
  <c r="Z1228" i="7"/>
  <c r="Z1242" i="7"/>
  <c r="Z1230" i="7"/>
  <c r="Z1233" i="7"/>
  <c r="Z1226" i="7"/>
  <c r="Z1247" i="7"/>
  <c r="Z1245" i="7"/>
  <c r="Z560" i="7"/>
  <c r="Z569" i="7"/>
  <c r="Z553" i="7"/>
  <c r="Z562" i="7"/>
  <c r="Z571" i="7"/>
  <c r="Z555" i="7"/>
  <c r="Z564" i="7"/>
  <c r="Z548" i="7"/>
  <c r="Z573" i="7"/>
  <c r="Z557" i="7"/>
  <c r="Z566" i="7"/>
  <c r="Z550" i="7"/>
  <c r="Z559" i="7"/>
  <c r="Z568" i="7"/>
  <c r="Z552" i="7"/>
  <c r="Z561" i="7"/>
  <c r="Z570" i="7"/>
  <c r="Z554" i="7"/>
  <c r="Z563" i="7"/>
  <c r="Z572" i="7"/>
  <c r="Z556" i="7"/>
  <c r="Z565" i="7"/>
  <c r="Z549" i="7"/>
  <c r="Z558" i="7"/>
  <c r="Z551" i="7"/>
  <c r="Z567" i="7"/>
  <c r="C6" i="9"/>
  <c r="AA743" i="7"/>
  <c r="AA752" i="7"/>
  <c r="AA745" i="7"/>
  <c r="AA754" i="7"/>
  <c r="AA747" i="7"/>
  <c r="AA740" i="7"/>
  <c r="AA749" i="7"/>
  <c r="AA751" i="7"/>
  <c r="AA735" i="7"/>
  <c r="AA744" i="7"/>
  <c r="AA748" i="7"/>
  <c r="AA746" i="7"/>
  <c r="AA742" i="7"/>
  <c r="AA753" i="7"/>
  <c r="AA737" i="7"/>
  <c r="AA731" i="7"/>
  <c r="AA734" i="7"/>
  <c r="AA741" i="7"/>
  <c r="AA755" i="7"/>
  <c r="AA739" i="7"/>
  <c r="AA736" i="7"/>
  <c r="AA733" i="7"/>
  <c r="AA730" i="7"/>
  <c r="AA750" i="7"/>
  <c r="AA738" i="7"/>
  <c r="AA732" i="7"/>
  <c r="AA76" i="7"/>
  <c r="AA60" i="7"/>
  <c r="AA69" i="7"/>
  <c r="AA78" i="7"/>
  <c r="AA62" i="7"/>
  <c r="AA71" i="7"/>
  <c r="AA55" i="7"/>
  <c r="AA64" i="7"/>
  <c r="AA66" i="7"/>
  <c r="AA68" i="7"/>
  <c r="AA77" i="7"/>
  <c r="AA61" i="7"/>
  <c r="AA70" i="7"/>
  <c r="AA54" i="7"/>
  <c r="AA79" i="7"/>
  <c r="AA63" i="7"/>
  <c r="AA65" i="7"/>
  <c r="AB821" i="7"/>
  <c r="AB830" i="7"/>
  <c r="AB823" i="7"/>
  <c r="AB832" i="7"/>
  <c r="AB816" i="7"/>
  <c r="AB825" i="7"/>
  <c r="AB827" i="7"/>
  <c r="AB829" i="7"/>
  <c r="AB822" i="7"/>
  <c r="AB831" i="7"/>
  <c r="AB815" i="7"/>
  <c r="AB824" i="7"/>
  <c r="AB833" i="7"/>
  <c r="AB809" i="7"/>
  <c r="AB814" i="7"/>
  <c r="AB811" i="7"/>
  <c r="AB813" i="7"/>
  <c r="AB826" i="7"/>
  <c r="AB808" i="7"/>
  <c r="AB819" i="7"/>
  <c r="AB818" i="7"/>
  <c r="AB817" i="7"/>
  <c r="AB828" i="7"/>
  <c r="AB812" i="7"/>
  <c r="AB810" i="7"/>
  <c r="AB820" i="7"/>
  <c r="AB157" i="7"/>
  <c r="AB156" i="7"/>
  <c r="AB140" i="7"/>
  <c r="AB149" i="7"/>
  <c r="AB133" i="7"/>
  <c r="AB142" i="7"/>
  <c r="AB151" i="7"/>
  <c r="AB135" i="7"/>
  <c r="AB144" i="7"/>
  <c r="AB153" i="7"/>
  <c r="AB137" i="7"/>
  <c r="AB146" i="7"/>
  <c r="AB155" i="7"/>
  <c r="AB139" i="7"/>
  <c r="AB148" i="7"/>
  <c r="AB141" i="7"/>
  <c r="AB150" i="7"/>
  <c r="AB134" i="7"/>
  <c r="AB143" i="7"/>
  <c r="AB152" i="7"/>
  <c r="AB136" i="7"/>
  <c r="AB145" i="7"/>
  <c r="AB154" i="7"/>
  <c r="AB138" i="7"/>
  <c r="AB147" i="7"/>
  <c r="X10" i="5"/>
  <c r="L1010" i="7"/>
  <c r="L994" i="7"/>
  <c r="L1003" i="7"/>
  <c r="L1012" i="7"/>
  <c r="L996" i="7"/>
  <c r="L1005" i="7"/>
  <c r="L1014" i="7"/>
  <c r="L998" i="7"/>
  <c r="L1007" i="7"/>
  <c r="L991" i="7"/>
  <c r="L1000" i="7"/>
  <c r="L1009" i="7"/>
  <c r="L993" i="7"/>
  <c r="L1002" i="7"/>
  <c r="L1011" i="7"/>
  <c r="L995" i="7"/>
  <c r="L1004" i="7"/>
  <c r="L1006" i="7"/>
  <c r="L990" i="7"/>
  <c r="L1008" i="7"/>
  <c r="L992" i="7"/>
  <c r="L1001" i="7"/>
  <c r="L1015" i="7"/>
  <c r="L999" i="7"/>
  <c r="Q999" i="7" s="1"/>
  <c r="W999" i="7" s="1"/>
  <c r="L1013" i="7"/>
  <c r="L997" i="7"/>
  <c r="L337" i="7"/>
  <c r="L321" i="7"/>
  <c r="L330" i="7"/>
  <c r="L314" i="7"/>
  <c r="L339" i="7"/>
  <c r="L323" i="7"/>
  <c r="L332" i="7"/>
  <c r="L316" i="7"/>
  <c r="L325" i="7"/>
  <c r="L334" i="7"/>
  <c r="L318" i="7"/>
  <c r="L327" i="7"/>
  <c r="L336" i="7"/>
  <c r="L320" i="7"/>
  <c r="L329" i="7"/>
  <c r="Q329" i="7" s="1"/>
  <c r="W329" i="7" s="1"/>
  <c r="L338" i="7"/>
  <c r="L322" i="7"/>
  <c r="L331" i="7"/>
  <c r="L315" i="7"/>
  <c r="L333" i="7"/>
  <c r="L317" i="7"/>
  <c r="L326" i="7"/>
  <c r="L335" i="7"/>
  <c r="L319" i="7"/>
  <c r="L328" i="7"/>
  <c r="L324" i="7"/>
  <c r="Z1092" i="7"/>
  <c r="Z1076" i="7"/>
  <c r="Z1085" i="7"/>
  <c r="Z1087" i="7"/>
  <c r="Z1071" i="7"/>
  <c r="Z1080" i="7"/>
  <c r="Z1089" i="7"/>
  <c r="Z1073" i="7"/>
  <c r="Z1082" i="7"/>
  <c r="Z1091" i="7"/>
  <c r="Z1075" i="7"/>
  <c r="Z1084" i="7"/>
  <c r="Z1068" i="7"/>
  <c r="Z1093" i="7"/>
  <c r="Z1077" i="7"/>
  <c r="Z1086" i="7"/>
  <c r="Z1070" i="7"/>
  <c r="Z1079" i="7"/>
  <c r="Z1088" i="7"/>
  <c r="Z1072" i="7"/>
  <c r="Z1081" i="7"/>
  <c r="Z1090" i="7"/>
  <c r="Z1074" i="7"/>
  <c r="Z1069" i="7"/>
  <c r="Z1083" i="7"/>
  <c r="Z1078" i="7"/>
  <c r="Z407" i="7"/>
  <c r="Z416" i="7"/>
  <c r="Z400" i="7"/>
  <c r="Z409" i="7"/>
  <c r="Z393" i="7"/>
  <c r="Z402" i="7"/>
  <c r="Z411" i="7"/>
  <c r="Z395" i="7"/>
  <c r="Z404" i="7"/>
  <c r="Z413" i="7"/>
  <c r="Z397" i="7"/>
  <c r="Z406" i="7"/>
  <c r="Z415" i="7"/>
  <c r="Z399" i="7"/>
  <c r="Z408" i="7"/>
  <c r="Z392" i="7"/>
  <c r="Z417" i="7"/>
  <c r="Z401" i="7"/>
  <c r="Z410" i="7"/>
  <c r="Z394" i="7"/>
  <c r="Z403" i="7"/>
  <c r="Z412" i="7"/>
  <c r="Z396" i="7"/>
  <c r="Z405" i="7"/>
  <c r="Z398" i="7"/>
  <c r="Z414" i="7"/>
  <c r="AA1167" i="7"/>
  <c r="AA1151" i="7"/>
  <c r="AA1160" i="7"/>
  <c r="AA1169" i="7"/>
  <c r="AA1153" i="7"/>
  <c r="AA1162" i="7"/>
  <c r="AA1146" i="7"/>
  <c r="AA1171" i="7"/>
  <c r="AA1155" i="7"/>
  <c r="AA1164" i="7"/>
  <c r="AA1148" i="7"/>
  <c r="AA1157" i="7"/>
  <c r="AA1166" i="7"/>
  <c r="AA1150" i="7"/>
  <c r="AA1159" i="7"/>
  <c r="AA1168" i="7"/>
  <c r="AA1152" i="7"/>
  <c r="AA1163" i="7"/>
  <c r="AA1147" i="7"/>
  <c r="AA1165" i="7"/>
  <c r="AA1149" i="7"/>
  <c r="AA1158" i="7"/>
  <c r="AA1156" i="7"/>
  <c r="AA1161" i="7"/>
  <c r="AA1170" i="7"/>
  <c r="AA1154" i="7"/>
  <c r="AA493" i="7"/>
  <c r="AA477" i="7"/>
  <c r="AA486" i="7"/>
  <c r="AA470" i="7"/>
  <c r="AA495" i="7"/>
  <c r="AA479" i="7"/>
  <c r="AA488" i="7"/>
  <c r="AA472" i="7"/>
  <c r="AA481" i="7"/>
  <c r="AA490" i="7"/>
  <c r="AA474" i="7"/>
  <c r="AA483" i="7"/>
  <c r="AA492" i="7"/>
  <c r="AA476" i="7"/>
  <c r="AA485" i="7"/>
  <c r="AA494" i="7"/>
  <c r="AA478" i="7"/>
  <c r="AA487" i="7"/>
  <c r="AA471" i="7"/>
  <c r="AA480" i="7"/>
  <c r="AA489" i="7"/>
  <c r="AA473" i="7"/>
  <c r="AA482" i="7"/>
  <c r="AA491" i="7"/>
  <c r="AA475" i="7"/>
  <c r="AA484" i="7"/>
  <c r="AB1244" i="7"/>
  <c r="AB1246" i="7"/>
  <c r="AB1241" i="7"/>
  <c r="AB1225" i="7"/>
  <c r="AB1234" i="7"/>
  <c r="AB1227" i="7"/>
  <c r="AB1243" i="7"/>
  <c r="AB1236" i="7"/>
  <c r="AB1249" i="7"/>
  <c r="AB1229" i="7"/>
  <c r="AB1238" i="7"/>
  <c r="AB1231" i="7"/>
  <c r="AB1240" i="7"/>
  <c r="AB1224" i="7"/>
  <c r="AB1248" i="7"/>
  <c r="AB1245" i="7"/>
  <c r="AB1233" i="7"/>
  <c r="AB1242" i="7"/>
  <c r="AB1226" i="7"/>
  <c r="AB1237" i="7"/>
  <c r="AB1239" i="7"/>
  <c r="AB1228" i="7"/>
  <c r="AB1230" i="7"/>
  <c r="AB1247" i="7"/>
  <c r="AB1235" i="7"/>
  <c r="AB1232" i="7"/>
  <c r="AB562" i="7"/>
  <c r="AB571" i="7"/>
  <c r="AB555" i="7"/>
  <c r="AB564" i="7"/>
  <c r="AB548" i="7"/>
  <c r="AB573" i="7"/>
  <c r="AB557" i="7"/>
  <c r="AB566" i="7"/>
  <c r="AB550" i="7"/>
  <c r="AB559" i="7"/>
  <c r="AB568" i="7"/>
  <c r="AB552" i="7"/>
  <c r="AB561" i="7"/>
  <c r="AB570" i="7"/>
  <c r="AB554" i="7"/>
  <c r="AB563" i="7"/>
  <c r="AB572" i="7"/>
  <c r="AB556" i="7"/>
  <c r="AB565" i="7"/>
  <c r="AB549" i="7"/>
  <c r="AB558" i="7"/>
  <c r="AB567" i="7"/>
  <c r="AB551" i="7"/>
  <c r="AB560" i="7"/>
  <c r="AB553" i="7"/>
  <c r="AB569" i="7"/>
  <c r="X26" i="5"/>
  <c r="L2" i="7"/>
  <c r="Q2" i="7" s="1"/>
  <c r="AB2" i="7"/>
  <c r="AA9" i="7"/>
  <c r="O13" i="7"/>
  <c r="Z16" i="7"/>
  <c r="L18" i="7"/>
  <c r="AB18" i="7"/>
  <c r="AA25" i="7"/>
  <c r="O29" i="7"/>
  <c r="Z32" i="7"/>
  <c r="L34" i="7"/>
  <c r="AB34" i="7"/>
  <c r="O36" i="7"/>
  <c r="R36" i="7" s="1"/>
  <c r="AA37" i="7"/>
  <c r="L40" i="7"/>
  <c r="P43" i="7"/>
  <c r="Q43" i="7" s="1"/>
  <c r="W43" i="7" s="1"/>
  <c r="L44" i="7"/>
  <c r="Z49" i="7"/>
  <c r="Z50" i="7"/>
  <c r="L65" i="7"/>
  <c r="K65" i="7" s="1"/>
  <c r="L66" i="7"/>
  <c r="L67" i="7"/>
  <c r="Q67" i="7" s="1"/>
  <c r="AA72" i="7"/>
  <c r="AA73" i="7"/>
  <c r="Q76" i="7"/>
  <c r="Z81" i="7"/>
  <c r="AB82" i="7"/>
  <c r="AB83" i="7"/>
  <c r="AB99" i="7"/>
  <c r="P113" i="7"/>
  <c r="O113" i="7"/>
  <c r="Z130" i="7"/>
  <c r="Q137" i="7"/>
  <c r="AA139" i="7"/>
  <c r="Q337" i="7"/>
  <c r="W337" i="7" s="1"/>
  <c r="AA1053" i="7"/>
  <c r="AA1064" i="7"/>
  <c r="AA1066" i="7"/>
  <c r="AA1052" i="7"/>
  <c r="AA1061" i="7"/>
  <c r="AA1054" i="7"/>
  <c r="AA1063" i="7"/>
  <c r="AA1065" i="7"/>
  <c r="AA1067" i="7"/>
  <c r="AA1050" i="7"/>
  <c r="AA1060" i="7"/>
  <c r="AA1042" i="7"/>
  <c r="AA1059" i="7"/>
  <c r="AA1058" i="7"/>
  <c r="AA1049" i="7"/>
  <c r="AA1044" i="7"/>
  <c r="AA1062" i="7"/>
  <c r="AA1057" i="7"/>
  <c r="AA1046" i="7"/>
  <c r="AA1048" i="7"/>
  <c r="AA1056" i="7"/>
  <c r="AA1043" i="7"/>
  <c r="AA1045" i="7"/>
  <c r="AA1055" i="7"/>
  <c r="AA1047" i="7"/>
  <c r="AA1051" i="7"/>
  <c r="AA384" i="7"/>
  <c r="AA368" i="7"/>
  <c r="AA386" i="7"/>
  <c r="AA370" i="7"/>
  <c r="AA379" i="7"/>
  <c r="AA388" i="7"/>
  <c r="AA372" i="7"/>
  <c r="AA381" i="7"/>
  <c r="AA390" i="7"/>
  <c r="AA374" i="7"/>
  <c r="AA383" i="7"/>
  <c r="AA367" i="7"/>
  <c r="AA376" i="7"/>
  <c r="AA385" i="7"/>
  <c r="AA369" i="7"/>
  <c r="AA378" i="7"/>
  <c r="AA387" i="7"/>
  <c r="AA371" i="7"/>
  <c r="AA380" i="7"/>
  <c r="AA389" i="7"/>
  <c r="AA373" i="7"/>
  <c r="AA382" i="7"/>
  <c r="AA366" i="7"/>
  <c r="AA391" i="7"/>
  <c r="AA377" i="7"/>
  <c r="AA375" i="7"/>
  <c r="X3" i="5"/>
  <c r="AB1062" i="7"/>
  <c r="AB1066" i="7"/>
  <c r="AB1061" i="7"/>
  <c r="AB1054" i="7"/>
  <c r="AB1063" i="7"/>
  <c r="AB1065" i="7"/>
  <c r="AB1067" i="7"/>
  <c r="AB1060" i="7"/>
  <c r="AB1042" i="7"/>
  <c r="AB1059" i="7"/>
  <c r="AB1058" i="7"/>
  <c r="AB1049" i="7"/>
  <c r="AB1044" i="7"/>
  <c r="AB1057" i="7"/>
  <c r="AB1046" i="7"/>
  <c r="AB1048" i="7"/>
  <c r="AB1056" i="7"/>
  <c r="AB1053" i="7"/>
  <c r="AB1043" i="7"/>
  <c r="AB1052" i="7"/>
  <c r="AB1051" i="7"/>
  <c r="AB1050" i="7"/>
  <c r="AB1047" i="7"/>
  <c r="AB1055" i="7"/>
  <c r="AB1064" i="7"/>
  <c r="AB1045" i="7"/>
  <c r="AB377" i="7"/>
  <c r="AB386" i="7"/>
  <c r="AB379" i="7"/>
  <c r="AB388" i="7"/>
  <c r="AB372" i="7"/>
  <c r="AB381" i="7"/>
  <c r="AB390" i="7"/>
  <c r="AB374" i="7"/>
  <c r="AB383" i="7"/>
  <c r="AB367" i="7"/>
  <c r="AB376" i="7"/>
  <c r="AB385" i="7"/>
  <c r="AB369" i="7"/>
  <c r="AB378" i="7"/>
  <c r="AB387" i="7"/>
  <c r="AB371" i="7"/>
  <c r="AB380" i="7"/>
  <c r="AB389" i="7"/>
  <c r="AB373" i="7"/>
  <c r="AB382" i="7"/>
  <c r="AB366" i="7"/>
  <c r="AB391" i="7"/>
  <c r="AB375" i="7"/>
  <c r="AB384" i="7"/>
  <c r="AB368" i="7"/>
  <c r="AB370" i="7"/>
  <c r="AA903" i="7"/>
  <c r="AA905" i="7"/>
  <c r="AA898" i="7"/>
  <c r="AA907" i="7"/>
  <c r="AA891" i="7"/>
  <c r="AA900" i="7"/>
  <c r="AA909" i="7"/>
  <c r="AA893" i="7"/>
  <c r="AA902" i="7"/>
  <c r="AA886" i="7"/>
  <c r="AA911" i="7"/>
  <c r="AA895" i="7"/>
  <c r="AA904" i="7"/>
  <c r="AA897" i="7"/>
  <c r="AA906" i="7"/>
  <c r="AA899" i="7"/>
  <c r="AA901" i="7"/>
  <c r="AA908" i="7"/>
  <c r="AA887" i="7"/>
  <c r="AA910" i="7"/>
  <c r="AA896" i="7"/>
  <c r="AA894" i="7"/>
  <c r="AA890" i="7"/>
  <c r="AA892" i="7"/>
  <c r="AA888" i="7"/>
  <c r="AA889" i="7"/>
  <c r="AA232" i="7"/>
  <c r="AA216" i="7"/>
  <c r="AA225" i="7"/>
  <c r="AA234" i="7"/>
  <c r="AA218" i="7"/>
  <c r="AA227" i="7"/>
  <c r="AA211" i="7"/>
  <c r="AA220" i="7"/>
  <c r="AA229" i="7"/>
  <c r="AA213" i="7"/>
  <c r="AA231" i="7"/>
  <c r="AA224" i="7"/>
  <c r="AA233" i="7"/>
  <c r="AA217" i="7"/>
  <c r="AA226" i="7"/>
  <c r="AA210" i="7"/>
  <c r="AA228" i="7"/>
  <c r="AA212" i="7"/>
  <c r="AA221" i="7"/>
  <c r="AA219" i="7"/>
  <c r="AA222" i="7"/>
  <c r="AA215" i="7"/>
  <c r="AA214" i="7"/>
  <c r="AA235" i="7"/>
  <c r="AA223" i="7"/>
  <c r="AA230" i="7"/>
  <c r="AB752" i="7"/>
  <c r="AB745" i="7"/>
  <c r="AB754" i="7"/>
  <c r="AB747" i="7"/>
  <c r="AB749" i="7"/>
  <c r="AB733" i="7"/>
  <c r="AB751" i="7"/>
  <c r="AB744" i="7"/>
  <c r="AB753" i="7"/>
  <c r="AB755" i="7"/>
  <c r="AB750" i="7"/>
  <c r="AB746" i="7"/>
  <c r="AB743" i="7"/>
  <c r="AB742" i="7"/>
  <c r="AB737" i="7"/>
  <c r="AB731" i="7"/>
  <c r="AB734" i="7"/>
  <c r="AB741" i="7"/>
  <c r="AB748" i="7"/>
  <c r="AB740" i="7"/>
  <c r="AB739" i="7"/>
  <c r="AB736" i="7"/>
  <c r="AB730" i="7"/>
  <c r="AB732" i="7"/>
  <c r="AB735" i="7"/>
  <c r="AB738" i="7"/>
  <c r="AB69" i="7"/>
  <c r="AB78" i="7"/>
  <c r="AB62" i="7"/>
  <c r="AB71" i="7"/>
  <c r="AB55" i="7"/>
  <c r="AB64" i="7"/>
  <c r="AB73" i="7"/>
  <c r="AB57" i="7"/>
  <c r="AB75" i="7"/>
  <c r="AB59" i="7"/>
  <c r="AB77" i="7"/>
  <c r="AB61" i="7"/>
  <c r="AB70" i="7"/>
  <c r="AB54" i="7"/>
  <c r="AB79" i="7"/>
  <c r="AB63" i="7"/>
  <c r="AB72" i="7"/>
  <c r="AB56" i="7"/>
  <c r="AB74" i="7"/>
  <c r="AB58" i="7"/>
  <c r="X7" i="5"/>
  <c r="L928" i="7"/>
  <c r="L912" i="7"/>
  <c r="L930" i="7"/>
  <c r="L914" i="7"/>
  <c r="L923" i="7"/>
  <c r="Q923" i="7" s="1"/>
  <c r="W923" i="7" s="1"/>
  <c r="L932" i="7"/>
  <c r="L916" i="7"/>
  <c r="L925" i="7"/>
  <c r="Q925" i="7" s="1"/>
  <c r="W925" i="7" s="1"/>
  <c r="L934" i="7"/>
  <c r="L918" i="7"/>
  <c r="L927" i="7"/>
  <c r="L936" i="7"/>
  <c r="L920" i="7"/>
  <c r="L929" i="7"/>
  <c r="L913" i="7"/>
  <c r="L922" i="7"/>
  <c r="L931" i="7"/>
  <c r="L915" i="7"/>
  <c r="L924" i="7"/>
  <c r="L926" i="7"/>
  <c r="Q926" i="7" s="1"/>
  <c r="W926" i="7" s="1"/>
  <c r="L937" i="7"/>
  <c r="Q937" i="7" s="1"/>
  <c r="W937" i="7" s="1"/>
  <c r="L921" i="7"/>
  <c r="L933" i="7"/>
  <c r="L917" i="7"/>
  <c r="L935" i="7"/>
  <c r="L919" i="7"/>
  <c r="L257" i="7"/>
  <c r="L241" i="7"/>
  <c r="Q241" i="7" s="1"/>
  <c r="W241" i="7" s="1"/>
  <c r="L250" i="7"/>
  <c r="L259" i="7"/>
  <c r="L243" i="7"/>
  <c r="L252" i="7"/>
  <c r="L236" i="7"/>
  <c r="L261" i="7"/>
  <c r="L245" i="7"/>
  <c r="L254" i="7"/>
  <c r="Q254" i="7" s="1"/>
  <c r="W254" i="7" s="1"/>
  <c r="L238" i="7"/>
  <c r="L256" i="7"/>
  <c r="L240" i="7"/>
  <c r="Q240" i="7" s="1"/>
  <c r="W240" i="7" s="1"/>
  <c r="L249" i="7"/>
  <c r="Q249" i="7" s="1"/>
  <c r="W249" i="7" s="1"/>
  <c r="L258" i="7"/>
  <c r="L242" i="7"/>
  <c r="L251" i="7"/>
  <c r="L253" i="7"/>
  <c r="L237" i="7"/>
  <c r="L246" i="7"/>
  <c r="L255" i="7"/>
  <c r="L239" i="7"/>
  <c r="L244" i="7"/>
  <c r="L260" i="7"/>
  <c r="L247" i="7"/>
  <c r="L248" i="7"/>
  <c r="Z1008" i="7"/>
  <c r="Z992" i="7"/>
  <c r="Z1001" i="7"/>
  <c r="Z1010" i="7"/>
  <c r="Z994" i="7"/>
  <c r="Z1003" i="7"/>
  <c r="Z1012" i="7"/>
  <c r="Z996" i="7"/>
  <c r="Z1005" i="7"/>
  <c r="Z1014" i="7"/>
  <c r="Z998" i="7"/>
  <c r="Z1007" i="7"/>
  <c r="Z991" i="7"/>
  <c r="Z1000" i="7"/>
  <c r="Z1009" i="7"/>
  <c r="Z993" i="7"/>
  <c r="Z1002" i="7"/>
  <c r="Z1004" i="7"/>
  <c r="Z1006" i="7"/>
  <c r="Z990" i="7"/>
  <c r="Z1015" i="7"/>
  <c r="Z999" i="7"/>
  <c r="Z1011" i="7"/>
  <c r="Z995" i="7"/>
  <c r="Z1013" i="7"/>
  <c r="Z997" i="7"/>
  <c r="Z335" i="7"/>
  <c r="Z319" i="7"/>
  <c r="Z328" i="7"/>
  <c r="Z337" i="7"/>
  <c r="Z321" i="7"/>
  <c r="Z330" i="7"/>
  <c r="Z314" i="7"/>
  <c r="Z339" i="7"/>
  <c r="Z323" i="7"/>
  <c r="Z332" i="7"/>
  <c r="Z316" i="7"/>
  <c r="Z325" i="7"/>
  <c r="Z334" i="7"/>
  <c r="Z318" i="7"/>
  <c r="Z327" i="7"/>
  <c r="Z336" i="7"/>
  <c r="Z320" i="7"/>
  <c r="Z329" i="7"/>
  <c r="Z331" i="7"/>
  <c r="Z315" i="7"/>
  <c r="Z324" i="7"/>
  <c r="Z333" i="7"/>
  <c r="Z317" i="7"/>
  <c r="Z338" i="7"/>
  <c r="Z326" i="7"/>
  <c r="Z322" i="7"/>
  <c r="AA1085" i="7"/>
  <c r="AA1069" i="7"/>
  <c r="AA1078" i="7"/>
  <c r="AA1080" i="7"/>
  <c r="AA1089" i="7"/>
  <c r="AA1073" i="7"/>
  <c r="AA1082" i="7"/>
  <c r="AA1091" i="7"/>
  <c r="AA1075" i="7"/>
  <c r="AA1084" i="7"/>
  <c r="AA1068" i="7"/>
  <c r="AA1093" i="7"/>
  <c r="AA1077" i="7"/>
  <c r="AA1086" i="7"/>
  <c r="AA1070" i="7"/>
  <c r="AA1079" i="7"/>
  <c r="AA1088" i="7"/>
  <c r="AA1072" i="7"/>
  <c r="AA1081" i="7"/>
  <c r="AA1090" i="7"/>
  <c r="AA1074" i="7"/>
  <c r="AA1083" i="7"/>
  <c r="AA1092" i="7"/>
  <c r="AA1071" i="7"/>
  <c r="AA1076" i="7"/>
  <c r="AA1087" i="7"/>
  <c r="AA416" i="7"/>
  <c r="AA400" i="7"/>
  <c r="AA409" i="7"/>
  <c r="AA393" i="7"/>
  <c r="AA402" i="7"/>
  <c r="AA411" i="7"/>
  <c r="AA395" i="7"/>
  <c r="AA404" i="7"/>
  <c r="AA413" i="7"/>
  <c r="AA397" i="7"/>
  <c r="AA406" i="7"/>
  <c r="AA415" i="7"/>
  <c r="AA399" i="7"/>
  <c r="AA408" i="7"/>
  <c r="AA392" i="7"/>
  <c r="AA417" i="7"/>
  <c r="AA401" i="7"/>
  <c r="AA410" i="7"/>
  <c r="AA394" i="7"/>
  <c r="AA403" i="7"/>
  <c r="AA412" i="7"/>
  <c r="AA396" i="7"/>
  <c r="AA405" i="7"/>
  <c r="AA414" i="7"/>
  <c r="AA398" i="7"/>
  <c r="AA407" i="7"/>
  <c r="AB1160" i="7"/>
  <c r="AB1169" i="7"/>
  <c r="AB1153" i="7"/>
  <c r="AB1162" i="7"/>
  <c r="AB1146" i="7"/>
  <c r="AB1171" i="7"/>
  <c r="AB1155" i="7"/>
  <c r="AB1164" i="7"/>
  <c r="AB1148" i="7"/>
  <c r="AB1157" i="7"/>
  <c r="AB1166" i="7"/>
  <c r="AB1150" i="7"/>
  <c r="AB1159" i="7"/>
  <c r="AB1168" i="7"/>
  <c r="AB1152" i="7"/>
  <c r="AB1161" i="7"/>
  <c r="AB1156" i="7"/>
  <c r="AB1158" i="7"/>
  <c r="AB1167" i="7"/>
  <c r="AB1151" i="7"/>
  <c r="AB1163" i="7"/>
  <c r="AB1147" i="7"/>
  <c r="AB1170" i="7"/>
  <c r="AB1154" i="7"/>
  <c r="AB1165" i="7"/>
  <c r="AB1149" i="7"/>
  <c r="AB486" i="7"/>
  <c r="AB470" i="7"/>
  <c r="AB495" i="7"/>
  <c r="AB479" i="7"/>
  <c r="AB488" i="7"/>
  <c r="AB472" i="7"/>
  <c r="AB481" i="7"/>
  <c r="AB490" i="7"/>
  <c r="AB474" i="7"/>
  <c r="AB483" i="7"/>
  <c r="AB492" i="7"/>
  <c r="AB476" i="7"/>
  <c r="AB485" i="7"/>
  <c r="AB494" i="7"/>
  <c r="AB478" i="7"/>
  <c r="AB487" i="7"/>
  <c r="AB471" i="7"/>
  <c r="AB480" i="7"/>
  <c r="AB489" i="7"/>
  <c r="AB473" i="7"/>
  <c r="AB482" i="7"/>
  <c r="AB491" i="7"/>
  <c r="AB475" i="7"/>
  <c r="AB484" i="7"/>
  <c r="AB477" i="7"/>
  <c r="AB493" i="7"/>
  <c r="L1338" i="7"/>
  <c r="L1342" i="7"/>
  <c r="L1351" i="7"/>
  <c r="L1344" i="7"/>
  <c r="L1328" i="7"/>
  <c r="Q1328" i="7" s="1"/>
  <c r="W1328" i="7" s="1"/>
  <c r="L1353" i="7"/>
  <c r="L1348" i="7"/>
  <c r="Q1348" i="7" s="1"/>
  <c r="W1348" i="7" s="1"/>
  <c r="L1332" i="7"/>
  <c r="L1341" i="7"/>
  <c r="L1350" i="7"/>
  <c r="L1352" i="7"/>
  <c r="L1336" i="7"/>
  <c r="L1335" i="7"/>
  <c r="L1343" i="7"/>
  <c r="L1340" i="7"/>
  <c r="L1334" i="7"/>
  <c r="L1330" i="7"/>
  <c r="L1339" i="7"/>
  <c r="L1333" i="7"/>
  <c r="L1347" i="7"/>
  <c r="L1349" i="7"/>
  <c r="Q1349" i="7" s="1"/>
  <c r="W1349" i="7" s="1"/>
  <c r="L1329" i="7"/>
  <c r="L1345" i="7"/>
  <c r="L1331" i="7"/>
  <c r="L1346" i="7"/>
  <c r="L1337" i="7"/>
  <c r="L667" i="7"/>
  <c r="L676" i="7"/>
  <c r="L669" i="7"/>
  <c r="L662" i="7"/>
  <c r="L671" i="7"/>
  <c r="L664" i="7"/>
  <c r="L666" i="7"/>
  <c r="L675" i="7"/>
  <c r="L668" i="7"/>
  <c r="L677" i="7"/>
  <c r="L661" i="7"/>
  <c r="Q661" i="7" s="1"/>
  <c r="L663" i="7"/>
  <c r="L674" i="7"/>
  <c r="L665" i="7"/>
  <c r="Q665" i="7" s="1"/>
  <c r="L654" i="7"/>
  <c r="L660" i="7"/>
  <c r="L659" i="7"/>
  <c r="L653" i="7"/>
  <c r="L673" i="7"/>
  <c r="L658" i="7"/>
  <c r="L672" i="7"/>
  <c r="L652" i="7"/>
  <c r="L657" i="7"/>
  <c r="L670" i="7"/>
  <c r="L656" i="7"/>
  <c r="L655" i="7"/>
  <c r="O4" i="7"/>
  <c r="Z7" i="7"/>
  <c r="L9" i="7"/>
  <c r="AB9" i="7"/>
  <c r="AA16" i="7"/>
  <c r="O20" i="7"/>
  <c r="Z23" i="7"/>
  <c r="L25" i="7"/>
  <c r="Q25" i="7" s="1"/>
  <c r="AB25" i="7"/>
  <c r="AA32" i="7"/>
  <c r="Z41" i="7"/>
  <c r="AB49" i="7"/>
  <c r="AB50" i="7"/>
  <c r="AA51" i="7"/>
  <c r="AB60" i="7"/>
  <c r="Z80" i="7"/>
  <c r="AB81" i="7"/>
  <c r="O95" i="7"/>
  <c r="Z98" i="7"/>
  <c r="AA106" i="7"/>
  <c r="P128" i="7"/>
  <c r="O128" i="7"/>
  <c r="AB130" i="7"/>
  <c r="Z1060" i="7"/>
  <c r="Z1064" i="7"/>
  <c r="Z1066" i="7"/>
  <c r="Z1059" i="7"/>
  <c r="Z1052" i="7"/>
  <c r="Z1061" i="7"/>
  <c r="Z1063" i="7"/>
  <c r="Z1065" i="7"/>
  <c r="Z1058" i="7"/>
  <c r="Z1050" i="7"/>
  <c r="Z1042" i="7"/>
  <c r="Z1054" i="7"/>
  <c r="Z1049" i="7"/>
  <c r="Z1044" i="7"/>
  <c r="Z1062" i="7"/>
  <c r="Z1057" i="7"/>
  <c r="Z1046" i="7"/>
  <c r="Z1067" i="7"/>
  <c r="Z1053" i="7"/>
  <c r="Z1048" i="7"/>
  <c r="Z1056" i="7"/>
  <c r="Z1051" i="7"/>
  <c r="Z1055" i="7"/>
  <c r="Z1047" i="7"/>
  <c r="Z1043" i="7"/>
  <c r="Z1045" i="7"/>
  <c r="Z391" i="7"/>
  <c r="Z375" i="7"/>
  <c r="Z384" i="7"/>
  <c r="Z377" i="7"/>
  <c r="Z386" i="7"/>
  <c r="Z370" i="7"/>
  <c r="Z379" i="7"/>
  <c r="Z388" i="7"/>
  <c r="Z372" i="7"/>
  <c r="Z381" i="7"/>
  <c r="Z390" i="7"/>
  <c r="Z374" i="7"/>
  <c r="Z383" i="7"/>
  <c r="Z367" i="7"/>
  <c r="Z376" i="7"/>
  <c r="Z385" i="7"/>
  <c r="Z369" i="7"/>
  <c r="Z378" i="7"/>
  <c r="Z387" i="7"/>
  <c r="Z380" i="7"/>
  <c r="Z389" i="7"/>
  <c r="Z373" i="7"/>
  <c r="Z371" i="7"/>
  <c r="Z366" i="7"/>
  <c r="Z368" i="7"/>
  <c r="Z382" i="7"/>
  <c r="AB1144" i="7"/>
  <c r="AB1137" i="7"/>
  <c r="AB1130" i="7"/>
  <c r="AB1139" i="7"/>
  <c r="AB1132" i="7"/>
  <c r="AB1141" i="7"/>
  <c r="AB1134" i="7"/>
  <c r="AB1143" i="7"/>
  <c r="AB1145" i="7"/>
  <c r="AB1140" i="7"/>
  <c r="AB1142" i="7"/>
  <c r="AB1128" i="7"/>
  <c r="AB1125" i="7"/>
  <c r="AB1122" i="7"/>
  <c r="AB1131" i="7"/>
  <c r="AB1138" i="7"/>
  <c r="AB1136" i="7"/>
  <c r="AB1127" i="7"/>
  <c r="AB1135" i="7"/>
  <c r="AB1124" i="7"/>
  <c r="AB1121" i="7"/>
  <c r="AB1126" i="7"/>
  <c r="AB1133" i="7"/>
  <c r="AB1129" i="7"/>
  <c r="AB1120" i="7"/>
  <c r="AB1123" i="7"/>
  <c r="AB454" i="7"/>
  <c r="AB463" i="7"/>
  <c r="AB447" i="7"/>
  <c r="AB456" i="7"/>
  <c r="AB465" i="7"/>
  <c r="AB449" i="7"/>
  <c r="AB458" i="7"/>
  <c r="AB467" i="7"/>
  <c r="AB451" i="7"/>
  <c r="AB460" i="7"/>
  <c r="AB444" i="7"/>
  <c r="AB469" i="7"/>
  <c r="AB453" i="7"/>
  <c r="AB462" i="7"/>
  <c r="AB455" i="7"/>
  <c r="AB464" i="7"/>
  <c r="AB448" i="7"/>
  <c r="AB457" i="7"/>
  <c r="AB466" i="7"/>
  <c r="AB450" i="7"/>
  <c r="AB459" i="7"/>
  <c r="AB468" i="7"/>
  <c r="AB452" i="7"/>
  <c r="AB446" i="7"/>
  <c r="AB445" i="7"/>
  <c r="AB461" i="7"/>
  <c r="L1246" i="7"/>
  <c r="L1241" i="7"/>
  <c r="L1225" i="7"/>
  <c r="L1249" i="7"/>
  <c r="K1249" i="7" s="1"/>
  <c r="R1249" i="7" s="1"/>
  <c r="L1234" i="7"/>
  <c r="Q1234" i="7" s="1"/>
  <c r="W1234" i="7" s="1"/>
  <c r="L1243" i="7"/>
  <c r="L1227" i="7"/>
  <c r="L1236" i="7"/>
  <c r="L1229" i="7"/>
  <c r="L1238" i="7"/>
  <c r="L1248" i="7"/>
  <c r="K1248" i="7" s="1"/>
  <c r="L1231" i="7"/>
  <c r="L1245" i="7"/>
  <c r="K1245" i="7" s="1"/>
  <c r="L1240" i="7"/>
  <c r="L1224" i="7"/>
  <c r="L1233" i="7"/>
  <c r="L1242" i="7"/>
  <c r="K1242" i="7" s="1"/>
  <c r="L1226" i="7"/>
  <c r="L1247" i="7"/>
  <c r="L1244" i="7"/>
  <c r="L1237" i="7"/>
  <c r="Q1237" i="7" s="1"/>
  <c r="W1237" i="7" s="1"/>
  <c r="L1239" i="7"/>
  <c r="L1232" i="7"/>
  <c r="L1235" i="7"/>
  <c r="L1228" i="7"/>
  <c r="K1228" i="7" s="1"/>
  <c r="L1230" i="7"/>
  <c r="L562" i="7"/>
  <c r="L571" i="7"/>
  <c r="L555" i="7"/>
  <c r="L564" i="7"/>
  <c r="L548" i="7"/>
  <c r="K548" i="7" s="1"/>
  <c r="L573" i="7"/>
  <c r="K573" i="7" s="1"/>
  <c r="L557" i="7"/>
  <c r="K557" i="7" s="1"/>
  <c r="L566" i="7"/>
  <c r="L550" i="7"/>
  <c r="L559" i="7"/>
  <c r="K559" i="7" s="1"/>
  <c r="L568" i="7"/>
  <c r="Q568" i="7" s="1"/>
  <c r="W568" i="7" s="1"/>
  <c r="L552" i="7"/>
  <c r="L561" i="7"/>
  <c r="L570" i="7"/>
  <c r="L554" i="7"/>
  <c r="L563" i="7"/>
  <c r="L572" i="7"/>
  <c r="L556" i="7"/>
  <c r="L565" i="7"/>
  <c r="L549" i="7"/>
  <c r="L558" i="7"/>
  <c r="K558" i="7" s="1"/>
  <c r="L567" i="7"/>
  <c r="K567" i="7" s="1"/>
  <c r="L551" i="7"/>
  <c r="K551" i="7" s="1"/>
  <c r="L560" i="7"/>
  <c r="K560" i="7" s="1"/>
  <c r="L553" i="7"/>
  <c r="L569" i="7"/>
  <c r="K569" i="7" s="1"/>
  <c r="L752" i="7"/>
  <c r="Q752" i="7" s="1"/>
  <c r="W752" i="7" s="1"/>
  <c r="L745" i="7"/>
  <c r="L754" i="7"/>
  <c r="L747" i="7"/>
  <c r="L749" i="7"/>
  <c r="L733" i="7"/>
  <c r="L751" i="7"/>
  <c r="L744" i="7"/>
  <c r="L753" i="7"/>
  <c r="L755" i="7"/>
  <c r="K755" i="7" s="1"/>
  <c r="L750" i="7"/>
  <c r="L741" i="7"/>
  <c r="L737" i="7"/>
  <c r="L731" i="7"/>
  <c r="L740" i="7"/>
  <c r="L734" i="7"/>
  <c r="K734" i="7" s="1"/>
  <c r="R734" i="7" s="1"/>
  <c r="L739" i="7"/>
  <c r="K739" i="7" s="1"/>
  <c r="R739" i="7" s="1"/>
  <c r="L736" i="7"/>
  <c r="L730" i="7"/>
  <c r="L743" i="7"/>
  <c r="L738" i="7"/>
  <c r="L732" i="7"/>
  <c r="L742" i="7"/>
  <c r="L735" i="7"/>
  <c r="L746" i="7"/>
  <c r="K746" i="7" s="1"/>
  <c r="L748" i="7"/>
  <c r="L69" i="7"/>
  <c r="K69" i="7" s="1"/>
  <c r="R69" i="7" s="1"/>
  <c r="L78" i="7"/>
  <c r="L62" i="7"/>
  <c r="L71" i="7"/>
  <c r="K71" i="7" s="1"/>
  <c r="R71" i="7" s="1"/>
  <c r="L55" i="7"/>
  <c r="L64" i="7"/>
  <c r="K64" i="7" s="1"/>
  <c r="R64" i="7" s="1"/>
  <c r="L73" i="7"/>
  <c r="K73" i="7" s="1"/>
  <c r="R73" i="7" s="1"/>
  <c r="L57" i="7"/>
  <c r="Q57" i="7" s="1"/>
  <c r="L75" i="7"/>
  <c r="L59" i="7"/>
  <c r="Q59" i="7" s="1"/>
  <c r="L77" i="7"/>
  <c r="K77" i="7" s="1"/>
  <c r="R77" i="7" s="1"/>
  <c r="L61" i="7"/>
  <c r="L70" i="7"/>
  <c r="L54" i="7"/>
  <c r="L79" i="7"/>
  <c r="L63" i="7"/>
  <c r="L72" i="7"/>
  <c r="L56" i="7"/>
  <c r="K56" i="7" s="1"/>
  <c r="R56" i="7" s="1"/>
  <c r="L74" i="7"/>
  <c r="K74" i="7" s="1"/>
  <c r="L58" i="7"/>
  <c r="L1160" i="7"/>
  <c r="L1169" i="7"/>
  <c r="K1169" i="7" s="1"/>
  <c r="R1169" i="7" s="1"/>
  <c r="L1153" i="7"/>
  <c r="K1153" i="7" s="1"/>
  <c r="R1153" i="7" s="1"/>
  <c r="L1162" i="7"/>
  <c r="L1146" i="7"/>
  <c r="L1171" i="7"/>
  <c r="K1171" i="7" s="1"/>
  <c r="R1171" i="7" s="1"/>
  <c r="L1155" i="7"/>
  <c r="L1164" i="7"/>
  <c r="L1148" i="7"/>
  <c r="L1157" i="7"/>
  <c r="L1166" i="7"/>
  <c r="L1150" i="7"/>
  <c r="L1159" i="7"/>
  <c r="L1168" i="7"/>
  <c r="L1152" i="7"/>
  <c r="L1161" i="7"/>
  <c r="K1161" i="7" s="1"/>
  <c r="L1156" i="7"/>
  <c r="K1156" i="7" s="1"/>
  <c r="L1158" i="7"/>
  <c r="K1158" i="7" s="1"/>
  <c r="L1167" i="7"/>
  <c r="L1151" i="7"/>
  <c r="L1170" i="7"/>
  <c r="L1154" i="7"/>
  <c r="L1165" i="7"/>
  <c r="L1149" i="7"/>
  <c r="K1149" i="7" s="1"/>
  <c r="L1163" i="7"/>
  <c r="L1147" i="7"/>
  <c r="K1147" i="7" s="1"/>
  <c r="L486" i="7"/>
  <c r="L470" i="7"/>
  <c r="L495" i="7"/>
  <c r="L479" i="7"/>
  <c r="L488" i="7"/>
  <c r="L472" i="7"/>
  <c r="K472" i="7" s="1"/>
  <c r="R472" i="7" s="1"/>
  <c r="L481" i="7"/>
  <c r="K481" i="7" s="1"/>
  <c r="L490" i="7"/>
  <c r="L474" i="7"/>
  <c r="K474" i="7" s="1"/>
  <c r="L483" i="7"/>
  <c r="K483" i="7" s="1"/>
  <c r="L492" i="7"/>
  <c r="L476" i="7"/>
  <c r="K476" i="7" s="1"/>
  <c r="L485" i="7"/>
  <c r="L494" i="7"/>
  <c r="L478" i="7"/>
  <c r="L487" i="7"/>
  <c r="L471" i="7"/>
  <c r="L480" i="7"/>
  <c r="L489" i="7"/>
  <c r="L473" i="7"/>
  <c r="L482" i="7"/>
  <c r="L491" i="7"/>
  <c r="K491" i="7" s="1"/>
  <c r="L475" i="7"/>
  <c r="K475" i="7" s="1"/>
  <c r="L484" i="7"/>
  <c r="K484" i="7" s="1"/>
  <c r="R484" i="7" s="1"/>
  <c r="L493" i="7"/>
  <c r="L477" i="7"/>
  <c r="C2" i="12"/>
  <c r="D2" i="12" s="1"/>
  <c r="X4" i="5"/>
  <c r="L844" i="7"/>
  <c r="L853" i="7"/>
  <c r="L837" i="7"/>
  <c r="L846" i="7"/>
  <c r="L855" i="7"/>
  <c r="L839" i="7"/>
  <c r="L848" i="7"/>
  <c r="L857" i="7"/>
  <c r="L841" i="7"/>
  <c r="Q841" i="7" s="1"/>
  <c r="W841" i="7" s="1"/>
  <c r="L850" i="7"/>
  <c r="Q850" i="7" s="1"/>
  <c r="W850" i="7" s="1"/>
  <c r="L834" i="7"/>
  <c r="L859" i="7"/>
  <c r="K859" i="7" s="1"/>
  <c r="L843" i="7"/>
  <c r="Q843" i="7" s="1"/>
  <c r="W843" i="7" s="1"/>
  <c r="L852" i="7"/>
  <c r="L836" i="7"/>
  <c r="L845" i="7"/>
  <c r="L854" i="7"/>
  <c r="L838" i="7"/>
  <c r="L847" i="7"/>
  <c r="L856" i="7"/>
  <c r="L840" i="7"/>
  <c r="L858" i="7"/>
  <c r="L842" i="7"/>
  <c r="L851" i="7"/>
  <c r="L835" i="7"/>
  <c r="Q835" i="7" s="1"/>
  <c r="W835" i="7" s="1"/>
  <c r="L849" i="7"/>
  <c r="Q849" i="7" s="1"/>
  <c r="W849" i="7" s="1"/>
  <c r="L172" i="7"/>
  <c r="L181" i="7"/>
  <c r="L165" i="7"/>
  <c r="Q165" i="7" s="1"/>
  <c r="W165" i="7" s="1"/>
  <c r="L174" i="7"/>
  <c r="L173" i="7"/>
  <c r="L182" i="7"/>
  <c r="Q182" i="7" s="1"/>
  <c r="W182" i="7" s="1"/>
  <c r="L166" i="7"/>
  <c r="L180" i="7"/>
  <c r="L163" i="7"/>
  <c r="L179" i="7"/>
  <c r="L162" i="7"/>
  <c r="L178" i="7"/>
  <c r="L161" i="7"/>
  <c r="L158" i="7"/>
  <c r="Q158" i="7" s="1"/>
  <c r="W158" i="7" s="1"/>
  <c r="L177" i="7"/>
  <c r="L167" i="7"/>
  <c r="L183" i="7"/>
  <c r="L171" i="7"/>
  <c r="K171" i="7" s="1"/>
  <c r="L160" i="7"/>
  <c r="L176" i="7"/>
  <c r="L170" i="7"/>
  <c r="L169" i="7"/>
  <c r="L159" i="7"/>
  <c r="L175" i="7"/>
  <c r="L168" i="7"/>
  <c r="L164" i="7"/>
  <c r="Z926" i="7"/>
  <c r="Z928" i="7"/>
  <c r="Z912" i="7"/>
  <c r="Z937" i="7"/>
  <c r="Z921" i="7"/>
  <c r="Z930" i="7"/>
  <c r="Z914" i="7"/>
  <c r="Z923" i="7"/>
  <c r="Z932" i="7"/>
  <c r="Z916" i="7"/>
  <c r="Z925" i="7"/>
  <c r="Z934" i="7"/>
  <c r="Z918" i="7"/>
  <c r="Z927" i="7"/>
  <c r="Z936" i="7"/>
  <c r="Z920" i="7"/>
  <c r="Z929" i="7"/>
  <c r="Z913" i="7"/>
  <c r="Z922" i="7"/>
  <c r="Z924" i="7"/>
  <c r="Z933" i="7"/>
  <c r="Z917" i="7"/>
  <c r="Z935" i="7"/>
  <c r="Z919" i="7"/>
  <c r="Z931" i="7"/>
  <c r="Z915" i="7"/>
  <c r="Z255" i="7"/>
  <c r="Z239" i="7"/>
  <c r="Z248" i="7"/>
  <c r="Z257" i="7"/>
  <c r="Z241" i="7"/>
  <c r="Z250" i="7"/>
  <c r="Z259" i="7"/>
  <c r="Z243" i="7"/>
  <c r="Z252" i="7"/>
  <c r="Z236" i="7"/>
  <c r="Z254" i="7"/>
  <c r="Z238" i="7"/>
  <c r="Z247" i="7"/>
  <c r="Z256" i="7"/>
  <c r="Z240" i="7"/>
  <c r="Z249" i="7"/>
  <c r="Z251" i="7"/>
  <c r="Z260" i="7"/>
  <c r="Z244" i="7"/>
  <c r="Z253" i="7"/>
  <c r="Z237" i="7"/>
  <c r="Z246" i="7"/>
  <c r="Z242" i="7"/>
  <c r="Z258" i="7"/>
  <c r="Z245" i="7"/>
  <c r="Z261" i="7"/>
  <c r="AA1001" i="7"/>
  <c r="AA1010" i="7"/>
  <c r="AA994" i="7"/>
  <c r="AA1003" i="7"/>
  <c r="AA1012" i="7"/>
  <c r="AA996" i="7"/>
  <c r="AA1005" i="7"/>
  <c r="AA1014" i="7"/>
  <c r="AA998" i="7"/>
  <c r="AA1007" i="7"/>
  <c r="AA991" i="7"/>
  <c r="AA1000" i="7"/>
  <c r="AA1009" i="7"/>
  <c r="AA993" i="7"/>
  <c r="AA1002" i="7"/>
  <c r="AA1011" i="7"/>
  <c r="AA995" i="7"/>
  <c r="AA1013" i="7"/>
  <c r="AA997" i="7"/>
  <c r="AA1015" i="7"/>
  <c r="AA999" i="7"/>
  <c r="AA1008" i="7"/>
  <c r="AA1004" i="7"/>
  <c r="AA992" i="7"/>
  <c r="AA1006" i="7"/>
  <c r="AA990" i="7"/>
  <c r="AA328" i="7"/>
  <c r="AA337" i="7"/>
  <c r="AA321" i="7"/>
  <c r="AA330" i="7"/>
  <c r="AA314" i="7"/>
  <c r="AA339" i="7"/>
  <c r="AA323" i="7"/>
  <c r="AA332" i="7"/>
  <c r="AA316" i="7"/>
  <c r="AA325" i="7"/>
  <c r="AA334" i="7"/>
  <c r="AA318" i="7"/>
  <c r="AA327" i="7"/>
  <c r="AA336" i="7"/>
  <c r="AA320" i="7"/>
  <c r="AA329" i="7"/>
  <c r="AA338" i="7"/>
  <c r="AA322" i="7"/>
  <c r="AA324" i="7"/>
  <c r="AA333" i="7"/>
  <c r="AA317" i="7"/>
  <c r="AA326" i="7"/>
  <c r="AA319" i="7"/>
  <c r="AA315" i="7"/>
  <c r="AA335" i="7"/>
  <c r="AA331" i="7"/>
  <c r="AB1078" i="7"/>
  <c r="AB1087" i="7"/>
  <c r="AB1089" i="7"/>
  <c r="AB1073" i="7"/>
  <c r="AB1082" i="7"/>
  <c r="AB1091" i="7"/>
  <c r="AB1075" i="7"/>
  <c r="AB1084" i="7"/>
  <c r="AB1068" i="7"/>
  <c r="AB1093" i="7"/>
  <c r="AB1077" i="7"/>
  <c r="AB1086" i="7"/>
  <c r="AB1070" i="7"/>
  <c r="AB1079" i="7"/>
  <c r="AB1088" i="7"/>
  <c r="AB1072" i="7"/>
  <c r="AB1081" i="7"/>
  <c r="AB1090" i="7"/>
  <c r="AB1074" i="7"/>
  <c r="AB1083" i="7"/>
  <c r="AB1092" i="7"/>
  <c r="AB1076" i="7"/>
  <c r="AB1071" i="7"/>
  <c r="AB1080" i="7"/>
  <c r="AB1085" i="7"/>
  <c r="AB1069" i="7"/>
  <c r="AB409" i="7"/>
  <c r="AB393" i="7"/>
  <c r="AB402" i="7"/>
  <c r="AB411" i="7"/>
  <c r="AB395" i="7"/>
  <c r="AB404" i="7"/>
  <c r="AB413" i="7"/>
  <c r="AB397" i="7"/>
  <c r="AB406" i="7"/>
  <c r="AB415" i="7"/>
  <c r="AB399" i="7"/>
  <c r="AB408" i="7"/>
  <c r="AB392" i="7"/>
  <c r="AB417" i="7"/>
  <c r="AB401" i="7"/>
  <c r="AB410" i="7"/>
  <c r="AB394" i="7"/>
  <c r="AB403" i="7"/>
  <c r="AB412" i="7"/>
  <c r="AB396" i="7"/>
  <c r="AB405" i="7"/>
  <c r="AB414" i="7"/>
  <c r="AB398" i="7"/>
  <c r="AB407" i="7"/>
  <c r="AB416" i="7"/>
  <c r="AB400" i="7"/>
  <c r="X20" i="5"/>
  <c r="L1260" i="7"/>
  <c r="L1269" i="7"/>
  <c r="L1253" i="7"/>
  <c r="L1262" i="7"/>
  <c r="L1268" i="7"/>
  <c r="L1274" i="7"/>
  <c r="L1265" i="7"/>
  <c r="L1273" i="7"/>
  <c r="L1270" i="7"/>
  <c r="L1256" i="7"/>
  <c r="L1264" i="7"/>
  <c r="K1264" i="7" s="1"/>
  <c r="L1261" i="7"/>
  <c r="Q1261" i="7" s="1"/>
  <c r="W1261" i="7" s="1"/>
  <c r="L1272" i="7"/>
  <c r="L1252" i="7"/>
  <c r="L1255" i="7"/>
  <c r="L1263" i="7"/>
  <c r="L1259" i="7"/>
  <c r="L1257" i="7"/>
  <c r="L1254" i="7"/>
  <c r="L1275" i="7"/>
  <c r="L1251" i="7"/>
  <c r="L1266" i="7"/>
  <c r="L1271" i="7"/>
  <c r="L1267" i="7"/>
  <c r="L1258" i="7"/>
  <c r="Q1258" i="7" s="1"/>
  <c r="W1258" i="7" s="1"/>
  <c r="L1250" i="7"/>
  <c r="L596" i="7"/>
  <c r="L580" i="7"/>
  <c r="Q580" i="7" s="1"/>
  <c r="W580" i="7" s="1"/>
  <c r="L589" i="7"/>
  <c r="L598" i="7"/>
  <c r="L582" i="7"/>
  <c r="L588" i="7"/>
  <c r="L597" i="7"/>
  <c r="L599" i="7"/>
  <c r="L583" i="7"/>
  <c r="L591" i="7"/>
  <c r="L579" i="7"/>
  <c r="L584" i="7"/>
  <c r="L578" i="7"/>
  <c r="L595" i="7"/>
  <c r="Q595" i="7" s="1"/>
  <c r="W595" i="7" s="1"/>
  <c r="L575" i="7"/>
  <c r="Q575" i="7" s="1"/>
  <c r="W575" i="7" s="1"/>
  <c r="L594" i="7"/>
  <c r="L590" i="7"/>
  <c r="K590" i="7" s="1"/>
  <c r="L593" i="7"/>
  <c r="L577" i="7"/>
  <c r="L592" i="7"/>
  <c r="L587" i="7"/>
  <c r="L586" i="7"/>
  <c r="L574" i="7"/>
  <c r="L576" i="7"/>
  <c r="L581" i="7"/>
  <c r="L585" i="7"/>
  <c r="Z1352" i="7"/>
  <c r="Z1336" i="7"/>
  <c r="Z1340" i="7"/>
  <c r="Z1349" i="7"/>
  <c r="Z1342" i="7"/>
  <c r="Z1351" i="7"/>
  <c r="Z1346" i="7"/>
  <c r="Z1330" i="7"/>
  <c r="Z1339" i="7"/>
  <c r="Z1348" i="7"/>
  <c r="Z1350" i="7"/>
  <c r="Z1334" i="7"/>
  <c r="Z1337" i="7"/>
  <c r="Z1332" i="7"/>
  <c r="Z1328" i="7"/>
  <c r="Z1347" i="7"/>
  <c r="Z1353" i="7"/>
  <c r="Z1331" i="7"/>
  <c r="Z1345" i="7"/>
  <c r="Z1344" i="7"/>
  <c r="Z1335" i="7"/>
  <c r="Z1343" i="7"/>
  <c r="Z1341" i="7"/>
  <c r="Z1338" i="7"/>
  <c r="Z1333" i="7"/>
  <c r="Z1329" i="7"/>
  <c r="Z665" i="7"/>
  <c r="Z667" i="7"/>
  <c r="Z676" i="7"/>
  <c r="Z660" i="7"/>
  <c r="Z669" i="7"/>
  <c r="Z662" i="7"/>
  <c r="Z664" i="7"/>
  <c r="Z666" i="7"/>
  <c r="Z675" i="7"/>
  <c r="Z659" i="7"/>
  <c r="Z677" i="7"/>
  <c r="Z661" i="7"/>
  <c r="Z655" i="7"/>
  <c r="Z654" i="7"/>
  <c r="Z653" i="7"/>
  <c r="Z663" i="7"/>
  <c r="Z652" i="7"/>
  <c r="Z673" i="7"/>
  <c r="Z658" i="7"/>
  <c r="Z672" i="7"/>
  <c r="Z671" i="7"/>
  <c r="Z668" i="7"/>
  <c r="Z657" i="7"/>
  <c r="Z674" i="7"/>
  <c r="Z670" i="7"/>
  <c r="Z656" i="7"/>
  <c r="C7" i="9"/>
  <c r="C10" i="9"/>
  <c r="AA7" i="7"/>
  <c r="O11" i="7"/>
  <c r="Z14" i="7"/>
  <c r="L16" i="7"/>
  <c r="AB16" i="7"/>
  <c r="AA23" i="7"/>
  <c r="O27" i="7"/>
  <c r="Z30" i="7"/>
  <c r="L32" i="7"/>
  <c r="AB32" i="7"/>
  <c r="AA41" i="7"/>
  <c r="AB51" i="7"/>
  <c r="Q55" i="7"/>
  <c r="Q56" i="7"/>
  <c r="Z79" i="7"/>
  <c r="AA91" i="7"/>
  <c r="AB98" i="7"/>
  <c r="AB116" i="7"/>
  <c r="L132" i="7"/>
  <c r="D7" i="9"/>
  <c r="D10" i="9"/>
  <c r="Z5" i="7"/>
  <c r="L7" i="7"/>
  <c r="AB7" i="7"/>
  <c r="AA14" i="7"/>
  <c r="Z21" i="7"/>
  <c r="L23" i="7"/>
  <c r="AB23" i="7"/>
  <c r="AA30" i="7"/>
  <c r="L37" i="7"/>
  <c r="Z38" i="7"/>
  <c r="AB41" i="7"/>
  <c r="Q75" i="7"/>
  <c r="Z97" i="7"/>
  <c r="P112" i="7"/>
  <c r="O112" i="7"/>
  <c r="Q147" i="7"/>
  <c r="L715" i="7"/>
  <c r="L724" i="7"/>
  <c r="L708" i="7"/>
  <c r="L717" i="7"/>
  <c r="L726" i="7"/>
  <c r="Q726" i="7" s="1"/>
  <c r="W726" i="7" s="1"/>
  <c r="L710" i="7"/>
  <c r="L719" i="7"/>
  <c r="L728" i="7"/>
  <c r="K728" i="7" s="1"/>
  <c r="R728" i="7" s="1"/>
  <c r="L712" i="7"/>
  <c r="Q712" i="7" s="1"/>
  <c r="W712" i="7" s="1"/>
  <c r="L721" i="7"/>
  <c r="L705" i="7"/>
  <c r="L714" i="7"/>
  <c r="L723" i="7"/>
  <c r="L707" i="7"/>
  <c r="L716" i="7"/>
  <c r="L725" i="7"/>
  <c r="L709" i="7"/>
  <c r="L718" i="7"/>
  <c r="L727" i="7"/>
  <c r="L711" i="7"/>
  <c r="L729" i="7"/>
  <c r="L722" i="7"/>
  <c r="L706" i="7"/>
  <c r="L713" i="7"/>
  <c r="K713" i="7" s="1"/>
  <c r="L704" i="7"/>
  <c r="Q704" i="7" s="1"/>
  <c r="W704" i="7" s="1"/>
  <c r="L720" i="7"/>
  <c r="L53" i="7"/>
  <c r="L48" i="7"/>
  <c r="L47" i="7"/>
  <c r="L42" i="7"/>
  <c r="Q42" i="7" s="1"/>
  <c r="W42" i="7" s="1"/>
  <c r="C10" i="12"/>
  <c r="D10" i="12" s="1"/>
  <c r="AA5" i="7"/>
  <c r="Z12" i="7"/>
  <c r="L14" i="7"/>
  <c r="AB14" i="7"/>
  <c r="AA21" i="7"/>
  <c r="Z28" i="7"/>
  <c r="L30" i="7"/>
  <c r="AB30" i="7"/>
  <c r="AB38" i="7"/>
  <c r="Q44" i="7"/>
  <c r="W44" i="7" s="1"/>
  <c r="L46" i="7"/>
  <c r="AA59" i="7"/>
  <c r="AA105" i="7"/>
  <c r="AB115" i="7"/>
  <c r="Q156" i="7"/>
  <c r="Q166" i="7"/>
  <c r="W166" i="7" s="1"/>
  <c r="Q309" i="7"/>
  <c r="W309" i="7" s="1"/>
  <c r="Q321" i="7"/>
  <c r="W321" i="7" s="1"/>
  <c r="Z766" i="7"/>
  <c r="Z775" i="7"/>
  <c r="Z759" i="7"/>
  <c r="Z768" i="7"/>
  <c r="Z777" i="7"/>
  <c r="Z761" i="7"/>
  <c r="Z770" i="7"/>
  <c r="Z779" i="7"/>
  <c r="Z763" i="7"/>
  <c r="Z772" i="7"/>
  <c r="Z756" i="7"/>
  <c r="Z781" i="7"/>
  <c r="Z765" i="7"/>
  <c r="Z774" i="7"/>
  <c r="Z758" i="7"/>
  <c r="Z767" i="7"/>
  <c r="Z769" i="7"/>
  <c r="Z771" i="7"/>
  <c r="Z780" i="7"/>
  <c r="Z764" i="7"/>
  <c r="Z762" i="7"/>
  <c r="Z773" i="7"/>
  <c r="Z757" i="7"/>
  <c r="Z776" i="7"/>
  <c r="Z760" i="7"/>
  <c r="Z778" i="7"/>
  <c r="Z99" i="7"/>
  <c r="Z83" i="7"/>
  <c r="K83" i="7" s="1"/>
  <c r="R83" i="7" s="1"/>
  <c r="Z92" i="7"/>
  <c r="Z101" i="7"/>
  <c r="Z85" i="7"/>
  <c r="Z94" i="7"/>
  <c r="Z103" i="7"/>
  <c r="Z87" i="7"/>
  <c r="Z105" i="7"/>
  <c r="Z89" i="7"/>
  <c r="Z91" i="7"/>
  <c r="Z100" i="7"/>
  <c r="Z84" i="7"/>
  <c r="Z93" i="7"/>
  <c r="Z102" i="7"/>
  <c r="Z86" i="7"/>
  <c r="Z104" i="7"/>
  <c r="Z88" i="7"/>
  <c r="AA851" i="7"/>
  <c r="AA835" i="7"/>
  <c r="AA844" i="7"/>
  <c r="AA853" i="7"/>
  <c r="AA837" i="7"/>
  <c r="AA846" i="7"/>
  <c r="AA855" i="7"/>
  <c r="AA839" i="7"/>
  <c r="AA848" i="7"/>
  <c r="AA857" i="7"/>
  <c r="AA841" i="7"/>
  <c r="AA850" i="7"/>
  <c r="AA834" i="7"/>
  <c r="AA859" i="7"/>
  <c r="AA843" i="7"/>
  <c r="AA852" i="7"/>
  <c r="AA836" i="7"/>
  <c r="AA845" i="7"/>
  <c r="AA854" i="7"/>
  <c r="AA838" i="7"/>
  <c r="AA847" i="7"/>
  <c r="AA849" i="7"/>
  <c r="AA858" i="7"/>
  <c r="AA842" i="7"/>
  <c r="AA856" i="7"/>
  <c r="AA840" i="7"/>
  <c r="AA179" i="7"/>
  <c r="AA163" i="7"/>
  <c r="AA172" i="7"/>
  <c r="AA181" i="7"/>
  <c r="AA165" i="7"/>
  <c r="AA180" i="7"/>
  <c r="AA164" i="7"/>
  <c r="AA173" i="7"/>
  <c r="AA175" i="7"/>
  <c r="AA169" i="7"/>
  <c r="AA168" i="7"/>
  <c r="AA158" i="7"/>
  <c r="AA174" i="7"/>
  <c r="AA167" i="7"/>
  <c r="AA162" i="7"/>
  <c r="AA183" i="7"/>
  <c r="AA178" i="7"/>
  <c r="AA161" i="7"/>
  <c r="AA177" i="7"/>
  <c r="AA160" i="7"/>
  <c r="AA176" i="7"/>
  <c r="AA166" i="7"/>
  <c r="AA182" i="7"/>
  <c r="AA171" i="7"/>
  <c r="AA170" i="7"/>
  <c r="AA159" i="7"/>
  <c r="AB928" i="7"/>
  <c r="AB912" i="7"/>
  <c r="AB930" i="7"/>
  <c r="AB914" i="7"/>
  <c r="AB923" i="7"/>
  <c r="AB932" i="7"/>
  <c r="AB916" i="7"/>
  <c r="AB925" i="7"/>
  <c r="AB934" i="7"/>
  <c r="AB918" i="7"/>
  <c r="AB927" i="7"/>
  <c r="AB936" i="7"/>
  <c r="AB920" i="7"/>
  <c r="AB929" i="7"/>
  <c r="AB913" i="7"/>
  <c r="AB922" i="7"/>
  <c r="AB931" i="7"/>
  <c r="AB915" i="7"/>
  <c r="AB924" i="7"/>
  <c r="AB926" i="7"/>
  <c r="AB933" i="7"/>
  <c r="AB917" i="7"/>
  <c r="AB935" i="7"/>
  <c r="AB919" i="7"/>
  <c r="AB937" i="7"/>
  <c r="AB921" i="7"/>
  <c r="AB257" i="7"/>
  <c r="AB241" i="7"/>
  <c r="AB250" i="7"/>
  <c r="AB259" i="7"/>
  <c r="AB243" i="7"/>
  <c r="AB252" i="7"/>
  <c r="AB236" i="7"/>
  <c r="AB261" i="7"/>
  <c r="AB245" i="7"/>
  <c r="AB254" i="7"/>
  <c r="AB238" i="7"/>
  <c r="AB256" i="7"/>
  <c r="AB240" i="7"/>
  <c r="AB249" i="7"/>
  <c r="AB258" i="7"/>
  <c r="AB242" i="7"/>
  <c r="AB251" i="7"/>
  <c r="AB253" i="7"/>
  <c r="AB237" i="7"/>
  <c r="AB246" i="7"/>
  <c r="AB255" i="7"/>
  <c r="AB239" i="7"/>
  <c r="AB247" i="7"/>
  <c r="AB248" i="7"/>
  <c r="AB244" i="7"/>
  <c r="AB260" i="7"/>
  <c r="L1110" i="7"/>
  <c r="L1094" i="7"/>
  <c r="Q1094" i="7" s="1"/>
  <c r="W1094" i="7" s="1"/>
  <c r="L1119" i="7"/>
  <c r="L1103" i="7"/>
  <c r="L1112" i="7"/>
  <c r="L1096" i="7"/>
  <c r="L1105" i="7"/>
  <c r="L1114" i="7"/>
  <c r="L1098" i="7"/>
  <c r="L1107" i="7"/>
  <c r="L1116" i="7"/>
  <c r="L1100" i="7"/>
  <c r="L1109" i="7"/>
  <c r="L1118" i="7"/>
  <c r="L1102" i="7"/>
  <c r="L1111" i="7"/>
  <c r="L1095" i="7"/>
  <c r="L1104" i="7"/>
  <c r="Q1104" i="7" s="1"/>
  <c r="W1104" i="7" s="1"/>
  <c r="L1113" i="7"/>
  <c r="Q1113" i="7" s="1"/>
  <c r="W1113" i="7" s="1"/>
  <c r="L1097" i="7"/>
  <c r="L1106" i="7"/>
  <c r="L1115" i="7"/>
  <c r="L1099" i="7"/>
  <c r="L1108" i="7"/>
  <c r="L1117" i="7"/>
  <c r="L1101" i="7"/>
  <c r="L438" i="7"/>
  <c r="L439" i="7"/>
  <c r="L425" i="7"/>
  <c r="L440" i="7"/>
  <c r="L434" i="7"/>
  <c r="L418" i="7"/>
  <c r="L427" i="7"/>
  <c r="L443" i="7"/>
  <c r="L436" i="7"/>
  <c r="Q436" i="7" s="1"/>
  <c r="W436" i="7" s="1"/>
  <c r="L420" i="7"/>
  <c r="L429" i="7"/>
  <c r="L422" i="7"/>
  <c r="L442" i="7"/>
  <c r="L431" i="7"/>
  <c r="L424" i="7"/>
  <c r="L433" i="7"/>
  <c r="L426" i="7"/>
  <c r="L435" i="7"/>
  <c r="L419" i="7"/>
  <c r="L441" i="7"/>
  <c r="L428" i="7"/>
  <c r="Q428" i="7" s="1"/>
  <c r="W428" i="7" s="1"/>
  <c r="L421" i="7"/>
  <c r="Q421" i="7" s="1"/>
  <c r="W421" i="7" s="1"/>
  <c r="L430" i="7"/>
  <c r="L437" i="7"/>
  <c r="Q437" i="7" s="1"/>
  <c r="W437" i="7" s="1"/>
  <c r="L423" i="7"/>
  <c r="Q423" i="7" s="1"/>
  <c r="W423" i="7" s="1"/>
  <c r="L432" i="7"/>
  <c r="Q432" i="7" s="1"/>
  <c r="W432" i="7" s="1"/>
  <c r="Z713" i="7"/>
  <c r="Z729" i="7"/>
  <c r="Z722" i="7"/>
  <c r="Z706" i="7"/>
  <c r="Z715" i="7"/>
  <c r="Z724" i="7"/>
  <c r="Z708" i="7"/>
  <c r="Z717" i="7"/>
  <c r="Z726" i="7"/>
  <c r="Z710" i="7"/>
  <c r="Z719" i="7"/>
  <c r="Z728" i="7"/>
  <c r="Z712" i="7"/>
  <c r="Z721" i="7"/>
  <c r="Z705" i="7"/>
  <c r="Z714" i="7"/>
  <c r="Z723" i="7"/>
  <c r="Z707" i="7"/>
  <c r="Z716" i="7"/>
  <c r="Z725" i="7"/>
  <c r="Z709" i="7"/>
  <c r="Z727" i="7"/>
  <c r="Z720" i="7"/>
  <c r="Z704" i="7"/>
  <c r="Z718" i="7"/>
  <c r="Z711" i="7"/>
  <c r="Z51" i="7"/>
  <c r="Z53" i="7"/>
  <c r="Z46" i="7"/>
  <c r="Z52" i="7"/>
  <c r="Z45" i="7"/>
  <c r="K45" i="7" s="1"/>
  <c r="R45" i="7" s="1"/>
  <c r="Z40" i="7"/>
  <c r="Z3" i="7"/>
  <c r="L5" i="7"/>
  <c r="AB5" i="7"/>
  <c r="AA12" i="7"/>
  <c r="Z19" i="7"/>
  <c r="L21" i="7"/>
  <c r="K21" i="7" s="1"/>
  <c r="R21" i="7" s="1"/>
  <c r="AB21" i="7"/>
  <c r="AA28" i="7"/>
  <c r="AA35" i="7"/>
  <c r="L41" i="7"/>
  <c r="Z42" i="7"/>
  <c r="L49" i="7"/>
  <c r="P74" i="7"/>
  <c r="O74" i="7"/>
  <c r="R74" i="7" s="1"/>
  <c r="Q83" i="7"/>
  <c r="W83" i="7" s="1"/>
  <c r="AA90" i="7"/>
  <c r="Z96" i="7"/>
  <c r="AA104" i="7"/>
  <c r="Z114" i="7"/>
  <c r="Q140" i="7"/>
  <c r="Q153" i="7"/>
  <c r="Q159" i="7"/>
  <c r="W159" i="7" s="1"/>
  <c r="AA879" i="7"/>
  <c r="AA867" i="7"/>
  <c r="AA860" i="7"/>
  <c r="AA876" i="7"/>
  <c r="AA869" i="7"/>
  <c r="AA884" i="7"/>
  <c r="AA881" i="7"/>
  <c r="AA862" i="7"/>
  <c r="AA871" i="7"/>
  <c r="AA864" i="7"/>
  <c r="AA878" i="7"/>
  <c r="AA873" i="7"/>
  <c r="AA866" i="7"/>
  <c r="AA883" i="7"/>
  <c r="AA875" i="7"/>
  <c r="AA868" i="7"/>
  <c r="AA880" i="7"/>
  <c r="AA861" i="7"/>
  <c r="AA870" i="7"/>
  <c r="AA877" i="7"/>
  <c r="AA863" i="7"/>
  <c r="AA885" i="7"/>
  <c r="AA865" i="7"/>
  <c r="AA874" i="7"/>
  <c r="AA872" i="7"/>
  <c r="AA882" i="7"/>
  <c r="AA202" i="7"/>
  <c r="AA186" i="7"/>
  <c r="AA195" i="7"/>
  <c r="AA204" i="7"/>
  <c r="AA188" i="7"/>
  <c r="AA197" i="7"/>
  <c r="AA196" i="7"/>
  <c r="AA205" i="7"/>
  <c r="AA189" i="7"/>
  <c r="AA194" i="7"/>
  <c r="AA187" i="7"/>
  <c r="AA193" i="7"/>
  <c r="AA192" i="7"/>
  <c r="AA185" i="7"/>
  <c r="AA203" i="7"/>
  <c r="AA201" i="7"/>
  <c r="AA200" i="7"/>
  <c r="AA184" i="7"/>
  <c r="AA199" i="7"/>
  <c r="AA191" i="7"/>
  <c r="AA198" i="7"/>
  <c r="AA209" i="7"/>
  <c r="AA208" i="7"/>
  <c r="AA190" i="7"/>
  <c r="AA207" i="7"/>
  <c r="AA206" i="7"/>
  <c r="AA935" i="7"/>
  <c r="AA919" i="7"/>
  <c r="AA937" i="7"/>
  <c r="AA921" i="7"/>
  <c r="AA930" i="7"/>
  <c r="AA914" i="7"/>
  <c r="AA923" i="7"/>
  <c r="AA932" i="7"/>
  <c r="AA916" i="7"/>
  <c r="AA925" i="7"/>
  <c r="AA934" i="7"/>
  <c r="AA918" i="7"/>
  <c r="AA927" i="7"/>
  <c r="AA936" i="7"/>
  <c r="AA920" i="7"/>
  <c r="AA929" i="7"/>
  <c r="AA913" i="7"/>
  <c r="AA922" i="7"/>
  <c r="AA931" i="7"/>
  <c r="AA915" i="7"/>
  <c r="AA933" i="7"/>
  <c r="AA917" i="7"/>
  <c r="AA928" i="7"/>
  <c r="AA912" i="7"/>
  <c r="AA924" i="7"/>
  <c r="AA926" i="7"/>
  <c r="AA248" i="7"/>
  <c r="AA257" i="7"/>
  <c r="AA241" i="7"/>
  <c r="AA250" i="7"/>
  <c r="AA259" i="7"/>
  <c r="AA243" i="7"/>
  <c r="AA252" i="7"/>
  <c r="AA236" i="7"/>
  <c r="AA261" i="7"/>
  <c r="AA245" i="7"/>
  <c r="AA247" i="7"/>
  <c r="AA256" i="7"/>
  <c r="AA240" i="7"/>
  <c r="AA249" i="7"/>
  <c r="AA258" i="7"/>
  <c r="AA242" i="7"/>
  <c r="AA260" i="7"/>
  <c r="AA244" i="7"/>
  <c r="AA253" i="7"/>
  <c r="AA237" i="7"/>
  <c r="AA246" i="7"/>
  <c r="AA238" i="7"/>
  <c r="AA254" i="7"/>
  <c r="AA239" i="7"/>
  <c r="AA255" i="7"/>
  <c r="AA251" i="7"/>
  <c r="Z1274" i="7"/>
  <c r="Z1258" i="7"/>
  <c r="Z1267" i="7"/>
  <c r="Z1251" i="7"/>
  <c r="Z1260" i="7"/>
  <c r="Z1266" i="7"/>
  <c r="Z1254" i="7"/>
  <c r="Z1262" i="7"/>
  <c r="Z1250" i="7"/>
  <c r="Z1270" i="7"/>
  <c r="Z1257" i="7"/>
  <c r="Z1253" i="7"/>
  <c r="Z1275" i="7"/>
  <c r="Z1265" i="7"/>
  <c r="Z1261" i="7"/>
  <c r="Z1256" i="7"/>
  <c r="Z1273" i="7"/>
  <c r="Z1269" i="7"/>
  <c r="Z1264" i="7"/>
  <c r="Z1259" i="7"/>
  <c r="Z1271" i="7"/>
  <c r="Z1272" i="7"/>
  <c r="Z1263" i="7"/>
  <c r="Z1268" i="7"/>
  <c r="Z1255" i="7"/>
  <c r="Z1252" i="7"/>
  <c r="Z594" i="7"/>
  <c r="Z578" i="7"/>
  <c r="Z587" i="7"/>
  <c r="Z596" i="7"/>
  <c r="Z580" i="7"/>
  <c r="Z586" i="7"/>
  <c r="Z595" i="7"/>
  <c r="Z597" i="7"/>
  <c r="Z581" i="7"/>
  <c r="Z592" i="7"/>
  <c r="Z576" i="7"/>
  <c r="Z591" i="7"/>
  <c r="Z585" i="7"/>
  <c r="Z575" i="7"/>
  <c r="Z590" i="7"/>
  <c r="Z584" i="7"/>
  <c r="Z579" i="7"/>
  <c r="Z599" i="7"/>
  <c r="Z583" i="7"/>
  <c r="Z598" i="7"/>
  <c r="Z589" i="7"/>
  <c r="Z577" i="7"/>
  <c r="Z582" i="7"/>
  <c r="Z574" i="7"/>
  <c r="Z593" i="7"/>
  <c r="Z588" i="7"/>
  <c r="AA1267" i="7"/>
  <c r="AA1251" i="7"/>
  <c r="AA1260" i="7"/>
  <c r="AA1269" i="7"/>
  <c r="AA1253" i="7"/>
  <c r="AA1273" i="7"/>
  <c r="AA1275" i="7"/>
  <c r="AA1259" i="7"/>
  <c r="AA1262" i="7"/>
  <c r="AA1258" i="7"/>
  <c r="AA1250" i="7"/>
  <c r="AA1266" i="7"/>
  <c r="AA1270" i="7"/>
  <c r="AA1257" i="7"/>
  <c r="AA1274" i="7"/>
  <c r="AA1265" i="7"/>
  <c r="AA1261" i="7"/>
  <c r="AA1256" i="7"/>
  <c r="AA1264" i="7"/>
  <c r="AA1252" i="7"/>
  <c r="AA1268" i="7"/>
  <c r="AA1263" i="7"/>
  <c r="AA1271" i="7"/>
  <c r="AA1254" i="7"/>
  <c r="AA1272" i="7"/>
  <c r="AA1255" i="7"/>
  <c r="AA587" i="7"/>
  <c r="AA596" i="7"/>
  <c r="AA580" i="7"/>
  <c r="AA589" i="7"/>
  <c r="AA598" i="7"/>
  <c r="AA595" i="7"/>
  <c r="AA579" i="7"/>
  <c r="AA597" i="7"/>
  <c r="AA590" i="7"/>
  <c r="AA576" i="7"/>
  <c r="AA586" i="7"/>
  <c r="AA581" i="7"/>
  <c r="AA591" i="7"/>
  <c r="AA585" i="7"/>
  <c r="AA575" i="7"/>
  <c r="AA584" i="7"/>
  <c r="AA599" i="7"/>
  <c r="AA578" i="7"/>
  <c r="AA583" i="7"/>
  <c r="AA577" i="7"/>
  <c r="AA594" i="7"/>
  <c r="AA582" i="7"/>
  <c r="AA574" i="7"/>
  <c r="AA593" i="7"/>
  <c r="AA588" i="7"/>
  <c r="AA592" i="7"/>
  <c r="AB844" i="7"/>
  <c r="AB853" i="7"/>
  <c r="AB837" i="7"/>
  <c r="AB846" i="7"/>
  <c r="AB855" i="7"/>
  <c r="AB839" i="7"/>
  <c r="AB848" i="7"/>
  <c r="AB857" i="7"/>
  <c r="AB841" i="7"/>
  <c r="AB850" i="7"/>
  <c r="AB834" i="7"/>
  <c r="AB859" i="7"/>
  <c r="AB843" i="7"/>
  <c r="AB852" i="7"/>
  <c r="AB836" i="7"/>
  <c r="AB845" i="7"/>
  <c r="AB854" i="7"/>
  <c r="AB838" i="7"/>
  <c r="AB847" i="7"/>
  <c r="AB856" i="7"/>
  <c r="AB840" i="7"/>
  <c r="AB858" i="7"/>
  <c r="AB842" i="7"/>
  <c r="AB851" i="7"/>
  <c r="AB835" i="7"/>
  <c r="AB849" i="7"/>
  <c r="AB172" i="7"/>
  <c r="AB181" i="7"/>
  <c r="AB165" i="7"/>
  <c r="AB174" i="7"/>
  <c r="AB158" i="7"/>
  <c r="AB173" i="7"/>
  <c r="AB182" i="7"/>
  <c r="AB166" i="7"/>
  <c r="AB169" i="7"/>
  <c r="AB168" i="7"/>
  <c r="AB164" i="7"/>
  <c r="AB180" i="7"/>
  <c r="AB163" i="7"/>
  <c r="AB179" i="7"/>
  <c r="AB167" i="7"/>
  <c r="AB162" i="7"/>
  <c r="AB183" i="7"/>
  <c r="AB178" i="7"/>
  <c r="AB161" i="7"/>
  <c r="AB177" i="7"/>
  <c r="AB160" i="7"/>
  <c r="AB176" i="7"/>
  <c r="AB171" i="7"/>
  <c r="AB170" i="7"/>
  <c r="AB159" i="7"/>
  <c r="AB175" i="7"/>
  <c r="Z1108" i="7"/>
  <c r="Z1117" i="7"/>
  <c r="Z1101" i="7"/>
  <c r="Z1110" i="7"/>
  <c r="Z1094" i="7"/>
  <c r="Z1119" i="7"/>
  <c r="Z1103" i="7"/>
  <c r="Z1112" i="7"/>
  <c r="Z1096" i="7"/>
  <c r="Z1105" i="7"/>
  <c r="Z1114" i="7"/>
  <c r="Z1098" i="7"/>
  <c r="Z1107" i="7"/>
  <c r="Z1116" i="7"/>
  <c r="Z1100" i="7"/>
  <c r="Z1109" i="7"/>
  <c r="Z1118" i="7"/>
  <c r="Z1102" i="7"/>
  <c r="Z1111" i="7"/>
  <c r="Z1095" i="7"/>
  <c r="Z1104" i="7"/>
  <c r="Z1113" i="7"/>
  <c r="Z1097" i="7"/>
  <c r="Z1106" i="7"/>
  <c r="Z1099" i="7"/>
  <c r="Z1115" i="7"/>
  <c r="Z436" i="7"/>
  <c r="Z442" i="7"/>
  <c r="Z437" i="7"/>
  <c r="Z423" i="7"/>
  <c r="Z432" i="7"/>
  <c r="Z425" i="7"/>
  <c r="Z434" i="7"/>
  <c r="Z418" i="7"/>
  <c r="Z440" i="7"/>
  <c r="Z427" i="7"/>
  <c r="Z420" i="7"/>
  <c r="Z429" i="7"/>
  <c r="Z422" i="7"/>
  <c r="Z431" i="7"/>
  <c r="Z443" i="7"/>
  <c r="Z439" i="7"/>
  <c r="Z424" i="7"/>
  <c r="Z433" i="7"/>
  <c r="Z426" i="7"/>
  <c r="Z435" i="7"/>
  <c r="Z419" i="7"/>
  <c r="Z438" i="7"/>
  <c r="Z428" i="7"/>
  <c r="Z421" i="7"/>
  <c r="Z430" i="7"/>
  <c r="Z441" i="7"/>
  <c r="AB768" i="7"/>
  <c r="AB777" i="7"/>
  <c r="AB761" i="7"/>
  <c r="AB770" i="7"/>
  <c r="AB779" i="7"/>
  <c r="AB763" i="7"/>
  <c r="AB772" i="7"/>
  <c r="AB756" i="7"/>
  <c r="AB781" i="7"/>
  <c r="AB765" i="7"/>
  <c r="AB774" i="7"/>
  <c r="AB758" i="7"/>
  <c r="AB767" i="7"/>
  <c r="AB776" i="7"/>
  <c r="AB760" i="7"/>
  <c r="AB769" i="7"/>
  <c r="AB771" i="7"/>
  <c r="AB773" i="7"/>
  <c r="AB757" i="7"/>
  <c r="AB766" i="7"/>
  <c r="AB780" i="7"/>
  <c r="AB764" i="7"/>
  <c r="AB775" i="7"/>
  <c r="AB759" i="7"/>
  <c r="AB778" i="7"/>
  <c r="AB762" i="7"/>
  <c r="AB101" i="7"/>
  <c r="AB85" i="7"/>
  <c r="AB94" i="7"/>
  <c r="AB103" i="7"/>
  <c r="AB87" i="7"/>
  <c r="AB96" i="7"/>
  <c r="AB80" i="7"/>
  <c r="AB105" i="7"/>
  <c r="AB89" i="7"/>
  <c r="AB91" i="7"/>
  <c r="AB93" i="7"/>
  <c r="AB102" i="7"/>
  <c r="AB86" i="7"/>
  <c r="AB95" i="7"/>
  <c r="AB104" i="7"/>
  <c r="AB88" i="7"/>
  <c r="AB90" i="7"/>
  <c r="Z1040" i="7"/>
  <c r="Z1024" i="7"/>
  <c r="Z1033" i="7"/>
  <c r="Z1017" i="7"/>
  <c r="Z1026" i="7"/>
  <c r="Z1035" i="7"/>
  <c r="Z1019" i="7"/>
  <c r="Z1028" i="7"/>
  <c r="Z1037" i="7"/>
  <c r="Z1021" i="7"/>
  <c r="Z1030" i="7"/>
  <c r="Z1039" i="7"/>
  <c r="Z1023" i="7"/>
  <c r="Z1032" i="7"/>
  <c r="Z1016" i="7"/>
  <c r="Z1041" i="7"/>
  <c r="Z1025" i="7"/>
  <c r="Z1034" i="7"/>
  <c r="Z1018" i="7"/>
  <c r="Z1036" i="7"/>
  <c r="Z1020" i="7"/>
  <c r="Z1038" i="7"/>
  <c r="Z1022" i="7"/>
  <c r="Z1031" i="7"/>
  <c r="Z1029" i="7"/>
  <c r="Z1027" i="7"/>
  <c r="Z359" i="7"/>
  <c r="Z343" i="7"/>
  <c r="Z361" i="7"/>
  <c r="Z354" i="7"/>
  <c r="Z363" i="7"/>
  <c r="Z356" i="7"/>
  <c r="Z365" i="7"/>
  <c r="Z349" i="7"/>
  <c r="Z358" i="7"/>
  <c r="Z360" i="7"/>
  <c r="Z344" i="7"/>
  <c r="Z353" i="7"/>
  <c r="Z362" i="7"/>
  <c r="Z364" i="7"/>
  <c r="Z357" i="7"/>
  <c r="Z348" i="7"/>
  <c r="Z341" i="7"/>
  <c r="Z347" i="7"/>
  <c r="Z355" i="7"/>
  <c r="Z352" i="7"/>
  <c r="Z351" i="7"/>
  <c r="Z340" i="7"/>
  <c r="Z350" i="7"/>
  <c r="Z345" i="7"/>
  <c r="Z346" i="7"/>
  <c r="Z342" i="7"/>
  <c r="AA1117" i="7"/>
  <c r="AA1101" i="7"/>
  <c r="AA1110" i="7"/>
  <c r="AA1094" i="7"/>
  <c r="AA1119" i="7"/>
  <c r="AA1103" i="7"/>
  <c r="AA1112" i="7"/>
  <c r="AA1096" i="7"/>
  <c r="AA1105" i="7"/>
  <c r="AA1114" i="7"/>
  <c r="AA1098" i="7"/>
  <c r="AA1107" i="7"/>
  <c r="AA1116" i="7"/>
  <c r="AA1100" i="7"/>
  <c r="AA1109" i="7"/>
  <c r="AA1118" i="7"/>
  <c r="AA1102" i="7"/>
  <c r="AA1111" i="7"/>
  <c r="AA1095" i="7"/>
  <c r="AA1104" i="7"/>
  <c r="AA1113" i="7"/>
  <c r="AA1097" i="7"/>
  <c r="AA1106" i="7"/>
  <c r="AA1115" i="7"/>
  <c r="AA1099" i="7"/>
  <c r="AA1108" i="7"/>
  <c r="AA432" i="7"/>
  <c r="AA437" i="7"/>
  <c r="AA425" i="7"/>
  <c r="AA434" i="7"/>
  <c r="AA418" i="7"/>
  <c r="AA440" i="7"/>
  <c r="AA427" i="7"/>
  <c r="AA420" i="7"/>
  <c r="AA429" i="7"/>
  <c r="AA436" i="7"/>
  <c r="AA422" i="7"/>
  <c r="AA431" i="7"/>
  <c r="AA443" i="7"/>
  <c r="AA439" i="7"/>
  <c r="AA424" i="7"/>
  <c r="AA433" i="7"/>
  <c r="AA426" i="7"/>
  <c r="AA442" i="7"/>
  <c r="AA435" i="7"/>
  <c r="AA419" i="7"/>
  <c r="AA438" i="7"/>
  <c r="AA428" i="7"/>
  <c r="AA421" i="7"/>
  <c r="AA441" i="7"/>
  <c r="AA430" i="7"/>
  <c r="AA423" i="7"/>
  <c r="AB1195" i="7"/>
  <c r="AB1197" i="7"/>
  <c r="AB1190" i="7"/>
  <c r="AB1192" i="7"/>
  <c r="AB1176" i="7"/>
  <c r="AB1185" i="7"/>
  <c r="AB1178" i="7"/>
  <c r="AB1191" i="7"/>
  <c r="AB1180" i="7"/>
  <c r="AB1187" i="7"/>
  <c r="AB1173" i="7"/>
  <c r="AB1196" i="7"/>
  <c r="AB1182" i="7"/>
  <c r="AB1175" i="7"/>
  <c r="AB1184" i="7"/>
  <c r="AB1177" i="7"/>
  <c r="AB1194" i="7"/>
  <c r="AB1172" i="7"/>
  <c r="AB1174" i="7"/>
  <c r="AB1193" i="7"/>
  <c r="AB1188" i="7"/>
  <c r="AB1183" i="7"/>
  <c r="AB1179" i="7"/>
  <c r="AB1189" i="7"/>
  <c r="AB1186" i="7"/>
  <c r="AB1181" i="7"/>
  <c r="AB516" i="7"/>
  <c r="AB517" i="7"/>
  <c r="AB519" i="7"/>
  <c r="AB502" i="7"/>
  <c r="AB511" i="7"/>
  <c r="AB504" i="7"/>
  <c r="AB497" i="7"/>
  <c r="AB506" i="7"/>
  <c r="AB499" i="7"/>
  <c r="AB521" i="7"/>
  <c r="AB508" i="7"/>
  <c r="AB520" i="7"/>
  <c r="AB501" i="7"/>
  <c r="AB515" i="7"/>
  <c r="AB510" i="7"/>
  <c r="AB514" i="7"/>
  <c r="AB503" i="7"/>
  <c r="AB496" i="7"/>
  <c r="AB513" i="7"/>
  <c r="AB505" i="7"/>
  <c r="AB498" i="7"/>
  <c r="AB518" i="7"/>
  <c r="AB507" i="7"/>
  <c r="AB512" i="7"/>
  <c r="AB500" i="7"/>
  <c r="AB509" i="7"/>
  <c r="C3" i="9"/>
  <c r="C9" i="9"/>
  <c r="C2" i="9"/>
  <c r="AA3" i="7"/>
  <c r="Z10" i="7"/>
  <c r="AB12" i="7"/>
  <c r="AA19" i="7"/>
  <c r="O23" i="7"/>
  <c r="Z26" i="7"/>
  <c r="L28" i="7"/>
  <c r="AB28" i="7"/>
  <c r="O37" i="7"/>
  <c r="L38" i="7"/>
  <c r="Z58" i="7"/>
  <c r="AB68" i="7"/>
  <c r="P81" i="7"/>
  <c r="O81" i="7"/>
  <c r="P82" i="7"/>
  <c r="O82" i="7"/>
  <c r="L84" i="7"/>
  <c r="Q84" i="7" s="1"/>
  <c r="W84" i="7" s="1"/>
  <c r="L100" i="7"/>
  <c r="AB114" i="7"/>
  <c r="AA121" i="7"/>
  <c r="Q150" i="7"/>
  <c r="L699" i="7"/>
  <c r="K699" i="7" s="1"/>
  <c r="L683" i="7"/>
  <c r="K683" i="7" s="1"/>
  <c r="L692" i="7"/>
  <c r="L701" i="7"/>
  <c r="L685" i="7"/>
  <c r="L694" i="7"/>
  <c r="L678" i="7"/>
  <c r="L703" i="7"/>
  <c r="K703" i="7" s="1"/>
  <c r="L687" i="7"/>
  <c r="K687" i="7" s="1"/>
  <c r="L696" i="7"/>
  <c r="L680" i="7"/>
  <c r="Q680" i="7" s="1"/>
  <c r="L698" i="7"/>
  <c r="K698" i="7" s="1"/>
  <c r="L682" i="7"/>
  <c r="K682" i="7" s="1"/>
  <c r="L691" i="7"/>
  <c r="K691" i="7" s="1"/>
  <c r="R691" i="7" s="1"/>
  <c r="L700" i="7"/>
  <c r="K700" i="7" s="1"/>
  <c r="R700" i="7" s="1"/>
  <c r="L684" i="7"/>
  <c r="K684" i="7" s="1"/>
  <c r="L693" i="7"/>
  <c r="K693" i="7" s="1"/>
  <c r="L702" i="7"/>
  <c r="K702" i="7" s="1"/>
  <c r="L686" i="7"/>
  <c r="L695" i="7"/>
  <c r="K695" i="7" s="1"/>
  <c r="L679" i="7"/>
  <c r="K679" i="7" s="1"/>
  <c r="L690" i="7"/>
  <c r="L681" i="7"/>
  <c r="K681" i="7" s="1"/>
  <c r="L697" i="7"/>
  <c r="L688" i="7"/>
  <c r="K688" i="7" s="1"/>
  <c r="L689" i="7"/>
  <c r="AB1338" i="7"/>
  <c r="AB1342" i="7"/>
  <c r="AB1351" i="7"/>
  <c r="AB1344" i="7"/>
  <c r="AB1328" i="7"/>
  <c r="AB1353" i="7"/>
  <c r="AB1348" i="7"/>
  <c r="AB1332" i="7"/>
  <c r="AB1341" i="7"/>
  <c r="AB1350" i="7"/>
  <c r="AB1352" i="7"/>
  <c r="AB1336" i="7"/>
  <c r="AB1347" i="7"/>
  <c r="AB1346" i="7"/>
  <c r="AB1331" i="7"/>
  <c r="AB1349" i="7"/>
  <c r="AB1345" i="7"/>
  <c r="AB1335" i="7"/>
  <c r="AB1330" i="7"/>
  <c r="AB1343" i="7"/>
  <c r="AB1334" i="7"/>
  <c r="AB1340" i="7"/>
  <c r="AB1329" i="7"/>
  <c r="AB1337" i="7"/>
  <c r="AB1333" i="7"/>
  <c r="AB1339" i="7"/>
  <c r="AB667" i="7"/>
  <c r="AB676" i="7"/>
  <c r="AB669" i="7"/>
  <c r="AB653" i="7"/>
  <c r="AB662" i="7"/>
  <c r="AB671" i="7"/>
  <c r="AB655" i="7"/>
  <c r="AB664" i="7"/>
  <c r="AB666" i="7"/>
  <c r="AB675" i="7"/>
  <c r="AB668" i="7"/>
  <c r="AB677" i="7"/>
  <c r="AB661" i="7"/>
  <c r="AB663" i="7"/>
  <c r="AB674" i="7"/>
  <c r="AB654" i="7"/>
  <c r="AB665" i="7"/>
  <c r="AB652" i="7"/>
  <c r="AB673" i="7"/>
  <c r="AB672" i="7"/>
  <c r="AB658" i="7"/>
  <c r="AB657" i="7"/>
  <c r="AB670" i="7"/>
  <c r="AB656" i="7"/>
  <c r="AB659" i="7"/>
  <c r="AB660" i="7"/>
  <c r="AA1193" i="7"/>
  <c r="AA1195" i="7"/>
  <c r="AA1197" i="7"/>
  <c r="AA1188" i="7"/>
  <c r="AA1183" i="7"/>
  <c r="AA1192" i="7"/>
  <c r="AA1176" i="7"/>
  <c r="AA1185" i="7"/>
  <c r="AA1178" i="7"/>
  <c r="AA1191" i="7"/>
  <c r="AA1180" i="7"/>
  <c r="AA1187" i="7"/>
  <c r="AA1173" i="7"/>
  <c r="AA1196" i="7"/>
  <c r="AA1190" i="7"/>
  <c r="AA1182" i="7"/>
  <c r="AA1175" i="7"/>
  <c r="AA1184" i="7"/>
  <c r="AA1186" i="7"/>
  <c r="AA1179" i="7"/>
  <c r="AA1181" i="7"/>
  <c r="AA1174" i="7"/>
  <c r="AA1172" i="7"/>
  <c r="AA1177" i="7"/>
  <c r="AA1189" i="7"/>
  <c r="AA1194" i="7"/>
  <c r="AA516" i="7"/>
  <c r="AA515" i="7"/>
  <c r="AA509" i="7"/>
  <c r="AA502" i="7"/>
  <c r="AA517" i="7"/>
  <c r="AA511" i="7"/>
  <c r="AA504" i="7"/>
  <c r="AA497" i="7"/>
  <c r="AA506" i="7"/>
  <c r="AA499" i="7"/>
  <c r="AA521" i="7"/>
  <c r="AA508" i="7"/>
  <c r="AA520" i="7"/>
  <c r="AA501" i="7"/>
  <c r="AA510" i="7"/>
  <c r="AA519" i="7"/>
  <c r="AA514" i="7"/>
  <c r="AA503" i="7"/>
  <c r="AA496" i="7"/>
  <c r="AA513" i="7"/>
  <c r="AA505" i="7"/>
  <c r="AA498" i="7"/>
  <c r="AA518" i="7"/>
  <c r="AA507" i="7"/>
  <c r="AA500" i="7"/>
  <c r="AA512" i="7"/>
  <c r="AA729" i="7"/>
  <c r="AA722" i="7"/>
  <c r="AA706" i="7"/>
  <c r="AA715" i="7"/>
  <c r="AA724" i="7"/>
  <c r="AA708" i="7"/>
  <c r="AA717" i="7"/>
  <c r="AA726" i="7"/>
  <c r="AA710" i="7"/>
  <c r="AA719" i="7"/>
  <c r="AA728" i="7"/>
  <c r="AA712" i="7"/>
  <c r="AA721" i="7"/>
  <c r="AA705" i="7"/>
  <c r="AA714" i="7"/>
  <c r="AA723" i="7"/>
  <c r="AA707" i="7"/>
  <c r="AA716" i="7"/>
  <c r="AA725" i="7"/>
  <c r="AA709" i="7"/>
  <c r="AA718" i="7"/>
  <c r="AA720" i="7"/>
  <c r="AA713" i="7"/>
  <c r="AA711" i="7"/>
  <c r="AA727" i="7"/>
  <c r="AA704" i="7"/>
  <c r="AA44" i="7"/>
  <c r="AA53" i="7"/>
  <c r="AA46" i="7"/>
  <c r="AA39" i="7"/>
  <c r="AA48" i="7"/>
  <c r="AA50" i="7"/>
  <c r="AA52" i="7"/>
  <c r="AA38" i="7"/>
  <c r="AA47" i="7"/>
  <c r="AA49" i="7"/>
  <c r="L960" i="7"/>
  <c r="L944" i="7"/>
  <c r="L962" i="7"/>
  <c r="L946" i="7"/>
  <c r="L955" i="7"/>
  <c r="L939" i="7"/>
  <c r="Q939" i="7" s="1"/>
  <c r="W939" i="7" s="1"/>
  <c r="L948" i="7"/>
  <c r="L957" i="7"/>
  <c r="Q957" i="7" s="1"/>
  <c r="W957" i="7" s="1"/>
  <c r="L941" i="7"/>
  <c r="Q941" i="7" s="1"/>
  <c r="W941" i="7" s="1"/>
  <c r="L950" i="7"/>
  <c r="L959" i="7"/>
  <c r="L943" i="7"/>
  <c r="L952" i="7"/>
  <c r="L961" i="7"/>
  <c r="L945" i="7"/>
  <c r="L954" i="7"/>
  <c r="L938" i="7"/>
  <c r="L963" i="7"/>
  <c r="L947" i="7"/>
  <c r="L956" i="7"/>
  <c r="L940" i="7"/>
  <c r="L958" i="7"/>
  <c r="Q958" i="7" s="1"/>
  <c r="W958" i="7" s="1"/>
  <c r="L942" i="7"/>
  <c r="L953" i="7"/>
  <c r="Q953" i="7" s="1"/>
  <c r="W953" i="7" s="1"/>
  <c r="L949" i="7"/>
  <c r="L951" i="7"/>
  <c r="L273" i="7"/>
  <c r="L282" i="7"/>
  <c r="L266" i="7"/>
  <c r="L275" i="7"/>
  <c r="L284" i="7"/>
  <c r="L268" i="7"/>
  <c r="L277" i="7"/>
  <c r="L286" i="7"/>
  <c r="L270" i="7"/>
  <c r="L272" i="7"/>
  <c r="L281" i="7"/>
  <c r="L265" i="7"/>
  <c r="Q265" i="7" s="1"/>
  <c r="W265" i="7" s="1"/>
  <c r="L274" i="7"/>
  <c r="L283" i="7"/>
  <c r="Q283" i="7" s="1"/>
  <c r="W283" i="7" s="1"/>
  <c r="L267" i="7"/>
  <c r="Q267" i="7" s="1"/>
  <c r="W267" i="7" s="1"/>
  <c r="L285" i="7"/>
  <c r="Q285" i="7" s="1"/>
  <c r="W285" i="7" s="1"/>
  <c r="L269" i="7"/>
  <c r="L278" i="7"/>
  <c r="L262" i="7"/>
  <c r="L287" i="7"/>
  <c r="L271" i="7"/>
  <c r="L280" i="7"/>
  <c r="L276" i="7"/>
  <c r="L263" i="7"/>
  <c r="L264" i="7"/>
  <c r="L279" i="7"/>
  <c r="AB715" i="7"/>
  <c r="AB724" i="7"/>
  <c r="AB708" i="7"/>
  <c r="AB717" i="7"/>
  <c r="AB726" i="7"/>
  <c r="AB710" i="7"/>
  <c r="AB719" i="7"/>
  <c r="AB728" i="7"/>
  <c r="AB712" i="7"/>
  <c r="AB721" i="7"/>
  <c r="AB705" i="7"/>
  <c r="AB714" i="7"/>
  <c r="AB723" i="7"/>
  <c r="AB707" i="7"/>
  <c r="AB716" i="7"/>
  <c r="AB725" i="7"/>
  <c r="AB709" i="7"/>
  <c r="AB718" i="7"/>
  <c r="AB727" i="7"/>
  <c r="AB711" i="7"/>
  <c r="AB729" i="7"/>
  <c r="AB722" i="7"/>
  <c r="AB706" i="7"/>
  <c r="AB720" i="7"/>
  <c r="AB713" i="7"/>
  <c r="AB704" i="7"/>
  <c r="AB53" i="7"/>
  <c r="AB37" i="7"/>
  <c r="AB48" i="7"/>
  <c r="AB47" i="7"/>
  <c r="AB42" i="7"/>
  <c r="X5" i="5"/>
  <c r="L884" i="7"/>
  <c r="Q884" i="7" s="1"/>
  <c r="W884" i="7" s="1"/>
  <c r="L876" i="7"/>
  <c r="L860" i="7"/>
  <c r="L869" i="7"/>
  <c r="Q869" i="7" s="1"/>
  <c r="W869" i="7" s="1"/>
  <c r="L881" i="7"/>
  <c r="L862" i="7"/>
  <c r="L871" i="7"/>
  <c r="L878" i="7"/>
  <c r="L864" i="7"/>
  <c r="L883" i="7"/>
  <c r="L873" i="7"/>
  <c r="L866" i="7"/>
  <c r="L875" i="7"/>
  <c r="L868" i="7"/>
  <c r="L880" i="7"/>
  <c r="L861" i="7"/>
  <c r="L877" i="7"/>
  <c r="Q877" i="7" s="1"/>
  <c r="W877" i="7" s="1"/>
  <c r="L870" i="7"/>
  <c r="Q870" i="7" s="1"/>
  <c r="W870" i="7" s="1"/>
  <c r="L885" i="7"/>
  <c r="L882" i="7"/>
  <c r="L863" i="7"/>
  <c r="L872" i="7"/>
  <c r="Q872" i="7" s="1"/>
  <c r="W872" i="7" s="1"/>
  <c r="L874" i="7"/>
  <c r="L879" i="7"/>
  <c r="L867" i="7"/>
  <c r="L865" i="7"/>
  <c r="L195" i="7"/>
  <c r="L204" i="7"/>
  <c r="L188" i="7"/>
  <c r="Q188" i="7" s="1"/>
  <c r="W188" i="7" s="1"/>
  <c r="L197" i="7"/>
  <c r="L206" i="7"/>
  <c r="L190" i="7"/>
  <c r="L203" i="7"/>
  <c r="Q203" i="7" s="1"/>
  <c r="W203" i="7" s="1"/>
  <c r="L205" i="7"/>
  <c r="Q205" i="7" s="1"/>
  <c r="W205" i="7" s="1"/>
  <c r="L189" i="7"/>
  <c r="Q189" i="7" s="1"/>
  <c r="W189" i="7" s="1"/>
  <c r="L198" i="7"/>
  <c r="L184" i="7"/>
  <c r="L209" i="7"/>
  <c r="L199" i="7"/>
  <c r="L191" i="7"/>
  <c r="L208" i="7"/>
  <c r="L207" i="7"/>
  <c r="L194" i="7"/>
  <c r="L196" i="7"/>
  <c r="Q196" i="7" s="1"/>
  <c r="W196" i="7" s="1"/>
  <c r="L193" i="7"/>
  <c r="L187" i="7"/>
  <c r="L201" i="7"/>
  <c r="L186" i="7"/>
  <c r="L202" i="7"/>
  <c r="Q202" i="7" s="1"/>
  <c r="W202" i="7" s="1"/>
  <c r="L185" i="7"/>
  <c r="L200" i="7"/>
  <c r="L192" i="7"/>
  <c r="Z958" i="7"/>
  <c r="Z942" i="7"/>
  <c r="Z960" i="7"/>
  <c r="Z944" i="7"/>
  <c r="Z953" i="7"/>
  <c r="Z962" i="7"/>
  <c r="Z946" i="7"/>
  <c r="Z955" i="7"/>
  <c r="Z939" i="7"/>
  <c r="Z948" i="7"/>
  <c r="Z957" i="7"/>
  <c r="Z941" i="7"/>
  <c r="Z950" i="7"/>
  <c r="Z959" i="7"/>
  <c r="Z943" i="7"/>
  <c r="Z952" i="7"/>
  <c r="Z961" i="7"/>
  <c r="Z945" i="7"/>
  <c r="Z954" i="7"/>
  <c r="Z938" i="7"/>
  <c r="Z956" i="7"/>
  <c r="Z940" i="7"/>
  <c r="Z949" i="7"/>
  <c r="Z951" i="7"/>
  <c r="Z963" i="7"/>
  <c r="Z947" i="7"/>
  <c r="Z287" i="7"/>
  <c r="Z271" i="7"/>
  <c r="Z280" i="7"/>
  <c r="Z264" i="7"/>
  <c r="Z273" i="7"/>
  <c r="Z282" i="7"/>
  <c r="Z266" i="7"/>
  <c r="Z275" i="7"/>
  <c r="Z284" i="7"/>
  <c r="Z268" i="7"/>
  <c r="Z286" i="7"/>
  <c r="Z270" i="7"/>
  <c r="Z279" i="7"/>
  <c r="Z263" i="7"/>
  <c r="Z272" i="7"/>
  <c r="Z281" i="7"/>
  <c r="Z265" i="7"/>
  <c r="Z283" i="7"/>
  <c r="Z267" i="7"/>
  <c r="Z276" i="7"/>
  <c r="Z285" i="7"/>
  <c r="Z269" i="7"/>
  <c r="Z277" i="7"/>
  <c r="Z262" i="7"/>
  <c r="Z278" i="7"/>
  <c r="Z274" i="7"/>
  <c r="AA1033" i="7"/>
  <c r="AA1017" i="7"/>
  <c r="AA1026" i="7"/>
  <c r="AA1035" i="7"/>
  <c r="AA1019" i="7"/>
  <c r="AA1028" i="7"/>
  <c r="AA1037" i="7"/>
  <c r="AA1021" i="7"/>
  <c r="AA1030" i="7"/>
  <c r="AA1039" i="7"/>
  <c r="AA1023" i="7"/>
  <c r="AA1032" i="7"/>
  <c r="AA1016" i="7"/>
  <c r="AA1041" i="7"/>
  <c r="AA1025" i="7"/>
  <c r="AA1034" i="7"/>
  <c r="AA1018" i="7"/>
  <c r="AA1027" i="7"/>
  <c r="AA1029" i="7"/>
  <c r="AA1031" i="7"/>
  <c r="AA1040" i="7"/>
  <c r="AA1024" i="7"/>
  <c r="AA1020" i="7"/>
  <c r="AA1038" i="7"/>
  <c r="AA1022" i="7"/>
  <c r="AA1036" i="7"/>
  <c r="AA352" i="7"/>
  <c r="AA354" i="7"/>
  <c r="AA363" i="7"/>
  <c r="AA356" i="7"/>
  <c r="AA365" i="7"/>
  <c r="AA358" i="7"/>
  <c r="AA351" i="7"/>
  <c r="AA353" i="7"/>
  <c r="AA362" i="7"/>
  <c r="AA355" i="7"/>
  <c r="AA350" i="7"/>
  <c r="AA348" i="7"/>
  <c r="AA344" i="7"/>
  <c r="AA341" i="7"/>
  <c r="AA347" i="7"/>
  <c r="AA343" i="7"/>
  <c r="AA364" i="7"/>
  <c r="AA357" i="7"/>
  <c r="AA346" i="7"/>
  <c r="AA340" i="7"/>
  <c r="AA361" i="7"/>
  <c r="AA345" i="7"/>
  <c r="AA342" i="7"/>
  <c r="AA360" i="7"/>
  <c r="AA349" i="7"/>
  <c r="AA359" i="7"/>
  <c r="AB1110" i="7"/>
  <c r="AB1094" i="7"/>
  <c r="AB1119" i="7"/>
  <c r="AB1103" i="7"/>
  <c r="AB1112" i="7"/>
  <c r="AB1096" i="7"/>
  <c r="AB1105" i="7"/>
  <c r="AB1114" i="7"/>
  <c r="AB1098" i="7"/>
  <c r="AB1107" i="7"/>
  <c r="AB1116" i="7"/>
  <c r="AB1100" i="7"/>
  <c r="AB1109" i="7"/>
  <c r="AB1118" i="7"/>
  <c r="AB1102" i="7"/>
  <c r="AB1111" i="7"/>
  <c r="AB1095" i="7"/>
  <c r="AB1104" i="7"/>
  <c r="AB1113" i="7"/>
  <c r="AB1097" i="7"/>
  <c r="AB1106" i="7"/>
  <c r="AB1115" i="7"/>
  <c r="AB1099" i="7"/>
  <c r="AB1108" i="7"/>
  <c r="AB1101" i="7"/>
  <c r="AB1117" i="7"/>
  <c r="AB438" i="7"/>
  <c r="AB439" i="7"/>
  <c r="AB437" i="7"/>
  <c r="AB425" i="7"/>
  <c r="AB434" i="7"/>
  <c r="AB418" i="7"/>
  <c r="AB440" i="7"/>
  <c r="AB427" i="7"/>
  <c r="AB420" i="7"/>
  <c r="AB429" i="7"/>
  <c r="AB436" i="7"/>
  <c r="AB422" i="7"/>
  <c r="AB431" i="7"/>
  <c r="AB443" i="7"/>
  <c r="AB424" i="7"/>
  <c r="AB433" i="7"/>
  <c r="AB426" i="7"/>
  <c r="AB442" i="7"/>
  <c r="AB435" i="7"/>
  <c r="AB419" i="7"/>
  <c r="AB428" i="7"/>
  <c r="AB421" i="7"/>
  <c r="AB441" i="7"/>
  <c r="AB430" i="7"/>
  <c r="AB423" i="7"/>
  <c r="AB432" i="7"/>
  <c r="L1295" i="7"/>
  <c r="Q1295" i="7" s="1"/>
  <c r="W1295" i="7" s="1"/>
  <c r="L1279" i="7"/>
  <c r="Q1279" i="7" s="1"/>
  <c r="W1279" i="7" s="1"/>
  <c r="L1288" i="7"/>
  <c r="L1297" i="7"/>
  <c r="Q1297" i="7" s="1"/>
  <c r="W1297" i="7" s="1"/>
  <c r="L1281" i="7"/>
  <c r="Q1281" i="7" s="1"/>
  <c r="W1281" i="7" s="1"/>
  <c r="L1290" i="7"/>
  <c r="L1299" i="7"/>
  <c r="L1283" i="7"/>
  <c r="L1292" i="7"/>
  <c r="L1276" i="7"/>
  <c r="L1301" i="7"/>
  <c r="L1285" i="7"/>
  <c r="L1294" i="7"/>
  <c r="L1278" i="7"/>
  <c r="L1287" i="7"/>
  <c r="L1298" i="7"/>
  <c r="L1282" i="7"/>
  <c r="Q1282" i="7" s="1"/>
  <c r="W1282" i="7" s="1"/>
  <c r="L1300" i="7"/>
  <c r="Q1300" i="7" s="1"/>
  <c r="W1300" i="7" s="1"/>
  <c r="L1284" i="7"/>
  <c r="L1289" i="7"/>
  <c r="L1280" i="7"/>
  <c r="Q1280" i="7" s="1"/>
  <c r="W1280" i="7" s="1"/>
  <c r="L1293" i="7"/>
  <c r="Q1293" i="7" s="1"/>
  <c r="W1293" i="7" s="1"/>
  <c r="L1291" i="7"/>
  <c r="L1296" i="7"/>
  <c r="L1286" i="7"/>
  <c r="L1277" i="7"/>
  <c r="L612" i="7"/>
  <c r="L621" i="7"/>
  <c r="L605" i="7"/>
  <c r="L614" i="7"/>
  <c r="L623" i="7"/>
  <c r="L607" i="7"/>
  <c r="L620" i="7"/>
  <c r="L604" i="7"/>
  <c r="Q604" i="7" s="1"/>
  <c r="W604" i="7" s="1"/>
  <c r="L613" i="7"/>
  <c r="L622" i="7"/>
  <c r="Q622" i="7" s="1"/>
  <c r="W622" i="7" s="1"/>
  <c r="L606" i="7"/>
  <c r="L615" i="7"/>
  <c r="L624" i="7"/>
  <c r="L600" i="7"/>
  <c r="L618" i="7"/>
  <c r="L619" i="7"/>
  <c r="L617" i="7"/>
  <c r="L616" i="7"/>
  <c r="L610" i="7"/>
  <c r="L611" i="7"/>
  <c r="L609" i="7"/>
  <c r="L608" i="7"/>
  <c r="L602" i="7"/>
  <c r="L603" i="7"/>
  <c r="Q603" i="7" s="1"/>
  <c r="W603" i="7" s="1"/>
  <c r="L625" i="7"/>
  <c r="L601" i="7"/>
  <c r="D3" i="9"/>
  <c r="D9" i="9"/>
  <c r="D2" i="9"/>
  <c r="L3" i="7"/>
  <c r="AB3" i="7"/>
  <c r="AA10" i="7"/>
  <c r="Z17" i="7"/>
  <c r="L19" i="7"/>
  <c r="K19" i="7" s="1"/>
  <c r="R19" i="7" s="1"/>
  <c r="AB19" i="7"/>
  <c r="AA26" i="7"/>
  <c r="Z33" i="7"/>
  <c r="L35" i="7"/>
  <c r="Q45" i="7"/>
  <c r="W45" i="7" s="1"/>
  <c r="O47" i="7"/>
  <c r="P48" i="7"/>
  <c r="Q48" i="7" s="1"/>
  <c r="W48" i="7" s="1"/>
  <c r="L50" i="7"/>
  <c r="K50" i="7" s="1"/>
  <c r="R50" i="7" s="1"/>
  <c r="Q53" i="7"/>
  <c r="W53" i="7" s="1"/>
  <c r="AA58" i="7"/>
  <c r="L81" i="7"/>
  <c r="L82" i="7"/>
  <c r="AA88" i="7"/>
  <c r="Z95" i="7"/>
  <c r="Q136" i="7"/>
  <c r="L1144" i="7"/>
  <c r="L1137" i="7"/>
  <c r="K1137" i="7" s="1"/>
  <c r="L1130" i="7"/>
  <c r="K1130" i="7" s="1"/>
  <c r="L1139" i="7"/>
  <c r="K1139" i="7" s="1"/>
  <c r="R1139" i="7" s="1"/>
  <c r="L1132" i="7"/>
  <c r="L1141" i="7"/>
  <c r="L1134" i="7"/>
  <c r="K1134" i="7" s="1"/>
  <c r="R1134" i="7" s="1"/>
  <c r="L1143" i="7"/>
  <c r="Q1143" i="7" s="1"/>
  <c r="W1143" i="7" s="1"/>
  <c r="L1145" i="7"/>
  <c r="L1140" i="7"/>
  <c r="L1142" i="7"/>
  <c r="K1142" i="7" s="1"/>
  <c r="L1138" i="7"/>
  <c r="L1122" i="7"/>
  <c r="L1135" i="7"/>
  <c r="L1131" i="7"/>
  <c r="K1131" i="7" s="1"/>
  <c r="L1127" i="7"/>
  <c r="K1127" i="7" s="1"/>
  <c r="R1127" i="7" s="1"/>
  <c r="L1124" i="7"/>
  <c r="K1124" i="7" s="1"/>
  <c r="L1121" i="7"/>
  <c r="L1133" i="7"/>
  <c r="L1129" i="7"/>
  <c r="L1126" i="7"/>
  <c r="L1120" i="7"/>
  <c r="L1123" i="7"/>
  <c r="K1123" i="7" s="1"/>
  <c r="L1128" i="7"/>
  <c r="K1128" i="7" s="1"/>
  <c r="R1128" i="7" s="1"/>
  <c r="L1136" i="7"/>
  <c r="K1136" i="7" s="1"/>
  <c r="L1125" i="7"/>
  <c r="L454" i="7"/>
  <c r="K454" i="7" s="1"/>
  <c r="L463" i="7"/>
  <c r="K463" i="7" s="1"/>
  <c r="L447" i="7"/>
  <c r="K447" i="7" s="1"/>
  <c r="R447" i="7" s="1"/>
  <c r="L456" i="7"/>
  <c r="K456" i="7" s="1"/>
  <c r="L465" i="7"/>
  <c r="K465" i="7" s="1"/>
  <c r="L449" i="7"/>
  <c r="K449" i="7" s="1"/>
  <c r="L458" i="7"/>
  <c r="L467" i="7"/>
  <c r="K467" i="7" s="1"/>
  <c r="L451" i="7"/>
  <c r="K451" i="7" s="1"/>
  <c r="L460" i="7"/>
  <c r="K460" i="7" s="1"/>
  <c r="L444" i="7"/>
  <c r="L469" i="7"/>
  <c r="L453" i="7"/>
  <c r="L462" i="7"/>
  <c r="Q462" i="7" s="1"/>
  <c r="L455" i="7"/>
  <c r="L464" i="7"/>
  <c r="L448" i="7"/>
  <c r="L457" i="7"/>
  <c r="K457" i="7" s="1"/>
  <c r="L466" i="7"/>
  <c r="K466" i="7" s="1"/>
  <c r="L450" i="7"/>
  <c r="K450" i="7" s="1"/>
  <c r="L459" i="7"/>
  <c r="K459" i="7" s="1"/>
  <c r="L468" i="7"/>
  <c r="L461" i="7"/>
  <c r="K461" i="7" s="1"/>
  <c r="L446" i="7"/>
  <c r="L452" i="7"/>
  <c r="K452" i="7" s="1"/>
  <c r="R452" i="7" s="1"/>
  <c r="L445" i="7"/>
  <c r="L768" i="7"/>
  <c r="L777" i="7"/>
  <c r="L761" i="7"/>
  <c r="L770" i="7"/>
  <c r="Q770" i="7" s="1"/>
  <c r="W770" i="7" s="1"/>
  <c r="L779" i="7"/>
  <c r="Q779" i="7" s="1"/>
  <c r="W779" i="7" s="1"/>
  <c r="L763" i="7"/>
  <c r="L772" i="7"/>
  <c r="L756" i="7"/>
  <c r="L781" i="7"/>
  <c r="L765" i="7"/>
  <c r="L774" i="7"/>
  <c r="L758" i="7"/>
  <c r="L767" i="7"/>
  <c r="L776" i="7"/>
  <c r="L760" i="7"/>
  <c r="L769" i="7"/>
  <c r="Q769" i="7" s="1"/>
  <c r="W769" i="7" s="1"/>
  <c r="L771" i="7"/>
  <c r="L773" i="7"/>
  <c r="L757" i="7"/>
  <c r="Q757" i="7" s="1"/>
  <c r="W757" i="7" s="1"/>
  <c r="L766" i="7"/>
  <c r="K766" i="7" s="1"/>
  <c r="R766" i="7" s="1"/>
  <c r="L778" i="7"/>
  <c r="L762" i="7"/>
  <c r="L780" i="7"/>
  <c r="L764" i="7"/>
  <c r="L775" i="7"/>
  <c r="L759" i="7"/>
  <c r="L101" i="7"/>
  <c r="L85" i="7"/>
  <c r="Q85" i="7" s="1"/>
  <c r="W85" i="7" s="1"/>
  <c r="L94" i="7"/>
  <c r="L103" i="7"/>
  <c r="L87" i="7"/>
  <c r="L96" i="7"/>
  <c r="L80" i="7"/>
  <c r="K80" i="7" s="1"/>
  <c r="R80" i="7" s="1"/>
  <c r="L105" i="7"/>
  <c r="L89" i="7"/>
  <c r="K89" i="7" s="1"/>
  <c r="R89" i="7" s="1"/>
  <c r="L91" i="7"/>
  <c r="K91" i="7" s="1"/>
  <c r="L93" i="7"/>
  <c r="Q93" i="7" s="1"/>
  <c r="W93" i="7" s="1"/>
  <c r="L102" i="7"/>
  <c r="L86" i="7"/>
  <c r="Q86" i="7" s="1"/>
  <c r="W86" i="7" s="1"/>
  <c r="L95" i="7"/>
  <c r="L104" i="7"/>
  <c r="Q104" i="7" s="1"/>
  <c r="W104" i="7" s="1"/>
  <c r="L88" i="7"/>
  <c r="K88" i="7" s="1"/>
  <c r="R88" i="7" s="1"/>
  <c r="L90" i="7"/>
  <c r="Z858" i="7"/>
  <c r="Z842" i="7"/>
  <c r="Z851" i="7"/>
  <c r="Z835" i="7"/>
  <c r="Z844" i="7"/>
  <c r="Z853" i="7"/>
  <c r="Z837" i="7"/>
  <c r="Z846" i="7"/>
  <c r="Z855" i="7"/>
  <c r="Z839" i="7"/>
  <c r="Z848" i="7"/>
  <c r="Z857" i="7"/>
  <c r="Z841" i="7"/>
  <c r="Z850" i="7"/>
  <c r="Z834" i="7"/>
  <c r="Z859" i="7"/>
  <c r="Z843" i="7"/>
  <c r="Z852" i="7"/>
  <c r="Z836" i="7"/>
  <c r="Z845" i="7"/>
  <c r="Z854" i="7"/>
  <c r="Z838" i="7"/>
  <c r="Z856" i="7"/>
  <c r="Z840" i="7"/>
  <c r="Z849" i="7"/>
  <c r="Z847" i="7"/>
  <c r="Z170" i="7"/>
  <c r="Z179" i="7"/>
  <c r="Z163" i="7"/>
  <c r="Z172" i="7"/>
  <c r="Z171" i="7"/>
  <c r="Z180" i="7"/>
  <c r="Z164" i="7"/>
  <c r="Z159" i="7"/>
  <c r="Z175" i="7"/>
  <c r="Z165" i="7"/>
  <c r="Z181" i="7"/>
  <c r="Z169" i="7"/>
  <c r="Z168" i="7"/>
  <c r="Z158" i="7"/>
  <c r="Z174" i="7"/>
  <c r="Z167" i="7"/>
  <c r="Z162" i="7"/>
  <c r="Z183" i="7"/>
  <c r="Z178" i="7"/>
  <c r="Z173" i="7"/>
  <c r="Z161" i="7"/>
  <c r="Z177" i="7"/>
  <c r="Z160" i="7"/>
  <c r="Z176" i="7"/>
  <c r="Z166" i="7"/>
  <c r="Z182" i="7"/>
  <c r="AB1010" i="7"/>
  <c r="AB994" i="7"/>
  <c r="AB1003" i="7"/>
  <c r="AB1012" i="7"/>
  <c r="AB996" i="7"/>
  <c r="AB1005" i="7"/>
  <c r="AB1014" i="7"/>
  <c r="AB998" i="7"/>
  <c r="AB1007" i="7"/>
  <c r="AB991" i="7"/>
  <c r="AB1000" i="7"/>
  <c r="AB1009" i="7"/>
  <c r="AB993" i="7"/>
  <c r="AB1002" i="7"/>
  <c r="AB1011" i="7"/>
  <c r="AB995" i="7"/>
  <c r="AB1004" i="7"/>
  <c r="AB1006" i="7"/>
  <c r="AB990" i="7"/>
  <c r="AB1008" i="7"/>
  <c r="AB992" i="7"/>
  <c r="AB1001" i="7"/>
  <c r="AB1013" i="7"/>
  <c r="AB997" i="7"/>
  <c r="AB1015" i="7"/>
  <c r="AB999" i="7"/>
  <c r="AB337" i="7"/>
  <c r="AB321" i="7"/>
  <c r="AB330" i="7"/>
  <c r="AB314" i="7"/>
  <c r="AB339" i="7"/>
  <c r="AB323" i="7"/>
  <c r="AB332" i="7"/>
  <c r="AB316" i="7"/>
  <c r="AB325" i="7"/>
  <c r="AB334" i="7"/>
  <c r="AB318" i="7"/>
  <c r="AB327" i="7"/>
  <c r="AB336" i="7"/>
  <c r="AB320" i="7"/>
  <c r="AB329" i="7"/>
  <c r="AB338" i="7"/>
  <c r="AB322" i="7"/>
  <c r="AB331" i="7"/>
  <c r="AB315" i="7"/>
  <c r="AB333" i="7"/>
  <c r="AB317" i="7"/>
  <c r="AB326" i="7"/>
  <c r="AB335" i="7"/>
  <c r="AB319" i="7"/>
  <c r="AB324" i="7"/>
  <c r="AB328" i="7"/>
  <c r="L1195" i="7"/>
  <c r="L1197" i="7"/>
  <c r="L1190" i="7"/>
  <c r="L1191" i="7"/>
  <c r="L1176" i="7"/>
  <c r="L1185" i="7"/>
  <c r="L1178" i="7"/>
  <c r="L1196" i="7"/>
  <c r="L1187" i="7"/>
  <c r="L1180" i="7"/>
  <c r="L1173" i="7"/>
  <c r="L1182" i="7"/>
  <c r="L1175" i="7"/>
  <c r="Q1175" i="7" s="1"/>
  <c r="W1175" i="7" s="1"/>
  <c r="L1194" i="7"/>
  <c r="K1194" i="7" s="1"/>
  <c r="L1189" i="7"/>
  <c r="L1184" i="7"/>
  <c r="L1177" i="7"/>
  <c r="K1177" i="7" s="1"/>
  <c r="L1192" i="7"/>
  <c r="L1172" i="7"/>
  <c r="L1188" i="7"/>
  <c r="L1174" i="7"/>
  <c r="L1183" i="7"/>
  <c r="L1186" i="7"/>
  <c r="L1181" i="7"/>
  <c r="L1193" i="7"/>
  <c r="L1179" i="7"/>
  <c r="L516" i="7"/>
  <c r="L517" i="7"/>
  <c r="L519" i="7"/>
  <c r="L521" i="7"/>
  <c r="L502" i="7"/>
  <c r="L511" i="7"/>
  <c r="L504" i="7"/>
  <c r="K504" i="7" s="1"/>
  <c r="R504" i="7" s="1"/>
  <c r="L520" i="7"/>
  <c r="L515" i="7"/>
  <c r="L497" i="7"/>
  <c r="L514" i="7"/>
  <c r="L506" i="7"/>
  <c r="L499" i="7"/>
  <c r="L508" i="7"/>
  <c r="L513" i="7"/>
  <c r="L501" i="7"/>
  <c r="L510" i="7"/>
  <c r="L503" i="7"/>
  <c r="L496" i="7"/>
  <c r="L512" i="7"/>
  <c r="L505" i="7"/>
  <c r="L518" i="7"/>
  <c r="Q518" i="7" s="1"/>
  <c r="L498" i="7"/>
  <c r="Q498" i="7" s="1"/>
  <c r="L507" i="7"/>
  <c r="L500" i="7"/>
  <c r="L509" i="7"/>
  <c r="AA1345" i="7"/>
  <c r="AA1329" i="7"/>
  <c r="AA1349" i="7"/>
  <c r="AA1342" i="7"/>
  <c r="AA1351" i="7"/>
  <c r="AA1335" i="7"/>
  <c r="AA1339" i="7"/>
  <c r="AA1348" i="7"/>
  <c r="AA1343" i="7"/>
  <c r="AA1328" i="7"/>
  <c r="AA1347" i="7"/>
  <c r="AA1346" i="7"/>
  <c r="AA1353" i="7"/>
  <c r="AA1352" i="7"/>
  <c r="AA1336" i="7"/>
  <c r="AA1350" i="7"/>
  <c r="AA1331" i="7"/>
  <c r="AA1344" i="7"/>
  <c r="AA1330" i="7"/>
  <c r="AA1334" i="7"/>
  <c r="AA1341" i="7"/>
  <c r="AA1338" i="7"/>
  <c r="AA1333" i="7"/>
  <c r="AA1337" i="7"/>
  <c r="AA1332" i="7"/>
  <c r="AA1340" i="7"/>
  <c r="AA674" i="7"/>
  <c r="AA658" i="7"/>
  <c r="AA676" i="7"/>
  <c r="AA660" i="7"/>
  <c r="AA669" i="7"/>
  <c r="AA653" i="7"/>
  <c r="AA662" i="7"/>
  <c r="AA671" i="7"/>
  <c r="AA655" i="7"/>
  <c r="AA673" i="7"/>
  <c r="AA675" i="7"/>
  <c r="AA668" i="7"/>
  <c r="AA652" i="7"/>
  <c r="AA670" i="7"/>
  <c r="AA654" i="7"/>
  <c r="AA677" i="7"/>
  <c r="AA665" i="7"/>
  <c r="AA664" i="7"/>
  <c r="AA663" i="7"/>
  <c r="AA661" i="7"/>
  <c r="AA666" i="7"/>
  <c r="AA659" i="7"/>
  <c r="AA667" i="7"/>
  <c r="AA672" i="7"/>
  <c r="AA657" i="7"/>
  <c r="AA656" i="7"/>
  <c r="Z1193" i="7"/>
  <c r="Z1195" i="7"/>
  <c r="Z1188" i="7"/>
  <c r="Z1174" i="7"/>
  <c r="Z1183" i="7"/>
  <c r="Z1192" i="7"/>
  <c r="Z1176" i="7"/>
  <c r="Z1185" i="7"/>
  <c r="Z1197" i="7"/>
  <c r="Z1178" i="7"/>
  <c r="Z1191" i="7"/>
  <c r="Z1180" i="7"/>
  <c r="Z1187" i="7"/>
  <c r="Z1173" i="7"/>
  <c r="Z1196" i="7"/>
  <c r="Z1190" i="7"/>
  <c r="Z1182" i="7"/>
  <c r="Z1175" i="7"/>
  <c r="Z1189" i="7"/>
  <c r="Z1194" i="7"/>
  <c r="Z1172" i="7"/>
  <c r="Z1181" i="7"/>
  <c r="Z1177" i="7"/>
  <c r="Z1179" i="7"/>
  <c r="Z1184" i="7"/>
  <c r="Z1186" i="7"/>
  <c r="Z514" i="7"/>
  <c r="Z515" i="7"/>
  <c r="Z517" i="7"/>
  <c r="Z512" i="7"/>
  <c r="Z500" i="7"/>
  <c r="Z509" i="7"/>
  <c r="Z502" i="7"/>
  <c r="Z511" i="7"/>
  <c r="Z504" i="7"/>
  <c r="Z497" i="7"/>
  <c r="Z506" i="7"/>
  <c r="Z516" i="7"/>
  <c r="Z499" i="7"/>
  <c r="Z521" i="7"/>
  <c r="Z508" i="7"/>
  <c r="Z520" i="7"/>
  <c r="Z501" i="7"/>
  <c r="Z510" i="7"/>
  <c r="Z519" i="7"/>
  <c r="Z503" i="7"/>
  <c r="Z496" i="7"/>
  <c r="Z513" i="7"/>
  <c r="Z505" i="7"/>
  <c r="Z498" i="7"/>
  <c r="Z518" i="7"/>
  <c r="Z507" i="7"/>
  <c r="AA775" i="7"/>
  <c r="AA759" i="7"/>
  <c r="AA768" i="7"/>
  <c r="AA777" i="7"/>
  <c r="AA761" i="7"/>
  <c r="AA770" i="7"/>
  <c r="AA779" i="7"/>
  <c r="AA763" i="7"/>
  <c r="AA772" i="7"/>
  <c r="AA756" i="7"/>
  <c r="AA781" i="7"/>
  <c r="AA765" i="7"/>
  <c r="AA774" i="7"/>
  <c r="AA758" i="7"/>
  <c r="AA767" i="7"/>
  <c r="AA776" i="7"/>
  <c r="AA760" i="7"/>
  <c r="AA778" i="7"/>
  <c r="AA762" i="7"/>
  <c r="AA780" i="7"/>
  <c r="AA764" i="7"/>
  <c r="AA773" i="7"/>
  <c r="AA757" i="7"/>
  <c r="AA769" i="7"/>
  <c r="AA771" i="7"/>
  <c r="AA766" i="7"/>
  <c r="AA99" i="7"/>
  <c r="AA92" i="7"/>
  <c r="AA101" i="7"/>
  <c r="AA85" i="7"/>
  <c r="AA94" i="7"/>
  <c r="AA103" i="7"/>
  <c r="AA87" i="7"/>
  <c r="AA96" i="7"/>
  <c r="AA80" i="7"/>
  <c r="AA98" i="7"/>
  <c r="AA82" i="7"/>
  <c r="AA100" i="7"/>
  <c r="AA84" i="7"/>
  <c r="AA93" i="7"/>
  <c r="AA102" i="7"/>
  <c r="AA86" i="7"/>
  <c r="AA95" i="7"/>
  <c r="AA97" i="7"/>
  <c r="AA81" i="7"/>
  <c r="L1026" i="7"/>
  <c r="L1035" i="7"/>
  <c r="L1019" i="7"/>
  <c r="L1028" i="7"/>
  <c r="L1037" i="7"/>
  <c r="L1021" i="7"/>
  <c r="L1030" i="7"/>
  <c r="Q1030" i="7" s="1"/>
  <c r="W1030" i="7" s="1"/>
  <c r="L1039" i="7"/>
  <c r="K1039" i="7" s="1"/>
  <c r="R1039" i="7" s="1"/>
  <c r="L1023" i="7"/>
  <c r="Q1023" i="7" s="1"/>
  <c r="W1023" i="7" s="1"/>
  <c r="L1032" i="7"/>
  <c r="L1016" i="7"/>
  <c r="L1041" i="7"/>
  <c r="L1025" i="7"/>
  <c r="L1034" i="7"/>
  <c r="L1018" i="7"/>
  <c r="L1027" i="7"/>
  <c r="L1036" i="7"/>
  <c r="L1020" i="7"/>
  <c r="L1038" i="7"/>
  <c r="L1022" i="7"/>
  <c r="L1040" i="7"/>
  <c r="L1024" i="7"/>
  <c r="L1033" i="7"/>
  <c r="Q1033" i="7" s="1"/>
  <c r="W1033" i="7" s="1"/>
  <c r="L1017" i="7"/>
  <c r="K1017" i="7" s="1"/>
  <c r="R1017" i="7" s="1"/>
  <c r="L1031" i="7"/>
  <c r="Q1031" i="7" s="1"/>
  <c r="W1031" i="7" s="1"/>
  <c r="L1029" i="7"/>
  <c r="L361" i="7"/>
  <c r="L345" i="7"/>
  <c r="L363" i="7"/>
  <c r="L356" i="7"/>
  <c r="L365" i="7"/>
  <c r="L358" i="7"/>
  <c r="L351" i="7"/>
  <c r="L360" i="7"/>
  <c r="L362" i="7"/>
  <c r="L346" i="7"/>
  <c r="L355" i="7"/>
  <c r="K355" i="7" s="1"/>
  <c r="L364" i="7"/>
  <c r="L359" i="7"/>
  <c r="Q359" i="7" s="1"/>
  <c r="W359" i="7" s="1"/>
  <c r="L344" i="7"/>
  <c r="L353" i="7"/>
  <c r="L357" i="7"/>
  <c r="L347" i="7"/>
  <c r="L341" i="7"/>
  <c r="L352" i="7"/>
  <c r="L343" i="7"/>
  <c r="L350" i="7"/>
  <c r="Q350" i="7" s="1"/>
  <c r="W350" i="7" s="1"/>
  <c r="L349" i="7"/>
  <c r="L342" i="7"/>
  <c r="L348" i="7"/>
  <c r="L354" i="7"/>
  <c r="L340" i="7"/>
  <c r="AB1274" i="7"/>
  <c r="AB1260" i="7"/>
  <c r="AB1269" i="7"/>
  <c r="AB1253" i="7"/>
  <c r="AB1262" i="7"/>
  <c r="AB1268" i="7"/>
  <c r="AB1250" i="7"/>
  <c r="AB1266" i="7"/>
  <c r="AB1270" i="7"/>
  <c r="AB1257" i="7"/>
  <c r="AB1265" i="7"/>
  <c r="AB1275" i="7"/>
  <c r="AB1261" i="7"/>
  <c r="AB1256" i="7"/>
  <c r="AB1273" i="7"/>
  <c r="AB1264" i="7"/>
  <c r="AB1252" i="7"/>
  <c r="AB1272" i="7"/>
  <c r="AB1255" i="7"/>
  <c r="AB1254" i="7"/>
  <c r="AB1267" i="7"/>
  <c r="AB1258" i="7"/>
  <c r="AB1263" i="7"/>
  <c r="AB1259" i="7"/>
  <c r="AB1251" i="7"/>
  <c r="AB1271" i="7"/>
  <c r="AB596" i="7"/>
  <c r="AB580" i="7"/>
  <c r="AB589" i="7"/>
  <c r="AB598" i="7"/>
  <c r="AB582" i="7"/>
  <c r="AB588" i="7"/>
  <c r="AB597" i="7"/>
  <c r="AB599" i="7"/>
  <c r="AB583" i="7"/>
  <c r="AB587" i="7"/>
  <c r="AB586" i="7"/>
  <c r="AB581" i="7"/>
  <c r="AB591" i="7"/>
  <c r="AB585" i="7"/>
  <c r="AB575" i="7"/>
  <c r="AB584" i="7"/>
  <c r="AB590" i="7"/>
  <c r="AB579" i="7"/>
  <c r="AB578" i="7"/>
  <c r="AB577" i="7"/>
  <c r="AB594" i="7"/>
  <c r="AB595" i="7"/>
  <c r="AB574" i="7"/>
  <c r="AB593" i="7"/>
  <c r="AB592" i="7"/>
  <c r="AB576" i="7"/>
  <c r="X2" i="5"/>
  <c r="L807" i="7"/>
  <c r="L791" i="7"/>
  <c r="L800" i="7"/>
  <c r="L784" i="7"/>
  <c r="L793" i="7"/>
  <c r="L802" i="7"/>
  <c r="K802" i="7" s="1"/>
  <c r="R802" i="7" s="1"/>
  <c r="L786" i="7"/>
  <c r="K786" i="7" s="1"/>
  <c r="R786" i="7" s="1"/>
  <c r="L795" i="7"/>
  <c r="L804" i="7"/>
  <c r="L788" i="7"/>
  <c r="K788" i="7" s="1"/>
  <c r="L797" i="7"/>
  <c r="K797" i="7" s="1"/>
  <c r="L806" i="7"/>
  <c r="L790" i="7"/>
  <c r="L799" i="7"/>
  <c r="K799" i="7" s="1"/>
  <c r="R799" i="7" s="1"/>
  <c r="L783" i="7"/>
  <c r="K783" i="7" s="1"/>
  <c r="R783" i="7" s="1"/>
  <c r="L792" i="7"/>
  <c r="K792" i="7" s="1"/>
  <c r="L801" i="7"/>
  <c r="L785" i="7"/>
  <c r="K785" i="7" s="1"/>
  <c r="L803" i="7"/>
  <c r="K803" i="7" s="1"/>
  <c r="L787" i="7"/>
  <c r="L805" i="7"/>
  <c r="L789" i="7"/>
  <c r="K789" i="7" s="1"/>
  <c r="L798" i="7"/>
  <c r="K798" i="7" s="1"/>
  <c r="L782" i="7"/>
  <c r="L796" i="7"/>
  <c r="L794" i="7"/>
  <c r="L124" i="7"/>
  <c r="K124" i="7" s="1"/>
  <c r="L108" i="7"/>
  <c r="L117" i="7"/>
  <c r="L126" i="7"/>
  <c r="K126" i="7" s="1"/>
  <c r="R126" i="7" s="1"/>
  <c r="L110" i="7"/>
  <c r="K110" i="7" s="1"/>
  <c r="R110" i="7" s="1"/>
  <c r="L119" i="7"/>
  <c r="K119" i="7" s="1"/>
  <c r="R119" i="7" s="1"/>
  <c r="L128" i="7"/>
  <c r="L112" i="7"/>
  <c r="K112" i="7" s="1"/>
  <c r="L121" i="7"/>
  <c r="L123" i="7"/>
  <c r="K123" i="7" s="1"/>
  <c r="L107" i="7"/>
  <c r="L125" i="7"/>
  <c r="K125" i="7" s="1"/>
  <c r="R125" i="7" s="1"/>
  <c r="L109" i="7"/>
  <c r="K109" i="7" s="1"/>
  <c r="L118" i="7"/>
  <c r="L127" i="7"/>
  <c r="L111" i="7"/>
  <c r="L120" i="7"/>
  <c r="K120" i="7" s="1"/>
  <c r="R120" i="7" s="1"/>
  <c r="L129" i="7"/>
  <c r="L113" i="7"/>
  <c r="L122" i="7"/>
  <c r="K122" i="7" s="1"/>
  <c r="L106" i="7"/>
  <c r="K106" i="7" s="1"/>
  <c r="L131" i="7"/>
  <c r="K131" i="7" s="1"/>
  <c r="Z874" i="7"/>
  <c r="Z879" i="7"/>
  <c r="Z867" i="7"/>
  <c r="Z860" i="7"/>
  <c r="Z876" i="7"/>
  <c r="Z869" i="7"/>
  <c r="Z884" i="7"/>
  <c r="Z881" i="7"/>
  <c r="Z862" i="7"/>
  <c r="Z871" i="7"/>
  <c r="Z864" i="7"/>
  <c r="Z878" i="7"/>
  <c r="Z873" i="7"/>
  <c r="Z866" i="7"/>
  <c r="Z883" i="7"/>
  <c r="Z875" i="7"/>
  <c r="Z868" i="7"/>
  <c r="Z880" i="7"/>
  <c r="Z861" i="7"/>
  <c r="Z870" i="7"/>
  <c r="Z882" i="7"/>
  <c r="Z872" i="7"/>
  <c r="Z885" i="7"/>
  <c r="Z865" i="7"/>
  <c r="Z877" i="7"/>
  <c r="Z863" i="7"/>
  <c r="Z209" i="7"/>
  <c r="Z193" i="7"/>
  <c r="Z202" i="7"/>
  <c r="Z186" i="7"/>
  <c r="Z195" i="7"/>
  <c r="Z204" i="7"/>
  <c r="Z188" i="7"/>
  <c r="Z201" i="7"/>
  <c r="Z203" i="7"/>
  <c r="Z187" i="7"/>
  <c r="Z196" i="7"/>
  <c r="Z205" i="7"/>
  <c r="Z194" i="7"/>
  <c r="Z192" i="7"/>
  <c r="Z185" i="7"/>
  <c r="Z200" i="7"/>
  <c r="Z184" i="7"/>
  <c r="Z199" i="7"/>
  <c r="Z191" i="7"/>
  <c r="Z198" i="7"/>
  <c r="Z208" i="7"/>
  <c r="Z190" i="7"/>
  <c r="Z207" i="7"/>
  <c r="Z197" i="7"/>
  <c r="Z189" i="7"/>
  <c r="Z206" i="7"/>
  <c r="AA951" i="7"/>
  <c r="AA953" i="7"/>
  <c r="AA962" i="7"/>
  <c r="AA946" i="7"/>
  <c r="AA955" i="7"/>
  <c r="AA939" i="7"/>
  <c r="AA948" i="7"/>
  <c r="AA957" i="7"/>
  <c r="AA941" i="7"/>
  <c r="AA950" i="7"/>
  <c r="AA959" i="7"/>
  <c r="AA943" i="7"/>
  <c r="AA952" i="7"/>
  <c r="AA961" i="7"/>
  <c r="AA945" i="7"/>
  <c r="AA954" i="7"/>
  <c r="AA938" i="7"/>
  <c r="AA963" i="7"/>
  <c r="AA947" i="7"/>
  <c r="AA949" i="7"/>
  <c r="AA944" i="7"/>
  <c r="AA960" i="7"/>
  <c r="AA940" i="7"/>
  <c r="AA956" i="7"/>
  <c r="AA942" i="7"/>
  <c r="AA958" i="7"/>
  <c r="AA280" i="7"/>
  <c r="AA264" i="7"/>
  <c r="AA273" i="7"/>
  <c r="AA282" i="7"/>
  <c r="AA266" i="7"/>
  <c r="AA275" i="7"/>
  <c r="AA284" i="7"/>
  <c r="AA268" i="7"/>
  <c r="AA277" i="7"/>
  <c r="AA279" i="7"/>
  <c r="AA263" i="7"/>
  <c r="AA272" i="7"/>
  <c r="AA281" i="7"/>
  <c r="AA265" i="7"/>
  <c r="AA274" i="7"/>
  <c r="AA276" i="7"/>
  <c r="AA285" i="7"/>
  <c r="AA269" i="7"/>
  <c r="AA278" i="7"/>
  <c r="AA262" i="7"/>
  <c r="AA287" i="7"/>
  <c r="AA267" i="7"/>
  <c r="AA283" i="7"/>
  <c r="AA270" i="7"/>
  <c r="AA286" i="7"/>
  <c r="AA271" i="7"/>
  <c r="AB1026" i="7"/>
  <c r="AB1035" i="7"/>
  <c r="AB1019" i="7"/>
  <c r="AB1028" i="7"/>
  <c r="AB1037" i="7"/>
  <c r="AB1021" i="7"/>
  <c r="AB1030" i="7"/>
  <c r="AB1039" i="7"/>
  <c r="AB1023" i="7"/>
  <c r="AB1032" i="7"/>
  <c r="AB1016" i="7"/>
  <c r="AB1041" i="7"/>
  <c r="AB1025" i="7"/>
  <c r="AB1034" i="7"/>
  <c r="AB1018" i="7"/>
  <c r="AB1027" i="7"/>
  <c r="AB1036" i="7"/>
  <c r="AB1020" i="7"/>
  <c r="AB1038" i="7"/>
  <c r="AB1022" i="7"/>
  <c r="AB1040" i="7"/>
  <c r="AB1024" i="7"/>
  <c r="AB1033" i="7"/>
  <c r="AB1017" i="7"/>
  <c r="AB1029" i="7"/>
  <c r="AB1031" i="7"/>
  <c r="AB361" i="7"/>
  <c r="AB345" i="7"/>
  <c r="AB363" i="7"/>
  <c r="AB356" i="7"/>
  <c r="AB365" i="7"/>
  <c r="AB358" i="7"/>
  <c r="AB351" i="7"/>
  <c r="AB360" i="7"/>
  <c r="AB362" i="7"/>
  <c r="AB346" i="7"/>
  <c r="AB355" i="7"/>
  <c r="AB364" i="7"/>
  <c r="AB359" i="7"/>
  <c r="AB348" i="7"/>
  <c r="AB344" i="7"/>
  <c r="AB341" i="7"/>
  <c r="AB347" i="7"/>
  <c r="AB354" i="7"/>
  <c r="AB353" i="7"/>
  <c r="AB343" i="7"/>
  <c r="AB352" i="7"/>
  <c r="AB357" i="7"/>
  <c r="AB350" i="7"/>
  <c r="AB342" i="7"/>
  <c r="AB349" i="7"/>
  <c r="AB340" i="7"/>
  <c r="X18" i="5"/>
  <c r="L1218" i="7"/>
  <c r="K1218" i="7" s="1"/>
  <c r="R1218" i="7" s="1"/>
  <c r="L1202" i="7"/>
  <c r="K1202" i="7" s="1"/>
  <c r="R1202" i="7" s="1"/>
  <c r="L1211" i="7"/>
  <c r="L1220" i="7"/>
  <c r="L1204" i="7"/>
  <c r="L1213" i="7"/>
  <c r="L1222" i="7"/>
  <c r="L1206" i="7"/>
  <c r="K1206" i="7" s="1"/>
  <c r="L1215" i="7"/>
  <c r="K1215" i="7" s="1"/>
  <c r="L1217" i="7"/>
  <c r="K1217" i="7" s="1"/>
  <c r="L1210" i="7"/>
  <c r="L1221" i="7"/>
  <c r="K1221" i="7" s="1"/>
  <c r="L1223" i="7"/>
  <c r="L1207" i="7"/>
  <c r="K1207" i="7" s="1"/>
  <c r="L1209" i="7"/>
  <c r="L1203" i="7"/>
  <c r="K1203" i="7" s="1"/>
  <c r="L1201" i="7"/>
  <c r="K1201" i="7" s="1"/>
  <c r="L1219" i="7"/>
  <c r="K1219" i="7" s="1"/>
  <c r="R1219" i="7" s="1"/>
  <c r="L1212" i="7"/>
  <c r="L1200" i="7"/>
  <c r="L1199" i="7"/>
  <c r="K1199" i="7" s="1"/>
  <c r="L1216" i="7"/>
  <c r="L1208" i="7"/>
  <c r="K1208" i="7" s="1"/>
  <c r="L1214" i="7"/>
  <c r="L1198" i="7"/>
  <c r="L1205" i="7"/>
  <c r="L546" i="7"/>
  <c r="K546" i="7" s="1"/>
  <c r="R546" i="7" s="1"/>
  <c r="L539" i="7"/>
  <c r="K539" i="7" s="1"/>
  <c r="L532" i="7"/>
  <c r="L541" i="7"/>
  <c r="L525" i="7"/>
  <c r="L534" i="7"/>
  <c r="L543" i="7"/>
  <c r="K543" i="7" s="1"/>
  <c r="L527" i="7"/>
  <c r="K527" i="7" s="1"/>
  <c r="R527" i="7" s="1"/>
  <c r="L545" i="7"/>
  <c r="K545" i="7" s="1"/>
  <c r="L538" i="7"/>
  <c r="L547" i="7"/>
  <c r="K547" i="7" s="1"/>
  <c r="R547" i="7" s="1"/>
  <c r="L540" i="7"/>
  <c r="L524" i="7"/>
  <c r="L533" i="7"/>
  <c r="K533" i="7" s="1"/>
  <c r="L542" i="7"/>
  <c r="K542" i="7" s="1"/>
  <c r="L526" i="7"/>
  <c r="L535" i="7"/>
  <c r="K535" i="7" s="1"/>
  <c r="R535" i="7" s="1"/>
  <c r="L544" i="7"/>
  <c r="K544" i="7" s="1"/>
  <c r="L537" i="7"/>
  <c r="K537" i="7" s="1"/>
  <c r="L536" i="7"/>
  <c r="K536" i="7" s="1"/>
  <c r="L530" i="7"/>
  <c r="L531" i="7"/>
  <c r="L529" i="7"/>
  <c r="K529" i="7" s="1"/>
  <c r="L528" i="7"/>
  <c r="K528" i="7" s="1"/>
  <c r="L522" i="7"/>
  <c r="K522" i="7" s="1"/>
  <c r="R522" i="7" s="1"/>
  <c r="L523" i="7"/>
  <c r="Z1300" i="7"/>
  <c r="Z1293" i="7"/>
  <c r="Z1277" i="7"/>
  <c r="Z1286" i="7"/>
  <c r="Z1295" i="7"/>
  <c r="Z1279" i="7"/>
  <c r="Z1288" i="7"/>
  <c r="Z1297" i="7"/>
  <c r="Z1281" i="7"/>
  <c r="Z1290" i="7"/>
  <c r="Z1299" i="7"/>
  <c r="Z1283" i="7"/>
  <c r="Z1292" i="7"/>
  <c r="Z1276" i="7"/>
  <c r="Z1301" i="7"/>
  <c r="Z1285" i="7"/>
  <c r="Z1296" i="7"/>
  <c r="Z1280" i="7"/>
  <c r="Z1298" i="7"/>
  <c r="Z1282" i="7"/>
  <c r="Z1287" i="7"/>
  <c r="Z1278" i="7"/>
  <c r="Z1289" i="7"/>
  <c r="Z1294" i="7"/>
  <c r="Z1284" i="7"/>
  <c r="Z1291" i="7"/>
  <c r="Z610" i="7"/>
  <c r="Z619" i="7"/>
  <c r="Z603" i="7"/>
  <c r="Z612" i="7"/>
  <c r="Z621" i="7"/>
  <c r="Z605" i="7"/>
  <c r="Z618" i="7"/>
  <c r="Z602" i="7"/>
  <c r="Z611" i="7"/>
  <c r="Z620" i="7"/>
  <c r="Z604" i="7"/>
  <c r="Z613" i="7"/>
  <c r="Z614" i="7"/>
  <c r="Z609" i="7"/>
  <c r="Z608" i="7"/>
  <c r="Z607" i="7"/>
  <c r="Z625" i="7"/>
  <c r="Z606" i="7"/>
  <c r="Z601" i="7"/>
  <c r="Z624" i="7"/>
  <c r="Z600" i="7"/>
  <c r="Z623" i="7"/>
  <c r="Z622" i="7"/>
  <c r="Z617" i="7"/>
  <c r="Z616" i="7"/>
  <c r="Z615" i="7"/>
  <c r="Z8" i="7"/>
  <c r="L10" i="7"/>
  <c r="AB10" i="7"/>
  <c r="AA17" i="7"/>
  <c r="Z24" i="7"/>
  <c r="L26" i="7"/>
  <c r="AB26" i="7"/>
  <c r="AA33" i="7"/>
  <c r="Z39" i="7"/>
  <c r="O41" i="7"/>
  <c r="Z43" i="7"/>
  <c r="P49" i="7"/>
  <c r="L51" i="7"/>
  <c r="L52" i="7"/>
  <c r="Z66" i="7"/>
  <c r="AA67" i="7"/>
  <c r="AB76" i="7"/>
  <c r="L92" i="7"/>
  <c r="K92" i="7" s="1"/>
  <c r="R92" i="7" s="1"/>
  <c r="L99" i="7"/>
  <c r="Q99" i="7" s="1"/>
  <c r="W99" i="7" s="1"/>
  <c r="Z113" i="7"/>
  <c r="Z128" i="7"/>
  <c r="AB132" i="7"/>
  <c r="P192" i="7"/>
  <c r="O192" i="7"/>
  <c r="P221" i="7"/>
  <c r="Q221" i="7" s="1"/>
  <c r="W221" i="7" s="1"/>
  <c r="O221" i="7"/>
  <c r="Q226" i="7"/>
  <c r="W226" i="7" s="1"/>
  <c r="Q258" i="7"/>
  <c r="W258" i="7" s="1"/>
  <c r="Q259" i="7"/>
  <c r="W259" i="7" s="1"/>
  <c r="P294" i="7"/>
  <c r="Q294" i="7" s="1"/>
  <c r="W294" i="7" s="1"/>
  <c r="O294" i="7"/>
  <c r="Q317" i="7"/>
  <c r="W317" i="7" s="1"/>
  <c r="Q378" i="7"/>
  <c r="Q638" i="7"/>
  <c r="W638" i="7" s="1"/>
  <c r="P185" i="7"/>
  <c r="Q185" i="7" s="1"/>
  <c r="W185" i="7" s="1"/>
  <c r="O185" i="7"/>
  <c r="Q227" i="7"/>
  <c r="W227" i="7" s="1"/>
  <c r="Q269" i="7"/>
  <c r="W269" i="7" s="1"/>
  <c r="Q280" i="7"/>
  <c r="W280" i="7" s="1"/>
  <c r="O124" i="7"/>
  <c r="O140" i="7"/>
  <c r="O156" i="7"/>
  <c r="P169" i="7"/>
  <c r="Q169" i="7" s="1"/>
  <c r="W169" i="7" s="1"/>
  <c r="O169" i="7"/>
  <c r="Q179" i="7"/>
  <c r="W179" i="7" s="1"/>
  <c r="P184" i="7"/>
  <c r="Q201" i="7"/>
  <c r="W201" i="7" s="1"/>
  <c r="Q238" i="7"/>
  <c r="W238" i="7" s="1"/>
  <c r="Q242" i="7"/>
  <c r="W242" i="7" s="1"/>
  <c r="Q243" i="7"/>
  <c r="W243" i="7" s="1"/>
  <c r="Q263" i="7"/>
  <c r="W263" i="7" s="1"/>
  <c r="Q298" i="7"/>
  <c r="W298" i="7" s="1"/>
  <c r="Q300" i="7"/>
  <c r="W300" i="7" s="1"/>
  <c r="Q333" i="7"/>
  <c r="W333" i="7" s="1"/>
  <c r="Q422" i="7"/>
  <c r="W422" i="7" s="1"/>
  <c r="O131" i="7"/>
  <c r="O147" i="7"/>
  <c r="Q163" i="7"/>
  <c r="W163" i="7" s="1"/>
  <c r="P168" i="7"/>
  <c r="Q168" i="7" s="1"/>
  <c r="W168" i="7" s="1"/>
  <c r="O181" i="7"/>
  <c r="O226" i="7"/>
  <c r="O258" i="7"/>
  <c r="P278" i="7"/>
  <c r="Q278" i="7" s="1"/>
  <c r="W278" i="7" s="1"/>
  <c r="O278" i="7"/>
  <c r="O106" i="7"/>
  <c r="O122" i="7"/>
  <c r="R122" i="7" s="1"/>
  <c r="O138" i="7"/>
  <c r="O154" i="7"/>
  <c r="O165" i="7"/>
  <c r="Q170" i="7"/>
  <c r="W170" i="7" s="1"/>
  <c r="O175" i="7"/>
  <c r="O205" i="7"/>
  <c r="Q247" i="7"/>
  <c r="W247" i="7" s="1"/>
  <c r="Q253" i="7"/>
  <c r="W253" i="7" s="1"/>
  <c r="Q264" i="7"/>
  <c r="W264" i="7" s="1"/>
  <c r="Q288" i="7"/>
  <c r="W288" i="7" s="1"/>
  <c r="P293" i="7"/>
  <c r="Q293" i="7" s="1"/>
  <c r="W293" i="7" s="1"/>
  <c r="O293" i="7"/>
  <c r="Q299" i="7"/>
  <c r="W299" i="7" s="1"/>
  <c r="Q303" i="7"/>
  <c r="W303" i="7" s="1"/>
  <c r="Q320" i="7"/>
  <c r="W320" i="7" s="1"/>
  <c r="O129" i="7"/>
  <c r="O145" i="7"/>
  <c r="O159" i="7"/>
  <c r="P176" i="7"/>
  <c r="Q176" i="7" s="1"/>
  <c r="W176" i="7" s="1"/>
  <c r="O176" i="7"/>
  <c r="P200" i="7"/>
  <c r="Q200" i="7" s="1"/>
  <c r="W200" i="7" s="1"/>
  <c r="Q218" i="7"/>
  <c r="W218" i="7" s="1"/>
  <c r="O242" i="7"/>
  <c r="Q282" i="7"/>
  <c r="W282" i="7" s="1"/>
  <c r="Q311" i="7"/>
  <c r="W311" i="7" s="1"/>
  <c r="Q312" i="7"/>
  <c r="W312" i="7" s="1"/>
  <c r="Q389" i="7"/>
  <c r="P160" i="7"/>
  <c r="O160" i="7"/>
  <c r="Q237" i="7"/>
  <c r="W237" i="7" s="1"/>
  <c r="Q248" i="7"/>
  <c r="W248" i="7" s="1"/>
  <c r="P262" i="7"/>
  <c r="Q262" i="7" s="1"/>
  <c r="W262" i="7" s="1"/>
  <c r="O262" i="7"/>
  <c r="Q336" i="7"/>
  <c r="W336" i="7" s="1"/>
  <c r="Q345" i="7"/>
  <c r="W345" i="7" s="1"/>
  <c r="Q393" i="7"/>
  <c r="W393" i="7" s="1"/>
  <c r="Q219" i="7"/>
  <c r="W219" i="7" s="1"/>
  <c r="Q231" i="7"/>
  <c r="W231" i="7" s="1"/>
  <c r="P277" i="7"/>
  <c r="Q277" i="7" s="1"/>
  <c r="W277" i="7" s="1"/>
  <c r="O277" i="7"/>
  <c r="Q287" i="7"/>
  <c r="W287" i="7" s="1"/>
  <c r="Q297" i="7"/>
  <c r="W297" i="7" s="1"/>
  <c r="Q302" i="7"/>
  <c r="W302" i="7" s="1"/>
  <c r="Q307" i="7"/>
  <c r="W307" i="7" s="1"/>
  <c r="Q319" i="7"/>
  <c r="W319" i="7" s="1"/>
  <c r="Q327" i="7"/>
  <c r="W327" i="7" s="1"/>
  <c r="Q328" i="7"/>
  <c r="W328" i="7" s="1"/>
  <c r="Q352" i="7"/>
  <c r="W352" i="7" s="1"/>
  <c r="Q494" i="7"/>
  <c r="P246" i="7"/>
  <c r="Q246" i="7" s="1"/>
  <c r="W246" i="7" s="1"/>
  <c r="O246" i="7"/>
  <c r="Q266" i="7"/>
  <c r="W266" i="7" s="1"/>
  <c r="Q268" i="7"/>
  <c r="W268" i="7" s="1"/>
  <c r="Q316" i="7"/>
  <c r="W316" i="7" s="1"/>
  <c r="P177" i="7"/>
  <c r="Q177" i="7" s="1"/>
  <c r="W177" i="7" s="1"/>
  <c r="O177" i="7"/>
  <c r="Q187" i="7"/>
  <c r="W187" i="7" s="1"/>
  <c r="O197" i="7"/>
  <c r="Q217" i="7"/>
  <c r="W217" i="7" s="1"/>
  <c r="P230" i="7"/>
  <c r="Q230" i="7" s="1"/>
  <c r="W230" i="7" s="1"/>
  <c r="O230" i="7"/>
  <c r="Q314" i="7"/>
  <c r="W314" i="7" s="1"/>
  <c r="Q323" i="7"/>
  <c r="W323" i="7" s="1"/>
  <c r="Q335" i="7"/>
  <c r="W335" i="7" s="1"/>
  <c r="Q343" i="7"/>
  <c r="W343" i="7" s="1"/>
  <c r="O52" i="7"/>
  <c r="O68" i="7"/>
  <c r="O84" i="7"/>
  <c r="O100" i="7"/>
  <c r="O132" i="7"/>
  <c r="O148" i="7"/>
  <c r="P161" i="7"/>
  <c r="Q161" i="7" s="1"/>
  <c r="W161" i="7" s="1"/>
  <c r="O161" i="7"/>
  <c r="P208" i="7"/>
  <c r="Q208" i="7" s="1"/>
  <c r="W208" i="7" s="1"/>
  <c r="O208" i="7"/>
  <c r="P214" i="7"/>
  <c r="Q214" i="7" s="1"/>
  <c r="W214" i="7" s="1"/>
  <c r="O214" i="7"/>
  <c r="P215" i="7"/>
  <c r="Q215" i="7" s="1"/>
  <c r="W215" i="7" s="1"/>
  <c r="O215" i="7"/>
  <c r="Q256" i="7"/>
  <c r="W256" i="7" s="1"/>
  <c r="P261" i="7"/>
  <c r="Q261" i="7" s="1"/>
  <c r="W261" i="7" s="1"/>
  <c r="O261" i="7"/>
  <c r="Q281" i="7"/>
  <c r="W281" i="7" s="1"/>
  <c r="Q286" i="7"/>
  <c r="W286" i="7" s="1"/>
  <c r="Q290" i="7"/>
  <c r="W290" i="7" s="1"/>
  <c r="Q291" i="7"/>
  <c r="W291" i="7" s="1"/>
  <c r="O306" i="7"/>
  <c r="P310" i="7"/>
  <c r="Q310" i="7" s="1"/>
  <c r="W310" i="7" s="1"/>
  <c r="O310" i="7"/>
  <c r="Q315" i="7"/>
  <c r="W315" i="7" s="1"/>
  <c r="P322" i="7"/>
  <c r="Q322" i="7" s="1"/>
  <c r="W322" i="7" s="1"/>
  <c r="O322" i="7"/>
  <c r="Q332" i="7"/>
  <c r="W332" i="7" s="1"/>
  <c r="Q351" i="7"/>
  <c r="W351" i="7" s="1"/>
  <c r="P382" i="7"/>
  <c r="Q382" i="7" s="1"/>
  <c r="O382" i="7"/>
  <c r="O59" i="7"/>
  <c r="O75" i="7"/>
  <c r="O91" i="7"/>
  <c r="O107" i="7"/>
  <c r="O123" i="7"/>
  <c r="O139" i="7"/>
  <c r="O155" i="7"/>
  <c r="R171" i="7"/>
  <c r="O173" i="7"/>
  <c r="Q178" i="7"/>
  <c r="W178" i="7" s="1"/>
  <c r="P190" i="7"/>
  <c r="O207" i="7"/>
  <c r="P213" i="7"/>
  <c r="Q213" i="7" s="1"/>
  <c r="W213" i="7" s="1"/>
  <c r="O213" i="7"/>
  <c r="Q223" i="7"/>
  <c r="W223" i="7" s="1"/>
  <c r="Q250" i="7"/>
  <c r="W250" i="7" s="1"/>
  <c r="Q252" i="7"/>
  <c r="W252" i="7" s="1"/>
  <c r="Q301" i="7"/>
  <c r="W301" i="7" s="1"/>
  <c r="Q318" i="7"/>
  <c r="W318" i="7" s="1"/>
  <c r="Q330" i="7"/>
  <c r="W330" i="7" s="1"/>
  <c r="Q339" i="7"/>
  <c r="W339" i="7" s="1"/>
  <c r="Q162" i="7"/>
  <c r="W162" i="7" s="1"/>
  <c r="P183" i="7"/>
  <c r="Q183" i="7" s="1"/>
  <c r="W183" i="7" s="1"/>
  <c r="O198" i="7"/>
  <c r="P199" i="7"/>
  <c r="Q199" i="7" s="1"/>
  <c r="W199" i="7" s="1"/>
  <c r="O199" i="7"/>
  <c r="Q210" i="7"/>
  <c r="W210" i="7" s="1"/>
  <c r="P229" i="7"/>
  <c r="O229" i="7"/>
  <c r="P245" i="7"/>
  <c r="Q245" i="7" s="1"/>
  <c r="W245" i="7" s="1"/>
  <c r="O245" i="7"/>
  <c r="Q295" i="7"/>
  <c r="W295" i="7" s="1"/>
  <c r="P326" i="7"/>
  <c r="Q326" i="7" s="1"/>
  <c r="W326" i="7" s="1"/>
  <c r="O326" i="7"/>
  <c r="Q331" i="7"/>
  <c r="W331" i="7" s="1"/>
  <c r="P338" i="7"/>
  <c r="Q338" i="7" s="1"/>
  <c r="W338" i="7" s="1"/>
  <c r="O338" i="7"/>
  <c r="P167" i="7"/>
  <c r="Q167" i="7" s="1"/>
  <c r="W167" i="7" s="1"/>
  <c r="Q222" i="7"/>
  <c r="W222" i="7" s="1"/>
  <c r="Q234" i="7"/>
  <c r="W234" i="7" s="1"/>
  <c r="Q236" i="7"/>
  <c r="W236" i="7" s="1"/>
  <c r="Q251" i="7"/>
  <c r="W251" i="7" s="1"/>
  <c r="Q255" i="7"/>
  <c r="W255" i="7" s="1"/>
  <c r="Q270" i="7"/>
  <c r="W270" i="7" s="1"/>
  <c r="Q274" i="7"/>
  <c r="W274" i="7" s="1"/>
  <c r="Q275" i="7"/>
  <c r="W275" i="7" s="1"/>
  <c r="Q334" i="7"/>
  <c r="W334" i="7" s="1"/>
  <c r="Q403" i="7"/>
  <c r="W403" i="7" s="1"/>
  <c r="Q296" i="7"/>
  <c r="W296" i="7" s="1"/>
  <c r="Q313" i="7"/>
  <c r="W313" i="7" s="1"/>
  <c r="P342" i="7"/>
  <c r="O342" i="7"/>
  <c r="Q347" i="7"/>
  <c r="W347" i="7" s="1"/>
  <c r="Q211" i="7"/>
  <c r="W211" i="7" s="1"/>
  <c r="Q216" i="7"/>
  <c r="W216" i="7" s="1"/>
  <c r="Q235" i="7"/>
  <c r="W235" i="7" s="1"/>
  <c r="Q239" i="7"/>
  <c r="W239" i="7" s="1"/>
  <c r="Q381" i="7"/>
  <c r="Q374" i="7"/>
  <c r="O193" i="7"/>
  <c r="O209" i="7"/>
  <c r="O225" i="7"/>
  <c r="O241" i="7"/>
  <c r="O257" i="7"/>
  <c r="O273" i="7"/>
  <c r="O289" i="7"/>
  <c r="O305" i="7"/>
  <c r="O321" i="7"/>
  <c r="O337" i="7"/>
  <c r="Q363" i="7"/>
  <c r="W363" i="7" s="1"/>
  <c r="Q385" i="7"/>
  <c r="P414" i="7"/>
  <c r="Q414" i="7" s="1"/>
  <c r="W414" i="7" s="1"/>
  <c r="O414" i="7"/>
  <c r="Q426" i="7"/>
  <c r="W426" i="7" s="1"/>
  <c r="Q433" i="7"/>
  <c r="W433" i="7" s="1"/>
  <c r="O368" i="7"/>
  <c r="Q373" i="7"/>
  <c r="Q399" i="7"/>
  <c r="W399" i="7" s="1"/>
  <c r="Q442" i="7"/>
  <c r="W442" i="7" s="1"/>
  <c r="Q446" i="7"/>
  <c r="Q468" i="7"/>
  <c r="O237" i="7"/>
  <c r="O253" i="7"/>
  <c r="O269" i="7"/>
  <c r="O285" i="7"/>
  <c r="O301" i="7"/>
  <c r="O317" i="7"/>
  <c r="O333" i="7"/>
  <c r="Q384" i="7"/>
  <c r="Q395" i="7"/>
  <c r="W395" i="7" s="1"/>
  <c r="Q406" i="7"/>
  <c r="W406" i="7" s="1"/>
  <c r="Q362" i="7"/>
  <c r="W362" i="7" s="1"/>
  <c r="P366" i="7"/>
  <c r="O366" i="7"/>
  <c r="P371" i="7"/>
  <c r="Q371" i="7" s="1"/>
  <c r="O371" i="7"/>
  <c r="Q387" i="7"/>
  <c r="Q425" i="7"/>
  <c r="W425" i="7" s="1"/>
  <c r="Q431" i="7"/>
  <c r="W431" i="7" s="1"/>
  <c r="Q467" i="7"/>
  <c r="P398" i="7"/>
  <c r="Q398" i="7" s="1"/>
  <c r="W398" i="7" s="1"/>
  <c r="O398" i="7"/>
  <c r="Q410" i="7"/>
  <c r="W410" i="7" s="1"/>
  <c r="Q416" i="7"/>
  <c r="W416" i="7" s="1"/>
  <c r="Q417" i="7"/>
  <c r="W417" i="7" s="1"/>
  <c r="Q438" i="7"/>
  <c r="W438" i="7" s="1"/>
  <c r="Q380" i="7"/>
  <c r="Q405" i="7"/>
  <c r="W405" i="7" s="1"/>
  <c r="Q420" i="7"/>
  <c r="W420" i="7" s="1"/>
  <c r="Q441" i="7"/>
  <c r="W441" i="7" s="1"/>
  <c r="O201" i="7"/>
  <c r="O217" i="7"/>
  <c r="O233" i="7"/>
  <c r="O265" i="7"/>
  <c r="O281" i="7"/>
  <c r="O297" i="7"/>
  <c r="O313" i="7"/>
  <c r="O329" i="7"/>
  <c r="P346" i="7"/>
  <c r="O350" i="7"/>
  <c r="O351" i="7"/>
  <c r="Q401" i="7"/>
  <c r="W401" i="7" s="1"/>
  <c r="Q427" i="7"/>
  <c r="W427" i="7" s="1"/>
  <c r="O224" i="7"/>
  <c r="O240" i="7"/>
  <c r="O256" i="7"/>
  <c r="O272" i="7"/>
  <c r="O288" i="7"/>
  <c r="R288" i="7" s="1"/>
  <c r="O304" i="7"/>
  <c r="R304" i="7" s="1"/>
  <c r="O320" i="7"/>
  <c r="O336" i="7"/>
  <c r="Q377" i="7"/>
  <c r="Q383" i="7"/>
  <c r="Q412" i="7"/>
  <c r="W412" i="7" s="1"/>
  <c r="Q419" i="7"/>
  <c r="W419" i="7" s="1"/>
  <c r="O231" i="7"/>
  <c r="O247" i="7"/>
  <c r="O263" i="7"/>
  <c r="O279" i="7"/>
  <c r="O295" i="7"/>
  <c r="O311" i="7"/>
  <c r="O327" i="7"/>
  <c r="O343" i="7"/>
  <c r="P353" i="7"/>
  <c r="Q353" i="7" s="1"/>
  <c r="W353" i="7" s="1"/>
  <c r="O353" i="7"/>
  <c r="Q394" i="7"/>
  <c r="W394" i="7" s="1"/>
  <c r="P430" i="7"/>
  <c r="Q430" i="7" s="1"/>
  <c r="W430" i="7" s="1"/>
  <c r="O430" i="7"/>
  <c r="O222" i="7"/>
  <c r="O238" i="7"/>
  <c r="O254" i="7"/>
  <c r="O270" i="7"/>
  <c r="O286" i="7"/>
  <c r="O302" i="7"/>
  <c r="Q369" i="7"/>
  <c r="Q390" i="7"/>
  <c r="Q409" i="7"/>
  <c r="W409" i="7" s="1"/>
  <c r="Q415" i="7"/>
  <c r="W415" i="7" s="1"/>
  <c r="Q447" i="7"/>
  <c r="O309" i="7"/>
  <c r="O325" i="7"/>
  <c r="O341" i="7"/>
  <c r="P355" i="7"/>
  <c r="O355" i="7"/>
  <c r="Q361" i="7"/>
  <c r="W361" i="7" s="1"/>
  <c r="Q364" i="7"/>
  <c r="W364" i="7" s="1"/>
  <c r="Q379" i="7"/>
  <c r="Q400" i="7"/>
  <c r="W400" i="7" s="1"/>
  <c r="Q404" i="7"/>
  <c r="W404" i="7" s="1"/>
  <c r="Q348" i="7"/>
  <c r="W348" i="7" s="1"/>
  <c r="Q356" i="7"/>
  <c r="W356" i="7" s="1"/>
  <c r="Q358" i="7"/>
  <c r="W358" i="7" s="1"/>
  <c r="Q368" i="7"/>
  <c r="Q375" i="7"/>
  <c r="Q456" i="7"/>
  <c r="P507" i="7"/>
  <c r="O507" i="7"/>
  <c r="Q511" i="7"/>
  <c r="R548" i="7"/>
  <c r="R449" i="7"/>
  <c r="P451" i="7"/>
  <c r="Q451" i="7" s="1"/>
  <c r="O451" i="7"/>
  <c r="R451" i="7" s="1"/>
  <c r="Q497" i="7"/>
  <c r="Q501" i="7"/>
  <c r="P528" i="7"/>
  <c r="O528" i="7"/>
  <c r="Q570" i="7"/>
  <c r="W570" i="7" s="1"/>
  <c r="O384" i="7"/>
  <c r="O400" i="7"/>
  <c r="O416" i="7"/>
  <c r="O432" i="7"/>
  <c r="R450" i="7"/>
  <c r="R456" i="7"/>
  <c r="P459" i="7"/>
  <c r="Q459" i="7" s="1"/>
  <c r="O459" i="7"/>
  <c r="R459" i="7" s="1"/>
  <c r="Q463" i="7"/>
  <c r="Q492" i="7"/>
  <c r="Q544" i="7"/>
  <c r="W544" i="7" s="1"/>
  <c r="R481" i="7"/>
  <c r="Q489" i="7"/>
  <c r="Q452" i="7"/>
  <c r="Q466" i="7"/>
  <c r="Q470" i="7"/>
  <c r="Q478" i="7"/>
  <c r="Q488" i="7"/>
  <c r="Q499" i="7"/>
  <c r="Q534" i="7"/>
  <c r="W534" i="7" s="1"/>
  <c r="P449" i="7"/>
  <c r="Q449" i="7" s="1"/>
  <c r="P450" i="7"/>
  <c r="Q450" i="7" s="1"/>
  <c r="R463" i="7"/>
  <c r="O364" i="7"/>
  <c r="O380" i="7"/>
  <c r="O396" i="7"/>
  <c r="O412" i="7"/>
  <c r="O428" i="7"/>
  <c r="Q481" i="7"/>
  <c r="Q485" i="7"/>
  <c r="O387" i="7"/>
  <c r="O403" i="7"/>
  <c r="O419" i="7"/>
  <c r="O435" i="7"/>
  <c r="O438" i="7"/>
  <c r="Q476" i="7"/>
  <c r="Q477" i="7"/>
  <c r="Q480" i="7"/>
  <c r="P491" i="7"/>
  <c r="O491" i="7"/>
  <c r="Q495" i="7"/>
  <c r="O362" i="7"/>
  <c r="O378" i="7"/>
  <c r="O394" i="7"/>
  <c r="Q473" i="7"/>
  <c r="Q510" i="7"/>
  <c r="O369" i="7"/>
  <c r="O385" i="7"/>
  <c r="R465" i="7"/>
  <c r="Q483" i="7"/>
  <c r="Q502" i="7"/>
  <c r="Q505" i="7"/>
  <c r="Q454" i="7"/>
  <c r="O367" i="7"/>
  <c r="O383" i="7"/>
  <c r="O399" i="7"/>
  <c r="O415" i="7"/>
  <c r="O431" i="7"/>
  <c r="Q508" i="7"/>
  <c r="Q509" i="7"/>
  <c r="Q516" i="7"/>
  <c r="R461" i="7"/>
  <c r="Q465" i="7"/>
  <c r="P475" i="7"/>
  <c r="Q475" i="7" s="1"/>
  <c r="O475" i="7"/>
  <c r="R475" i="7" s="1"/>
  <c r="Q479" i="7"/>
  <c r="Q533" i="7"/>
  <c r="W533" i="7" s="1"/>
  <c r="R457" i="7"/>
  <c r="Q461" i="7"/>
  <c r="O443" i="7"/>
  <c r="Q457" i="7"/>
  <c r="Q486" i="7"/>
  <c r="O511" i="7"/>
  <c r="Q524" i="7"/>
  <c r="W524" i="7" s="1"/>
  <c r="P527" i="7"/>
  <c r="Q548" i="7"/>
  <c r="W548" i="7" s="1"/>
  <c r="P551" i="7"/>
  <c r="O551" i="7"/>
  <c r="R551" i="7" s="1"/>
  <c r="O454" i="7"/>
  <c r="R454" i="7" s="1"/>
  <c r="O470" i="7"/>
  <c r="O502" i="7"/>
  <c r="Q541" i="7"/>
  <c r="W541" i="7" s="1"/>
  <c r="Q562" i="7"/>
  <c r="W562" i="7" s="1"/>
  <c r="Q588" i="7"/>
  <c r="W588" i="7" s="1"/>
  <c r="P529" i="7"/>
  <c r="O529" i="7"/>
  <c r="Q558" i="7"/>
  <c r="W558" i="7" s="1"/>
  <c r="R573" i="7"/>
  <c r="Q576" i="7"/>
  <c r="W576" i="7" s="1"/>
  <c r="Q581" i="7"/>
  <c r="W581" i="7" s="1"/>
  <c r="Q699" i="7"/>
  <c r="Q522" i="7"/>
  <c r="W522" i="7" s="1"/>
  <c r="R533" i="7"/>
  <c r="Q573" i="7"/>
  <c r="W573" i="7" s="1"/>
  <c r="Q598" i="7"/>
  <c r="W598" i="7" s="1"/>
  <c r="Q540" i="7"/>
  <c r="W540" i="7" s="1"/>
  <c r="Q561" i="7"/>
  <c r="W561" i="7" s="1"/>
  <c r="O466" i="7"/>
  <c r="R466" i="7" s="1"/>
  <c r="O482" i="7"/>
  <c r="O498" i="7"/>
  <c r="Q513" i="7"/>
  <c r="P536" i="7"/>
  <c r="O536" i="7"/>
  <c r="R536" i="7" s="1"/>
  <c r="Q539" i="7"/>
  <c r="W539" i="7" s="1"/>
  <c r="Q590" i="7"/>
  <c r="W590" i="7" s="1"/>
  <c r="Q646" i="7"/>
  <c r="W646" i="7" s="1"/>
  <c r="P535" i="7"/>
  <c r="Q553" i="7"/>
  <c r="W553" i="7" s="1"/>
  <c r="Q554" i="7"/>
  <c r="W554" i="7" s="1"/>
  <c r="Q572" i="7"/>
  <c r="W572" i="7" s="1"/>
  <c r="Q571" i="7"/>
  <c r="W571" i="7" s="1"/>
  <c r="P608" i="7"/>
  <c r="O608" i="7"/>
  <c r="P537" i="7"/>
  <c r="O537" i="7"/>
  <c r="R537" i="7" s="1"/>
  <c r="R539" i="7"/>
  <c r="Q546" i="7"/>
  <c r="W546" i="7" s="1"/>
  <c r="Q560" i="7"/>
  <c r="W560" i="7" s="1"/>
  <c r="P520" i="7"/>
  <c r="O520" i="7"/>
  <c r="Q542" i="7"/>
  <c r="W542" i="7" s="1"/>
  <c r="Q564" i="7"/>
  <c r="W564" i="7" s="1"/>
  <c r="P567" i="7"/>
  <c r="Q567" i="7" s="1"/>
  <c r="W567" i="7" s="1"/>
  <c r="O567" i="7"/>
  <c r="R567" i="7" s="1"/>
  <c r="P519" i="7"/>
  <c r="Q589" i="7"/>
  <c r="W589" i="7" s="1"/>
  <c r="Q614" i="7"/>
  <c r="W614" i="7" s="1"/>
  <c r="Q629" i="7"/>
  <c r="W629" i="7" s="1"/>
  <c r="O460" i="7"/>
  <c r="R460" i="7" s="1"/>
  <c r="O476" i="7"/>
  <c r="R476" i="7" s="1"/>
  <c r="O492" i="7"/>
  <c r="O508" i="7"/>
  <c r="Q552" i="7"/>
  <c r="W552" i="7" s="1"/>
  <c r="Q574" i="7"/>
  <c r="W574" i="7" s="1"/>
  <c r="O467" i="7"/>
  <c r="R467" i="7" s="1"/>
  <c r="O483" i="7"/>
  <c r="R483" i="7" s="1"/>
  <c r="O499" i="7"/>
  <c r="P521" i="7"/>
  <c r="O521" i="7"/>
  <c r="Q585" i="7"/>
  <c r="W585" i="7" s="1"/>
  <c r="Q621" i="7"/>
  <c r="W621" i="7" s="1"/>
  <c r="O442" i="7"/>
  <c r="O458" i="7"/>
  <c r="O474" i="7"/>
  <c r="O490" i="7"/>
  <c r="O506" i="7"/>
  <c r="Q514" i="7"/>
  <c r="O526" i="7"/>
  <c r="Q556" i="7"/>
  <c r="W556" i="7" s="1"/>
  <c r="Q555" i="7"/>
  <c r="W555" i="7" s="1"/>
  <c r="Q579" i="7"/>
  <c r="W579" i="7" s="1"/>
  <c r="Q586" i="7"/>
  <c r="W586" i="7" s="1"/>
  <c r="P632" i="7"/>
  <c r="Q632" i="7" s="1"/>
  <c r="W632" i="7" s="1"/>
  <c r="O632" i="7"/>
  <c r="Q645" i="7"/>
  <c r="W645" i="7" s="1"/>
  <c r="P794" i="7"/>
  <c r="O794" i="7"/>
  <c r="P591" i="7"/>
  <c r="Q591" i="7" s="1"/>
  <c r="W591" i="7" s="1"/>
  <c r="Q628" i="7"/>
  <c r="W628" i="7" s="1"/>
  <c r="P631" i="7"/>
  <c r="Q631" i="7" s="1"/>
  <c r="W631" i="7" s="1"/>
  <c r="Q653" i="7"/>
  <c r="O553" i="7"/>
  <c r="O569" i="7"/>
  <c r="O585" i="7"/>
  <c r="P609" i="7"/>
  <c r="Q609" i="7" s="1"/>
  <c r="W609" i="7" s="1"/>
  <c r="O609" i="7"/>
  <c r="Q637" i="7"/>
  <c r="W637" i="7" s="1"/>
  <c r="Q670" i="7"/>
  <c r="Q724" i="7"/>
  <c r="W724" i="7" s="1"/>
  <c r="O544" i="7"/>
  <c r="O560" i="7"/>
  <c r="O576" i="7"/>
  <c r="O614" i="7"/>
  <c r="P633" i="7"/>
  <c r="Q633" i="7" s="1"/>
  <c r="W633" i="7" s="1"/>
  <c r="O633" i="7"/>
  <c r="Q644" i="7"/>
  <c r="W644" i="7" s="1"/>
  <c r="P648" i="7"/>
  <c r="Q648" i="7" s="1"/>
  <c r="W648" i="7" s="1"/>
  <c r="O648" i="7"/>
  <c r="Q652" i="7"/>
  <c r="Q634" i="7"/>
  <c r="W634" i="7" s="1"/>
  <c r="Q635" i="7"/>
  <c r="W635" i="7" s="1"/>
  <c r="Q656" i="7"/>
  <c r="O542" i="7"/>
  <c r="R542" i="7" s="1"/>
  <c r="O558" i="7"/>
  <c r="R558" i="7" s="1"/>
  <c r="P593" i="7"/>
  <c r="O593" i="7"/>
  <c r="P616" i="7"/>
  <c r="Q616" i="7" s="1"/>
  <c r="W616" i="7" s="1"/>
  <c r="O616" i="7"/>
  <c r="Q636" i="7"/>
  <c r="W636" i="7" s="1"/>
  <c r="P695" i="7"/>
  <c r="Q695" i="7" s="1"/>
  <c r="O695" i="7"/>
  <c r="R695" i="7" s="1"/>
  <c r="P647" i="7"/>
  <c r="Q647" i="7" s="1"/>
  <c r="W647" i="7" s="1"/>
  <c r="O647" i="7"/>
  <c r="P655" i="7"/>
  <c r="Q655" i="7" s="1"/>
  <c r="O655" i="7"/>
  <c r="Q641" i="7"/>
  <c r="W641" i="7" s="1"/>
  <c r="Q717" i="7"/>
  <c r="W717" i="7" s="1"/>
  <c r="O589" i="7"/>
  <c r="O598" i="7"/>
  <c r="Q611" i="7"/>
  <c r="W611" i="7" s="1"/>
  <c r="P617" i="7"/>
  <c r="O617" i="7"/>
  <c r="Q640" i="7"/>
  <c r="W640" i="7" s="1"/>
  <c r="P584" i="7"/>
  <c r="Q584" i="7" s="1"/>
  <c r="W584" i="7" s="1"/>
  <c r="O584" i="7"/>
  <c r="Q618" i="7"/>
  <c r="W618" i="7" s="1"/>
  <c r="Q619" i="7"/>
  <c r="W619" i="7" s="1"/>
  <c r="P651" i="7"/>
  <c r="Q651" i="7" s="1"/>
  <c r="W651" i="7" s="1"/>
  <c r="O651" i="7"/>
  <c r="Q663" i="7"/>
  <c r="Q701" i="7"/>
  <c r="Q716" i="7"/>
  <c r="W716" i="7" s="1"/>
  <c r="O545" i="7"/>
  <c r="R545" i="7" s="1"/>
  <c r="O561" i="7"/>
  <c r="P583" i="7"/>
  <c r="Q583" i="7" s="1"/>
  <c r="W583" i="7" s="1"/>
  <c r="P600" i="7"/>
  <c r="Q600" i="7" s="1"/>
  <c r="W600" i="7" s="1"/>
  <c r="O600" i="7"/>
  <c r="P624" i="7"/>
  <c r="Q624" i="7" s="1"/>
  <c r="W624" i="7" s="1"/>
  <c r="O624" i="7"/>
  <c r="Q669" i="7"/>
  <c r="Q735" i="7"/>
  <c r="W735" i="7" s="1"/>
  <c r="O552" i="7"/>
  <c r="O568" i="7"/>
  <c r="O590" i="7"/>
  <c r="P599" i="7"/>
  <c r="Q599" i="7" s="1"/>
  <c r="W599" i="7" s="1"/>
  <c r="Q620" i="7"/>
  <c r="W620" i="7" s="1"/>
  <c r="P623" i="7"/>
  <c r="Q623" i="7" s="1"/>
  <c r="W623" i="7" s="1"/>
  <c r="O543" i="7"/>
  <c r="O559" i="7"/>
  <c r="O575" i="7"/>
  <c r="O550" i="7"/>
  <c r="O566" i="7"/>
  <c r="P601" i="7"/>
  <c r="O601" i="7"/>
  <c r="P625" i="7"/>
  <c r="Q625" i="7" s="1"/>
  <c r="W625" i="7" s="1"/>
  <c r="O625" i="7"/>
  <c r="Q639" i="7"/>
  <c r="W639" i="7" s="1"/>
  <c r="P657" i="7"/>
  <c r="Q657" i="7" s="1"/>
  <c r="O657" i="7"/>
  <c r="Q662" i="7"/>
  <c r="Q671" i="7"/>
  <c r="Q602" i="7"/>
  <c r="W602" i="7" s="1"/>
  <c r="Q660" i="7"/>
  <c r="Q664" i="7"/>
  <c r="Q703" i="7"/>
  <c r="Q708" i="7"/>
  <c r="W708" i="7" s="1"/>
  <c r="Q738" i="7"/>
  <c r="W738" i="7" s="1"/>
  <c r="P679" i="7"/>
  <c r="O679" i="7"/>
  <c r="R679" i="7" s="1"/>
  <c r="R681" i="7"/>
  <c r="R713" i="7"/>
  <c r="Q728" i="7"/>
  <c r="W728" i="7" s="1"/>
  <c r="Q803" i="7"/>
  <c r="W803" i="7" s="1"/>
  <c r="Q1235" i="7"/>
  <c r="W1235" i="7" s="1"/>
  <c r="O649" i="7"/>
  <c r="R684" i="7"/>
  <c r="Q690" i="7"/>
  <c r="R699" i="7"/>
  <c r="O640" i="7"/>
  <c r="Q707" i="7"/>
  <c r="W707" i="7" s="1"/>
  <c r="Q719" i="7"/>
  <c r="W719" i="7" s="1"/>
  <c r="Q764" i="7"/>
  <c r="W764" i="7" s="1"/>
  <c r="Q683" i="7"/>
  <c r="Q688" i="7"/>
  <c r="P702" i="7"/>
  <c r="Q702" i="7" s="1"/>
  <c r="O702" i="7"/>
  <c r="R702" i="7" s="1"/>
  <c r="P711" i="7"/>
  <c r="Q711" i="7" s="1"/>
  <c r="W711" i="7" s="1"/>
  <c r="O711" i="7"/>
  <c r="Q715" i="7"/>
  <c r="W715" i="7" s="1"/>
  <c r="Q698" i="7"/>
  <c r="Q727" i="7"/>
  <c r="W727" i="7" s="1"/>
  <c r="Q730" i="7"/>
  <c r="W730" i="7" s="1"/>
  <c r="O744" i="7"/>
  <c r="P744" i="7"/>
  <c r="Q744" i="7" s="1"/>
  <c r="W744" i="7" s="1"/>
  <c r="R693" i="7"/>
  <c r="P672" i="7"/>
  <c r="Q672" i="7" s="1"/>
  <c r="O672" i="7"/>
  <c r="R683" i="7"/>
  <c r="P687" i="7"/>
  <c r="Q687" i="7" s="1"/>
  <c r="O687" i="7"/>
  <c r="R687" i="7" s="1"/>
  <c r="Q693" i="7"/>
  <c r="Q706" i="7"/>
  <c r="W706" i="7" s="1"/>
  <c r="Q722" i="7"/>
  <c r="W722" i="7" s="1"/>
  <c r="Q677" i="7"/>
  <c r="Q697" i="7"/>
  <c r="P718" i="7"/>
  <c r="Q718" i="7" s="1"/>
  <c r="W718" i="7" s="1"/>
  <c r="O718" i="7"/>
  <c r="Q733" i="7"/>
  <c r="W733" i="7" s="1"/>
  <c r="Q668" i="7"/>
  <c r="P673" i="7"/>
  <c r="Q673" i="7" s="1"/>
  <c r="O673" i="7"/>
  <c r="Q676" i="7"/>
  <c r="Q736" i="7"/>
  <c r="W736" i="7" s="1"/>
  <c r="O641" i="7"/>
  <c r="O670" i="7"/>
  <c r="O671" i="7"/>
  <c r="Q675" i="7"/>
  <c r="Q682" i="7"/>
  <c r="P686" i="7"/>
  <c r="Q686" i="7" s="1"/>
  <c r="O686" i="7"/>
  <c r="Q705" i="7"/>
  <c r="W705" i="7" s="1"/>
  <c r="Q714" i="7"/>
  <c r="W714" i="7" s="1"/>
  <c r="Q721" i="7"/>
  <c r="W721" i="7" s="1"/>
  <c r="Q692" i="7"/>
  <c r="Q725" i="7"/>
  <c r="W725" i="7" s="1"/>
  <c r="Q756" i="7"/>
  <c r="W756" i="7" s="1"/>
  <c r="O652" i="7"/>
  <c r="O668" i="7"/>
  <c r="P674" i="7"/>
  <c r="Q674" i="7" s="1"/>
  <c r="Q709" i="7"/>
  <c r="W709" i="7" s="1"/>
  <c r="O646" i="7"/>
  <c r="Q658" i="7"/>
  <c r="Q666" i="7"/>
  <c r="Q681" i="7"/>
  <c r="Q732" i="7"/>
  <c r="W732" i="7" s="1"/>
  <c r="Q743" i="7"/>
  <c r="W743" i="7" s="1"/>
  <c r="Q659" i="7"/>
  <c r="Q720" i="7"/>
  <c r="W720" i="7" s="1"/>
  <c r="Q746" i="7"/>
  <c r="W746" i="7" s="1"/>
  <c r="Q754" i="7"/>
  <c r="W754" i="7" s="1"/>
  <c r="Q755" i="7"/>
  <c r="W755" i="7" s="1"/>
  <c r="Q781" i="7"/>
  <c r="W781" i="7" s="1"/>
  <c r="Q800" i="7"/>
  <c r="W800" i="7" s="1"/>
  <c r="Q852" i="7"/>
  <c r="W852" i="7" s="1"/>
  <c r="Q748" i="7"/>
  <c r="W748" i="7" s="1"/>
  <c r="Q782" i="7"/>
  <c r="W782" i="7" s="1"/>
  <c r="Q786" i="7"/>
  <c r="W786" i="7" s="1"/>
  <c r="Q812" i="7"/>
  <c r="W812" i="7" s="1"/>
  <c r="O816" i="7"/>
  <c r="P816" i="7"/>
  <c r="Q816" i="7" s="1"/>
  <c r="W816" i="7" s="1"/>
  <c r="Q753" i="7"/>
  <c r="W753" i="7" s="1"/>
  <c r="Q780" i="7"/>
  <c r="W780" i="7" s="1"/>
  <c r="Q789" i="7"/>
  <c r="W789" i="7" s="1"/>
  <c r="Q795" i="7"/>
  <c r="W795" i="7" s="1"/>
  <c r="O735" i="7"/>
  <c r="Q785" i="7"/>
  <c r="W785" i="7" s="1"/>
  <c r="O688" i="7"/>
  <c r="R688" i="7" s="1"/>
  <c r="O704" i="7"/>
  <c r="O720" i="7"/>
  <c r="O746" i="7"/>
  <c r="R746" i="7" s="1"/>
  <c r="Q773" i="7"/>
  <c r="W773" i="7" s="1"/>
  <c r="O732" i="7"/>
  <c r="O738" i="7"/>
  <c r="R789" i="7"/>
  <c r="R798" i="7"/>
  <c r="Q802" i="7"/>
  <c r="W802" i="7" s="1"/>
  <c r="Q815" i="7"/>
  <c r="W815" i="7" s="1"/>
  <c r="Q747" i="7"/>
  <c r="W747" i="7" s="1"/>
  <c r="P762" i="7"/>
  <c r="O762" i="7"/>
  <c r="Q798" i="7"/>
  <c r="W798" i="7" s="1"/>
  <c r="P810" i="7"/>
  <c r="Q810" i="7" s="1"/>
  <c r="W810" i="7" s="1"/>
  <c r="O810" i="7"/>
  <c r="P778" i="7"/>
  <c r="O778" i="7"/>
  <c r="P792" i="7"/>
  <c r="O792" i="7"/>
  <c r="Q797" i="7"/>
  <c r="W797" i="7" s="1"/>
  <c r="Q805" i="7"/>
  <c r="W805" i="7" s="1"/>
  <c r="Q844" i="7"/>
  <c r="W844" i="7" s="1"/>
  <c r="O716" i="7"/>
  <c r="Q788" i="7"/>
  <c r="W788" i="7" s="1"/>
  <c r="Q801" i="7"/>
  <c r="W801" i="7" s="1"/>
  <c r="Q908" i="7"/>
  <c r="W908" i="7" s="1"/>
  <c r="O730" i="7"/>
  <c r="O733" i="7"/>
  <c r="O736" i="7"/>
  <c r="P863" i="7"/>
  <c r="O863" i="7"/>
  <c r="Q930" i="7"/>
  <c r="W930" i="7" s="1"/>
  <c r="O666" i="7"/>
  <c r="O682" i="7"/>
  <c r="R682" i="7" s="1"/>
  <c r="O698" i="7"/>
  <c r="O714" i="7"/>
  <c r="Q784" i="7"/>
  <c r="W784" i="7" s="1"/>
  <c r="O817" i="7"/>
  <c r="P817" i="7"/>
  <c r="Q817" i="7" s="1"/>
  <c r="W817" i="7" s="1"/>
  <c r="O689" i="7"/>
  <c r="O705" i="7"/>
  <c r="O721" i="7"/>
  <c r="P739" i="7"/>
  <c r="Q751" i="7"/>
  <c r="W751" i="7" s="1"/>
  <c r="R755" i="7"/>
  <c r="Q796" i="7"/>
  <c r="W796" i="7" s="1"/>
  <c r="Q741" i="7"/>
  <c r="W741" i="7" s="1"/>
  <c r="Q767" i="7"/>
  <c r="W767" i="7" s="1"/>
  <c r="Q787" i="7"/>
  <c r="W787" i="7" s="1"/>
  <c r="P808" i="7"/>
  <c r="Q808" i="7" s="1"/>
  <c r="W808" i="7" s="1"/>
  <c r="O808" i="7"/>
  <c r="Q814" i="7"/>
  <c r="W814" i="7" s="1"/>
  <c r="Q834" i="7"/>
  <c r="W834" i="7" s="1"/>
  <c r="O703" i="7"/>
  <c r="R703" i="7" s="1"/>
  <c r="O719" i="7"/>
  <c r="Q749" i="7"/>
  <c r="W749" i="7" s="1"/>
  <c r="P760" i="7"/>
  <c r="Q760" i="7" s="1"/>
  <c r="W760" i="7" s="1"/>
  <c r="O760" i="7"/>
  <c r="P776" i="7"/>
  <c r="Q776" i="7" s="1"/>
  <c r="W776" i="7" s="1"/>
  <c r="O776" i="7"/>
  <c r="Q804" i="7"/>
  <c r="W804" i="7" s="1"/>
  <c r="O740" i="7"/>
  <c r="Q750" i="7"/>
  <c r="W750" i="7" s="1"/>
  <c r="Q765" i="7"/>
  <c r="W765" i="7" s="1"/>
  <c r="Q799" i="7"/>
  <c r="W799" i="7" s="1"/>
  <c r="P831" i="7"/>
  <c r="Q831" i="7" s="1"/>
  <c r="W831" i="7" s="1"/>
  <c r="O831" i="7"/>
  <c r="Q842" i="7"/>
  <c r="W842" i="7" s="1"/>
  <c r="Q857" i="7"/>
  <c r="W857" i="7" s="1"/>
  <c r="Q853" i="7"/>
  <c r="W853" i="7" s="1"/>
  <c r="P997" i="7"/>
  <c r="Q997" i="7" s="1"/>
  <c r="W997" i="7" s="1"/>
  <c r="O997" i="7"/>
  <c r="Q838" i="7"/>
  <c r="W838" i="7" s="1"/>
  <c r="Q856" i="7"/>
  <c r="W856" i="7" s="1"/>
  <c r="Q874" i="7"/>
  <c r="W874" i="7" s="1"/>
  <c r="Q880" i="7"/>
  <c r="W880" i="7" s="1"/>
  <c r="O748" i="7"/>
  <c r="O764" i="7"/>
  <c r="O780" i="7"/>
  <c r="O796" i="7"/>
  <c r="O812" i="7"/>
  <c r="Q866" i="7"/>
  <c r="W866" i="7" s="1"/>
  <c r="O771" i="7"/>
  <c r="O787" i="7"/>
  <c r="O803" i="7"/>
  <c r="R803" i="7" s="1"/>
  <c r="Q829" i="7"/>
  <c r="W829" i="7" s="1"/>
  <c r="Q848" i="7"/>
  <c r="W848" i="7" s="1"/>
  <c r="Q1054" i="7"/>
  <c r="W1054" i="7" s="1"/>
  <c r="Q837" i="7"/>
  <c r="W837" i="7" s="1"/>
  <c r="Q876" i="7"/>
  <c r="W876" i="7" s="1"/>
  <c r="Q891" i="7"/>
  <c r="W891" i="7" s="1"/>
  <c r="P977" i="7"/>
  <c r="Q977" i="7" s="1"/>
  <c r="W977" i="7" s="1"/>
  <c r="O977" i="7"/>
  <c r="O753" i="7"/>
  <c r="O769" i="7"/>
  <c r="O785" i="7"/>
  <c r="R785" i="7" s="1"/>
  <c r="O801" i="7"/>
  <c r="P818" i="7"/>
  <c r="Q818" i="7" s="1"/>
  <c r="W818" i="7" s="1"/>
  <c r="O818" i="7"/>
  <c r="Q828" i="7"/>
  <c r="W828" i="7" s="1"/>
  <c r="Q836" i="7"/>
  <c r="W836" i="7" s="1"/>
  <c r="P847" i="7"/>
  <c r="Q847" i="7" s="1"/>
  <c r="W847" i="7" s="1"/>
  <c r="O847" i="7"/>
  <c r="P825" i="7"/>
  <c r="Q825" i="7" s="1"/>
  <c r="W825" i="7" s="1"/>
  <c r="O825" i="7"/>
  <c r="Q840" i="7"/>
  <c r="W840" i="7" s="1"/>
  <c r="Q879" i="7"/>
  <c r="W879" i="7" s="1"/>
  <c r="Q819" i="7"/>
  <c r="W819" i="7" s="1"/>
  <c r="Q820" i="7"/>
  <c r="W820" i="7" s="1"/>
  <c r="Q822" i="7"/>
  <c r="W822" i="7" s="1"/>
  <c r="P826" i="7"/>
  <c r="Q826" i="7" s="1"/>
  <c r="W826" i="7" s="1"/>
  <c r="O826" i="7"/>
  <c r="Q858" i="7"/>
  <c r="W858" i="7" s="1"/>
  <c r="Q920" i="7"/>
  <c r="W920" i="7" s="1"/>
  <c r="P827" i="7"/>
  <c r="O827" i="7"/>
  <c r="Q833" i="7"/>
  <c r="W833" i="7" s="1"/>
  <c r="Q868" i="7"/>
  <c r="W868" i="7" s="1"/>
  <c r="Q936" i="7"/>
  <c r="W936" i="7" s="1"/>
  <c r="O749" i="7"/>
  <c r="O765" i="7"/>
  <c r="O781" i="7"/>
  <c r="O797" i="7"/>
  <c r="Q865" i="7"/>
  <c r="W865" i="7" s="1"/>
  <c r="P882" i="7"/>
  <c r="O882" i="7"/>
  <c r="P885" i="7"/>
  <c r="Q885" i="7" s="1"/>
  <c r="W885" i="7" s="1"/>
  <c r="O885" i="7"/>
  <c r="Q952" i="7"/>
  <c r="W952" i="7" s="1"/>
  <c r="O756" i="7"/>
  <c r="O772" i="7"/>
  <c r="O788" i="7"/>
  <c r="R788" i="7" s="1"/>
  <c r="O804" i="7"/>
  <c r="Q854" i="7"/>
  <c r="W854" i="7" s="1"/>
  <c r="Q864" i="7"/>
  <c r="W864" i="7" s="1"/>
  <c r="Q875" i="7"/>
  <c r="W875" i="7" s="1"/>
  <c r="Q889" i="7"/>
  <c r="W889" i="7" s="1"/>
  <c r="Q970" i="7"/>
  <c r="W970" i="7" s="1"/>
  <c r="Q832" i="7"/>
  <c r="W832" i="7" s="1"/>
  <c r="Q860" i="7"/>
  <c r="W860" i="7" s="1"/>
  <c r="Q845" i="7"/>
  <c r="W845" i="7" s="1"/>
  <c r="Q878" i="7"/>
  <c r="W878" i="7" s="1"/>
  <c r="P903" i="7"/>
  <c r="Q903" i="7" s="1"/>
  <c r="W903" i="7" s="1"/>
  <c r="O903" i="7"/>
  <c r="Q905" i="7"/>
  <c r="W905" i="7" s="1"/>
  <c r="Q1042" i="7"/>
  <c r="W1042" i="7" s="1"/>
  <c r="Q904" i="7"/>
  <c r="W904" i="7" s="1"/>
  <c r="P919" i="7"/>
  <c r="Q919" i="7" s="1"/>
  <c r="W919" i="7" s="1"/>
  <c r="O919" i="7"/>
  <c r="Q921" i="7"/>
  <c r="W921" i="7" s="1"/>
  <c r="P935" i="7"/>
  <c r="Q935" i="7" s="1"/>
  <c r="W935" i="7" s="1"/>
  <c r="O935" i="7"/>
  <c r="P951" i="7"/>
  <c r="O951" i="7"/>
  <c r="Q994" i="7"/>
  <c r="W994" i="7" s="1"/>
  <c r="P1013" i="7"/>
  <c r="O1013" i="7"/>
  <c r="O819" i="7"/>
  <c r="O835" i="7"/>
  <c r="O879" i="7"/>
  <c r="Q913" i="7"/>
  <c r="W913" i="7" s="1"/>
  <c r="Q924" i="7"/>
  <c r="W924" i="7" s="1"/>
  <c r="Q940" i="7"/>
  <c r="W940" i="7" s="1"/>
  <c r="Q961" i="7"/>
  <c r="W961" i="7" s="1"/>
  <c r="O842" i="7"/>
  <c r="O858" i="7"/>
  <c r="O874" i="7"/>
  <c r="P901" i="7"/>
  <c r="Q901" i="7" s="1"/>
  <c r="W901" i="7" s="1"/>
  <c r="O901" i="7"/>
  <c r="Q929" i="7"/>
  <c r="W929" i="7" s="1"/>
  <c r="Q965" i="7"/>
  <c r="W965" i="7" s="1"/>
  <c r="P973" i="7"/>
  <c r="O973" i="7"/>
  <c r="R1131" i="7"/>
  <c r="P917" i="7"/>
  <c r="O917" i="7"/>
  <c r="P933" i="7"/>
  <c r="Q933" i="7" s="1"/>
  <c r="W933" i="7" s="1"/>
  <c r="O933" i="7"/>
  <c r="P949" i="7"/>
  <c r="O949" i="7"/>
  <c r="Q966" i="7"/>
  <c r="W966" i="7" s="1"/>
  <c r="Q987" i="7"/>
  <c r="W987" i="7" s="1"/>
  <c r="Q1034" i="7"/>
  <c r="W1034" i="7" s="1"/>
  <c r="Q1073" i="7"/>
  <c r="W1073" i="7" s="1"/>
  <c r="Q912" i="7"/>
  <c r="W912" i="7" s="1"/>
  <c r="Q960" i="7"/>
  <c r="W960" i="7" s="1"/>
  <c r="Q1085" i="7"/>
  <c r="W1085" i="7" s="1"/>
  <c r="Q892" i="7"/>
  <c r="W892" i="7" s="1"/>
  <c r="P899" i="7"/>
  <c r="Q899" i="7" s="1"/>
  <c r="W899" i="7" s="1"/>
  <c r="O899" i="7"/>
  <c r="Q928" i="7"/>
  <c r="W928" i="7" s="1"/>
  <c r="Q944" i="7"/>
  <c r="W944" i="7" s="1"/>
  <c r="Q986" i="7"/>
  <c r="W986" i="7" s="1"/>
  <c r="P883" i="7"/>
  <c r="Q883" i="7" s="1"/>
  <c r="W883" i="7" s="1"/>
  <c r="O883" i="7"/>
  <c r="P890" i="7"/>
  <c r="Q890" i="7" s="1"/>
  <c r="W890" i="7" s="1"/>
  <c r="O890" i="7"/>
  <c r="Q969" i="7"/>
  <c r="W969" i="7" s="1"/>
  <c r="Q1066" i="7"/>
  <c r="W1066" i="7" s="1"/>
  <c r="Q906" i="7"/>
  <c r="W906" i="7" s="1"/>
  <c r="Q907" i="7"/>
  <c r="W907" i="7" s="1"/>
  <c r="Q954" i="7"/>
  <c r="W954" i="7" s="1"/>
  <c r="Q955" i="7"/>
  <c r="W955" i="7" s="1"/>
  <c r="O820" i="7"/>
  <c r="O836" i="7"/>
  <c r="O852" i="7"/>
  <c r="O868" i="7"/>
  <c r="O889" i="7"/>
  <c r="Q922" i="7"/>
  <c r="W922" i="7" s="1"/>
  <c r="Q938" i="7"/>
  <c r="W938" i="7" s="1"/>
  <c r="P963" i="7"/>
  <c r="Q963" i="7" s="1"/>
  <c r="W963" i="7" s="1"/>
  <c r="O963" i="7"/>
  <c r="Q976" i="7"/>
  <c r="W976" i="7" s="1"/>
  <c r="O843" i="7"/>
  <c r="O859" i="7"/>
  <c r="O875" i="7"/>
  <c r="O892" i="7"/>
  <c r="P895" i="7"/>
  <c r="Q895" i="7" s="1"/>
  <c r="W895" i="7" s="1"/>
  <c r="O895" i="7"/>
  <c r="P897" i="7"/>
  <c r="Q897" i="7" s="1"/>
  <c r="W897" i="7" s="1"/>
  <c r="O897" i="7"/>
  <c r="Q911" i="7"/>
  <c r="W911" i="7" s="1"/>
  <c r="P915" i="7"/>
  <c r="Q915" i="7" s="1"/>
  <c r="W915" i="7" s="1"/>
  <c r="O915" i="7"/>
  <c r="P931" i="7"/>
  <c r="Q931" i="7" s="1"/>
  <c r="W931" i="7" s="1"/>
  <c r="O931" i="7"/>
  <c r="P947" i="7"/>
  <c r="Q947" i="7" s="1"/>
  <c r="W947" i="7" s="1"/>
  <c r="O947" i="7"/>
  <c r="Q959" i="7"/>
  <c r="W959" i="7" s="1"/>
  <c r="Q972" i="7"/>
  <c r="W972" i="7" s="1"/>
  <c r="O834" i="7"/>
  <c r="O850" i="7"/>
  <c r="O866" i="7"/>
  <c r="Q927" i="7"/>
  <c r="W927" i="7" s="1"/>
  <c r="Q943" i="7"/>
  <c r="W943" i="7" s="1"/>
  <c r="Q992" i="7"/>
  <c r="W992" i="7" s="1"/>
  <c r="O841" i="7"/>
  <c r="O857" i="7"/>
  <c r="O873" i="7"/>
  <c r="O894" i="7"/>
  <c r="Q971" i="7"/>
  <c r="W971" i="7" s="1"/>
  <c r="O864" i="7"/>
  <c r="O878" i="7"/>
  <c r="Q910" i="7"/>
  <c r="W910" i="7" s="1"/>
  <c r="Q942" i="7"/>
  <c r="W942" i="7" s="1"/>
  <c r="Q968" i="7"/>
  <c r="W968" i="7" s="1"/>
  <c r="Q1026" i="7"/>
  <c r="W1026" i="7" s="1"/>
  <c r="P979" i="7"/>
  <c r="Q979" i="7" s="1"/>
  <c r="W979" i="7" s="1"/>
  <c r="O979" i="7"/>
  <c r="Q1009" i="7"/>
  <c r="W1009" i="7" s="1"/>
  <c r="Q1047" i="7"/>
  <c r="W1047" i="7" s="1"/>
  <c r="O981" i="7"/>
  <c r="R981" i="7" s="1"/>
  <c r="Q1072" i="7"/>
  <c r="W1072" i="7" s="1"/>
  <c r="Q1114" i="7"/>
  <c r="W1114" i="7" s="1"/>
  <c r="O910" i="7"/>
  <c r="O926" i="7"/>
  <c r="O942" i="7"/>
  <c r="O958" i="7"/>
  <c r="O965" i="7"/>
  <c r="Q1001" i="7"/>
  <c r="W1001" i="7" s="1"/>
  <c r="Q1022" i="7"/>
  <c r="W1022" i="7" s="1"/>
  <c r="Q1025" i="7"/>
  <c r="W1025" i="7" s="1"/>
  <c r="P1050" i="7"/>
  <c r="Q1050" i="7" s="1"/>
  <c r="W1050" i="7" s="1"/>
  <c r="O1050" i="7"/>
  <c r="O1062" i="7"/>
  <c r="P1062" i="7"/>
  <c r="Q1062" i="7" s="1"/>
  <c r="W1062" i="7" s="1"/>
  <c r="Q1000" i="7"/>
  <c r="W1000" i="7" s="1"/>
  <c r="Q1005" i="7"/>
  <c r="W1005" i="7" s="1"/>
  <c r="P1029" i="7"/>
  <c r="O1029" i="7"/>
  <c r="Q991" i="7"/>
  <c r="W991" i="7" s="1"/>
  <c r="P995" i="7"/>
  <c r="Q995" i="7" s="1"/>
  <c r="W995" i="7" s="1"/>
  <c r="O995" i="7"/>
  <c r="Q1008" i="7"/>
  <c r="W1008" i="7" s="1"/>
  <c r="Q1016" i="7"/>
  <c r="W1016" i="7" s="1"/>
  <c r="Q1021" i="7"/>
  <c r="W1021" i="7" s="1"/>
  <c r="Q1053" i="7"/>
  <c r="W1053" i="7" s="1"/>
  <c r="Q1081" i="7"/>
  <c r="W1081" i="7" s="1"/>
  <c r="O906" i="7"/>
  <c r="O922" i="7"/>
  <c r="O938" i="7"/>
  <c r="O954" i="7"/>
  <c r="O974" i="7"/>
  <c r="P1011" i="7"/>
  <c r="Q1011" i="7" s="1"/>
  <c r="W1011" i="7" s="1"/>
  <c r="O1011" i="7"/>
  <c r="Q1038" i="7"/>
  <c r="W1038" i="7" s="1"/>
  <c r="Q1041" i="7"/>
  <c r="W1041" i="7" s="1"/>
  <c r="O913" i="7"/>
  <c r="O929" i="7"/>
  <c r="O945" i="7"/>
  <c r="O961" i="7"/>
  <c r="O971" i="7"/>
  <c r="Q985" i="7"/>
  <c r="W985" i="7" s="1"/>
  <c r="P1045" i="7"/>
  <c r="Q1045" i="7" s="1"/>
  <c r="W1045" i="7" s="1"/>
  <c r="O1045" i="7"/>
  <c r="Q1097" i="7"/>
  <c r="W1097" i="7" s="1"/>
  <c r="Q1015" i="7"/>
  <c r="W1015" i="7" s="1"/>
  <c r="Q1057" i="7"/>
  <c r="W1057" i="7" s="1"/>
  <c r="O911" i="7"/>
  <c r="O927" i="7"/>
  <c r="O943" i="7"/>
  <c r="O959" i="7"/>
  <c r="O969" i="7"/>
  <c r="P983" i="7"/>
  <c r="Q983" i="7" s="1"/>
  <c r="W983" i="7" s="1"/>
  <c r="O983" i="7"/>
  <c r="Q1003" i="7"/>
  <c r="W1003" i="7" s="1"/>
  <c r="Q1007" i="7"/>
  <c r="W1007" i="7" s="1"/>
  <c r="P1027" i="7"/>
  <c r="Q1027" i="7" s="1"/>
  <c r="W1027" i="7" s="1"/>
  <c r="O1027" i="7"/>
  <c r="Q990" i="7"/>
  <c r="W990" i="7" s="1"/>
  <c r="Q1002" i="7"/>
  <c r="W1002" i="7" s="1"/>
  <c r="Q1019" i="7"/>
  <c r="W1019" i="7" s="1"/>
  <c r="Q1018" i="7"/>
  <c r="W1018" i="7" s="1"/>
  <c r="Q1048" i="7"/>
  <c r="W1048" i="7" s="1"/>
  <c r="Q989" i="7"/>
  <c r="W989" i="7" s="1"/>
  <c r="Q1006" i="7"/>
  <c r="W1006" i="7" s="1"/>
  <c r="Q1052" i="7"/>
  <c r="W1052" i="7" s="1"/>
  <c r="Q1109" i="7"/>
  <c r="W1109" i="7" s="1"/>
  <c r="Q1112" i="7"/>
  <c r="W1112" i="7" s="1"/>
  <c r="Q981" i="7"/>
  <c r="W981" i="7" s="1"/>
  <c r="Q993" i="7"/>
  <c r="W993" i="7" s="1"/>
  <c r="Q1014" i="7"/>
  <c r="W1014" i="7" s="1"/>
  <c r="Q1035" i="7"/>
  <c r="W1035" i="7" s="1"/>
  <c r="P1043" i="7"/>
  <c r="Q1043" i="7" s="1"/>
  <c r="W1043" i="7" s="1"/>
  <c r="O1043" i="7"/>
  <c r="Q1055" i="7"/>
  <c r="W1055" i="7" s="1"/>
  <c r="Q1058" i="7"/>
  <c r="W1058" i="7" s="1"/>
  <c r="Q1063" i="7"/>
  <c r="W1063" i="7" s="1"/>
  <c r="P1067" i="7"/>
  <c r="Q1067" i="7" s="1"/>
  <c r="W1067" i="7" s="1"/>
  <c r="O1067" i="7"/>
  <c r="Q1101" i="7"/>
  <c r="W1101" i="7" s="1"/>
  <c r="Q1102" i="7"/>
  <c r="W1102" i="7" s="1"/>
  <c r="P1242" i="7"/>
  <c r="Q1242" i="7" s="1"/>
  <c r="W1242" i="7" s="1"/>
  <c r="O1242" i="7"/>
  <c r="R1242" i="7" s="1"/>
  <c r="Q1105" i="7"/>
  <c r="W1105" i="7" s="1"/>
  <c r="Q1131" i="7"/>
  <c r="W1131" i="7" s="1"/>
  <c r="Q1086" i="7"/>
  <c r="W1086" i="7" s="1"/>
  <c r="P1115" i="7"/>
  <c r="Q1115" i="7" s="1"/>
  <c r="W1115" i="7" s="1"/>
  <c r="O1115" i="7"/>
  <c r="O999" i="7"/>
  <c r="O1015" i="7"/>
  <c r="O1031" i="7"/>
  <c r="O1047" i="7"/>
  <c r="Q1051" i="7"/>
  <c r="W1051" i="7" s="1"/>
  <c r="O1055" i="7"/>
  <c r="Q1080" i="7"/>
  <c r="W1080" i="7" s="1"/>
  <c r="Q1108" i="7"/>
  <c r="W1108" i="7" s="1"/>
  <c r="Q1204" i="7"/>
  <c r="W1204" i="7" s="1"/>
  <c r="Q1216" i="7"/>
  <c r="W1216" i="7" s="1"/>
  <c r="Q1071" i="7"/>
  <c r="W1071" i="7" s="1"/>
  <c r="Q1076" i="7"/>
  <c r="W1076" i="7" s="1"/>
  <c r="Q1089" i="7"/>
  <c r="W1089" i="7" s="1"/>
  <c r="Q1096" i="7"/>
  <c r="W1096" i="7" s="1"/>
  <c r="Q1107" i="7"/>
  <c r="W1107" i="7" s="1"/>
  <c r="R1130" i="7"/>
  <c r="Q1059" i="7"/>
  <c r="W1059" i="7" s="1"/>
  <c r="Q1060" i="7"/>
  <c r="W1060" i="7" s="1"/>
  <c r="Q1093" i="7"/>
  <c r="W1093" i="7" s="1"/>
  <c r="Q1130" i="7"/>
  <c r="W1130" i="7" s="1"/>
  <c r="Q1133" i="7"/>
  <c r="W1133" i="7" s="1"/>
  <c r="Q1065" i="7"/>
  <c r="W1065" i="7" s="1"/>
  <c r="Q1070" i="7"/>
  <c r="W1070" i="7" s="1"/>
  <c r="Q1075" i="7"/>
  <c r="W1075" i="7" s="1"/>
  <c r="P1083" i="7"/>
  <c r="Q1083" i="7" s="1"/>
  <c r="W1083" i="7" s="1"/>
  <c r="O1083" i="7"/>
  <c r="Q1084" i="7"/>
  <c r="W1084" i="7" s="1"/>
  <c r="Q1088" i="7"/>
  <c r="W1088" i="7" s="1"/>
  <c r="P1099" i="7"/>
  <c r="Q1099" i="7" s="1"/>
  <c r="W1099" i="7" s="1"/>
  <c r="O1099" i="7"/>
  <c r="Q1106" i="7"/>
  <c r="W1106" i="7" s="1"/>
  <c r="R1137" i="7"/>
  <c r="R1203" i="7"/>
  <c r="O1263" i="7"/>
  <c r="P1263" i="7"/>
  <c r="Q1263" i="7" s="1"/>
  <c r="W1263" i="7" s="1"/>
  <c r="O986" i="7"/>
  <c r="O1002" i="7"/>
  <c r="O1018" i="7"/>
  <c r="O1034" i="7"/>
  <c r="O1051" i="7"/>
  <c r="Q1074" i="7"/>
  <c r="W1074" i="7" s="1"/>
  <c r="Q1121" i="7"/>
  <c r="W1121" i="7" s="1"/>
  <c r="O993" i="7"/>
  <c r="O1009" i="7"/>
  <c r="O1025" i="7"/>
  <c r="O1041" i="7"/>
  <c r="P1069" i="7"/>
  <c r="Q1069" i="7" s="1"/>
  <c r="W1069" i="7" s="1"/>
  <c r="O1069" i="7"/>
  <c r="Q1092" i="7"/>
  <c r="W1092" i="7" s="1"/>
  <c r="O984" i="7"/>
  <c r="O1000" i="7"/>
  <c r="O1016" i="7"/>
  <c r="O1032" i="7"/>
  <c r="Q1064" i="7"/>
  <c r="W1064" i="7" s="1"/>
  <c r="Q1095" i="7"/>
  <c r="W1095" i="7" s="1"/>
  <c r="Q1118" i="7"/>
  <c r="W1118" i="7" s="1"/>
  <c r="Q1124" i="7"/>
  <c r="W1124" i="7" s="1"/>
  <c r="Q1125" i="7"/>
  <c r="W1125" i="7" s="1"/>
  <c r="P1163" i="7"/>
  <c r="Q1163" i="7" s="1"/>
  <c r="W1163" i="7" s="1"/>
  <c r="O1163" i="7"/>
  <c r="Q1091" i="7"/>
  <c r="W1091" i="7" s="1"/>
  <c r="O1014" i="7"/>
  <c r="O1030" i="7"/>
  <c r="O1046" i="7"/>
  <c r="P1049" i="7"/>
  <c r="Q1049" i="7" s="1"/>
  <c r="W1049" i="7" s="1"/>
  <c r="O1049" i="7"/>
  <c r="O1053" i="7"/>
  <c r="P1078" i="7"/>
  <c r="O1078" i="7"/>
  <c r="Q1110" i="7"/>
  <c r="W1110" i="7" s="1"/>
  <c r="Q1116" i="7"/>
  <c r="W1116" i="7" s="1"/>
  <c r="P1179" i="7"/>
  <c r="Q1179" i="7" s="1"/>
  <c r="W1179" i="7" s="1"/>
  <c r="O1179" i="7"/>
  <c r="Q1120" i="7"/>
  <c r="W1120" i="7" s="1"/>
  <c r="R1124" i="7"/>
  <c r="O1071" i="7"/>
  <c r="Q1260" i="7"/>
  <c r="W1260" i="7" s="1"/>
  <c r="O1085" i="7"/>
  <c r="O1101" i="7"/>
  <c r="Q1137" i="7"/>
  <c r="W1137" i="7" s="1"/>
  <c r="Q1138" i="7"/>
  <c r="W1138" i="7" s="1"/>
  <c r="P1145" i="7"/>
  <c r="O1145" i="7"/>
  <c r="R1147" i="7"/>
  <c r="Q1174" i="7"/>
  <c r="W1174" i="7" s="1"/>
  <c r="P1228" i="7"/>
  <c r="Q1228" i="7" s="1"/>
  <c r="W1228" i="7" s="1"/>
  <c r="O1228" i="7"/>
  <c r="R1228" i="7" s="1"/>
  <c r="Q1157" i="7"/>
  <c r="W1157" i="7" s="1"/>
  <c r="P1161" i="7"/>
  <c r="Q1161" i="7" s="1"/>
  <c r="W1161" i="7" s="1"/>
  <c r="O1161" i="7"/>
  <c r="R1161" i="7" s="1"/>
  <c r="Q1173" i="7"/>
  <c r="W1173" i="7" s="1"/>
  <c r="P1177" i="7"/>
  <c r="O1177" i="7"/>
  <c r="Q1213" i="7"/>
  <c r="W1213" i="7" s="1"/>
  <c r="Q1272" i="7"/>
  <c r="W1272" i="7" s="1"/>
  <c r="Q1150" i="7"/>
  <c r="W1150" i="7" s="1"/>
  <c r="Q1166" i="7"/>
  <c r="W1166" i="7" s="1"/>
  <c r="Q1182" i="7"/>
  <c r="W1182" i="7" s="1"/>
  <c r="Q1193" i="7"/>
  <c r="W1193" i="7" s="1"/>
  <c r="Q1196" i="7"/>
  <c r="W1196" i="7" s="1"/>
  <c r="O1058" i="7"/>
  <c r="O1074" i="7"/>
  <c r="O1090" i="7"/>
  <c r="O1106" i="7"/>
  <c r="O1123" i="7"/>
  <c r="R1123" i="7" s="1"/>
  <c r="O1065" i="7"/>
  <c r="O1081" i="7"/>
  <c r="O1097" i="7"/>
  <c r="O1113" i="7"/>
  <c r="Q1188" i="7"/>
  <c r="W1188" i="7" s="1"/>
  <c r="O1072" i="7"/>
  <c r="O1088" i="7"/>
  <c r="O1104" i="7"/>
  <c r="O1120" i="7"/>
  <c r="Q1149" i="7"/>
  <c r="W1149" i="7" s="1"/>
  <c r="Q1165" i="7"/>
  <c r="W1165" i="7" s="1"/>
  <c r="Q1181" i="7"/>
  <c r="W1181" i="7" s="1"/>
  <c r="Q1187" i="7"/>
  <c r="W1187" i="7" s="1"/>
  <c r="Q1129" i="7"/>
  <c r="W1129" i="7" s="1"/>
  <c r="Q1215" i="7"/>
  <c r="W1215" i="7" s="1"/>
  <c r="P1268" i="7"/>
  <c r="Q1268" i="7" s="1"/>
  <c r="W1268" i="7" s="1"/>
  <c r="O1268" i="7"/>
  <c r="R1156" i="7"/>
  <c r="P1199" i="7"/>
  <c r="Q1199" i="7" s="1"/>
  <c r="W1199" i="7" s="1"/>
  <c r="O1199" i="7"/>
  <c r="R1199" i="7" s="1"/>
  <c r="Q1156" i="7"/>
  <c r="W1156" i="7" s="1"/>
  <c r="Q1159" i="7"/>
  <c r="W1159" i="7" s="1"/>
  <c r="Q1141" i="7"/>
  <c r="W1141" i="7" s="1"/>
  <c r="R1149" i="7"/>
  <c r="Q1251" i="7"/>
  <c r="W1251" i="7" s="1"/>
  <c r="Q1148" i="7"/>
  <c r="W1148" i="7" s="1"/>
  <c r="P1152" i="7"/>
  <c r="Q1152" i="7" s="1"/>
  <c r="W1152" i="7" s="1"/>
  <c r="O1152" i="7"/>
  <c r="Q1155" i="7"/>
  <c r="W1155" i="7" s="1"/>
  <c r="Q1164" i="7"/>
  <c r="W1164" i="7" s="1"/>
  <c r="P1168" i="7"/>
  <c r="Q1168" i="7" s="1"/>
  <c r="W1168" i="7" s="1"/>
  <c r="O1168" i="7"/>
  <c r="Q1171" i="7"/>
  <c r="W1171" i="7" s="1"/>
  <c r="Q1180" i="7"/>
  <c r="W1180" i="7" s="1"/>
  <c r="P1184" i="7"/>
  <c r="O1184" i="7"/>
  <c r="P1194" i="7"/>
  <c r="O1194" i="7"/>
  <c r="R1207" i="7"/>
  <c r="O1114" i="7"/>
  <c r="P1136" i="7"/>
  <c r="Q1136" i="7" s="1"/>
  <c r="W1136" i="7" s="1"/>
  <c r="O1136" i="7"/>
  <c r="R1136" i="7" s="1"/>
  <c r="Q1142" i="7"/>
  <c r="W1142" i="7" s="1"/>
  <c r="Q1154" i="7"/>
  <c r="W1154" i="7" s="1"/>
  <c r="Q1170" i="7"/>
  <c r="W1170" i="7" s="1"/>
  <c r="Q1185" i="7"/>
  <c r="W1185" i="7" s="1"/>
  <c r="Q1186" i="7"/>
  <c r="W1186" i="7" s="1"/>
  <c r="Q1198" i="7"/>
  <c r="W1198" i="7" s="1"/>
  <c r="P1214" i="7"/>
  <c r="Q1214" i="7" s="1"/>
  <c r="W1214" i="7" s="1"/>
  <c r="O1214" i="7"/>
  <c r="Q1222" i="7"/>
  <c r="W1222" i="7" s="1"/>
  <c r="P1127" i="7"/>
  <c r="Q1127" i="7" s="1"/>
  <c r="W1127" i="7" s="1"/>
  <c r="Q1147" i="7"/>
  <c r="W1147" i="7" s="1"/>
  <c r="P1189" i="7"/>
  <c r="Q1189" i="7" s="1"/>
  <c r="W1189" i="7" s="1"/>
  <c r="O1189" i="7"/>
  <c r="Q1238" i="7"/>
  <c r="W1238" i="7" s="1"/>
  <c r="P1192" i="7"/>
  <c r="Q1192" i="7" s="1"/>
  <c r="W1192" i="7" s="1"/>
  <c r="O1192" i="7"/>
  <c r="P1206" i="7"/>
  <c r="Q1206" i="7" s="1"/>
  <c r="W1206" i="7" s="1"/>
  <c r="O1206" i="7"/>
  <c r="R1206" i="7" s="1"/>
  <c r="Q1239" i="7"/>
  <c r="W1239" i="7" s="1"/>
  <c r="Q1250" i="7"/>
  <c r="W1250" i="7" s="1"/>
  <c r="Q1304" i="7"/>
  <c r="W1304" i="7" s="1"/>
  <c r="Q1322" i="7"/>
  <c r="W1322" i="7" s="1"/>
  <c r="O1230" i="7"/>
  <c r="P1259" i="7"/>
  <c r="Q1259" i="7" s="1"/>
  <c r="W1259" i="7" s="1"/>
  <c r="O1259" i="7"/>
  <c r="P1310" i="7"/>
  <c r="O1310" i="7"/>
  <c r="Q1321" i="7"/>
  <c r="W1321" i="7" s="1"/>
  <c r="Q1223" i="7"/>
  <c r="W1223" i="7" s="1"/>
  <c r="Q1221" i="7"/>
  <c r="W1221" i="7" s="1"/>
  <c r="Q1249" i="7"/>
  <c r="W1249" i="7" s="1"/>
  <c r="Q1296" i="7"/>
  <c r="W1296" i="7" s="1"/>
  <c r="P1303" i="7"/>
  <c r="Q1303" i="7" s="1"/>
  <c r="W1303" i="7" s="1"/>
  <c r="O1303" i="7"/>
  <c r="Q1247" i="7"/>
  <c r="W1247" i="7" s="1"/>
  <c r="Q1277" i="7"/>
  <c r="W1277" i="7" s="1"/>
  <c r="P1337" i="7"/>
  <c r="Q1337" i="7" s="1"/>
  <c r="W1337" i="7" s="1"/>
  <c r="O1337" i="7"/>
  <c r="Q1351" i="7"/>
  <c r="W1351" i="7" s="1"/>
  <c r="P1226" i="7"/>
  <c r="Q1226" i="7" s="1"/>
  <c r="W1226" i="7" s="1"/>
  <c r="O1226" i="7"/>
  <c r="P1233" i="7"/>
  <c r="Q1233" i="7" s="1"/>
  <c r="W1233" i="7" s="1"/>
  <c r="O1233" i="7"/>
  <c r="Q1236" i="7"/>
  <c r="W1236" i="7" s="1"/>
  <c r="Q1254" i="7"/>
  <c r="W1254" i="7" s="1"/>
  <c r="O1271" i="7"/>
  <c r="P1271" i="7"/>
  <c r="Q1271" i="7" s="1"/>
  <c r="W1271" i="7" s="1"/>
  <c r="Q1284" i="7"/>
  <c r="W1284" i="7" s="1"/>
  <c r="P1190" i="7"/>
  <c r="O1190" i="7"/>
  <c r="P1212" i="7"/>
  <c r="O1212" i="7"/>
  <c r="Q1240" i="7"/>
  <c r="W1240" i="7" s="1"/>
  <c r="Q1316" i="7"/>
  <c r="W1316" i="7" s="1"/>
  <c r="O1143" i="7"/>
  <c r="O1159" i="7"/>
  <c r="O1175" i="7"/>
  <c r="R1221" i="7"/>
  <c r="Q1252" i="7"/>
  <c r="W1252" i="7" s="1"/>
  <c r="O1150" i="7"/>
  <c r="O1166" i="7"/>
  <c r="O1182" i="7"/>
  <c r="P1201" i="7"/>
  <c r="O1201" i="7"/>
  <c r="Q1253" i="7"/>
  <c r="W1253" i="7" s="1"/>
  <c r="Q1267" i="7"/>
  <c r="W1267" i="7" s="1"/>
  <c r="Q1302" i="7"/>
  <c r="W1302" i="7" s="1"/>
  <c r="O1141" i="7"/>
  <c r="O1157" i="7"/>
  <c r="O1173" i="7"/>
  <c r="Q1203" i="7"/>
  <c r="W1203" i="7" s="1"/>
  <c r="Q1231" i="7"/>
  <c r="W1231" i="7" s="1"/>
  <c r="Q1245" i="7"/>
  <c r="W1245" i="7" s="1"/>
  <c r="O1148" i="7"/>
  <c r="O1164" i="7"/>
  <c r="O1180" i="7"/>
  <c r="O1187" i="7"/>
  <c r="O1196" i="7"/>
  <c r="P1210" i="7"/>
  <c r="Q1210" i="7" s="1"/>
  <c r="W1210" i="7" s="1"/>
  <c r="O1210" i="7"/>
  <c r="P1217" i="7"/>
  <c r="Q1217" i="7" s="1"/>
  <c r="W1217" i="7" s="1"/>
  <c r="O1217" i="7"/>
  <c r="R1217" i="7" s="1"/>
  <c r="Q1275" i="7"/>
  <c r="W1275" i="7" s="1"/>
  <c r="Q1286" i="7"/>
  <c r="W1286" i="7" s="1"/>
  <c r="Q1342" i="7"/>
  <c r="W1342" i="7" s="1"/>
  <c r="Q1208" i="7"/>
  <c r="W1208" i="7" s="1"/>
  <c r="Q1224" i="7"/>
  <c r="W1224" i="7" s="1"/>
  <c r="Q1230" i="7"/>
  <c r="W1230" i="7" s="1"/>
  <c r="Q1269" i="7"/>
  <c r="W1269" i="7" s="1"/>
  <c r="Q1266" i="7"/>
  <c r="W1266" i="7" s="1"/>
  <c r="P1305" i="7"/>
  <c r="Q1305" i="7" s="1"/>
  <c r="W1305" i="7" s="1"/>
  <c r="O1305" i="7"/>
  <c r="Q1243" i="7"/>
  <c r="W1243" i="7" s="1"/>
  <c r="P1278" i="7"/>
  <c r="Q1278" i="7" s="1"/>
  <c r="W1278" i="7" s="1"/>
  <c r="O1278" i="7"/>
  <c r="O1333" i="7"/>
  <c r="P1333" i="7"/>
  <c r="Q1333" i="7" s="1"/>
  <c r="W1333" i="7" s="1"/>
  <c r="Q1338" i="7"/>
  <c r="W1338" i="7" s="1"/>
  <c r="Q1344" i="7"/>
  <c r="W1344" i="7" s="1"/>
  <c r="Q1265" i="7"/>
  <c r="W1265" i="7" s="1"/>
  <c r="Q1276" i="7"/>
  <c r="W1276" i="7" s="1"/>
  <c r="P1287" i="7"/>
  <c r="Q1287" i="7" s="1"/>
  <c r="W1287" i="7" s="1"/>
  <c r="O1287" i="7"/>
  <c r="Q1311" i="7"/>
  <c r="W1311" i="7" s="1"/>
  <c r="O1347" i="7"/>
  <c r="P1347" i="7"/>
  <c r="O1315" i="7"/>
  <c r="P1315" i="7"/>
  <c r="Q1315" i="7" s="1"/>
  <c r="W1315" i="7" s="1"/>
  <c r="Q1326" i="7"/>
  <c r="W1326" i="7" s="1"/>
  <c r="P1332" i="7"/>
  <c r="O1332" i="7"/>
  <c r="P1248" i="7"/>
  <c r="Q1248" i="7" s="1"/>
  <c r="W1248" i="7" s="1"/>
  <c r="O1248" i="7"/>
  <c r="R1248" i="7" s="1"/>
  <c r="Q1285" i="7"/>
  <c r="W1285" i="7" s="1"/>
  <c r="Q1320" i="7"/>
  <c r="W1320" i="7" s="1"/>
  <c r="P1264" i="7"/>
  <c r="O1264" i="7"/>
  <c r="Q1308" i="7"/>
  <c r="W1308" i="7" s="1"/>
  <c r="O1353" i="7"/>
  <c r="P1353" i="7"/>
  <c r="Q1353" i="7" s="1"/>
  <c r="W1353" i="7" s="1"/>
  <c r="O1208" i="7"/>
  <c r="R1208" i="7" s="1"/>
  <c r="O1224" i="7"/>
  <c r="O1240" i="7"/>
  <c r="O1245" i="7"/>
  <c r="R1245" i="7" s="1"/>
  <c r="P1255" i="7"/>
  <c r="Q1255" i="7" s="1"/>
  <c r="W1255" i="7" s="1"/>
  <c r="O1269" i="7"/>
  <c r="P1273" i="7"/>
  <c r="O1273" i="7"/>
  <c r="Q1291" i="7"/>
  <c r="W1291" i="7" s="1"/>
  <c r="P1294" i="7"/>
  <c r="Q1294" i="7" s="1"/>
  <c r="W1294" i="7" s="1"/>
  <c r="O1294" i="7"/>
  <c r="P1324" i="7"/>
  <c r="Q1324" i="7" s="1"/>
  <c r="W1324" i="7" s="1"/>
  <c r="O1324" i="7"/>
  <c r="O1215" i="7"/>
  <c r="R1215" i="7" s="1"/>
  <c r="O1231" i="7"/>
  <c r="O1252" i="7"/>
  <c r="O1272" i="7"/>
  <c r="O1284" i="7"/>
  <c r="Q1312" i="7"/>
  <c r="W1312" i="7" s="1"/>
  <c r="Q1314" i="7"/>
  <c r="W1314" i="7" s="1"/>
  <c r="O1222" i="7"/>
  <c r="O1238" i="7"/>
  <c r="P1329" i="7"/>
  <c r="Q1329" i="7" s="1"/>
  <c r="W1329" i="7" s="1"/>
  <c r="O1329" i="7"/>
  <c r="O1213" i="7"/>
  <c r="O1229" i="7"/>
  <c r="O1261" i="7"/>
  <c r="P1289" i="7"/>
  <c r="O1289" i="7"/>
  <c r="Q1292" i="7"/>
  <c r="W1292" i="7" s="1"/>
  <c r="Q1330" i="7"/>
  <c r="W1330" i="7" s="1"/>
  <c r="P1257" i="7"/>
  <c r="Q1257" i="7" s="1"/>
  <c r="W1257" i="7" s="1"/>
  <c r="O1257" i="7"/>
  <c r="Q1335" i="7"/>
  <c r="W1335" i="7" s="1"/>
  <c r="Q1319" i="7"/>
  <c r="W1319" i="7" s="1"/>
  <c r="Q1350" i="7"/>
  <c r="W1350" i="7" s="1"/>
  <c r="O1280" i="7"/>
  <c r="O1296" i="7"/>
  <c r="O1316" i="7"/>
  <c r="O1338" i="7"/>
  <c r="O1285" i="7"/>
  <c r="O1301" i="7"/>
  <c r="O1308" i="7"/>
  <c r="O1321" i="7"/>
  <c r="Q1313" i="7"/>
  <c r="W1313" i="7" s="1"/>
  <c r="Q1325" i="7"/>
  <c r="W1325" i="7" s="1"/>
  <c r="Q1317" i="7"/>
  <c r="W1317" i="7" s="1"/>
  <c r="P1343" i="7"/>
  <c r="Q1343" i="7" s="1"/>
  <c r="W1343" i="7" s="1"/>
  <c r="P1345" i="7"/>
  <c r="Q1345" i="7" s="1"/>
  <c r="W1345" i="7" s="1"/>
  <c r="O1345" i="7"/>
  <c r="O1339" i="7"/>
  <c r="K6" i="7" l="1"/>
  <c r="R6" i="7" s="1"/>
  <c r="K181" i="7"/>
  <c r="Q1332" i="7"/>
  <c r="W1332" i="7" s="1"/>
  <c r="R984" i="7"/>
  <c r="Q1128" i="7"/>
  <c r="W1128" i="7" s="1"/>
  <c r="R748" i="7"/>
  <c r="S748" i="7" s="1"/>
  <c r="Y748" i="7" s="1"/>
  <c r="R698" i="7"/>
  <c r="Q460" i="7"/>
  <c r="Q507" i="7"/>
  <c r="R123" i="7"/>
  <c r="X123" i="7" s="1"/>
  <c r="Q192" i="7"/>
  <c r="W192" i="7" s="1"/>
  <c r="K534" i="7"/>
  <c r="R534" i="7" s="1"/>
  <c r="K117" i="7"/>
  <c r="R117" i="7" s="1"/>
  <c r="K105" i="7"/>
  <c r="R105" i="7" s="1"/>
  <c r="K1120" i="7"/>
  <c r="K1141" i="7"/>
  <c r="R1141" i="7" s="1"/>
  <c r="Q74" i="7"/>
  <c r="K55" i="7"/>
  <c r="R55" i="7" s="1"/>
  <c r="K553" i="7"/>
  <c r="K1247" i="7"/>
  <c r="R1247" i="7" s="1"/>
  <c r="K18" i="7"/>
  <c r="R18" i="7" s="1"/>
  <c r="K231" i="7"/>
  <c r="R231" i="7" s="1"/>
  <c r="K136" i="7"/>
  <c r="R136" i="7" s="1"/>
  <c r="K142" i="7"/>
  <c r="R142" i="7" s="1"/>
  <c r="K820" i="7"/>
  <c r="R820" i="7" s="1"/>
  <c r="K313" i="7"/>
  <c r="R313" i="7" s="1"/>
  <c r="K986" i="7"/>
  <c r="R986" i="7" s="1"/>
  <c r="K521" i="7"/>
  <c r="K1226" i="7"/>
  <c r="R91" i="7"/>
  <c r="Q160" i="7"/>
  <c r="W160" i="7" s="1"/>
  <c r="K496" i="7"/>
  <c r="R496" i="7" s="1"/>
  <c r="K482" i="7"/>
  <c r="K979" i="7"/>
  <c r="R979" i="7" s="1"/>
  <c r="Q1219" i="7"/>
  <c r="W1219" i="7" s="1"/>
  <c r="Q1310" i="7"/>
  <c r="W1310" i="7" s="1"/>
  <c r="Q1202" i="7"/>
  <c r="W1202" i="7" s="1"/>
  <c r="R792" i="7"/>
  <c r="Q557" i="7"/>
  <c r="W557" i="7" s="1"/>
  <c r="Q536" i="7"/>
  <c r="W536" i="7" s="1"/>
  <c r="Q551" i="7"/>
  <c r="W551" i="7" s="1"/>
  <c r="Q569" i="7"/>
  <c r="W569" i="7" s="1"/>
  <c r="K532" i="7"/>
  <c r="R532" i="7" s="1"/>
  <c r="K1223" i="7"/>
  <c r="R1223" i="7" s="1"/>
  <c r="K794" i="7"/>
  <c r="K1019" i="7"/>
  <c r="R1019" i="7" s="1"/>
  <c r="K1182" i="7"/>
  <c r="R1182" i="7" s="1"/>
  <c r="K87" i="7"/>
  <c r="R87" i="7" s="1"/>
  <c r="K760" i="7"/>
  <c r="K1133" i="7"/>
  <c r="R1133" i="7" s="1"/>
  <c r="K608" i="7"/>
  <c r="R608" i="7" s="1"/>
  <c r="K186" i="7"/>
  <c r="R186" i="7" s="1"/>
  <c r="K190" i="7"/>
  <c r="R190" i="7" s="1"/>
  <c r="Q98" i="7"/>
  <c r="W98" i="7" s="1"/>
  <c r="R859" i="7"/>
  <c r="Q827" i="7"/>
  <c r="W827" i="7" s="1"/>
  <c r="Q792" i="7"/>
  <c r="W792" i="7" s="1"/>
  <c r="R553" i="7"/>
  <c r="Q519" i="7"/>
  <c r="R491" i="7"/>
  <c r="R528" i="7"/>
  <c r="Q474" i="7"/>
  <c r="C136" i="8" s="1"/>
  <c r="K796" i="7"/>
  <c r="K804" i="7"/>
  <c r="R804" i="7" s="1"/>
  <c r="K1173" i="7"/>
  <c r="R1173" i="7" s="1"/>
  <c r="K446" i="7"/>
  <c r="R446" i="7" s="1"/>
  <c r="D108" i="8" s="1"/>
  <c r="K1121" i="7"/>
  <c r="R1121" i="7" s="1"/>
  <c r="K33" i="7"/>
  <c r="R33" i="7" s="1"/>
  <c r="K584" i="7"/>
  <c r="K1266" i="7"/>
  <c r="R1266" i="7" s="1"/>
  <c r="K161" i="7"/>
  <c r="K842" i="7"/>
  <c r="K489" i="7"/>
  <c r="R489" i="7" s="1"/>
  <c r="K495" i="7"/>
  <c r="R495" i="7" s="1"/>
  <c r="K1159" i="7"/>
  <c r="K72" i="7"/>
  <c r="R72" i="7" s="1"/>
  <c r="K750" i="7"/>
  <c r="R750" i="7" s="1"/>
  <c r="K1224" i="7"/>
  <c r="R1224" i="7" s="1"/>
  <c r="K216" i="7"/>
  <c r="R216" i="7" s="1"/>
  <c r="K211" i="7"/>
  <c r="R211" i="7" s="1"/>
  <c r="K892" i="7"/>
  <c r="R892" i="7" s="1"/>
  <c r="K971" i="7"/>
  <c r="R971" i="7" s="1"/>
  <c r="K989" i="7"/>
  <c r="R989" i="7" s="1"/>
  <c r="K635" i="7"/>
  <c r="R635" i="7" s="1"/>
  <c r="K637" i="7"/>
  <c r="R637" i="7" s="1"/>
  <c r="K1321" i="7"/>
  <c r="Q1134" i="7"/>
  <c r="W1134" i="7" s="1"/>
  <c r="R1041" i="7"/>
  <c r="Q973" i="7"/>
  <c r="W973" i="7" s="1"/>
  <c r="Q1013" i="7"/>
  <c r="W1013" i="7" s="1"/>
  <c r="Q863" i="7"/>
  <c r="W863" i="7" s="1"/>
  <c r="R672" i="7"/>
  <c r="D204" i="8" s="1"/>
  <c r="Q684" i="7"/>
  <c r="R584" i="7"/>
  <c r="Q491" i="7"/>
  <c r="Q528" i="7"/>
  <c r="W528" i="7" s="1"/>
  <c r="Q184" i="7"/>
  <c r="W184" i="7" s="1"/>
  <c r="K1210" i="7"/>
  <c r="R1210" i="7" s="1"/>
  <c r="K118" i="7"/>
  <c r="R118" i="7" s="1"/>
  <c r="K782" i="7"/>
  <c r="R782" i="7" s="1"/>
  <c r="K795" i="7"/>
  <c r="R795" i="7" s="1"/>
  <c r="K351" i="7"/>
  <c r="R351" i="7" s="1"/>
  <c r="K1179" i="7"/>
  <c r="K697" i="7"/>
  <c r="R697" i="7" s="1"/>
  <c r="K748" i="7"/>
  <c r="K564" i="7"/>
  <c r="R564" i="7" s="1"/>
  <c r="K1240" i="7"/>
  <c r="R1240" i="7" s="1"/>
  <c r="R760" i="7"/>
  <c r="S760" i="7" s="1"/>
  <c r="Y760" i="7" s="1"/>
  <c r="Q783" i="7"/>
  <c r="W783" i="7" s="1"/>
  <c r="Q778" i="7"/>
  <c r="W778" i="7" s="1"/>
  <c r="Q713" i="7"/>
  <c r="W713" i="7" s="1"/>
  <c r="Q601" i="7"/>
  <c r="W601" i="7" s="1"/>
  <c r="R482" i="7"/>
  <c r="Q527" i="7"/>
  <c r="W527" i="7" s="1"/>
  <c r="Q366" i="7"/>
  <c r="R109" i="7"/>
  <c r="X109" i="7" s="1"/>
  <c r="K513" i="7"/>
  <c r="R513" i="7" s="1"/>
  <c r="K468" i="7"/>
  <c r="R468" i="7" s="1"/>
  <c r="Q149" i="7"/>
  <c r="K12" i="7"/>
  <c r="R12" i="7" s="1"/>
  <c r="K486" i="7"/>
  <c r="R486" i="7" s="1"/>
  <c r="X486" i="7" s="1"/>
  <c r="K1166" i="7"/>
  <c r="K555" i="7"/>
  <c r="R555" i="7" s="1"/>
  <c r="K210" i="7"/>
  <c r="R210" i="7" s="1"/>
  <c r="K218" i="7"/>
  <c r="R218" i="7" s="1"/>
  <c r="X218" i="7" s="1"/>
  <c r="K890" i="7"/>
  <c r="K309" i="7"/>
  <c r="K969" i="7"/>
  <c r="K143" i="7"/>
  <c r="R143" i="7" s="1"/>
  <c r="Q739" i="7"/>
  <c r="W739" i="7" s="1"/>
  <c r="Q734" i="7"/>
  <c r="W734" i="7" s="1"/>
  <c r="Q559" i="7"/>
  <c r="W559" i="7" s="1"/>
  <c r="K1198" i="7"/>
  <c r="R1198" i="7" s="1"/>
  <c r="K1196" i="7"/>
  <c r="K90" i="7"/>
  <c r="K690" i="7"/>
  <c r="R690" i="7" s="1"/>
  <c r="X690" i="7" s="1"/>
  <c r="K1157" i="7"/>
  <c r="K54" i="7"/>
  <c r="R54" i="7" s="1"/>
  <c r="K744" i="7"/>
  <c r="K556" i="7"/>
  <c r="R556" i="7" s="1"/>
  <c r="S556" i="7" s="1"/>
  <c r="Y556" i="7" s="1"/>
  <c r="K571" i="7"/>
  <c r="R571" i="7" s="1"/>
  <c r="K1231" i="7"/>
  <c r="R1231" i="7" s="1"/>
  <c r="K672" i="7"/>
  <c r="R1226" i="7"/>
  <c r="R969" i="7"/>
  <c r="Q882" i="7"/>
  <c r="W882" i="7" s="1"/>
  <c r="R529" i="7"/>
  <c r="Q496" i="7"/>
  <c r="Q229" i="7"/>
  <c r="W229" i="7" s="1"/>
  <c r="K1214" i="7"/>
  <c r="K107" i="7"/>
  <c r="R107" i="7" s="1"/>
  <c r="X107" i="7" s="1"/>
  <c r="K805" i="7"/>
  <c r="R805" i="7" s="1"/>
  <c r="K617" i="7"/>
  <c r="K1163" i="7"/>
  <c r="K572" i="7"/>
  <c r="R572" i="7" s="1"/>
  <c r="K562" i="7"/>
  <c r="R562" i="7" s="1"/>
  <c r="K76" i="7"/>
  <c r="R76" i="7" s="1"/>
  <c r="R1159" i="7"/>
  <c r="Q917" i="7"/>
  <c r="W917" i="7" s="1"/>
  <c r="R1321" i="7"/>
  <c r="S1321" i="7" s="1"/>
  <c r="Y1321" i="7" s="1"/>
  <c r="K1152" i="7"/>
  <c r="Q1347" i="7"/>
  <c r="W1347" i="7" s="1"/>
  <c r="Q1184" i="7"/>
  <c r="W1184" i="7" s="1"/>
  <c r="Q1201" i="7"/>
  <c r="W1201" i="7" s="1"/>
  <c r="Q1139" i="7"/>
  <c r="W1139" i="7" s="1"/>
  <c r="Q951" i="7"/>
  <c r="W951" i="7" s="1"/>
  <c r="R1264" i="7"/>
  <c r="R1166" i="7"/>
  <c r="Q529" i="7"/>
  <c r="W529" i="7" s="1"/>
  <c r="Q504" i="7"/>
  <c r="Q472" i="7"/>
  <c r="R131" i="7"/>
  <c r="K524" i="7"/>
  <c r="R524" i="7" s="1"/>
  <c r="K1222" i="7"/>
  <c r="K787" i="7"/>
  <c r="K784" i="7"/>
  <c r="R784" i="7" s="1"/>
  <c r="K701" i="7"/>
  <c r="R701" i="7" s="1"/>
  <c r="K494" i="7"/>
  <c r="R494" i="7" s="1"/>
  <c r="D156" i="8" s="1"/>
  <c r="K1164" i="7"/>
  <c r="R1164" i="7" s="1"/>
  <c r="K61" i="7"/>
  <c r="R61" i="7" s="1"/>
  <c r="K732" i="7"/>
  <c r="R732" i="7" s="1"/>
  <c r="K733" i="7"/>
  <c r="R733" i="7" s="1"/>
  <c r="K1238" i="7"/>
  <c r="R309" i="7"/>
  <c r="K488" i="7"/>
  <c r="R488" i="7" s="1"/>
  <c r="Q1212" i="7"/>
  <c r="W1212" i="7" s="1"/>
  <c r="R1201" i="7"/>
  <c r="R1163" i="7"/>
  <c r="Q1145" i="7"/>
  <c r="W1145" i="7" s="1"/>
  <c r="Q1017" i="7"/>
  <c r="W1017" i="7" s="1"/>
  <c r="R787" i="7"/>
  <c r="R736" i="7"/>
  <c r="S736" i="7" s="1"/>
  <c r="Y736" i="7" s="1"/>
  <c r="Q1264" i="7"/>
  <c r="W1264" i="7" s="1"/>
  <c r="Q700" i="7"/>
  <c r="S700" i="7" s="1"/>
  <c r="R744" i="7"/>
  <c r="X744" i="7" s="1"/>
  <c r="Q545" i="7"/>
  <c r="W545" i="7" s="1"/>
  <c r="Q535" i="7"/>
  <c r="W535" i="7" s="1"/>
  <c r="Q547" i="7"/>
  <c r="W547" i="7" s="1"/>
  <c r="K52" i="7"/>
  <c r="R52" i="7" s="1"/>
  <c r="K540" i="7"/>
  <c r="R540" i="7" s="1"/>
  <c r="S540" i="7" s="1"/>
  <c r="Y540" i="7" s="1"/>
  <c r="K1216" i="7"/>
  <c r="R1216" i="7" s="1"/>
  <c r="K1213" i="7"/>
  <c r="R1213" i="7" s="1"/>
  <c r="K121" i="7"/>
  <c r="R121" i="7" s="1"/>
  <c r="K800" i="7"/>
  <c r="R800" i="7" s="1"/>
  <c r="K345" i="7"/>
  <c r="R345" i="7" s="1"/>
  <c r="X345" i="7" s="1"/>
  <c r="K1041" i="7"/>
  <c r="K95" i="7"/>
  <c r="K1138" i="7"/>
  <c r="R1138" i="7" s="1"/>
  <c r="K686" i="7"/>
  <c r="R686" i="7" s="1"/>
  <c r="K692" i="7"/>
  <c r="R692" i="7" s="1"/>
  <c r="K114" i="7"/>
  <c r="K442" i="7"/>
  <c r="R442" i="7" s="1"/>
  <c r="K1099" i="7"/>
  <c r="R1099" i="7" s="1"/>
  <c r="K1105" i="7"/>
  <c r="R1105" i="7" s="1"/>
  <c r="K485" i="7"/>
  <c r="R485" i="7" s="1"/>
  <c r="K1165" i="7"/>
  <c r="R1165" i="7" s="1"/>
  <c r="X1165" i="7" s="1"/>
  <c r="K1155" i="7"/>
  <c r="R1155" i="7" s="1"/>
  <c r="K738" i="7"/>
  <c r="R738" i="7" s="1"/>
  <c r="K749" i="7"/>
  <c r="R749" i="7" s="1"/>
  <c r="K554" i="7"/>
  <c r="R554" i="7" s="1"/>
  <c r="K310" i="7"/>
  <c r="R310" i="7" s="1"/>
  <c r="R161" i="7"/>
  <c r="R1157" i="7"/>
  <c r="X1157" i="7" s="1"/>
  <c r="Q1289" i="7"/>
  <c r="W1289" i="7" s="1"/>
  <c r="R1214" i="7"/>
  <c r="R1120" i="7"/>
  <c r="R890" i="7"/>
  <c r="Q543" i="7"/>
  <c r="W543" i="7" s="1"/>
  <c r="R124" i="7"/>
  <c r="K1204" i="7"/>
  <c r="R1204" i="7" s="1"/>
  <c r="R1142" i="7"/>
  <c r="K82" i="7"/>
  <c r="K1154" i="7"/>
  <c r="R1154" i="7" s="1"/>
  <c r="K747" i="7"/>
  <c r="R747" i="7" s="1"/>
  <c r="K570" i="7"/>
  <c r="R570" i="7" s="1"/>
  <c r="S570" i="7" s="1"/>
  <c r="Y570" i="7" s="1"/>
  <c r="K1235" i="7"/>
  <c r="R1235" i="7" s="1"/>
  <c r="Q691" i="7"/>
  <c r="K541" i="7"/>
  <c r="R541" i="7" s="1"/>
  <c r="X541" i="7" s="1"/>
  <c r="K680" i="7"/>
  <c r="R680" i="7" s="1"/>
  <c r="X680" i="7" s="1"/>
  <c r="R1196" i="7"/>
  <c r="R1179" i="7"/>
  <c r="Q984" i="7"/>
  <c r="W984" i="7" s="1"/>
  <c r="R1238" i="7"/>
  <c r="R1177" i="7"/>
  <c r="Q593" i="7"/>
  <c r="W593" i="7" s="1"/>
  <c r="R560" i="7"/>
  <c r="Q520" i="7"/>
  <c r="R1222" i="7"/>
  <c r="Q1273" i="7"/>
  <c r="W1273" i="7" s="1"/>
  <c r="Q1218" i="7"/>
  <c r="W1218" i="7" s="1"/>
  <c r="Q1153" i="7"/>
  <c r="W1153" i="7" s="1"/>
  <c r="Q1177" i="7"/>
  <c r="W1177" i="7" s="1"/>
  <c r="Q1078" i="7"/>
  <c r="W1078" i="7" s="1"/>
  <c r="Q1207" i="7"/>
  <c r="W1207" i="7" s="1"/>
  <c r="Q1123" i="7"/>
  <c r="W1123" i="7" s="1"/>
  <c r="Q1039" i="7"/>
  <c r="W1039" i="7" s="1"/>
  <c r="R842" i="7"/>
  <c r="R797" i="7"/>
  <c r="Q766" i="7"/>
  <c r="W766" i="7" s="1"/>
  <c r="R543" i="7"/>
  <c r="R544" i="7"/>
  <c r="Q482" i="7"/>
  <c r="Q346" i="7"/>
  <c r="W346" i="7" s="1"/>
  <c r="Q304" i="7"/>
  <c r="W304" i="7" s="1"/>
  <c r="Q49" i="7"/>
  <c r="W49" i="7" s="1"/>
  <c r="K801" i="7"/>
  <c r="K1190" i="7"/>
  <c r="K762" i="7"/>
  <c r="R762" i="7" s="1"/>
  <c r="K1125" i="7"/>
  <c r="R1125" i="7" s="1"/>
  <c r="Q54" i="7"/>
  <c r="K16" i="7"/>
  <c r="R16" i="7" s="1"/>
  <c r="K492" i="7"/>
  <c r="R492" i="7" s="1"/>
  <c r="K75" i="7"/>
  <c r="R75" i="7" s="1"/>
  <c r="K754" i="7"/>
  <c r="R754" i="7" s="1"/>
  <c r="K660" i="7"/>
  <c r="R660" i="7" s="1"/>
  <c r="K242" i="7"/>
  <c r="R242" i="7" s="1"/>
  <c r="K299" i="7"/>
  <c r="R299" i="7" s="1"/>
  <c r="K15" i="7"/>
  <c r="R15" i="7" s="1"/>
  <c r="R1152" i="7"/>
  <c r="Q949" i="7"/>
  <c r="W949" i="7" s="1"/>
  <c r="R796" i="7"/>
  <c r="R474" i="7"/>
  <c r="K1212" i="7"/>
  <c r="R1212" i="7" s="1"/>
  <c r="K1145" i="7"/>
  <c r="R1145" i="7" s="1"/>
  <c r="K477" i="7"/>
  <c r="R477" i="7" s="1"/>
  <c r="K736" i="7"/>
  <c r="X1208" i="7"/>
  <c r="S1208" i="7"/>
  <c r="Y1208" i="7" s="1"/>
  <c r="S890" i="7"/>
  <c r="Y890" i="7" s="1"/>
  <c r="X890" i="7"/>
  <c r="X1215" i="7"/>
  <c r="S1215" i="7"/>
  <c r="Y1215" i="7" s="1"/>
  <c r="X110" i="7"/>
  <c r="S45" i="7"/>
  <c r="Y45" i="7" s="1"/>
  <c r="X45" i="7"/>
  <c r="W57" i="7"/>
  <c r="K525" i="7"/>
  <c r="R525" i="7" s="1"/>
  <c r="Q525" i="7"/>
  <c r="W525" i="7" s="1"/>
  <c r="X1264" i="7"/>
  <c r="S1264" i="7"/>
  <c r="Y1264" i="7" s="1"/>
  <c r="S1248" i="7"/>
  <c r="Y1248" i="7" s="1"/>
  <c r="X1248" i="7"/>
  <c r="S1147" i="7"/>
  <c r="Y1147" i="7" s="1"/>
  <c r="X1147" i="7"/>
  <c r="S1199" i="7"/>
  <c r="Y1199" i="7" s="1"/>
  <c r="X1199" i="7"/>
  <c r="W509" i="7"/>
  <c r="W687" i="7"/>
  <c r="C188" i="8"/>
  <c r="W656" i="7"/>
  <c r="X126" i="7"/>
  <c r="C57" i="8"/>
  <c r="W135" i="7"/>
  <c r="X118" i="7"/>
  <c r="K129" i="7"/>
  <c r="Q129" i="7"/>
  <c r="W129" i="7" s="1"/>
  <c r="K108" i="7"/>
  <c r="R108" i="7" s="1"/>
  <c r="Q108" i="7"/>
  <c r="W108" i="7" s="1"/>
  <c r="Q806" i="7"/>
  <c r="W806" i="7" s="1"/>
  <c r="K806" i="7"/>
  <c r="R806" i="7" s="1"/>
  <c r="Q1040" i="7"/>
  <c r="W1040" i="7" s="1"/>
  <c r="K1040" i="7"/>
  <c r="R1040" i="7" s="1"/>
  <c r="K1037" i="7"/>
  <c r="R1037" i="7" s="1"/>
  <c r="Q1037" i="7"/>
  <c r="W1037" i="7" s="1"/>
  <c r="Q512" i="7"/>
  <c r="K512" i="7"/>
  <c r="R512" i="7" s="1"/>
  <c r="X80" i="7"/>
  <c r="K771" i="7"/>
  <c r="R771" i="7" s="1"/>
  <c r="Q771" i="7"/>
  <c r="W771" i="7" s="1"/>
  <c r="K768" i="7"/>
  <c r="R768" i="7" s="1"/>
  <c r="Q768" i="7"/>
  <c r="W768" i="7" s="1"/>
  <c r="K444" i="7"/>
  <c r="R444" i="7" s="1"/>
  <c r="Q444" i="7"/>
  <c r="K1126" i="7"/>
  <c r="R1126" i="7" s="1"/>
  <c r="Q1126" i="7"/>
  <c r="W1126" i="7" s="1"/>
  <c r="K1132" i="7"/>
  <c r="R1132" i="7" s="1"/>
  <c r="Q1132" i="7"/>
  <c r="W1132" i="7" s="1"/>
  <c r="W67" i="7"/>
  <c r="X18" i="7"/>
  <c r="X142" i="7"/>
  <c r="K596" i="7"/>
  <c r="R596" i="7" s="1"/>
  <c r="Q596" i="7"/>
  <c r="W596" i="7" s="1"/>
  <c r="X6" i="7"/>
  <c r="X548" i="7"/>
  <c r="S548" i="7"/>
  <c r="Y548" i="7" s="1"/>
  <c r="W145" i="7"/>
  <c r="C122" i="8"/>
  <c r="W460" i="7"/>
  <c r="C140" i="8"/>
  <c r="W478" i="7"/>
  <c r="X532" i="7"/>
  <c r="X87" i="7"/>
  <c r="K35" i="7"/>
  <c r="R35" i="7" s="1"/>
  <c r="Q35" i="7"/>
  <c r="W35" i="7" s="1"/>
  <c r="X186" i="7"/>
  <c r="X190" i="7"/>
  <c r="K861" i="7"/>
  <c r="R861" i="7" s="1"/>
  <c r="Q861" i="7"/>
  <c r="W861" i="7" s="1"/>
  <c r="K279" i="7"/>
  <c r="Q279" i="7"/>
  <c r="W279" i="7" s="1"/>
  <c r="K272" i="7"/>
  <c r="Q272" i="7"/>
  <c r="W272" i="7" s="1"/>
  <c r="K956" i="7"/>
  <c r="R956" i="7" s="1"/>
  <c r="Q956" i="7"/>
  <c r="W956" i="7" s="1"/>
  <c r="K946" i="7"/>
  <c r="R946" i="7" s="1"/>
  <c r="Q946" i="7"/>
  <c r="W946" i="7" s="1"/>
  <c r="K689" i="7"/>
  <c r="Q689" i="7"/>
  <c r="K696" i="7"/>
  <c r="R696" i="7" s="1"/>
  <c r="Q696" i="7"/>
  <c r="S143" i="7"/>
  <c r="X143" i="7"/>
  <c r="X149" i="7"/>
  <c r="S149" i="7"/>
  <c r="X33" i="7"/>
  <c r="S33" i="7"/>
  <c r="Y33" i="7" s="1"/>
  <c r="R82" i="7"/>
  <c r="S1219" i="7"/>
  <c r="Y1219" i="7" s="1"/>
  <c r="X1219" i="7"/>
  <c r="R1305" i="7"/>
  <c r="X1158" i="7"/>
  <c r="C147" i="8"/>
  <c r="W485" i="7"/>
  <c r="R355" i="7"/>
  <c r="C156" i="8"/>
  <c r="W494" i="7"/>
  <c r="Q186" i="7"/>
  <c r="W186" i="7" s="1"/>
  <c r="X1247" i="7"/>
  <c r="S1247" i="7"/>
  <c r="Y1247" i="7" s="1"/>
  <c r="C196" i="8"/>
  <c r="W664" i="7"/>
  <c r="R521" i="7"/>
  <c r="K435" i="7"/>
  <c r="Q435" i="7"/>
  <c r="W435" i="7" s="1"/>
  <c r="Q439" i="7"/>
  <c r="W439" i="7" s="1"/>
  <c r="K439" i="7"/>
  <c r="R439" i="7" s="1"/>
  <c r="K1100" i="7"/>
  <c r="R1100" i="7" s="1"/>
  <c r="Q1100" i="7"/>
  <c r="W1100" i="7" s="1"/>
  <c r="X69" i="7"/>
  <c r="K1298" i="7"/>
  <c r="R1298" i="7" s="1"/>
  <c r="Q1298" i="7"/>
  <c r="W1298" i="7" s="1"/>
  <c r="R1194" i="7"/>
  <c r="S1196" i="7"/>
  <c r="Y1196" i="7" s="1"/>
  <c r="X1196" i="7"/>
  <c r="X788" i="7"/>
  <c r="S788" i="7"/>
  <c r="Y788" i="7" s="1"/>
  <c r="X553" i="7"/>
  <c r="S553" i="7"/>
  <c r="Y553" i="7" s="1"/>
  <c r="W699" i="7"/>
  <c r="X92" i="7"/>
  <c r="K1209" i="7"/>
  <c r="R1209" i="7" s="1"/>
  <c r="Q1209" i="7"/>
  <c r="W1209" i="7" s="1"/>
  <c r="K607" i="7"/>
  <c r="R607" i="7" s="1"/>
  <c r="Q607" i="7"/>
  <c r="W607" i="7" s="1"/>
  <c r="X1105" i="7"/>
  <c r="S1105" i="7"/>
  <c r="Y1105" i="7" s="1"/>
  <c r="S1228" i="7"/>
  <c r="Y1228" i="7" s="1"/>
  <c r="X1228" i="7"/>
  <c r="X699" i="7"/>
  <c r="S699" i="7"/>
  <c r="X567" i="7"/>
  <c r="S567" i="7"/>
  <c r="Y567" i="7" s="1"/>
  <c r="X171" i="7"/>
  <c r="X125" i="7"/>
  <c r="D19" i="8"/>
  <c r="X19" i="7"/>
  <c r="X21" i="7"/>
  <c r="X12" i="7"/>
  <c r="S12" i="7"/>
  <c r="Q7" i="7"/>
  <c r="K7" i="7"/>
  <c r="R7" i="7" s="1"/>
  <c r="X679" i="7"/>
  <c r="X1139" i="7"/>
  <c r="C101" i="8"/>
  <c r="W387" i="7"/>
  <c r="K612" i="7"/>
  <c r="R612" i="7" s="1"/>
  <c r="Q612" i="7"/>
  <c r="W612" i="7" s="1"/>
  <c r="K1301" i="7"/>
  <c r="R1301" i="7" s="1"/>
  <c r="Q1301" i="7"/>
  <c r="W1301" i="7" s="1"/>
  <c r="K194" i="7"/>
  <c r="R194" i="7" s="1"/>
  <c r="Q194" i="7"/>
  <c r="W194" i="7" s="1"/>
  <c r="K195" i="7"/>
  <c r="R195" i="7" s="1"/>
  <c r="Q195" i="7"/>
  <c r="W195" i="7" s="1"/>
  <c r="K873" i="7"/>
  <c r="R873" i="7" s="1"/>
  <c r="Q873" i="7"/>
  <c r="W873" i="7" s="1"/>
  <c r="K271" i="7"/>
  <c r="R271" i="7" s="1"/>
  <c r="Q271" i="7"/>
  <c r="W271" i="7" s="1"/>
  <c r="K284" i="7"/>
  <c r="R284" i="7" s="1"/>
  <c r="Q284" i="7"/>
  <c r="W284" i="7" s="1"/>
  <c r="K945" i="7"/>
  <c r="Q945" i="7"/>
  <c r="W945" i="7" s="1"/>
  <c r="K685" i="7"/>
  <c r="R685" i="7" s="1"/>
  <c r="Q685" i="7"/>
  <c r="W147" i="7"/>
  <c r="C27" i="8"/>
  <c r="W27" i="7"/>
  <c r="C121" i="8"/>
  <c r="W459" i="7"/>
  <c r="X117" i="7"/>
  <c r="X734" i="7"/>
  <c r="S734" i="7"/>
  <c r="Y734" i="7" s="1"/>
  <c r="X543" i="7"/>
  <c r="S543" i="7"/>
  <c r="Y543" i="7" s="1"/>
  <c r="C109" i="8"/>
  <c r="W447" i="7"/>
  <c r="X83" i="7"/>
  <c r="S83" i="7"/>
  <c r="Y83" i="7" s="1"/>
  <c r="X76" i="7"/>
  <c r="S76" i="7"/>
  <c r="C119" i="8"/>
  <c r="W457" i="7"/>
  <c r="X64" i="7"/>
  <c r="D128" i="8"/>
  <c r="X466" i="7"/>
  <c r="S466" i="7"/>
  <c r="W498" i="7"/>
  <c r="X61" i="7"/>
  <c r="W8" i="7"/>
  <c r="C142" i="8"/>
  <c r="W480" i="7"/>
  <c r="X124" i="7"/>
  <c r="K47" i="7"/>
  <c r="Q47" i="7"/>
  <c r="W47" i="7" s="1"/>
  <c r="K723" i="7"/>
  <c r="R723" i="7" s="1"/>
  <c r="Q723" i="7"/>
  <c r="W723" i="7" s="1"/>
  <c r="X77" i="7"/>
  <c r="W25" i="7"/>
  <c r="S1226" i="7"/>
  <c r="Y1226" i="7" s="1"/>
  <c r="X1226" i="7"/>
  <c r="K523" i="7"/>
  <c r="R523" i="7" s="1"/>
  <c r="Q523" i="7"/>
  <c r="W523" i="7" s="1"/>
  <c r="K538" i="7"/>
  <c r="R538" i="7" s="1"/>
  <c r="Q538" i="7"/>
  <c r="W538" i="7" s="1"/>
  <c r="K1200" i="7"/>
  <c r="R1200" i="7" s="1"/>
  <c r="Q1200" i="7"/>
  <c r="W1200" i="7" s="1"/>
  <c r="K128" i="7"/>
  <c r="K807" i="7"/>
  <c r="R807" i="7" s="1"/>
  <c r="Q807" i="7"/>
  <c r="W807" i="7" s="1"/>
  <c r="K357" i="7"/>
  <c r="R357" i="7" s="1"/>
  <c r="Q357" i="7"/>
  <c r="W357" i="7" s="1"/>
  <c r="K1029" i="7"/>
  <c r="K1032" i="7"/>
  <c r="R1032" i="7" s="1"/>
  <c r="Q1032" i="7"/>
  <c r="W1032" i="7" s="1"/>
  <c r="K500" i="7"/>
  <c r="R500" i="7" s="1"/>
  <c r="Q500" i="7"/>
  <c r="K515" i="7"/>
  <c r="R515" i="7" s="1"/>
  <c r="Q515" i="7"/>
  <c r="K1172" i="7"/>
  <c r="R1172" i="7" s="1"/>
  <c r="Q1172" i="7"/>
  <c r="W1172" i="7" s="1"/>
  <c r="K102" i="7"/>
  <c r="R102" i="7" s="1"/>
  <c r="Q102" i="7"/>
  <c r="W102" i="7" s="1"/>
  <c r="K763" i="7"/>
  <c r="R763" i="7" s="1"/>
  <c r="Q763" i="7"/>
  <c r="W763" i="7" s="1"/>
  <c r="K464" i="7"/>
  <c r="R464" i="7" s="1"/>
  <c r="Q464" i="7"/>
  <c r="X1125" i="7"/>
  <c r="S1125" i="7"/>
  <c r="Y1125" i="7" s="1"/>
  <c r="K1140" i="7"/>
  <c r="R1140" i="7" s="1"/>
  <c r="Q1140" i="7"/>
  <c r="W1140" i="7" s="1"/>
  <c r="W59" i="7"/>
  <c r="W68" i="7"/>
  <c r="C17" i="8"/>
  <c r="W17" i="7"/>
  <c r="X700" i="7"/>
  <c r="S1136" i="7"/>
  <c r="Y1136" i="7" s="1"/>
  <c r="X1136" i="7"/>
  <c r="K530" i="7"/>
  <c r="R530" i="7" s="1"/>
  <c r="Q530" i="7"/>
  <c r="W530" i="7" s="1"/>
  <c r="X1238" i="7"/>
  <c r="S1238" i="7"/>
  <c r="Y1238" i="7" s="1"/>
  <c r="S545" i="7"/>
  <c r="Y545" i="7" s="1"/>
  <c r="X545" i="7"/>
  <c r="S1242" i="7"/>
  <c r="Y1242" i="7" s="1"/>
  <c r="X1242" i="7"/>
  <c r="K1220" i="7"/>
  <c r="R1220" i="7" s="1"/>
  <c r="Q1220" i="7"/>
  <c r="W1220" i="7" s="1"/>
  <c r="D127" i="8"/>
  <c r="X465" i="7"/>
  <c r="S465" i="7"/>
  <c r="R279" i="7"/>
  <c r="X119" i="7"/>
  <c r="K28" i="7"/>
  <c r="R28" i="7" s="1"/>
  <c r="Q28" i="7"/>
  <c r="W28" i="7" s="1"/>
  <c r="X16" i="7"/>
  <c r="C22" i="8"/>
  <c r="W22" i="7"/>
  <c r="Q181" i="7"/>
  <c r="W181" i="7" s="1"/>
  <c r="W75" i="7"/>
  <c r="K1274" i="7"/>
  <c r="R1274" i="7" s="1"/>
  <c r="Q1274" i="7"/>
  <c r="W1274" i="7" s="1"/>
  <c r="K848" i="7"/>
  <c r="R848" i="7" s="1"/>
  <c r="D151" i="8"/>
  <c r="S489" i="7"/>
  <c r="X489" i="7"/>
  <c r="X72" i="7"/>
  <c r="K1337" i="7"/>
  <c r="K1350" i="7"/>
  <c r="R1350" i="7" s="1"/>
  <c r="K919" i="7"/>
  <c r="R919" i="7" s="1"/>
  <c r="K918" i="7"/>
  <c r="R918" i="7" s="1"/>
  <c r="Q918" i="7"/>
  <c r="W918" i="7" s="1"/>
  <c r="K328" i="7"/>
  <c r="R328" i="7" s="1"/>
  <c r="K325" i="7"/>
  <c r="K990" i="7"/>
  <c r="R990" i="7" s="1"/>
  <c r="K1003" i="7"/>
  <c r="R1003" i="7" s="1"/>
  <c r="K414" i="7"/>
  <c r="R414" i="7" s="1"/>
  <c r="K404" i="7"/>
  <c r="R404" i="7" s="1"/>
  <c r="K1072" i="7"/>
  <c r="X136" i="7"/>
  <c r="S136" i="7"/>
  <c r="K978" i="7"/>
  <c r="R978" i="7" s="1"/>
  <c r="Q978" i="7"/>
  <c r="W978" i="7" s="1"/>
  <c r="Q69" i="7"/>
  <c r="Q126" i="7"/>
  <c r="W126" i="7" s="1"/>
  <c r="W143" i="7"/>
  <c r="K366" i="7"/>
  <c r="K388" i="7"/>
  <c r="R388" i="7" s="1"/>
  <c r="K1046" i="7"/>
  <c r="Q4" i="7"/>
  <c r="W2" i="7"/>
  <c r="W20" i="7"/>
  <c r="X1222" i="7"/>
  <c r="S1222" i="7"/>
  <c r="Y1222" i="7" s="1"/>
  <c r="X1214" i="7"/>
  <c r="S1214" i="7"/>
  <c r="Y1214" i="7" s="1"/>
  <c r="Q1194" i="7"/>
  <c r="W1194" i="7" s="1"/>
  <c r="X1223" i="7"/>
  <c r="S1223" i="7"/>
  <c r="Y1223" i="7" s="1"/>
  <c r="S1163" i="7"/>
  <c r="Y1163" i="7" s="1"/>
  <c r="X1163" i="7"/>
  <c r="R801" i="7"/>
  <c r="S698" i="7"/>
  <c r="X698" i="7"/>
  <c r="C205" i="8"/>
  <c r="W673" i="7"/>
  <c r="X683" i="7"/>
  <c r="S683" i="7"/>
  <c r="W690" i="7"/>
  <c r="C193" i="8"/>
  <c r="W661" i="7"/>
  <c r="R590" i="7"/>
  <c r="R617" i="7"/>
  <c r="D175" i="8" s="1"/>
  <c r="C185" i="8"/>
  <c r="W653" i="7"/>
  <c r="S572" i="7"/>
  <c r="Y572" i="7" s="1"/>
  <c r="X572" i="7"/>
  <c r="X529" i="7"/>
  <c r="S529" i="7"/>
  <c r="Y529" i="7" s="1"/>
  <c r="D119" i="8"/>
  <c r="S457" i="7"/>
  <c r="X457" i="7"/>
  <c r="C139" i="8"/>
  <c r="W477" i="7"/>
  <c r="R380" i="7"/>
  <c r="R129" i="7"/>
  <c r="R181" i="7"/>
  <c r="K26" i="7"/>
  <c r="R26" i="7" s="1"/>
  <c r="Q26" i="7"/>
  <c r="X120" i="7"/>
  <c r="Q340" i="7"/>
  <c r="W340" i="7" s="1"/>
  <c r="K340" i="7"/>
  <c r="R340" i="7" s="1"/>
  <c r="K346" i="7"/>
  <c r="R346" i="7" s="1"/>
  <c r="K1022" i="7"/>
  <c r="R1022" i="7" s="1"/>
  <c r="K1028" i="7"/>
  <c r="R1028" i="7" s="1"/>
  <c r="Q1028" i="7"/>
  <c r="W1028" i="7" s="1"/>
  <c r="S496" i="7"/>
  <c r="X496" i="7"/>
  <c r="K519" i="7"/>
  <c r="R519" i="7" s="1"/>
  <c r="K1175" i="7"/>
  <c r="R1175" i="7" s="1"/>
  <c r="K96" i="7"/>
  <c r="R96" i="7" s="1"/>
  <c r="K769" i="7"/>
  <c r="K445" i="7"/>
  <c r="R445" i="7" s="1"/>
  <c r="Q445" i="7"/>
  <c r="K1129" i="7"/>
  <c r="R1129" i="7" s="1"/>
  <c r="K81" i="7"/>
  <c r="R81" i="7" s="1"/>
  <c r="D29" i="8" s="1"/>
  <c r="K619" i="7"/>
  <c r="R619" i="7" s="1"/>
  <c r="K1277" i="7"/>
  <c r="R1277" i="7" s="1"/>
  <c r="K1276" i="7"/>
  <c r="R1276" i="7" s="1"/>
  <c r="K207" i="7"/>
  <c r="R207" i="7" s="1"/>
  <c r="K865" i="7"/>
  <c r="R865" i="7" s="1"/>
  <c r="K883" i="7"/>
  <c r="R883" i="7" s="1"/>
  <c r="K287" i="7"/>
  <c r="R287" i="7" s="1"/>
  <c r="K275" i="7"/>
  <c r="R275" i="7" s="1"/>
  <c r="K961" i="7"/>
  <c r="Q82" i="7"/>
  <c r="W82" i="7" s="1"/>
  <c r="K5" i="7"/>
  <c r="R5" i="7" s="1"/>
  <c r="K422" i="7"/>
  <c r="R422" i="7" s="1"/>
  <c r="K1115" i="7"/>
  <c r="K1096" i="7"/>
  <c r="R1096" i="7" s="1"/>
  <c r="K706" i="7"/>
  <c r="R706" i="7" s="1"/>
  <c r="K719" i="7"/>
  <c r="S54" i="7"/>
  <c r="X54" i="7"/>
  <c r="W151" i="7"/>
  <c r="K579" i="7"/>
  <c r="R579" i="7" s="1"/>
  <c r="K1251" i="7"/>
  <c r="R1251" i="7" s="1"/>
  <c r="K1268" i="7"/>
  <c r="K178" i="7"/>
  <c r="R178" i="7" s="1"/>
  <c r="K858" i="7"/>
  <c r="K839" i="7"/>
  <c r="R839" i="7" s="1"/>
  <c r="Q839" i="7"/>
  <c r="W839" i="7" s="1"/>
  <c r="K480" i="7"/>
  <c r="R480" i="7" s="1"/>
  <c r="K470" i="7"/>
  <c r="K1150" i="7"/>
  <c r="K63" i="7"/>
  <c r="R63" i="7" s="1"/>
  <c r="Q63" i="7"/>
  <c r="Q549" i="7"/>
  <c r="W549" i="7" s="1"/>
  <c r="K549" i="7"/>
  <c r="R549" i="7" s="1"/>
  <c r="K654" i="7"/>
  <c r="R654" i="7" s="1"/>
  <c r="Q654" i="7"/>
  <c r="Q1346" i="7"/>
  <c r="W1346" i="7" s="1"/>
  <c r="K1346" i="7"/>
  <c r="R1346" i="7" s="1"/>
  <c r="K1341" i="7"/>
  <c r="R1341" i="7" s="1"/>
  <c r="K258" i="7"/>
  <c r="K935" i="7"/>
  <c r="K934" i="7"/>
  <c r="R934" i="7" s="1"/>
  <c r="Q934" i="7"/>
  <c r="W934" i="7" s="1"/>
  <c r="K44" i="7"/>
  <c r="R44" i="7" s="1"/>
  <c r="D18" i="8" s="1"/>
  <c r="K2" i="7"/>
  <c r="R2" i="7" s="1"/>
  <c r="K319" i="7"/>
  <c r="R319" i="7" s="1"/>
  <c r="K316" i="7"/>
  <c r="R316" i="7" s="1"/>
  <c r="K1006" i="7"/>
  <c r="R1006" i="7" s="1"/>
  <c r="K994" i="7"/>
  <c r="R994" i="7" s="1"/>
  <c r="K228" i="7"/>
  <c r="R228" i="7" s="1"/>
  <c r="Q228" i="7"/>
  <c r="W228" i="7" s="1"/>
  <c r="K227" i="7"/>
  <c r="R227" i="7" s="1"/>
  <c r="K908" i="7"/>
  <c r="R908" i="7" s="1"/>
  <c r="K405" i="7"/>
  <c r="R405" i="7" s="1"/>
  <c r="K395" i="7"/>
  <c r="R395" i="7" s="1"/>
  <c r="K1088" i="7"/>
  <c r="K152" i="7"/>
  <c r="R152" i="7" s="1"/>
  <c r="K133" i="7"/>
  <c r="R133" i="7" s="1"/>
  <c r="K826" i="7"/>
  <c r="R826" i="7" s="1"/>
  <c r="K965" i="7"/>
  <c r="K977" i="7"/>
  <c r="K634" i="7"/>
  <c r="R634" i="7" s="1"/>
  <c r="K628" i="7"/>
  <c r="R628" i="7" s="1"/>
  <c r="K1313" i="7"/>
  <c r="R1313" i="7" s="1"/>
  <c r="R39" i="7"/>
  <c r="Q96" i="7"/>
  <c r="W96" i="7" s="1"/>
  <c r="Q122" i="7"/>
  <c r="W122" i="7" s="1"/>
  <c r="K130" i="7"/>
  <c r="K39" i="7"/>
  <c r="K382" i="7"/>
  <c r="R382" i="7" s="1"/>
  <c r="K379" i="7"/>
  <c r="R379" i="7" s="1"/>
  <c r="K1053" i="7"/>
  <c r="Q72" i="7"/>
  <c r="S72" i="7" s="1"/>
  <c r="S981" i="7"/>
  <c r="Y981" i="7" s="1"/>
  <c r="X981" i="7"/>
  <c r="S785" i="7"/>
  <c r="Y785" i="7" s="1"/>
  <c r="X785" i="7"/>
  <c r="X796" i="7"/>
  <c r="S796" i="7"/>
  <c r="Y796" i="7" s="1"/>
  <c r="S682" i="7"/>
  <c r="X682" i="7"/>
  <c r="Q762" i="7"/>
  <c r="W762" i="7" s="1"/>
  <c r="X688" i="7"/>
  <c r="S688" i="7"/>
  <c r="X728" i="7"/>
  <c r="S728" i="7"/>
  <c r="Y728" i="7" s="1"/>
  <c r="X701" i="7"/>
  <c r="S701" i="7"/>
  <c r="C200" i="8"/>
  <c r="W668" i="7"/>
  <c r="S684" i="7"/>
  <c r="X684" i="7"/>
  <c r="C192" i="8"/>
  <c r="W660" i="7"/>
  <c r="W701" i="7"/>
  <c r="Q617" i="7"/>
  <c r="W617" i="7" s="1"/>
  <c r="D136" i="8"/>
  <c r="X474" i="7"/>
  <c r="Q608" i="7"/>
  <c r="W608" i="7" s="1"/>
  <c r="S554" i="7"/>
  <c r="Y554" i="7" s="1"/>
  <c r="X554" i="7"/>
  <c r="C138" i="8"/>
  <c r="W476" i="7"/>
  <c r="C151" i="8"/>
  <c r="W489" i="7"/>
  <c r="W511" i="7"/>
  <c r="W391" i="7"/>
  <c r="C103" i="8"/>
  <c r="W389" i="7"/>
  <c r="K111" i="7"/>
  <c r="R111" i="7" s="1"/>
  <c r="Q111" i="7"/>
  <c r="W111" i="7" s="1"/>
  <c r="K354" i="7"/>
  <c r="R354" i="7" s="1"/>
  <c r="Q354" i="7"/>
  <c r="W354" i="7" s="1"/>
  <c r="K362" i="7"/>
  <c r="R362" i="7" s="1"/>
  <c r="K1038" i="7"/>
  <c r="R1038" i="7" s="1"/>
  <c r="X1019" i="7"/>
  <c r="S1019" i="7"/>
  <c r="Y1019" i="7" s="1"/>
  <c r="Q503" i="7"/>
  <c r="K503" i="7"/>
  <c r="R503" i="7" s="1"/>
  <c r="K517" i="7"/>
  <c r="R517" i="7" s="1"/>
  <c r="Q517" i="7"/>
  <c r="D114" i="8"/>
  <c r="X452" i="7"/>
  <c r="S452" i="7"/>
  <c r="K618" i="7"/>
  <c r="R618" i="7" s="1"/>
  <c r="K1286" i="7"/>
  <c r="R1286" i="7" s="1"/>
  <c r="K1292" i="7"/>
  <c r="R1292" i="7" s="1"/>
  <c r="K208" i="7"/>
  <c r="K867" i="7"/>
  <c r="R867" i="7" s="1"/>
  <c r="Q867" i="7"/>
  <c r="W867" i="7" s="1"/>
  <c r="K864" i="7"/>
  <c r="R864" i="7" s="1"/>
  <c r="K262" i="7"/>
  <c r="K266" i="7"/>
  <c r="R266" i="7" s="1"/>
  <c r="K952" i="7"/>
  <c r="R952" i="7" s="1"/>
  <c r="C12" i="12"/>
  <c r="D12" i="12" s="1"/>
  <c r="O12" i="10"/>
  <c r="K429" i="7"/>
  <c r="R429" i="7" s="1"/>
  <c r="K1106" i="7"/>
  <c r="K1112" i="7"/>
  <c r="R1112" i="7" s="1"/>
  <c r="W156" i="7"/>
  <c r="K30" i="7"/>
  <c r="R30" i="7" s="1"/>
  <c r="Q30" i="7"/>
  <c r="W30" i="7" s="1"/>
  <c r="K722" i="7"/>
  <c r="R722" i="7" s="1"/>
  <c r="K710" i="7"/>
  <c r="R710" i="7" s="1"/>
  <c r="Q710" i="7"/>
  <c r="W710" i="7" s="1"/>
  <c r="K585" i="7"/>
  <c r="K591" i="7"/>
  <c r="R591" i="7" s="1"/>
  <c r="K1275" i="7"/>
  <c r="R1275" i="7" s="1"/>
  <c r="K1262" i="7"/>
  <c r="R1262" i="7" s="1"/>
  <c r="Q1262" i="7"/>
  <c r="W1262" i="7" s="1"/>
  <c r="K162" i="7"/>
  <c r="R162" i="7" s="1"/>
  <c r="K840" i="7"/>
  <c r="R840" i="7" s="1"/>
  <c r="K855" i="7"/>
  <c r="R855" i="7" s="1"/>
  <c r="Q855" i="7"/>
  <c r="W855" i="7" s="1"/>
  <c r="Q471" i="7"/>
  <c r="K471" i="7"/>
  <c r="R471" i="7" s="1"/>
  <c r="K79" i="7"/>
  <c r="R79" i="7" s="1"/>
  <c r="Q79" i="7"/>
  <c r="K753" i="7"/>
  <c r="Q565" i="7"/>
  <c r="W565" i="7" s="1"/>
  <c r="K565" i="7"/>
  <c r="R565" i="7" s="1"/>
  <c r="R95" i="7"/>
  <c r="D43" i="8" s="1"/>
  <c r="K665" i="7"/>
  <c r="R665" i="7" s="1"/>
  <c r="K1331" i="7"/>
  <c r="R1331" i="7" s="1"/>
  <c r="Q1331" i="7"/>
  <c r="W1331" i="7" s="1"/>
  <c r="K1332" i="7"/>
  <c r="K249" i="7"/>
  <c r="R249" i="7" s="1"/>
  <c r="K917" i="7"/>
  <c r="R917" i="7" s="1"/>
  <c r="K925" i="7"/>
  <c r="R925" i="7" s="1"/>
  <c r="Q88" i="7"/>
  <c r="W88" i="7" s="1"/>
  <c r="K335" i="7"/>
  <c r="R335" i="7" s="1"/>
  <c r="K332" i="7"/>
  <c r="R332" i="7" s="1"/>
  <c r="Q1004" i="7"/>
  <c r="W1004" i="7" s="1"/>
  <c r="K1004" i="7"/>
  <c r="R1004" i="7" s="1"/>
  <c r="K1010" i="7"/>
  <c r="R1010" i="7" s="1"/>
  <c r="Q1010" i="7"/>
  <c r="W1010" i="7" s="1"/>
  <c r="O6" i="10"/>
  <c r="K396" i="7"/>
  <c r="R396" i="7" s="1"/>
  <c r="K411" i="7"/>
  <c r="R411" i="7" s="1"/>
  <c r="K1079" i="7"/>
  <c r="R1079" i="7" s="1"/>
  <c r="K827" i="7"/>
  <c r="R827" i="7" s="1"/>
  <c r="O10" i="10"/>
  <c r="K641" i="7"/>
  <c r="K644" i="7"/>
  <c r="R644" i="7" s="1"/>
  <c r="K1325" i="7"/>
  <c r="R1325" i="7" s="1"/>
  <c r="W148" i="7"/>
  <c r="R90" i="7"/>
  <c r="K389" i="7"/>
  <c r="R389" i="7" s="1"/>
  <c r="K386" i="7"/>
  <c r="R386" i="7" s="1"/>
  <c r="Q386" i="7"/>
  <c r="K1044" i="7"/>
  <c r="R1044" i="7" s="1"/>
  <c r="Q1044" i="7"/>
  <c r="W1044" i="7" s="1"/>
  <c r="W60" i="7"/>
  <c r="Q39" i="7"/>
  <c r="W39" i="7" s="1"/>
  <c r="W13" i="7"/>
  <c r="R769" i="7"/>
  <c r="X697" i="7"/>
  <c r="S697" i="7"/>
  <c r="W700" i="7"/>
  <c r="S702" i="7"/>
  <c r="X702" i="7"/>
  <c r="X695" i="7"/>
  <c r="S695" i="7"/>
  <c r="X560" i="7"/>
  <c r="S560" i="7"/>
  <c r="Y560" i="7" s="1"/>
  <c r="S637" i="7"/>
  <c r="Y637" i="7" s="1"/>
  <c r="X637" i="7"/>
  <c r="X557" i="7"/>
  <c r="S557" i="7"/>
  <c r="Y557" i="7" s="1"/>
  <c r="X546" i="7"/>
  <c r="S546" i="7"/>
  <c r="Y546" i="7" s="1"/>
  <c r="C141" i="8"/>
  <c r="W479" i="7"/>
  <c r="D147" i="8"/>
  <c r="S485" i="7"/>
  <c r="X485" i="7"/>
  <c r="D143" i="8"/>
  <c r="X481" i="7"/>
  <c r="S481" i="7"/>
  <c r="C97" i="8"/>
  <c r="W383" i="7"/>
  <c r="W371" i="7"/>
  <c r="K99" i="7"/>
  <c r="R99" i="7" s="1"/>
  <c r="K127" i="7"/>
  <c r="R127" i="7" s="1"/>
  <c r="Q127" i="7"/>
  <c r="W127" i="7" s="1"/>
  <c r="K348" i="7"/>
  <c r="R348" i="7" s="1"/>
  <c r="Q360" i="7"/>
  <c r="W360" i="7" s="1"/>
  <c r="K360" i="7"/>
  <c r="R360" i="7" s="1"/>
  <c r="Q1020" i="7"/>
  <c r="W1020" i="7" s="1"/>
  <c r="K1020" i="7"/>
  <c r="R1020" i="7" s="1"/>
  <c r="K1035" i="7"/>
  <c r="R1035" i="7" s="1"/>
  <c r="K510" i="7"/>
  <c r="R510" i="7" s="1"/>
  <c r="K516" i="7"/>
  <c r="R516" i="7" s="1"/>
  <c r="K103" i="7"/>
  <c r="R103" i="7" s="1"/>
  <c r="D51" i="8" s="1"/>
  <c r="K776" i="7"/>
  <c r="R776" i="7" s="1"/>
  <c r="K3" i="7"/>
  <c r="R3" i="7" s="1"/>
  <c r="K600" i="7"/>
  <c r="R600" i="7" s="1"/>
  <c r="K1296" i="7"/>
  <c r="R1296" i="7" s="1"/>
  <c r="K1283" i="7"/>
  <c r="R1283" i="7" s="1"/>
  <c r="Q1283" i="7"/>
  <c r="W1283" i="7" s="1"/>
  <c r="K191" i="7"/>
  <c r="R191" i="7" s="1"/>
  <c r="K879" i="7"/>
  <c r="R879" i="7" s="1"/>
  <c r="K878" i="7"/>
  <c r="R878" i="7" s="1"/>
  <c r="K278" i="7"/>
  <c r="R278" i="7" s="1"/>
  <c r="K282" i="7"/>
  <c r="R282" i="7" s="1"/>
  <c r="K943" i="7"/>
  <c r="Q81" i="7"/>
  <c r="W81" i="7" s="1"/>
  <c r="O8" i="10"/>
  <c r="K432" i="7"/>
  <c r="K420" i="7"/>
  <c r="R420" i="7" s="1"/>
  <c r="K1097" i="7"/>
  <c r="R1097" i="7" s="1"/>
  <c r="K1103" i="7"/>
  <c r="R1103" i="7" s="1"/>
  <c r="Q1103" i="7"/>
  <c r="W1103" i="7" s="1"/>
  <c r="Q119" i="7"/>
  <c r="W119" i="7" s="1"/>
  <c r="Q729" i="7"/>
  <c r="W729" i="7" s="1"/>
  <c r="K729" i="7"/>
  <c r="R729" i="7" s="1"/>
  <c r="K726" i="7"/>
  <c r="R726" i="7" s="1"/>
  <c r="K132" i="7"/>
  <c r="R132" i="7" s="1"/>
  <c r="K32" i="7"/>
  <c r="R32" i="7" s="1"/>
  <c r="K581" i="7"/>
  <c r="R581" i="7" s="1"/>
  <c r="K583" i="7"/>
  <c r="R583" i="7" s="1"/>
  <c r="K1254" i="7"/>
  <c r="R1254" i="7" s="1"/>
  <c r="K1253" i="7"/>
  <c r="R1253" i="7" s="1"/>
  <c r="K164" i="7"/>
  <c r="R164" i="7" s="1"/>
  <c r="K179" i="7"/>
  <c r="R179" i="7" s="1"/>
  <c r="K856" i="7"/>
  <c r="R856" i="7" s="1"/>
  <c r="K846" i="7"/>
  <c r="R846" i="7" s="1"/>
  <c r="Q846" i="7"/>
  <c r="W846" i="7" s="1"/>
  <c r="Q487" i="7"/>
  <c r="K487" i="7"/>
  <c r="R487" i="7" s="1"/>
  <c r="K735" i="7"/>
  <c r="K9" i="7"/>
  <c r="R9" i="7" s="1"/>
  <c r="K674" i="7"/>
  <c r="R674" i="7" s="1"/>
  <c r="K1345" i="7"/>
  <c r="R1345" i="7" s="1"/>
  <c r="K1348" i="7"/>
  <c r="R1348" i="7" s="1"/>
  <c r="K240" i="7"/>
  <c r="R240" i="7" s="1"/>
  <c r="K933" i="7"/>
  <c r="K916" i="7"/>
  <c r="R916" i="7" s="1"/>
  <c r="Q916" i="7"/>
  <c r="W916" i="7" s="1"/>
  <c r="Q87" i="7"/>
  <c r="W87" i="7" s="1"/>
  <c r="K40" i="7"/>
  <c r="R40" i="7" s="1"/>
  <c r="K326" i="7"/>
  <c r="R326" i="7" s="1"/>
  <c r="K323" i="7"/>
  <c r="R323" i="7" s="1"/>
  <c r="K995" i="7"/>
  <c r="R995" i="7" s="1"/>
  <c r="K223" i="7"/>
  <c r="R223" i="7" s="1"/>
  <c r="K234" i="7"/>
  <c r="R234" i="7" s="1"/>
  <c r="K906" i="7"/>
  <c r="K412" i="7"/>
  <c r="K402" i="7"/>
  <c r="R402" i="7" s="1"/>
  <c r="Q402" i="7"/>
  <c r="W402" i="7" s="1"/>
  <c r="K1070" i="7"/>
  <c r="R1070" i="7" s="1"/>
  <c r="K134" i="7"/>
  <c r="R134" i="7" s="1"/>
  <c r="K140" i="7"/>
  <c r="K809" i="7"/>
  <c r="R809" i="7" s="1"/>
  <c r="Q809" i="7"/>
  <c r="W809" i="7" s="1"/>
  <c r="Q308" i="7"/>
  <c r="W308" i="7" s="1"/>
  <c r="K308" i="7"/>
  <c r="R308" i="7" s="1"/>
  <c r="K311" i="7"/>
  <c r="R311" i="7" s="1"/>
  <c r="K985" i="7"/>
  <c r="R985" i="7" s="1"/>
  <c r="K982" i="7"/>
  <c r="R982" i="7" s="1"/>
  <c r="Q982" i="7"/>
  <c r="W982" i="7" s="1"/>
  <c r="K640" i="7"/>
  <c r="Q642" i="7"/>
  <c r="W642" i="7" s="1"/>
  <c r="K642" i="7"/>
  <c r="R642" i="7" s="1"/>
  <c r="K1306" i="7"/>
  <c r="R1306" i="7" s="1"/>
  <c r="Q1306" i="7"/>
  <c r="W1306" i="7" s="1"/>
  <c r="Q90" i="7"/>
  <c r="W90" i="7" s="1"/>
  <c r="K97" i="7"/>
  <c r="K380" i="7"/>
  <c r="K377" i="7"/>
  <c r="R377" i="7" s="1"/>
  <c r="K1064" i="7"/>
  <c r="R1064" i="7" s="1"/>
  <c r="Q9" i="7"/>
  <c r="Q6" i="7"/>
  <c r="S6" i="7" s="1"/>
  <c r="S1041" i="7"/>
  <c r="Y1041" i="7" s="1"/>
  <c r="X1041" i="7"/>
  <c r="X859" i="7"/>
  <c r="S1131" i="7"/>
  <c r="Y1131" i="7" s="1"/>
  <c r="X1131" i="7"/>
  <c r="R753" i="7"/>
  <c r="X750" i="7"/>
  <c r="S750" i="7"/>
  <c r="Y750" i="7" s="1"/>
  <c r="S755" i="7"/>
  <c r="Y755" i="7" s="1"/>
  <c r="X755" i="7"/>
  <c r="S739" i="7"/>
  <c r="Y739" i="7" s="1"/>
  <c r="X739" i="7"/>
  <c r="X692" i="7"/>
  <c r="S692" i="7"/>
  <c r="S799" i="7"/>
  <c r="Y799" i="7" s="1"/>
  <c r="X799" i="7"/>
  <c r="C204" i="8"/>
  <c r="W672" i="7"/>
  <c r="W702" i="7"/>
  <c r="C195" i="8"/>
  <c r="W663" i="7"/>
  <c r="W695" i="7"/>
  <c r="X544" i="7"/>
  <c r="S544" i="7"/>
  <c r="Y544" i="7" s="1"/>
  <c r="X522" i="7"/>
  <c r="S522" i="7"/>
  <c r="Y522" i="7" s="1"/>
  <c r="D137" i="8"/>
  <c r="X475" i="7"/>
  <c r="S475" i="7"/>
  <c r="D125" i="8"/>
  <c r="X463" i="7"/>
  <c r="S463" i="7"/>
  <c r="X528" i="7"/>
  <c r="C169" i="8"/>
  <c r="W507" i="7"/>
  <c r="W377" i="7"/>
  <c r="C94" i="8"/>
  <c r="W380" i="7"/>
  <c r="R366" i="7"/>
  <c r="C87" i="8"/>
  <c r="W373" i="7"/>
  <c r="R208" i="7"/>
  <c r="X795" i="7"/>
  <c r="S795" i="7"/>
  <c r="Y795" i="7" s="1"/>
  <c r="K342" i="7"/>
  <c r="Q1036" i="7"/>
  <c r="W1036" i="7" s="1"/>
  <c r="K1036" i="7"/>
  <c r="R1036" i="7" s="1"/>
  <c r="K1026" i="7"/>
  <c r="R1026" i="7" s="1"/>
  <c r="K501" i="7"/>
  <c r="R501" i="7" s="1"/>
  <c r="K1180" i="7"/>
  <c r="R1180" i="7" s="1"/>
  <c r="K94" i="7"/>
  <c r="R94" i="7" s="1"/>
  <c r="Q94" i="7"/>
  <c r="W94" i="7" s="1"/>
  <c r="K767" i="7"/>
  <c r="R767" i="7" s="1"/>
  <c r="K458" i="7"/>
  <c r="R458" i="7" s="1"/>
  <c r="Q458" i="7"/>
  <c r="K1144" i="7"/>
  <c r="R1144" i="7" s="1"/>
  <c r="Q1144" i="7"/>
  <c r="W1144" i="7" s="1"/>
  <c r="K624" i="7"/>
  <c r="R624" i="7" s="1"/>
  <c r="K1291" i="7"/>
  <c r="R1291" i="7" s="1"/>
  <c r="Q1299" i="7"/>
  <c r="W1299" i="7" s="1"/>
  <c r="K1299" i="7"/>
  <c r="R1299" i="7" s="1"/>
  <c r="K199" i="7"/>
  <c r="K874" i="7"/>
  <c r="K871" i="7"/>
  <c r="R871" i="7" s="1"/>
  <c r="Q871" i="7"/>
  <c r="W871" i="7" s="1"/>
  <c r="K269" i="7"/>
  <c r="R269" i="7" s="1"/>
  <c r="K273" i="7"/>
  <c r="R273" i="7" s="1"/>
  <c r="K959" i="7"/>
  <c r="O4" i="10"/>
  <c r="S218" i="7"/>
  <c r="Y218" i="7" s="1"/>
  <c r="K423" i="7"/>
  <c r="R423" i="7" s="1"/>
  <c r="K436" i="7"/>
  <c r="R436" i="7" s="1"/>
  <c r="K1113" i="7"/>
  <c r="R1113" i="7" s="1"/>
  <c r="K1119" i="7"/>
  <c r="R1119" i="7" s="1"/>
  <c r="Q1119" i="7"/>
  <c r="W1119" i="7" s="1"/>
  <c r="K711" i="7"/>
  <c r="R711" i="7" s="1"/>
  <c r="K717" i="7"/>
  <c r="R717" i="7" s="1"/>
  <c r="K37" i="7"/>
  <c r="Q124" i="7"/>
  <c r="W124" i="7" s="1"/>
  <c r="K576" i="7"/>
  <c r="R576" i="7" s="1"/>
  <c r="K599" i="7"/>
  <c r="R599" i="7" s="1"/>
  <c r="K1257" i="7"/>
  <c r="K1269" i="7"/>
  <c r="K168" i="7"/>
  <c r="R168" i="7" s="1"/>
  <c r="K163" i="7"/>
  <c r="R163" i="7" s="1"/>
  <c r="K847" i="7"/>
  <c r="R847" i="7" s="1"/>
  <c r="K837" i="7"/>
  <c r="R837" i="7" s="1"/>
  <c r="K478" i="7"/>
  <c r="R478" i="7" s="1"/>
  <c r="K1148" i="7"/>
  <c r="R1148" i="7" s="1"/>
  <c r="K70" i="7"/>
  <c r="R70" i="7" s="1"/>
  <c r="Q742" i="7"/>
  <c r="W742" i="7" s="1"/>
  <c r="K742" i="7"/>
  <c r="R742" i="7" s="1"/>
  <c r="K751" i="7"/>
  <c r="R751" i="7" s="1"/>
  <c r="K663" i="7"/>
  <c r="R663" i="7" s="1"/>
  <c r="K1329" i="7"/>
  <c r="K1353" i="7"/>
  <c r="K256" i="7"/>
  <c r="R256" i="7" s="1"/>
  <c r="K921" i="7"/>
  <c r="R921" i="7" s="1"/>
  <c r="K932" i="7"/>
  <c r="R932" i="7" s="1"/>
  <c r="Q932" i="7"/>
  <c r="W932" i="7" s="1"/>
  <c r="K317" i="7"/>
  <c r="K339" i="7"/>
  <c r="R339" i="7" s="1"/>
  <c r="K1011" i="7"/>
  <c r="R1011" i="7" s="1"/>
  <c r="K214" i="7"/>
  <c r="R214" i="7" s="1"/>
  <c r="K225" i="7"/>
  <c r="R225" i="7" s="1"/>
  <c r="Q225" i="7"/>
  <c r="W225" i="7" s="1"/>
  <c r="Q888" i="7"/>
  <c r="W888" i="7" s="1"/>
  <c r="K888" i="7"/>
  <c r="R888" i="7" s="1"/>
  <c r="W141" i="7"/>
  <c r="K403" i="7"/>
  <c r="K393" i="7"/>
  <c r="R393" i="7" s="1"/>
  <c r="K1086" i="7"/>
  <c r="R1086" i="7" s="1"/>
  <c r="K150" i="7"/>
  <c r="R150" i="7" s="1"/>
  <c r="K156" i="7"/>
  <c r="K814" i="7"/>
  <c r="R814" i="7" s="1"/>
  <c r="K312" i="7"/>
  <c r="R312" i="7" s="1"/>
  <c r="K302" i="7"/>
  <c r="R302" i="7" s="1"/>
  <c r="X989" i="7"/>
  <c r="S989" i="7"/>
  <c r="Y989" i="7" s="1"/>
  <c r="Q58" i="7"/>
  <c r="K631" i="7"/>
  <c r="R631" i="7" s="1"/>
  <c r="K651" i="7"/>
  <c r="R651" i="7" s="1"/>
  <c r="K1317" i="7"/>
  <c r="R1317" i="7" s="1"/>
  <c r="Q134" i="7"/>
  <c r="K29" i="7"/>
  <c r="R29" i="7" s="1"/>
  <c r="K116" i="7"/>
  <c r="R116" i="7" s="1"/>
  <c r="K371" i="7"/>
  <c r="R371" i="7" s="1"/>
  <c r="K1047" i="7"/>
  <c r="R1047" i="7" s="1"/>
  <c r="K1042" i="7"/>
  <c r="R1042" i="7" s="1"/>
  <c r="Q429" i="7"/>
  <c r="W429" i="7" s="1"/>
  <c r="W691" i="7"/>
  <c r="C206" i="8"/>
  <c r="W674" i="7"/>
  <c r="W688" i="7"/>
  <c r="S690" i="7"/>
  <c r="X536" i="7"/>
  <c r="S536" i="7"/>
  <c r="Y536" i="7" s="1"/>
  <c r="W504" i="7"/>
  <c r="C137" i="8"/>
  <c r="W475" i="7"/>
  <c r="D157" i="8"/>
  <c r="X495" i="7"/>
  <c r="S495" i="7"/>
  <c r="C172" i="8"/>
  <c r="W510" i="7"/>
  <c r="R435" i="7"/>
  <c r="C112" i="8"/>
  <c r="W450" i="7"/>
  <c r="C104" i="8"/>
  <c r="W390" i="7"/>
  <c r="W366" i="7"/>
  <c r="X535" i="7"/>
  <c r="S535" i="7"/>
  <c r="Y535" i="7" s="1"/>
  <c r="X91" i="7"/>
  <c r="K10" i="7"/>
  <c r="R10" i="7" s="1"/>
  <c r="Q10" i="7"/>
  <c r="K526" i="7"/>
  <c r="Q526" i="7"/>
  <c r="W526" i="7" s="1"/>
  <c r="Q1205" i="7"/>
  <c r="W1205" i="7" s="1"/>
  <c r="K1205" i="7"/>
  <c r="R1205" i="7" s="1"/>
  <c r="X786" i="7"/>
  <c r="S786" i="7"/>
  <c r="Y786" i="7" s="1"/>
  <c r="Q349" i="7"/>
  <c r="W349" i="7" s="1"/>
  <c r="K349" i="7"/>
  <c r="R349" i="7" s="1"/>
  <c r="K358" i="7"/>
  <c r="R358" i="7" s="1"/>
  <c r="K1027" i="7"/>
  <c r="K1193" i="7"/>
  <c r="R1193" i="7" s="1"/>
  <c r="K1187" i="7"/>
  <c r="R1187" i="7" s="1"/>
  <c r="K85" i="7"/>
  <c r="R85" i="7" s="1"/>
  <c r="Q758" i="7"/>
  <c r="W758" i="7" s="1"/>
  <c r="K758" i="7"/>
  <c r="R758" i="7" s="1"/>
  <c r="D130" i="8"/>
  <c r="X468" i="7"/>
  <c r="S468" i="7"/>
  <c r="X1127" i="7"/>
  <c r="S1127" i="7"/>
  <c r="Y1127" i="7" s="1"/>
  <c r="Q52" i="7"/>
  <c r="W52" i="7" s="1"/>
  <c r="Q615" i="7"/>
  <c r="W615" i="7" s="1"/>
  <c r="K615" i="7"/>
  <c r="R615" i="7" s="1"/>
  <c r="K1293" i="7"/>
  <c r="R1293" i="7" s="1"/>
  <c r="K1290" i="7"/>
  <c r="R1290" i="7" s="1"/>
  <c r="Q1290" i="7"/>
  <c r="W1290" i="7" s="1"/>
  <c r="K209" i="7"/>
  <c r="Q209" i="7"/>
  <c r="W209" i="7" s="1"/>
  <c r="K872" i="7"/>
  <c r="R872" i="7" s="1"/>
  <c r="K862" i="7"/>
  <c r="R862" i="7" s="1"/>
  <c r="Q862" i="7"/>
  <c r="W862" i="7" s="1"/>
  <c r="K285" i="7"/>
  <c r="R285" i="7" s="1"/>
  <c r="K951" i="7"/>
  <c r="R951" i="7" s="1"/>
  <c r="K950" i="7"/>
  <c r="R950" i="7" s="1"/>
  <c r="Q950" i="7"/>
  <c r="W950" i="7" s="1"/>
  <c r="Q191" i="7"/>
  <c r="W191" i="7" s="1"/>
  <c r="X74" i="7"/>
  <c r="S74" i="7"/>
  <c r="K437" i="7"/>
  <c r="R437" i="7" s="1"/>
  <c r="K443" i="7"/>
  <c r="R443" i="7" s="1"/>
  <c r="Q443" i="7"/>
  <c r="W443" i="7" s="1"/>
  <c r="K1104" i="7"/>
  <c r="R1104" i="7" s="1"/>
  <c r="K1094" i="7"/>
  <c r="R1094" i="7" s="1"/>
  <c r="K727" i="7"/>
  <c r="R727" i="7" s="1"/>
  <c r="K708" i="7"/>
  <c r="R708" i="7" s="1"/>
  <c r="Q120" i="7"/>
  <c r="W120" i="7" s="1"/>
  <c r="K574" i="7"/>
  <c r="R574" i="7" s="1"/>
  <c r="K597" i="7"/>
  <c r="R597" i="7" s="1"/>
  <c r="Q597" i="7"/>
  <c r="W597" i="7" s="1"/>
  <c r="K1259" i="7"/>
  <c r="R1259" i="7" s="1"/>
  <c r="K1260" i="7"/>
  <c r="R1260" i="7" s="1"/>
  <c r="K175" i="7"/>
  <c r="R175" i="7" s="1"/>
  <c r="K180" i="7"/>
  <c r="R180" i="7" s="1"/>
  <c r="Q180" i="7"/>
  <c r="W180" i="7" s="1"/>
  <c r="K838" i="7"/>
  <c r="R838" i="7" s="1"/>
  <c r="K853" i="7"/>
  <c r="R853" i="7" s="1"/>
  <c r="Q563" i="7"/>
  <c r="W563" i="7" s="1"/>
  <c r="K563" i="7"/>
  <c r="R563" i="7" s="1"/>
  <c r="K1230" i="7"/>
  <c r="R4" i="7"/>
  <c r="K661" i="7"/>
  <c r="R661" i="7" s="1"/>
  <c r="K1349" i="7"/>
  <c r="R1349" i="7" s="1"/>
  <c r="K1328" i="7"/>
  <c r="R1328" i="7" s="1"/>
  <c r="K238" i="7"/>
  <c r="R238" i="7" s="1"/>
  <c r="K937" i="7"/>
  <c r="R937" i="7" s="1"/>
  <c r="K923" i="7"/>
  <c r="R923" i="7" s="1"/>
  <c r="X36" i="7"/>
  <c r="K333" i="7"/>
  <c r="R333" i="7" s="1"/>
  <c r="K314" i="7"/>
  <c r="R314" i="7" s="1"/>
  <c r="K1002" i="7"/>
  <c r="R1002" i="7" s="1"/>
  <c r="K230" i="7"/>
  <c r="K903" i="7"/>
  <c r="R903" i="7" s="1"/>
  <c r="K904" i="7"/>
  <c r="R904" i="7" s="1"/>
  <c r="K394" i="7"/>
  <c r="K409" i="7"/>
  <c r="R409" i="7" s="1"/>
  <c r="K1077" i="7"/>
  <c r="R1077" i="7" s="1"/>
  <c r="Q1077" i="7"/>
  <c r="W1077" i="7" s="1"/>
  <c r="K141" i="7"/>
  <c r="R141" i="7" s="1"/>
  <c r="K812" i="7"/>
  <c r="R812" i="7" s="1"/>
  <c r="Q824" i="7"/>
  <c r="W824" i="7" s="1"/>
  <c r="K824" i="7"/>
  <c r="R824" i="7" s="1"/>
  <c r="K292" i="7"/>
  <c r="R292" i="7" s="1"/>
  <c r="Q292" i="7"/>
  <c r="W292" i="7" s="1"/>
  <c r="K293" i="7"/>
  <c r="R293" i="7" s="1"/>
  <c r="K966" i="7"/>
  <c r="R966" i="7" s="1"/>
  <c r="K980" i="7"/>
  <c r="R980" i="7" s="1"/>
  <c r="Q980" i="7"/>
  <c r="W980" i="7" s="1"/>
  <c r="K647" i="7"/>
  <c r="R647" i="7" s="1"/>
  <c r="K1305" i="7"/>
  <c r="K1304" i="7"/>
  <c r="R1304" i="7" s="1"/>
  <c r="Q133" i="7"/>
  <c r="Q105" i="7"/>
  <c r="W105" i="7" s="1"/>
  <c r="K387" i="7"/>
  <c r="K1055" i="7"/>
  <c r="K1057" i="7"/>
  <c r="R1057" i="7" s="1"/>
  <c r="Q3" i="7"/>
  <c r="Q89" i="7"/>
  <c r="W89" i="7" s="1"/>
  <c r="S1177" i="7"/>
  <c r="Y1177" i="7" s="1"/>
  <c r="X1177" i="7"/>
  <c r="S1203" i="7"/>
  <c r="Y1203" i="7" s="1"/>
  <c r="X1203" i="7"/>
  <c r="R1115" i="7"/>
  <c r="R977" i="7"/>
  <c r="X1128" i="7"/>
  <c r="S1128" i="7"/>
  <c r="Y1128" i="7" s="1"/>
  <c r="R1053" i="7"/>
  <c r="X1137" i="7"/>
  <c r="S1137" i="7"/>
  <c r="Y1137" i="7" s="1"/>
  <c r="R719" i="7"/>
  <c r="C191" i="8"/>
  <c r="W659" i="7"/>
  <c r="W686" i="7"/>
  <c r="S693" i="7"/>
  <c r="X693" i="7"/>
  <c r="W683" i="7"/>
  <c r="W684" i="7"/>
  <c r="D192" i="8"/>
  <c r="X660" i="7"/>
  <c r="S660" i="7"/>
  <c r="X562" i="7"/>
  <c r="S562" i="7"/>
  <c r="Y562" i="7" s="1"/>
  <c r="W520" i="7"/>
  <c r="S547" i="7"/>
  <c r="Y547" i="7" s="1"/>
  <c r="X547" i="7"/>
  <c r="D134" i="8"/>
  <c r="X472" i="7"/>
  <c r="S472" i="7"/>
  <c r="C124" i="8"/>
  <c r="W462" i="7"/>
  <c r="C135" i="8"/>
  <c r="W473" i="7"/>
  <c r="C111" i="8"/>
  <c r="W449" i="7"/>
  <c r="C180" i="8"/>
  <c r="W518" i="7"/>
  <c r="X504" i="7"/>
  <c r="S504" i="7"/>
  <c r="C93" i="8"/>
  <c r="W379" i="7"/>
  <c r="X211" i="7"/>
  <c r="S211" i="7"/>
  <c r="Y211" i="7" s="1"/>
  <c r="R199" i="7"/>
  <c r="X161" i="7"/>
  <c r="S161" i="7"/>
  <c r="Y161" i="7" s="1"/>
  <c r="R138" i="7"/>
  <c r="X131" i="7"/>
  <c r="X802" i="7"/>
  <c r="S802" i="7"/>
  <c r="Y802" i="7" s="1"/>
  <c r="K350" i="7"/>
  <c r="R350" i="7" s="1"/>
  <c r="K365" i="7"/>
  <c r="R365" i="7" s="1"/>
  <c r="Q365" i="7"/>
  <c r="W365" i="7" s="1"/>
  <c r="K1018" i="7"/>
  <c r="R1018" i="7" s="1"/>
  <c r="K508" i="7"/>
  <c r="R508" i="7" s="1"/>
  <c r="K1181" i="7"/>
  <c r="R1181" i="7" s="1"/>
  <c r="K101" i="7"/>
  <c r="R101" i="7" s="1"/>
  <c r="Q774" i="7"/>
  <c r="W774" i="7" s="1"/>
  <c r="K774" i="7"/>
  <c r="R774" i="7" s="1"/>
  <c r="W149" i="7"/>
  <c r="X50" i="7"/>
  <c r="K606" i="7"/>
  <c r="R606" i="7" s="1"/>
  <c r="Q606" i="7"/>
  <c r="W606" i="7" s="1"/>
  <c r="K1280" i="7"/>
  <c r="K1281" i="7"/>
  <c r="R1281" i="7" s="1"/>
  <c r="K184" i="7"/>
  <c r="R184" i="7" s="1"/>
  <c r="K863" i="7"/>
  <c r="R863" i="7" s="1"/>
  <c r="K881" i="7"/>
  <c r="R881" i="7" s="1"/>
  <c r="Q881" i="7"/>
  <c r="W881" i="7" s="1"/>
  <c r="K267" i="7"/>
  <c r="R267" i="7" s="1"/>
  <c r="K949" i="7"/>
  <c r="K941" i="7"/>
  <c r="R941" i="7" s="1"/>
  <c r="W74" i="7"/>
  <c r="K430" i="7"/>
  <c r="R430" i="7" s="1"/>
  <c r="K427" i="7"/>
  <c r="R427" i="7" s="1"/>
  <c r="K1095" i="7"/>
  <c r="R1095" i="7" s="1"/>
  <c r="K1110" i="7"/>
  <c r="R1110" i="7" s="1"/>
  <c r="K14" i="7"/>
  <c r="R14" i="7" s="1"/>
  <c r="Q14" i="7"/>
  <c r="K718" i="7"/>
  <c r="K724" i="7"/>
  <c r="R724" i="7" s="1"/>
  <c r="K586" i="7"/>
  <c r="R586" i="7" s="1"/>
  <c r="K588" i="7"/>
  <c r="R588" i="7" s="1"/>
  <c r="K1263" i="7"/>
  <c r="R1263" i="7" s="1"/>
  <c r="K159" i="7"/>
  <c r="R159" i="7" s="1"/>
  <c r="K166" i="7"/>
  <c r="R166" i="7" s="1"/>
  <c r="K854" i="7"/>
  <c r="R854" i="7" s="1"/>
  <c r="K844" i="7"/>
  <c r="R844" i="7" s="1"/>
  <c r="X1155" i="7"/>
  <c r="S1155" i="7"/>
  <c r="Y1155" i="7" s="1"/>
  <c r="K1229" i="7"/>
  <c r="R1229" i="7" s="1"/>
  <c r="Q1229" i="7"/>
  <c r="W1229" i="7" s="1"/>
  <c r="Q77" i="7"/>
  <c r="S77" i="7" s="1"/>
  <c r="K655" i="7"/>
  <c r="K677" i="7"/>
  <c r="R677" i="7" s="1"/>
  <c r="K1347" i="7"/>
  <c r="R1347" i="7" s="1"/>
  <c r="K1344" i="7"/>
  <c r="R1344" i="7" s="1"/>
  <c r="K248" i="7"/>
  <c r="R248" i="7" s="1"/>
  <c r="K254" i="7"/>
  <c r="K926" i="7"/>
  <c r="K914" i="7"/>
  <c r="R914" i="7" s="1"/>
  <c r="Q914" i="7"/>
  <c r="W914" i="7" s="1"/>
  <c r="K315" i="7"/>
  <c r="R315" i="7" s="1"/>
  <c r="K330" i="7"/>
  <c r="R330" i="7" s="1"/>
  <c r="K993" i="7"/>
  <c r="R993" i="7" s="1"/>
  <c r="K221" i="7"/>
  <c r="R221" i="7" s="1"/>
  <c r="K901" i="7"/>
  <c r="K895" i="7"/>
  <c r="R895" i="7" s="1"/>
  <c r="K410" i="7"/>
  <c r="R410" i="7" s="1"/>
  <c r="K1085" i="7"/>
  <c r="K1093" i="7"/>
  <c r="R1093" i="7" s="1"/>
  <c r="K157" i="7"/>
  <c r="R157" i="7" s="1"/>
  <c r="K810" i="7"/>
  <c r="R810" i="7" s="1"/>
  <c r="K815" i="7"/>
  <c r="R815" i="7" s="1"/>
  <c r="K296" i="7"/>
  <c r="R296" i="7" s="1"/>
  <c r="K987" i="7"/>
  <c r="R987" i="7" s="1"/>
  <c r="Q207" i="7"/>
  <c r="W207" i="7" s="1"/>
  <c r="K638" i="7"/>
  <c r="R638" i="7" s="1"/>
  <c r="K1327" i="7"/>
  <c r="R1327" i="7" s="1"/>
  <c r="Q1327" i="7"/>
  <c r="W1327" i="7" s="1"/>
  <c r="K1311" i="7"/>
  <c r="R1311" i="7" s="1"/>
  <c r="K98" i="7"/>
  <c r="K24" i="7"/>
  <c r="R24" i="7" s="1"/>
  <c r="K378" i="7"/>
  <c r="R378" i="7" s="1"/>
  <c r="K1058" i="7"/>
  <c r="R1058" i="7" s="1"/>
  <c r="K1060" i="7"/>
  <c r="R1060" i="7" s="1"/>
  <c r="Q40" i="7"/>
  <c r="W40" i="7" s="1"/>
  <c r="X1149" i="7"/>
  <c r="S1149" i="7"/>
  <c r="Y1149" i="7" s="1"/>
  <c r="R1269" i="7"/>
  <c r="X1206" i="7"/>
  <c r="S1206" i="7"/>
  <c r="Y1206" i="7" s="1"/>
  <c r="X1123" i="7"/>
  <c r="R1337" i="7"/>
  <c r="R1280" i="7"/>
  <c r="S1245" i="7"/>
  <c r="Y1245" i="7" s="1"/>
  <c r="X1245" i="7"/>
  <c r="S1166" i="7"/>
  <c r="Y1166" i="7" s="1"/>
  <c r="X1166" i="7"/>
  <c r="Q1190" i="7"/>
  <c r="W1190" i="7" s="1"/>
  <c r="Q1169" i="7"/>
  <c r="W1169" i="7" s="1"/>
  <c r="S1161" i="7"/>
  <c r="Y1161" i="7" s="1"/>
  <c r="X1161" i="7"/>
  <c r="R1085" i="7"/>
  <c r="X1124" i="7"/>
  <c r="S1124" i="7"/>
  <c r="Y1124" i="7" s="1"/>
  <c r="S969" i="7"/>
  <c r="Y969" i="7" s="1"/>
  <c r="X969" i="7"/>
  <c r="R906" i="7"/>
  <c r="X703" i="7"/>
  <c r="S703" i="7"/>
  <c r="S792" i="7"/>
  <c r="Y792" i="7" s="1"/>
  <c r="X792" i="7"/>
  <c r="C197" i="8"/>
  <c r="W665" i="7"/>
  <c r="W682" i="7"/>
  <c r="R718" i="7"/>
  <c r="C201" i="8"/>
  <c r="W669" i="7"/>
  <c r="C184" i="8"/>
  <c r="W652" i="7"/>
  <c r="C202" i="8"/>
  <c r="W670" i="7"/>
  <c r="R794" i="7"/>
  <c r="D138" i="8"/>
  <c r="X476" i="7"/>
  <c r="S476" i="7"/>
  <c r="C127" i="8"/>
  <c r="W465" i="7"/>
  <c r="C116" i="8"/>
  <c r="W454" i="7"/>
  <c r="R394" i="7"/>
  <c r="R403" i="7"/>
  <c r="W496" i="7"/>
  <c r="W501" i="7"/>
  <c r="C118" i="8"/>
  <c r="W456" i="7"/>
  <c r="C83" i="8"/>
  <c r="W369" i="7"/>
  <c r="R343" i="7"/>
  <c r="X304" i="7"/>
  <c r="C130" i="8"/>
  <c r="W468" i="7"/>
  <c r="X122" i="7"/>
  <c r="S122" i="7"/>
  <c r="Y122" i="7" s="1"/>
  <c r="K793" i="7"/>
  <c r="R793" i="7" s="1"/>
  <c r="Q793" i="7"/>
  <c r="W793" i="7" s="1"/>
  <c r="K343" i="7"/>
  <c r="K356" i="7"/>
  <c r="R356" i="7" s="1"/>
  <c r="K1034" i="7"/>
  <c r="R1034" i="7" s="1"/>
  <c r="K499" i="7"/>
  <c r="R499" i="7" s="1"/>
  <c r="K1186" i="7"/>
  <c r="R1186" i="7" s="1"/>
  <c r="K1178" i="7"/>
  <c r="R1178" i="7" s="1"/>
  <c r="Q1178" i="7"/>
  <c r="W1178" i="7" s="1"/>
  <c r="S88" i="7"/>
  <c r="Y88" i="7" s="1"/>
  <c r="X88" i="7"/>
  <c r="K759" i="7"/>
  <c r="R759" i="7" s="1"/>
  <c r="Q759" i="7"/>
  <c r="W759" i="7" s="1"/>
  <c r="K765" i="7"/>
  <c r="K1135" i="7"/>
  <c r="R1135" i="7" s="1"/>
  <c r="Q1135" i="7"/>
  <c r="W1135" i="7" s="1"/>
  <c r="W136" i="7"/>
  <c r="K601" i="7"/>
  <c r="R601" i="7" s="1"/>
  <c r="K622" i="7"/>
  <c r="R622" i="7" s="1"/>
  <c r="K1289" i="7"/>
  <c r="R1289" i="7" s="1"/>
  <c r="K1297" i="7"/>
  <c r="R1297" i="7" s="1"/>
  <c r="K192" i="7"/>
  <c r="K198" i="7"/>
  <c r="R198" i="7" s="1"/>
  <c r="K882" i="7"/>
  <c r="R882" i="7" s="1"/>
  <c r="K869" i="7"/>
  <c r="R869" i="7" s="1"/>
  <c r="K283" i="7"/>
  <c r="R283" i="7" s="1"/>
  <c r="K953" i="7"/>
  <c r="R953" i="7" s="1"/>
  <c r="K957" i="7"/>
  <c r="R957" i="7" s="1"/>
  <c r="S691" i="7"/>
  <c r="X691" i="7"/>
  <c r="C72" i="8"/>
  <c r="W150" i="7"/>
  <c r="W153" i="7"/>
  <c r="K49" i="7"/>
  <c r="R49" i="7" s="1"/>
  <c r="K421" i="7"/>
  <c r="R421" i="7" s="1"/>
  <c r="K418" i="7"/>
  <c r="R418" i="7" s="1"/>
  <c r="Q418" i="7"/>
  <c r="W418" i="7" s="1"/>
  <c r="Q1111" i="7"/>
  <c r="W1111" i="7" s="1"/>
  <c r="K1111" i="7"/>
  <c r="R1111" i="7" s="1"/>
  <c r="K709" i="7"/>
  <c r="R709" i="7" s="1"/>
  <c r="K715" i="7"/>
  <c r="R715" i="7" s="1"/>
  <c r="K23" i="7"/>
  <c r="K587" i="7"/>
  <c r="R587" i="7" s="1"/>
  <c r="Q587" i="7"/>
  <c r="W587" i="7" s="1"/>
  <c r="Q582" i="7"/>
  <c r="W582" i="7" s="1"/>
  <c r="K582" i="7"/>
  <c r="R582" i="7" s="1"/>
  <c r="K1255" i="7"/>
  <c r="R1255" i="7" s="1"/>
  <c r="K169" i="7"/>
  <c r="R169" i="7" s="1"/>
  <c r="K182" i="7"/>
  <c r="R182" i="7" s="1"/>
  <c r="K845" i="7"/>
  <c r="R845" i="7" s="1"/>
  <c r="X1171" i="7"/>
  <c r="S1171" i="7"/>
  <c r="Y1171" i="7" s="1"/>
  <c r="K59" i="7"/>
  <c r="R59" i="7" s="1"/>
  <c r="K743" i="7"/>
  <c r="R743" i="7" s="1"/>
  <c r="X747" i="7"/>
  <c r="S747" i="7"/>
  <c r="Y747" i="7" s="1"/>
  <c r="K1236" i="7"/>
  <c r="R1236" i="7" s="1"/>
  <c r="K656" i="7"/>
  <c r="R656" i="7" s="1"/>
  <c r="K668" i="7"/>
  <c r="R668" i="7" s="1"/>
  <c r="K1333" i="7"/>
  <c r="R1333" i="7" s="1"/>
  <c r="K1351" i="7"/>
  <c r="R1351" i="7" s="1"/>
  <c r="K247" i="7"/>
  <c r="R247" i="7" s="1"/>
  <c r="K245" i="7"/>
  <c r="R245" i="7" s="1"/>
  <c r="K924" i="7"/>
  <c r="R924" i="7" s="1"/>
  <c r="K930" i="7"/>
  <c r="R930" i="7" s="1"/>
  <c r="Q325" i="7"/>
  <c r="W325" i="7" s="1"/>
  <c r="K34" i="7"/>
  <c r="R34" i="7" s="1"/>
  <c r="K331" i="7"/>
  <c r="R331" i="7" s="1"/>
  <c r="K321" i="7"/>
  <c r="R321" i="7" s="1"/>
  <c r="K1009" i="7"/>
  <c r="R1009" i="7" s="1"/>
  <c r="K219" i="7"/>
  <c r="R219" i="7" s="1"/>
  <c r="K889" i="7"/>
  <c r="R889" i="7" s="1"/>
  <c r="K911" i="7"/>
  <c r="R911" i="7" s="1"/>
  <c r="Q103" i="7"/>
  <c r="W103" i="7" s="1"/>
  <c r="K27" i="7"/>
  <c r="R27" i="7" s="1"/>
  <c r="K401" i="7"/>
  <c r="R401" i="7" s="1"/>
  <c r="K1080" i="7"/>
  <c r="R1080" i="7" s="1"/>
  <c r="K1068" i="7"/>
  <c r="R1068" i="7" s="1"/>
  <c r="Q1068" i="7"/>
  <c r="W1068" i="7" s="1"/>
  <c r="K148" i="7"/>
  <c r="R148" i="7" s="1"/>
  <c r="K808" i="7"/>
  <c r="R808" i="7" s="1"/>
  <c r="K831" i="7"/>
  <c r="R831" i="7" s="1"/>
  <c r="K295" i="7"/>
  <c r="R295" i="7" s="1"/>
  <c r="K300" i="7"/>
  <c r="R300" i="7" s="1"/>
  <c r="Q975" i="7"/>
  <c r="W975" i="7" s="1"/>
  <c r="K975" i="7"/>
  <c r="R975" i="7" s="1"/>
  <c r="Q198" i="7"/>
  <c r="W198" i="7" s="1"/>
  <c r="K629" i="7"/>
  <c r="R629" i="7" s="1"/>
  <c r="K1315" i="7"/>
  <c r="R1315" i="7" s="1"/>
  <c r="K1326" i="7"/>
  <c r="R1326" i="7" s="1"/>
  <c r="R114" i="7"/>
  <c r="K13" i="7"/>
  <c r="Q70" i="7"/>
  <c r="R97" i="7"/>
  <c r="K369" i="7"/>
  <c r="R369" i="7" s="1"/>
  <c r="K1050" i="7"/>
  <c r="R1050" i="7" s="1"/>
  <c r="K1067" i="7"/>
  <c r="R1067" i="7" s="1"/>
  <c r="Q34" i="7"/>
  <c r="W34" i="7" s="1"/>
  <c r="S1201" i="7"/>
  <c r="Y1201" i="7" s="1"/>
  <c r="X1201" i="7"/>
  <c r="R1190" i="7"/>
  <c r="R1106" i="7"/>
  <c r="R1150" i="7"/>
  <c r="R959" i="7"/>
  <c r="R961" i="7"/>
  <c r="R1029" i="7"/>
  <c r="X798" i="7"/>
  <c r="S798" i="7"/>
  <c r="Y798" i="7" s="1"/>
  <c r="R735" i="7"/>
  <c r="C207" i="8"/>
  <c r="W675" i="7"/>
  <c r="X713" i="7"/>
  <c r="S713" i="7"/>
  <c r="Y713" i="7" s="1"/>
  <c r="Q794" i="7"/>
  <c r="W794" i="7" s="1"/>
  <c r="D122" i="8"/>
  <c r="X460" i="7"/>
  <c r="S460" i="7"/>
  <c r="W513" i="7"/>
  <c r="S533" i="7"/>
  <c r="Y533" i="7" s="1"/>
  <c r="X533" i="7"/>
  <c r="C148" i="8"/>
  <c r="W486" i="7"/>
  <c r="D123" i="8"/>
  <c r="X461" i="7"/>
  <c r="S461" i="7"/>
  <c r="X513" i="7"/>
  <c r="S513" i="7"/>
  <c r="R387" i="7"/>
  <c r="C154" i="8"/>
  <c r="W492" i="7"/>
  <c r="W497" i="7"/>
  <c r="S288" i="7"/>
  <c r="Y288" i="7" s="1"/>
  <c r="X288" i="7"/>
  <c r="C108" i="8"/>
  <c r="W446" i="7"/>
  <c r="R209" i="7"/>
  <c r="X216" i="7"/>
  <c r="S216" i="7"/>
  <c r="Y216" i="7" s="1"/>
  <c r="R106" i="7"/>
  <c r="D28" i="8" s="1"/>
  <c r="X784" i="7"/>
  <c r="S784" i="7"/>
  <c r="Y784" i="7" s="1"/>
  <c r="K352" i="7"/>
  <c r="R352" i="7" s="1"/>
  <c r="K363" i="7"/>
  <c r="R363" i="7" s="1"/>
  <c r="K1025" i="7"/>
  <c r="R1025" i="7" s="1"/>
  <c r="K506" i="7"/>
  <c r="R506" i="7" s="1"/>
  <c r="Q506" i="7"/>
  <c r="K1183" i="7"/>
  <c r="R1183" i="7" s="1"/>
  <c r="Q1183" i="7"/>
  <c r="W1183" i="7" s="1"/>
  <c r="K1185" i="7"/>
  <c r="R1185" i="7" s="1"/>
  <c r="K104" i="7"/>
  <c r="R104" i="7" s="1"/>
  <c r="K775" i="7"/>
  <c r="R775" i="7" s="1"/>
  <c r="Q775" i="7"/>
  <c r="W775" i="7" s="1"/>
  <c r="K781" i="7"/>
  <c r="R781" i="7" s="1"/>
  <c r="D109" i="8"/>
  <c r="S447" i="7"/>
  <c r="X447" i="7"/>
  <c r="K1122" i="7"/>
  <c r="R1122" i="7" s="1"/>
  <c r="Q1122" i="7"/>
  <c r="W1122" i="7" s="1"/>
  <c r="R47" i="7"/>
  <c r="K625" i="7"/>
  <c r="R625" i="7" s="1"/>
  <c r="K613" i="7"/>
  <c r="R613" i="7" s="1"/>
  <c r="Q613" i="7"/>
  <c r="W613" i="7" s="1"/>
  <c r="K1284" i="7"/>
  <c r="R1284" i="7" s="1"/>
  <c r="K1288" i="7"/>
  <c r="R1288" i="7" s="1"/>
  <c r="Q1288" i="7"/>
  <c r="W1288" i="7" s="1"/>
  <c r="K200" i="7"/>
  <c r="R200" i="7" s="1"/>
  <c r="K189" i="7"/>
  <c r="R189" i="7" s="1"/>
  <c r="K885" i="7"/>
  <c r="K860" i="7"/>
  <c r="R860" i="7" s="1"/>
  <c r="K274" i="7"/>
  <c r="R274" i="7" s="1"/>
  <c r="K942" i="7"/>
  <c r="R942" i="7" s="1"/>
  <c r="K948" i="7"/>
  <c r="R948" i="7" s="1"/>
  <c r="Q948" i="7"/>
  <c r="W948" i="7" s="1"/>
  <c r="Q131" i="7"/>
  <c r="W131" i="7" s="1"/>
  <c r="K38" i="7"/>
  <c r="R38" i="7" s="1"/>
  <c r="D12" i="8" s="1"/>
  <c r="K428" i="7"/>
  <c r="R428" i="7" s="1"/>
  <c r="K434" i="7"/>
  <c r="R434" i="7" s="1"/>
  <c r="Q434" i="7"/>
  <c r="W434" i="7" s="1"/>
  <c r="K1102" i="7"/>
  <c r="R1102" i="7" s="1"/>
  <c r="K725" i="7"/>
  <c r="R725" i="7" s="1"/>
  <c r="Q592" i="7"/>
  <c r="W592" i="7" s="1"/>
  <c r="K592" i="7"/>
  <c r="R592" i="7" s="1"/>
  <c r="K598" i="7"/>
  <c r="R598" i="7" s="1"/>
  <c r="K1252" i="7"/>
  <c r="R1252" i="7" s="1"/>
  <c r="K170" i="7"/>
  <c r="R170" i="7" s="1"/>
  <c r="K173" i="7"/>
  <c r="K836" i="7"/>
  <c r="R836" i="7" s="1"/>
  <c r="K1170" i="7"/>
  <c r="R1170" i="7" s="1"/>
  <c r="K1146" i="7"/>
  <c r="R1146" i="7" s="1"/>
  <c r="Q1146" i="7"/>
  <c r="W1146" i="7" s="1"/>
  <c r="K730" i="7"/>
  <c r="R730" i="7" s="1"/>
  <c r="X754" i="7"/>
  <c r="S754" i="7"/>
  <c r="Y754" i="7" s="1"/>
  <c r="K561" i="7"/>
  <c r="K1232" i="7"/>
  <c r="R1232" i="7" s="1"/>
  <c r="Q1232" i="7"/>
  <c r="W1232" i="7" s="1"/>
  <c r="K1227" i="7"/>
  <c r="R1227" i="7" s="1"/>
  <c r="Q1227" i="7"/>
  <c r="W1227" i="7" s="1"/>
  <c r="K670" i="7"/>
  <c r="R670" i="7" s="1"/>
  <c r="K675" i="7"/>
  <c r="R675" i="7" s="1"/>
  <c r="K1339" i="7"/>
  <c r="R1339" i="7" s="1"/>
  <c r="Q1339" i="7"/>
  <c r="W1339" i="7" s="1"/>
  <c r="K1342" i="7"/>
  <c r="R1342" i="7" s="1"/>
  <c r="K260" i="7"/>
  <c r="R260" i="7" s="1"/>
  <c r="Q260" i="7"/>
  <c r="W260" i="7" s="1"/>
  <c r="K261" i="7"/>
  <c r="R261" i="7" s="1"/>
  <c r="K915" i="7"/>
  <c r="R915" i="7" s="1"/>
  <c r="K912" i="7"/>
  <c r="R912" i="7" s="1"/>
  <c r="Q273" i="7"/>
  <c r="W273" i="7" s="1"/>
  <c r="W76" i="7"/>
  <c r="K322" i="7"/>
  <c r="R322" i="7" s="1"/>
  <c r="K337" i="7"/>
  <c r="R337" i="7" s="1"/>
  <c r="K1000" i="7"/>
  <c r="R1000" i="7" s="1"/>
  <c r="K235" i="7"/>
  <c r="R235" i="7" s="1"/>
  <c r="K886" i="7"/>
  <c r="R886" i="7" s="1"/>
  <c r="Q886" i="7"/>
  <c r="W886" i="7" s="1"/>
  <c r="K902" i="7"/>
  <c r="R902" i="7" s="1"/>
  <c r="Q902" i="7"/>
  <c r="W902" i="7" s="1"/>
  <c r="K417" i="7"/>
  <c r="R417" i="7" s="1"/>
  <c r="K1071" i="7"/>
  <c r="R1071" i="7" s="1"/>
  <c r="K1084" i="7"/>
  <c r="R1084" i="7" s="1"/>
  <c r="K139" i="7"/>
  <c r="R139" i="7" s="1"/>
  <c r="K817" i="7"/>
  <c r="R817" i="7" s="1"/>
  <c r="K822" i="7"/>
  <c r="R822" i="7" s="1"/>
  <c r="K303" i="7"/>
  <c r="R303" i="7" s="1"/>
  <c r="K291" i="7"/>
  <c r="R291" i="7" s="1"/>
  <c r="K964" i="7"/>
  <c r="R964" i="7" s="1"/>
  <c r="Q964" i="7"/>
  <c r="W964" i="7" s="1"/>
  <c r="K645" i="7"/>
  <c r="R645" i="7" s="1"/>
  <c r="K1319" i="7"/>
  <c r="R1319" i="7" s="1"/>
  <c r="K1314" i="7"/>
  <c r="R1314" i="7" s="1"/>
  <c r="Q97" i="7"/>
  <c r="W97" i="7" s="1"/>
  <c r="K385" i="7"/>
  <c r="R385" i="7" s="1"/>
  <c r="K1045" i="7"/>
  <c r="R1045" i="7" s="1"/>
  <c r="K1065" i="7"/>
  <c r="R1065" i="7" s="1"/>
  <c r="X1198" i="7"/>
  <c r="S1198" i="7"/>
  <c r="Y1198" i="7" s="1"/>
  <c r="R1046" i="7"/>
  <c r="R943" i="7"/>
  <c r="R945" i="7"/>
  <c r="Q1029" i="7"/>
  <c r="W1029" i="7" s="1"/>
  <c r="R965" i="7"/>
  <c r="X803" i="7"/>
  <c r="S803" i="7"/>
  <c r="Y803" i="7" s="1"/>
  <c r="X766" i="7"/>
  <c r="S766" i="7"/>
  <c r="Y766" i="7" s="1"/>
  <c r="R689" i="7"/>
  <c r="X789" i="7"/>
  <c r="S789" i="7"/>
  <c r="Y789" i="7" s="1"/>
  <c r="R671" i="7"/>
  <c r="W697" i="7"/>
  <c r="C203" i="8"/>
  <c r="W671" i="7"/>
  <c r="X556" i="7"/>
  <c r="X564" i="7"/>
  <c r="S564" i="7"/>
  <c r="Y564" i="7" s="1"/>
  <c r="X555" i="7"/>
  <c r="S555" i="7"/>
  <c r="Y555" i="7" s="1"/>
  <c r="C144" i="8"/>
  <c r="W482" i="7"/>
  <c r="W505" i="7"/>
  <c r="S524" i="7"/>
  <c r="Y524" i="7" s="1"/>
  <c r="X524" i="7"/>
  <c r="C161" i="8"/>
  <c r="W499" i="7"/>
  <c r="C125" i="8"/>
  <c r="W463" i="7"/>
  <c r="R272" i="7"/>
  <c r="R193" i="7"/>
  <c r="W382" i="7"/>
  <c r="R230" i="7"/>
  <c r="R156" i="7"/>
  <c r="C92" i="8"/>
  <c r="W378" i="7"/>
  <c r="S210" i="7"/>
  <c r="Y210" i="7" s="1"/>
  <c r="X210" i="7"/>
  <c r="X1216" i="7"/>
  <c r="S1216" i="7"/>
  <c r="Y1216" i="7" s="1"/>
  <c r="X121" i="7"/>
  <c r="X800" i="7"/>
  <c r="S800" i="7"/>
  <c r="Y800" i="7" s="1"/>
  <c r="K341" i="7"/>
  <c r="Q341" i="7"/>
  <c r="W341" i="7" s="1"/>
  <c r="S345" i="7"/>
  <c r="Y345" i="7" s="1"/>
  <c r="K514" i="7"/>
  <c r="R514" i="7" s="1"/>
  <c r="K1174" i="7"/>
  <c r="R1174" i="7" s="1"/>
  <c r="K1176" i="7"/>
  <c r="R1176" i="7" s="1"/>
  <c r="Q1176" i="7"/>
  <c r="W1176" i="7" s="1"/>
  <c r="K764" i="7"/>
  <c r="R764" i="7" s="1"/>
  <c r="K756" i="7"/>
  <c r="Q118" i="7"/>
  <c r="W118" i="7" s="1"/>
  <c r="K603" i="7"/>
  <c r="R603" i="7" s="1"/>
  <c r="K604" i="7"/>
  <c r="R604" i="7" s="1"/>
  <c r="K1300" i="7"/>
  <c r="R1300" i="7" s="1"/>
  <c r="K1279" i="7"/>
  <c r="R1279" i="7" s="1"/>
  <c r="K185" i="7"/>
  <c r="R185" i="7" s="1"/>
  <c r="K205" i="7"/>
  <c r="K870" i="7"/>
  <c r="R870" i="7" s="1"/>
  <c r="K876" i="7"/>
  <c r="R876" i="7" s="1"/>
  <c r="K265" i="7"/>
  <c r="R265" i="7" s="1"/>
  <c r="K958" i="7"/>
  <c r="K939" i="7"/>
  <c r="R939" i="7" s="1"/>
  <c r="Q123" i="7"/>
  <c r="W123" i="7" s="1"/>
  <c r="R37" i="7"/>
  <c r="K41" i="7"/>
  <c r="Q41" i="7"/>
  <c r="W41" i="7" s="1"/>
  <c r="K441" i="7"/>
  <c r="R441" i="7" s="1"/>
  <c r="K440" i="7"/>
  <c r="R440" i="7" s="1"/>
  <c r="Q440" i="7"/>
  <c r="W440" i="7" s="1"/>
  <c r="K1118" i="7"/>
  <c r="R1118" i="7" s="1"/>
  <c r="K716" i="7"/>
  <c r="R716" i="7" s="1"/>
  <c r="Q175" i="7"/>
  <c r="W175" i="7" s="1"/>
  <c r="Q577" i="7"/>
  <c r="W577" i="7" s="1"/>
  <c r="K577" i="7"/>
  <c r="R577" i="7" s="1"/>
  <c r="K589" i="7"/>
  <c r="R589" i="7" s="1"/>
  <c r="K1272" i="7"/>
  <c r="R1272" i="7" s="1"/>
  <c r="K176" i="7"/>
  <c r="K174" i="7"/>
  <c r="R174" i="7" s="1"/>
  <c r="Q174" i="7"/>
  <c r="W174" i="7" s="1"/>
  <c r="K852" i="7"/>
  <c r="R852" i="7" s="1"/>
  <c r="K1151" i="7"/>
  <c r="R1151" i="7" s="1"/>
  <c r="Q1151" i="7"/>
  <c r="W1151" i="7" s="1"/>
  <c r="K1162" i="7"/>
  <c r="R1162" i="7" s="1"/>
  <c r="Q1162" i="7"/>
  <c r="W1162" i="7" s="1"/>
  <c r="K57" i="7"/>
  <c r="R57" i="7" s="1"/>
  <c r="K745" i="7"/>
  <c r="R745" i="7" s="1"/>
  <c r="Q745" i="7"/>
  <c r="W745" i="7" s="1"/>
  <c r="K552" i="7"/>
  <c r="R552" i="7" s="1"/>
  <c r="K1239" i="7"/>
  <c r="R1239" i="7" s="1"/>
  <c r="K1243" i="7"/>
  <c r="R1243" i="7" s="1"/>
  <c r="K657" i="7"/>
  <c r="R657" i="7" s="1"/>
  <c r="K666" i="7"/>
  <c r="R666" i="7" s="1"/>
  <c r="K1330" i="7"/>
  <c r="R1330" i="7" s="1"/>
  <c r="K1338" i="7"/>
  <c r="R1338" i="7" s="1"/>
  <c r="K244" i="7"/>
  <c r="R244" i="7" s="1"/>
  <c r="Q244" i="7"/>
  <c r="W244" i="7" s="1"/>
  <c r="K236" i="7"/>
  <c r="R236" i="7" s="1"/>
  <c r="K931" i="7"/>
  <c r="R931" i="7" s="1"/>
  <c r="K928" i="7"/>
  <c r="R928" i="7" s="1"/>
  <c r="W154" i="7"/>
  <c r="K338" i="7"/>
  <c r="R338" i="7" s="1"/>
  <c r="K997" i="7"/>
  <c r="R997" i="7" s="1"/>
  <c r="K991" i="7"/>
  <c r="R991" i="7" s="1"/>
  <c r="K226" i="7"/>
  <c r="R226" i="7" s="1"/>
  <c r="K899" i="7"/>
  <c r="R899" i="7" s="1"/>
  <c r="K893" i="7"/>
  <c r="R893" i="7" s="1"/>
  <c r="Q893" i="7"/>
  <c r="W893" i="7" s="1"/>
  <c r="Q392" i="7"/>
  <c r="W392" i="7" s="1"/>
  <c r="K392" i="7"/>
  <c r="R392" i="7" s="1"/>
  <c r="K1069" i="7"/>
  <c r="R1069" i="7" s="1"/>
  <c r="K1075" i="7"/>
  <c r="R1075" i="7" s="1"/>
  <c r="K155" i="7"/>
  <c r="R155" i="7" s="1"/>
  <c r="K829" i="7"/>
  <c r="R829" i="7" s="1"/>
  <c r="K825" i="7"/>
  <c r="R825" i="7" s="1"/>
  <c r="K294" i="7"/>
  <c r="K307" i="7"/>
  <c r="R307" i="7" s="1"/>
  <c r="K983" i="7"/>
  <c r="R983" i="7" s="1"/>
  <c r="Q164" i="7"/>
  <c r="W164" i="7" s="1"/>
  <c r="K636" i="7"/>
  <c r="R636" i="7" s="1"/>
  <c r="K1324" i="7"/>
  <c r="K1302" i="7"/>
  <c r="R1302" i="7" s="1"/>
  <c r="K22" i="7"/>
  <c r="R22" i="7" s="1"/>
  <c r="Q91" i="7"/>
  <c r="W91" i="7" s="1"/>
  <c r="Q376" i="7"/>
  <c r="K376" i="7"/>
  <c r="R376" i="7" s="1"/>
  <c r="K1059" i="7"/>
  <c r="R1059" i="7" s="1"/>
  <c r="K1063" i="7"/>
  <c r="R1063" i="7" s="1"/>
  <c r="Q139" i="7"/>
  <c r="Q15" i="7"/>
  <c r="Q37" i="7"/>
  <c r="W37" i="7" s="1"/>
  <c r="X1120" i="7"/>
  <c r="S1120" i="7"/>
  <c r="Y1120" i="7" s="1"/>
  <c r="R929" i="7"/>
  <c r="R958" i="7"/>
  <c r="R901" i="7"/>
  <c r="X797" i="7"/>
  <c r="S797" i="7"/>
  <c r="Y797" i="7" s="1"/>
  <c r="X787" i="7"/>
  <c r="S787" i="7"/>
  <c r="Y787" i="7" s="1"/>
  <c r="C209" i="8"/>
  <c r="W677" i="7"/>
  <c r="X681" i="7"/>
  <c r="S681" i="7"/>
  <c r="C194" i="8"/>
  <c r="W662" i="7"/>
  <c r="R559" i="7"/>
  <c r="X584" i="7"/>
  <c r="S584" i="7"/>
  <c r="Y584" i="7" s="1"/>
  <c r="D144" i="8"/>
  <c r="X482" i="7"/>
  <c r="S482" i="7"/>
  <c r="W516" i="7"/>
  <c r="W502" i="7"/>
  <c r="X527" i="7"/>
  <c r="S527" i="7"/>
  <c r="Y527" i="7" s="1"/>
  <c r="C150" i="8"/>
  <c r="W488" i="7"/>
  <c r="D121" i="8"/>
  <c r="X459" i="7"/>
  <c r="S459" i="7"/>
  <c r="D148" i="8"/>
  <c r="C89" i="8"/>
  <c r="W375" i="7"/>
  <c r="Q171" i="7"/>
  <c r="W171" i="7" s="1"/>
  <c r="R262" i="7"/>
  <c r="S299" i="7"/>
  <c r="Y299" i="7" s="1"/>
  <c r="X299" i="7"/>
  <c r="R140" i="7"/>
  <c r="R192" i="7"/>
  <c r="Q51" i="7"/>
  <c r="W51" i="7" s="1"/>
  <c r="K51" i="7"/>
  <c r="R51" i="7" s="1"/>
  <c r="X1204" i="7"/>
  <c r="S1204" i="7"/>
  <c r="Y1204" i="7" s="1"/>
  <c r="K791" i="7"/>
  <c r="R791" i="7" s="1"/>
  <c r="Q791" i="7"/>
  <c r="W791" i="7" s="1"/>
  <c r="K347" i="7"/>
  <c r="R347" i="7" s="1"/>
  <c r="K361" i="7"/>
  <c r="R361" i="7" s="1"/>
  <c r="K1016" i="7"/>
  <c r="R1016" i="7" s="1"/>
  <c r="K509" i="7"/>
  <c r="R509" i="7" s="1"/>
  <c r="K497" i="7"/>
  <c r="R497" i="7" s="1"/>
  <c r="K1188" i="7"/>
  <c r="R1188" i="7" s="1"/>
  <c r="K1191" i="7"/>
  <c r="R1191" i="7" s="1"/>
  <c r="Q1191" i="7"/>
  <c r="W1191" i="7" s="1"/>
  <c r="K86" i="7"/>
  <c r="R86" i="7" s="1"/>
  <c r="K780" i="7"/>
  <c r="R780" i="7" s="1"/>
  <c r="K772" i="7"/>
  <c r="R772" i="7" s="1"/>
  <c r="Q772" i="7"/>
  <c r="W772" i="7" s="1"/>
  <c r="Q448" i="7"/>
  <c r="K448" i="7"/>
  <c r="R448" i="7" s="1"/>
  <c r="X1142" i="7"/>
  <c r="S1142" i="7"/>
  <c r="Y1142" i="7" s="1"/>
  <c r="Q117" i="7"/>
  <c r="W117" i="7" s="1"/>
  <c r="K602" i="7"/>
  <c r="R602" i="7" s="1"/>
  <c r="K620" i="7"/>
  <c r="R620" i="7" s="1"/>
  <c r="K1282" i="7"/>
  <c r="R1282" i="7" s="1"/>
  <c r="K1295" i="7"/>
  <c r="R1295" i="7" s="1"/>
  <c r="K202" i="7"/>
  <c r="R202" i="7" s="1"/>
  <c r="K203" i="7"/>
  <c r="R203" i="7" s="1"/>
  <c r="K877" i="7"/>
  <c r="R877" i="7" s="1"/>
  <c r="K884" i="7"/>
  <c r="R884" i="7" s="1"/>
  <c r="K281" i="7"/>
  <c r="R281" i="7" s="1"/>
  <c r="K940" i="7"/>
  <c r="R940" i="7" s="1"/>
  <c r="K955" i="7"/>
  <c r="R955" i="7" s="1"/>
  <c r="W140" i="7"/>
  <c r="K419" i="7"/>
  <c r="R419" i="7" s="1"/>
  <c r="K425" i="7"/>
  <c r="R425" i="7" s="1"/>
  <c r="K1109" i="7"/>
  <c r="R1109" i="7" s="1"/>
  <c r="W54" i="7"/>
  <c r="K42" i="7"/>
  <c r="R42" i="7" s="1"/>
  <c r="K707" i="7"/>
  <c r="R707" i="7" s="1"/>
  <c r="K593" i="7"/>
  <c r="R593" i="7" s="1"/>
  <c r="K580" i="7"/>
  <c r="R580" i="7" s="1"/>
  <c r="K1261" i="7"/>
  <c r="R1261" i="7" s="1"/>
  <c r="K160" i="7"/>
  <c r="R160" i="7" s="1"/>
  <c r="K165" i="7"/>
  <c r="R165" i="7" s="1"/>
  <c r="K843" i="7"/>
  <c r="R843" i="7" s="1"/>
  <c r="K493" i="7"/>
  <c r="R493" i="7" s="1"/>
  <c r="Q493" i="7"/>
  <c r="K1167" i="7"/>
  <c r="R1167" i="7" s="1"/>
  <c r="Q1167" i="7"/>
  <c r="W1167" i="7" s="1"/>
  <c r="X1153" i="7"/>
  <c r="D47" i="8"/>
  <c r="X73" i="7"/>
  <c r="K752" i="7"/>
  <c r="R752" i="7" s="1"/>
  <c r="K568" i="7"/>
  <c r="R568" i="7" s="1"/>
  <c r="K1237" i="7"/>
  <c r="R1237" i="7" s="1"/>
  <c r="K1234" i="7"/>
  <c r="R1234" i="7" s="1"/>
  <c r="Q132" i="7"/>
  <c r="K652" i="7"/>
  <c r="R652" i="7" s="1"/>
  <c r="K664" i="7"/>
  <c r="R664" i="7" s="1"/>
  <c r="K1334" i="7"/>
  <c r="R1334" i="7" s="1"/>
  <c r="Q1334" i="7"/>
  <c r="W1334" i="7" s="1"/>
  <c r="K239" i="7"/>
  <c r="R239" i="7" s="1"/>
  <c r="K252" i="7"/>
  <c r="R252" i="7" s="1"/>
  <c r="K922" i="7"/>
  <c r="R922" i="7" s="1"/>
  <c r="K329" i="7"/>
  <c r="R329" i="7" s="1"/>
  <c r="K1013" i="7"/>
  <c r="R1013" i="7" s="1"/>
  <c r="K1007" i="7"/>
  <c r="R1007" i="7" s="1"/>
  <c r="K233" i="7"/>
  <c r="R233" i="7" s="1"/>
  <c r="K894" i="7"/>
  <c r="R894" i="7" s="1"/>
  <c r="K909" i="7"/>
  <c r="R909" i="7" s="1"/>
  <c r="Q408" i="7"/>
  <c r="W408" i="7" s="1"/>
  <c r="K408" i="7"/>
  <c r="R408" i="7" s="1"/>
  <c r="K1076" i="7"/>
  <c r="R1076" i="7" s="1"/>
  <c r="K1091" i="7"/>
  <c r="R1091" i="7" s="1"/>
  <c r="K146" i="7"/>
  <c r="R146" i="7" s="1"/>
  <c r="Q813" i="7"/>
  <c r="W813" i="7" s="1"/>
  <c r="K813" i="7"/>
  <c r="R813" i="7" s="1"/>
  <c r="K816" i="7"/>
  <c r="R816" i="7" s="1"/>
  <c r="K298" i="7"/>
  <c r="R298" i="7" s="1"/>
  <c r="K967" i="7"/>
  <c r="R967" i="7" s="1"/>
  <c r="Q967" i="7"/>
  <c r="W967" i="7" s="1"/>
  <c r="Q157" i="7"/>
  <c r="K643" i="7"/>
  <c r="R643" i="7" s="1"/>
  <c r="K1307" i="7"/>
  <c r="R1307" i="7" s="1"/>
  <c r="K1309" i="7"/>
  <c r="R1309" i="7" s="1"/>
  <c r="Q80" i="7"/>
  <c r="W80" i="7" s="1"/>
  <c r="K8" i="7"/>
  <c r="R8" i="7" s="1"/>
  <c r="K373" i="7"/>
  <c r="R373" i="7" s="1"/>
  <c r="K367" i="7"/>
  <c r="R367" i="7" s="1"/>
  <c r="Q367" i="7"/>
  <c r="K1049" i="7"/>
  <c r="R1049" i="7" s="1"/>
  <c r="K1054" i="7"/>
  <c r="R1054" i="7" s="1"/>
  <c r="Q38" i="7"/>
  <c r="W38" i="7" s="1"/>
  <c r="C12" i="8"/>
  <c r="W12" i="7"/>
  <c r="D146" i="8"/>
  <c r="X484" i="7"/>
  <c r="K490" i="7"/>
  <c r="R490" i="7" s="1"/>
  <c r="Q490" i="7"/>
  <c r="X1169" i="7"/>
  <c r="Q1244" i="7"/>
  <c r="W1244" i="7" s="1"/>
  <c r="K1244" i="7"/>
  <c r="R1244" i="7" s="1"/>
  <c r="X1249" i="7"/>
  <c r="S1249" i="7"/>
  <c r="Y1249" i="7" s="1"/>
  <c r="K671" i="7"/>
  <c r="Q1340" i="7"/>
  <c r="W1340" i="7" s="1"/>
  <c r="K1340" i="7"/>
  <c r="R1340" i="7" s="1"/>
  <c r="K255" i="7"/>
  <c r="R255" i="7" s="1"/>
  <c r="K243" i="7"/>
  <c r="R243" i="7" s="1"/>
  <c r="K913" i="7"/>
  <c r="R913" i="7" s="1"/>
  <c r="C59" i="8"/>
  <c r="W137" i="7"/>
  <c r="K67" i="7"/>
  <c r="R67" i="7" s="1"/>
  <c r="K320" i="7"/>
  <c r="R320" i="7" s="1"/>
  <c r="K999" i="7"/>
  <c r="R999" i="7" s="1"/>
  <c r="K998" i="7"/>
  <c r="R998" i="7" s="1"/>
  <c r="Q998" i="7"/>
  <c r="W998" i="7" s="1"/>
  <c r="K232" i="7"/>
  <c r="R232" i="7" s="1"/>
  <c r="K224" i="7"/>
  <c r="R224" i="7" s="1"/>
  <c r="K896" i="7"/>
  <c r="R896" i="7" s="1"/>
  <c r="Q896" i="7"/>
  <c r="W896" i="7" s="1"/>
  <c r="K900" i="7"/>
  <c r="R900" i="7" s="1"/>
  <c r="Q900" i="7"/>
  <c r="W900" i="7" s="1"/>
  <c r="K68" i="7"/>
  <c r="R68" i="7" s="1"/>
  <c r="K11" i="7"/>
  <c r="R11" i="7" s="1"/>
  <c r="K399" i="7"/>
  <c r="R399" i="7" s="1"/>
  <c r="K1092" i="7"/>
  <c r="R1092" i="7" s="1"/>
  <c r="K1082" i="7"/>
  <c r="R1082" i="7" s="1"/>
  <c r="Q1082" i="7"/>
  <c r="W1082" i="7" s="1"/>
  <c r="K137" i="7"/>
  <c r="R137" i="7" s="1"/>
  <c r="K833" i="7"/>
  <c r="R833" i="7" s="1"/>
  <c r="K832" i="7"/>
  <c r="R832" i="7" s="1"/>
  <c r="K301" i="7"/>
  <c r="R301" i="7" s="1"/>
  <c r="K289" i="7"/>
  <c r="R289" i="7" s="1"/>
  <c r="K972" i="7"/>
  <c r="R972" i="7" s="1"/>
  <c r="K20" i="7"/>
  <c r="R20" i="7" s="1"/>
  <c r="K627" i="7"/>
  <c r="R627" i="7" s="1"/>
  <c r="Q650" i="7"/>
  <c r="W650" i="7" s="1"/>
  <c r="K650" i="7"/>
  <c r="R650" i="7" s="1"/>
  <c r="K1323" i="7"/>
  <c r="R1323" i="7" s="1"/>
  <c r="Q1323" i="7"/>
  <c r="W1323" i="7" s="1"/>
  <c r="K1318" i="7"/>
  <c r="R1318" i="7" s="1"/>
  <c r="Q1318" i="7"/>
  <c r="W1318" i="7" s="1"/>
  <c r="K368" i="7"/>
  <c r="R368" i="7" s="1"/>
  <c r="K383" i="7"/>
  <c r="R383" i="7" s="1"/>
  <c r="K1043" i="7"/>
  <c r="R1043" i="7" s="1"/>
  <c r="K1061" i="7"/>
  <c r="R1061" i="7" s="1"/>
  <c r="Q1061" i="7"/>
  <c r="W1061" i="7" s="1"/>
  <c r="R130" i="7"/>
  <c r="Q32" i="7"/>
  <c r="W32" i="7" s="1"/>
  <c r="Q24" i="7"/>
  <c r="X1221" i="7"/>
  <c r="S1221" i="7"/>
  <c r="Y1221" i="7" s="1"/>
  <c r="S1154" i="7"/>
  <c r="Y1154" i="7" s="1"/>
  <c r="X1154" i="7"/>
  <c r="R1088" i="7"/>
  <c r="X1121" i="7"/>
  <c r="S1121" i="7"/>
  <c r="Y1121" i="7" s="1"/>
  <c r="S1134" i="7"/>
  <c r="Y1134" i="7" s="1"/>
  <c r="X1134" i="7"/>
  <c r="R926" i="7"/>
  <c r="R874" i="7"/>
  <c r="R765" i="7"/>
  <c r="X805" i="7"/>
  <c r="S805" i="7"/>
  <c r="Y805" i="7" s="1"/>
  <c r="X782" i="7"/>
  <c r="S782" i="7"/>
  <c r="Y782" i="7" s="1"/>
  <c r="W681" i="7"/>
  <c r="W692" i="7"/>
  <c r="R641" i="7"/>
  <c r="W698" i="7"/>
  <c r="Q679" i="7"/>
  <c r="S679" i="7" s="1"/>
  <c r="C189" i="8"/>
  <c r="W657" i="7"/>
  <c r="R655" i="7"/>
  <c r="Q521" i="7"/>
  <c r="X571" i="7"/>
  <c r="S571" i="7"/>
  <c r="Y571" i="7" s="1"/>
  <c r="X539" i="7"/>
  <c r="S539" i="7"/>
  <c r="Y539" i="7" s="1"/>
  <c r="Q532" i="7"/>
  <c r="W532" i="7" s="1"/>
  <c r="R470" i="7"/>
  <c r="C170" i="8"/>
  <c r="W508" i="7"/>
  <c r="C157" i="8"/>
  <c r="W495" i="7"/>
  <c r="C143" i="8"/>
  <c r="W481" i="7"/>
  <c r="C132" i="8"/>
  <c r="W470" i="7"/>
  <c r="D118" i="8"/>
  <c r="X456" i="7"/>
  <c r="S456" i="7"/>
  <c r="D113" i="8"/>
  <c r="X451" i="7"/>
  <c r="S451" i="7"/>
  <c r="C82" i="8"/>
  <c r="W368" i="7"/>
  <c r="Q355" i="7"/>
  <c r="W355" i="7" s="1"/>
  <c r="R254" i="7"/>
  <c r="C129" i="8"/>
  <c r="W467" i="7"/>
  <c r="C98" i="8"/>
  <c r="W384" i="7"/>
  <c r="Q190" i="7"/>
  <c r="W190" i="7" s="1"/>
  <c r="R294" i="7"/>
  <c r="K1211" i="7"/>
  <c r="R1211" i="7" s="1"/>
  <c r="Q1211" i="7"/>
  <c r="W1211" i="7" s="1"/>
  <c r="K353" i="7"/>
  <c r="R353" i="7" s="1"/>
  <c r="K1031" i="7"/>
  <c r="R1031" i="7" s="1"/>
  <c r="K1023" i="7"/>
  <c r="R1023" i="7" s="1"/>
  <c r="K507" i="7"/>
  <c r="R507" i="7" s="1"/>
  <c r="K520" i="7"/>
  <c r="R520" i="7" s="1"/>
  <c r="K1192" i="7"/>
  <c r="R1192" i="7" s="1"/>
  <c r="K1197" i="7"/>
  <c r="R1197" i="7" s="1"/>
  <c r="Q1197" i="7"/>
  <c r="W1197" i="7" s="1"/>
  <c r="K93" i="7"/>
  <c r="R93" i="7" s="1"/>
  <c r="K778" i="7"/>
  <c r="R778" i="7" s="1"/>
  <c r="K779" i="7"/>
  <c r="R779" i="7" s="1"/>
  <c r="Q455" i="7"/>
  <c r="K455" i="7"/>
  <c r="R455" i="7" s="1"/>
  <c r="K609" i="7"/>
  <c r="R609" i="7" s="1"/>
  <c r="K623" i="7"/>
  <c r="R623" i="7" s="1"/>
  <c r="K1287" i="7"/>
  <c r="R1287" i="7" s="1"/>
  <c r="K201" i="7"/>
  <c r="R201" i="7" s="1"/>
  <c r="Q206" i="7"/>
  <c r="W206" i="7" s="1"/>
  <c r="K206" i="7"/>
  <c r="R206" i="7" s="1"/>
  <c r="K880" i="7"/>
  <c r="R880" i="7" s="1"/>
  <c r="K264" i="7"/>
  <c r="R264" i="7" s="1"/>
  <c r="K270" i="7"/>
  <c r="R270" i="7" s="1"/>
  <c r="K947" i="7"/>
  <c r="R947" i="7" s="1"/>
  <c r="K962" i="7"/>
  <c r="R962" i="7" s="1"/>
  <c r="Q962" i="7"/>
  <c r="W962" i="7" s="1"/>
  <c r="K426" i="7"/>
  <c r="R426" i="7" s="1"/>
  <c r="K438" i="7"/>
  <c r="R438" i="7" s="1"/>
  <c r="K1116" i="7"/>
  <c r="R1116" i="7" s="1"/>
  <c r="K48" i="7"/>
  <c r="R48" i="7" s="1"/>
  <c r="K714" i="7"/>
  <c r="R714" i="7" s="1"/>
  <c r="O9" i="10"/>
  <c r="Q594" i="7"/>
  <c r="W594" i="7" s="1"/>
  <c r="K594" i="7"/>
  <c r="R594" i="7" s="1"/>
  <c r="K1250" i="7"/>
  <c r="R1250" i="7" s="1"/>
  <c r="K1256" i="7"/>
  <c r="R1256" i="7" s="1"/>
  <c r="Q1256" i="7"/>
  <c r="W1256" i="7" s="1"/>
  <c r="K183" i="7"/>
  <c r="R183" i="7" s="1"/>
  <c r="K172" i="7"/>
  <c r="R172" i="7" s="1"/>
  <c r="Q172" i="7"/>
  <c r="W172" i="7" s="1"/>
  <c r="K834" i="7"/>
  <c r="R834" i="7" s="1"/>
  <c r="K1160" i="7"/>
  <c r="R1160" i="7" s="1"/>
  <c r="Q1160" i="7"/>
  <c r="W1160" i="7" s="1"/>
  <c r="X55" i="7"/>
  <c r="S55" i="7"/>
  <c r="K740" i="7"/>
  <c r="R740" i="7" s="1"/>
  <c r="Q740" i="7"/>
  <c r="W740" i="7" s="1"/>
  <c r="K550" i="7"/>
  <c r="R550" i="7" s="1"/>
  <c r="Q550" i="7"/>
  <c r="W550" i="7" s="1"/>
  <c r="K1225" i="7"/>
  <c r="R1225" i="7" s="1"/>
  <c r="Q1225" i="7"/>
  <c r="W1225" i="7" s="1"/>
  <c r="R128" i="7"/>
  <c r="K658" i="7"/>
  <c r="R658" i="7" s="1"/>
  <c r="K662" i="7"/>
  <c r="R662" i="7" s="1"/>
  <c r="K1343" i="7"/>
  <c r="R1343" i="7" s="1"/>
  <c r="K246" i="7"/>
  <c r="R246" i="7" s="1"/>
  <c r="K259" i="7"/>
  <c r="R259" i="7" s="1"/>
  <c r="K929" i="7"/>
  <c r="K66" i="7"/>
  <c r="R66" i="7" s="1"/>
  <c r="K336" i="7"/>
  <c r="R336" i="7" s="1"/>
  <c r="K1015" i="7"/>
  <c r="R1015" i="7" s="1"/>
  <c r="K1014" i="7"/>
  <c r="R1014" i="7" s="1"/>
  <c r="K222" i="7"/>
  <c r="R222" i="7" s="1"/>
  <c r="K897" i="7"/>
  <c r="R897" i="7" s="1"/>
  <c r="K891" i="7"/>
  <c r="R891" i="7" s="1"/>
  <c r="K416" i="7"/>
  <c r="R416" i="7" s="1"/>
  <c r="K415" i="7"/>
  <c r="K1083" i="7"/>
  <c r="R1083" i="7" s="1"/>
  <c r="K1073" i="7"/>
  <c r="R1073" i="7" s="1"/>
  <c r="K147" i="7"/>
  <c r="R147" i="7" s="1"/>
  <c r="K153" i="7"/>
  <c r="R153" i="7" s="1"/>
  <c r="K828" i="7"/>
  <c r="R828" i="7" s="1"/>
  <c r="K823" i="7"/>
  <c r="R823" i="7" s="1"/>
  <c r="Q823" i="7"/>
  <c r="W823" i="7" s="1"/>
  <c r="K305" i="7"/>
  <c r="R305" i="7" s="1"/>
  <c r="Q305" i="7"/>
  <c r="W305" i="7" s="1"/>
  <c r="K976" i="7"/>
  <c r="R976" i="7" s="1"/>
  <c r="Q142" i="7"/>
  <c r="Q626" i="7"/>
  <c r="W626" i="7" s="1"/>
  <c r="K626" i="7"/>
  <c r="R626" i="7" s="1"/>
  <c r="K648" i="7"/>
  <c r="R648" i="7" s="1"/>
  <c r="K1312" i="7"/>
  <c r="R1312" i="7" s="1"/>
  <c r="K1320" i="7"/>
  <c r="R1320" i="7" s="1"/>
  <c r="Q125" i="7"/>
  <c r="W125" i="7" s="1"/>
  <c r="O11" i="10"/>
  <c r="K384" i="7"/>
  <c r="R384" i="7" s="1"/>
  <c r="K374" i="7"/>
  <c r="R374" i="7" s="1"/>
  <c r="K1051" i="7"/>
  <c r="R1051" i="7" s="1"/>
  <c r="K1066" i="7"/>
  <c r="R1066" i="7" s="1"/>
  <c r="Q71" i="7"/>
  <c r="Q130" i="7"/>
  <c r="W130" i="7" s="1"/>
  <c r="Q64" i="7"/>
  <c r="Q36" i="7"/>
  <c r="W36" i="7" s="1"/>
  <c r="R1072" i="7"/>
  <c r="X1130" i="7"/>
  <c r="S1130" i="7"/>
  <c r="Y1130" i="7" s="1"/>
  <c r="Q859" i="7"/>
  <c r="W859" i="7" s="1"/>
  <c r="X783" i="7"/>
  <c r="C198" i="8"/>
  <c r="W666" i="7"/>
  <c r="W680" i="7"/>
  <c r="C187" i="8"/>
  <c r="W655" i="7"/>
  <c r="X558" i="7"/>
  <c r="S558" i="7"/>
  <c r="Y558" i="7" s="1"/>
  <c r="R526" i="7"/>
  <c r="X537" i="7"/>
  <c r="D116" i="8"/>
  <c r="X454" i="7"/>
  <c r="S454" i="7"/>
  <c r="Q484" i="7"/>
  <c r="S484" i="7" s="1"/>
  <c r="D153" i="8"/>
  <c r="X491" i="7"/>
  <c r="S491" i="7"/>
  <c r="D139" i="8"/>
  <c r="X477" i="7"/>
  <c r="S477" i="7"/>
  <c r="C128" i="8"/>
  <c r="W466" i="7"/>
  <c r="D112" i="8"/>
  <c r="X450" i="7"/>
  <c r="S450" i="7"/>
  <c r="C113" i="8"/>
  <c r="W451" i="7"/>
  <c r="R341" i="7"/>
  <c r="W372" i="7"/>
  <c r="R342" i="7"/>
  <c r="R176" i="7"/>
  <c r="R258" i="7"/>
  <c r="R41" i="7"/>
  <c r="X1202" i="7"/>
  <c r="K344" i="7"/>
  <c r="R344" i="7" s="1"/>
  <c r="Q344" i="7"/>
  <c r="W344" i="7" s="1"/>
  <c r="X1017" i="7"/>
  <c r="S1017" i="7"/>
  <c r="Y1017" i="7" s="1"/>
  <c r="X1039" i="7"/>
  <c r="S1039" i="7"/>
  <c r="Y1039" i="7" s="1"/>
  <c r="K498" i="7"/>
  <c r="R498" i="7" s="1"/>
  <c r="K1195" i="7"/>
  <c r="R1195" i="7" s="1"/>
  <c r="Q1195" i="7"/>
  <c r="W1195" i="7" s="1"/>
  <c r="K770" i="7"/>
  <c r="R770" i="7" s="1"/>
  <c r="K462" i="7"/>
  <c r="R462" i="7" s="1"/>
  <c r="K1143" i="7"/>
  <c r="R1143" i="7" s="1"/>
  <c r="K611" i="7"/>
  <c r="R611" i="7" s="1"/>
  <c r="K614" i="7"/>
  <c r="R614" i="7" s="1"/>
  <c r="K1278" i="7"/>
  <c r="R1278" i="7" s="1"/>
  <c r="K187" i="7"/>
  <c r="R187" i="7" s="1"/>
  <c r="K197" i="7"/>
  <c r="R197" i="7" s="1"/>
  <c r="K868" i="7"/>
  <c r="R868" i="7" s="1"/>
  <c r="K263" i="7"/>
  <c r="R263" i="7" s="1"/>
  <c r="K286" i="7"/>
  <c r="R286" i="7" s="1"/>
  <c r="K963" i="7"/>
  <c r="R963" i="7" s="1"/>
  <c r="K944" i="7"/>
  <c r="R944" i="7" s="1"/>
  <c r="Q107" i="7"/>
  <c r="W107" i="7" s="1"/>
  <c r="R23" i="7"/>
  <c r="K433" i="7"/>
  <c r="R433" i="7" s="1"/>
  <c r="K1101" i="7"/>
  <c r="R1101" i="7" s="1"/>
  <c r="K1107" i="7"/>
  <c r="R1107" i="7" s="1"/>
  <c r="Q197" i="7"/>
  <c r="W197" i="7" s="1"/>
  <c r="K53" i="7"/>
  <c r="R53" i="7" s="1"/>
  <c r="K705" i="7"/>
  <c r="R705" i="7" s="1"/>
  <c r="R112" i="7"/>
  <c r="O5" i="10"/>
  <c r="K575" i="7"/>
  <c r="R575" i="7" s="1"/>
  <c r="K1258" i="7"/>
  <c r="R1258" i="7" s="1"/>
  <c r="K1270" i="7"/>
  <c r="R1270" i="7" s="1"/>
  <c r="Q1270" i="7"/>
  <c r="W1270" i="7" s="1"/>
  <c r="K167" i="7"/>
  <c r="R167" i="7" s="1"/>
  <c r="K849" i="7"/>
  <c r="R849" i="7" s="1"/>
  <c r="K850" i="7"/>
  <c r="K58" i="7"/>
  <c r="R58" i="7" s="1"/>
  <c r="X71" i="7"/>
  <c r="S71" i="7"/>
  <c r="K731" i="7"/>
  <c r="R731" i="7" s="1"/>
  <c r="Q731" i="7"/>
  <c r="W731" i="7" s="1"/>
  <c r="K566" i="7"/>
  <c r="R566" i="7" s="1"/>
  <c r="Q566" i="7"/>
  <c r="W566" i="7" s="1"/>
  <c r="K1241" i="7"/>
  <c r="R1241" i="7" s="1"/>
  <c r="Q1241" i="7"/>
  <c r="W1241" i="7" s="1"/>
  <c r="Q128" i="7"/>
  <c r="W128" i="7" s="1"/>
  <c r="K673" i="7"/>
  <c r="R673" i="7" s="1"/>
  <c r="K669" i="7"/>
  <c r="R669" i="7" s="1"/>
  <c r="K1335" i="7"/>
  <c r="R1335" i="7" s="1"/>
  <c r="K237" i="7"/>
  <c r="R237" i="7" s="1"/>
  <c r="K250" i="7"/>
  <c r="R250" i="7" s="1"/>
  <c r="K920" i="7"/>
  <c r="R920" i="7" s="1"/>
  <c r="K327" i="7"/>
  <c r="R327" i="7" s="1"/>
  <c r="K1001" i="7"/>
  <c r="R1001" i="7" s="1"/>
  <c r="K1005" i="7"/>
  <c r="R1005" i="7" s="1"/>
  <c r="K217" i="7"/>
  <c r="R217" i="7" s="1"/>
  <c r="K213" i="7"/>
  <c r="R213" i="7" s="1"/>
  <c r="K905" i="7"/>
  <c r="R905" i="7" s="1"/>
  <c r="K907" i="7"/>
  <c r="R907" i="7" s="1"/>
  <c r="Q66" i="7"/>
  <c r="K400" i="7"/>
  <c r="R400" i="7" s="1"/>
  <c r="K406" i="7"/>
  <c r="R406" i="7" s="1"/>
  <c r="K1074" i="7"/>
  <c r="R1074" i="7" s="1"/>
  <c r="K1089" i="7"/>
  <c r="R1089" i="7" s="1"/>
  <c r="K138" i="7"/>
  <c r="K144" i="7"/>
  <c r="R144" i="7" s="1"/>
  <c r="Q144" i="7"/>
  <c r="K818" i="7"/>
  <c r="K830" i="7"/>
  <c r="R830" i="7" s="1"/>
  <c r="Q830" i="7"/>
  <c r="W830" i="7" s="1"/>
  <c r="K290" i="7"/>
  <c r="R290" i="7" s="1"/>
  <c r="K970" i="7"/>
  <c r="R970" i="7" s="1"/>
  <c r="Q138" i="7"/>
  <c r="K632" i="7"/>
  <c r="R632" i="7" s="1"/>
  <c r="K639" i="7"/>
  <c r="R639" i="7" s="1"/>
  <c r="K1303" i="7"/>
  <c r="R1303" i="7" s="1"/>
  <c r="K1316" i="7"/>
  <c r="R1316" i="7" s="1"/>
  <c r="Q121" i="7"/>
  <c r="W121" i="7" s="1"/>
  <c r="Q155" i="7"/>
  <c r="Q61" i="7"/>
  <c r="O7" i="10"/>
  <c r="K370" i="7"/>
  <c r="R370" i="7" s="1"/>
  <c r="Q370" i="7"/>
  <c r="K390" i="7"/>
  <c r="R390" i="7" s="1"/>
  <c r="K1048" i="7"/>
  <c r="R1048" i="7" s="1"/>
  <c r="K1062" i="7"/>
  <c r="R1062" i="7" s="1"/>
  <c r="Q110" i="7"/>
  <c r="W110" i="7" s="1"/>
  <c r="Q19" i="7"/>
  <c r="S19" i="7" s="1"/>
  <c r="Q95" i="7"/>
  <c r="W95" i="7" s="1"/>
  <c r="R1324" i="7"/>
  <c r="X1156" i="7"/>
  <c r="S1156" i="7"/>
  <c r="Y1156" i="7" s="1"/>
  <c r="S1179" i="7"/>
  <c r="Y1179" i="7" s="1"/>
  <c r="X1179" i="7"/>
  <c r="R858" i="7"/>
  <c r="R756" i="7"/>
  <c r="R1353" i="7"/>
  <c r="S1159" i="7"/>
  <c r="Y1159" i="7" s="1"/>
  <c r="X1159" i="7"/>
  <c r="R1230" i="7"/>
  <c r="R1268" i="7"/>
  <c r="X984" i="7"/>
  <c r="S984" i="7"/>
  <c r="Y984" i="7" s="1"/>
  <c r="R1027" i="7"/>
  <c r="X842" i="7"/>
  <c r="S842" i="7"/>
  <c r="Y842" i="7" s="1"/>
  <c r="C190" i="8"/>
  <c r="W658" i="7"/>
  <c r="C208" i="8"/>
  <c r="W676" i="7"/>
  <c r="W693" i="7"/>
  <c r="R640" i="7"/>
  <c r="X542" i="7"/>
  <c r="S542" i="7"/>
  <c r="Y542" i="7" s="1"/>
  <c r="R585" i="7"/>
  <c r="D145" i="8"/>
  <c r="X483" i="7"/>
  <c r="S483" i="7"/>
  <c r="C181" i="8"/>
  <c r="W519" i="7"/>
  <c r="Q537" i="7"/>
  <c r="W537" i="7" s="1"/>
  <c r="X551" i="7"/>
  <c r="S551" i="7"/>
  <c r="Y551" i="7" s="1"/>
  <c r="C145" i="8"/>
  <c r="W483" i="7"/>
  <c r="C153" i="8"/>
  <c r="W491" i="7"/>
  <c r="D111" i="8"/>
  <c r="S449" i="7"/>
  <c r="X449" i="7"/>
  <c r="R325" i="7"/>
  <c r="C102" i="8"/>
  <c r="W388" i="7"/>
  <c r="C99" i="8"/>
  <c r="W385" i="7"/>
  <c r="C88" i="8"/>
  <c r="W374" i="7"/>
  <c r="Q342" i="7"/>
  <c r="W342" i="7" s="1"/>
  <c r="R173" i="7"/>
  <c r="X1218" i="7"/>
  <c r="S1218" i="7"/>
  <c r="Y1218" i="7" s="1"/>
  <c r="K359" i="7"/>
  <c r="R359" i="7" s="1"/>
  <c r="K1033" i="7"/>
  <c r="R1033" i="7" s="1"/>
  <c r="K1030" i="7"/>
  <c r="R1030" i="7" s="1"/>
  <c r="K518" i="7"/>
  <c r="R518" i="7" s="1"/>
  <c r="K511" i="7"/>
  <c r="R511" i="7" s="1"/>
  <c r="K1184" i="7"/>
  <c r="R1184" i="7" s="1"/>
  <c r="X89" i="7"/>
  <c r="S89" i="7"/>
  <c r="Y89" i="7" s="1"/>
  <c r="K757" i="7"/>
  <c r="R757" i="7" s="1"/>
  <c r="K761" i="7"/>
  <c r="R761" i="7" s="1"/>
  <c r="Q761" i="7"/>
  <c r="W761" i="7" s="1"/>
  <c r="Q453" i="7"/>
  <c r="K453" i="7"/>
  <c r="R453" i="7" s="1"/>
  <c r="Q92" i="7"/>
  <c r="W92" i="7" s="1"/>
  <c r="Q610" i="7"/>
  <c r="W610" i="7" s="1"/>
  <c r="K610" i="7"/>
  <c r="R610" i="7" s="1"/>
  <c r="K605" i="7"/>
  <c r="R605" i="7" s="1"/>
  <c r="Q605" i="7"/>
  <c r="W605" i="7" s="1"/>
  <c r="K1294" i="7"/>
  <c r="R1294" i="7" s="1"/>
  <c r="Q193" i="7"/>
  <c r="W193" i="7" s="1"/>
  <c r="K193" i="7"/>
  <c r="K188" i="7"/>
  <c r="R188" i="7" s="1"/>
  <c r="K875" i="7"/>
  <c r="R875" i="7" s="1"/>
  <c r="K276" i="7"/>
  <c r="R276" i="7" s="1"/>
  <c r="Q276" i="7"/>
  <c r="W276" i="7" s="1"/>
  <c r="K277" i="7"/>
  <c r="R277" i="7" s="1"/>
  <c r="K938" i="7"/>
  <c r="R938" i="7" s="1"/>
  <c r="K960" i="7"/>
  <c r="R960" i="7" s="1"/>
  <c r="K678" i="7"/>
  <c r="R678" i="7" s="1"/>
  <c r="Q678" i="7"/>
  <c r="K100" i="7"/>
  <c r="R100" i="7" s="1"/>
  <c r="Q101" i="7"/>
  <c r="W101" i="7" s="1"/>
  <c r="Q424" i="7"/>
  <c r="W424" i="7" s="1"/>
  <c r="K424" i="7"/>
  <c r="R424" i="7" s="1"/>
  <c r="K1117" i="7"/>
  <c r="R1117" i="7" s="1"/>
  <c r="Q1117" i="7"/>
  <c r="W1117" i="7" s="1"/>
  <c r="K1098" i="7"/>
  <c r="R1098" i="7" s="1"/>
  <c r="Q1098" i="7"/>
  <c r="W1098" i="7" s="1"/>
  <c r="K46" i="7"/>
  <c r="R46" i="7" s="1"/>
  <c r="Q46" i="7"/>
  <c r="W46" i="7" s="1"/>
  <c r="K720" i="7"/>
  <c r="R720" i="7" s="1"/>
  <c r="K721" i="7"/>
  <c r="R721" i="7" s="1"/>
  <c r="Q112" i="7"/>
  <c r="W112" i="7" s="1"/>
  <c r="C30" i="8"/>
  <c r="W56" i="7"/>
  <c r="K595" i="7"/>
  <c r="R595" i="7" s="1"/>
  <c r="K1267" i="7"/>
  <c r="R1267" i="7" s="1"/>
  <c r="K1273" i="7"/>
  <c r="R1273" i="7" s="1"/>
  <c r="K177" i="7"/>
  <c r="R177" i="7" s="1"/>
  <c r="K835" i="7"/>
  <c r="R835" i="7" s="1"/>
  <c r="K841" i="7"/>
  <c r="R841" i="7" s="1"/>
  <c r="K62" i="7"/>
  <c r="R62" i="7" s="1"/>
  <c r="Q62" i="7"/>
  <c r="K737" i="7"/>
  <c r="R737" i="7" s="1"/>
  <c r="Q737" i="7"/>
  <c r="W737" i="7" s="1"/>
  <c r="K1246" i="7"/>
  <c r="R1246" i="7" s="1"/>
  <c r="Q1246" i="7"/>
  <c r="W1246" i="7" s="1"/>
  <c r="Q109" i="7"/>
  <c r="W109" i="7" s="1"/>
  <c r="K25" i="7"/>
  <c r="R25" i="7" s="1"/>
  <c r="K653" i="7"/>
  <c r="R653" i="7" s="1"/>
  <c r="K676" i="7"/>
  <c r="R676" i="7" s="1"/>
  <c r="Q1336" i="7"/>
  <c r="W1336" i="7" s="1"/>
  <c r="K1336" i="7"/>
  <c r="R1336" i="7" s="1"/>
  <c r="K253" i="7"/>
  <c r="R253" i="7" s="1"/>
  <c r="K241" i="7"/>
  <c r="R241" i="7" s="1"/>
  <c r="K936" i="7"/>
  <c r="R936" i="7" s="1"/>
  <c r="R13" i="7"/>
  <c r="K318" i="7"/>
  <c r="R318" i="7" s="1"/>
  <c r="K992" i="7"/>
  <c r="R992" i="7" s="1"/>
  <c r="K996" i="7"/>
  <c r="R996" i="7" s="1"/>
  <c r="Q996" i="7"/>
  <c r="W996" i="7" s="1"/>
  <c r="K212" i="7"/>
  <c r="R212" i="7" s="1"/>
  <c r="Q212" i="7"/>
  <c r="W212" i="7" s="1"/>
  <c r="K229" i="7"/>
  <c r="R229" i="7" s="1"/>
  <c r="K887" i="7"/>
  <c r="R887" i="7" s="1"/>
  <c r="Q887" i="7"/>
  <c r="W887" i="7" s="1"/>
  <c r="K898" i="7"/>
  <c r="R898" i="7" s="1"/>
  <c r="Q898" i="7"/>
  <c r="W898" i="7" s="1"/>
  <c r="R65" i="7"/>
  <c r="K407" i="7"/>
  <c r="R407" i="7" s="1"/>
  <c r="K397" i="7"/>
  <c r="R397" i="7" s="1"/>
  <c r="Q397" i="7"/>
  <c r="W397" i="7" s="1"/>
  <c r="K1090" i="7"/>
  <c r="R1090" i="7" s="1"/>
  <c r="Q1087" i="7"/>
  <c r="W1087" i="7" s="1"/>
  <c r="K1087" i="7"/>
  <c r="R1087" i="7" s="1"/>
  <c r="K154" i="7"/>
  <c r="R154" i="7" s="1"/>
  <c r="K135" i="7"/>
  <c r="R135" i="7" s="1"/>
  <c r="K811" i="7"/>
  <c r="R811" i="7" s="1"/>
  <c r="Q811" i="7"/>
  <c r="W811" i="7" s="1"/>
  <c r="K821" i="7"/>
  <c r="R821" i="7" s="1"/>
  <c r="K306" i="7"/>
  <c r="R306" i="7" s="1"/>
  <c r="K973" i="7"/>
  <c r="R973" i="7" s="1"/>
  <c r="K974" i="7"/>
  <c r="R974" i="7" s="1"/>
  <c r="K649" i="7"/>
  <c r="R649" i="7" s="1"/>
  <c r="K630" i="7"/>
  <c r="R630" i="7" s="1"/>
  <c r="K1310" i="7"/>
  <c r="R1310" i="7" s="1"/>
  <c r="K1322" i="7"/>
  <c r="R1322" i="7" s="1"/>
  <c r="Q173" i="7"/>
  <c r="W173" i="7" s="1"/>
  <c r="K115" i="7"/>
  <c r="R115" i="7" s="1"/>
  <c r="K31" i="7"/>
  <c r="R31" i="7" s="1"/>
  <c r="Q152" i="7"/>
  <c r="K60" i="7"/>
  <c r="R60" i="7" s="1"/>
  <c r="K375" i="7"/>
  <c r="R375" i="7" s="1"/>
  <c r="K381" i="7"/>
  <c r="R381" i="7" s="1"/>
  <c r="K1052" i="7"/>
  <c r="R1052" i="7" s="1"/>
  <c r="Q106" i="7"/>
  <c r="W106" i="7" s="1"/>
  <c r="Q11" i="7"/>
  <c r="Q29" i="7"/>
  <c r="W29" i="7" s="1"/>
  <c r="Q73" i="7"/>
  <c r="S73" i="7" s="1"/>
  <c r="Q21" i="7"/>
  <c r="S21" i="7" s="1"/>
  <c r="R1329" i="7"/>
  <c r="R1332" i="7"/>
  <c r="S1217" i="7"/>
  <c r="Y1217" i="7" s="1"/>
  <c r="X1217" i="7"/>
  <c r="S1152" i="7"/>
  <c r="Y1152" i="7" s="1"/>
  <c r="X1152" i="7"/>
  <c r="R949" i="7"/>
  <c r="R935" i="7"/>
  <c r="R1257" i="7"/>
  <c r="S1235" i="7"/>
  <c r="Y1235" i="7" s="1"/>
  <c r="X1235" i="7"/>
  <c r="X1207" i="7"/>
  <c r="S1207" i="7"/>
  <c r="Y1207" i="7" s="1"/>
  <c r="Q1158" i="7"/>
  <c r="W1158" i="7" s="1"/>
  <c r="X1133" i="7"/>
  <c r="S1133" i="7"/>
  <c r="Y1133" i="7" s="1"/>
  <c r="R1055" i="7"/>
  <c r="R850" i="7"/>
  <c r="R933" i="7"/>
  <c r="R885" i="7"/>
  <c r="R818" i="7"/>
  <c r="S746" i="7"/>
  <c r="Y746" i="7" s="1"/>
  <c r="X746" i="7"/>
  <c r="X687" i="7"/>
  <c r="S687" i="7"/>
  <c r="W703" i="7"/>
  <c r="R561" i="7"/>
  <c r="X635" i="7"/>
  <c r="S635" i="7"/>
  <c r="Y635" i="7" s="1"/>
  <c r="R569" i="7"/>
  <c r="C176" i="8"/>
  <c r="W514" i="7"/>
  <c r="D129" i="8"/>
  <c r="X467" i="7"/>
  <c r="S467" i="7"/>
  <c r="X573" i="7"/>
  <c r="S573" i="7"/>
  <c r="Y573" i="7" s="1"/>
  <c r="C123" i="8"/>
  <c r="W461" i="7"/>
  <c r="R415" i="7"/>
  <c r="C134" i="8"/>
  <c r="W472" i="7"/>
  <c r="D150" i="8"/>
  <c r="X488" i="7"/>
  <c r="S488" i="7"/>
  <c r="R412" i="7"/>
  <c r="C114" i="8"/>
  <c r="W452" i="7"/>
  <c r="R432" i="7"/>
  <c r="X309" i="7"/>
  <c r="S309" i="7"/>
  <c r="Y309" i="7" s="1"/>
  <c r="R317" i="7"/>
  <c r="C95" i="8"/>
  <c r="W381" i="7"/>
  <c r="R205" i="7"/>
  <c r="Q531" i="7"/>
  <c r="W531" i="7" s="1"/>
  <c r="K531" i="7"/>
  <c r="R531" i="7" s="1"/>
  <c r="S534" i="7"/>
  <c r="Y534" i="7" s="1"/>
  <c r="X534" i="7"/>
  <c r="K113" i="7"/>
  <c r="R113" i="7" s="1"/>
  <c r="Q790" i="7"/>
  <c r="W790" i="7" s="1"/>
  <c r="K790" i="7"/>
  <c r="R790" i="7" s="1"/>
  <c r="K364" i="7"/>
  <c r="R364" i="7" s="1"/>
  <c r="Q1024" i="7"/>
  <c r="W1024" i="7" s="1"/>
  <c r="K1024" i="7"/>
  <c r="R1024" i="7" s="1"/>
  <c r="K1021" i="7"/>
  <c r="R1021" i="7" s="1"/>
  <c r="K505" i="7"/>
  <c r="R505" i="7" s="1"/>
  <c r="K502" i="7"/>
  <c r="R502" i="7" s="1"/>
  <c r="K1189" i="7"/>
  <c r="R1189" i="7" s="1"/>
  <c r="X105" i="7"/>
  <c r="S105" i="7"/>
  <c r="Y105" i="7" s="1"/>
  <c r="K773" i="7"/>
  <c r="R773" i="7" s="1"/>
  <c r="K777" i="7"/>
  <c r="R777" i="7" s="1"/>
  <c r="Q777" i="7"/>
  <c r="W777" i="7" s="1"/>
  <c r="Q469" i="7"/>
  <c r="K469" i="7"/>
  <c r="R469" i="7" s="1"/>
  <c r="K616" i="7"/>
  <c r="R616" i="7" s="1"/>
  <c r="K621" i="7"/>
  <c r="R621" i="7" s="1"/>
  <c r="K1285" i="7"/>
  <c r="R1285" i="7" s="1"/>
  <c r="K196" i="7"/>
  <c r="R196" i="7" s="1"/>
  <c r="K204" i="7"/>
  <c r="R204" i="7" s="1"/>
  <c r="Q204" i="7"/>
  <c r="W204" i="7" s="1"/>
  <c r="K866" i="7"/>
  <c r="R866" i="7" s="1"/>
  <c r="K280" i="7"/>
  <c r="R280" i="7" s="1"/>
  <c r="K268" i="7"/>
  <c r="R268" i="7" s="1"/>
  <c r="K954" i="7"/>
  <c r="R954" i="7" s="1"/>
  <c r="K694" i="7"/>
  <c r="R694" i="7" s="1"/>
  <c r="Q694" i="7"/>
  <c r="K84" i="7"/>
  <c r="R84" i="7" s="1"/>
  <c r="Q100" i="7"/>
  <c r="W100" i="7" s="1"/>
  <c r="K431" i="7"/>
  <c r="R431" i="7" s="1"/>
  <c r="K1108" i="7"/>
  <c r="R1108" i="7" s="1"/>
  <c r="K1114" i="7"/>
  <c r="R1114" i="7" s="1"/>
  <c r="K704" i="7"/>
  <c r="R704" i="7" s="1"/>
  <c r="K712" i="7"/>
  <c r="R712" i="7" s="1"/>
  <c r="C29" i="8"/>
  <c r="W55" i="7"/>
  <c r="K578" i="7"/>
  <c r="R578" i="7" s="1"/>
  <c r="Q578" i="7"/>
  <c r="W578" i="7" s="1"/>
  <c r="K1271" i="7"/>
  <c r="R1271" i="7" s="1"/>
  <c r="K1265" i="7"/>
  <c r="R1265" i="7" s="1"/>
  <c r="K158" i="7"/>
  <c r="R158" i="7" s="1"/>
  <c r="K851" i="7"/>
  <c r="R851" i="7" s="1"/>
  <c r="Q851" i="7"/>
  <c r="W851" i="7" s="1"/>
  <c r="K857" i="7"/>
  <c r="R857" i="7" s="1"/>
  <c r="K473" i="7"/>
  <c r="R473" i="7" s="1"/>
  <c r="K479" i="7"/>
  <c r="R479" i="7" s="1"/>
  <c r="K1168" i="7"/>
  <c r="R1168" i="7" s="1"/>
  <c r="D30" i="8"/>
  <c r="S56" i="7"/>
  <c r="X56" i="7"/>
  <c r="K78" i="7"/>
  <c r="R78" i="7" s="1"/>
  <c r="Q78" i="7"/>
  <c r="K741" i="7"/>
  <c r="R741" i="7" s="1"/>
  <c r="K1233" i="7"/>
  <c r="R1233" i="7" s="1"/>
  <c r="K659" i="7"/>
  <c r="R659" i="7" s="1"/>
  <c r="K667" i="7"/>
  <c r="R667" i="7" s="1"/>
  <c r="Q667" i="7"/>
  <c r="K1352" i="7"/>
  <c r="R1352" i="7" s="1"/>
  <c r="Q1352" i="7"/>
  <c r="W1352" i="7" s="1"/>
  <c r="K251" i="7"/>
  <c r="R251" i="7" s="1"/>
  <c r="K257" i="7"/>
  <c r="R257" i="7" s="1"/>
  <c r="Q257" i="7"/>
  <c r="W257" i="7" s="1"/>
  <c r="K927" i="7"/>
  <c r="R927" i="7" s="1"/>
  <c r="Q113" i="7"/>
  <c r="W113" i="7" s="1"/>
  <c r="Q324" i="7"/>
  <c r="W324" i="7" s="1"/>
  <c r="K324" i="7"/>
  <c r="R324" i="7" s="1"/>
  <c r="K334" i="7"/>
  <c r="R334" i="7" s="1"/>
  <c r="K1008" i="7"/>
  <c r="R1008" i="7" s="1"/>
  <c r="K1012" i="7"/>
  <c r="R1012" i="7" s="1"/>
  <c r="Q1012" i="7"/>
  <c r="W1012" i="7" s="1"/>
  <c r="K215" i="7"/>
  <c r="R215" i="7" s="1"/>
  <c r="K220" i="7"/>
  <c r="R220" i="7" s="1"/>
  <c r="K910" i="7"/>
  <c r="R910" i="7" s="1"/>
  <c r="Q65" i="7"/>
  <c r="K398" i="7"/>
  <c r="R398" i="7" s="1"/>
  <c r="K413" i="7"/>
  <c r="R413" i="7" s="1"/>
  <c r="K1081" i="7"/>
  <c r="R1081" i="7" s="1"/>
  <c r="K1078" i="7"/>
  <c r="R1078" i="7" s="1"/>
  <c r="K145" i="7"/>
  <c r="R145" i="7" s="1"/>
  <c r="K151" i="7"/>
  <c r="R151" i="7" s="1"/>
  <c r="K819" i="7"/>
  <c r="R819" i="7" s="1"/>
  <c r="K297" i="7"/>
  <c r="R297" i="7" s="1"/>
  <c r="K968" i="7"/>
  <c r="R968" i="7" s="1"/>
  <c r="Q988" i="7"/>
  <c r="W988" i="7" s="1"/>
  <c r="K988" i="7"/>
  <c r="R988" i="7" s="1"/>
  <c r="K633" i="7"/>
  <c r="R633" i="7" s="1"/>
  <c r="K646" i="7"/>
  <c r="R646" i="7" s="1"/>
  <c r="K1308" i="7"/>
  <c r="R1308" i="7" s="1"/>
  <c r="K43" i="7"/>
  <c r="R43" i="7" s="1"/>
  <c r="Q146" i="7"/>
  <c r="Q50" i="7"/>
  <c r="W50" i="7" s="1"/>
  <c r="K391" i="7"/>
  <c r="R391" i="7" s="1"/>
  <c r="K372" i="7"/>
  <c r="R372" i="7" s="1"/>
  <c r="K1056" i="7"/>
  <c r="R1056" i="7" s="1"/>
  <c r="K17" i="7"/>
  <c r="R17" i="7" s="1"/>
  <c r="R98" i="7"/>
  <c r="Q5" i="7"/>
  <c r="Q16" i="7"/>
  <c r="S16" i="7" s="1"/>
  <c r="Q23" i="7"/>
  <c r="Q18" i="7"/>
  <c r="D154" i="8" l="1"/>
  <c r="X492" i="7"/>
  <c r="S492" i="7"/>
  <c r="S1138" i="7"/>
  <c r="Y1138" i="7" s="1"/>
  <c r="X1138" i="7"/>
  <c r="X804" i="7"/>
  <c r="S804" i="7"/>
  <c r="Y804" i="7" s="1"/>
  <c r="S1141" i="7"/>
  <c r="Y1141" i="7" s="1"/>
  <c r="X1141" i="7"/>
  <c r="S1182" i="7"/>
  <c r="Y1182" i="7" s="1"/>
  <c r="X1182" i="7"/>
  <c r="X1231" i="7"/>
  <c r="S1231" i="7"/>
  <c r="Y1231" i="7" s="1"/>
  <c r="S1224" i="7"/>
  <c r="Y1224" i="7" s="1"/>
  <c r="X1224" i="7"/>
  <c r="S310" i="7"/>
  <c r="Y310" i="7" s="1"/>
  <c r="X310" i="7"/>
  <c r="S1212" i="7"/>
  <c r="Y1212" i="7" s="1"/>
  <c r="X1212" i="7"/>
  <c r="X749" i="7"/>
  <c r="S749" i="7"/>
  <c r="Y749" i="7" s="1"/>
  <c r="S1240" i="7"/>
  <c r="Y1240" i="7" s="1"/>
  <c r="X1240" i="7"/>
  <c r="S986" i="7"/>
  <c r="Y986" i="7" s="1"/>
  <c r="X986" i="7"/>
  <c r="X1145" i="7"/>
  <c r="S1145" i="7"/>
  <c r="Y1145" i="7" s="1"/>
  <c r="X738" i="7"/>
  <c r="S738" i="7"/>
  <c r="Y738" i="7" s="1"/>
  <c r="S1213" i="7"/>
  <c r="Y1213" i="7" s="1"/>
  <c r="X1213" i="7"/>
  <c r="S313" i="7"/>
  <c r="Y313" i="7" s="1"/>
  <c r="X313" i="7"/>
  <c r="S820" i="7"/>
  <c r="Y820" i="7" s="1"/>
  <c r="X820" i="7"/>
  <c r="S52" i="7"/>
  <c r="Y52" i="7" s="1"/>
  <c r="X52" i="7"/>
  <c r="X15" i="7"/>
  <c r="S15" i="7"/>
  <c r="S733" i="7"/>
  <c r="Y733" i="7" s="1"/>
  <c r="X733" i="7"/>
  <c r="S351" i="7"/>
  <c r="Y351" i="7" s="1"/>
  <c r="X351" i="7"/>
  <c r="S1266" i="7"/>
  <c r="Y1266" i="7" s="1"/>
  <c r="X1266" i="7"/>
  <c r="X231" i="7"/>
  <c r="S231" i="7"/>
  <c r="Y231" i="7" s="1"/>
  <c r="X1099" i="7"/>
  <c r="S1099" i="7"/>
  <c r="Y1099" i="7" s="1"/>
  <c r="S732" i="7"/>
  <c r="Y732" i="7" s="1"/>
  <c r="X732" i="7"/>
  <c r="S242" i="7"/>
  <c r="Y242" i="7" s="1"/>
  <c r="X242" i="7"/>
  <c r="S442" i="7"/>
  <c r="Y442" i="7" s="1"/>
  <c r="X442" i="7"/>
  <c r="X1164" i="7"/>
  <c r="S1164" i="7"/>
  <c r="Y1164" i="7" s="1"/>
  <c r="S1210" i="7"/>
  <c r="Y1210" i="7" s="1"/>
  <c r="X1210" i="7"/>
  <c r="S979" i="7"/>
  <c r="Y979" i="7" s="1"/>
  <c r="X979" i="7"/>
  <c r="S971" i="7"/>
  <c r="Y971" i="7" s="1"/>
  <c r="X971" i="7"/>
  <c r="D49" i="8"/>
  <c r="X75" i="7"/>
  <c r="S75" i="7"/>
  <c r="S686" i="7"/>
  <c r="X686" i="7"/>
  <c r="S892" i="7"/>
  <c r="Y892" i="7" s="1"/>
  <c r="X892" i="7"/>
  <c r="X1173" i="7"/>
  <c r="S1173" i="7"/>
  <c r="Y1173" i="7" s="1"/>
  <c r="X494" i="7"/>
  <c r="S474" i="7"/>
  <c r="S1169" i="7"/>
  <c r="Y1169" i="7" s="1"/>
  <c r="W474" i="7"/>
  <c r="S1202" i="7"/>
  <c r="Y1202" i="7" s="1"/>
  <c r="S744" i="7"/>
  <c r="Y744" i="7" s="1"/>
  <c r="X748" i="7"/>
  <c r="S494" i="7"/>
  <c r="E156" i="8" s="1"/>
  <c r="D215" i="8"/>
  <c r="C164" i="8"/>
  <c r="C235" i="8"/>
  <c r="S304" i="7"/>
  <c r="Y304" i="7" s="1"/>
  <c r="D229" i="8"/>
  <c r="C225" i="8"/>
  <c r="S1153" i="7"/>
  <c r="Y1153" i="7" s="1"/>
  <c r="C50" i="8"/>
  <c r="X760" i="7"/>
  <c r="C212" i="8"/>
  <c r="S486" i="7"/>
  <c r="S131" i="7"/>
  <c r="Y131" i="7" s="1"/>
  <c r="X672" i="7"/>
  <c r="S124" i="7"/>
  <c r="Y124" i="7" s="1"/>
  <c r="C224" i="8"/>
  <c r="S672" i="7"/>
  <c r="E204" i="8" s="1"/>
  <c r="C73" i="8"/>
  <c r="S541" i="7"/>
  <c r="Y541" i="7" s="1"/>
  <c r="S680" i="7"/>
  <c r="D45" i="8"/>
  <c r="S783" i="7"/>
  <c r="Y783" i="7" s="1"/>
  <c r="D166" i="8"/>
  <c r="C71" i="8"/>
  <c r="X736" i="7"/>
  <c r="C2" i="8"/>
  <c r="S1139" i="7"/>
  <c r="Y1139" i="7" s="1"/>
  <c r="D218" i="8"/>
  <c r="X1321" i="7"/>
  <c r="D225" i="8"/>
  <c r="X446" i="7"/>
  <c r="S1123" i="7"/>
  <c r="Y1123" i="7" s="1"/>
  <c r="S528" i="7"/>
  <c r="Y528" i="7" s="1"/>
  <c r="S1165" i="7"/>
  <c r="Y1165" i="7" s="1"/>
  <c r="S1157" i="7"/>
  <c r="Y1157" i="7" s="1"/>
  <c r="S446" i="7"/>
  <c r="X570" i="7"/>
  <c r="X540" i="7"/>
  <c r="C13" i="8"/>
  <c r="S875" i="7"/>
  <c r="Y875" i="7" s="1"/>
  <c r="X875" i="7"/>
  <c r="S997" i="7"/>
  <c r="Y997" i="7" s="1"/>
  <c r="X997" i="7"/>
  <c r="S714" i="7"/>
  <c r="Y714" i="7" s="1"/>
  <c r="X714" i="7"/>
  <c r="D220" i="8"/>
  <c r="X1032" i="7"/>
  <c r="S1032" i="7"/>
  <c r="Y1032" i="7" s="1"/>
  <c r="X816" i="7"/>
  <c r="S816" i="7"/>
  <c r="Y816" i="7" s="1"/>
  <c r="Y16" i="7"/>
  <c r="D67" i="8"/>
  <c r="X145" i="7"/>
  <c r="S145" i="7"/>
  <c r="S927" i="7"/>
  <c r="Y927" i="7" s="1"/>
  <c r="X927" i="7"/>
  <c r="S1168" i="7"/>
  <c r="Y1168" i="7" s="1"/>
  <c r="X1168" i="7"/>
  <c r="X113" i="7"/>
  <c r="S113" i="7"/>
  <c r="Y113" i="7" s="1"/>
  <c r="D35" i="8"/>
  <c r="X835" i="7"/>
  <c r="S835" i="7"/>
  <c r="Y835" i="7" s="1"/>
  <c r="X286" i="7"/>
  <c r="S286" i="7"/>
  <c r="Y286" i="7" s="1"/>
  <c r="X1014" i="7"/>
  <c r="S1014" i="7"/>
  <c r="Y1014" i="7" s="1"/>
  <c r="X740" i="7"/>
  <c r="S740" i="7"/>
  <c r="Y740" i="7" s="1"/>
  <c r="X609" i="7"/>
  <c r="S609" i="7"/>
  <c r="Y609" i="7" s="1"/>
  <c r="D81" i="8"/>
  <c r="X367" i="7"/>
  <c r="S367" i="7"/>
  <c r="S1261" i="7"/>
  <c r="Y1261" i="7" s="1"/>
  <c r="X1261" i="7"/>
  <c r="X764" i="7"/>
  <c r="S764" i="7"/>
  <c r="Y764" i="7" s="1"/>
  <c r="S1339" i="7"/>
  <c r="Y1339" i="7" s="1"/>
  <c r="X1339" i="7"/>
  <c r="X781" i="7"/>
  <c r="S781" i="7"/>
  <c r="Y781" i="7" s="1"/>
  <c r="D235" i="8"/>
  <c r="S1104" i="7"/>
  <c r="Y1104" i="7" s="1"/>
  <c r="X1104" i="7"/>
  <c r="X711" i="7"/>
  <c r="S711" i="7"/>
  <c r="Y711" i="7" s="1"/>
  <c r="S995" i="7"/>
  <c r="Y995" i="7" s="1"/>
  <c r="X995" i="7"/>
  <c r="X1078" i="7"/>
  <c r="S1078" i="7"/>
  <c r="Y1078" i="7" s="1"/>
  <c r="X241" i="7"/>
  <c r="S241" i="7"/>
  <c r="Y241" i="7" s="1"/>
  <c r="X177" i="7"/>
  <c r="S177" i="7"/>
  <c r="Y177" i="7" s="1"/>
  <c r="X1316" i="7"/>
  <c r="S1316" i="7"/>
  <c r="Y1316" i="7" s="1"/>
  <c r="X1074" i="7"/>
  <c r="S1074" i="7"/>
  <c r="Y1074" i="7" s="1"/>
  <c r="D205" i="8"/>
  <c r="X673" i="7"/>
  <c r="S673" i="7"/>
  <c r="X263" i="7"/>
  <c r="S263" i="7"/>
  <c r="Y263" i="7" s="1"/>
  <c r="X1015" i="7"/>
  <c r="S1015" i="7"/>
  <c r="Y1015" i="7" s="1"/>
  <c r="X289" i="7"/>
  <c r="S289" i="7"/>
  <c r="Y289" i="7" s="1"/>
  <c r="D77" i="8"/>
  <c r="S155" i="7"/>
  <c r="X155" i="7"/>
  <c r="S852" i="7"/>
  <c r="Y852" i="7" s="1"/>
  <c r="X852" i="7"/>
  <c r="S1315" i="7"/>
  <c r="Y1315" i="7" s="1"/>
  <c r="X1315" i="7"/>
  <c r="S911" i="7"/>
  <c r="Y911" i="7" s="1"/>
  <c r="X911" i="7"/>
  <c r="S1097" i="7"/>
  <c r="Y1097" i="7" s="1"/>
  <c r="X1097" i="7"/>
  <c r="S776" i="7"/>
  <c r="Y776" i="7" s="1"/>
  <c r="X776" i="7"/>
  <c r="X826" i="7"/>
  <c r="S826" i="7"/>
  <c r="Y826" i="7" s="1"/>
  <c r="X35" i="7"/>
  <c r="S35" i="7"/>
  <c r="Y35" i="7" s="1"/>
  <c r="X882" i="7"/>
  <c r="S882" i="7"/>
  <c r="Y882" i="7" s="1"/>
  <c r="S1018" i="7"/>
  <c r="Y1018" i="7" s="1"/>
  <c r="X1018" i="7"/>
  <c r="X903" i="7"/>
  <c r="S903" i="7"/>
  <c r="Y903" i="7" s="1"/>
  <c r="S651" i="7"/>
  <c r="Y651" i="7" s="1"/>
  <c r="X651" i="7"/>
  <c r="S396" i="7"/>
  <c r="Y396" i="7" s="1"/>
  <c r="X396" i="7"/>
  <c r="S100" i="7"/>
  <c r="Y100" i="7" s="1"/>
  <c r="X100" i="7"/>
  <c r="D48" i="8"/>
  <c r="X400" i="7"/>
  <c r="S400" i="7"/>
  <c r="Y400" i="7" s="1"/>
  <c r="X575" i="7"/>
  <c r="S575" i="7"/>
  <c r="Y575" i="7" s="1"/>
  <c r="X305" i="7"/>
  <c r="S305" i="7"/>
  <c r="Y305" i="7" s="1"/>
  <c r="D40" i="8"/>
  <c r="X66" i="7"/>
  <c r="S66" i="7"/>
  <c r="S438" i="7"/>
  <c r="Y438" i="7" s="1"/>
  <c r="X438" i="7"/>
  <c r="X568" i="7"/>
  <c r="S568" i="7"/>
  <c r="Y568" i="7" s="1"/>
  <c r="X1069" i="7"/>
  <c r="S1069" i="7"/>
  <c r="Y1069" i="7" s="1"/>
  <c r="S1338" i="7"/>
  <c r="Y1338" i="7" s="1"/>
  <c r="X1338" i="7"/>
  <c r="S1113" i="7"/>
  <c r="Y1113" i="7" s="1"/>
  <c r="X1113" i="7"/>
  <c r="Y6" i="7"/>
  <c r="S362" i="7"/>
  <c r="Y362" i="7" s="1"/>
  <c r="X362" i="7"/>
  <c r="Y72" i="7"/>
  <c r="X919" i="7"/>
  <c r="S919" i="7"/>
  <c r="Y919" i="7" s="1"/>
  <c r="S1310" i="7"/>
  <c r="Y1310" i="7" s="1"/>
  <c r="X1310" i="7"/>
  <c r="S778" i="7"/>
  <c r="Y778" i="7" s="1"/>
  <c r="X778" i="7"/>
  <c r="X999" i="7"/>
  <c r="S999" i="7"/>
  <c r="Y999" i="7" s="1"/>
  <c r="S894" i="7"/>
  <c r="Y894" i="7" s="1"/>
  <c r="X894" i="7"/>
  <c r="X1016" i="7"/>
  <c r="S1016" i="7"/>
  <c r="Y1016" i="7" s="1"/>
  <c r="X337" i="7"/>
  <c r="S337" i="7"/>
  <c r="Y337" i="7" s="1"/>
  <c r="S1009" i="7"/>
  <c r="Y1009" i="7" s="1"/>
  <c r="X1009" i="7"/>
  <c r="D161" i="8"/>
  <c r="X499" i="7"/>
  <c r="S499" i="7"/>
  <c r="S863" i="7"/>
  <c r="Y863" i="7" s="1"/>
  <c r="X863" i="7"/>
  <c r="S1002" i="7"/>
  <c r="Y1002" i="7" s="1"/>
  <c r="X1002" i="7"/>
  <c r="X214" i="7"/>
  <c r="S214" i="7"/>
  <c r="Y214" i="7" s="1"/>
  <c r="Y679" i="7"/>
  <c r="S1043" i="7"/>
  <c r="Y1043" i="7" s="1"/>
  <c r="X1043" i="7"/>
  <c r="S320" i="7"/>
  <c r="Y320" i="7" s="1"/>
  <c r="X320" i="7"/>
  <c r="S233" i="7"/>
  <c r="Y233" i="7" s="1"/>
  <c r="X233" i="7"/>
  <c r="D198" i="8"/>
  <c r="S666" i="7"/>
  <c r="X666" i="7"/>
  <c r="X1272" i="7"/>
  <c r="S1272" i="7"/>
  <c r="Y1272" i="7" s="1"/>
  <c r="S265" i="7"/>
  <c r="Y265" i="7" s="1"/>
  <c r="X265" i="7"/>
  <c r="S322" i="7"/>
  <c r="Y322" i="7" s="1"/>
  <c r="X322" i="7"/>
  <c r="X321" i="7"/>
  <c r="S321" i="7"/>
  <c r="Y321" i="7" s="1"/>
  <c r="D33" i="8"/>
  <c r="X59" i="7"/>
  <c r="S59" i="7"/>
  <c r="S1034" i="7"/>
  <c r="Y1034" i="7" s="1"/>
  <c r="X1034" i="7"/>
  <c r="S350" i="7"/>
  <c r="Y350" i="7" s="1"/>
  <c r="X350" i="7"/>
  <c r="S1011" i="7"/>
  <c r="Y1011" i="7" s="1"/>
  <c r="X1011" i="7"/>
  <c r="X253" i="7"/>
  <c r="S253" i="7"/>
  <c r="Y253" i="7" s="1"/>
  <c r="S1303" i="7"/>
  <c r="Y1303" i="7" s="1"/>
  <c r="X1303" i="7"/>
  <c r="X593" i="7"/>
  <c r="S593" i="7"/>
  <c r="Y593" i="7" s="1"/>
  <c r="D202" i="8"/>
  <c r="S670" i="7"/>
  <c r="X670" i="7"/>
  <c r="X649" i="7"/>
  <c r="S649" i="7"/>
  <c r="Y649" i="7" s="1"/>
  <c r="S1278" i="7"/>
  <c r="Y1278" i="7" s="1"/>
  <c r="X1278" i="7"/>
  <c r="S954" i="7"/>
  <c r="Y954" i="7" s="1"/>
  <c r="X954" i="7"/>
  <c r="X566" i="7"/>
  <c r="S566" i="7"/>
  <c r="Y566" i="7" s="1"/>
  <c r="S1051" i="7"/>
  <c r="Y1051" i="7" s="1"/>
  <c r="X1051" i="7"/>
  <c r="X246" i="7"/>
  <c r="S246" i="7"/>
  <c r="Y246" i="7" s="1"/>
  <c r="D189" i="8"/>
  <c r="X657" i="7"/>
  <c r="S657" i="7"/>
  <c r="S1289" i="7"/>
  <c r="Y1289" i="7" s="1"/>
  <c r="X1289" i="7"/>
  <c r="D230" i="8"/>
  <c r="X175" i="7"/>
  <c r="S175" i="7"/>
  <c r="Y175" i="7" s="1"/>
  <c r="D71" i="8"/>
  <c r="S847" i="7"/>
  <c r="Y847" i="7" s="1"/>
  <c r="X847" i="7"/>
  <c r="X857" i="7"/>
  <c r="S857" i="7"/>
  <c r="Y857" i="7" s="1"/>
  <c r="X632" i="7"/>
  <c r="S632" i="7"/>
  <c r="Y632" i="7" s="1"/>
  <c r="S974" i="7"/>
  <c r="Y974" i="7" s="1"/>
  <c r="X974" i="7"/>
  <c r="X910" i="7"/>
  <c r="S910" i="7"/>
  <c r="Y910" i="7" s="1"/>
  <c r="X973" i="7"/>
  <c r="S973" i="7"/>
  <c r="Y973" i="7" s="1"/>
  <c r="E19" i="8"/>
  <c r="Y19" i="7"/>
  <c r="F19" i="8" s="1"/>
  <c r="X705" i="7"/>
  <c r="S705" i="7"/>
  <c r="Y705" i="7" s="1"/>
  <c r="D211" i="8"/>
  <c r="X834" i="7"/>
  <c r="S834" i="7"/>
  <c r="Y834" i="7" s="1"/>
  <c r="D97" i="8"/>
  <c r="X383" i="7"/>
  <c r="S383" i="7"/>
  <c r="D152" i="8"/>
  <c r="X490" i="7"/>
  <c r="S490" i="7"/>
  <c r="S589" i="7"/>
  <c r="Y589" i="7" s="1"/>
  <c r="X589" i="7"/>
  <c r="X1284" i="7"/>
  <c r="S1284" i="7"/>
  <c r="Y1284" i="7" s="1"/>
  <c r="S1308" i="7"/>
  <c r="Y1308" i="7" s="1"/>
  <c r="X1308" i="7"/>
  <c r="S1189" i="7"/>
  <c r="Y1189" i="7" s="1"/>
  <c r="X1189" i="7"/>
  <c r="S306" i="7"/>
  <c r="Y306" i="7" s="1"/>
  <c r="X306" i="7"/>
  <c r="S938" i="7"/>
  <c r="Y938" i="7" s="1"/>
  <c r="X938" i="7"/>
  <c r="S213" i="7"/>
  <c r="Y213" i="7" s="1"/>
  <c r="X213" i="7"/>
  <c r="S947" i="7"/>
  <c r="Y947" i="7" s="1"/>
  <c r="X947" i="7"/>
  <c r="D82" i="8"/>
  <c r="X368" i="7"/>
  <c r="S368" i="7"/>
  <c r="S1013" i="7"/>
  <c r="Y1013" i="7" s="1"/>
  <c r="X1013" i="7"/>
  <c r="X295" i="7"/>
  <c r="S295" i="7"/>
  <c r="Y295" i="7" s="1"/>
  <c r="X1347" i="7"/>
  <c r="S1347" i="7"/>
  <c r="Y1347" i="7" s="1"/>
  <c r="X302" i="7"/>
  <c r="S302" i="7"/>
  <c r="Y302" i="7" s="1"/>
  <c r="D120" i="8"/>
  <c r="X458" i="7"/>
  <c r="S458" i="7"/>
  <c r="S1081" i="7"/>
  <c r="Y1081" i="7" s="1"/>
  <c r="X1081" i="7"/>
  <c r="S336" i="7"/>
  <c r="Y336" i="7" s="1"/>
  <c r="X336" i="7"/>
  <c r="X301" i="7"/>
  <c r="S301" i="7"/>
  <c r="Y301" i="7" s="1"/>
  <c r="S598" i="7"/>
  <c r="Y598" i="7" s="1"/>
  <c r="X598" i="7"/>
  <c r="Y21" i="7"/>
  <c r="Y73" i="7"/>
  <c r="X229" i="7"/>
  <c r="S229" i="7"/>
  <c r="Y229" i="7" s="1"/>
  <c r="D98" i="8"/>
  <c r="X384" i="7"/>
  <c r="S384" i="7"/>
  <c r="S329" i="7"/>
  <c r="Y329" i="7" s="1"/>
  <c r="X329" i="7"/>
  <c r="S899" i="7"/>
  <c r="Y899" i="7" s="1"/>
  <c r="X899" i="7"/>
  <c r="D168" i="8"/>
  <c r="X506" i="7"/>
  <c r="S506" i="7"/>
  <c r="S831" i="7"/>
  <c r="Y831" i="7" s="1"/>
  <c r="X831" i="7"/>
  <c r="X601" i="7"/>
  <c r="S601" i="7"/>
  <c r="Y601" i="7" s="1"/>
  <c r="S1259" i="7"/>
  <c r="Y1259" i="7" s="1"/>
  <c r="X1259" i="7"/>
  <c r="D64" i="8"/>
  <c r="S240" i="7"/>
  <c r="Y240" i="7" s="1"/>
  <c r="X240" i="7"/>
  <c r="X278" i="7"/>
  <c r="S278" i="7"/>
  <c r="Y278" i="7" s="1"/>
  <c r="X207" i="7"/>
  <c r="S207" i="7"/>
  <c r="Y207" i="7" s="1"/>
  <c r="S1301" i="7"/>
  <c r="Y1301" i="7" s="1"/>
  <c r="X1301" i="7"/>
  <c r="X257" i="7"/>
  <c r="S257" i="7"/>
  <c r="Y257" i="7" s="1"/>
  <c r="X1273" i="7"/>
  <c r="S1273" i="7"/>
  <c r="Y1273" i="7" s="1"/>
  <c r="S868" i="7"/>
  <c r="Y868" i="7" s="1"/>
  <c r="X868" i="7"/>
  <c r="S84" i="7"/>
  <c r="Y84" i="7" s="1"/>
  <c r="X84" i="7"/>
  <c r="X398" i="7"/>
  <c r="S398" i="7"/>
  <c r="Y398" i="7" s="1"/>
  <c r="X215" i="7"/>
  <c r="S215" i="7"/>
  <c r="Y215" i="7" s="1"/>
  <c r="X1271" i="7"/>
  <c r="S1271" i="7"/>
  <c r="Y1271" i="7" s="1"/>
  <c r="D164" i="8"/>
  <c r="X502" i="7"/>
  <c r="S502" i="7"/>
  <c r="X721" i="7"/>
  <c r="S721" i="7"/>
  <c r="Y721" i="7" s="1"/>
  <c r="D227" i="8"/>
  <c r="X277" i="7"/>
  <c r="S277" i="7"/>
  <c r="Y277" i="7" s="1"/>
  <c r="X1062" i="7"/>
  <c r="S1062" i="7"/>
  <c r="Y1062" i="7" s="1"/>
  <c r="S1143" i="7"/>
  <c r="Y1143" i="7" s="1"/>
  <c r="X1143" i="7"/>
  <c r="D69" i="8"/>
  <c r="X147" i="7"/>
  <c r="S147" i="7"/>
  <c r="X270" i="7"/>
  <c r="S270" i="7"/>
  <c r="Y270" i="7" s="1"/>
  <c r="X633" i="7"/>
  <c r="S633" i="7"/>
  <c r="Y633" i="7" s="1"/>
  <c r="S1233" i="7"/>
  <c r="Y1233" i="7" s="1"/>
  <c r="X1233" i="7"/>
  <c r="X866" i="7"/>
  <c r="S866" i="7"/>
  <c r="Y866" i="7" s="1"/>
  <c r="X720" i="7"/>
  <c r="S720" i="7"/>
  <c r="Y720" i="7" s="1"/>
  <c r="D182" i="8"/>
  <c r="X520" i="7"/>
  <c r="S520" i="7"/>
  <c r="X399" i="7"/>
  <c r="S399" i="7"/>
  <c r="Y399" i="7" s="1"/>
  <c r="S913" i="7"/>
  <c r="Y913" i="7" s="1"/>
  <c r="X913" i="7"/>
  <c r="S922" i="7"/>
  <c r="Y922" i="7" s="1"/>
  <c r="X922" i="7"/>
  <c r="S419" i="7"/>
  <c r="Y419" i="7" s="1"/>
  <c r="X419" i="7"/>
  <c r="X552" i="7"/>
  <c r="S552" i="7"/>
  <c r="Y552" i="7" s="1"/>
  <c r="X185" i="7"/>
  <c r="S185" i="7"/>
  <c r="Y185" i="7" s="1"/>
  <c r="X817" i="7"/>
  <c r="S817" i="7"/>
  <c r="Y817" i="7" s="1"/>
  <c r="S428" i="7"/>
  <c r="Y428" i="7" s="1"/>
  <c r="X428" i="7"/>
  <c r="X625" i="7"/>
  <c r="S625" i="7"/>
  <c r="Y625" i="7" s="1"/>
  <c r="S1025" i="7"/>
  <c r="Y1025" i="7" s="1"/>
  <c r="X1025" i="7"/>
  <c r="S1067" i="7"/>
  <c r="Y1067" i="7" s="1"/>
  <c r="X1067" i="7"/>
  <c r="S808" i="7"/>
  <c r="Y808" i="7" s="1"/>
  <c r="X808" i="7"/>
  <c r="X878" i="7"/>
  <c r="S878" i="7"/>
  <c r="Y878" i="7" s="1"/>
  <c r="X1101" i="7"/>
  <c r="S1101" i="7"/>
  <c r="Y1101" i="7" s="1"/>
  <c r="D169" i="8"/>
  <c r="X507" i="7"/>
  <c r="S507" i="7"/>
  <c r="S716" i="7"/>
  <c r="Y716" i="7" s="1"/>
  <c r="X716" i="7"/>
  <c r="D222" i="8"/>
  <c r="D61" i="8"/>
  <c r="S139" i="7"/>
  <c r="X139" i="7"/>
  <c r="S915" i="7"/>
  <c r="Y915" i="7" s="1"/>
  <c r="X915" i="7"/>
  <c r="S730" i="7"/>
  <c r="Y730" i="7" s="1"/>
  <c r="X730" i="7"/>
  <c r="X1050" i="7"/>
  <c r="S1050" i="7"/>
  <c r="Y1050" i="7" s="1"/>
  <c r="X169" i="7"/>
  <c r="S169" i="7"/>
  <c r="Y169" i="7" s="1"/>
  <c r="D65" i="8"/>
  <c r="Y77" i="7"/>
  <c r="X285" i="7"/>
  <c r="S285" i="7"/>
  <c r="Y285" i="7" s="1"/>
  <c r="X273" i="7"/>
  <c r="S273" i="7"/>
  <c r="Y273" i="7" s="1"/>
  <c r="X879" i="7"/>
  <c r="S879" i="7"/>
  <c r="Y879" i="7" s="1"/>
  <c r="S771" i="7"/>
  <c r="Y771" i="7" s="1"/>
  <c r="X771" i="7"/>
  <c r="X261" i="7"/>
  <c r="S261" i="7"/>
  <c r="Y261" i="7" s="1"/>
  <c r="D83" i="8"/>
  <c r="X369" i="7"/>
  <c r="S369" i="7"/>
  <c r="X245" i="7"/>
  <c r="S245" i="7"/>
  <c r="Y245" i="7" s="1"/>
  <c r="X895" i="7"/>
  <c r="S895" i="7"/>
  <c r="Y895" i="7" s="1"/>
  <c r="D212" i="8"/>
  <c r="X269" i="7"/>
  <c r="S269" i="7"/>
  <c r="Y269" i="7" s="1"/>
  <c r="X1180" i="7"/>
  <c r="S1180" i="7"/>
  <c r="Y1180" i="7" s="1"/>
  <c r="X327" i="7"/>
  <c r="S327" i="7"/>
  <c r="Y327" i="7" s="1"/>
  <c r="D76" i="8"/>
  <c r="X154" i="7"/>
  <c r="S154" i="7"/>
  <c r="S1184" i="7"/>
  <c r="Y1184" i="7" s="1"/>
  <c r="X1184" i="7"/>
  <c r="D32" i="8"/>
  <c r="X58" i="7"/>
  <c r="S58" i="7"/>
  <c r="X416" i="7"/>
  <c r="S416" i="7"/>
  <c r="Y416" i="7" s="1"/>
  <c r="X1031" i="7"/>
  <c r="S1031" i="7"/>
  <c r="Y1031" i="7" s="1"/>
  <c r="X983" i="7"/>
  <c r="S983" i="7"/>
  <c r="Y983" i="7" s="1"/>
  <c r="S338" i="7"/>
  <c r="Y338" i="7" s="1"/>
  <c r="X338" i="7"/>
  <c r="X247" i="7"/>
  <c r="S247" i="7"/>
  <c r="Y247" i="7" s="1"/>
  <c r="X1229" i="7"/>
  <c r="S1229" i="7"/>
  <c r="Y1229" i="7" s="1"/>
  <c r="X1047" i="7"/>
  <c r="S1047" i="7"/>
  <c r="Y1047" i="7" s="1"/>
  <c r="X576" i="7"/>
  <c r="S576" i="7"/>
  <c r="Y576" i="7" s="1"/>
  <c r="S917" i="7"/>
  <c r="Y917" i="7" s="1"/>
  <c r="X917" i="7"/>
  <c r="X414" i="7"/>
  <c r="S414" i="7"/>
  <c r="Y414" i="7" s="1"/>
  <c r="D160" i="8"/>
  <c r="X498" i="7"/>
  <c r="S498" i="7"/>
  <c r="X648" i="7"/>
  <c r="S648" i="7"/>
  <c r="Y648" i="7" s="1"/>
  <c r="X201" i="7"/>
  <c r="S201" i="7"/>
  <c r="Y201" i="7" s="1"/>
  <c r="X353" i="7"/>
  <c r="S353" i="7"/>
  <c r="Y353" i="7" s="1"/>
  <c r="S843" i="7"/>
  <c r="Y843" i="7" s="1"/>
  <c r="X843" i="7"/>
  <c r="X780" i="7"/>
  <c r="S780" i="7"/>
  <c r="Y780" i="7" s="1"/>
  <c r="D234" i="8"/>
  <c r="S1065" i="7"/>
  <c r="Y1065" i="7" s="1"/>
  <c r="X1065" i="7"/>
  <c r="X221" i="7"/>
  <c r="S221" i="7"/>
  <c r="Y221" i="7" s="1"/>
  <c r="X430" i="7"/>
  <c r="S430" i="7"/>
  <c r="Y430" i="7" s="1"/>
  <c r="D214" i="8"/>
  <c r="D85" i="8"/>
  <c r="S371" i="7"/>
  <c r="X371" i="7"/>
  <c r="D42" i="8"/>
  <c r="S68" i="7"/>
  <c r="X68" i="7"/>
  <c r="S297" i="7"/>
  <c r="Y297" i="7" s="1"/>
  <c r="X297" i="7"/>
  <c r="S1333" i="7"/>
  <c r="Y1333" i="7" s="1"/>
  <c r="X1333" i="7"/>
  <c r="S993" i="7"/>
  <c r="Y993" i="7" s="1"/>
  <c r="X993" i="7"/>
  <c r="D233" i="8"/>
  <c r="X1187" i="7"/>
  <c r="S1187" i="7"/>
  <c r="Y1187" i="7" s="1"/>
  <c r="S1296" i="7"/>
  <c r="Y1296" i="7" s="1"/>
  <c r="X1296" i="7"/>
  <c r="X1285" i="7"/>
  <c r="S1285" i="7"/>
  <c r="Y1285" i="7" s="1"/>
  <c r="S364" i="7"/>
  <c r="Y364" i="7" s="1"/>
  <c r="X364" i="7"/>
  <c r="D173" i="8"/>
  <c r="X511" i="7"/>
  <c r="S511" i="7"/>
  <c r="X819" i="7"/>
  <c r="S819" i="7"/>
  <c r="Y819" i="7" s="1"/>
  <c r="X704" i="7"/>
  <c r="S704" i="7"/>
  <c r="Y704" i="7" s="1"/>
  <c r="X31" i="7"/>
  <c r="S31" i="7"/>
  <c r="Y31" i="7" s="1"/>
  <c r="X237" i="7"/>
  <c r="S237" i="7"/>
  <c r="Y237" i="7" s="1"/>
  <c r="S897" i="7"/>
  <c r="Y897" i="7" s="1"/>
  <c r="X897" i="7"/>
  <c r="X550" i="7"/>
  <c r="S550" i="7"/>
  <c r="Y550" i="7" s="1"/>
  <c r="S1287" i="7"/>
  <c r="Y1287" i="7" s="1"/>
  <c r="X1287" i="7"/>
  <c r="S165" i="7"/>
  <c r="Y165" i="7" s="1"/>
  <c r="X165" i="7"/>
  <c r="S1045" i="7"/>
  <c r="Y1045" i="7" s="1"/>
  <c r="X1045" i="7"/>
  <c r="S836" i="7"/>
  <c r="Y836" i="7" s="1"/>
  <c r="X836" i="7"/>
  <c r="X942" i="7"/>
  <c r="S942" i="7"/>
  <c r="Y942" i="7" s="1"/>
  <c r="X1114" i="7"/>
  <c r="S1114" i="7"/>
  <c r="Y1114" i="7" s="1"/>
  <c r="X1090" i="7"/>
  <c r="S1090" i="7"/>
  <c r="Y1090" i="7" s="1"/>
  <c r="X841" i="7"/>
  <c r="S841" i="7"/>
  <c r="Y841" i="7" s="1"/>
  <c r="S1294" i="7"/>
  <c r="Y1294" i="7" s="1"/>
  <c r="X1294" i="7"/>
  <c r="X1030" i="7"/>
  <c r="S1030" i="7"/>
  <c r="Y1030" i="7" s="1"/>
  <c r="S963" i="7"/>
  <c r="Y963" i="7" s="1"/>
  <c r="X963" i="7"/>
  <c r="X222" i="7"/>
  <c r="S222" i="7"/>
  <c r="Y222" i="7" s="1"/>
  <c r="D20" i="8"/>
  <c r="S20" i="7"/>
  <c r="X20" i="7"/>
  <c r="D184" i="8"/>
  <c r="S652" i="7"/>
  <c r="X652" i="7"/>
  <c r="S160" i="7"/>
  <c r="Y160" i="7" s="1"/>
  <c r="X160" i="7"/>
  <c r="S825" i="7"/>
  <c r="Y825" i="7" s="1"/>
  <c r="X825" i="7"/>
  <c r="S931" i="7"/>
  <c r="Y931" i="7" s="1"/>
  <c r="X931" i="7"/>
  <c r="D99" i="8"/>
  <c r="S385" i="7"/>
  <c r="X385" i="7"/>
  <c r="D27" i="8"/>
  <c r="S27" i="7"/>
  <c r="X27" i="7"/>
  <c r="D200" i="8"/>
  <c r="S668" i="7"/>
  <c r="X668" i="7"/>
  <c r="S29" i="7"/>
  <c r="Y29" i="7" s="1"/>
  <c r="X29" i="7"/>
  <c r="X600" i="7"/>
  <c r="S600" i="7"/>
  <c r="Y600" i="7" s="1"/>
  <c r="X827" i="7"/>
  <c r="S827" i="7"/>
  <c r="Y827" i="7" s="1"/>
  <c r="E129" i="8"/>
  <c r="Y467" i="7"/>
  <c r="F129" i="8" s="1"/>
  <c r="X998" i="7"/>
  <c r="S998" i="7"/>
  <c r="Y998" i="7" s="1"/>
  <c r="S46" i="7"/>
  <c r="Y46" i="7" s="1"/>
  <c r="X46" i="7"/>
  <c r="X431" i="7"/>
  <c r="S431" i="7"/>
  <c r="Y431" i="7" s="1"/>
  <c r="C35" i="8"/>
  <c r="W61" i="7"/>
  <c r="X1082" i="7"/>
  <c r="S1082" i="7"/>
  <c r="Y1082" i="7" s="1"/>
  <c r="D22" i="8"/>
  <c r="X22" i="7"/>
  <c r="S22" i="7"/>
  <c r="C131" i="8"/>
  <c r="W469" i="7"/>
  <c r="X569" i="7"/>
  <c r="S569" i="7"/>
  <c r="Y569" i="7" s="1"/>
  <c r="C74" i="8"/>
  <c r="W152" i="7"/>
  <c r="D66" i="8"/>
  <c r="X144" i="7"/>
  <c r="S144" i="7"/>
  <c r="X342" i="7"/>
  <c r="S342" i="7"/>
  <c r="Y342" i="7" s="1"/>
  <c r="X773" i="7"/>
  <c r="S773" i="7"/>
  <c r="Y773" i="7" s="1"/>
  <c r="S561" i="7"/>
  <c r="Y561" i="7" s="1"/>
  <c r="X561" i="7"/>
  <c r="S1353" i="7"/>
  <c r="Y1353" i="7" s="1"/>
  <c r="X1353" i="7"/>
  <c r="X1012" i="7"/>
  <c r="S1012" i="7"/>
  <c r="Y1012" i="7" s="1"/>
  <c r="X741" i="7"/>
  <c r="S741" i="7"/>
  <c r="Y741" i="7" s="1"/>
  <c r="X578" i="7"/>
  <c r="S578" i="7"/>
  <c r="Y578" i="7" s="1"/>
  <c r="X1021" i="7"/>
  <c r="S1021" i="7"/>
  <c r="Y1021" i="7" s="1"/>
  <c r="S646" i="7"/>
  <c r="Y646" i="7" s="1"/>
  <c r="X646" i="7"/>
  <c r="D208" i="8"/>
  <c r="X676" i="7"/>
  <c r="S676" i="7"/>
  <c r="D210" i="8"/>
  <c r="X678" i="7"/>
  <c r="S678" i="7"/>
  <c r="D115" i="8"/>
  <c r="S453" i="7"/>
  <c r="X453" i="7"/>
  <c r="S173" i="7"/>
  <c r="Y173" i="7" s="1"/>
  <c r="X173" i="7"/>
  <c r="S614" i="7"/>
  <c r="Y614" i="7" s="1"/>
  <c r="X614" i="7"/>
  <c r="S1027" i="7"/>
  <c r="Y1027" i="7" s="1"/>
  <c r="X1027" i="7"/>
  <c r="X1000" i="7"/>
  <c r="S1000" i="7"/>
  <c r="Y1000" i="7" s="1"/>
  <c r="D104" i="8"/>
  <c r="X390" i="7"/>
  <c r="S390" i="7"/>
  <c r="C60" i="8"/>
  <c r="W138" i="7"/>
  <c r="S112" i="7"/>
  <c r="Y112" i="7" s="1"/>
  <c r="X112" i="7"/>
  <c r="E112" i="8"/>
  <c r="Y450" i="7"/>
  <c r="F112" i="8" s="1"/>
  <c r="X1225" i="7"/>
  <c r="S1225" i="7"/>
  <c r="Y1225" i="7" s="1"/>
  <c r="X1250" i="7"/>
  <c r="S1250" i="7"/>
  <c r="Y1250" i="7" s="1"/>
  <c r="S880" i="7"/>
  <c r="Y880" i="7" s="1"/>
  <c r="X880" i="7"/>
  <c r="X232" i="7"/>
  <c r="S232" i="7"/>
  <c r="Y232" i="7" s="1"/>
  <c r="X1244" i="7"/>
  <c r="S1244" i="7"/>
  <c r="Y1244" i="7" s="1"/>
  <c r="D87" i="8"/>
  <c r="X373" i="7"/>
  <c r="S373" i="7"/>
  <c r="S408" i="7"/>
  <c r="Y408" i="7" s="1"/>
  <c r="X408" i="7"/>
  <c r="X1234" i="7"/>
  <c r="S1234" i="7"/>
  <c r="Y1234" i="7" s="1"/>
  <c r="X884" i="7"/>
  <c r="S884" i="7"/>
  <c r="Y884" i="7" s="1"/>
  <c r="S86" i="7"/>
  <c r="Y86" i="7" s="1"/>
  <c r="X86" i="7"/>
  <c r="D62" i="8"/>
  <c r="X140" i="7"/>
  <c r="S140" i="7"/>
  <c r="C61" i="8"/>
  <c r="W139" i="7"/>
  <c r="X592" i="7"/>
  <c r="S592" i="7"/>
  <c r="Y592" i="7" s="1"/>
  <c r="X200" i="7"/>
  <c r="S200" i="7"/>
  <c r="Y200" i="7" s="1"/>
  <c r="X104" i="7"/>
  <c r="S104" i="7"/>
  <c r="Y104" i="7" s="1"/>
  <c r="Y513" i="7"/>
  <c r="S1029" i="7"/>
  <c r="Y1029" i="7" s="1"/>
  <c r="X1029" i="7"/>
  <c r="X1071" i="7"/>
  <c r="S1071" i="7"/>
  <c r="Y1071" i="7" s="1"/>
  <c r="X1178" i="7"/>
  <c r="S1178" i="7"/>
  <c r="Y1178" i="7" s="1"/>
  <c r="C158" i="8"/>
  <c r="S1095" i="7"/>
  <c r="Y1095" i="7" s="1"/>
  <c r="X1095" i="7"/>
  <c r="S50" i="7"/>
  <c r="Y50" i="7" s="1"/>
  <c r="X873" i="7"/>
  <c r="S873" i="7"/>
  <c r="Y873" i="7" s="1"/>
  <c r="X1115" i="7"/>
  <c r="S1115" i="7"/>
  <c r="Y1115" i="7" s="1"/>
  <c r="X1193" i="7"/>
  <c r="S1193" i="7"/>
  <c r="Y1193" i="7" s="1"/>
  <c r="E157" i="8"/>
  <c r="Y495" i="7"/>
  <c r="F157" i="8" s="1"/>
  <c r="X393" i="7"/>
  <c r="S393" i="7"/>
  <c r="Y393" i="7" s="1"/>
  <c r="S94" i="7"/>
  <c r="Y94" i="7" s="1"/>
  <c r="X94" i="7"/>
  <c r="S753" i="7"/>
  <c r="Y753" i="7" s="1"/>
  <c r="X753" i="7"/>
  <c r="X809" i="7"/>
  <c r="S809" i="7"/>
  <c r="Y809" i="7" s="1"/>
  <c r="X916" i="7"/>
  <c r="S916" i="7"/>
  <c r="Y916" i="7" s="1"/>
  <c r="X1254" i="7"/>
  <c r="S1254" i="7"/>
  <c r="Y1254" i="7" s="1"/>
  <c r="D172" i="8"/>
  <c r="S510" i="7"/>
  <c r="X510" i="7"/>
  <c r="Y702" i="7"/>
  <c r="X90" i="7"/>
  <c r="S90" i="7"/>
  <c r="Y90" i="7" s="1"/>
  <c r="X710" i="7"/>
  <c r="S710" i="7"/>
  <c r="Y710" i="7" s="1"/>
  <c r="C105" i="8"/>
  <c r="D186" i="8"/>
  <c r="X654" i="7"/>
  <c r="S654" i="7"/>
  <c r="X1028" i="7"/>
  <c r="S1028" i="7"/>
  <c r="Y1028" i="7" s="1"/>
  <c r="Y698" i="7"/>
  <c r="X328" i="7"/>
  <c r="S328" i="7"/>
  <c r="Y328" i="7" s="1"/>
  <c r="S194" i="7"/>
  <c r="Y194" i="7" s="1"/>
  <c r="X194" i="7"/>
  <c r="D7" i="8"/>
  <c r="X7" i="7"/>
  <c r="S7" i="7"/>
  <c r="D228" i="8"/>
  <c r="X696" i="7"/>
  <c r="S696" i="7"/>
  <c r="S80" i="7"/>
  <c r="Y80" i="7" s="1"/>
  <c r="X818" i="7"/>
  <c r="S818" i="7"/>
  <c r="Y818" i="7" s="1"/>
  <c r="X1001" i="7"/>
  <c r="S1001" i="7"/>
  <c r="Y1001" i="7" s="1"/>
  <c r="C38" i="8"/>
  <c r="W64" i="7"/>
  <c r="D34" i="8"/>
  <c r="X60" i="7"/>
  <c r="S60" i="7"/>
  <c r="X912" i="7"/>
  <c r="S912" i="7"/>
  <c r="Y912" i="7" s="1"/>
  <c r="C77" i="8"/>
  <c r="W155" i="7"/>
  <c r="S988" i="7"/>
  <c r="Y988" i="7" s="1"/>
  <c r="X988" i="7"/>
  <c r="C18" i="8"/>
  <c r="W18" i="7"/>
  <c r="X1008" i="7"/>
  <c r="S1008" i="7"/>
  <c r="Y1008" i="7" s="1"/>
  <c r="C52" i="8"/>
  <c r="W78" i="7"/>
  <c r="S204" i="7"/>
  <c r="Y204" i="7" s="1"/>
  <c r="X204" i="7"/>
  <c r="X1024" i="7"/>
  <c r="S1024" i="7"/>
  <c r="Y1024" i="7" s="1"/>
  <c r="X317" i="7"/>
  <c r="S317" i="7"/>
  <c r="Y317" i="7" s="1"/>
  <c r="X1257" i="7"/>
  <c r="S1257" i="7"/>
  <c r="Y1257" i="7" s="1"/>
  <c r="C11" i="8"/>
  <c r="W11" i="7"/>
  <c r="S887" i="7"/>
  <c r="Y887" i="7" s="1"/>
  <c r="X887" i="7"/>
  <c r="D185" i="8"/>
  <c r="S653" i="7"/>
  <c r="X653" i="7"/>
  <c r="X960" i="7"/>
  <c r="S960" i="7"/>
  <c r="Y960" i="7" s="1"/>
  <c r="C115" i="8"/>
  <c r="W453" i="7"/>
  <c r="C84" i="8"/>
  <c r="W370" i="7"/>
  <c r="X970" i="7"/>
  <c r="S970" i="7"/>
  <c r="Y970" i="7" s="1"/>
  <c r="X731" i="7"/>
  <c r="S731" i="7"/>
  <c r="Y731" i="7" s="1"/>
  <c r="S41" i="7"/>
  <c r="Y41" i="7" s="1"/>
  <c r="X41" i="7"/>
  <c r="S1072" i="7"/>
  <c r="Y1072" i="7" s="1"/>
  <c r="X1072" i="7"/>
  <c r="X626" i="7"/>
  <c r="S626" i="7"/>
  <c r="Y626" i="7" s="1"/>
  <c r="X891" i="7"/>
  <c r="S891" i="7"/>
  <c r="Y891" i="7" s="1"/>
  <c r="X594" i="7"/>
  <c r="S594" i="7"/>
  <c r="Y594" i="7" s="1"/>
  <c r="X206" i="7"/>
  <c r="S206" i="7"/>
  <c r="Y206" i="7" s="1"/>
  <c r="X1023" i="7"/>
  <c r="S1023" i="7"/>
  <c r="Y1023" i="7" s="1"/>
  <c r="X254" i="7"/>
  <c r="S254" i="7"/>
  <c r="Y254" i="7" s="1"/>
  <c r="C230" i="8"/>
  <c r="X765" i="7"/>
  <c r="S765" i="7"/>
  <c r="Y765" i="7" s="1"/>
  <c r="X130" i="7"/>
  <c r="S130" i="7"/>
  <c r="Y130" i="7" s="1"/>
  <c r="D8" i="8"/>
  <c r="X8" i="7"/>
  <c r="S8" i="7"/>
  <c r="X1237" i="7"/>
  <c r="S1237" i="7"/>
  <c r="Y1237" i="7" s="1"/>
  <c r="X580" i="7"/>
  <c r="S580" i="7"/>
  <c r="Y580" i="7" s="1"/>
  <c r="S877" i="7"/>
  <c r="Y877" i="7" s="1"/>
  <c r="X877" i="7"/>
  <c r="X1063" i="7"/>
  <c r="S1063" i="7"/>
  <c r="Y1063" i="7" s="1"/>
  <c r="X1075" i="7"/>
  <c r="S1075" i="7"/>
  <c r="Y1075" i="7" s="1"/>
  <c r="X236" i="7"/>
  <c r="S236" i="7"/>
  <c r="Y236" i="7" s="1"/>
  <c r="X1151" i="7"/>
  <c r="S1151" i="7"/>
  <c r="Y1151" i="7" s="1"/>
  <c r="S945" i="7"/>
  <c r="Y945" i="7" s="1"/>
  <c r="X945" i="7"/>
  <c r="X1227" i="7"/>
  <c r="S1227" i="7"/>
  <c r="Y1227" i="7" s="1"/>
  <c r="X1185" i="7"/>
  <c r="S1185" i="7"/>
  <c r="Y1185" i="7" s="1"/>
  <c r="X198" i="7"/>
  <c r="S198" i="7"/>
  <c r="Y198" i="7" s="1"/>
  <c r="X624" i="7"/>
  <c r="S624" i="7"/>
  <c r="Y624" i="7" s="1"/>
  <c r="S961" i="7"/>
  <c r="Y961" i="7" s="1"/>
  <c r="X961" i="7"/>
  <c r="X300" i="7"/>
  <c r="S300" i="7"/>
  <c r="Y300" i="7" s="1"/>
  <c r="S331" i="7"/>
  <c r="Y331" i="7" s="1"/>
  <c r="X331" i="7"/>
  <c r="X418" i="7"/>
  <c r="S418" i="7"/>
  <c r="Y418" i="7" s="1"/>
  <c r="X1186" i="7"/>
  <c r="S1186" i="7"/>
  <c r="Y1186" i="7" s="1"/>
  <c r="E108" i="8"/>
  <c r="Y446" i="7"/>
  <c r="F108" i="8" s="1"/>
  <c r="S403" i="7"/>
  <c r="Y403" i="7" s="1"/>
  <c r="X403" i="7"/>
  <c r="D24" i="8"/>
  <c r="X24" i="7"/>
  <c r="S24" i="7"/>
  <c r="X427" i="7"/>
  <c r="S427" i="7"/>
  <c r="Y427" i="7" s="1"/>
  <c r="X853" i="7"/>
  <c r="S853" i="7"/>
  <c r="Y853" i="7" s="1"/>
  <c r="S116" i="7"/>
  <c r="Y116" i="7" s="1"/>
  <c r="X116" i="7"/>
  <c r="E137" i="8"/>
  <c r="Y475" i="7"/>
  <c r="F137" i="8" s="1"/>
  <c r="C234" i="8"/>
  <c r="S583" i="7"/>
  <c r="Y583" i="7" s="1"/>
  <c r="X583" i="7"/>
  <c r="X1035" i="7"/>
  <c r="S1035" i="7"/>
  <c r="Y1035" i="7" s="1"/>
  <c r="C85" i="8"/>
  <c r="X1010" i="7"/>
  <c r="S1010" i="7"/>
  <c r="Y1010" i="7" s="1"/>
  <c r="X722" i="7"/>
  <c r="S722" i="7"/>
  <c r="Y722" i="7" s="1"/>
  <c r="X1038" i="7"/>
  <c r="S1038" i="7"/>
  <c r="Y1038" i="7" s="1"/>
  <c r="S883" i="7"/>
  <c r="Y883" i="7" s="1"/>
  <c r="X883" i="7"/>
  <c r="S228" i="7"/>
  <c r="Y228" i="7" s="1"/>
  <c r="X228" i="7"/>
  <c r="S549" i="7"/>
  <c r="Y549" i="7" s="1"/>
  <c r="X549" i="7"/>
  <c r="X1276" i="7"/>
  <c r="S1276" i="7"/>
  <c r="Y1276" i="7" s="1"/>
  <c r="X1022" i="7"/>
  <c r="S1022" i="7"/>
  <c r="Y1022" i="7" s="1"/>
  <c r="D94" i="8"/>
  <c r="S380" i="7"/>
  <c r="X380" i="7"/>
  <c r="C65" i="8"/>
  <c r="C49" i="8"/>
  <c r="X1140" i="7"/>
  <c r="S1140" i="7"/>
  <c r="Y1140" i="7" s="1"/>
  <c r="C7" i="8"/>
  <c r="W7" i="7"/>
  <c r="X1209" i="7"/>
  <c r="S1209" i="7"/>
  <c r="Y1209" i="7" s="1"/>
  <c r="S1194" i="7"/>
  <c r="Y1194" i="7" s="1"/>
  <c r="X1194" i="7"/>
  <c r="D183" i="8"/>
  <c r="X521" i="7"/>
  <c r="S521" i="7"/>
  <c r="C221" i="8"/>
  <c r="W689" i="7"/>
  <c r="C67" i="8"/>
  <c r="S118" i="7"/>
  <c r="Y118" i="7" s="1"/>
  <c r="X968" i="7"/>
  <c r="S968" i="7"/>
  <c r="Y968" i="7" s="1"/>
  <c r="S526" i="7"/>
  <c r="Y526" i="7" s="1"/>
  <c r="X526" i="7"/>
  <c r="X832" i="7"/>
  <c r="S832" i="7"/>
  <c r="Y832" i="7" s="1"/>
  <c r="X37" i="7"/>
  <c r="S37" i="7"/>
  <c r="Y37" i="7" s="1"/>
  <c r="S943" i="7"/>
  <c r="Y943" i="7" s="1"/>
  <c r="X943" i="7"/>
  <c r="X964" i="7"/>
  <c r="S964" i="7"/>
  <c r="Y964" i="7" s="1"/>
  <c r="S725" i="7"/>
  <c r="Y725" i="7" s="1"/>
  <c r="X725" i="7"/>
  <c r="X1288" i="7"/>
  <c r="S1288" i="7"/>
  <c r="Y1288" i="7" s="1"/>
  <c r="X209" i="7"/>
  <c r="S209" i="7"/>
  <c r="Y209" i="7" s="1"/>
  <c r="S959" i="7"/>
  <c r="Y959" i="7" s="1"/>
  <c r="X959" i="7"/>
  <c r="S34" i="7"/>
  <c r="Y34" i="7" s="1"/>
  <c r="X34" i="7"/>
  <c r="X421" i="7"/>
  <c r="S421" i="7"/>
  <c r="Y421" i="7" s="1"/>
  <c r="X1297" i="7"/>
  <c r="S1297" i="7"/>
  <c r="Y1297" i="7" s="1"/>
  <c r="S394" i="7"/>
  <c r="Y394" i="7" s="1"/>
  <c r="X394" i="7"/>
  <c r="X616" i="7"/>
  <c r="S616" i="7"/>
  <c r="Y616" i="7" s="1"/>
  <c r="X1192" i="7"/>
  <c r="S1192" i="7"/>
  <c r="Y1192" i="7" s="1"/>
  <c r="D60" i="8"/>
  <c r="X138" i="7"/>
  <c r="S138" i="7"/>
  <c r="Y504" i="7"/>
  <c r="C215" i="8"/>
  <c r="X980" i="7"/>
  <c r="S980" i="7"/>
  <c r="Y980" i="7" s="1"/>
  <c r="S838" i="7"/>
  <c r="Y838" i="7" s="1"/>
  <c r="X838" i="7"/>
  <c r="X1290" i="7"/>
  <c r="S1290" i="7"/>
  <c r="Y1290" i="7" s="1"/>
  <c r="X358" i="7"/>
  <c r="S358" i="7"/>
  <c r="Y358" i="7" s="1"/>
  <c r="D195" i="8"/>
  <c r="X663" i="7"/>
  <c r="S663" i="7"/>
  <c r="D163" i="8"/>
  <c r="S501" i="7"/>
  <c r="X501" i="7"/>
  <c r="D80" i="8"/>
  <c r="S366" i="7"/>
  <c r="X366" i="7"/>
  <c r="D56" i="8"/>
  <c r="S134" i="7"/>
  <c r="X134" i="7"/>
  <c r="S581" i="7"/>
  <c r="Y581" i="7" s="1"/>
  <c r="X581" i="7"/>
  <c r="S1020" i="7"/>
  <c r="Y1020" i="7" s="1"/>
  <c r="X1020" i="7"/>
  <c r="X864" i="7"/>
  <c r="S864" i="7"/>
  <c r="Y864" i="7" s="1"/>
  <c r="C70" i="8"/>
  <c r="S1004" i="7"/>
  <c r="Y1004" i="7" s="1"/>
  <c r="X1004" i="7"/>
  <c r="C53" i="8"/>
  <c r="W79" i="7"/>
  <c r="C173" i="8"/>
  <c r="X889" i="7"/>
  <c r="S889" i="7"/>
  <c r="Y889" i="7" s="1"/>
  <c r="X39" i="7"/>
  <c r="S39" i="7"/>
  <c r="Y39" i="7" s="1"/>
  <c r="X994" i="7"/>
  <c r="S994" i="7"/>
  <c r="Y994" i="7" s="1"/>
  <c r="Y54" i="7"/>
  <c r="X1277" i="7"/>
  <c r="S1277" i="7"/>
  <c r="Y1277" i="7" s="1"/>
  <c r="S346" i="7"/>
  <c r="Y346" i="7" s="1"/>
  <c r="X346" i="7"/>
  <c r="X617" i="7"/>
  <c r="S617" i="7"/>
  <c r="Y617" i="7" s="1"/>
  <c r="X812" i="7"/>
  <c r="S812" i="7"/>
  <c r="Y812" i="7" s="1"/>
  <c r="X918" i="7"/>
  <c r="S918" i="7"/>
  <c r="Y918" i="7" s="1"/>
  <c r="S1252" i="7"/>
  <c r="Y1252" i="7" s="1"/>
  <c r="X1252" i="7"/>
  <c r="C160" i="8"/>
  <c r="C69" i="8"/>
  <c r="Y12" i="7"/>
  <c r="S1305" i="7"/>
  <c r="Y1305" i="7" s="1"/>
  <c r="X1305" i="7"/>
  <c r="S18" i="7"/>
  <c r="D174" i="8"/>
  <c r="X512" i="7"/>
  <c r="S512" i="7"/>
  <c r="C171" i="8"/>
  <c r="D52" i="8"/>
  <c r="S78" i="7"/>
  <c r="X78" i="7"/>
  <c r="S324" i="7"/>
  <c r="Y324" i="7" s="1"/>
  <c r="X324" i="7"/>
  <c r="X647" i="7"/>
  <c r="S647" i="7"/>
  <c r="Y647" i="7" s="1"/>
  <c r="X1309" i="7"/>
  <c r="S1309" i="7"/>
  <c r="Y1309" i="7" s="1"/>
  <c r="X202" i="7"/>
  <c r="S202" i="7"/>
  <c r="Y202" i="7" s="1"/>
  <c r="X262" i="7"/>
  <c r="S262" i="7"/>
  <c r="Y262" i="7" s="1"/>
  <c r="D90" i="8"/>
  <c r="S376" i="7"/>
  <c r="X376" i="7"/>
  <c r="S244" i="7"/>
  <c r="Y244" i="7" s="1"/>
  <c r="X244" i="7"/>
  <c r="X291" i="7"/>
  <c r="S291" i="7"/>
  <c r="Y291" i="7" s="1"/>
  <c r="X1232" i="7"/>
  <c r="S1232" i="7"/>
  <c r="Y1232" i="7" s="1"/>
  <c r="S1102" i="7"/>
  <c r="Y1102" i="7" s="1"/>
  <c r="X1102" i="7"/>
  <c r="X1183" i="7"/>
  <c r="S1183" i="7"/>
  <c r="Y1183" i="7" s="1"/>
  <c r="E123" i="8"/>
  <c r="Y461" i="7"/>
  <c r="F123" i="8" s="1"/>
  <c r="S845" i="7"/>
  <c r="Y845" i="7" s="1"/>
  <c r="X845" i="7"/>
  <c r="X49" i="7"/>
  <c r="S49" i="7"/>
  <c r="Y49" i="7" s="1"/>
  <c r="X1311" i="7"/>
  <c r="S1311" i="7"/>
  <c r="Y1311" i="7" s="1"/>
  <c r="X966" i="7"/>
  <c r="S966" i="7"/>
  <c r="Y966" i="7" s="1"/>
  <c r="X314" i="7"/>
  <c r="S314" i="7"/>
  <c r="Y314" i="7" s="1"/>
  <c r="S437" i="7"/>
  <c r="Y437" i="7" s="1"/>
  <c r="X437" i="7"/>
  <c r="X1293" i="7"/>
  <c r="S1293" i="7"/>
  <c r="Y1293" i="7" s="1"/>
  <c r="X349" i="7"/>
  <c r="S349" i="7"/>
  <c r="Y349" i="7" s="1"/>
  <c r="C220" i="8"/>
  <c r="C56" i="8"/>
  <c r="W134" i="7"/>
  <c r="C63" i="8"/>
  <c r="S751" i="7"/>
  <c r="Y751" i="7" s="1"/>
  <c r="X751" i="7"/>
  <c r="X717" i="7"/>
  <c r="S717" i="7"/>
  <c r="Y717" i="7" s="1"/>
  <c r="X871" i="7"/>
  <c r="S871" i="7"/>
  <c r="Y871" i="7" s="1"/>
  <c r="X1026" i="7"/>
  <c r="S1026" i="7"/>
  <c r="Y1026" i="7" s="1"/>
  <c r="X1070" i="7"/>
  <c r="S1070" i="7"/>
  <c r="Y1070" i="7" s="1"/>
  <c r="X1348" i="7"/>
  <c r="S1348" i="7"/>
  <c r="Y1348" i="7" s="1"/>
  <c r="X32" i="7"/>
  <c r="S32" i="7"/>
  <c r="Y32" i="7" s="1"/>
  <c r="X282" i="7"/>
  <c r="S282" i="7"/>
  <c r="Y282" i="7" s="1"/>
  <c r="S1325" i="7"/>
  <c r="Y1325" i="7" s="1"/>
  <c r="X1325" i="7"/>
  <c r="D53" i="8"/>
  <c r="S79" i="7"/>
  <c r="X79" i="7"/>
  <c r="X30" i="7"/>
  <c r="S30" i="7"/>
  <c r="Y30" i="7" s="1"/>
  <c r="X867" i="7"/>
  <c r="S867" i="7"/>
  <c r="Y867" i="7" s="1"/>
  <c r="Y688" i="7"/>
  <c r="S1313" i="7"/>
  <c r="Y1313" i="7" s="1"/>
  <c r="X1313" i="7"/>
  <c r="X1006" i="7"/>
  <c r="S1006" i="7"/>
  <c r="Y1006" i="7" s="1"/>
  <c r="C37" i="8"/>
  <c r="W63" i="7"/>
  <c r="X619" i="7"/>
  <c r="S619" i="7"/>
  <c r="Y619" i="7" s="1"/>
  <c r="S340" i="7"/>
  <c r="Y340" i="7" s="1"/>
  <c r="X340" i="7"/>
  <c r="X590" i="7"/>
  <c r="S590" i="7"/>
  <c r="Y590" i="7" s="1"/>
  <c r="S801" i="7"/>
  <c r="Y801" i="7" s="1"/>
  <c r="X801" i="7"/>
  <c r="X96" i="7"/>
  <c r="S96" i="7"/>
  <c r="Y96" i="7" s="1"/>
  <c r="E128" i="8"/>
  <c r="Y466" i="7"/>
  <c r="F128" i="8" s="1"/>
  <c r="C217" i="8"/>
  <c r="W685" i="7"/>
  <c r="S109" i="7"/>
  <c r="Y109" i="7" s="1"/>
  <c r="S87" i="7"/>
  <c r="Y87" i="7" s="1"/>
  <c r="C174" i="8"/>
  <c r="W512" i="7"/>
  <c r="S203" i="7"/>
  <c r="Y203" i="7" s="1"/>
  <c r="X203" i="7"/>
  <c r="D11" i="8"/>
  <c r="S11" i="7"/>
  <c r="X11" i="7"/>
  <c r="X885" i="7"/>
  <c r="S885" i="7"/>
  <c r="Y885" i="7" s="1"/>
  <c r="X935" i="7"/>
  <c r="S935" i="7"/>
  <c r="Y935" i="7" s="1"/>
  <c r="X811" i="7"/>
  <c r="S811" i="7"/>
  <c r="Y811" i="7" s="1"/>
  <c r="X757" i="7"/>
  <c r="S757" i="7"/>
  <c r="Y757" i="7" s="1"/>
  <c r="X830" i="7"/>
  <c r="S830" i="7"/>
  <c r="Y830" i="7" s="1"/>
  <c r="S976" i="7"/>
  <c r="Y976" i="7" s="1"/>
  <c r="X976" i="7"/>
  <c r="D132" i="8"/>
  <c r="X470" i="7"/>
  <c r="S470" i="7"/>
  <c r="X926" i="7"/>
  <c r="S926" i="7"/>
  <c r="Y926" i="7" s="1"/>
  <c r="D59" i="8"/>
  <c r="X137" i="7"/>
  <c r="S137" i="7"/>
  <c r="C152" i="8"/>
  <c r="W490" i="7"/>
  <c r="X1307" i="7"/>
  <c r="S1307" i="7"/>
  <c r="Y1307" i="7" s="1"/>
  <c r="S707" i="7"/>
  <c r="Y707" i="7" s="1"/>
  <c r="X707" i="7"/>
  <c r="X1295" i="7"/>
  <c r="S1295" i="7"/>
  <c r="Y1295" i="7" s="1"/>
  <c r="D159" i="8"/>
  <c r="X497" i="7"/>
  <c r="S497" i="7"/>
  <c r="S901" i="7"/>
  <c r="Y901" i="7" s="1"/>
  <c r="X901" i="7"/>
  <c r="C90" i="8"/>
  <c r="W376" i="7"/>
  <c r="X174" i="7"/>
  <c r="S174" i="7"/>
  <c r="Y174" i="7" s="1"/>
  <c r="X939" i="7"/>
  <c r="S939" i="7"/>
  <c r="Y939" i="7" s="1"/>
  <c r="X1174" i="7"/>
  <c r="S1174" i="7"/>
  <c r="Y1174" i="7" s="1"/>
  <c r="D78" i="8"/>
  <c r="X156" i="7"/>
  <c r="S156" i="7"/>
  <c r="X303" i="7"/>
  <c r="S303" i="7"/>
  <c r="Y303" i="7" s="1"/>
  <c r="C168" i="8"/>
  <c r="W506" i="7"/>
  <c r="X930" i="7"/>
  <c r="S930" i="7"/>
  <c r="Y930" i="7" s="1"/>
  <c r="X182" i="7"/>
  <c r="S182" i="7"/>
  <c r="Y182" i="7" s="1"/>
  <c r="S622" i="7"/>
  <c r="Y622" i="7" s="1"/>
  <c r="X622" i="7"/>
  <c r="X356" i="7"/>
  <c r="S356" i="7"/>
  <c r="Y356" i="7" s="1"/>
  <c r="S906" i="7"/>
  <c r="Y906" i="7" s="1"/>
  <c r="X906" i="7"/>
  <c r="X330" i="7"/>
  <c r="S330" i="7"/>
  <c r="Y330" i="7" s="1"/>
  <c r="X844" i="7"/>
  <c r="S844" i="7"/>
  <c r="Y844" i="7" s="1"/>
  <c r="C48" i="8"/>
  <c r="X774" i="7"/>
  <c r="S774" i="7"/>
  <c r="Y774" i="7" s="1"/>
  <c r="C182" i="8"/>
  <c r="Y693" i="7"/>
  <c r="S180" i="7"/>
  <c r="Y180" i="7" s="1"/>
  <c r="X180" i="7"/>
  <c r="E48" i="8"/>
  <c r="Y74" i="7"/>
  <c r="X615" i="7"/>
  <c r="S615" i="7"/>
  <c r="Y615" i="7" s="1"/>
  <c r="X1317" i="7"/>
  <c r="S1317" i="7"/>
  <c r="Y1317" i="7" s="1"/>
  <c r="X888" i="7"/>
  <c r="S888" i="7"/>
  <c r="Y888" i="7" s="1"/>
  <c r="X742" i="7"/>
  <c r="S742" i="7"/>
  <c r="Y742" i="7" s="1"/>
  <c r="S1036" i="7"/>
  <c r="Y1036" i="7" s="1"/>
  <c r="X1036" i="7"/>
  <c r="X1306" i="7"/>
  <c r="S1306" i="7"/>
  <c r="Y1306" i="7" s="1"/>
  <c r="S360" i="7"/>
  <c r="Y360" i="7" s="1"/>
  <c r="X360" i="7"/>
  <c r="X644" i="7"/>
  <c r="S644" i="7"/>
  <c r="Y644" i="7" s="1"/>
  <c r="X332" i="7"/>
  <c r="S332" i="7"/>
  <c r="Y332" i="7" s="1"/>
  <c r="D133" i="8"/>
  <c r="S471" i="7"/>
  <c r="X471" i="7"/>
  <c r="X354" i="7"/>
  <c r="S354" i="7"/>
  <c r="Y354" i="7" s="1"/>
  <c r="C233" i="8"/>
  <c r="S628" i="7"/>
  <c r="Y628" i="7" s="1"/>
  <c r="X628" i="7"/>
  <c r="X316" i="7"/>
  <c r="S316" i="7"/>
  <c r="Y316" i="7" s="1"/>
  <c r="D37" i="8"/>
  <c r="S63" i="7"/>
  <c r="X63" i="7"/>
  <c r="C43" i="8"/>
  <c r="W69" i="7"/>
  <c r="X1350" i="7"/>
  <c r="S1350" i="7"/>
  <c r="Y1350" i="7" s="1"/>
  <c r="X530" i="7"/>
  <c r="S530" i="7"/>
  <c r="Y530" i="7" s="1"/>
  <c r="C126" i="8"/>
  <c r="W464" i="7"/>
  <c r="X357" i="7"/>
  <c r="S357" i="7"/>
  <c r="Y357" i="7" s="1"/>
  <c r="D217" i="8"/>
  <c r="S685" i="7"/>
  <c r="X685" i="7"/>
  <c r="S612" i="7"/>
  <c r="Y612" i="7" s="1"/>
  <c r="X612" i="7"/>
  <c r="Y699" i="7"/>
  <c r="S92" i="7"/>
  <c r="Y92" i="7" s="1"/>
  <c r="X946" i="7"/>
  <c r="S946" i="7"/>
  <c r="Y946" i="7" s="1"/>
  <c r="X1005" i="7"/>
  <c r="S1005" i="7"/>
  <c r="Y1005" i="7" s="1"/>
  <c r="X1059" i="7"/>
  <c r="S1059" i="7"/>
  <c r="Y1059" i="7" s="1"/>
  <c r="S1061" i="7"/>
  <c r="Y1061" i="7" s="1"/>
  <c r="X1061" i="7"/>
  <c r="X752" i="7"/>
  <c r="S752" i="7"/>
  <c r="Y752" i="7" s="1"/>
  <c r="X1188" i="7"/>
  <c r="S1188" i="7"/>
  <c r="Y1188" i="7" s="1"/>
  <c r="X559" i="7"/>
  <c r="S559" i="7"/>
  <c r="Y559" i="7" s="1"/>
  <c r="X951" i="7"/>
  <c r="S951" i="7"/>
  <c r="Y951" i="7" s="1"/>
  <c r="S392" i="7"/>
  <c r="Y392" i="7" s="1"/>
  <c r="X392" i="7"/>
  <c r="X1176" i="7"/>
  <c r="S1176" i="7"/>
  <c r="Y1176" i="7" s="1"/>
  <c r="C5" i="8"/>
  <c r="W5" i="7"/>
  <c r="Y56" i="7"/>
  <c r="S621" i="7"/>
  <c r="Y621" i="7" s="1"/>
  <c r="X621" i="7"/>
  <c r="S790" i="7"/>
  <c r="Y790" i="7" s="1"/>
  <c r="X790" i="7"/>
  <c r="X432" i="7"/>
  <c r="S432" i="7"/>
  <c r="Y432" i="7" s="1"/>
  <c r="D95" i="8"/>
  <c r="X381" i="7"/>
  <c r="S381" i="7"/>
  <c r="S212" i="7"/>
  <c r="Y212" i="7" s="1"/>
  <c r="X212" i="7"/>
  <c r="S1268" i="7"/>
  <c r="Y1268" i="7" s="1"/>
  <c r="X1268" i="7"/>
  <c r="X1107" i="7"/>
  <c r="S1107" i="7"/>
  <c r="Y1107" i="7" s="1"/>
  <c r="D124" i="8"/>
  <c r="S462" i="7"/>
  <c r="X462" i="7"/>
  <c r="X98" i="7"/>
  <c r="S98" i="7"/>
  <c r="Y98" i="7" s="1"/>
  <c r="D73" i="8"/>
  <c r="X151" i="7"/>
  <c r="S151" i="7"/>
  <c r="S933" i="7"/>
  <c r="Y933" i="7" s="1"/>
  <c r="X933" i="7"/>
  <c r="S949" i="7"/>
  <c r="Y949" i="7" s="1"/>
  <c r="X949" i="7"/>
  <c r="D89" i="8"/>
  <c r="X375" i="7"/>
  <c r="S375" i="7"/>
  <c r="D57" i="8"/>
  <c r="X135" i="7"/>
  <c r="S135" i="7"/>
  <c r="X1246" i="7"/>
  <c r="S1246" i="7"/>
  <c r="Y1246" i="7" s="1"/>
  <c r="S276" i="7"/>
  <c r="Y276" i="7" s="1"/>
  <c r="X276" i="7"/>
  <c r="X640" i="7"/>
  <c r="S640" i="7"/>
  <c r="Y640" i="7" s="1"/>
  <c r="X1230" i="7"/>
  <c r="S1230" i="7"/>
  <c r="Y1230" i="7" s="1"/>
  <c r="X920" i="7"/>
  <c r="S920" i="7"/>
  <c r="Y920" i="7" s="1"/>
  <c r="X770" i="7"/>
  <c r="S770" i="7"/>
  <c r="Y770" i="7" s="1"/>
  <c r="E139" i="8"/>
  <c r="Y477" i="7"/>
  <c r="F139" i="8" s="1"/>
  <c r="C45" i="8"/>
  <c r="W71" i="7"/>
  <c r="Y55" i="7"/>
  <c r="S623" i="7"/>
  <c r="Y623" i="7" s="1"/>
  <c r="X623" i="7"/>
  <c r="X1211" i="7"/>
  <c r="S1211" i="7"/>
  <c r="Y1211" i="7" s="1"/>
  <c r="E113" i="8"/>
  <c r="Y451" i="7"/>
  <c r="F113" i="8" s="1"/>
  <c r="D41" i="8"/>
  <c r="X67" i="7"/>
  <c r="S67" i="7"/>
  <c r="S643" i="7"/>
  <c r="Y643" i="7" s="1"/>
  <c r="X643" i="7"/>
  <c r="X1007" i="7"/>
  <c r="S1007" i="7"/>
  <c r="Y1007" i="7" s="1"/>
  <c r="X42" i="7"/>
  <c r="S42" i="7"/>
  <c r="Y42" i="7" s="1"/>
  <c r="S1282" i="7"/>
  <c r="Y1282" i="7" s="1"/>
  <c r="X1282" i="7"/>
  <c r="D171" i="8"/>
  <c r="X509" i="7"/>
  <c r="S509" i="7"/>
  <c r="X958" i="7"/>
  <c r="S958" i="7"/>
  <c r="Y958" i="7" s="1"/>
  <c r="X1330" i="7"/>
  <c r="S1330" i="7"/>
  <c r="Y1330" i="7" s="1"/>
  <c r="D176" i="8"/>
  <c r="S514" i="7"/>
  <c r="X514" i="7"/>
  <c r="X230" i="7"/>
  <c r="S230" i="7"/>
  <c r="Y230" i="7" s="1"/>
  <c r="C229" i="8"/>
  <c r="X1046" i="7"/>
  <c r="S1046" i="7"/>
  <c r="Y1046" i="7" s="1"/>
  <c r="S822" i="7"/>
  <c r="Y822" i="7" s="1"/>
  <c r="X822" i="7"/>
  <c r="X434" i="7"/>
  <c r="S434" i="7"/>
  <c r="Y434" i="7" s="1"/>
  <c r="S613" i="7"/>
  <c r="Y613" i="7" s="1"/>
  <c r="X613" i="7"/>
  <c r="S1150" i="7"/>
  <c r="Y1150" i="7" s="1"/>
  <c r="X1150" i="7"/>
  <c r="X924" i="7"/>
  <c r="S924" i="7"/>
  <c r="Y924" i="7" s="1"/>
  <c r="C75" i="8"/>
  <c r="S718" i="7"/>
  <c r="Y718" i="7" s="1"/>
  <c r="X718" i="7"/>
  <c r="S1327" i="7"/>
  <c r="Y1327" i="7" s="1"/>
  <c r="X1327" i="7"/>
  <c r="S315" i="7"/>
  <c r="Y315" i="7" s="1"/>
  <c r="X315" i="7"/>
  <c r="S854" i="7"/>
  <c r="Y854" i="7" s="1"/>
  <c r="X854" i="7"/>
  <c r="X941" i="7"/>
  <c r="S941" i="7"/>
  <c r="Y941" i="7" s="1"/>
  <c r="Y75" i="7"/>
  <c r="E154" i="8"/>
  <c r="Y492" i="7"/>
  <c r="F154" i="8" s="1"/>
  <c r="S1053" i="7"/>
  <c r="Y1053" i="7" s="1"/>
  <c r="X1053" i="7"/>
  <c r="C80" i="8"/>
  <c r="Y686" i="7"/>
  <c r="X642" i="7"/>
  <c r="S642" i="7"/>
  <c r="Y642" i="7" s="1"/>
  <c r="X402" i="7"/>
  <c r="S402" i="7"/>
  <c r="Y402" i="7" s="1"/>
  <c r="D206" i="8"/>
  <c r="X674" i="7"/>
  <c r="S674" i="7"/>
  <c r="X726" i="7"/>
  <c r="S726" i="7"/>
  <c r="Y726" i="7" s="1"/>
  <c r="E143" i="8"/>
  <c r="Y481" i="7"/>
  <c r="F143" i="8" s="1"/>
  <c r="X335" i="7"/>
  <c r="S335" i="7"/>
  <c r="Y335" i="7" s="1"/>
  <c r="C133" i="8"/>
  <c r="W471" i="7"/>
  <c r="C78" i="8"/>
  <c r="S1292" i="7"/>
  <c r="Y1292" i="7" s="1"/>
  <c r="X1292" i="7"/>
  <c r="X634" i="7"/>
  <c r="S634" i="7"/>
  <c r="Y634" i="7" s="1"/>
  <c r="X319" i="7"/>
  <c r="S319" i="7"/>
  <c r="Y319" i="7" s="1"/>
  <c r="X706" i="7"/>
  <c r="S706" i="7"/>
  <c r="Y706" i="7" s="1"/>
  <c r="S1129" i="7"/>
  <c r="Y1129" i="7" s="1"/>
  <c r="X1129" i="7"/>
  <c r="S120" i="7"/>
  <c r="Y120" i="7" s="1"/>
  <c r="D126" i="8"/>
  <c r="S464" i="7"/>
  <c r="X464" i="7"/>
  <c r="X1298" i="7"/>
  <c r="S1298" i="7"/>
  <c r="Y1298" i="7" s="1"/>
  <c r="X82" i="7"/>
  <c r="S82" i="7"/>
  <c r="Y82" i="7" s="1"/>
  <c r="C41" i="8"/>
  <c r="X1037" i="7"/>
  <c r="S1037" i="7"/>
  <c r="Y1037" i="7" s="1"/>
  <c r="S525" i="7"/>
  <c r="Y525" i="7" s="1"/>
  <c r="X525" i="7"/>
  <c r="D17" i="8"/>
  <c r="X17" i="7"/>
  <c r="S17" i="7"/>
  <c r="X250" i="7"/>
  <c r="S250" i="7"/>
  <c r="Y250" i="7" s="1"/>
  <c r="S1269" i="7"/>
  <c r="Y1269" i="7" s="1"/>
  <c r="X1269" i="7"/>
  <c r="X638" i="7"/>
  <c r="S638" i="7"/>
  <c r="Y638" i="7" s="1"/>
  <c r="S166" i="7"/>
  <c r="Y166" i="7" s="1"/>
  <c r="X166" i="7"/>
  <c r="X101" i="7"/>
  <c r="S101" i="7"/>
  <c r="Y101" i="7" s="1"/>
  <c r="S292" i="7"/>
  <c r="Y292" i="7" s="1"/>
  <c r="X292" i="7"/>
  <c r="S36" i="7"/>
  <c r="Y36" i="7" s="1"/>
  <c r="S1260" i="7"/>
  <c r="Y1260" i="7" s="1"/>
  <c r="X1260" i="7"/>
  <c r="C166" i="8"/>
  <c r="X631" i="7"/>
  <c r="S631" i="7"/>
  <c r="Y631" i="7" s="1"/>
  <c r="D44" i="8"/>
  <c r="S70" i="7"/>
  <c r="X70" i="7"/>
  <c r="X1119" i="7"/>
  <c r="S1119" i="7"/>
  <c r="Y1119" i="7" s="1"/>
  <c r="X1299" i="7"/>
  <c r="S1299" i="7"/>
  <c r="Y1299" i="7" s="1"/>
  <c r="Y692" i="7"/>
  <c r="S859" i="7"/>
  <c r="Y859" i="7" s="1"/>
  <c r="D9" i="8"/>
  <c r="S9" i="7"/>
  <c r="X9" i="7"/>
  <c r="X729" i="7"/>
  <c r="S729" i="7"/>
  <c r="Y729" i="7" s="1"/>
  <c r="X348" i="7"/>
  <c r="S348" i="7"/>
  <c r="Y348" i="7" s="1"/>
  <c r="C232" i="8"/>
  <c r="X1112" i="7"/>
  <c r="S1112" i="7"/>
  <c r="Y1112" i="7" s="1"/>
  <c r="X1286" i="7"/>
  <c r="S1286" i="7"/>
  <c r="Y1286" i="7" s="1"/>
  <c r="S111" i="7"/>
  <c r="Y111" i="7" s="1"/>
  <c r="X111" i="7"/>
  <c r="D2" i="8"/>
  <c r="S2" i="7"/>
  <c r="X2" i="7"/>
  <c r="X1096" i="7"/>
  <c r="S1096" i="7"/>
  <c r="Y1096" i="7" s="1"/>
  <c r="C107" i="8"/>
  <c r="W445" i="7"/>
  <c r="E119" i="8"/>
  <c r="Y457" i="7"/>
  <c r="F119" i="8" s="1"/>
  <c r="X978" i="7"/>
  <c r="S978" i="7"/>
  <c r="Y978" i="7" s="1"/>
  <c r="X1220" i="7"/>
  <c r="S1220" i="7"/>
  <c r="Y1220" i="7" s="1"/>
  <c r="X807" i="7"/>
  <c r="S807" i="7"/>
  <c r="Y807" i="7" s="1"/>
  <c r="D231" i="8"/>
  <c r="X956" i="7"/>
  <c r="S956" i="7"/>
  <c r="Y956" i="7" s="1"/>
  <c r="S532" i="7"/>
  <c r="Y532" i="7" s="1"/>
  <c r="X1040" i="7"/>
  <c r="S1040" i="7"/>
  <c r="Y1040" i="7" s="1"/>
  <c r="S126" i="7"/>
  <c r="Y126" i="7" s="1"/>
  <c r="X821" i="7"/>
  <c r="S821" i="7"/>
  <c r="Y821" i="7" s="1"/>
  <c r="S258" i="7"/>
  <c r="Y258" i="7" s="1"/>
  <c r="X258" i="7"/>
  <c r="S176" i="7"/>
  <c r="Y176" i="7" s="1"/>
  <c r="X176" i="7"/>
  <c r="C64" i="8"/>
  <c r="W142" i="7"/>
  <c r="X443" i="7"/>
  <c r="S443" i="7"/>
  <c r="Y443" i="7" s="1"/>
  <c r="S1195" i="7"/>
  <c r="Y1195" i="7" s="1"/>
  <c r="X1195" i="7"/>
  <c r="X48" i="7"/>
  <c r="S48" i="7"/>
  <c r="Y48" i="7" s="1"/>
  <c r="C28" i="8"/>
  <c r="X361" i="7"/>
  <c r="S361" i="7"/>
  <c r="Y361" i="7" s="1"/>
  <c r="X1302" i="7"/>
  <c r="S1302" i="7"/>
  <c r="Y1302" i="7" s="1"/>
  <c r="C167" i="8"/>
  <c r="X38" i="7"/>
  <c r="S38" i="7"/>
  <c r="Y38" i="7" s="1"/>
  <c r="S47" i="7"/>
  <c r="Y47" i="7" s="1"/>
  <c r="X47" i="7"/>
  <c r="X363" i="7"/>
  <c r="S363" i="7"/>
  <c r="Y363" i="7" s="1"/>
  <c r="X97" i="7"/>
  <c r="S97" i="7"/>
  <c r="Y97" i="7" s="1"/>
  <c r="X1068" i="7"/>
  <c r="S1068" i="7"/>
  <c r="Y1068" i="7" s="1"/>
  <c r="S582" i="7"/>
  <c r="Y582" i="7" s="1"/>
  <c r="X582" i="7"/>
  <c r="C58" i="8"/>
  <c r="X793" i="7"/>
  <c r="S793" i="7"/>
  <c r="Y793" i="7" s="1"/>
  <c r="C214" i="8"/>
  <c r="X914" i="7"/>
  <c r="S914" i="7"/>
  <c r="Y914" i="7" s="1"/>
  <c r="S267" i="7"/>
  <c r="Y267" i="7" s="1"/>
  <c r="X267" i="7"/>
  <c r="X1181" i="7"/>
  <c r="S1181" i="7"/>
  <c r="Y1181" i="7" s="1"/>
  <c r="C218" i="8"/>
  <c r="S824" i="7"/>
  <c r="Y824" i="7" s="1"/>
  <c r="X824" i="7"/>
  <c r="X923" i="7"/>
  <c r="S923" i="7"/>
  <c r="Y923" i="7" s="1"/>
  <c r="S1205" i="7"/>
  <c r="Y1205" i="7" s="1"/>
  <c r="X1205" i="7"/>
  <c r="C32" i="8"/>
  <c r="W58" i="7"/>
  <c r="X191" i="7"/>
  <c r="S191" i="7"/>
  <c r="Y191" i="7" s="1"/>
  <c r="Y697" i="7"/>
  <c r="X925" i="7"/>
  <c r="S925" i="7"/>
  <c r="Y925" i="7" s="1"/>
  <c r="X855" i="7"/>
  <c r="S855" i="7"/>
  <c r="Y855" i="7" s="1"/>
  <c r="X618" i="7"/>
  <c r="S618" i="7"/>
  <c r="Y618" i="7" s="1"/>
  <c r="X44" i="7"/>
  <c r="S44" i="7"/>
  <c r="Y44" i="7" s="1"/>
  <c r="D142" i="8"/>
  <c r="S480" i="7"/>
  <c r="X480" i="7"/>
  <c r="D107" i="8"/>
  <c r="X445" i="7"/>
  <c r="S445" i="7"/>
  <c r="C26" i="8"/>
  <c r="W26" i="7"/>
  <c r="C222" i="8"/>
  <c r="Y136" i="7"/>
  <c r="D16" i="8"/>
  <c r="X763" i="7"/>
  <c r="S763" i="7"/>
  <c r="Y763" i="7" s="1"/>
  <c r="D21" i="8"/>
  <c r="C231" i="8"/>
  <c r="X1132" i="7"/>
  <c r="S1132" i="7"/>
  <c r="Y1132" i="7" s="1"/>
  <c r="C31" i="8"/>
  <c r="Y71" i="7"/>
  <c r="X772" i="7"/>
  <c r="S772" i="7"/>
  <c r="Y772" i="7" s="1"/>
  <c r="X294" i="7"/>
  <c r="S294" i="7"/>
  <c r="Y294" i="7" s="1"/>
  <c r="Y681" i="7"/>
  <c r="S1056" i="7"/>
  <c r="Y1056" i="7" s="1"/>
  <c r="X1056" i="7"/>
  <c r="X849" i="7"/>
  <c r="S849" i="7"/>
  <c r="Y849" i="7" s="1"/>
  <c r="D23" i="8"/>
  <c r="X23" i="7"/>
  <c r="S23" i="7"/>
  <c r="X1092" i="7"/>
  <c r="S1092" i="7"/>
  <c r="Y1092" i="7" s="1"/>
  <c r="X602" i="7"/>
  <c r="S602" i="7"/>
  <c r="Y602" i="7" s="1"/>
  <c r="X326" i="7"/>
  <c r="S326" i="7"/>
  <c r="Y326" i="7" s="1"/>
  <c r="X876" i="7"/>
  <c r="S876" i="7"/>
  <c r="Y876" i="7" s="1"/>
  <c r="D86" i="8"/>
  <c r="X372" i="7"/>
  <c r="S372" i="7"/>
  <c r="D135" i="8"/>
  <c r="S473" i="7"/>
  <c r="X473" i="7"/>
  <c r="E150" i="8"/>
  <c r="Y488" i="7"/>
  <c r="F150" i="8" s="1"/>
  <c r="X318" i="7"/>
  <c r="S318" i="7"/>
  <c r="Y318" i="7" s="1"/>
  <c r="C36" i="8"/>
  <c r="W62" i="7"/>
  <c r="X1098" i="7"/>
  <c r="S1098" i="7"/>
  <c r="Y1098" i="7" s="1"/>
  <c r="X333" i="7"/>
  <c r="S333" i="7"/>
  <c r="Y333" i="7" s="1"/>
  <c r="S1335" i="7"/>
  <c r="Y1335" i="7" s="1"/>
  <c r="X1335" i="7"/>
  <c r="X167" i="7"/>
  <c r="S167" i="7"/>
  <c r="Y167" i="7" s="1"/>
  <c r="E153" i="8"/>
  <c r="Y491" i="7"/>
  <c r="F153" i="8" s="1"/>
  <c r="D88" i="8"/>
  <c r="X374" i="7"/>
  <c r="S374" i="7"/>
  <c r="S823" i="7"/>
  <c r="Y823" i="7" s="1"/>
  <c r="X823" i="7"/>
  <c r="X1116" i="7"/>
  <c r="S1116" i="7"/>
  <c r="Y1116" i="7" s="1"/>
  <c r="C117" i="8"/>
  <c r="W455" i="7"/>
  <c r="E118" i="8"/>
  <c r="Y456" i="7"/>
  <c r="F118" i="8" s="1"/>
  <c r="X1318" i="7"/>
  <c r="S1318" i="7"/>
  <c r="Y1318" i="7" s="1"/>
  <c r="X967" i="7"/>
  <c r="S967" i="7"/>
  <c r="Y967" i="7" s="1"/>
  <c r="S1109" i="7"/>
  <c r="Y1109" i="7" s="1"/>
  <c r="X1109" i="7"/>
  <c r="X347" i="7"/>
  <c r="S347" i="7"/>
  <c r="Y347" i="7" s="1"/>
  <c r="D213" i="8"/>
  <c r="X1243" i="7"/>
  <c r="S1243" i="7"/>
  <c r="Y1243" i="7" s="1"/>
  <c r="S577" i="7"/>
  <c r="Y577" i="7" s="1"/>
  <c r="X577" i="7"/>
  <c r="S870" i="7"/>
  <c r="Y870" i="7" s="1"/>
  <c r="X870" i="7"/>
  <c r="C96" i="8"/>
  <c r="X1058" i="7"/>
  <c r="S1058" i="7"/>
  <c r="Y1058" i="7" s="1"/>
  <c r="X1084" i="7"/>
  <c r="S1084" i="7"/>
  <c r="Y1084" i="7" s="1"/>
  <c r="S352" i="7"/>
  <c r="Y352" i="7" s="1"/>
  <c r="X352" i="7"/>
  <c r="C44" i="8"/>
  <c r="W70" i="7"/>
  <c r="X1080" i="7"/>
  <c r="S1080" i="7"/>
  <c r="Y1080" i="7" s="1"/>
  <c r="S1351" i="7"/>
  <c r="Y1351" i="7" s="1"/>
  <c r="X1351" i="7"/>
  <c r="X343" i="7"/>
  <c r="S343" i="7"/>
  <c r="Y343" i="7" s="1"/>
  <c r="S1263" i="7"/>
  <c r="Y1263" i="7" s="1"/>
  <c r="X1263" i="7"/>
  <c r="X987" i="7"/>
  <c r="S987" i="7"/>
  <c r="Y987" i="7" s="1"/>
  <c r="X199" i="7"/>
  <c r="S199" i="7"/>
  <c r="Y199" i="7" s="1"/>
  <c r="C3" i="8"/>
  <c r="W3" i="7"/>
  <c r="X937" i="7"/>
  <c r="S937" i="7"/>
  <c r="Y937" i="7" s="1"/>
  <c r="D140" i="8"/>
  <c r="S478" i="7"/>
  <c r="X478" i="7"/>
  <c r="X436" i="7"/>
  <c r="S436" i="7"/>
  <c r="Y436" i="7" s="1"/>
  <c r="X1291" i="7"/>
  <c r="S1291" i="7"/>
  <c r="Y1291" i="7" s="1"/>
  <c r="C91" i="8"/>
  <c r="D224" i="8"/>
  <c r="X234" i="7"/>
  <c r="S234" i="7"/>
  <c r="Y234" i="7" s="1"/>
  <c r="D149" i="8"/>
  <c r="S487" i="7"/>
  <c r="X487" i="7"/>
  <c r="S127" i="7"/>
  <c r="Y127" i="7" s="1"/>
  <c r="X127" i="7"/>
  <c r="X840" i="7"/>
  <c r="S840" i="7"/>
  <c r="Y840" i="7" s="1"/>
  <c r="X429" i="7"/>
  <c r="S429" i="7"/>
  <c r="Y429" i="7" s="1"/>
  <c r="E114" i="8"/>
  <c r="Y452" i="7"/>
  <c r="F114" i="8" s="1"/>
  <c r="Y682" i="7"/>
  <c r="X422" i="7"/>
  <c r="S422" i="7"/>
  <c r="Y422" i="7" s="1"/>
  <c r="D26" i="8"/>
  <c r="X26" i="7"/>
  <c r="S26" i="7"/>
  <c r="Y683" i="7"/>
  <c r="Y700" i="7"/>
  <c r="S64" i="7"/>
  <c r="X284" i="7"/>
  <c r="S284" i="7"/>
  <c r="Y284" i="7" s="1"/>
  <c r="S69" i="7"/>
  <c r="S806" i="7"/>
  <c r="Y806" i="7" s="1"/>
  <c r="X806" i="7"/>
  <c r="X909" i="7"/>
  <c r="S909" i="7"/>
  <c r="Y909" i="7" s="1"/>
  <c r="X712" i="7"/>
  <c r="S712" i="7"/>
  <c r="Y712" i="7" s="1"/>
  <c r="D131" i="8"/>
  <c r="S469" i="7"/>
  <c r="X469" i="7"/>
  <c r="X850" i="7"/>
  <c r="S850" i="7"/>
  <c r="Y850" i="7" s="1"/>
  <c r="X1055" i="7"/>
  <c r="S1055" i="7"/>
  <c r="Y1055" i="7" s="1"/>
  <c r="D117" i="8"/>
  <c r="S455" i="7"/>
  <c r="X455" i="7"/>
  <c r="S197" i="7"/>
  <c r="Y197" i="7" s="1"/>
  <c r="X197" i="7"/>
  <c r="D105" i="8"/>
  <c r="X391" i="7"/>
  <c r="S391" i="7"/>
  <c r="X413" i="7"/>
  <c r="S413" i="7"/>
  <c r="Y413" i="7" s="1"/>
  <c r="S251" i="7"/>
  <c r="Y251" i="7" s="1"/>
  <c r="X251" i="7"/>
  <c r="X777" i="7"/>
  <c r="S777" i="7"/>
  <c r="Y777" i="7" s="1"/>
  <c r="S531" i="7"/>
  <c r="Y531" i="7" s="1"/>
  <c r="X531" i="7"/>
  <c r="X115" i="7"/>
  <c r="S115" i="7"/>
  <c r="Y115" i="7" s="1"/>
  <c r="D13" i="8"/>
  <c r="S13" i="7"/>
  <c r="X13" i="7"/>
  <c r="D36" i="8"/>
  <c r="S62" i="7"/>
  <c r="X62" i="7"/>
  <c r="D180" i="8"/>
  <c r="S518" i="7"/>
  <c r="X518" i="7"/>
  <c r="X1089" i="7"/>
  <c r="S1089" i="7"/>
  <c r="Y1089" i="7" s="1"/>
  <c r="D201" i="8"/>
  <c r="S669" i="7"/>
  <c r="X669" i="7"/>
  <c r="X944" i="7"/>
  <c r="S944" i="7"/>
  <c r="Y944" i="7" s="1"/>
  <c r="C86" i="8"/>
  <c r="X828" i="7"/>
  <c r="S828" i="7"/>
  <c r="Y828" i="7" s="1"/>
  <c r="X259" i="7"/>
  <c r="S259" i="7"/>
  <c r="Y259" i="7" s="1"/>
  <c r="X1160" i="7"/>
  <c r="S1160" i="7"/>
  <c r="Y1160" i="7" s="1"/>
  <c r="X779" i="7"/>
  <c r="S779" i="7"/>
  <c r="Y779" i="7" s="1"/>
  <c r="X243" i="7"/>
  <c r="S243" i="7"/>
  <c r="Y243" i="7" s="1"/>
  <c r="X298" i="7"/>
  <c r="S298" i="7"/>
  <c r="Y298" i="7" s="1"/>
  <c r="X252" i="7"/>
  <c r="S252" i="7"/>
  <c r="Y252" i="7" s="1"/>
  <c r="X425" i="7"/>
  <c r="S425" i="7"/>
  <c r="Y425" i="7" s="1"/>
  <c r="S281" i="7"/>
  <c r="Y281" i="7" s="1"/>
  <c r="X281" i="7"/>
  <c r="S636" i="7"/>
  <c r="Y636" i="7" s="1"/>
  <c r="X636" i="7"/>
  <c r="X991" i="7"/>
  <c r="S991" i="7"/>
  <c r="Y991" i="7" s="1"/>
  <c r="X1239" i="7"/>
  <c r="S1239" i="7"/>
  <c r="Y1239" i="7" s="1"/>
  <c r="X1146" i="7"/>
  <c r="S1146" i="7"/>
  <c r="Y1146" i="7" s="1"/>
  <c r="X1122" i="7"/>
  <c r="S1122" i="7"/>
  <c r="Y1122" i="7" s="1"/>
  <c r="X735" i="7"/>
  <c r="S735" i="7"/>
  <c r="Y735" i="7" s="1"/>
  <c r="X1345" i="7"/>
  <c r="S1345" i="7"/>
  <c r="Y1345" i="7" s="1"/>
  <c r="S401" i="7"/>
  <c r="Y401" i="7" s="1"/>
  <c r="X401" i="7"/>
  <c r="Y691" i="7"/>
  <c r="X1135" i="7"/>
  <c r="S1135" i="7"/>
  <c r="Y1135" i="7" s="1"/>
  <c r="X296" i="7"/>
  <c r="S296" i="7"/>
  <c r="Y296" i="7" s="1"/>
  <c r="S588" i="7"/>
  <c r="Y588" i="7" s="1"/>
  <c r="X588" i="7"/>
  <c r="X881" i="7"/>
  <c r="S881" i="7"/>
  <c r="Y881" i="7" s="1"/>
  <c r="X1057" i="7"/>
  <c r="S1057" i="7"/>
  <c r="Y1057" i="7" s="1"/>
  <c r="S597" i="7"/>
  <c r="Y597" i="7" s="1"/>
  <c r="X597" i="7"/>
  <c r="X950" i="7"/>
  <c r="S950" i="7"/>
  <c r="Y950" i="7" s="1"/>
  <c r="E130" i="8"/>
  <c r="Y468" i="7"/>
  <c r="F130" i="8" s="1"/>
  <c r="X837" i="7"/>
  <c r="S837" i="7"/>
  <c r="Y837" i="7" s="1"/>
  <c r="X423" i="7"/>
  <c r="S423" i="7"/>
  <c r="Y423" i="7" s="1"/>
  <c r="X223" i="7"/>
  <c r="S223" i="7"/>
  <c r="Y223" i="7" s="1"/>
  <c r="C149" i="8"/>
  <c r="W487" i="7"/>
  <c r="X1283" i="7"/>
  <c r="S1283" i="7"/>
  <c r="Y1283" i="7" s="1"/>
  <c r="X99" i="7"/>
  <c r="S99" i="7"/>
  <c r="Y99" i="7" s="1"/>
  <c r="E147" i="8"/>
  <c r="Y485" i="7"/>
  <c r="F147" i="8" s="1"/>
  <c r="S249" i="7"/>
  <c r="Y249" i="7" s="1"/>
  <c r="X249" i="7"/>
  <c r="X162" i="7"/>
  <c r="S162" i="7"/>
  <c r="Y162" i="7" s="1"/>
  <c r="D55" i="8"/>
  <c r="X133" i="7"/>
  <c r="S133" i="7"/>
  <c r="X934" i="7"/>
  <c r="S934" i="7"/>
  <c r="Y934" i="7" s="1"/>
  <c r="X839" i="7"/>
  <c r="S839" i="7"/>
  <c r="Y839" i="7" s="1"/>
  <c r="D5" i="8"/>
  <c r="X5" i="7"/>
  <c r="S5" i="7"/>
  <c r="S181" i="7"/>
  <c r="Y181" i="7" s="1"/>
  <c r="X181" i="7"/>
  <c r="C20" i="8"/>
  <c r="D58" i="8"/>
  <c r="D46" i="8"/>
  <c r="X28" i="7"/>
  <c r="S28" i="7"/>
  <c r="Y28" i="7" s="1"/>
  <c r="D232" i="8"/>
  <c r="S102" i="7"/>
  <c r="Y102" i="7" s="1"/>
  <c r="X102" i="7"/>
  <c r="X1200" i="7"/>
  <c r="S1200" i="7"/>
  <c r="Y1200" i="7" s="1"/>
  <c r="D38" i="8"/>
  <c r="Y149" i="7"/>
  <c r="X1126" i="7"/>
  <c r="S1126" i="7"/>
  <c r="Y1126" i="7" s="1"/>
  <c r="X833" i="7"/>
  <c r="S833" i="7"/>
  <c r="Y833" i="7" s="1"/>
  <c r="X996" i="7"/>
  <c r="S996" i="7"/>
  <c r="Y996" i="7" s="1"/>
  <c r="C66" i="8"/>
  <c r="W144" i="7"/>
  <c r="S620" i="7"/>
  <c r="Y620" i="7" s="1"/>
  <c r="X620" i="7"/>
  <c r="S929" i="7"/>
  <c r="Y929" i="7" s="1"/>
  <c r="X929" i="7"/>
  <c r="D203" i="8"/>
  <c r="S671" i="7"/>
  <c r="X671" i="7"/>
  <c r="S1255" i="7"/>
  <c r="Y1255" i="7" s="1"/>
  <c r="X1255" i="7"/>
  <c r="X737" i="7"/>
  <c r="S737" i="7"/>
  <c r="Y737" i="7" s="1"/>
  <c r="X1117" i="7"/>
  <c r="S1117" i="7"/>
  <c r="Y1117" i="7" s="1"/>
  <c r="X255" i="7"/>
  <c r="S255" i="7"/>
  <c r="Y255" i="7" s="1"/>
  <c r="X239" i="7"/>
  <c r="S239" i="7"/>
  <c r="Y239" i="7" s="1"/>
  <c r="X791" i="7"/>
  <c r="S791" i="7"/>
  <c r="Y791" i="7" s="1"/>
  <c r="X193" i="7"/>
  <c r="S193" i="7"/>
  <c r="Y193" i="7" s="1"/>
  <c r="D221" i="8"/>
  <c r="X689" i="7"/>
  <c r="S689" i="7"/>
  <c r="S417" i="7"/>
  <c r="Y417" i="7" s="1"/>
  <c r="X417" i="7"/>
  <c r="S260" i="7"/>
  <c r="Y260" i="7" s="1"/>
  <c r="X260" i="7"/>
  <c r="S1170" i="7"/>
  <c r="Y1170" i="7" s="1"/>
  <c r="X1170" i="7"/>
  <c r="X948" i="7"/>
  <c r="S948" i="7"/>
  <c r="Y948" i="7" s="1"/>
  <c r="X1106" i="7"/>
  <c r="S1106" i="7"/>
  <c r="Y1106" i="7" s="1"/>
  <c r="X114" i="7"/>
  <c r="S114" i="7"/>
  <c r="Y114" i="7" s="1"/>
  <c r="S587" i="7"/>
  <c r="Y587" i="7" s="1"/>
  <c r="X587" i="7"/>
  <c r="D223" i="8"/>
  <c r="E138" i="8"/>
  <c r="Y476" i="7"/>
  <c r="F138" i="8" s="1"/>
  <c r="X1049" i="7"/>
  <c r="S1049" i="7"/>
  <c r="Y1049" i="7" s="1"/>
  <c r="S1280" i="7"/>
  <c r="Y1280" i="7" s="1"/>
  <c r="X1280" i="7"/>
  <c r="S815" i="7"/>
  <c r="Y815" i="7" s="1"/>
  <c r="X815" i="7"/>
  <c r="X248" i="7"/>
  <c r="S248" i="7"/>
  <c r="Y248" i="7" s="1"/>
  <c r="X586" i="7"/>
  <c r="S586" i="7"/>
  <c r="Y586" i="7" s="1"/>
  <c r="E192" i="8"/>
  <c r="Y660" i="7"/>
  <c r="F192" i="8" s="1"/>
  <c r="D63" i="8"/>
  <c r="S141" i="7"/>
  <c r="X141" i="7"/>
  <c r="X1328" i="7"/>
  <c r="S1328" i="7"/>
  <c r="Y1328" i="7" s="1"/>
  <c r="X574" i="7"/>
  <c r="S574" i="7"/>
  <c r="Y574" i="7" s="1"/>
  <c r="D170" i="8"/>
  <c r="X508" i="7"/>
  <c r="S508" i="7"/>
  <c r="C223" i="8"/>
  <c r="X339" i="7"/>
  <c r="S339" i="7"/>
  <c r="Y339" i="7" s="1"/>
  <c r="X982" i="7"/>
  <c r="S982" i="7"/>
  <c r="Y982" i="7" s="1"/>
  <c r="X1103" i="7"/>
  <c r="S1103" i="7"/>
  <c r="Y1103" i="7" s="1"/>
  <c r="Y695" i="7"/>
  <c r="C34" i="8"/>
  <c r="X1079" i="7"/>
  <c r="S1079" i="7"/>
  <c r="Y1079" i="7" s="1"/>
  <c r="Y684" i="7"/>
  <c r="C46" i="8"/>
  <c r="W72" i="7"/>
  <c r="D74" i="8"/>
  <c r="X152" i="7"/>
  <c r="S152" i="7"/>
  <c r="X129" i="7"/>
  <c r="S129" i="7"/>
  <c r="Y129" i="7" s="1"/>
  <c r="S119" i="7"/>
  <c r="Y119" i="7" s="1"/>
  <c r="C25" i="8"/>
  <c r="C8" i="8"/>
  <c r="S117" i="7"/>
  <c r="Y117" i="7" s="1"/>
  <c r="X271" i="7"/>
  <c r="S271" i="7"/>
  <c r="Y271" i="7" s="1"/>
  <c r="D6" i="8"/>
  <c r="C106" i="8"/>
  <c r="W444" i="7"/>
  <c r="S290" i="7"/>
  <c r="Y290" i="7" s="1"/>
  <c r="X290" i="7"/>
  <c r="C213" i="8"/>
  <c r="C79" i="8"/>
  <c r="W157" i="7"/>
  <c r="S893" i="7"/>
  <c r="Y893" i="7" s="1"/>
  <c r="X893" i="7"/>
  <c r="X992" i="7"/>
  <c r="S992" i="7"/>
  <c r="Y992" i="7" s="1"/>
  <c r="X1167" i="7"/>
  <c r="S1167" i="7"/>
  <c r="Y1167" i="7" s="1"/>
  <c r="C68" i="8"/>
  <c r="W146" i="7"/>
  <c r="C39" i="8"/>
  <c r="W65" i="7"/>
  <c r="S1352" i="7"/>
  <c r="Y1352" i="7" s="1"/>
  <c r="X1352" i="7"/>
  <c r="X851" i="7"/>
  <c r="S851" i="7"/>
  <c r="Y851" i="7" s="1"/>
  <c r="D226" i="8"/>
  <c r="X694" i="7"/>
  <c r="S694" i="7"/>
  <c r="S226" i="7"/>
  <c r="Y226" i="7" s="1"/>
  <c r="X226" i="7"/>
  <c r="X1322" i="7"/>
  <c r="S1322" i="7"/>
  <c r="Y1322" i="7" s="1"/>
  <c r="X397" i="7"/>
  <c r="S397" i="7"/>
  <c r="Y397" i="7" s="1"/>
  <c r="X936" i="7"/>
  <c r="S936" i="7"/>
  <c r="Y936" i="7" s="1"/>
  <c r="S424" i="7"/>
  <c r="Y424" i="7" s="1"/>
  <c r="X424" i="7"/>
  <c r="X1033" i="7"/>
  <c r="S1033" i="7"/>
  <c r="Y1033" i="7" s="1"/>
  <c r="S810" i="7"/>
  <c r="Y810" i="7" s="1"/>
  <c r="X810" i="7"/>
  <c r="X639" i="7"/>
  <c r="S639" i="7"/>
  <c r="Y639" i="7" s="1"/>
  <c r="X406" i="7"/>
  <c r="S406" i="7"/>
  <c r="Y406" i="7" s="1"/>
  <c r="X1258" i="7"/>
  <c r="S1258" i="7"/>
  <c r="Y1258" i="7" s="1"/>
  <c r="C146" i="8"/>
  <c r="W484" i="7"/>
  <c r="S1343" i="7"/>
  <c r="Y1343" i="7" s="1"/>
  <c r="X1343" i="7"/>
  <c r="S93" i="7"/>
  <c r="Y93" i="7" s="1"/>
  <c r="X93" i="7"/>
  <c r="S650" i="7"/>
  <c r="Y650" i="7" s="1"/>
  <c r="X650" i="7"/>
  <c r="X1340" i="7"/>
  <c r="S1340" i="7"/>
  <c r="Y1340" i="7" s="1"/>
  <c r="S813" i="7"/>
  <c r="Y813" i="7" s="1"/>
  <c r="X813" i="7"/>
  <c r="C155" i="8"/>
  <c r="W493" i="7"/>
  <c r="D110" i="8"/>
  <c r="S448" i="7"/>
  <c r="X448" i="7"/>
  <c r="X1279" i="7"/>
  <c r="S1279" i="7"/>
  <c r="Y1279" i="7" s="1"/>
  <c r="X1342" i="7"/>
  <c r="S1342" i="7"/>
  <c r="Y1342" i="7" s="1"/>
  <c r="E109" i="8"/>
  <c r="Y447" i="7"/>
  <c r="F109" i="8" s="1"/>
  <c r="X106" i="7"/>
  <c r="S106" i="7"/>
  <c r="Y106" i="7" s="1"/>
  <c r="C159" i="8"/>
  <c r="C175" i="8"/>
  <c r="S1190" i="7"/>
  <c r="Y1190" i="7" s="1"/>
  <c r="X1190" i="7"/>
  <c r="X1326" i="7"/>
  <c r="S1326" i="7"/>
  <c r="Y1326" i="7" s="1"/>
  <c r="D188" i="8"/>
  <c r="X656" i="7"/>
  <c r="S656" i="7"/>
  <c r="X957" i="7"/>
  <c r="S957" i="7"/>
  <c r="Y957" i="7" s="1"/>
  <c r="X1344" i="7"/>
  <c r="S1344" i="7"/>
  <c r="Y1344" i="7" s="1"/>
  <c r="X724" i="7"/>
  <c r="S724" i="7"/>
  <c r="Y724" i="7" s="1"/>
  <c r="X184" i="7"/>
  <c r="S184" i="7"/>
  <c r="Y184" i="7" s="1"/>
  <c r="X365" i="7"/>
  <c r="S365" i="7"/>
  <c r="Y365" i="7" s="1"/>
  <c r="X719" i="7"/>
  <c r="S719" i="7"/>
  <c r="Y719" i="7" s="1"/>
  <c r="X1349" i="7"/>
  <c r="S1349" i="7"/>
  <c r="Y1349" i="7" s="1"/>
  <c r="C10" i="8"/>
  <c r="W10" i="7"/>
  <c r="X312" i="7"/>
  <c r="S312" i="7"/>
  <c r="Y312" i="7" s="1"/>
  <c r="X163" i="7"/>
  <c r="S163" i="7"/>
  <c r="Y163" i="7" s="1"/>
  <c r="X1144" i="7"/>
  <c r="S1144" i="7"/>
  <c r="Y1144" i="7" s="1"/>
  <c r="X208" i="7"/>
  <c r="S208" i="7"/>
  <c r="Y208" i="7" s="1"/>
  <c r="C6" i="8"/>
  <c r="W6" i="7"/>
  <c r="X985" i="7"/>
  <c r="S985" i="7"/>
  <c r="Y985" i="7" s="1"/>
  <c r="X323" i="7"/>
  <c r="S323" i="7"/>
  <c r="Y323" i="7" s="1"/>
  <c r="X846" i="7"/>
  <c r="S846" i="7"/>
  <c r="Y846" i="7" s="1"/>
  <c r="X411" i="7"/>
  <c r="S411" i="7"/>
  <c r="Y411" i="7" s="1"/>
  <c r="X1262" i="7"/>
  <c r="S1262" i="7"/>
  <c r="Y1262" i="7" s="1"/>
  <c r="C179" i="8"/>
  <c r="W517" i="7"/>
  <c r="D216" i="8"/>
  <c r="X178" i="7"/>
  <c r="S178" i="7"/>
  <c r="Y178" i="7" s="1"/>
  <c r="D181" i="8"/>
  <c r="S519" i="7"/>
  <c r="X519" i="7"/>
  <c r="X404" i="7"/>
  <c r="S404" i="7"/>
  <c r="Y404" i="7" s="1"/>
  <c r="E151" i="8"/>
  <c r="Y489" i="7"/>
  <c r="F151" i="8" s="1"/>
  <c r="X1172" i="7"/>
  <c r="S1172" i="7"/>
  <c r="Y1172" i="7" s="1"/>
  <c r="S538" i="7"/>
  <c r="Y538" i="7" s="1"/>
  <c r="X538" i="7"/>
  <c r="S355" i="7"/>
  <c r="Y355" i="7" s="1"/>
  <c r="X355" i="7"/>
  <c r="D106" i="8"/>
  <c r="X444" i="7"/>
  <c r="S444" i="7"/>
  <c r="X108" i="7"/>
  <c r="S108" i="7"/>
  <c r="Y108" i="7" s="1"/>
  <c r="C219" i="8"/>
  <c r="S110" i="7"/>
  <c r="Y110" i="7" s="1"/>
  <c r="D25" i="8"/>
  <c r="S25" i="7"/>
  <c r="X25" i="7"/>
  <c r="X53" i="7"/>
  <c r="S53" i="7"/>
  <c r="Y53" i="7" s="1"/>
  <c r="S1052" i="7"/>
  <c r="Y1052" i="7" s="1"/>
  <c r="X1052" i="7"/>
  <c r="X874" i="7"/>
  <c r="S874" i="7"/>
  <c r="Y874" i="7" s="1"/>
  <c r="X1108" i="7"/>
  <c r="S1108" i="7"/>
  <c r="Y1108" i="7" s="1"/>
  <c r="S1175" i="7"/>
  <c r="Y1175" i="7" s="1"/>
  <c r="X1175" i="7"/>
  <c r="X1066" i="7"/>
  <c r="S1066" i="7"/>
  <c r="Y1066" i="7" s="1"/>
  <c r="E146" i="8"/>
  <c r="Y484" i="7"/>
  <c r="F146" i="8" s="1"/>
  <c r="D54" i="8"/>
  <c r="S132" i="7"/>
  <c r="X132" i="7"/>
  <c r="S412" i="7"/>
  <c r="Y412" i="7" s="1"/>
  <c r="X412" i="7"/>
  <c r="S188" i="7"/>
  <c r="Y188" i="7" s="1"/>
  <c r="X188" i="7"/>
  <c r="X1324" i="7"/>
  <c r="S1324" i="7"/>
  <c r="Y1324" i="7" s="1"/>
  <c r="S1088" i="7"/>
  <c r="Y1088" i="7" s="1"/>
  <c r="X1088" i="7"/>
  <c r="X1332" i="7"/>
  <c r="S1332" i="7"/>
  <c r="Y1332" i="7" s="1"/>
  <c r="X407" i="7"/>
  <c r="S407" i="7"/>
  <c r="Y407" i="7" s="1"/>
  <c r="S605" i="7"/>
  <c r="Y605" i="7" s="1"/>
  <c r="X605" i="7"/>
  <c r="X359" i="7"/>
  <c r="S359" i="7"/>
  <c r="Y359" i="7" s="1"/>
  <c r="E145" i="8"/>
  <c r="Y483" i="7"/>
  <c r="F145" i="8" s="1"/>
  <c r="X756" i="7"/>
  <c r="S756" i="7"/>
  <c r="Y756" i="7" s="1"/>
  <c r="C19" i="8"/>
  <c r="W19" i="7"/>
  <c r="X238" i="7"/>
  <c r="S238" i="7"/>
  <c r="Y238" i="7" s="1"/>
  <c r="E116" i="8"/>
  <c r="Y454" i="7"/>
  <c r="F116" i="8" s="1"/>
  <c r="X1073" i="7"/>
  <c r="S1073" i="7"/>
  <c r="Y1073" i="7" s="1"/>
  <c r="D194" i="8"/>
  <c r="X662" i="7"/>
  <c r="S662" i="7"/>
  <c r="S172" i="7"/>
  <c r="Y172" i="7" s="1"/>
  <c r="X172" i="7"/>
  <c r="X962" i="7"/>
  <c r="S962" i="7"/>
  <c r="Y962" i="7" s="1"/>
  <c r="D187" i="8"/>
  <c r="X655" i="7"/>
  <c r="S655" i="7"/>
  <c r="X900" i="7"/>
  <c r="S900" i="7"/>
  <c r="Y900" i="7" s="1"/>
  <c r="X1054" i="7"/>
  <c r="S1054" i="7"/>
  <c r="Y1054" i="7" s="1"/>
  <c r="X1334" i="7"/>
  <c r="S1334" i="7"/>
  <c r="Y1334" i="7" s="1"/>
  <c r="D155" i="8"/>
  <c r="X493" i="7"/>
  <c r="S493" i="7"/>
  <c r="C62" i="8"/>
  <c r="C110" i="8"/>
  <c r="W448" i="7"/>
  <c r="C178" i="8"/>
  <c r="X307" i="7"/>
  <c r="S307" i="7"/>
  <c r="Y307" i="7" s="1"/>
  <c r="X745" i="7"/>
  <c r="S745" i="7"/>
  <c r="Y745" i="7" s="1"/>
  <c r="S1118" i="7"/>
  <c r="Y1118" i="7" s="1"/>
  <c r="X1118" i="7"/>
  <c r="X1300" i="7"/>
  <c r="S1300" i="7"/>
  <c r="Y1300" i="7" s="1"/>
  <c r="S121" i="7"/>
  <c r="Y121" i="7" s="1"/>
  <c r="S272" i="7"/>
  <c r="Y272" i="7" s="1"/>
  <c r="X272" i="7"/>
  <c r="X902" i="7"/>
  <c r="S902" i="7"/>
  <c r="Y902" i="7" s="1"/>
  <c r="S274" i="7"/>
  <c r="Y274" i="7" s="1"/>
  <c r="X274" i="7"/>
  <c r="X293" i="7"/>
  <c r="S293" i="7"/>
  <c r="Y293" i="7" s="1"/>
  <c r="E122" i="8"/>
  <c r="Y460" i="7"/>
  <c r="F122" i="8" s="1"/>
  <c r="X1236" i="7"/>
  <c r="S1236" i="7"/>
  <c r="Y1236" i="7" s="1"/>
  <c r="X715" i="7"/>
  <c r="S715" i="7"/>
  <c r="Y715" i="7" s="1"/>
  <c r="X953" i="7"/>
  <c r="S953" i="7"/>
  <c r="Y953" i="7" s="1"/>
  <c r="X759" i="7"/>
  <c r="S759" i="7"/>
  <c r="Y759" i="7" s="1"/>
  <c r="S1337" i="7"/>
  <c r="Y1337" i="7" s="1"/>
  <c r="X1337" i="7"/>
  <c r="X1148" i="7"/>
  <c r="S1148" i="7"/>
  <c r="Y1148" i="7" s="1"/>
  <c r="D79" i="8"/>
  <c r="S157" i="7"/>
  <c r="X157" i="7"/>
  <c r="X1281" i="7"/>
  <c r="S1281" i="7"/>
  <c r="Y1281" i="7" s="1"/>
  <c r="X977" i="7"/>
  <c r="S977" i="7"/>
  <c r="Y977" i="7" s="1"/>
  <c r="S1077" i="7"/>
  <c r="Y1077" i="7" s="1"/>
  <c r="X1077" i="7"/>
  <c r="D193" i="8"/>
  <c r="S661" i="7"/>
  <c r="X661" i="7"/>
  <c r="X758" i="7"/>
  <c r="S758" i="7"/>
  <c r="Y758" i="7" s="1"/>
  <c r="D10" i="8"/>
  <c r="X10" i="7"/>
  <c r="S10" i="7"/>
  <c r="X814" i="7"/>
  <c r="S814" i="7"/>
  <c r="Y814" i="7" s="1"/>
  <c r="X168" i="7"/>
  <c r="S168" i="7"/>
  <c r="Y168" i="7" s="1"/>
  <c r="C120" i="8"/>
  <c r="W458" i="7"/>
  <c r="C227" i="8"/>
  <c r="C9" i="8"/>
  <c r="W9" i="7"/>
  <c r="X856" i="7"/>
  <c r="S856" i="7"/>
  <c r="Y856" i="7" s="1"/>
  <c r="X420" i="7"/>
  <c r="S420" i="7"/>
  <c r="Y420" i="7" s="1"/>
  <c r="D3" i="8"/>
  <c r="X3" i="7"/>
  <c r="S3" i="7"/>
  <c r="S123" i="7"/>
  <c r="Y123" i="7" s="1"/>
  <c r="X1044" i="7"/>
  <c r="S1044" i="7"/>
  <c r="Y1044" i="7" s="1"/>
  <c r="S1331" i="7"/>
  <c r="Y1331" i="7" s="1"/>
  <c r="X1331" i="7"/>
  <c r="X1275" i="7"/>
  <c r="S1275" i="7"/>
  <c r="Y1275" i="7" s="1"/>
  <c r="D179" i="8"/>
  <c r="X517" i="7"/>
  <c r="S517" i="7"/>
  <c r="D93" i="8"/>
  <c r="X379" i="7"/>
  <c r="S379" i="7"/>
  <c r="X395" i="7"/>
  <c r="S395" i="7"/>
  <c r="Y395" i="7" s="1"/>
  <c r="S1341" i="7"/>
  <c r="Y1341" i="7" s="1"/>
  <c r="X1341" i="7"/>
  <c r="S275" i="7"/>
  <c r="Y275" i="7" s="1"/>
  <c r="X275" i="7"/>
  <c r="C4" i="8"/>
  <c r="W4" i="7"/>
  <c r="C177" i="8"/>
  <c r="W515" i="7"/>
  <c r="S61" i="7"/>
  <c r="E50" i="8"/>
  <c r="Y76" i="7"/>
  <c r="S125" i="7"/>
  <c r="Y125" i="7" s="1"/>
  <c r="X1100" i="7"/>
  <c r="S1100" i="7"/>
  <c r="Y1100" i="7" s="1"/>
  <c r="S861" i="7"/>
  <c r="Y861" i="7" s="1"/>
  <c r="X861" i="7"/>
  <c r="S596" i="7"/>
  <c r="Y596" i="7" s="1"/>
  <c r="X596" i="7"/>
  <c r="S196" i="7"/>
  <c r="Y196" i="7" s="1"/>
  <c r="X196" i="7"/>
  <c r="S611" i="7"/>
  <c r="Y611" i="7" s="1"/>
  <c r="X611" i="7"/>
  <c r="S641" i="7"/>
  <c r="Y641" i="7" s="1"/>
  <c r="X641" i="7"/>
  <c r="E121" i="8"/>
  <c r="Y459" i="7"/>
  <c r="F121" i="8" s="1"/>
  <c r="X1270" i="7"/>
  <c r="S1270" i="7"/>
  <c r="Y1270" i="7" s="1"/>
  <c r="S217" i="7"/>
  <c r="Y217" i="7" s="1"/>
  <c r="X217" i="7"/>
  <c r="X220" i="7"/>
  <c r="S220" i="7"/>
  <c r="Y220" i="7" s="1"/>
  <c r="D199" i="8"/>
  <c r="X667" i="7"/>
  <c r="S667" i="7"/>
  <c r="X1265" i="7"/>
  <c r="S1265" i="7"/>
  <c r="Y1265" i="7" s="1"/>
  <c r="X268" i="7"/>
  <c r="S268" i="7"/>
  <c r="Y268" i="7" s="1"/>
  <c r="X159" i="7"/>
  <c r="S159" i="7"/>
  <c r="Y159" i="7" s="1"/>
  <c r="X415" i="7"/>
  <c r="S415" i="7"/>
  <c r="Y415" i="7" s="1"/>
  <c r="Y687" i="7"/>
  <c r="S1329" i="7"/>
  <c r="Y1329" i="7" s="1"/>
  <c r="X1329" i="7"/>
  <c r="S630" i="7"/>
  <c r="Y630" i="7" s="1"/>
  <c r="X630" i="7"/>
  <c r="D39" i="8"/>
  <c r="X65" i="7"/>
  <c r="S65" i="7"/>
  <c r="X610" i="7"/>
  <c r="S610" i="7"/>
  <c r="Y610" i="7" s="1"/>
  <c r="X325" i="7"/>
  <c r="S325" i="7"/>
  <c r="Y325" i="7" s="1"/>
  <c r="X858" i="7"/>
  <c r="S858" i="7"/>
  <c r="Y858" i="7" s="1"/>
  <c r="E15" i="8"/>
  <c r="Y15" i="7"/>
  <c r="F15" i="8" s="1"/>
  <c r="C40" i="8"/>
  <c r="W66" i="7"/>
  <c r="X1241" i="7"/>
  <c r="S1241" i="7"/>
  <c r="Y1241" i="7" s="1"/>
  <c r="X341" i="7"/>
  <c r="S341" i="7"/>
  <c r="Y341" i="7" s="1"/>
  <c r="D190" i="8"/>
  <c r="X658" i="7"/>
  <c r="S658" i="7"/>
  <c r="S183" i="7"/>
  <c r="Y183" i="7" s="1"/>
  <c r="X183" i="7"/>
  <c r="X1197" i="7"/>
  <c r="S1197" i="7"/>
  <c r="Y1197" i="7" s="1"/>
  <c r="S627" i="7"/>
  <c r="Y627" i="7" s="1"/>
  <c r="X627" i="7"/>
  <c r="D68" i="8"/>
  <c r="X146" i="7"/>
  <c r="S146" i="7"/>
  <c r="D196" i="8"/>
  <c r="X664" i="7"/>
  <c r="S664" i="7"/>
  <c r="X955" i="7"/>
  <c r="S955" i="7"/>
  <c r="Y955" i="7" s="1"/>
  <c r="X51" i="7"/>
  <c r="S51" i="7"/>
  <c r="Y51" i="7" s="1"/>
  <c r="E144" i="8"/>
  <c r="Y482" i="7"/>
  <c r="F144" i="8" s="1"/>
  <c r="D31" i="8"/>
  <c r="X57" i="7"/>
  <c r="S57" i="7"/>
  <c r="S604" i="7"/>
  <c r="Y604" i="7" s="1"/>
  <c r="X604" i="7"/>
  <c r="X311" i="7"/>
  <c r="S311" i="7"/>
  <c r="Y311" i="7" s="1"/>
  <c r="X1314" i="7"/>
  <c r="S1314" i="7"/>
  <c r="Y1314" i="7" s="1"/>
  <c r="X170" i="7"/>
  <c r="S170" i="7"/>
  <c r="Y170" i="7" s="1"/>
  <c r="X860" i="7"/>
  <c r="S860" i="7"/>
  <c r="Y860" i="7" s="1"/>
  <c r="D70" i="8"/>
  <c r="S148" i="7"/>
  <c r="X148" i="7"/>
  <c r="S629" i="7"/>
  <c r="Y629" i="7" s="1"/>
  <c r="X629" i="7"/>
  <c r="S709" i="7"/>
  <c r="Y709" i="7" s="1"/>
  <c r="X709" i="7"/>
  <c r="S283" i="7"/>
  <c r="Y283" i="7" s="1"/>
  <c r="X283" i="7"/>
  <c r="S794" i="7"/>
  <c r="Y794" i="7" s="1"/>
  <c r="X794" i="7"/>
  <c r="Y703" i="7"/>
  <c r="X1085" i="7"/>
  <c r="S1085" i="7"/>
  <c r="Y1085" i="7" s="1"/>
  <c r="S1093" i="7"/>
  <c r="Y1093" i="7" s="1"/>
  <c r="X1093" i="7"/>
  <c r="D209" i="8"/>
  <c r="S677" i="7"/>
  <c r="X677" i="7"/>
  <c r="C14" i="8"/>
  <c r="W14" i="7"/>
  <c r="C55" i="8"/>
  <c r="W133" i="7"/>
  <c r="X409" i="7"/>
  <c r="S409" i="7"/>
  <c r="Y409" i="7" s="1"/>
  <c r="D4" i="8"/>
  <c r="S4" i="7"/>
  <c r="X4" i="7"/>
  <c r="X708" i="7"/>
  <c r="S708" i="7"/>
  <c r="Y708" i="7" s="1"/>
  <c r="X862" i="7"/>
  <c r="S862" i="7"/>
  <c r="Y862" i="7" s="1"/>
  <c r="S435" i="7"/>
  <c r="Y435" i="7" s="1"/>
  <c r="X435" i="7"/>
  <c r="X932" i="7"/>
  <c r="S932" i="7"/>
  <c r="Y932" i="7" s="1"/>
  <c r="S107" i="7"/>
  <c r="Y107" i="7" s="1"/>
  <c r="E125" i="8"/>
  <c r="Y463" i="7"/>
  <c r="F125" i="8" s="1"/>
  <c r="X1064" i="7"/>
  <c r="S1064" i="7"/>
  <c r="Y1064" i="7" s="1"/>
  <c r="S308" i="7"/>
  <c r="Y308" i="7" s="1"/>
  <c r="X308" i="7"/>
  <c r="S40" i="7"/>
  <c r="Y40" i="7" s="1"/>
  <c r="X40" i="7"/>
  <c r="X179" i="7"/>
  <c r="S179" i="7"/>
  <c r="Y179" i="7" s="1"/>
  <c r="C100" i="8"/>
  <c r="W386" i="7"/>
  <c r="D197" i="8"/>
  <c r="X665" i="7"/>
  <c r="S665" i="7"/>
  <c r="X591" i="7"/>
  <c r="S591" i="7"/>
  <c r="Y591" i="7" s="1"/>
  <c r="X81" i="7"/>
  <c r="S81" i="7"/>
  <c r="Y81" i="7" s="1"/>
  <c r="D165" i="8"/>
  <c r="S503" i="7"/>
  <c r="X503" i="7"/>
  <c r="X405" i="7"/>
  <c r="S405" i="7"/>
  <c r="Y405" i="7" s="1"/>
  <c r="X1346" i="7"/>
  <c r="S1346" i="7"/>
  <c r="Y1346" i="7" s="1"/>
  <c r="S1251" i="7"/>
  <c r="Y1251" i="7" s="1"/>
  <c r="X1251" i="7"/>
  <c r="X287" i="7"/>
  <c r="S287" i="7"/>
  <c r="Y287" i="7" s="1"/>
  <c r="Y496" i="7"/>
  <c r="F158" i="8" s="1"/>
  <c r="X1003" i="7"/>
  <c r="S1003" i="7"/>
  <c r="Y1003" i="7" s="1"/>
  <c r="X848" i="7"/>
  <c r="S848" i="7"/>
  <c r="Y848" i="7" s="1"/>
  <c r="C42" i="8"/>
  <c r="D177" i="8"/>
  <c r="S515" i="7"/>
  <c r="X515" i="7"/>
  <c r="X523" i="7"/>
  <c r="S523" i="7"/>
  <c r="Y523" i="7" s="1"/>
  <c r="S439" i="7"/>
  <c r="Y439" i="7" s="1"/>
  <c r="X439" i="7"/>
  <c r="E65" i="8"/>
  <c r="Y143" i="7"/>
  <c r="F65" i="8" s="1"/>
  <c r="X768" i="7"/>
  <c r="S768" i="7"/>
  <c r="Y768" i="7" s="1"/>
  <c r="C23" i="8"/>
  <c r="W23" i="7"/>
  <c r="X1191" i="7"/>
  <c r="S1191" i="7"/>
  <c r="Y1191" i="7" s="1"/>
  <c r="C16" i="8"/>
  <c r="W16" i="7"/>
  <c r="X761" i="7"/>
  <c r="S761" i="7"/>
  <c r="Y761" i="7" s="1"/>
  <c r="D141" i="8"/>
  <c r="X479" i="7"/>
  <c r="S479" i="7"/>
  <c r="X1087" i="7"/>
  <c r="S1087" i="7"/>
  <c r="Y1087" i="7" s="1"/>
  <c r="D75" i="8"/>
  <c r="X153" i="7"/>
  <c r="S153" i="7"/>
  <c r="S426" i="7"/>
  <c r="Y426" i="7" s="1"/>
  <c r="X426" i="7"/>
  <c r="C183" i="8"/>
  <c r="W521" i="7"/>
  <c r="X1323" i="7"/>
  <c r="S1323" i="7"/>
  <c r="Y1323" i="7" s="1"/>
  <c r="S256" i="7"/>
  <c r="Y256" i="7" s="1"/>
  <c r="X256" i="7"/>
  <c r="X43" i="7"/>
  <c r="S43" i="7"/>
  <c r="Y43" i="7" s="1"/>
  <c r="C199" i="8"/>
  <c r="W667" i="7"/>
  <c r="X158" i="7"/>
  <c r="S158" i="7"/>
  <c r="Y158" i="7" s="1"/>
  <c r="S205" i="7"/>
  <c r="Y205" i="7" s="1"/>
  <c r="X205" i="7"/>
  <c r="D191" i="8"/>
  <c r="X659" i="7"/>
  <c r="S659" i="7"/>
  <c r="X280" i="7"/>
  <c r="S280" i="7"/>
  <c r="Y280" i="7" s="1"/>
  <c r="C21" i="8"/>
  <c r="W21" i="7"/>
  <c r="X1336" i="7"/>
  <c r="S1336" i="7"/>
  <c r="Y1336" i="7" s="1"/>
  <c r="S1267" i="7"/>
  <c r="Y1267" i="7" s="1"/>
  <c r="X1267" i="7"/>
  <c r="X907" i="7"/>
  <c r="S907" i="7"/>
  <c r="Y907" i="7" s="1"/>
  <c r="S344" i="7"/>
  <c r="Y344" i="7" s="1"/>
  <c r="X344" i="7"/>
  <c r="X1320" i="7"/>
  <c r="S1320" i="7"/>
  <c r="Y1320" i="7" s="1"/>
  <c r="S128" i="7"/>
  <c r="Y128" i="7" s="1"/>
  <c r="X128" i="7"/>
  <c r="X896" i="7"/>
  <c r="S896" i="7"/>
  <c r="Y896" i="7" s="1"/>
  <c r="C81" i="8"/>
  <c r="W367" i="7"/>
  <c r="X1091" i="7"/>
  <c r="S1091" i="7"/>
  <c r="Y1091" i="7" s="1"/>
  <c r="X940" i="7"/>
  <c r="S940" i="7"/>
  <c r="Y940" i="7" s="1"/>
  <c r="C76" i="8"/>
  <c r="X440" i="7"/>
  <c r="S440" i="7"/>
  <c r="Y440" i="7" s="1"/>
  <c r="X603" i="7"/>
  <c r="S603" i="7"/>
  <c r="Y603" i="7" s="1"/>
  <c r="S1319" i="7"/>
  <c r="Y1319" i="7" s="1"/>
  <c r="X1319" i="7"/>
  <c r="S886" i="7"/>
  <c r="Y886" i="7" s="1"/>
  <c r="X886" i="7"/>
  <c r="D207" i="8"/>
  <c r="X675" i="7"/>
  <c r="S675" i="7"/>
  <c r="D96" i="8"/>
  <c r="X382" i="7"/>
  <c r="S382" i="7"/>
  <c r="D101" i="8"/>
  <c r="S387" i="7"/>
  <c r="X387" i="7"/>
  <c r="S219" i="7"/>
  <c r="Y219" i="7" s="1"/>
  <c r="X219" i="7"/>
  <c r="S1111" i="7"/>
  <c r="Y1111" i="7" s="1"/>
  <c r="X1111" i="7"/>
  <c r="X869" i="7"/>
  <c r="S869" i="7"/>
  <c r="Y869" i="7" s="1"/>
  <c r="C163" i="8"/>
  <c r="S1060" i="7"/>
  <c r="Y1060" i="7" s="1"/>
  <c r="X1060" i="7"/>
  <c r="D14" i="8"/>
  <c r="X14" i="7"/>
  <c r="S14" i="7"/>
  <c r="E134" i="8"/>
  <c r="Y472" i="7"/>
  <c r="F134" i="8" s="1"/>
  <c r="X1304" i="7"/>
  <c r="S1304" i="7"/>
  <c r="Y1304" i="7" s="1"/>
  <c r="X727" i="7"/>
  <c r="S727" i="7"/>
  <c r="Y727" i="7" s="1"/>
  <c r="X872" i="7"/>
  <c r="S872" i="7"/>
  <c r="Y872" i="7" s="1"/>
  <c r="X85" i="7"/>
  <c r="S85" i="7"/>
  <c r="Y85" i="7" s="1"/>
  <c r="Y690" i="7"/>
  <c r="X1042" i="7"/>
  <c r="S1042" i="7"/>
  <c r="Y1042" i="7" s="1"/>
  <c r="D72" i="8"/>
  <c r="S150" i="7"/>
  <c r="X150" i="7"/>
  <c r="X921" i="7"/>
  <c r="S921" i="7"/>
  <c r="Y921" i="7" s="1"/>
  <c r="S767" i="7"/>
  <c r="Y767" i="7" s="1"/>
  <c r="X767" i="7"/>
  <c r="D91" i="8"/>
  <c r="X377" i="7"/>
  <c r="S377" i="7"/>
  <c r="S164" i="7"/>
  <c r="Y164" i="7" s="1"/>
  <c r="X164" i="7"/>
  <c r="X103" i="7"/>
  <c r="S103" i="7"/>
  <c r="Y103" i="7" s="1"/>
  <c r="Y680" i="7"/>
  <c r="S769" i="7"/>
  <c r="Y769" i="7" s="1"/>
  <c r="X769" i="7"/>
  <c r="D100" i="8"/>
  <c r="X386" i="7"/>
  <c r="S386" i="7"/>
  <c r="S95" i="7"/>
  <c r="Y95" i="7" s="1"/>
  <c r="X95" i="7"/>
  <c r="X952" i="7"/>
  <c r="S952" i="7"/>
  <c r="Y952" i="7" s="1"/>
  <c r="C165" i="8"/>
  <c r="W503" i="7"/>
  <c r="E136" i="8"/>
  <c r="Y474" i="7"/>
  <c r="F136" i="8" s="1"/>
  <c r="E233" i="8"/>
  <c r="Y701" i="7"/>
  <c r="X908" i="7"/>
  <c r="S908" i="7"/>
  <c r="Y908" i="7" s="1"/>
  <c r="S579" i="7"/>
  <c r="Y579" i="7" s="1"/>
  <c r="X579" i="7"/>
  <c r="D158" i="8"/>
  <c r="X608" i="7"/>
  <c r="S608" i="7"/>
  <c r="Y608" i="7" s="1"/>
  <c r="S762" i="7"/>
  <c r="Y762" i="7" s="1"/>
  <c r="X762" i="7"/>
  <c r="D102" i="8"/>
  <c r="X388" i="7"/>
  <c r="S388" i="7"/>
  <c r="X990" i="7"/>
  <c r="S990" i="7"/>
  <c r="Y990" i="7" s="1"/>
  <c r="X279" i="7"/>
  <c r="S279" i="7"/>
  <c r="Y279" i="7" s="1"/>
  <c r="C162" i="8"/>
  <c r="W500" i="7"/>
  <c r="D50" i="8"/>
  <c r="X195" i="7"/>
  <c r="S195" i="7"/>
  <c r="Y195" i="7" s="1"/>
  <c r="S171" i="7"/>
  <c r="Y171" i="7" s="1"/>
  <c r="S190" i="7"/>
  <c r="Y190" i="7" s="1"/>
  <c r="S142" i="7"/>
  <c r="X334" i="7"/>
  <c r="S334" i="7"/>
  <c r="Y334" i="7" s="1"/>
  <c r="D84" i="8"/>
  <c r="X370" i="7"/>
  <c r="S370" i="7"/>
  <c r="S433" i="7"/>
  <c r="Y433" i="7" s="1"/>
  <c r="X433" i="7"/>
  <c r="C226" i="8"/>
  <c r="W694" i="7"/>
  <c r="D167" i="8"/>
  <c r="S505" i="7"/>
  <c r="X505" i="7"/>
  <c r="D219" i="8"/>
  <c r="C47" i="8"/>
  <c r="W73" i="7"/>
  <c r="X898" i="7"/>
  <c r="S898" i="7"/>
  <c r="Y898" i="7" s="1"/>
  <c r="S595" i="7"/>
  <c r="Y595" i="7" s="1"/>
  <c r="X595" i="7"/>
  <c r="C210" i="8"/>
  <c r="W678" i="7"/>
  <c r="E111" i="8"/>
  <c r="Y449" i="7"/>
  <c r="F111" i="8" s="1"/>
  <c r="X585" i="7"/>
  <c r="S585" i="7"/>
  <c r="Y585" i="7" s="1"/>
  <c r="X1083" i="7"/>
  <c r="S1083" i="7"/>
  <c r="Y1083" i="7" s="1"/>
  <c r="X1048" i="7"/>
  <c r="S1048" i="7"/>
  <c r="Y1048" i="7" s="1"/>
  <c r="D15" i="8"/>
  <c r="X905" i="7"/>
  <c r="S905" i="7"/>
  <c r="Y905" i="7" s="1"/>
  <c r="S187" i="7"/>
  <c r="Y187" i="7" s="1"/>
  <c r="X187" i="7"/>
  <c r="S537" i="7"/>
  <c r="Y537" i="7" s="1"/>
  <c r="X1312" i="7"/>
  <c r="S1312" i="7"/>
  <c r="Y1312" i="7" s="1"/>
  <c r="X1256" i="7"/>
  <c r="S1256" i="7"/>
  <c r="Y1256" i="7" s="1"/>
  <c r="X264" i="7"/>
  <c r="S264" i="7"/>
  <c r="Y264" i="7" s="1"/>
  <c r="S224" i="7"/>
  <c r="Y224" i="7" s="1"/>
  <c r="X224" i="7"/>
  <c r="C211" i="8"/>
  <c r="W679" i="7"/>
  <c r="C24" i="8"/>
  <c r="W24" i="7"/>
  <c r="X972" i="7"/>
  <c r="S972" i="7"/>
  <c r="Y972" i="7" s="1"/>
  <c r="S1076" i="7"/>
  <c r="Y1076" i="7" s="1"/>
  <c r="X1076" i="7"/>
  <c r="C54" i="8"/>
  <c r="W132" i="7"/>
  <c r="X192" i="7"/>
  <c r="S192" i="7"/>
  <c r="Y192" i="7" s="1"/>
  <c r="E148" i="8"/>
  <c r="Y486" i="7"/>
  <c r="F148" i="8" s="1"/>
  <c r="C15" i="8"/>
  <c r="W15" i="7"/>
  <c r="S829" i="7"/>
  <c r="Y829" i="7" s="1"/>
  <c r="X829" i="7"/>
  <c r="X928" i="7"/>
  <c r="S928" i="7"/>
  <c r="Y928" i="7" s="1"/>
  <c r="X1162" i="7"/>
  <c r="S1162" i="7"/>
  <c r="Y1162" i="7" s="1"/>
  <c r="X441" i="7"/>
  <c r="S441" i="7"/>
  <c r="Y441" i="7" s="1"/>
  <c r="X965" i="7"/>
  <c r="S965" i="7"/>
  <c r="Y965" i="7" s="1"/>
  <c r="S645" i="7"/>
  <c r="Y645" i="7" s="1"/>
  <c r="X645" i="7"/>
  <c r="S235" i="7"/>
  <c r="Y235" i="7" s="1"/>
  <c r="X235" i="7"/>
  <c r="S189" i="7"/>
  <c r="Y189" i="7" s="1"/>
  <c r="X189" i="7"/>
  <c r="X775" i="7"/>
  <c r="S775" i="7"/>
  <c r="Y775" i="7" s="1"/>
  <c r="D92" i="8"/>
  <c r="S378" i="7"/>
  <c r="X378" i="7"/>
  <c r="X975" i="7"/>
  <c r="S975" i="7"/>
  <c r="Y975" i="7" s="1"/>
  <c r="X743" i="7"/>
  <c r="S743" i="7"/>
  <c r="Y743" i="7" s="1"/>
  <c r="X225" i="7"/>
  <c r="S225" i="7"/>
  <c r="Y225" i="7" s="1"/>
  <c r="S410" i="7"/>
  <c r="Y410" i="7" s="1"/>
  <c r="X410" i="7"/>
  <c r="C51" i="8"/>
  <c r="W77" i="7"/>
  <c r="X1110" i="7"/>
  <c r="S1110" i="7"/>
  <c r="Y1110" i="7" s="1"/>
  <c r="S606" i="7"/>
  <c r="Y606" i="7" s="1"/>
  <c r="X606" i="7"/>
  <c r="C216" i="8"/>
  <c r="X904" i="7"/>
  <c r="S904" i="7"/>
  <c r="Y904" i="7" s="1"/>
  <c r="S563" i="7"/>
  <c r="Y563" i="7" s="1"/>
  <c r="X563" i="7"/>
  <c r="X1094" i="7"/>
  <c r="S1094" i="7"/>
  <c r="Y1094" i="7" s="1"/>
  <c r="S91" i="7"/>
  <c r="Y91" i="7" s="1"/>
  <c r="S1086" i="7"/>
  <c r="Y1086" i="7" s="1"/>
  <c r="X1086" i="7"/>
  <c r="S599" i="7"/>
  <c r="Y599" i="7" s="1"/>
  <c r="X599" i="7"/>
  <c r="X1253" i="7"/>
  <c r="S1253" i="7"/>
  <c r="Y1253" i="7" s="1"/>
  <c r="D178" i="8"/>
  <c r="S516" i="7"/>
  <c r="X516" i="7"/>
  <c r="D103" i="8"/>
  <c r="X389" i="7"/>
  <c r="S389" i="7"/>
  <c r="S565" i="7"/>
  <c r="Y565" i="7" s="1"/>
  <c r="X565" i="7"/>
  <c r="X266" i="7"/>
  <c r="S266" i="7"/>
  <c r="Y266" i="7" s="1"/>
  <c r="X227" i="7"/>
  <c r="S227" i="7"/>
  <c r="Y227" i="7" s="1"/>
  <c r="C186" i="8"/>
  <c r="W654" i="7"/>
  <c r="X865" i="7"/>
  <c r="S865" i="7"/>
  <c r="Y865" i="7" s="1"/>
  <c r="X1274" i="7"/>
  <c r="S1274" i="7"/>
  <c r="Y1274" i="7" s="1"/>
  <c r="E127" i="8"/>
  <c r="Y465" i="7"/>
  <c r="F127" i="8" s="1"/>
  <c r="C33" i="8"/>
  <c r="D162" i="8"/>
  <c r="X500" i="7"/>
  <c r="S500" i="7"/>
  <c r="S723" i="7"/>
  <c r="Y723" i="7" s="1"/>
  <c r="X723" i="7"/>
  <c r="X607" i="7"/>
  <c r="S607" i="7"/>
  <c r="Y607" i="7" s="1"/>
  <c r="S1158" i="7"/>
  <c r="Y1158" i="7" s="1"/>
  <c r="C228" i="8"/>
  <c r="W696" i="7"/>
  <c r="S186" i="7"/>
  <c r="Y186" i="7" s="1"/>
  <c r="Y494" i="7" l="1"/>
  <c r="F156" i="8" s="1"/>
  <c r="Y672" i="7"/>
  <c r="F204" i="8" s="1"/>
  <c r="F48" i="8"/>
  <c r="E235" i="8"/>
  <c r="F233" i="8"/>
  <c r="E212" i="8"/>
  <c r="F219" i="8"/>
  <c r="E216" i="8"/>
  <c r="E223" i="8"/>
  <c r="F214" i="8"/>
  <c r="E86" i="8"/>
  <c r="Y372" i="7"/>
  <c r="F86" i="8" s="1"/>
  <c r="E2" i="8"/>
  <c r="Y2" i="7"/>
  <c r="F2" i="8" s="1"/>
  <c r="E171" i="8"/>
  <c r="Y509" i="7"/>
  <c r="F171" i="8" s="1"/>
  <c r="E73" i="8"/>
  <c r="Y151" i="7"/>
  <c r="F73" i="8" s="1"/>
  <c r="F231" i="8"/>
  <c r="E52" i="8"/>
  <c r="Y78" i="7"/>
  <c r="F52" i="8" s="1"/>
  <c r="E234" i="8"/>
  <c r="E66" i="8"/>
  <c r="Y144" i="7"/>
  <c r="F66" i="8" s="1"/>
  <c r="E21" i="8"/>
  <c r="E198" i="8"/>
  <c r="Y666" i="7"/>
  <c r="F198" i="8" s="1"/>
  <c r="E161" i="8"/>
  <c r="Y499" i="7"/>
  <c r="F161" i="8" s="1"/>
  <c r="E205" i="8"/>
  <c r="Y673" i="7"/>
  <c r="F205" i="8" s="1"/>
  <c r="E67" i="8"/>
  <c r="Y145" i="7"/>
  <c r="F67" i="8" s="1"/>
  <c r="F222" i="8"/>
  <c r="E165" i="8"/>
  <c r="Y503" i="7"/>
  <c r="F165" i="8" s="1"/>
  <c r="E214" i="8"/>
  <c r="C9" i="12"/>
  <c r="D9" i="12" s="1"/>
  <c r="F224" i="8"/>
  <c r="E231" i="8"/>
  <c r="E80" i="8"/>
  <c r="Y366" i="7"/>
  <c r="F80" i="8" s="1"/>
  <c r="E20" i="8"/>
  <c r="Y20" i="7"/>
  <c r="F20" i="8" s="1"/>
  <c r="E160" i="8"/>
  <c r="Y498" i="7"/>
  <c r="F160" i="8" s="1"/>
  <c r="E164" i="8"/>
  <c r="Y502" i="7"/>
  <c r="F164" i="8" s="1"/>
  <c r="E168" i="8"/>
  <c r="Y506" i="7"/>
  <c r="F168" i="8" s="1"/>
  <c r="E4" i="8"/>
  <c r="Y4" i="7"/>
  <c r="F4" i="8" s="1"/>
  <c r="E13" i="8"/>
  <c r="Y13" i="7"/>
  <c r="F13" i="8" s="1"/>
  <c r="F213" i="8"/>
  <c r="F58" i="8"/>
  <c r="E224" i="8"/>
  <c r="E37" i="8"/>
  <c r="Y63" i="7"/>
  <c r="F37" i="8" s="1"/>
  <c r="F166" i="8"/>
  <c r="E8" i="8"/>
  <c r="Y8" i="7"/>
  <c r="F8" i="8" s="1"/>
  <c r="E172" i="8"/>
  <c r="Y510" i="7"/>
  <c r="F172" i="8" s="1"/>
  <c r="F175" i="8"/>
  <c r="E27" i="8"/>
  <c r="Y27" i="7"/>
  <c r="F27" i="8" s="1"/>
  <c r="E5" i="8"/>
  <c r="Y5" i="7"/>
  <c r="F5" i="8" s="1"/>
  <c r="E43" i="8"/>
  <c r="Y69" i="7"/>
  <c r="F43" i="8" s="1"/>
  <c r="E213" i="8"/>
  <c r="E58" i="8"/>
  <c r="E90" i="8"/>
  <c r="Y376" i="7"/>
  <c r="F90" i="8" s="1"/>
  <c r="E174" i="8"/>
  <c r="Y512" i="7"/>
  <c r="F174" i="8" s="1"/>
  <c r="E166" i="8"/>
  <c r="F230" i="8"/>
  <c r="E175" i="8"/>
  <c r="F46" i="8"/>
  <c r="E40" i="8"/>
  <c r="Y66" i="7"/>
  <c r="F40" i="8" s="1"/>
  <c r="F16" i="8"/>
  <c r="E194" i="8"/>
  <c r="Y662" i="7"/>
  <c r="F194" i="8" s="1"/>
  <c r="E162" i="8"/>
  <c r="Y500" i="7"/>
  <c r="F162" i="8" s="1"/>
  <c r="E102" i="8"/>
  <c r="Y388" i="7"/>
  <c r="F102" i="8" s="1"/>
  <c r="E219" i="8"/>
  <c r="E25" i="8"/>
  <c r="Y25" i="7"/>
  <c r="F25" i="8" s="1"/>
  <c r="F227" i="8"/>
  <c r="E221" i="8"/>
  <c r="Y689" i="7"/>
  <c r="F221" i="8" s="1"/>
  <c r="F71" i="8"/>
  <c r="E117" i="8"/>
  <c r="Y455" i="7"/>
  <c r="F117" i="8" s="1"/>
  <c r="F29" i="8"/>
  <c r="F225" i="8"/>
  <c r="E59" i="8"/>
  <c r="Y137" i="7"/>
  <c r="F59" i="8" s="1"/>
  <c r="E163" i="8"/>
  <c r="Y501" i="7"/>
  <c r="F163" i="8" s="1"/>
  <c r="E60" i="8"/>
  <c r="Y138" i="7"/>
  <c r="F60" i="8" s="1"/>
  <c r="E230" i="8"/>
  <c r="E61" i="8"/>
  <c r="Y139" i="7"/>
  <c r="F61" i="8" s="1"/>
  <c r="E82" i="8"/>
  <c r="Y368" i="7"/>
  <c r="F82" i="8" s="1"/>
  <c r="E33" i="8"/>
  <c r="Y59" i="7"/>
  <c r="F33" i="8" s="1"/>
  <c r="E46" i="8"/>
  <c r="E16" i="8"/>
  <c r="E191" i="8"/>
  <c r="Y659" i="7"/>
  <c r="F191" i="8" s="1"/>
  <c r="E155" i="8"/>
  <c r="Y493" i="7"/>
  <c r="F155" i="8" s="1"/>
  <c r="E91" i="8"/>
  <c r="Y377" i="7"/>
  <c r="F91" i="8" s="1"/>
  <c r="F50" i="8"/>
  <c r="E179" i="8"/>
  <c r="Y517" i="7"/>
  <c r="F179" i="8" s="1"/>
  <c r="E193" i="8"/>
  <c r="Y661" i="7"/>
  <c r="F193" i="8" s="1"/>
  <c r="E110" i="8"/>
  <c r="Y448" i="7"/>
  <c r="F110" i="8" s="1"/>
  <c r="E227" i="8"/>
  <c r="E63" i="8"/>
  <c r="Y141" i="7"/>
  <c r="F63" i="8" s="1"/>
  <c r="E71" i="8"/>
  <c r="F229" i="8"/>
  <c r="E29" i="8"/>
  <c r="E217" i="8"/>
  <c r="Y685" i="7"/>
  <c r="F217" i="8" s="1"/>
  <c r="E225" i="8"/>
  <c r="F220" i="8"/>
  <c r="E185" i="8"/>
  <c r="Y653" i="7"/>
  <c r="F185" i="8" s="1"/>
  <c r="E99" i="8"/>
  <c r="Y385" i="7"/>
  <c r="F99" i="8" s="1"/>
  <c r="E69" i="8"/>
  <c r="Y147" i="7"/>
  <c r="F69" i="8" s="1"/>
  <c r="H158" i="8"/>
  <c r="E31" i="8"/>
  <c r="Y57" i="7"/>
  <c r="F31" i="8" s="1"/>
  <c r="E203" i="8"/>
  <c r="Y671" i="7"/>
  <c r="F203" i="8" s="1"/>
  <c r="E38" i="8"/>
  <c r="Y64" i="7"/>
  <c r="F38" i="8" s="1"/>
  <c r="E140" i="8"/>
  <c r="Y478" i="7"/>
  <c r="F140" i="8" s="1"/>
  <c r="E229" i="8"/>
  <c r="F218" i="8"/>
  <c r="E57" i="8"/>
  <c r="Y135" i="7"/>
  <c r="F57" i="8" s="1"/>
  <c r="E124" i="8"/>
  <c r="Y462" i="7"/>
  <c r="F124" i="8" s="1"/>
  <c r="E220" i="8"/>
  <c r="E18" i="8"/>
  <c r="Y18" i="7"/>
  <c r="F18" i="8" s="1"/>
  <c r="E195" i="8"/>
  <c r="Y663" i="7"/>
  <c r="F195" i="8" s="1"/>
  <c r="E115" i="8"/>
  <c r="Y453" i="7"/>
  <c r="F115" i="8" s="1"/>
  <c r="E189" i="8"/>
  <c r="Y657" i="7"/>
  <c r="F189" i="8" s="1"/>
  <c r="E202" i="8"/>
  <c r="Y670" i="7"/>
  <c r="F202" i="8" s="1"/>
  <c r="E68" i="8"/>
  <c r="Y146" i="7"/>
  <c r="F68" i="8" s="1"/>
  <c r="E158" i="8"/>
  <c r="E197" i="8"/>
  <c r="Y665" i="7"/>
  <c r="F197" i="8" s="1"/>
  <c r="E35" i="8"/>
  <c r="Y61" i="7"/>
  <c r="F35" i="8" s="1"/>
  <c r="E201" i="8"/>
  <c r="Y669" i="7"/>
  <c r="F201" i="8" s="1"/>
  <c r="F232" i="8"/>
  <c r="E107" i="8"/>
  <c r="Y445" i="7"/>
  <c r="F107" i="8" s="1"/>
  <c r="E218" i="8"/>
  <c r="F30" i="8"/>
  <c r="E186" i="8"/>
  <c r="Y654" i="7"/>
  <c r="F186" i="8" s="1"/>
  <c r="E87" i="8"/>
  <c r="Y373" i="7"/>
  <c r="F87" i="8" s="1"/>
  <c r="E173" i="8"/>
  <c r="Y511" i="7"/>
  <c r="F173" i="8" s="1"/>
  <c r="E152" i="8"/>
  <c r="Y490" i="7"/>
  <c r="F152" i="8" s="1"/>
  <c r="F6" i="8"/>
  <c r="E93" i="8"/>
  <c r="Y379" i="7"/>
  <c r="F93" i="8" s="1"/>
  <c r="E181" i="8"/>
  <c r="Y519" i="7"/>
  <c r="F181" i="8" s="1"/>
  <c r="E232" i="8"/>
  <c r="F45" i="8"/>
  <c r="E44" i="8"/>
  <c r="Y70" i="7"/>
  <c r="F44" i="8" s="1"/>
  <c r="E30" i="8"/>
  <c r="E210" i="8"/>
  <c r="Y678" i="7"/>
  <c r="F210" i="8" s="1"/>
  <c r="E32" i="8"/>
  <c r="Y58" i="7"/>
  <c r="F32" i="8" s="1"/>
  <c r="F51" i="8"/>
  <c r="E182" i="8"/>
  <c r="Y520" i="7"/>
  <c r="F182" i="8" s="1"/>
  <c r="E98" i="8"/>
  <c r="Y384" i="7"/>
  <c r="F98" i="8" s="1"/>
  <c r="F211" i="8"/>
  <c r="E6" i="8"/>
  <c r="E77" i="8"/>
  <c r="Y155" i="7"/>
  <c r="F77" i="8" s="1"/>
  <c r="E92" i="8"/>
  <c r="Y378" i="7"/>
  <c r="F92" i="8" s="1"/>
  <c r="E209" i="8"/>
  <c r="Y677" i="7"/>
  <c r="F209" i="8" s="1"/>
  <c r="E226" i="8"/>
  <c r="Y694" i="7"/>
  <c r="F226" i="8" s="1"/>
  <c r="F215" i="8"/>
  <c r="E45" i="8"/>
  <c r="E126" i="8"/>
  <c r="Y464" i="7"/>
  <c r="F126" i="8" s="1"/>
  <c r="E89" i="8"/>
  <c r="Y375" i="7"/>
  <c r="F89" i="8" s="1"/>
  <c r="E159" i="8"/>
  <c r="Y497" i="7"/>
  <c r="F159" i="8" s="1"/>
  <c r="E132" i="8"/>
  <c r="Y470" i="7"/>
  <c r="F132" i="8" s="1"/>
  <c r="E11" i="8"/>
  <c r="Y11" i="7"/>
  <c r="F11" i="8" s="1"/>
  <c r="F12" i="8"/>
  <c r="F28" i="8"/>
  <c r="E94" i="8"/>
  <c r="Y380" i="7"/>
  <c r="F94" i="8" s="1"/>
  <c r="E24" i="8"/>
  <c r="Y24" i="7"/>
  <c r="F24" i="8" s="1"/>
  <c r="E228" i="8"/>
  <c r="Y696" i="7"/>
  <c r="F228" i="8" s="1"/>
  <c r="E22" i="8"/>
  <c r="Y22" i="7"/>
  <c r="F22" i="8" s="1"/>
  <c r="E51" i="8"/>
  <c r="E169" i="8"/>
  <c r="Y507" i="7"/>
  <c r="F169" i="8" s="1"/>
  <c r="E120" i="8"/>
  <c r="Y458" i="7"/>
  <c r="F120" i="8" s="1"/>
  <c r="E211" i="8"/>
  <c r="E64" i="8"/>
  <c r="Y142" i="7"/>
  <c r="F64" i="8" s="1"/>
  <c r="E100" i="8"/>
  <c r="Y386" i="7"/>
  <c r="F100" i="8" s="1"/>
  <c r="E101" i="8"/>
  <c r="Y387" i="7"/>
  <c r="F101" i="8" s="1"/>
  <c r="E70" i="8"/>
  <c r="Y148" i="7"/>
  <c r="F70" i="8" s="1"/>
  <c r="E106" i="8"/>
  <c r="Y444" i="7"/>
  <c r="F106" i="8" s="1"/>
  <c r="E74" i="8"/>
  <c r="Y152" i="7"/>
  <c r="F74" i="8" s="1"/>
  <c r="E55" i="8"/>
  <c r="Y133" i="7"/>
  <c r="F55" i="8" s="1"/>
  <c r="E215" i="8"/>
  <c r="E88" i="8"/>
  <c r="Y374" i="7"/>
  <c r="F88" i="8" s="1"/>
  <c r="E176" i="8"/>
  <c r="Y514" i="7"/>
  <c r="F176" i="8" s="1"/>
  <c r="E12" i="8"/>
  <c r="E28" i="8"/>
  <c r="E104" i="8"/>
  <c r="Y390" i="7"/>
  <c r="F104" i="8" s="1"/>
  <c r="E42" i="8"/>
  <c r="Y68" i="7"/>
  <c r="F42" i="8" s="1"/>
  <c r="E97" i="8"/>
  <c r="Y383" i="7"/>
  <c r="F97" i="8" s="1"/>
  <c r="E222" i="8"/>
  <c r="E84" i="8"/>
  <c r="Y370" i="7"/>
  <c r="F84" i="8" s="1"/>
  <c r="E75" i="8"/>
  <c r="Y153" i="7"/>
  <c r="F75" i="8" s="1"/>
  <c r="E141" i="8"/>
  <c r="Y479" i="7"/>
  <c r="F141" i="8" s="1"/>
  <c r="E131" i="8"/>
  <c r="Y469" i="7"/>
  <c r="F131" i="8" s="1"/>
  <c r="E26" i="8"/>
  <c r="Y26" i="7"/>
  <c r="F26" i="8" s="1"/>
  <c r="E149" i="8"/>
  <c r="Y487" i="7"/>
  <c r="F149" i="8" s="1"/>
  <c r="E23" i="8"/>
  <c r="Y23" i="7"/>
  <c r="F23" i="8" s="1"/>
  <c r="E142" i="8"/>
  <c r="Y480" i="7"/>
  <c r="F142" i="8" s="1"/>
  <c r="E41" i="8"/>
  <c r="Y67" i="7"/>
  <c r="F41" i="8" s="1"/>
  <c r="E183" i="8"/>
  <c r="Y521" i="7"/>
  <c r="F183" i="8" s="1"/>
  <c r="E208" i="8"/>
  <c r="Y676" i="7"/>
  <c r="F208" i="8" s="1"/>
  <c r="E83" i="8"/>
  <c r="Y369" i="7"/>
  <c r="F83" i="8" s="1"/>
  <c r="E54" i="8"/>
  <c r="Y132" i="7"/>
  <c r="F54" i="8" s="1"/>
  <c r="E188" i="8"/>
  <c r="Y656" i="7"/>
  <c r="F188" i="8" s="1"/>
  <c r="E103" i="8"/>
  <c r="Y389" i="7"/>
  <c r="F103" i="8" s="1"/>
  <c r="E190" i="8"/>
  <c r="Y658" i="7"/>
  <c r="F190" i="8" s="1"/>
  <c r="E96" i="8"/>
  <c r="Y382" i="7"/>
  <c r="F96" i="8" s="1"/>
  <c r="E39" i="8"/>
  <c r="Y65" i="7"/>
  <c r="F39" i="8" s="1"/>
  <c r="E187" i="8"/>
  <c r="Y655" i="7"/>
  <c r="F187" i="8" s="1"/>
  <c r="E180" i="8"/>
  <c r="Y518" i="7"/>
  <c r="F180" i="8" s="1"/>
  <c r="E17" i="8"/>
  <c r="Y17" i="7"/>
  <c r="F17" i="8" s="1"/>
  <c r="E133" i="8"/>
  <c r="Y471" i="7"/>
  <c r="F133" i="8" s="1"/>
  <c r="E78" i="8"/>
  <c r="Y156" i="7"/>
  <c r="F78" i="8" s="1"/>
  <c r="E53" i="8"/>
  <c r="Y79" i="7"/>
  <c r="F53" i="8" s="1"/>
  <c r="E7" i="8"/>
  <c r="Y7" i="7"/>
  <c r="F7" i="8" s="1"/>
  <c r="E62" i="8"/>
  <c r="Y140" i="7"/>
  <c r="F62" i="8" s="1"/>
  <c r="E81" i="8"/>
  <c r="Y367" i="7"/>
  <c r="F81" i="8" s="1"/>
  <c r="E178" i="8"/>
  <c r="Y516" i="7"/>
  <c r="F178" i="8" s="1"/>
  <c r="E167" i="8"/>
  <c r="Y505" i="7"/>
  <c r="F167" i="8" s="1"/>
  <c r="E72" i="8"/>
  <c r="Y150" i="7"/>
  <c r="F72" i="8" s="1"/>
  <c r="E14" i="8"/>
  <c r="Y14" i="7"/>
  <c r="F14" i="8" s="1"/>
  <c r="E199" i="8"/>
  <c r="Y667" i="7"/>
  <c r="F199" i="8" s="1"/>
  <c r="E170" i="8"/>
  <c r="Y508" i="7"/>
  <c r="F170" i="8" s="1"/>
  <c r="F49" i="8"/>
  <c r="E85" i="8"/>
  <c r="Y371" i="7"/>
  <c r="F85" i="8" s="1"/>
  <c r="E76" i="8"/>
  <c r="Y154" i="7"/>
  <c r="F76" i="8" s="1"/>
  <c r="F47" i="8"/>
  <c r="E79" i="8"/>
  <c r="Y157" i="7"/>
  <c r="F79" i="8" s="1"/>
  <c r="E105" i="8"/>
  <c r="Y391" i="7"/>
  <c r="F105" i="8" s="1"/>
  <c r="E135" i="8"/>
  <c r="Y473" i="7"/>
  <c r="F135" i="8" s="1"/>
  <c r="E9" i="8"/>
  <c r="Y9" i="7"/>
  <c r="F9" i="8" s="1"/>
  <c r="E49" i="8"/>
  <c r="E95" i="8"/>
  <c r="Y381" i="7"/>
  <c r="F95" i="8" s="1"/>
  <c r="E56" i="8"/>
  <c r="Y134" i="7"/>
  <c r="F56" i="8" s="1"/>
  <c r="E184" i="8"/>
  <c r="Y652" i="7"/>
  <c r="F184" i="8" s="1"/>
  <c r="E47" i="8"/>
  <c r="F212" i="8"/>
  <c r="E207" i="8"/>
  <c r="Y675" i="7"/>
  <c r="F207" i="8" s="1"/>
  <c r="E177" i="8"/>
  <c r="Y515" i="7"/>
  <c r="F177" i="8" s="1"/>
  <c r="F235" i="8"/>
  <c r="E196" i="8"/>
  <c r="Y664" i="7"/>
  <c r="F196" i="8" s="1"/>
  <c r="E3" i="8"/>
  <c r="Y3" i="7"/>
  <c r="F3" i="8" s="1"/>
  <c r="E10" i="8"/>
  <c r="Y10" i="7"/>
  <c r="F10" i="8" s="1"/>
  <c r="F216" i="8"/>
  <c r="F223" i="8"/>
  <c r="E36" i="8"/>
  <c r="Y62" i="7"/>
  <c r="F36" i="8" s="1"/>
  <c r="E206" i="8"/>
  <c r="Y674" i="7"/>
  <c r="F206" i="8" s="1"/>
  <c r="E34" i="8"/>
  <c r="Y60" i="7"/>
  <c r="F34" i="8" s="1"/>
  <c r="F234" i="8"/>
  <c r="E200" i="8"/>
  <c r="Y668" i="7"/>
  <c r="F200" i="8" s="1"/>
  <c r="F21" i="8"/>
  <c r="H173" i="8" l="1"/>
  <c r="H160" i="8"/>
  <c r="H182" i="8"/>
  <c r="H168" i="8"/>
  <c r="F7" i="9"/>
  <c r="H48" i="8"/>
  <c r="H31" i="8"/>
  <c r="H42" i="8"/>
  <c r="H39" i="8"/>
  <c r="H53" i="8"/>
  <c r="H36" i="8"/>
  <c r="H33" i="8"/>
  <c r="H50" i="8"/>
  <c r="H30" i="8"/>
  <c r="H47" i="8"/>
  <c r="H44" i="8"/>
  <c r="H41" i="8"/>
  <c r="H38" i="8"/>
  <c r="H52" i="8"/>
  <c r="H49" i="8"/>
  <c r="H32" i="8"/>
  <c r="H46" i="8"/>
  <c r="H29" i="8"/>
  <c r="H43" i="8"/>
  <c r="H40" i="8"/>
  <c r="H37" i="8"/>
  <c r="H51" i="8"/>
  <c r="H34" i="8"/>
  <c r="H28" i="8"/>
  <c r="H45" i="8"/>
  <c r="H35" i="8"/>
  <c r="G228" i="8"/>
  <c r="G220" i="8"/>
  <c r="G212" i="8"/>
  <c r="E2" i="9"/>
  <c r="M12" i="10" s="1"/>
  <c r="G233" i="8"/>
  <c r="G225" i="8"/>
  <c r="G217" i="8"/>
  <c r="G230" i="8"/>
  <c r="G222" i="8"/>
  <c r="G214" i="8"/>
  <c r="G232" i="8"/>
  <c r="G224" i="8"/>
  <c r="G216" i="8"/>
  <c r="G229" i="8"/>
  <c r="G221" i="8"/>
  <c r="G213" i="8"/>
  <c r="G234" i="8"/>
  <c r="G226" i="8"/>
  <c r="G218" i="8"/>
  <c r="G210" i="8"/>
  <c r="G231" i="8"/>
  <c r="G223" i="8"/>
  <c r="G215" i="8"/>
  <c r="G227" i="8"/>
  <c r="G219" i="8"/>
  <c r="G235" i="8"/>
  <c r="G211" i="8"/>
  <c r="H161" i="8"/>
  <c r="H176" i="8"/>
  <c r="H172" i="8"/>
  <c r="F8" i="9"/>
  <c r="F6" i="9"/>
  <c r="H75" i="8"/>
  <c r="H67" i="8"/>
  <c r="H59" i="8"/>
  <c r="H72" i="8"/>
  <c r="H64" i="8"/>
  <c r="H56" i="8"/>
  <c r="H57" i="8"/>
  <c r="H78" i="8"/>
  <c r="H71" i="8"/>
  <c r="H60" i="8"/>
  <c r="H74" i="8"/>
  <c r="H77" i="8"/>
  <c r="H70" i="8"/>
  <c r="H63" i="8"/>
  <c r="H73" i="8"/>
  <c r="H66" i="8"/>
  <c r="H69" i="8"/>
  <c r="H62" i="8"/>
  <c r="H55" i="8"/>
  <c r="H76" i="8"/>
  <c r="H65" i="8"/>
  <c r="H58" i="8"/>
  <c r="H79" i="8"/>
  <c r="H61" i="8"/>
  <c r="H68" i="8"/>
  <c r="H54" i="8"/>
  <c r="F2" i="9"/>
  <c r="H233" i="8"/>
  <c r="H225" i="8"/>
  <c r="H217" i="8"/>
  <c r="H230" i="8"/>
  <c r="H222" i="8"/>
  <c r="H214" i="8"/>
  <c r="H235" i="8"/>
  <c r="H227" i="8"/>
  <c r="H219" i="8"/>
  <c r="H211" i="8"/>
  <c r="H232" i="8"/>
  <c r="H224" i="8"/>
  <c r="H216" i="8"/>
  <c r="H229" i="8"/>
  <c r="H221" i="8"/>
  <c r="H213" i="8"/>
  <c r="H234" i="8"/>
  <c r="H226" i="8"/>
  <c r="H218" i="8"/>
  <c r="H210" i="8"/>
  <c r="H231" i="8"/>
  <c r="H223" i="8"/>
  <c r="H215" i="8"/>
  <c r="H228" i="8"/>
  <c r="H220" i="8"/>
  <c r="H212" i="8"/>
  <c r="H174" i="8"/>
  <c r="H163" i="8"/>
  <c r="G204" i="8"/>
  <c r="G196" i="8"/>
  <c r="G188" i="8"/>
  <c r="G209" i="8"/>
  <c r="G201" i="8"/>
  <c r="G193" i="8"/>
  <c r="G185" i="8"/>
  <c r="E4" i="9"/>
  <c r="M11" i="10" s="1"/>
  <c r="G206" i="8"/>
  <c r="G198" i="8"/>
  <c r="G190" i="8"/>
  <c r="G208" i="8"/>
  <c r="G200" i="8"/>
  <c r="G192" i="8"/>
  <c r="G184" i="8"/>
  <c r="G205" i="8"/>
  <c r="G197" i="8"/>
  <c r="G189" i="8"/>
  <c r="G202" i="8"/>
  <c r="G194" i="8"/>
  <c r="G186" i="8"/>
  <c r="G207" i="8"/>
  <c r="G199" i="8"/>
  <c r="G191" i="8"/>
  <c r="G203" i="8"/>
  <c r="G195" i="8"/>
  <c r="G187" i="8"/>
  <c r="H164" i="8"/>
  <c r="H171" i="8"/>
  <c r="H155" i="8"/>
  <c r="H147" i="8"/>
  <c r="H139" i="8"/>
  <c r="H152" i="8"/>
  <c r="H144" i="8"/>
  <c r="H136" i="8"/>
  <c r="F10" i="9"/>
  <c r="H157" i="8"/>
  <c r="H149" i="8"/>
  <c r="H141" i="8"/>
  <c r="H133" i="8"/>
  <c r="H154" i="8"/>
  <c r="H146" i="8"/>
  <c r="H138" i="8"/>
  <c r="H153" i="8"/>
  <c r="H132" i="8"/>
  <c r="H145" i="8"/>
  <c r="H151" i="8"/>
  <c r="H137" i="8"/>
  <c r="H143" i="8"/>
  <c r="H150" i="8"/>
  <c r="H142" i="8"/>
  <c r="H135" i="8"/>
  <c r="H156" i="8"/>
  <c r="H148" i="8"/>
  <c r="H140" i="8"/>
  <c r="H134" i="8"/>
  <c r="H159" i="8"/>
  <c r="H179" i="8"/>
  <c r="G156" i="8"/>
  <c r="G148" i="8"/>
  <c r="G140" i="8"/>
  <c r="G132" i="8"/>
  <c r="G153" i="8"/>
  <c r="G145" i="8"/>
  <c r="G150" i="8"/>
  <c r="G142" i="8"/>
  <c r="G134" i="8"/>
  <c r="G152" i="8"/>
  <c r="G144" i="8"/>
  <c r="G136" i="8"/>
  <c r="E10" i="9"/>
  <c r="M9" i="10" s="1"/>
  <c r="G157" i="8"/>
  <c r="G154" i="8"/>
  <c r="G146" i="8"/>
  <c r="G138" i="8"/>
  <c r="G151" i="8"/>
  <c r="G143" i="8"/>
  <c r="G135" i="8"/>
  <c r="G147" i="8"/>
  <c r="G133" i="8"/>
  <c r="G139" i="8"/>
  <c r="G137" i="8"/>
  <c r="G149" i="8"/>
  <c r="G141" i="8"/>
  <c r="G155" i="8"/>
  <c r="H167" i="8"/>
  <c r="H175" i="8"/>
  <c r="H183" i="8"/>
  <c r="F9" i="9"/>
  <c r="H131" i="8"/>
  <c r="H123" i="8"/>
  <c r="H115" i="8"/>
  <c r="H107" i="8"/>
  <c r="H128" i="8"/>
  <c r="H120" i="8"/>
  <c r="H112" i="8"/>
  <c r="H125" i="8"/>
  <c r="H117" i="8"/>
  <c r="H130" i="8"/>
  <c r="H122" i="8"/>
  <c r="H127" i="8"/>
  <c r="H121" i="8"/>
  <c r="H116" i="8"/>
  <c r="H126" i="8"/>
  <c r="H111" i="8"/>
  <c r="H106" i="8"/>
  <c r="H119" i="8"/>
  <c r="H110" i="8"/>
  <c r="H124" i="8"/>
  <c r="H114" i="8"/>
  <c r="H129" i="8"/>
  <c r="H109" i="8"/>
  <c r="H118" i="8"/>
  <c r="H113" i="8"/>
  <c r="H108" i="8"/>
  <c r="H162" i="8"/>
  <c r="F3" i="9"/>
  <c r="H25" i="8"/>
  <c r="H17" i="8"/>
  <c r="H9" i="8"/>
  <c r="H22" i="8"/>
  <c r="H14" i="8"/>
  <c r="H6" i="8"/>
  <c r="H27" i="8"/>
  <c r="H19" i="8"/>
  <c r="H11" i="8"/>
  <c r="H3" i="8"/>
  <c r="H21" i="8"/>
  <c r="H13" i="8"/>
  <c r="H5" i="8"/>
  <c r="H26" i="8"/>
  <c r="H23" i="8"/>
  <c r="H7" i="8"/>
  <c r="H15" i="8"/>
  <c r="H24" i="8"/>
  <c r="H4" i="8"/>
  <c r="H12" i="8"/>
  <c r="H18" i="8"/>
  <c r="H8" i="8"/>
  <c r="H20" i="8"/>
  <c r="H16" i="8"/>
  <c r="H10" i="8"/>
  <c r="H2" i="8"/>
  <c r="H209" i="8"/>
  <c r="H201" i="8"/>
  <c r="H193" i="8"/>
  <c r="F4" i="9"/>
  <c r="H206" i="8"/>
  <c r="H198" i="8"/>
  <c r="H190" i="8"/>
  <c r="H203" i="8"/>
  <c r="H195" i="8"/>
  <c r="H187" i="8"/>
  <c r="H208" i="8"/>
  <c r="H200" i="8"/>
  <c r="H192" i="8"/>
  <c r="H184" i="8"/>
  <c r="H205" i="8"/>
  <c r="H197" i="8"/>
  <c r="H189" i="8"/>
  <c r="H202" i="8"/>
  <c r="H194" i="8"/>
  <c r="H186" i="8"/>
  <c r="H207" i="8"/>
  <c r="H199" i="8"/>
  <c r="H191" i="8"/>
  <c r="H185" i="8"/>
  <c r="H204" i="8"/>
  <c r="H196" i="8"/>
  <c r="H188" i="8"/>
  <c r="G124" i="8"/>
  <c r="G116" i="8"/>
  <c r="G108" i="8"/>
  <c r="E9" i="9"/>
  <c r="M8" i="10" s="1"/>
  <c r="G128" i="8"/>
  <c r="G120" i="8"/>
  <c r="G112" i="8"/>
  <c r="G130" i="8"/>
  <c r="G122" i="8"/>
  <c r="G114" i="8"/>
  <c r="G106" i="8"/>
  <c r="G127" i="8"/>
  <c r="G119" i="8"/>
  <c r="G111" i="8"/>
  <c r="G123" i="8"/>
  <c r="G117" i="8"/>
  <c r="G121" i="8"/>
  <c r="G107" i="8"/>
  <c r="G126" i="8"/>
  <c r="G131" i="8"/>
  <c r="G125" i="8"/>
  <c r="G115" i="8"/>
  <c r="G110" i="8"/>
  <c r="G129" i="8"/>
  <c r="G109" i="8"/>
  <c r="G118" i="8"/>
  <c r="G113" i="8"/>
  <c r="H170" i="8"/>
  <c r="E3" i="9"/>
  <c r="M4" i="10" s="1"/>
  <c r="G23" i="8"/>
  <c r="G15" i="8"/>
  <c r="G7" i="8"/>
  <c r="G20" i="8"/>
  <c r="G12" i="8"/>
  <c r="G25" i="8"/>
  <c r="G17" i="8"/>
  <c r="G9" i="8"/>
  <c r="G22" i="8"/>
  <c r="G14" i="8"/>
  <c r="G6" i="8"/>
  <c r="G27" i="8"/>
  <c r="G19" i="8"/>
  <c r="G24" i="8"/>
  <c r="G16" i="8"/>
  <c r="G8" i="8"/>
  <c r="G21" i="8"/>
  <c r="G13" i="8"/>
  <c r="G5" i="8"/>
  <c r="G26" i="8"/>
  <c r="G18" i="8"/>
  <c r="G10" i="8"/>
  <c r="G2" i="8"/>
  <c r="G4" i="8"/>
  <c r="G11" i="8"/>
  <c r="G3" i="8"/>
  <c r="H166" i="8"/>
  <c r="H178" i="8"/>
  <c r="H177" i="8"/>
  <c r="H165" i="8"/>
  <c r="H99" i="8"/>
  <c r="H91" i="8"/>
  <c r="H83" i="8"/>
  <c r="H104" i="8"/>
  <c r="H96" i="8"/>
  <c r="H88" i="8"/>
  <c r="H80" i="8"/>
  <c r="F5" i="9"/>
  <c r="H89" i="8"/>
  <c r="H82" i="8"/>
  <c r="H85" i="8"/>
  <c r="H92" i="8"/>
  <c r="H81" i="8"/>
  <c r="H103" i="8"/>
  <c r="H95" i="8"/>
  <c r="H84" i="8"/>
  <c r="H102" i="8"/>
  <c r="H98" i="8"/>
  <c r="H94" i="8"/>
  <c r="H87" i="8"/>
  <c r="H105" i="8"/>
  <c r="H90" i="8"/>
  <c r="H101" i="8"/>
  <c r="H97" i="8"/>
  <c r="H93" i="8"/>
  <c r="H86" i="8"/>
  <c r="H100" i="8"/>
  <c r="G76" i="8"/>
  <c r="G68" i="8"/>
  <c r="G60" i="8"/>
  <c r="G79" i="8"/>
  <c r="G71" i="8"/>
  <c r="G63" i="8"/>
  <c r="G75" i="8"/>
  <c r="G54" i="8"/>
  <c r="G78" i="8"/>
  <c r="G67" i="8"/>
  <c r="G74" i="8"/>
  <c r="G56" i="8"/>
  <c r="G77" i="8"/>
  <c r="G70" i="8"/>
  <c r="G59" i="8"/>
  <c r="E6" i="9"/>
  <c r="M6" i="10" s="1"/>
  <c r="G69" i="8"/>
  <c r="G62" i="8"/>
  <c r="G55" i="8"/>
  <c r="G72" i="8"/>
  <c r="G65" i="8"/>
  <c r="G58" i="8"/>
  <c r="G61" i="8"/>
  <c r="G73" i="8"/>
  <c r="G66" i="8"/>
  <c r="G64" i="8"/>
  <c r="G57" i="8"/>
  <c r="E7" i="9"/>
  <c r="M5" i="10" s="1"/>
  <c r="G52" i="8"/>
  <c r="G44" i="8"/>
  <c r="G36" i="8"/>
  <c r="G51" i="8"/>
  <c r="G34" i="8"/>
  <c r="G45" i="8"/>
  <c r="G28" i="8"/>
  <c r="G42" i="8"/>
  <c r="G39" i="8"/>
  <c r="G53" i="8"/>
  <c r="G33" i="8"/>
  <c r="G50" i="8"/>
  <c r="G30" i="8"/>
  <c r="G47" i="8"/>
  <c r="G41" i="8"/>
  <c r="G35" i="8"/>
  <c r="G49" i="8"/>
  <c r="G32" i="8"/>
  <c r="G46" i="8"/>
  <c r="G29" i="8"/>
  <c r="G43" i="8"/>
  <c r="G40" i="8"/>
  <c r="G37" i="8"/>
  <c r="G31" i="8"/>
  <c r="G48" i="8"/>
  <c r="G38" i="8"/>
  <c r="H169" i="8"/>
  <c r="H181" i="8"/>
  <c r="G100" i="8"/>
  <c r="G92" i="8"/>
  <c r="G84" i="8"/>
  <c r="G98" i="8"/>
  <c r="E5" i="9"/>
  <c r="M7" i="10" s="1"/>
  <c r="G103" i="8"/>
  <c r="G95" i="8"/>
  <c r="G87" i="8"/>
  <c r="G96" i="8"/>
  <c r="G85" i="8"/>
  <c r="G88" i="8"/>
  <c r="G81" i="8"/>
  <c r="G99" i="8"/>
  <c r="G91" i="8"/>
  <c r="G102" i="8"/>
  <c r="G94" i="8"/>
  <c r="G83" i="8"/>
  <c r="G105" i="8"/>
  <c r="G90" i="8"/>
  <c r="G101" i="8"/>
  <c r="G97" i="8"/>
  <c r="G93" i="8"/>
  <c r="G86" i="8"/>
  <c r="G82" i="8"/>
  <c r="G80" i="8"/>
  <c r="G104" i="8"/>
  <c r="G89" i="8"/>
  <c r="G180" i="8"/>
  <c r="G172" i="8"/>
  <c r="G164" i="8"/>
  <c r="G177" i="8"/>
  <c r="G169" i="8"/>
  <c r="G161" i="8"/>
  <c r="G182" i="8"/>
  <c r="G174" i="8"/>
  <c r="G166" i="8"/>
  <c r="G158" i="8"/>
  <c r="E8" i="9"/>
  <c r="M10" i="10" s="1"/>
  <c r="G176" i="8"/>
  <c r="G168" i="8"/>
  <c r="G160" i="8"/>
  <c r="G181" i="8"/>
  <c r="G173" i="8"/>
  <c r="G165" i="8"/>
  <c r="G178" i="8"/>
  <c r="G170" i="8"/>
  <c r="G162" i="8"/>
  <c r="G183" i="8"/>
  <c r="G175" i="8"/>
  <c r="G167" i="8"/>
  <c r="G159" i="8"/>
  <c r="G163" i="8"/>
  <c r="G171" i="8"/>
  <c r="G179" i="8"/>
  <c r="H180" i="8"/>
  <c r="N8" i="10" l="1"/>
  <c r="I9" i="9"/>
  <c r="G9" i="9"/>
  <c r="H9" i="9"/>
  <c r="I6" i="9"/>
  <c r="N6" i="10"/>
  <c r="H6" i="9"/>
  <c r="G6" i="9"/>
  <c r="P11" i="10"/>
  <c r="Q11" i="10"/>
  <c r="I8" i="9"/>
  <c r="N10" i="10"/>
  <c r="H8" i="9"/>
  <c r="G8" i="9"/>
  <c r="Q4" i="10"/>
  <c r="P4" i="10"/>
  <c r="Q9" i="10"/>
  <c r="P9" i="10"/>
  <c r="N4" i="10"/>
  <c r="I3" i="9"/>
  <c r="H3" i="9"/>
  <c r="G3" i="9"/>
  <c r="N9" i="10"/>
  <c r="I10" i="9"/>
  <c r="H10" i="9"/>
  <c r="G10" i="9"/>
  <c r="C13" i="12"/>
  <c r="D13" i="12" s="1"/>
  <c r="N12" i="10"/>
  <c r="I2" i="9"/>
  <c r="H2" i="9"/>
  <c r="G2" i="9"/>
  <c r="C14" i="12" s="1"/>
  <c r="D14" i="12" s="1"/>
  <c r="I4" i="9"/>
  <c r="N11" i="10"/>
  <c r="G4" i="9"/>
  <c r="H4" i="9"/>
  <c r="Q6" i="10"/>
  <c r="P6" i="10"/>
  <c r="Q5" i="10"/>
  <c r="P5" i="10"/>
  <c r="N5" i="10"/>
  <c r="I7" i="9"/>
  <c r="H7" i="9"/>
  <c r="G7" i="9"/>
  <c r="Q10" i="10"/>
  <c r="P10" i="10"/>
  <c r="Q8" i="10"/>
  <c r="P8" i="10"/>
  <c r="Q7" i="10"/>
  <c r="P7" i="10"/>
  <c r="N7" i="10"/>
  <c r="I5" i="9"/>
  <c r="G5" i="9"/>
  <c r="H5" i="9"/>
  <c r="Q12" i="10"/>
  <c r="P12" i="10"/>
  <c r="C11" i="12" l="1"/>
  <c r="D11" i="12" s="1"/>
</calcChain>
</file>

<file path=xl/sharedStrings.xml><?xml version="1.0" encoding="utf-8"?>
<sst xmlns="http://schemas.openxmlformats.org/spreadsheetml/2006/main" count="17435" uniqueCount="514">
  <si>
    <t>parameter_id</t>
  </si>
  <si>
    <t>value</t>
  </si>
  <si>
    <t>unit</t>
  </si>
  <si>
    <t>role</t>
  </si>
  <si>
    <t>description</t>
  </si>
  <si>
    <t>source</t>
  </si>
  <si>
    <t>analysis_start_year</t>
  </si>
  <si>
    <t>analysis_end_year</t>
  </si>
  <si>
    <t>baseline_scenario_id</t>
  </si>
  <si>
    <t>cost_discount_rate</t>
  </si>
  <si>
    <t>cost_price_year</t>
  </si>
  <si>
    <t>currency</t>
  </si>
  <si>
    <t>economic_perspective</t>
  </si>
  <si>
    <t>scale_up_shape</t>
  </si>
  <si>
    <t>downstream_cost_offsets</t>
  </si>
  <si>
    <t>formula_tolerance</t>
  </si>
  <si>
    <t>stock_flow_residual_limit</t>
  </si>
  <si>
    <t>trace_precision</t>
  </si>
  <si>
    <t>r_stock_flow_max_residual</t>
  </si>
  <si>
    <t>r_background_distinct_count</t>
  </si>
  <si>
    <t>r_negative_state_count</t>
  </si>
  <si>
    <t>r_deaths_averted_anchor</t>
  </si>
  <si>
    <t>r_disc_incremental_cost_anchor</t>
  </si>
  <si>
    <t>r_cost_per_death_anchor</t>
  </si>
  <si>
    <t>qa_anchor_scenario</t>
  </si>
  <si>
    <t>year</t>
  </si>
  <si>
    <t>formula control</t>
  </si>
  <si>
    <t>First model and discount year</t>
  </si>
  <si>
    <t>indonesia_model_inputs.xlsx / Model 09</t>
  </si>
  <si>
    <t>Last model year</t>
  </si>
  <si>
    <t>scenario id</t>
  </si>
  <si>
    <t>Comparator used for health and cost calculations</t>
  </si>
  <si>
    <t>Model 04 / Model 09</t>
  </si>
  <si>
    <t>proportion/year</t>
  </si>
  <si>
    <t>Annual discount rate applied to costs only</t>
  </si>
  <si>
    <t>USD year</t>
  </si>
  <si>
    <t>metadata</t>
  </si>
  <si>
    <t>Reporting price year</t>
  </si>
  <si>
    <t>indonesia_model_inputs.xlsx</t>
  </si>
  <si>
    <t>Workbook reporting currency</t>
  </si>
  <si>
    <t>text</t>
  </si>
  <si>
    <t>Economic evaluation perspective</t>
  </si>
  <si>
    <t>Coverage increases linearly from start to target year</t>
  </si>
  <si>
    <t>0/1 flag</t>
  </si>
  <si>
    <t>scope</t>
  </si>
  <si>
    <t>Downstream disease-cost offsets excluded at this stage</t>
  </si>
  <si>
    <t>USD/count</t>
  </si>
  <si>
    <t>QA control</t>
  </si>
  <si>
    <t>Absolute reconciliation tolerance (internal Excel checks)</t>
  </si>
  <si>
    <t>Workbook QA rule</t>
  </si>
  <si>
    <t>persons</t>
  </si>
  <si>
    <t>Review threshold used by the R stock/flow check</t>
  </si>
  <si>
    <t>Model 09</t>
  </si>
  <si>
    <t>decimal places</t>
  </si>
  <si>
    <t>audit note</t>
  </si>
  <si>
    <t>Exported model traces are rounded; R quantity helpers keep full precision</t>
  </si>
  <si>
    <t>Model 09 export rule</t>
  </si>
  <si>
    <t>R QA source</t>
  </si>
  <si>
    <t>Maximum stock/flow residual computed in R before export</t>
  </si>
  <si>
    <t>Model 09 current run</t>
  </si>
  <si>
    <t>count</t>
  </si>
  <si>
    <t>Max distinct all-cause mortality values across causes (R)</t>
  </si>
  <si>
    <t>Count of impossible negative state/flow values (R)</t>
  </si>
  <si>
    <t>deaths</t>
  </si>
  <si>
    <t>R reconciliation source</t>
  </si>
  <si>
    <t>R engine deaths averted for the anchor scenario</t>
  </si>
  <si>
    <t>Model 09 current run (R CEA)</t>
  </si>
  <si>
    <t>USD</t>
  </si>
  <si>
    <t>R engine discounted incremental cost for the anchor scenario</t>
  </si>
  <si>
    <t>USD/death</t>
  </si>
  <si>
    <t>R engine USD per death averted for the anchor scenario</t>
  </si>
  <si>
    <t>Scenario used for the Excel-vs-R reconciliation checks</t>
  </si>
  <si>
    <t>baseline</t>
  </si>
  <si>
    <t>health_system</t>
  </si>
  <si>
    <t>linear</t>
  </si>
  <si>
    <t>all</t>
  </si>
  <si>
    <t>Indonesia NCD FAIR Choices - cost &amp; value workbook (formula edition)</t>
  </si>
  <si>
    <t>section</t>
  </si>
  <si>
    <t>detail</t>
  </si>
  <si>
    <t>Purpose</t>
  </si>
  <si>
    <t>Costing, budget impact and mortality-based cost-effectiveness for the FAIR Choices CVD interventions selected in indonesia_model_inputs.xlsx.</t>
  </si>
  <si>
    <t>How to read</t>
  </si>
  <si>
    <t>Grey cells are R-generated source values; light-blue cells are LIVE Excel formulas; pale-yellow cells on Calculation_Assumptions are editable controls. Change a yellow control and the blue results recompute. Calculation_Map lists every dependency.</t>
  </si>
  <si>
    <t>Scenarios</t>
  </si>
  <si>
    <t>Baseline + one scenario per selected valid intervention + a combined 'all' scenario. Membership derives only from the workbook selections (Model 04).</t>
  </si>
  <si>
    <t>Baseline pairing</t>
  </si>
  <si>
    <t>Deaths averted = baseline deaths - scenario deaths, matched at location x year x age x sex x cause (aggregated to year x cause here).</t>
  </si>
  <si>
    <t>Model aggregates</t>
  </si>
  <si>
    <t>Annual_Mortality carries the R health aggregates (cases, deaths, baseline); Annual_Cost carries the full-precision R population quantity before the PIN fraction. The 157k-row state trace stays in the companion R workbook.</t>
  </si>
  <si>
    <t>Costing</t>
  </si>
  <si>
    <t>annual_cost = population_in_need x coverage(t) x frequency x unit_cost. PIN measure maps 'all'-&gt;eligible population, 'prevalence'-&gt;sick stock, 'incidence'-&gt;new cases.</t>
  </si>
  <si>
    <t>Shared costs</t>
  </si>
  <si>
    <t>Components flagged 'shared-count-once' (cost_join_key ...__C_SHARED) are counted once at intervention level, never once per affected cause (see Annual_Cost shared_duplicate_count and QA).</t>
  </si>
  <si>
    <t>Budget impact</t>
  </si>
  <si>
    <t>Budget impact reports UNDISCOUNTED baseline, scenario, incremental and cumulative incremental cost. Discounted costs are separate columns.</t>
  </si>
  <si>
    <t>Cost-effectiveness</t>
  </si>
  <si>
    <t>USD per death averted = cumulative discounted incremental cost / cumulative (undiscounted) deaths averted over the horizon. Not a DALY-based ICER.</t>
  </si>
  <si>
    <t>Economic value</t>
  </si>
  <si>
    <t>Value of statistical life (VSL/VSLY) is reused from Model 08 as R source values; only the cost link, supplementary benefit-cost ratio and net benefit are recalculated here.</t>
  </si>
  <si>
    <t>QA &amp; reconciliation</t>
  </si>
  <si>
    <t>QA_Checks recomputes each invariant in Excel and reconciles the Excel cost-effectiveness headline against the R engine values stored on Calculation_Assumptions. PASS/FAIL/REVIEW are conditionally formatted.</t>
  </si>
  <si>
    <t>Colour legend</t>
  </si>
  <si>
    <t>Header dark-blue; formula-derived light-blue; R source/helper grey; editable controls pale-yellow; PASS green; FAIL/REVIEW red/orange.</t>
  </si>
  <si>
    <t>Companion workbook</t>
  </si>
  <si>
    <t>The full R-value workbook (indonesia_model_cost_value.xlsx) keeps the detailed Model_State_Trace and Background_Mortality tables for independent review.</t>
  </si>
  <si>
    <t>Deferred</t>
  </si>
  <si>
    <t>DALYs, YLL, YLD, disability weights and life-expectancy outcomes are deferred to later work and are NOT in this workbook.</t>
  </si>
  <si>
    <t>item</t>
  </si>
  <si>
    <t>Workbook title</t>
  </si>
  <si>
    <t>Indonesia NCD FAIR Choices - cost &amp; value</t>
  </si>
  <si>
    <t>Run date</t>
  </si>
  <si>
    <t>2026-08-20</t>
  </si>
  <si>
    <t>Model / pipeline</t>
  </si>
  <si>
    <t>CVD FAIR Choices (Models 00-06 -&gt; 09)</t>
  </si>
  <si>
    <t>Input workbook</t>
  </si>
  <si>
    <t>C:/Users/wrgar/OneDrive - UW/02Work/WorldBank-Indonesia/uw-wb-indonesia-ncd/data/indonesia_model_inputs.xlsx</t>
  </si>
  <si>
    <t>Model output source</t>
  </si>
  <si>
    <t>output/out_model/model_output_*.rds (Model 06)</t>
  </si>
  <si>
    <t>Location</t>
  </si>
  <si>
    <t>Indonesia</t>
  </si>
  <si>
    <t>Analysis years</t>
  </si>
  <si>
    <t>Baseline scenario</t>
  </si>
  <si>
    <t>Scenarios costed</t>
  </si>
  <si>
    <t>I_CVD_PRIMARY, I_HF_ACUTE, I_HF_CHRONIC, I_IHD_SECONDARY, I_RHD_SECONDARY, I_RHD_SURGERY, I_STROKE_SECONDARY, I_T2D_TREATMENT, all</t>
  </si>
  <si>
    <t>Cost discount rate</t>
  </si>
  <si>
    <t>Cost price year</t>
  </si>
  <si>
    <t>Currency</t>
  </si>
  <si>
    <t>Economic perspective</t>
  </si>
  <si>
    <t>Coverage scale-up shape</t>
  </si>
  <si>
    <t>Downstream cost offsets</t>
  </si>
  <si>
    <t>0</t>
  </si>
  <si>
    <t>Health outcomes (DALYs/YLL/YLD)</t>
  </si>
  <si>
    <t>Out of scope in this stage (deferred)</t>
  </si>
  <si>
    <t>R version</t>
  </si>
  <si>
    <t>R version 4.5.1 (2025-06-13 ucrt)</t>
  </si>
  <si>
    <t>openxlsx / data.table</t>
  </si>
  <si>
    <t>4.2.8 / 1.17.8</t>
  </si>
  <si>
    <t>intervention_id</t>
  </si>
  <si>
    <t>intervention_cause_key</t>
  </si>
  <si>
    <t>intervention_name</t>
  </si>
  <si>
    <t>cause_id</t>
  </si>
  <si>
    <t>cause_code</t>
  </si>
  <si>
    <t>model_name</t>
  </si>
  <si>
    <t>transition_from</t>
  </si>
  <si>
    <t>transition_to</t>
  </si>
  <si>
    <t>model_transition</t>
  </si>
  <si>
    <t>effect_value</t>
  </si>
  <si>
    <t>affected_fraction</t>
  </si>
  <si>
    <t>baseline_coverage</t>
  </si>
  <si>
    <t>target_coverage</t>
  </si>
  <si>
    <t>start_year</t>
  </si>
  <si>
    <t>target_year</t>
  </si>
  <si>
    <t>adjusted_effect_at_target</t>
  </si>
  <si>
    <t>cost_join_key</t>
  </si>
  <si>
    <t>cost_scope</t>
  </si>
  <si>
    <t>effect_review</t>
  </si>
  <si>
    <t>coverage_review</t>
  </si>
  <si>
    <t>key_count</t>
  </si>
  <si>
    <t>formula_status</t>
  </si>
  <si>
    <t>I_CVD_PRIMARY</t>
  </si>
  <si>
    <t>I_CVD_PRIMARY__C_HHD</t>
  </si>
  <si>
    <t>Primary prevention of CVD</t>
  </si>
  <si>
    <t>C_HHD</t>
  </si>
  <si>
    <t>hhd</t>
  </si>
  <si>
    <t>Hypertensive heart disease</t>
  </si>
  <si>
    <t>well</t>
  </si>
  <si>
    <t>sick</t>
  </si>
  <si>
    <t>incidence</t>
  </si>
  <si>
    <t>I_CVD_PRIMARY__C_SHARED</t>
  </si>
  <si>
    <t>shared-count-once</t>
  </si>
  <si>
    <t>Provisional</t>
  </si>
  <si>
    <t>I_CVD_PRIMARY__C_ICH</t>
  </si>
  <si>
    <t>C_ICH</t>
  </si>
  <si>
    <t>hstroke</t>
  </si>
  <si>
    <t>Intracerebral hemorrhage</t>
  </si>
  <si>
    <t>I_CVD_PRIMARY__C_IHD</t>
  </si>
  <si>
    <t>C_IHD</t>
  </si>
  <si>
    <t>ihd</t>
  </si>
  <si>
    <t>Ischemic heart disease</t>
  </si>
  <si>
    <t>I_CVD_PRIMARY__C_IS</t>
  </si>
  <si>
    <t>C_IS</t>
  </si>
  <si>
    <t>istroke</t>
  </si>
  <si>
    <t>Ischemic stroke</t>
  </si>
  <si>
    <t>I_HF_ACUTE</t>
  </si>
  <si>
    <t>I_HF_ACUTE__C_CMP</t>
  </si>
  <si>
    <t>Acute heart-failure management</t>
  </si>
  <si>
    <t>C_CMP</t>
  </si>
  <si>
    <t>cmd</t>
  </si>
  <si>
    <t>Cardiomyopathy and myocarditis</t>
  </si>
  <si>
    <t>sick_hf</t>
  </si>
  <si>
    <t>dead_cmp</t>
  </si>
  <si>
    <t>case_fatality</t>
  </si>
  <si>
    <t>cause-specific</t>
  </si>
  <si>
    <t>I_HF_ACUTE__C_HHD</t>
  </si>
  <si>
    <t>dead_hhd</t>
  </si>
  <si>
    <t>I_HF_ACUTE__C_IHD</t>
  </si>
  <si>
    <t>dead_ihd</t>
  </si>
  <si>
    <t>I_HF_CHRONIC</t>
  </si>
  <si>
    <t>I_HF_CHRONIC__C_CMP</t>
  </si>
  <si>
    <t>Chronic heart-failure management</t>
  </si>
  <si>
    <t>I_HF_CHRONIC__C_HHD</t>
  </si>
  <si>
    <t>I_HF_CHRONIC__C_IHD</t>
  </si>
  <si>
    <t>I_IHD_SECONDARY</t>
  </si>
  <si>
    <t>I_IHD_SECONDARY__C_IHD</t>
  </si>
  <si>
    <t>Secondary prevention of ischemic heart disease</t>
  </si>
  <si>
    <t>I_RHD_SECONDARY</t>
  </si>
  <si>
    <t>I_RHD_SECONDARY__C_RHD</t>
  </si>
  <si>
    <t>RHD secondary prevention</t>
  </si>
  <si>
    <t>C_RHD</t>
  </si>
  <si>
    <t>rhd</t>
  </si>
  <si>
    <t>Rheumatic heart disease</t>
  </si>
  <si>
    <t>dead_rhd</t>
  </si>
  <si>
    <t>I_RHD_SURGERY</t>
  </si>
  <si>
    <t>I_RHD_SURGERY__C_RHD</t>
  </si>
  <si>
    <t>RHD cardiac surgery</t>
  </si>
  <si>
    <t>sick_severe</t>
  </si>
  <si>
    <t>Review</t>
  </si>
  <si>
    <t>I_STROKE_SECONDARY</t>
  </si>
  <si>
    <t>I_STROKE_SECONDARY__C_ICH</t>
  </si>
  <si>
    <t>Secondary prevention of stroke</t>
  </si>
  <si>
    <t>dead_ich</t>
  </si>
  <si>
    <t>I_STROKE_SECONDARY__C_IS</t>
  </si>
  <si>
    <t>dead_is</t>
  </si>
  <si>
    <t>I_T2D_TREATMENT</t>
  </si>
  <si>
    <t>I_T2D_TREATMENT__C_T2D</t>
  </si>
  <si>
    <t>Longitudinal treatment of type 2 diabetes</t>
  </si>
  <si>
    <t>C_T2D</t>
  </si>
  <si>
    <t>dm2</t>
  </si>
  <si>
    <t>Type 2 diabetes</t>
  </si>
  <si>
    <t>dead_t2d</t>
  </si>
  <si>
    <t>Missing input</t>
  </si>
  <si>
    <t>I_T2D_TREATMENT__C_IHD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</si>
  <si>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</si>
  <si>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</si>
  <si>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</si>
  <si>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</si>
  <si>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</si>
  <si>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</si>
  <si>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frequency_per_year</t>
  </si>
  <si>
    <t>c_age_start</t>
  </si>
  <si>
    <t>c_age_stop</t>
  </si>
  <si>
    <t>c_sex</t>
  </si>
  <si>
    <t>unit_cost_usd</t>
  </si>
  <si>
    <t>price_year</t>
  </si>
  <si>
    <t>indonesia_adjusted_flag</t>
  </si>
  <si>
    <t>cov_baseline</t>
  </si>
  <si>
    <t>cov_target</t>
  </si>
  <si>
    <t>cov_start_year</t>
  </si>
  <si>
    <t>cov_target_year</t>
  </si>
  <si>
    <t>cost_review</t>
  </si>
  <si>
    <t>cost_ready</t>
  </si>
  <si>
    <t>COST_PRIMARY_TX_A</t>
  </si>
  <si>
    <t>CC_PRIMARY_HTN_STATIN</t>
  </si>
  <si>
    <t>Option A (selected)</t>
  </si>
  <si>
    <t>C_SHARED</t>
  </si>
  <si>
    <t>Antihypertensives and statins for absolute CVD risk &gt;20%</t>
  </si>
  <si>
    <t>Both</t>
  </si>
  <si>
    <t>COST_PRIMARY_SCREEN_A</t>
  </si>
  <si>
    <t>CC_PRIMARY_SCREENING</t>
  </si>
  <si>
    <t>CVD targeted screening</t>
  </si>
  <si>
    <t>COST_HF_ACUTE_C_CMP</t>
  </si>
  <si>
    <t>CC_HF_ACUTE_C_CMP</t>
  </si>
  <si>
    <t>Base</t>
  </si>
  <si>
    <t>Acute heart-failure management package</t>
  </si>
  <si>
    <t>prevalence</t>
  </si>
  <si>
    <t>COST_HF_ACUTE_C_HHD</t>
  </si>
  <si>
    <t>CC_HF_ACUTE_C_HHD</t>
  </si>
  <si>
    <t>COST_HF_ACUTE_C_IHD</t>
  </si>
  <si>
    <t>CC_HF_ACUTE_C_IHD</t>
  </si>
  <si>
    <t>COST_HF_CHRONIC_CMP_ECHO</t>
  </si>
  <si>
    <t>CC_HF_CHRONIC_CMP_ECHO</t>
  </si>
  <si>
    <t>One cardiac echo per year</t>
  </si>
  <si>
    <t>COST_HF_CHRONIC_CMP_LAB_A</t>
  </si>
  <si>
    <t>CC_HF_CHRONIC_CMP_FOLLOWUP</t>
  </si>
  <si>
    <t>Lab tests and follow-up visits</t>
  </si>
  <si>
    <t>COST_HF_CHRONIC_CMP_TX</t>
  </si>
  <si>
    <t>CC_HF_CHRONIC_CMP_TREATMENT</t>
  </si>
  <si>
    <t>Treatment of heart failure</t>
  </si>
  <si>
    <t>COST_HF_CHRONIC_HHD_ECHO</t>
  </si>
  <si>
    <t>CC_HF_CHRONIC_HHD_ECHO</t>
  </si>
  <si>
    <t>COST_HF_CHRONIC_HHD_LAB_A</t>
  </si>
  <si>
    <t>CC_HF_CHRONIC_HHD_FOLLOWUP</t>
  </si>
  <si>
    <t>COST_HF_CHRONIC_HHD_TX</t>
  </si>
  <si>
    <t>CC_HF_CHRONIC_HHD_TREATMENT</t>
  </si>
  <si>
    <t>COST_HF_CHRONIC_IHD_ECHO</t>
  </si>
  <si>
    <t>CC_HF_CHRONIC_IHD_ECHO</t>
  </si>
  <si>
    <t>COST_HF_CHRONIC_IHD_LAB</t>
  </si>
  <si>
    <t>CC_HF_CHRONIC_IHD_FOLLOWUP</t>
  </si>
  <si>
    <t>Missing</t>
  </si>
  <si>
    <t>COST_HF_CHRONIC_IHD_TX</t>
  </si>
  <si>
    <t>CC_HF_CHRONIC_IHD_TREATMENT</t>
  </si>
  <si>
    <t>COST_IHD_SEC_CF_A</t>
  </si>
  <si>
    <t>CC_IHD_SECONDARY_CASE_FINDING</t>
  </si>
  <si>
    <t>Case finding and diagnosis</t>
  </si>
  <si>
    <t>COST_IHD_SEC_FU</t>
  </si>
  <si>
    <t>CC_IHD_SECONDARY_FOLLOWUP</t>
  </si>
  <si>
    <t>Lab tests and follow-up visits for IHD patients</t>
  </si>
  <si>
    <t>COST_IHD_SEC_TX</t>
  </si>
  <si>
    <t>CC_IHD_SECONDARY_TREATMENT</t>
  </si>
  <si>
    <t>Treatment cost for IHD patients</t>
  </si>
  <si>
    <t>COST_RHD_SEC_01</t>
  </si>
  <si>
    <t>CC_RHD_SECONDARY_PENICILLIN</t>
  </si>
  <si>
    <t>Secondary prophylaxis with penicillin</t>
  </si>
  <si>
    <t>COST_RHD_SURG_01</t>
  </si>
  <si>
    <t>CC_RHD_SURGERY</t>
  </si>
  <si>
    <t>Rheumatic heart disease cardiac surgery</t>
  </si>
  <si>
    <t>COST_STROKE_ICH_CF_A</t>
  </si>
  <si>
    <t>CC_STROKE_ICH_CASE_FINDING</t>
  </si>
  <si>
    <t>COST_STROKE_ICH_LAB_A</t>
  </si>
  <si>
    <t>CC_STROKE_ICH_FOLLOWUP</t>
  </si>
  <si>
    <t>COST_STROKE_ICH_TX</t>
  </si>
  <si>
    <t>CC_STROKE_ICH_TREATMENT</t>
  </si>
  <si>
    <t>Treatment cost for stroke patients</t>
  </si>
  <si>
    <t>COST_STROKE_IS_CF</t>
  </si>
  <si>
    <t>CC_STROKE_IS_CASE_FINDING</t>
  </si>
  <si>
    <t>COST_STROKE_IS_LAB_A</t>
  </si>
  <si>
    <t>CC_STROKE_IS_FOLLOWUP</t>
  </si>
  <si>
    <t>COST_STROKE_IS_TX</t>
  </si>
  <si>
    <t>CC_STROKE_IS_TREATMENT</t>
  </si>
  <si>
    <t>COST_T2D_TREATMENT</t>
  </si>
  <si>
    <t>CC_T2D_TREATMENT</t>
  </si>
  <si>
    <t>Diabetes screening and treatment</t>
  </si>
  <si>
    <t>scenario</t>
  </si>
  <si>
    <t>scenario_label</t>
  </si>
  <si>
    <t>cause</t>
  </si>
  <si>
    <t>cases</t>
  </si>
  <si>
    <t>cause_deaths</t>
  </si>
  <si>
    <t>base_deaths</t>
  </si>
  <si>
    <t>deaths_averted</t>
  </si>
  <si>
    <t>base_cases</t>
  </si>
  <si>
    <t>cases_averted</t>
  </si>
  <si>
    <t>All selected interventions (combined)</t>
  </si>
  <si>
    <t>Baseline (no new intervention)</t>
  </si>
  <si>
    <t>coverage_scenario</t>
  </si>
  <si>
    <t>coverage_baseline</t>
  </si>
  <si>
    <t>pin_scenario</t>
  </si>
  <si>
    <t>pin_baseline</t>
  </si>
  <si>
    <t>annual_cost_baseline</t>
  </si>
  <si>
    <t>annual_cost_scenario</t>
  </si>
  <si>
    <t>annual_cost_incremental</t>
  </si>
  <si>
    <t>discount_factor</t>
  </si>
  <si>
    <t>disc_cost_baseline</t>
  </si>
  <si>
    <t>disc_cost_scenario</t>
  </si>
  <si>
    <t>disc_cost_incremental</t>
  </si>
  <si>
    <t>r_quantity_scenario</t>
  </si>
  <si>
    <t>r_quantity_baseline</t>
  </si>
  <si>
    <t>shared_duplicate_count</t>
  </si>
  <si>
    <t>baseline_cost</t>
  </si>
  <si>
    <t>scenario_cost</t>
  </si>
  <si>
    <t>incremental_cost</t>
  </si>
  <si>
    <t>disc_incremental_cost</t>
  </si>
  <si>
    <t>cumulative_incremental_cost</t>
  </si>
  <si>
    <t>cumulative_disc_incremental_cost</t>
  </si>
  <si>
    <t>cost_per_death_averted</t>
  </si>
  <si>
    <t>dominance</t>
  </si>
  <si>
    <t>reconciliation_status</t>
  </si>
  <si>
    <t>Supplementary benefit-cost view (NOT cost-effectiveness). Reused from Model 08 (VSL/VSLY). Supplementary benefit-cost columns use economic_value_e1_2 vs undiscounted incremental cost. This is NOT cost-effectiveness.</t>
  </si>
  <si>
    <t>economic_value_e1_0</t>
  </si>
  <si>
    <t>economic_value_e1_2</t>
  </si>
  <si>
    <t>economic_value_e1_5</t>
  </si>
  <si>
    <t>vsly_value_e1_0</t>
  </si>
  <si>
    <t>vsly_value_e1_2</t>
  </si>
  <si>
    <t>vsly_value_e1_5</t>
  </si>
  <si>
    <t>economic_value_e1_2_disc_r3</t>
  </si>
  <si>
    <t>vsly_value_e1_2_disc_r3</t>
  </si>
  <si>
    <t>economic_value_e1_5_disc_r3</t>
  </si>
  <si>
    <t>vsly_value_e1_5_disc_r3</t>
  </si>
  <si>
    <t>model08_deaths_averted</t>
  </si>
  <si>
    <t>benefit_cost_ratio_supp</t>
  </si>
  <si>
    <t>net_benefit_supp_usd</t>
  </si>
  <si>
    <t>item_key</t>
  </si>
  <si>
    <t>field</t>
  </si>
  <si>
    <t>problem</t>
  </si>
  <si>
    <t>severity</t>
  </si>
  <si>
    <t>cost</t>
  </si>
  <si>
    <t>cost not Indonesia-adjusted (flagged; not treated as ready)</t>
  </si>
  <si>
    <t>REVIEW</t>
  </si>
  <si>
    <t>cost price year != reporting price year (2023)</t>
  </si>
  <si>
    <t>check</t>
  </si>
  <si>
    <t>expected</t>
  </si>
  <si>
    <t>actual</t>
  </si>
  <si>
    <t>status</t>
  </si>
  <si>
    <t>note</t>
  </si>
  <si>
    <t>Intervention-cause key uniqueness</t>
  </si>
  <si>
    <t>Each selected link key appears once</t>
  </si>
  <si>
    <t>Workbook FAIL-level issues</t>
  </si>
  <si>
    <t>Blocked links/scenarios excluded (see Selected_Interventions / Input_Diagnostic)</t>
  </si>
  <si>
    <t>Workbook REVIEW-level issues</t>
  </si>
  <si>
    <t>Flagged but usable (e.g. cost not Indonesia-adjusted, missing optional component)</t>
  </si>
  <si>
    <t>Every scenario paired to baseline</t>
  </si>
  <si>
    <t>TRUE</t>
  </si>
  <si>
    <t>Deaths averted = baseline - scenario at matched location/year/cause</t>
  </si>
  <si>
    <t>No impossible negative states</t>
  </si>
  <si>
    <t>well/sick/new_cases/cause_deaths/population &gt;= 0</t>
  </si>
  <si>
    <t>Stock/flow identity pop = well + sick + all-cause deaths</t>
  </si>
  <si>
    <t>&lt;= limit</t>
  </si>
  <si>
    <t>Per cause row; small residual from 95+ pooling / rounding</t>
  </si>
  <si>
    <t>Background mortality constant across cause (not duplicated)</t>
  </si>
  <si>
    <t>1</t>
  </si>
  <si>
    <t>all.mx taken once per stratum in the R Background sheet</t>
  </si>
  <si>
    <t>Cost reconciliation (components -&gt; budget impact)</t>
  </si>
  <si>
    <t>&lt;= tol</t>
  </si>
  <si>
    <t>Excel component rows sum to Excel annual totals within tolerance</t>
  </si>
  <si>
    <t>Shared cost counted once per stratum/year</t>
  </si>
  <si>
    <t>shared-count-once components appear once per scenario-year</t>
  </si>
  <si>
    <t>CEA reconciliation (detail -&gt; summary ratio)</t>
  </si>
  <si>
    <t>consistent</t>
  </si>
  <si>
    <t>Every Cost_Effectiveness row's internal reconciliation is consistent</t>
  </si>
  <si>
    <t>Excel vs R: deaths averted (anchor scenario)</t>
  </si>
  <si>
    <t>match R</t>
  </si>
  <si>
    <t>Excel CEA deaths averted reconciles to the R engine value</t>
  </si>
  <si>
    <t>Excel vs R: discounted incremental cost (anchor scenario)</t>
  </si>
  <si>
    <t>Excel CEA discounted incremental cost reconciles to the R engine value</t>
  </si>
  <si>
    <t>Excel vs R: cost per death averted (anchor scenario)</t>
  </si>
  <si>
    <t>Excel CEA USD per death averted reconciles to the R engine value</t>
  </si>
  <si>
    <t>method_id</t>
  </si>
  <si>
    <t>concept</t>
  </si>
  <si>
    <t>formula_or_rule</t>
  </si>
  <si>
    <t>M01</t>
  </si>
  <si>
    <t>Incremental coverage</t>
  </si>
  <si>
    <t>delta_cov(t) = coverage(t) - baseline_coverage</t>
  </si>
  <si>
    <t>FairChoices_Methods sheet + https://fairchoices.w.uib.no/documentation/fairchoices-methods/</t>
  </si>
  <si>
    <t>M02</t>
  </si>
  <si>
    <t>FAIR adjusted effect</t>
  </si>
  <si>
    <t>e_adj(t) = effect_value * delta_cov(t) / (1 - effect_value * baseline_coverage)</t>
  </si>
  <si>
    <t>M03</t>
  </si>
  <si>
    <t>Affected fraction</t>
  </si>
  <si>
    <t>transition_effect(t) = e_adj(t) * affected_fraction</t>
  </si>
  <si>
    <t>M04</t>
  </si>
  <si>
    <t>Adjusted transition</t>
  </si>
  <si>
    <t>p_scenario(t) = p_baseline(t) * (1 - transition_effect(t)); prevention-&gt;incidence (IR/eff_ir), management-&gt;case fatality (CF/eff_cf)</t>
  </si>
  <si>
    <t>M05</t>
  </si>
  <si>
    <t>HF/severe mapping</t>
  </si>
  <si>
    <t>workbook sick_hf / sick_severe collapse onto the single 'sick' state via affected_fraction; NO new Markov states</t>
  </si>
  <si>
    <t>Model 04 translation table (Indonesia Markov adaptation)</t>
  </si>
  <si>
    <t>M06</t>
  </si>
  <si>
    <t>Annual component cost</t>
  </si>
  <si>
    <t>annual_cost = population_in_need * coverage(t) * frequency_per_year * unit_cost_usd</t>
  </si>
  <si>
    <t>FairChoices_Methods sheet / input workbook</t>
  </si>
  <si>
    <t>M07</t>
  </si>
  <si>
    <t>Shared cost</t>
  </si>
  <si>
    <t>shared-count-once components counted once per intervention &amp; eligible stratum, not once per affected cause</t>
  </si>
  <si>
    <t>M08</t>
  </si>
  <si>
    <t>Discounting</t>
  </si>
  <si>
    <t>discount_factor(t) = 1 / (1 + cost_discount_rate)^(t - analysis_start_year); costs discounted, death counts undiscounted</t>
  </si>
  <si>
    <t>M09</t>
  </si>
  <si>
    <t>incremental = scenario_cost - baseline_cost (undiscounted headline; discounted reported separately)</t>
  </si>
  <si>
    <t>M10</t>
  </si>
  <si>
    <t>USD per death averted = cumulative discounted incremental cost / cumulative deaths averted</t>
  </si>
  <si>
    <t>M11</t>
  </si>
  <si>
    <t>FAIR unit-cost markups</t>
  </si>
  <si>
    <t>not re-applied where indonesia_adjusted_flag = 1 (supplied adjusted costs already include them)</t>
  </si>
  <si>
    <t>FairChoices_Methods M08</t>
  </si>
  <si>
    <t>M12</t>
  </si>
  <si>
    <t>Excel formula lineage</t>
  </si>
  <si>
    <t>Formula-derived cells are light blue and depend on visible grey R source/helper cells; Calculation_Map lists the dependency chain.</t>
  </si>
  <si>
    <t>This workbook</t>
  </si>
  <si>
    <t>M13</t>
  </si>
  <si>
    <t>PIN audit quantities</t>
  </si>
  <si>
    <t>r_quantity_scenario/baseline (Annual_Cost AF:AG) retain the full-precision R population quantity used before the PIN fraction.</t>
  </si>
  <si>
    <t>Model 09 and this workbook</t>
  </si>
  <si>
    <t>M14</t>
  </si>
  <si>
    <t>Economic value boundary</t>
  </si>
  <si>
    <t>Model 08 monetary value columns are R source values; only the cost link, supplementary BCR and net benefit are recalculated here.</t>
  </si>
  <si>
    <t>Model 08 / Model 09</t>
  </si>
  <si>
    <t>output_sheet</t>
  </si>
  <si>
    <t>formula_columns</t>
  </si>
  <si>
    <t>depends_on</t>
  </si>
  <si>
    <t>calculation</t>
  </si>
  <si>
    <t>source_role</t>
  </si>
  <si>
    <t>Selected_Interventions</t>
  </si>
  <si>
    <t>P, U:V</t>
  </si>
  <si>
    <t>selected health links (J:M)</t>
  </si>
  <si>
    <t>Adjusted effect at target; key uniqueness/status</t>
  </si>
  <si>
    <t>Workbook formula</t>
  </si>
  <si>
    <t>Cost_Components</t>
  </si>
  <si>
    <t>S:V, X</t>
  </si>
  <si>
    <t>Coverage link (INDEX/MATCH) and cost-readiness rule</t>
  </si>
  <si>
    <t>Annual_Mortality</t>
  </si>
  <si>
    <t>H, J</t>
  </si>
  <si>
    <t>R aggregates E:G, I</t>
  </si>
  <si>
    <t>Deaths averted and cases averted</t>
  </si>
  <si>
    <t>Annual_Cost</t>
  </si>
  <si>
    <t>J:AE, AH</t>
  </si>
  <si>
    <t>Cost_Components; Calculation_Assumptions; R quantity AF:AG</t>
  </si>
  <si>
    <t>Coverage path, PIN, annual + discounted cost, shared-cost QA</t>
  </si>
  <si>
    <t>AF:AG</t>
  </si>
  <si>
    <t>full-precision Model 06 output</t>
  </si>
  <si>
    <t>Scenario/baseline quantity before the PIN fraction</t>
  </si>
  <si>
    <t>R value exposed for audit</t>
  </si>
  <si>
    <t>Budget_Impact</t>
  </si>
  <si>
    <t>C:H</t>
  </si>
  <si>
    <t>Annual and cumulative cost by scenario</t>
  </si>
  <si>
    <t>Cost_Effectiveness</t>
  </si>
  <si>
    <t>C:I</t>
  </si>
  <si>
    <t>Annual_Mortality; Budget_Impact; Calculation_Assumptions</t>
  </si>
  <si>
    <t>Cumulative health, cost, cost/death, dominance, reconciliation</t>
  </si>
  <si>
    <t>Economic_Value</t>
  </si>
  <si>
    <t>M:Q</t>
  </si>
  <si>
    <t>Cost_Effectiveness; Model 08 values B:L</t>
  </si>
  <si>
    <t>Cost link, supplementary benefit-cost ratio and net benefit</t>
  </si>
  <si>
    <t>QA_Checks</t>
  </si>
  <si>
    <t>C:D</t>
  </si>
  <si>
    <t>calculation + diagnostic sheets</t>
  </si>
  <si>
    <t>Invariant recomputation and Excel-vs-R reconciliation status</t>
  </si>
  <si>
    <t>Run_Metadata</t>
  </si>
  <si>
    <t>B8:B16 (subset)</t>
  </si>
  <si>
    <t>Calculation_Assumptions</t>
  </si>
  <si>
    <t>Metadata pulled from the assumptions controls</t>
  </si>
  <si>
    <t>Companion R workbook</t>
  </si>
  <si>
    <t>none</t>
  </si>
  <si>
    <t>Model 06 / Model 09</t>
  </si>
  <si>
    <t>Detailed Model_State_Trace and Background_Mortality</t>
  </si>
  <si>
    <t>R source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</si>
</sst>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"/>
    <numFmt numFmtId="166" formatCode="#,##0.0"/>
    <numFmt numFmtId="167" formatCode="0.0000"/>
  </numFmts>
  <fonts count="3">
    <font>
      <sz val="11"/>
      <color rgb="FF000000"/>
      <name val="Carlito"/>
    </font>
    <font>
      <b/>
      <sz val="11"/>
      <color rgb="FFFFFFFF"/>
      <name val="Carlito"/>
    </font>
    <font>
      <b/>
      <sz val="13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ill="1"/>
    <xf numFmtId="0" fontId="0" fillId="4" borderId="0" xfId="0" applyFill="1"/>
    <xf numFmtId="1" fontId="0" fillId="3" borderId="0" xfId="0" applyNumberFormat="1" applyFill="1"/>
    <xf numFmtId="164" fontId="0" fillId="3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6" fontId="0" fillId="4" borderId="0" xfId="0" applyNumberFormat="1" applyFill="1"/>
    <xf numFmtId="1" fontId="0" fillId="4" borderId="0" xfId="0" applyNumberFormat="1" applyFill="1"/>
    <xf numFmtId="3" fontId="0" fillId="4" borderId="0" xfId="0" applyNumberFormat="1" applyFill="1"/>
    <xf numFmtId="4" fontId="0" fillId="4" borderId="0" xfId="0" applyNumberFormat="1" applyFill="1"/>
    <xf numFmtId="0" fontId="0" fillId="0" borderId="0" xfId="0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ill="1"/>
    <xf numFmtId="164" fontId="0" fillId="5" borderId="0" xfId="0" applyNumberFormat="1" applyFill="1"/>
    <xf numFmtId="165" fontId="0" fillId="0" borderId="0" xfId="0" applyNumberFormat="1"/>
    <xf numFmtId="164" fontId="0" fillId="0" borderId="0" xfId="0" applyNumberFormat="1"/>
    <xf numFmtId="1" fontId="0" fillId="0" borderId="0" xfId="0" applyNumberFormat="1"/>
    <xf numFmtId="167" fontId="0" fillId="5" borderId="0" xfId="0" applyNumberFormat="1" applyFill="1"/>
    <xf numFmtId="3" fontId="0" fillId="0" borderId="0" xfId="0" applyNumberFormat="1"/>
    <xf numFmtId="3" fontId="0" fillId="5" borderId="0" xfId="0" applyNumberFormat="1" applyFill="1"/>
    <xf numFmtId="2" fontId="0" fillId="0" borderId="0" xfId="0" applyNumberFormat="1"/>
    <xf numFmtId="4" fontId="0" fillId="0" borderId="0" xfId="0" applyNumberFormat="1"/>
    <xf numFmtId="1" fontId="0" fillId="5" borderId="0" xfId="0" applyNumberFormat="1" applyFill="1"/>
    <xf numFmtId="3" fontId="0" fillId="0" borderId="0" xfId="0" applyNumberFormat="1" applyAlignment="1">
      <alignment vertical="top" wrapText="1"/>
    </xf>
    <xf numFmtId="2" fontId="0" fillId="5" borderId="0" xfId="0" applyNumberFormat="1" applyFill="1"/>
    <xf numFmtId="4" fontId="0" fillId="5" borderId="0" xfId="0" applyNumberFormat="1" applyFill="1"/>
    <xf numFmtId="165" fontId="0" fillId="5" borderId="0" xfId="0" applyNumberFormat="1" applyFill="1"/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8"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7"/>
  <sheetViews>
    <sheetView workbookViewId="0"/>
  </sheetViews>
  <sheetFormatPr defaultColWidth="11.19921875" defaultRowHeight="13.8"/>
  <cols>
    <col min="1" max="1" width="22.69921875" customWidth="1"/>
    <col min="2" max="2" width="118.69921875" customWidth="1"/>
  </cols>
  <sheetData>
    <row r="1" spans="1:2" ht="22.05" customHeight="1">
      <c r="A1" s="13" t="s">
        <v>76</v>
      </c>
    </row>
    <row r="3" spans="1:2">
      <c r="A3" s="1" t="s">
        <v>77</v>
      </c>
      <c r="B3" s="1" t="s">
        <v>78</v>
      </c>
    </row>
    <row r="4" spans="1:2">
      <c r="A4" t="s">
        <v>79</v>
      </c>
      <c r="B4" s="12" t="s">
        <v>80</v>
      </c>
    </row>
    <row r="5" spans="1:2" ht="27.6">
      <c r="A5" t="s">
        <v>81</v>
      </c>
      <c r="B5" s="12" t="s">
        <v>82</v>
      </c>
    </row>
    <row r="6" spans="1:2" ht="27.6">
      <c r="A6" t="s">
        <v>83</v>
      </c>
      <c r="B6" s="12" t="s">
        <v>84</v>
      </c>
    </row>
    <row r="7" spans="1:2">
      <c r="A7" t="s">
        <v>85</v>
      </c>
      <c r="B7" s="12" t="s">
        <v>86</v>
      </c>
    </row>
    <row r="8" spans="1:2" ht="27.6">
      <c r="A8" t="s">
        <v>87</v>
      </c>
      <c r="B8" s="12" t="s">
        <v>88</v>
      </c>
    </row>
    <row r="9" spans="1:2" ht="27.6">
      <c r="A9" t="s">
        <v>89</v>
      </c>
      <c r="B9" s="12" t="s">
        <v>90</v>
      </c>
    </row>
    <row r="10" spans="1:2" ht="27.6">
      <c r="A10" t="s">
        <v>91</v>
      </c>
      <c r="B10" s="12" t="s">
        <v>92</v>
      </c>
    </row>
    <row r="11" spans="1:2" ht="27.6">
      <c r="A11" t="s">
        <v>93</v>
      </c>
      <c r="B11" s="12" t="s">
        <v>94</v>
      </c>
    </row>
    <row r="12" spans="1:2" ht="27.6">
      <c r="A12" t="s">
        <v>95</v>
      </c>
      <c r="B12" s="12" t="s">
        <v>96</v>
      </c>
    </row>
    <row r="13" spans="1:2" ht="27.6">
      <c r="A13" t="s">
        <v>97</v>
      </c>
      <c r="B13" s="12" t="s">
        <v>98</v>
      </c>
    </row>
    <row r="14" spans="1:2" ht="27.6">
      <c r="A14" t="s">
        <v>99</v>
      </c>
      <c r="B14" s="12" t="s">
        <v>100</v>
      </c>
    </row>
    <row r="15" spans="1:2">
      <c r="A15" t="s">
        <v>101</v>
      </c>
      <c r="B15" s="12" t="s">
        <v>102</v>
      </c>
    </row>
    <row r="16" spans="1:2" ht="27.6">
      <c r="A16" t="s">
        <v>103</v>
      </c>
      <c r="B16" s="12" t="s">
        <v>104</v>
      </c>
    </row>
    <row r="17" spans="1:2">
      <c r="A17" t="s">
        <v>105</v>
      </c>
      <c r="B17" s="12" t="s">
        <v>106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0.69921875" customWidth="1"/>
    <col min="2" max="2" width="74.69921875" customWidth="1"/>
  </cols>
  <sheetData>
    <row r="1" spans="1:2" ht="28.05" customHeight="1">
      <c r="A1" s="1" t="s">
        <v>107</v>
      </c>
      <c r="B1" s="1" t="s">
        <v>1</v>
      </c>
    </row>
    <row r="2" spans="1:2">
      <c r="A2" t="s">
        <v>108</v>
      </c>
      <c r="B2" t="s">
        <v>109</v>
      </c>
    </row>
    <row r="3" spans="1:2">
      <c r="A3" t="s">
        <v>110</v>
      </c>
      <c r="B3" t="s">
        <v>111</v>
      </c>
    </row>
    <row r="4" spans="1:2">
      <c r="A4" t="s">
        <v>112</v>
      </c>
      <c r="B4" t="s">
        <v>113</v>
      </c>
    </row>
    <row r="5" spans="1:2">
      <c r="A5" t="s">
        <v>114</v>
      </c>
      <c r="B5" t="s">
        <v>115</v>
      </c>
    </row>
    <row r="6" spans="1:2">
      <c r="A6" t="s">
        <v>116</v>
      </c>
      <c r="B6" t="s">
        <v>117</v>
      </c>
    </row>
    <row r="7" spans="1:2">
      <c r="A7" t="s">
        <v>118</v>
      </c>
      <c r="B7" t="s">
        <v>119</v>
      </c>
    </row>
    <row r="8" spans="1:2">
      <c r="A8" t="s">
        <v>120</v>
      </c>
      <c r="B8" s="14" t="str">
        <f>Calculation_Assumptions!B2&amp;"-"&amp;Calculation_Assumptions!B3</f>
        <v>2025-2050</v>
      </c>
    </row>
    <row r="9" spans="1:2">
      <c r="A9" t="s">
        <v>121</v>
      </c>
      <c r="B9" s="14" t="str">
        <f>Calculation_Assumptions!B4</f>
        <v>baseline</v>
      </c>
    </row>
    <row r="10" spans="1:2">
      <c r="A10" t="s">
        <v>122</v>
      </c>
      <c r="B10" t="s">
        <v>123</v>
      </c>
    </row>
    <row r="11" spans="1:2">
      <c r="A11" t="s">
        <v>124</v>
      </c>
      <c r="B11" s="15">
        <f>Calculation_Assumptions!B5</f>
        <v>0.03</v>
      </c>
    </row>
    <row r="12" spans="1:2">
      <c r="A12" t="s">
        <v>125</v>
      </c>
      <c r="B12" s="14">
        <f>Calculation_Assumptions!B6</f>
        <v>2023</v>
      </c>
    </row>
    <row r="13" spans="1:2">
      <c r="A13" t="s">
        <v>126</v>
      </c>
      <c r="B13" s="14" t="str">
        <f>Calculation_Assumptions!B7</f>
        <v>USD</v>
      </c>
    </row>
    <row r="14" spans="1:2">
      <c r="A14" t="s">
        <v>127</v>
      </c>
      <c r="B14" s="14" t="str">
        <f>Calculation_Assumptions!B8</f>
        <v>health_system</v>
      </c>
    </row>
    <row r="15" spans="1:2">
      <c r="A15" t="s">
        <v>128</v>
      </c>
      <c r="B15" s="14" t="str">
        <f>Calculation_Assumptions!B9</f>
        <v>linear</v>
      </c>
    </row>
    <row r="16" spans="1:2">
      <c r="A16" t="s">
        <v>129</v>
      </c>
      <c r="B16" s="14">
        <f>Calculation_Assumptions!B10</f>
        <v>0</v>
      </c>
    </row>
    <row r="17" spans="1:2">
      <c r="A17" t="s">
        <v>131</v>
      </c>
      <c r="B17" t="s">
        <v>132</v>
      </c>
    </row>
    <row r="18" spans="1:2">
      <c r="A18" t="s">
        <v>133</v>
      </c>
      <c r="B18" t="s">
        <v>134</v>
      </c>
    </row>
    <row r="19" spans="1:2">
      <c r="A19" t="s">
        <v>135</v>
      </c>
      <c r="B19" t="s">
        <v>136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8"/>
  <sheetViews>
    <sheetView workbookViewId="0">
      <pane ySplit="1" topLeftCell="A2" activePane="bottomLeft" state="frozen"/>
      <selection pane="bottomLeft" activeCell="A16" sqref="A16"/>
    </sheetView>
  </sheetViews>
  <sheetFormatPr defaultColWidth="11.19921875" defaultRowHeight="13.8"/>
  <cols>
    <col min="1" max="1" width="17.69921875" customWidth="1"/>
    <col min="2" max="2" width="24.69921875" customWidth="1"/>
    <col min="3" max="3" width="19.69921875" customWidth="1"/>
    <col min="4" max="4" width="11.69921875" customWidth="1"/>
    <col min="5" max="6" width="12.69921875" customWidth="1"/>
    <col min="7" max="7" width="17.69921875" customWidth="1"/>
    <col min="8" max="8" width="15.69921875" customWidth="1"/>
    <col min="9" max="9" width="18.69921875" customWidth="1"/>
    <col min="10" max="10" width="14.69921875" customWidth="1"/>
    <col min="11" max="12" width="19.69921875" customWidth="1"/>
    <col min="13" max="13" width="17.69921875" customWidth="1"/>
    <col min="14" max="14" width="12.69921875" customWidth="1"/>
    <col min="15" max="15" width="13.69921875" customWidth="1"/>
    <col min="16" max="16" width="27.69921875" customWidth="1"/>
    <col min="17" max="17" width="15.69921875" customWidth="1"/>
    <col min="18" max="18" width="12.69921875" customWidth="1"/>
    <col min="19" max="19" width="15.69921875" customWidth="1"/>
    <col min="20" max="20" width="17.69921875" customWidth="1"/>
    <col min="21" max="21" width="11.69921875" customWidth="1"/>
    <col min="22" max="22" width="16.69921875" customWidth="1"/>
  </cols>
  <sheetData>
    <row r="1" spans="1:22" ht="28.05" customHeight="1">
      <c r="A1" s="1" t="s">
        <v>137</v>
      </c>
      <c r="B1" s="1" t="s">
        <v>138</v>
      </c>
      <c r="C1" s="1" t="s">
        <v>139</v>
      </c>
      <c r="D1" s="1" t="s">
        <v>140</v>
      </c>
      <c r="E1" s="1" t="s">
        <v>141</v>
      </c>
      <c r="F1" s="1" t="s">
        <v>142</v>
      </c>
      <c r="G1" s="1" t="s">
        <v>143</v>
      </c>
      <c r="H1" s="1" t="s">
        <v>144</v>
      </c>
      <c r="I1" s="1" t="s">
        <v>145</v>
      </c>
      <c r="J1" s="1" t="s">
        <v>146</v>
      </c>
      <c r="K1" s="1" t="s">
        <v>147</v>
      </c>
      <c r="L1" s="1" t="s">
        <v>148</v>
      </c>
      <c r="M1" s="1" t="s">
        <v>149</v>
      </c>
      <c r="N1" s="1" t="s">
        <v>150</v>
      </c>
      <c r="O1" s="1" t="s">
        <v>151</v>
      </c>
      <c r="P1" s="1" t="s">
        <v>152</v>
      </c>
      <c r="Q1" s="1" t="s">
        <v>153</v>
      </c>
      <c r="R1" s="1" t="s">
        <v>154</v>
      </c>
      <c r="S1" s="1" t="s">
        <v>155</v>
      </c>
      <c r="T1" s="1" t="s">
        <v>156</v>
      </c>
      <c r="U1" s="1" t="s">
        <v>157</v>
      </c>
      <c r="V1" s="1" t="s">
        <v>158</v>
      </c>
    </row>
    <row r="2" spans="1:22">
      <c r="A2" t="s">
        <v>159</v>
      </c>
      <c r="B2" t="s">
        <v>160</v>
      </c>
      <c r="C2" t="s">
        <v>161</v>
      </c>
      <c r="D2" t="s">
        <v>162</v>
      </c>
      <c r="E2" t="s">
        <v>163</v>
      </c>
      <c r="F2" t="s">
        <v>164</v>
      </c>
      <c r="G2" t="s">
        <v>165</v>
      </c>
      <c r="H2" t="s">
        <v>166</v>
      </c>
      <c r="I2" t="s">
        <v>167</v>
      </c>
      <c r="J2" s="16">
        <v>0.47</v>
      </c>
      <c r="K2" s="16">
        <v>1</v>
      </c>
      <c r="L2" s="17">
        <v>0.31</v>
      </c>
      <c r="M2" s="17">
        <v>0.8</v>
      </c>
      <c r="N2" s="18">
        <v>2025</v>
      </c>
      <c r="O2" s="18">
        <v>2050</v>
      </c>
      <c r="P2" s="19">
        <f t="shared" ref="P2:P18" si="0">IF(OR(J2="",K2="",L2="",M2=""),"",ROUND(K2*(J2*(M2-L2)/(1-J2*L2)),4))</f>
        <v>0.26960000000000001</v>
      </c>
      <c r="Q2" s="20" t="s">
        <v>168</v>
      </c>
      <c r="R2" s="20" t="s">
        <v>169</v>
      </c>
      <c r="S2" t="s">
        <v>170</v>
      </c>
      <c r="T2" s="17" t="s">
        <v>170</v>
      </c>
      <c r="U2" s="21">
        <f t="shared" ref="U2:U18" si="1">COUNTIF($B$2:$B$18,B2)</f>
        <v>1</v>
      </c>
      <c r="V2" s="14" t="str">
        <f t="shared" ref="V2:V18" si="2">IF(U2=1,"OK","DUPLICATE KEY")</f>
        <v>OK</v>
      </c>
    </row>
    <row r="3" spans="1:22">
      <c r="A3" t="s">
        <v>159</v>
      </c>
      <c r="B3" t="s">
        <v>171</v>
      </c>
      <c r="C3" t="s">
        <v>161</v>
      </c>
      <c r="D3" t="s">
        <v>172</v>
      </c>
      <c r="E3" t="s">
        <v>173</v>
      </c>
      <c r="F3" t="s">
        <v>174</v>
      </c>
      <c r="G3" t="s">
        <v>165</v>
      </c>
      <c r="H3" t="s">
        <v>166</v>
      </c>
      <c r="I3" t="s">
        <v>167</v>
      </c>
      <c r="J3" s="16">
        <v>0.49</v>
      </c>
      <c r="K3" s="16">
        <v>0.8</v>
      </c>
      <c r="L3" s="17">
        <v>0.31</v>
      </c>
      <c r="M3" s="17">
        <v>0.8</v>
      </c>
      <c r="N3" s="18">
        <v>2025</v>
      </c>
      <c r="O3" s="18">
        <v>2050</v>
      </c>
      <c r="P3" s="19">
        <f t="shared" si="0"/>
        <v>0.22650000000000001</v>
      </c>
      <c r="Q3" s="20" t="s">
        <v>168</v>
      </c>
      <c r="R3" s="20" t="s">
        <v>169</v>
      </c>
      <c r="S3" t="s">
        <v>170</v>
      </c>
      <c r="T3" s="17" t="s">
        <v>170</v>
      </c>
      <c r="U3" s="21">
        <f t="shared" si="1"/>
        <v>1</v>
      </c>
      <c r="V3" s="14" t="str">
        <f t="shared" si="2"/>
        <v>OK</v>
      </c>
    </row>
    <row r="4" spans="1:22">
      <c r="A4" t="s">
        <v>159</v>
      </c>
      <c r="B4" t="s">
        <v>175</v>
      </c>
      <c r="C4" t="s">
        <v>161</v>
      </c>
      <c r="D4" t="s">
        <v>176</v>
      </c>
      <c r="E4" t="s">
        <v>177</v>
      </c>
      <c r="F4" t="s">
        <v>178</v>
      </c>
      <c r="G4" t="s">
        <v>165</v>
      </c>
      <c r="H4" t="s">
        <v>166</v>
      </c>
      <c r="I4" t="s">
        <v>167</v>
      </c>
      <c r="J4" s="16">
        <v>0.57999999999999996</v>
      </c>
      <c r="K4" s="16">
        <v>0.8</v>
      </c>
      <c r="L4" s="17">
        <v>0.31</v>
      </c>
      <c r="M4" s="17">
        <v>0.8</v>
      </c>
      <c r="N4" s="18">
        <v>2025</v>
      </c>
      <c r="O4" s="18">
        <v>2050</v>
      </c>
      <c r="P4" s="19">
        <f t="shared" si="0"/>
        <v>0.2772</v>
      </c>
      <c r="Q4" s="20" t="s">
        <v>168</v>
      </c>
      <c r="R4" s="20" t="s">
        <v>169</v>
      </c>
      <c r="S4" t="s">
        <v>170</v>
      </c>
      <c r="T4" s="17" t="s">
        <v>170</v>
      </c>
      <c r="U4" s="21">
        <f t="shared" si="1"/>
        <v>1</v>
      </c>
      <c r="V4" s="14" t="str">
        <f t="shared" si="2"/>
        <v>OK</v>
      </c>
    </row>
    <row r="5" spans="1:22">
      <c r="A5" t="s">
        <v>159</v>
      </c>
      <c r="B5" t="s">
        <v>179</v>
      </c>
      <c r="C5" t="s">
        <v>161</v>
      </c>
      <c r="D5" t="s">
        <v>180</v>
      </c>
      <c r="E5" t="s">
        <v>181</v>
      </c>
      <c r="F5" t="s">
        <v>182</v>
      </c>
      <c r="G5" t="s">
        <v>165</v>
      </c>
      <c r="H5" t="s">
        <v>166</v>
      </c>
      <c r="I5" t="s">
        <v>167</v>
      </c>
      <c r="J5" s="16">
        <v>0.54</v>
      </c>
      <c r="K5" s="16">
        <v>0.8</v>
      </c>
      <c r="L5" s="17">
        <v>0.31</v>
      </c>
      <c r="M5" s="17">
        <v>0.8</v>
      </c>
      <c r="N5" s="18">
        <v>2025</v>
      </c>
      <c r="O5" s="18">
        <v>2050</v>
      </c>
      <c r="P5" s="19">
        <f t="shared" si="0"/>
        <v>0.25419999999999998</v>
      </c>
      <c r="Q5" s="20" t="s">
        <v>168</v>
      </c>
      <c r="R5" s="20" t="s">
        <v>169</v>
      </c>
      <c r="S5" t="s">
        <v>170</v>
      </c>
      <c r="T5" s="17" t="s">
        <v>170</v>
      </c>
      <c r="U5" s="21">
        <f t="shared" si="1"/>
        <v>1</v>
      </c>
      <c r="V5" s="14" t="str">
        <f t="shared" si="2"/>
        <v>OK</v>
      </c>
    </row>
    <row r="6" spans="1:22">
      <c r="A6" t="s">
        <v>183</v>
      </c>
      <c r="B6" t="s">
        <v>184</v>
      </c>
      <c r="C6" t="s">
        <v>185</v>
      </c>
      <c r="D6" t="s">
        <v>186</v>
      </c>
      <c r="E6" t="s">
        <v>187</v>
      </c>
      <c r="F6" t="s">
        <v>188</v>
      </c>
      <c r="G6" t="s">
        <v>189</v>
      </c>
      <c r="H6" t="s">
        <v>190</v>
      </c>
      <c r="I6" t="s">
        <v>191</v>
      </c>
      <c r="J6" s="16">
        <v>0.74</v>
      </c>
      <c r="K6" s="16">
        <v>0.2</v>
      </c>
      <c r="L6" s="17">
        <v>0.31</v>
      </c>
      <c r="M6" s="17">
        <v>0.8</v>
      </c>
      <c r="N6" s="18">
        <v>2025</v>
      </c>
      <c r="O6" s="18">
        <v>2050</v>
      </c>
      <c r="P6" s="19">
        <f t="shared" si="0"/>
        <v>9.4100000000000003E-2</v>
      </c>
      <c r="Q6" s="20" t="s">
        <v>184</v>
      </c>
      <c r="R6" s="20" t="s">
        <v>192</v>
      </c>
      <c r="S6" t="s">
        <v>170</v>
      </c>
      <c r="T6" s="17" t="s">
        <v>170</v>
      </c>
      <c r="U6" s="21">
        <f t="shared" si="1"/>
        <v>1</v>
      </c>
      <c r="V6" s="14" t="str">
        <f t="shared" si="2"/>
        <v>OK</v>
      </c>
    </row>
    <row r="7" spans="1:22">
      <c r="A7" t="s">
        <v>183</v>
      </c>
      <c r="B7" t="s">
        <v>193</v>
      </c>
      <c r="C7" t="s">
        <v>185</v>
      </c>
      <c r="D7" t="s">
        <v>162</v>
      </c>
      <c r="E7" t="s">
        <v>163</v>
      </c>
      <c r="F7" t="s">
        <v>164</v>
      </c>
      <c r="G7" t="s">
        <v>189</v>
      </c>
      <c r="H7" t="s">
        <v>194</v>
      </c>
      <c r="I7" t="s">
        <v>191</v>
      </c>
      <c r="J7" s="16">
        <v>0.74</v>
      </c>
      <c r="K7" s="16">
        <v>0.2</v>
      </c>
      <c r="L7" s="17">
        <v>0.31</v>
      </c>
      <c r="M7" s="17">
        <v>0.8</v>
      </c>
      <c r="N7" s="18">
        <v>2025</v>
      </c>
      <c r="O7" s="18">
        <v>2050</v>
      </c>
      <c r="P7" s="19">
        <f t="shared" si="0"/>
        <v>9.4100000000000003E-2</v>
      </c>
      <c r="Q7" s="20" t="s">
        <v>193</v>
      </c>
      <c r="R7" s="20" t="s">
        <v>192</v>
      </c>
      <c r="S7" t="s">
        <v>170</v>
      </c>
      <c r="T7" s="17" t="s">
        <v>170</v>
      </c>
      <c r="U7" s="21">
        <f t="shared" si="1"/>
        <v>1</v>
      </c>
      <c r="V7" s="14" t="str">
        <f t="shared" si="2"/>
        <v>OK</v>
      </c>
    </row>
    <row r="8" spans="1:22">
      <c r="A8" t="s">
        <v>183</v>
      </c>
      <c r="B8" t="s">
        <v>195</v>
      </c>
      <c r="C8" t="s">
        <v>185</v>
      </c>
      <c r="D8" t="s">
        <v>176</v>
      </c>
      <c r="E8" t="s">
        <v>177</v>
      </c>
      <c r="F8" t="s">
        <v>178</v>
      </c>
      <c r="G8" t="s">
        <v>189</v>
      </c>
      <c r="H8" t="s">
        <v>196</v>
      </c>
      <c r="I8" t="s">
        <v>191</v>
      </c>
      <c r="J8" s="16">
        <v>0.18</v>
      </c>
      <c r="K8" s="16">
        <v>0.05</v>
      </c>
      <c r="L8" s="17">
        <v>0.31</v>
      </c>
      <c r="M8" s="17">
        <v>0.8</v>
      </c>
      <c r="N8" s="18">
        <v>2025</v>
      </c>
      <c r="O8" s="18">
        <v>2050</v>
      </c>
      <c r="P8" s="19">
        <f t="shared" si="0"/>
        <v>4.7000000000000002E-3</v>
      </c>
      <c r="Q8" s="20" t="s">
        <v>195</v>
      </c>
      <c r="R8" s="20" t="s">
        <v>192</v>
      </c>
      <c r="S8" t="s">
        <v>170</v>
      </c>
      <c r="T8" s="17" t="s">
        <v>170</v>
      </c>
      <c r="U8" s="21">
        <f t="shared" si="1"/>
        <v>1</v>
      </c>
      <c r="V8" s="14" t="str">
        <f t="shared" si="2"/>
        <v>OK</v>
      </c>
    </row>
    <row r="9" spans="1:22">
      <c r="A9" t="s">
        <v>197</v>
      </c>
      <c r="B9" t="s">
        <v>198</v>
      </c>
      <c r="C9" t="s">
        <v>199</v>
      </c>
      <c r="D9" t="s">
        <v>186</v>
      </c>
      <c r="E9" t="s">
        <v>187</v>
      </c>
      <c r="F9" t="s">
        <v>188</v>
      </c>
      <c r="G9" t="s">
        <v>189</v>
      </c>
      <c r="H9" t="s">
        <v>190</v>
      </c>
      <c r="I9" t="s">
        <v>191</v>
      </c>
      <c r="J9" s="16">
        <v>0.53600000000000003</v>
      </c>
      <c r="K9" s="16">
        <v>0.8</v>
      </c>
      <c r="L9" s="17">
        <v>0.31</v>
      </c>
      <c r="M9" s="17">
        <v>0.8</v>
      </c>
      <c r="N9" s="18">
        <v>2025</v>
      </c>
      <c r="O9" s="18">
        <v>2050</v>
      </c>
      <c r="P9" s="19">
        <f t="shared" si="0"/>
        <v>0.252</v>
      </c>
      <c r="Q9" s="20" t="s">
        <v>198</v>
      </c>
      <c r="R9" s="20" t="s">
        <v>192</v>
      </c>
      <c r="S9" t="s">
        <v>170</v>
      </c>
      <c r="T9" s="17" t="s">
        <v>170</v>
      </c>
      <c r="U9" s="21">
        <f t="shared" si="1"/>
        <v>1</v>
      </c>
      <c r="V9" s="14" t="str">
        <f t="shared" si="2"/>
        <v>OK</v>
      </c>
    </row>
    <row r="10" spans="1:22">
      <c r="A10" t="s">
        <v>197</v>
      </c>
      <c r="B10" t="s">
        <v>200</v>
      </c>
      <c r="C10" t="s">
        <v>199</v>
      </c>
      <c r="D10" t="s">
        <v>162</v>
      </c>
      <c r="E10" t="s">
        <v>163</v>
      </c>
      <c r="F10" t="s">
        <v>164</v>
      </c>
      <c r="G10" t="s">
        <v>189</v>
      </c>
      <c r="H10" t="s">
        <v>194</v>
      </c>
      <c r="I10" t="s">
        <v>191</v>
      </c>
      <c r="J10" s="16">
        <v>0.27500000000000002</v>
      </c>
      <c r="K10" s="16">
        <v>0.8</v>
      </c>
      <c r="L10" s="17">
        <v>0.31</v>
      </c>
      <c r="M10" s="17">
        <v>0.8</v>
      </c>
      <c r="N10" s="18">
        <v>2025</v>
      </c>
      <c r="O10" s="18">
        <v>2050</v>
      </c>
      <c r="P10" s="19">
        <f t="shared" si="0"/>
        <v>0.1178</v>
      </c>
      <c r="Q10" s="20" t="s">
        <v>200</v>
      </c>
      <c r="R10" s="20" t="s">
        <v>192</v>
      </c>
      <c r="S10" t="s">
        <v>170</v>
      </c>
      <c r="T10" s="17" t="s">
        <v>170</v>
      </c>
      <c r="U10" s="21">
        <f t="shared" si="1"/>
        <v>1</v>
      </c>
      <c r="V10" s="14" t="str">
        <f t="shared" si="2"/>
        <v>OK</v>
      </c>
    </row>
    <row r="11" spans="1:22">
      <c r="A11" t="s">
        <v>197</v>
      </c>
      <c r="B11" t="s">
        <v>201</v>
      </c>
      <c r="C11" t="s">
        <v>199</v>
      </c>
      <c r="D11" t="s">
        <v>176</v>
      </c>
      <c r="E11" t="s">
        <v>177</v>
      </c>
      <c r="F11" t="s">
        <v>178</v>
      </c>
      <c r="G11" t="s">
        <v>189</v>
      </c>
      <c r="H11" t="s">
        <v>196</v>
      </c>
      <c r="I11" t="s">
        <v>191</v>
      </c>
      <c r="J11" s="16">
        <v>9.2999999999999999E-2</v>
      </c>
      <c r="K11" s="16">
        <v>0.2</v>
      </c>
      <c r="L11" s="17">
        <v>0.31</v>
      </c>
      <c r="M11" s="17">
        <v>0.8</v>
      </c>
      <c r="N11" s="18">
        <v>2025</v>
      </c>
      <c r="O11" s="18">
        <v>2050</v>
      </c>
      <c r="P11" s="19">
        <f t="shared" si="0"/>
        <v>9.4000000000000004E-3</v>
      </c>
      <c r="Q11" s="20" t="s">
        <v>201</v>
      </c>
      <c r="R11" s="20" t="s">
        <v>192</v>
      </c>
      <c r="S11" t="s">
        <v>170</v>
      </c>
      <c r="T11" s="17" t="s">
        <v>170</v>
      </c>
      <c r="U11" s="21">
        <f t="shared" si="1"/>
        <v>1</v>
      </c>
      <c r="V11" s="14" t="str">
        <f t="shared" si="2"/>
        <v>OK</v>
      </c>
    </row>
    <row r="12" spans="1:22">
      <c r="A12" t="s">
        <v>202</v>
      </c>
      <c r="B12" t="s">
        <v>203</v>
      </c>
      <c r="C12" t="s">
        <v>204</v>
      </c>
      <c r="D12" t="s">
        <v>176</v>
      </c>
      <c r="E12" t="s">
        <v>177</v>
      </c>
      <c r="F12" t="s">
        <v>178</v>
      </c>
      <c r="G12" t="s">
        <v>166</v>
      </c>
      <c r="H12" t="s">
        <v>196</v>
      </c>
      <c r="I12" t="s">
        <v>191</v>
      </c>
      <c r="J12" s="16">
        <v>0.58220000000000005</v>
      </c>
      <c r="K12" s="16">
        <v>0.2</v>
      </c>
      <c r="L12" s="17">
        <v>0.31</v>
      </c>
      <c r="M12" s="17">
        <v>0.8</v>
      </c>
      <c r="N12" s="18">
        <v>2025</v>
      </c>
      <c r="O12" s="18">
        <v>2050</v>
      </c>
      <c r="P12" s="19">
        <f t="shared" si="0"/>
        <v>6.9599999999999995E-2</v>
      </c>
      <c r="Q12" s="20" t="s">
        <v>203</v>
      </c>
      <c r="R12" s="20" t="s">
        <v>192</v>
      </c>
      <c r="S12" t="s">
        <v>170</v>
      </c>
      <c r="T12" s="17" t="s">
        <v>170</v>
      </c>
      <c r="U12" s="21">
        <f t="shared" si="1"/>
        <v>1</v>
      </c>
      <c r="V12" s="14" t="str">
        <f t="shared" si="2"/>
        <v>OK</v>
      </c>
    </row>
    <row r="13" spans="1:22">
      <c r="A13" t="s">
        <v>205</v>
      </c>
      <c r="B13" t="s">
        <v>206</v>
      </c>
      <c r="C13" t="s">
        <v>207</v>
      </c>
      <c r="D13" t="s">
        <v>208</v>
      </c>
      <c r="E13" t="s">
        <v>209</v>
      </c>
      <c r="F13" t="s">
        <v>210</v>
      </c>
      <c r="G13" t="s">
        <v>166</v>
      </c>
      <c r="H13" t="s">
        <v>211</v>
      </c>
      <c r="I13" t="s">
        <v>191</v>
      </c>
      <c r="J13" s="16">
        <v>0.55000000000000004</v>
      </c>
      <c r="K13" s="16">
        <v>1</v>
      </c>
      <c r="L13" s="17">
        <v>0.31</v>
      </c>
      <c r="M13" s="17">
        <v>0.8</v>
      </c>
      <c r="N13" s="18">
        <v>2025</v>
      </c>
      <c r="O13" s="18">
        <v>2050</v>
      </c>
      <c r="P13" s="19">
        <f t="shared" si="0"/>
        <v>0.32490000000000002</v>
      </c>
      <c r="Q13" s="20" t="s">
        <v>206</v>
      </c>
      <c r="R13" s="20" t="s">
        <v>192</v>
      </c>
      <c r="S13" t="s">
        <v>170</v>
      </c>
      <c r="T13" s="17" t="s">
        <v>170</v>
      </c>
      <c r="U13" s="21">
        <f t="shared" si="1"/>
        <v>1</v>
      </c>
      <c r="V13" s="14" t="str">
        <f t="shared" si="2"/>
        <v>OK</v>
      </c>
    </row>
    <row r="14" spans="1:22">
      <c r="A14" t="s">
        <v>212</v>
      </c>
      <c r="B14" t="s">
        <v>213</v>
      </c>
      <c r="C14" t="s">
        <v>214</v>
      </c>
      <c r="D14" t="s">
        <v>208</v>
      </c>
      <c r="E14" t="s">
        <v>209</v>
      </c>
      <c r="F14" t="s">
        <v>210</v>
      </c>
      <c r="G14" t="s">
        <v>215</v>
      </c>
      <c r="H14" t="s">
        <v>211</v>
      </c>
      <c r="I14" t="s">
        <v>191</v>
      </c>
      <c r="J14" s="16">
        <v>0.75</v>
      </c>
      <c r="K14" s="16">
        <v>0.09</v>
      </c>
      <c r="L14" s="17">
        <v>0.1</v>
      </c>
      <c r="M14" s="17">
        <v>0.8</v>
      </c>
      <c r="N14" s="18">
        <v>2025</v>
      </c>
      <c r="O14" s="18">
        <v>2050</v>
      </c>
      <c r="P14" s="19">
        <f t="shared" si="0"/>
        <v>5.11E-2</v>
      </c>
      <c r="Q14" s="20" t="s">
        <v>213</v>
      </c>
      <c r="R14" s="20" t="s">
        <v>192</v>
      </c>
      <c r="S14" t="s">
        <v>216</v>
      </c>
      <c r="T14" s="17" t="s">
        <v>170</v>
      </c>
      <c r="U14" s="21">
        <f t="shared" si="1"/>
        <v>1</v>
      </c>
      <c r="V14" s="14" t="str">
        <f t="shared" si="2"/>
        <v>OK</v>
      </c>
    </row>
    <row r="15" spans="1:22">
      <c r="A15" t="s">
        <v>217</v>
      </c>
      <c r="B15" t="s">
        <v>218</v>
      </c>
      <c r="C15" t="s">
        <v>219</v>
      </c>
      <c r="D15" t="s">
        <v>172</v>
      </c>
      <c r="E15" t="s">
        <v>173</v>
      </c>
      <c r="F15" t="s">
        <v>174</v>
      </c>
      <c r="G15" t="s">
        <v>166</v>
      </c>
      <c r="H15" t="s">
        <v>220</v>
      </c>
      <c r="I15" t="s">
        <v>191</v>
      </c>
      <c r="J15" s="16">
        <v>0.08</v>
      </c>
      <c r="K15" s="16">
        <v>0.2</v>
      </c>
      <c r="L15" s="17">
        <v>0.31</v>
      </c>
      <c r="M15" s="17">
        <v>0.8</v>
      </c>
      <c r="N15" s="18">
        <v>2025</v>
      </c>
      <c r="O15" s="18">
        <v>2050</v>
      </c>
      <c r="P15" s="19">
        <f t="shared" si="0"/>
        <v>8.0000000000000002E-3</v>
      </c>
      <c r="Q15" s="20" t="s">
        <v>218</v>
      </c>
      <c r="R15" s="20" t="s">
        <v>192</v>
      </c>
      <c r="S15" t="s">
        <v>170</v>
      </c>
      <c r="T15" s="17" t="s">
        <v>170</v>
      </c>
      <c r="U15" s="21">
        <f t="shared" si="1"/>
        <v>1</v>
      </c>
      <c r="V15" s="14" t="str">
        <f t="shared" si="2"/>
        <v>OK</v>
      </c>
    </row>
    <row r="16" spans="1:22">
      <c r="A16" t="s">
        <v>217</v>
      </c>
      <c r="B16" t="s">
        <v>221</v>
      </c>
      <c r="C16" t="s">
        <v>219</v>
      </c>
      <c r="D16" t="s">
        <v>180</v>
      </c>
      <c r="E16" t="s">
        <v>181</v>
      </c>
      <c r="F16" t="s">
        <v>182</v>
      </c>
      <c r="G16" t="s">
        <v>166</v>
      </c>
      <c r="H16" t="s">
        <v>222</v>
      </c>
      <c r="I16" t="s">
        <v>191</v>
      </c>
      <c r="J16" s="16">
        <v>0.23</v>
      </c>
      <c r="K16" s="16">
        <v>0.2</v>
      </c>
      <c r="L16" s="17">
        <v>0.31</v>
      </c>
      <c r="M16" s="17">
        <v>0.8</v>
      </c>
      <c r="N16" s="18">
        <v>2025</v>
      </c>
      <c r="O16" s="18">
        <v>2050</v>
      </c>
      <c r="P16" s="19">
        <f t="shared" si="0"/>
        <v>2.4299999999999999E-2</v>
      </c>
      <c r="Q16" s="20" t="s">
        <v>221</v>
      </c>
      <c r="R16" s="20" t="s">
        <v>192</v>
      </c>
      <c r="S16" t="s">
        <v>170</v>
      </c>
      <c r="T16" s="17" t="s">
        <v>170</v>
      </c>
      <c r="U16" s="21">
        <f t="shared" si="1"/>
        <v>1</v>
      </c>
      <c r="V16" s="14" t="str">
        <f t="shared" si="2"/>
        <v>OK</v>
      </c>
    </row>
    <row r="17" spans="1:22">
      <c r="A17" t="s">
        <v>223</v>
      </c>
      <c r="B17" t="s">
        <v>224</v>
      </c>
      <c r="C17" t="s">
        <v>225</v>
      </c>
      <c r="D17" t="s">
        <v>226</v>
      </c>
      <c r="E17" t="s">
        <v>227</v>
      </c>
      <c r="F17" t="s">
        <v>228</v>
      </c>
      <c r="G17" t="s">
        <v>166</v>
      </c>
      <c r="H17" t="s">
        <v>229</v>
      </c>
      <c r="I17" t="s">
        <v>191</v>
      </c>
      <c r="J17" s="16">
        <v>0.28000000000000003</v>
      </c>
      <c r="K17" s="16">
        <v>1</v>
      </c>
      <c r="L17" s="17">
        <v>0.31</v>
      </c>
      <c r="M17" s="17">
        <v>0.8</v>
      </c>
      <c r="N17" s="18">
        <v>2025</v>
      </c>
      <c r="O17" s="18">
        <v>2050</v>
      </c>
      <c r="P17" s="19">
        <f t="shared" si="0"/>
        <v>0.1502</v>
      </c>
      <c r="Q17" s="20" t="s">
        <v>224</v>
      </c>
      <c r="R17" s="20" t="s">
        <v>192</v>
      </c>
      <c r="S17" t="s">
        <v>170</v>
      </c>
      <c r="T17" s="17" t="s">
        <v>230</v>
      </c>
      <c r="U17" s="21">
        <f t="shared" si="1"/>
        <v>1</v>
      </c>
      <c r="V17" s="14" t="str">
        <f t="shared" si="2"/>
        <v>OK</v>
      </c>
    </row>
    <row r="18" spans="1:22">
      <c r="A18" t="s">
        <v>223</v>
      </c>
      <c r="B18" t="s">
        <v>231</v>
      </c>
      <c r="C18" t="s">
        <v>225</v>
      </c>
      <c r="D18" t="s">
        <v>176</v>
      </c>
      <c r="E18" t="s">
        <v>177</v>
      </c>
      <c r="F18" t="s">
        <v>178</v>
      </c>
      <c r="G18" t="s">
        <v>166</v>
      </c>
      <c r="H18" t="s">
        <v>196</v>
      </c>
      <c r="I18" t="s">
        <v>191</v>
      </c>
      <c r="J18" s="16">
        <v>0.15</v>
      </c>
      <c r="K18" s="16">
        <v>0.15</v>
      </c>
      <c r="L18" s="17">
        <v>0.31</v>
      </c>
      <c r="M18" s="17">
        <v>0.8</v>
      </c>
      <c r="N18" s="18">
        <v>2025</v>
      </c>
      <c r="O18" s="18">
        <v>2050</v>
      </c>
      <c r="P18" s="19">
        <f t="shared" si="0"/>
        <v>1.1599999999999999E-2</v>
      </c>
      <c r="Q18" s="20" t="s">
        <v>224</v>
      </c>
      <c r="R18" s="20" t="s">
        <v>169</v>
      </c>
      <c r="S18" t="s">
        <v>216</v>
      </c>
      <c r="T18" s="17" t="s">
        <v>230</v>
      </c>
      <c r="U18" s="21">
        <f t="shared" si="1"/>
        <v>1</v>
      </c>
      <c r="V18" s="14" t="str">
        <f t="shared" si="2"/>
        <v>OK</v>
      </c>
    </row>
  </sheetData>
  <autoFilter ref="A1:V1" xr:uid="{00000000-0009-0000-0000-000002000000}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27"/>
  <sheetViews>
    <sheetView workbookViewId="0">
      <pane ySplit="1" topLeftCell="A5" activePane="bottomLeft" state="frozen"/>
      <selection pane="bottomLeft" activeCell="A19" sqref="A19"/>
    </sheetView>
  </sheetViews>
  <sheetFormatPr defaultColWidth="11.19921875" defaultRowHeight="13.8"/>
  <cols>
    <col min="1" max="1" width="16.69921875" customWidth="1"/>
    <col min="2" max="2" width="20.69921875" customWidth="1"/>
    <col min="3" max="3" width="13.69921875" customWidth="1"/>
    <col min="4" max="4" width="17.69921875" customWidth="1"/>
    <col min="5" max="5" width="11.69921875" customWidth="1"/>
    <col min="6" max="6" width="12.69921875" customWidth="1"/>
    <col min="7" max="7" width="15.69921875" customWidth="1"/>
    <col min="8" max="8" width="12.69921875" customWidth="1"/>
    <col min="9" max="9" width="16.69921875" customWidth="1"/>
    <col min="10" max="10" width="28.69921875" customWidth="1"/>
    <col min="11" max="11" width="29.69921875" customWidth="1"/>
    <col min="12" max="12" width="20.69921875" customWidth="1"/>
    <col min="13" max="13" width="13.69921875" customWidth="1"/>
    <col min="14" max="14" width="12.69921875" customWidth="1"/>
    <col min="15" max="15" width="11.69921875" customWidth="1"/>
    <col min="16" max="16" width="15.69921875" customWidth="1"/>
    <col min="17" max="17" width="12.69921875" customWidth="1"/>
    <col min="18" max="18" width="25.69921875" customWidth="1"/>
    <col min="19" max="19" width="14.69921875" customWidth="1"/>
    <col min="20" max="20" width="12.69921875" customWidth="1"/>
    <col min="21" max="21" width="16.69921875" customWidth="1"/>
    <col min="22" max="22" width="17.69921875" customWidth="1"/>
    <col min="23" max="23" width="13.69921875" customWidth="1"/>
    <col min="24" max="24" width="12.69921875" customWidth="1"/>
  </cols>
  <sheetData>
    <row r="1" spans="1:24" ht="28.05" customHeight="1">
      <c r="A1" s="1" t="s">
        <v>232</v>
      </c>
      <c r="B1" s="1" t="s">
        <v>233</v>
      </c>
      <c r="C1" s="1" t="s">
        <v>234</v>
      </c>
      <c r="D1" s="1" t="s">
        <v>137</v>
      </c>
      <c r="E1" s="1" t="s">
        <v>140</v>
      </c>
      <c r="F1" s="1" t="s">
        <v>141</v>
      </c>
      <c r="G1" s="1" t="s">
        <v>153</v>
      </c>
      <c r="H1" s="1" t="s">
        <v>154</v>
      </c>
      <c r="I1" s="1" t="s">
        <v>235</v>
      </c>
      <c r="J1" s="1" t="s">
        <v>236</v>
      </c>
      <c r="K1" s="1" t="s">
        <v>237</v>
      </c>
      <c r="L1" s="1" t="s">
        <v>238</v>
      </c>
      <c r="M1" s="1" t="s">
        <v>239</v>
      </c>
      <c r="N1" s="1" t="s">
        <v>240</v>
      </c>
      <c r="O1" s="1" t="s">
        <v>241</v>
      </c>
      <c r="P1" s="1" t="s">
        <v>242</v>
      </c>
      <c r="Q1" s="1" t="s">
        <v>243</v>
      </c>
      <c r="R1" s="1" t="s">
        <v>244</v>
      </c>
      <c r="S1" s="1" t="s">
        <v>245</v>
      </c>
      <c r="T1" s="1" t="s">
        <v>246</v>
      </c>
      <c r="U1" s="1" t="s">
        <v>247</v>
      </c>
      <c r="V1" s="1" t="s">
        <v>248</v>
      </c>
      <c r="W1" s="1" t="s">
        <v>249</v>
      </c>
      <c r="X1" s="1" t="s">
        <v>250</v>
      </c>
    </row>
    <row r="2" spans="1:24" ht="55.2">
      <c r="A2" s="20" t="s">
        <v>251</v>
      </c>
      <c r="B2" s="20" t="s">
        <v>252</v>
      </c>
      <c r="C2" s="20" t="s">
        <v>253</v>
      </c>
      <c r="D2" t="s">
        <v>159</v>
      </c>
      <c r="E2" t="s">
        <v>254</v>
      </c>
      <c r="G2" s="20" t="s">
        <v>168</v>
      </c>
      <c r="H2" s="20" t="s">
        <v>169</v>
      </c>
      <c r="I2" s="25" t="s">
        <v>255</v>
      </c>
      <c r="J2" s="20" t="s">
        <v>75</v>
      </c>
      <c r="K2" s="17">
        <v>0.06</v>
      </c>
      <c r="L2" s="22">
        <v>1</v>
      </c>
      <c r="M2" s="18">
        <v>30</v>
      </c>
      <c r="N2" s="18">
        <v>95</v>
      </c>
      <c r="O2" t="s">
        <v>256</v>
      </c>
      <c r="P2" s="23">
        <v>22.229600000000001</v>
      </c>
      <c r="Q2" s="18">
        <v>2023</v>
      </c>
      <c r="R2">
        <v>1</v>
      </c>
      <c r="S2" s="15">
        <f>IFERROR(INDEX(Selected_Interventions!$L$2:$L$18,MATCH(G2,Selected_Interventions!$Q$2:$Q$18,0)),"")</f>
        <v>0.31</v>
      </c>
      <c r="T2" s="15">
        <f>IFERROR(INDEX(Selected_Interventions!$M$2:$M$18,MATCH(G2,Selected_Interventions!$Q$2:$Q$18,0)),"")</f>
        <v>0.8</v>
      </c>
      <c r="U2" s="24">
        <f>IFERROR(INDEX(Selected_Interventions!$N$2:$N$18,MATCH(G2,Selected_Interventions!$Q$2:$Q$18,0)),"")</f>
        <v>2025</v>
      </c>
      <c r="V2" s="24">
        <f>IFERROR(INDEX(Selected_Interventions!$O$2:$O$18,MATCH(G2,Selected_Interventions!$Q$2:$Q$18,0)),"")</f>
        <v>2050</v>
      </c>
      <c r="W2" s="20" t="s">
        <v>216</v>
      </c>
      <c r="X2" s="21">
        <f t="shared" ref="X2:X27" si="0">IF(AND(P2&lt;&gt;"",P2&gt;=0,S2&lt;&gt;"",K2&lt;&gt;"",K2&gt;=0,K2&lt;=1,OR(J2="all",J2="prevalence",J2="incidence")),1,0)</f>
        <v>1</v>
      </c>
    </row>
    <row r="3" spans="1:24" ht="27.6">
      <c r="A3" s="20" t="s">
        <v>257</v>
      </c>
      <c r="B3" s="20" t="s">
        <v>258</v>
      </c>
      <c r="C3" s="20" t="s">
        <v>253</v>
      </c>
      <c r="D3" t="s">
        <v>159</v>
      </c>
      <c r="E3" t="s">
        <v>254</v>
      </c>
      <c r="G3" s="20" t="s">
        <v>168</v>
      </c>
      <c r="H3" s="20" t="s">
        <v>169</v>
      </c>
      <c r="I3" s="25" t="s">
        <v>259</v>
      </c>
      <c r="J3" s="20" t="s">
        <v>75</v>
      </c>
      <c r="K3" s="17">
        <v>0.2</v>
      </c>
      <c r="L3" s="22">
        <v>1</v>
      </c>
      <c r="M3" s="18">
        <v>30</v>
      </c>
      <c r="N3" s="18">
        <v>95</v>
      </c>
      <c r="O3" t="s">
        <v>256</v>
      </c>
      <c r="P3" s="23">
        <v>1.2915840000000001</v>
      </c>
      <c r="Q3" s="18">
        <v>2023</v>
      </c>
      <c r="R3">
        <v>1</v>
      </c>
      <c r="S3" s="15">
        <f>IFERROR(INDEX(Selected_Interventions!$L$2:$L$18,MATCH(G3,Selected_Interventions!$Q$2:$Q$18,0)),"")</f>
        <v>0.31</v>
      </c>
      <c r="T3" s="15">
        <f>IFERROR(INDEX(Selected_Interventions!$M$2:$M$18,MATCH(G3,Selected_Interventions!$Q$2:$Q$18,0)),"")</f>
        <v>0.8</v>
      </c>
      <c r="U3" s="24">
        <f>IFERROR(INDEX(Selected_Interventions!$N$2:$N$18,MATCH(G3,Selected_Interventions!$Q$2:$Q$18,0)),"")</f>
        <v>2025</v>
      </c>
      <c r="V3" s="24">
        <f>IFERROR(INDEX(Selected_Interventions!$O$2:$O$18,MATCH(G3,Selected_Interventions!$Q$2:$Q$18,0)),"")</f>
        <v>2050</v>
      </c>
      <c r="W3" s="20" t="s">
        <v>216</v>
      </c>
      <c r="X3" s="21">
        <f t="shared" si="0"/>
        <v>1</v>
      </c>
    </row>
    <row r="4" spans="1:24" ht="41.4">
      <c r="A4" s="20" t="s">
        <v>260</v>
      </c>
      <c r="B4" s="20" t="s">
        <v>261</v>
      </c>
      <c r="C4" s="20" t="s">
        <v>262</v>
      </c>
      <c r="D4" t="s">
        <v>183</v>
      </c>
      <c r="E4" t="s">
        <v>186</v>
      </c>
      <c r="F4" t="s">
        <v>187</v>
      </c>
      <c r="G4" s="20" t="s">
        <v>184</v>
      </c>
      <c r="H4" s="20" t="s">
        <v>192</v>
      </c>
      <c r="I4" s="25" t="s">
        <v>263</v>
      </c>
      <c r="J4" s="20" t="s">
        <v>264</v>
      </c>
      <c r="K4" s="17">
        <v>0.5</v>
      </c>
      <c r="L4" s="22">
        <v>1</v>
      </c>
      <c r="M4" s="18">
        <v>30</v>
      </c>
      <c r="N4" s="18">
        <v>95</v>
      </c>
      <c r="O4" t="s">
        <v>256</v>
      </c>
      <c r="P4" s="23">
        <v>282.51283599999999</v>
      </c>
      <c r="Q4" s="18">
        <v>2023</v>
      </c>
      <c r="R4">
        <v>1</v>
      </c>
      <c r="S4" s="15">
        <f>IFERROR(INDEX(Selected_Interventions!$L$2:$L$18,MATCH(G4,Selected_Interventions!$Q$2:$Q$18,0)),"")</f>
        <v>0.31</v>
      </c>
      <c r="T4" s="15">
        <f>IFERROR(INDEX(Selected_Interventions!$M$2:$M$18,MATCH(G4,Selected_Interventions!$Q$2:$Q$18,0)),"")</f>
        <v>0.8</v>
      </c>
      <c r="U4" s="24">
        <f>IFERROR(INDEX(Selected_Interventions!$N$2:$N$18,MATCH(G4,Selected_Interventions!$Q$2:$Q$18,0)),"")</f>
        <v>2025</v>
      </c>
      <c r="V4" s="24">
        <f>IFERROR(INDEX(Selected_Interventions!$O$2:$O$18,MATCH(G4,Selected_Interventions!$Q$2:$Q$18,0)),"")</f>
        <v>2050</v>
      </c>
      <c r="W4" s="20" t="s">
        <v>170</v>
      </c>
      <c r="X4" s="21">
        <f t="shared" si="0"/>
        <v>1</v>
      </c>
    </row>
    <row r="5" spans="1:24" ht="41.4">
      <c r="A5" s="20" t="s">
        <v>265</v>
      </c>
      <c r="B5" s="20" t="s">
        <v>266</v>
      </c>
      <c r="C5" s="20" t="s">
        <v>262</v>
      </c>
      <c r="D5" t="s">
        <v>183</v>
      </c>
      <c r="E5" t="s">
        <v>162</v>
      </c>
      <c r="F5" t="s">
        <v>163</v>
      </c>
      <c r="G5" s="20" t="s">
        <v>193</v>
      </c>
      <c r="H5" s="20" t="s">
        <v>192</v>
      </c>
      <c r="I5" s="25" t="s">
        <v>263</v>
      </c>
      <c r="J5" s="20" t="s">
        <v>264</v>
      </c>
      <c r="K5" s="17">
        <v>0.5</v>
      </c>
      <c r="L5" s="22">
        <v>1</v>
      </c>
      <c r="M5" s="18">
        <v>30</v>
      </c>
      <c r="N5" s="18">
        <v>95</v>
      </c>
      <c r="O5" t="s">
        <v>256</v>
      </c>
      <c r="P5" s="23">
        <v>282.51283599999999</v>
      </c>
      <c r="Q5" s="18">
        <v>2023</v>
      </c>
      <c r="R5">
        <v>1</v>
      </c>
      <c r="S5" s="15">
        <f>IFERROR(INDEX(Selected_Interventions!$L$2:$L$18,MATCH(G5,Selected_Interventions!$Q$2:$Q$18,0)),"")</f>
        <v>0.31</v>
      </c>
      <c r="T5" s="15">
        <f>IFERROR(INDEX(Selected_Interventions!$M$2:$M$18,MATCH(G5,Selected_Interventions!$Q$2:$Q$18,0)),"")</f>
        <v>0.8</v>
      </c>
      <c r="U5" s="24">
        <f>IFERROR(INDEX(Selected_Interventions!$N$2:$N$18,MATCH(G5,Selected_Interventions!$Q$2:$Q$18,0)),"")</f>
        <v>2025</v>
      </c>
      <c r="V5" s="24">
        <f>IFERROR(INDEX(Selected_Interventions!$O$2:$O$18,MATCH(G5,Selected_Interventions!$Q$2:$Q$18,0)),"")</f>
        <v>2050</v>
      </c>
      <c r="W5" s="20" t="s">
        <v>170</v>
      </c>
      <c r="X5" s="21">
        <f t="shared" si="0"/>
        <v>1</v>
      </c>
    </row>
    <row r="6" spans="1:24" ht="41.4">
      <c r="A6" s="20" t="s">
        <v>267</v>
      </c>
      <c r="B6" s="20" t="s">
        <v>268</v>
      </c>
      <c r="C6" s="20" t="s">
        <v>262</v>
      </c>
      <c r="D6" t="s">
        <v>183</v>
      </c>
      <c r="E6" t="s">
        <v>176</v>
      </c>
      <c r="F6" t="s">
        <v>177</v>
      </c>
      <c r="G6" s="20" t="s">
        <v>195</v>
      </c>
      <c r="H6" s="20" t="s">
        <v>192</v>
      </c>
      <c r="I6" s="25" t="s">
        <v>263</v>
      </c>
      <c r="J6" s="20" t="s">
        <v>264</v>
      </c>
      <c r="K6" s="17">
        <v>0.1</v>
      </c>
      <c r="L6" s="22">
        <v>1</v>
      </c>
      <c r="M6" s="18">
        <v>30</v>
      </c>
      <c r="N6" s="18">
        <v>95</v>
      </c>
      <c r="O6" t="s">
        <v>256</v>
      </c>
      <c r="P6" s="23">
        <v>282.51283599999999</v>
      </c>
      <c r="Q6" s="18">
        <v>2023</v>
      </c>
      <c r="R6">
        <v>1</v>
      </c>
      <c r="S6" s="15">
        <f>IFERROR(INDEX(Selected_Interventions!$L$2:$L$18,MATCH(G6,Selected_Interventions!$Q$2:$Q$18,0)),"")</f>
        <v>0.31</v>
      </c>
      <c r="T6" s="15">
        <f>IFERROR(INDEX(Selected_Interventions!$M$2:$M$18,MATCH(G6,Selected_Interventions!$Q$2:$Q$18,0)),"")</f>
        <v>0.8</v>
      </c>
      <c r="U6" s="24">
        <f>IFERROR(INDEX(Selected_Interventions!$N$2:$N$18,MATCH(G6,Selected_Interventions!$Q$2:$Q$18,0)),"")</f>
        <v>2025</v>
      </c>
      <c r="V6" s="24">
        <f>IFERROR(INDEX(Selected_Interventions!$O$2:$O$18,MATCH(G6,Selected_Interventions!$Q$2:$Q$18,0)),"")</f>
        <v>2050</v>
      </c>
      <c r="W6" s="20" t="s">
        <v>170</v>
      </c>
      <c r="X6" s="21">
        <f t="shared" si="0"/>
        <v>1</v>
      </c>
    </row>
    <row r="7" spans="1:24" ht="27.6">
      <c r="A7" s="20" t="s">
        <v>269</v>
      </c>
      <c r="B7" s="20" t="s">
        <v>270</v>
      </c>
      <c r="C7" s="20" t="s">
        <v>262</v>
      </c>
      <c r="D7" t="s">
        <v>197</v>
      </c>
      <c r="E7" t="s">
        <v>186</v>
      </c>
      <c r="F7" t="s">
        <v>187</v>
      </c>
      <c r="G7" s="20" t="s">
        <v>198</v>
      </c>
      <c r="H7" s="20" t="s">
        <v>192</v>
      </c>
      <c r="I7" s="25" t="s">
        <v>271</v>
      </c>
      <c r="J7" s="20" t="s">
        <v>264</v>
      </c>
      <c r="K7" s="17">
        <v>1</v>
      </c>
      <c r="L7" s="22">
        <v>1</v>
      </c>
      <c r="M7" s="18">
        <v>0</v>
      </c>
      <c r="N7" s="18">
        <v>95</v>
      </c>
      <c r="O7" t="s">
        <v>256</v>
      </c>
      <c r="P7" s="23">
        <v>5.133311</v>
      </c>
      <c r="Q7" s="18">
        <v>2023</v>
      </c>
      <c r="R7">
        <v>1</v>
      </c>
      <c r="S7" s="15">
        <f>IFERROR(INDEX(Selected_Interventions!$L$2:$L$18,MATCH(G7,Selected_Interventions!$Q$2:$Q$18,0)),"")</f>
        <v>0.31</v>
      </c>
      <c r="T7" s="15">
        <f>IFERROR(INDEX(Selected_Interventions!$M$2:$M$18,MATCH(G7,Selected_Interventions!$Q$2:$Q$18,0)),"")</f>
        <v>0.8</v>
      </c>
      <c r="U7" s="24">
        <f>IFERROR(INDEX(Selected_Interventions!$N$2:$N$18,MATCH(G7,Selected_Interventions!$Q$2:$Q$18,0)),"")</f>
        <v>2025</v>
      </c>
      <c r="V7" s="24">
        <f>IFERROR(INDEX(Selected_Interventions!$O$2:$O$18,MATCH(G7,Selected_Interventions!$Q$2:$Q$18,0)),"")</f>
        <v>2050</v>
      </c>
      <c r="W7" s="20" t="s">
        <v>170</v>
      </c>
      <c r="X7" s="21">
        <f t="shared" si="0"/>
        <v>1</v>
      </c>
    </row>
    <row r="8" spans="1:24" ht="27.6">
      <c r="A8" s="20" t="s">
        <v>272</v>
      </c>
      <c r="B8" s="20" t="s">
        <v>273</v>
      </c>
      <c r="C8" s="20" t="s">
        <v>253</v>
      </c>
      <c r="D8" t="s">
        <v>197</v>
      </c>
      <c r="E8" t="s">
        <v>186</v>
      </c>
      <c r="F8" t="s">
        <v>187</v>
      </c>
      <c r="G8" s="20" t="s">
        <v>198</v>
      </c>
      <c r="H8" s="20" t="s">
        <v>192</v>
      </c>
      <c r="I8" s="25" t="s">
        <v>274</v>
      </c>
      <c r="J8" s="20" t="s">
        <v>264</v>
      </c>
      <c r="K8" s="17">
        <v>1</v>
      </c>
      <c r="L8" s="22">
        <v>1</v>
      </c>
      <c r="M8" s="18">
        <v>0</v>
      </c>
      <c r="N8" s="18">
        <v>95</v>
      </c>
      <c r="O8" t="s">
        <v>256</v>
      </c>
      <c r="P8" s="23">
        <v>35.362648999999998</v>
      </c>
      <c r="Q8" s="18">
        <v>2023</v>
      </c>
      <c r="R8">
        <v>1</v>
      </c>
      <c r="S8" s="15">
        <f>IFERROR(INDEX(Selected_Interventions!$L$2:$L$18,MATCH(G8,Selected_Interventions!$Q$2:$Q$18,0)),"")</f>
        <v>0.31</v>
      </c>
      <c r="T8" s="15">
        <f>IFERROR(INDEX(Selected_Interventions!$M$2:$M$18,MATCH(G8,Selected_Interventions!$Q$2:$Q$18,0)),"")</f>
        <v>0.8</v>
      </c>
      <c r="U8" s="24">
        <f>IFERROR(INDEX(Selected_Interventions!$N$2:$N$18,MATCH(G8,Selected_Interventions!$Q$2:$Q$18,0)),"")</f>
        <v>2025</v>
      </c>
      <c r="V8" s="24">
        <f>IFERROR(INDEX(Selected_Interventions!$O$2:$O$18,MATCH(G8,Selected_Interventions!$Q$2:$Q$18,0)),"")</f>
        <v>2050</v>
      </c>
      <c r="W8" s="20" t="s">
        <v>216</v>
      </c>
      <c r="X8" s="21">
        <f t="shared" si="0"/>
        <v>1</v>
      </c>
    </row>
    <row r="9" spans="1:24" ht="27.6">
      <c r="A9" s="20" t="s">
        <v>275</v>
      </c>
      <c r="B9" s="20" t="s">
        <v>276</v>
      </c>
      <c r="C9" s="20" t="s">
        <v>262</v>
      </c>
      <c r="D9" t="s">
        <v>197</v>
      </c>
      <c r="E9" t="s">
        <v>186</v>
      </c>
      <c r="F9" t="s">
        <v>187</v>
      </c>
      <c r="G9" s="20" t="s">
        <v>198</v>
      </c>
      <c r="H9" s="20" t="s">
        <v>192</v>
      </c>
      <c r="I9" s="25" t="s">
        <v>277</v>
      </c>
      <c r="J9" s="20" t="s">
        <v>264</v>
      </c>
      <c r="K9" s="17">
        <v>1</v>
      </c>
      <c r="L9" s="22">
        <v>1</v>
      </c>
      <c r="M9" s="18">
        <v>0</v>
      </c>
      <c r="N9" s="18">
        <v>95</v>
      </c>
      <c r="O9" t="s">
        <v>256</v>
      </c>
      <c r="P9" s="23">
        <v>115.10623099999999</v>
      </c>
      <c r="Q9" s="18">
        <v>2023</v>
      </c>
      <c r="R9">
        <v>1</v>
      </c>
      <c r="S9" s="15">
        <f>IFERROR(INDEX(Selected_Interventions!$L$2:$L$18,MATCH(G9,Selected_Interventions!$Q$2:$Q$18,0)),"")</f>
        <v>0.31</v>
      </c>
      <c r="T9" s="15">
        <f>IFERROR(INDEX(Selected_Interventions!$M$2:$M$18,MATCH(G9,Selected_Interventions!$Q$2:$Q$18,0)),"")</f>
        <v>0.8</v>
      </c>
      <c r="U9" s="24">
        <f>IFERROR(INDEX(Selected_Interventions!$N$2:$N$18,MATCH(G9,Selected_Interventions!$Q$2:$Q$18,0)),"")</f>
        <v>2025</v>
      </c>
      <c r="V9" s="24">
        <f>IFERROR(INDEX(Selected_Interventions!$O$2:$O$18,MATCH(G9,Selected_Interventions!$Q$2:$Q$18,0)),"")</f>
        <v>2050</v>
      </c>
      <c r="W9" s="20" t="s">
        <v>170</v>
      </c>
      <c r="X9" s="21">
        <f t="shared" si="0"/>
        <v>1</v>
      </c>
    </row>
    <row r="10" spans="1:24" ht="27.6">
      <c r="A10" s="20" t="s">
        <v>278</v>
      </c>
      <c r="B10" s="20" t="s">
        <v>279</v>
      </c>
      <c r="C10" s="20" t="s">
        <v>262</v>
      </c>
      <c r="D10" t="s">
        <v>197</v>
      </c>
      <c r="E10" t="s">
        <v>162</v>
      </c>
      <c r="F10" t="s">
        <v>163</v>
      </c>
      <c r="G10" s="20" t="s">
        <v>200</v>
      </c>
      <c r="H10" s="20" t="s">
        <v>192</v>
      </c>
      <c r="I10" s="25" t="s">
        <v>271</v>
      </c>
      <c r="J10" s="20" t="s">
        <v>264</v>
      </c>
      <c r="K10" s="17">
        <v>1</v>
      </c>
      <c r="L10" s="22">
        <v>1</v>
      </c>
      <c r="M10" s="18">
        <v>30</v>
      </c>
      <c r="N10" s="18">
        <v>95</v>
      </c>
      <c r="O10" t="s">
        <v>256</v>
      </c>
      <c r="P10" s="23">
        <v>5.133311</v>
      </c>
      <c r="Q10" s="18">
        <v>2023</v>
      </c>
      <c r="R10">
        <v>1</v>
      </c>
      <c r="S10" s="15">
        <f>IFERROR(INDEX(Selected_Interventions!$L$2:$L$18,MATCH(G10,Selected_Interventions!$Q$2:$Q$18,0)),"")</f>
        <v>0.31</v>
      </c>
      <c r="T10" s="15">
        <f>IFERROR(INDEX(Selected_Interventions!$M$2:$M$18,MATCH(G10,Selected_Interventions!$Q$2:$Q$18,0)),"")</f>
        <v>0.8</v>
      </c>
      <c r="U10" s="24">
        <f>IFERROR(INDEX(Selected_Interventions!$N$2:$N$18,MATCH(G10,Selected_Interventions!$Q$2:$Q$18,0)),"")</f>
        <v>2025</v>
      </c>
      <c r="V10" s="24">
        <f>IFERROR(INDEX(Selected_Interventions!$O$2:$O$18,MATCH(G10,Selected_Interventions!$Q$2:$Q$18,0)),"")</f>
        <v>2050</v>
      </c>
      <c r="W10" s="20" t="s">
        <v>170</v>
      </c>
      <c r="X10" s="21">
        <f t="shared" si="0"/>
        <v>1</v>
      </c>
    </row>
    <row r="11" spans="1:24" ht="27.6">
      <c r="A11" s="20" t="s">
        <v>280</v>
      </c>
      <c r="B11" s="20" t="s">
        <v>281</v>
      </c>
      <c r="C11" s="20" t="s">
        <v>253</v>
      </c>
      <c r="D11" t="s">
        <v>197</v>
      </c>
      <c r="E11" t="s">
        <v>162</v>
      </c>
      <c r="F11" t="s">
        <v>163</v>
      </c>
      <c r="G11" s="20" t="s">
        <v>200</v>
      </c>
      <c r="H11" s="20" t="s">
        <v>192</v>
      </c>
      <c r="I11" s="25" t="s">
        <v>274</v>
      </c>
      <c r="J11" s="20" t="s">
        <v>264</v>
      </c>
      <c r="K11" s="17">
        <v>1</v>
      </c>
      <c r="L11" s="22">
        <v>1</v>
      </c>
      <c r="M11" s="18">
        <v>30</v>
      </c>
      <c r="N11" s="18">
        <v>95</v>
      </c>
      <c r="O11" t="s">
        <v>256</v>
      </c>
      <c r="P11" s="23">
        <v>35.362648999999998</v>
      </c>
      <c r="Q11" s="18">
        <v>2023</v>
      </c>
      <c r="R11">
        <v>1</v>
      </c>
      <c r="S11" s="15">
        <f>IFERROR(INDEX(Selected_Interventions!$L$2:$L$18,MATCH(G11,Selected_Interventions!$Q$2:$Q$18,0)),"")</f>
        <v>0.31</v>
      </c>
      <c r="T11" s="15">
        <f>IFERROR(INDEX(Selected_Interventions!$M$2:$M$18,MATCH(G11,Selected_Interventions!$Q$2:$Q$18,0)),"")</f>
        <v>0.8</v>
      </c>
      <c r="U11" s="24">
        <f>IFERROR(INDEX(Selected_Interventions!$N$2:$N$18,MATCH(G11,Selected_Interventions!$Q$2:$Q$18,0)),"")</f>
        <v>2025</v>
      </c>
      <c r="V11" s="24">
        <f>IFERROR(INDEX(Selected_Interventions!$O$2:$O$18,MATCH(G11,Selected_Interventions!$Q$2:$Q$18,0)),"")</f>
        <v>2050</v>
      </c>
      <c r="W11" s="20" t="s">
        <v>216</v>
      </c>
      <c r="X11" s="21">
        <f t="shared" si="0"/>
        <v>1</v>
      </c>
    </row>
    <row r="12" spans="1:24" ht="27.6">
      <c r="A12" s="20" t="s">
        <v>282</v>
      </c>
      <c r="B12" s="20" t="s">
        <v>283</v>
      </c>
      <c r="C12" s="20" t="s">
        <v>262</v>
      </c>
      <c r="D12" t="s">
        <v>197</v>
      </c>
      <c r="E12" t="s">
        <v>162</v>
      </c>
      <c r="F12" t="s">
        <v>163</v>
      </c>
      <c r="G12" s="20" t="s">
        <v>200</v>
      </c>
      <c r="H12" s="20" t="s">
        <v>192</v>
      </c>
      <c r="I12" s="25" t="s">
        <v>277</v>
      </c>
      <c r="J12" s="20" t="s">
        <v>264</v>
      </c>
      <c r="K12" s="17">
        <v>1</v>
      </c>
      <c r="L12" s="22">
        <v>1</v>
      </c>
      <c r="M12" s="18">
        <v>0</v>
      </c>
      <c r="N12" s="18">
        <v>95</v>
      </c>
      <c r="O12" t="s">
        <v>256</v>
      </c>
      <c r="P12" s="23">
        <v>115.10623099999999</v>
      </c>
      <c r="Q12" s="18">
        <v>2023</v>
      </c>
      <c r="R12">
        <v>1</v>
      </c>
      <c r="S12" s="15">
        <f>IFERROR(INDEX(Selected_Interventions!$L$2:$L$18,MATCH(G12,Selected_Interventions!$Q$2:$Q$18,0)),"")</f>
        <v>0.31</v>
      </c>
      <c r="T12" s="15">
        <f>IFERROR(INDEX(Selected_Interventions!$M$2:$M$18,MATCH(G12,Selected_Interventions!$Q$2:$Q$18,0)),"")</f>
        <v>0.8</v>
      </c>
      <c r="U12" s="24">
        <f>IFERROR(INDEX(Selected_Interventions!$N$2:$N$18,MATCH(G12,Selected_Interventions!$Q$2:$Q$18,0)),"")</f>
        <v>2025</v>
      </c>
      <c r="V12" s="24">
        <f>IFERROR(INDEX(Selected_Interventions!$O$2:$O$18,MATCH(G12,Selected_Interventions!$Q$2:$Q$18,0)),"")</f>
        <v>2050</v>
      </c>
      <c r="W12" s="20" t="s">
        <v>170</v>
      </c>
      <c r="X12" s="21">
        <f t="shared" si="0"/>
        <v>1</v>
      </c>
    </row>
    <row r="13" spans="1:24" ht="27.6">
      <c r="A13" s="20" t="s">
        <v>284</v>
      </c>
      <c r="B13" s="20" t="s">
        <v>285</v>
      </c>
      <c r="C13" s="20" t="s">
        <v>262</v>
      </c>
      <c r="D13" t="s">
        <v>197</v>
      </c>
      <c r="E13" t="s">
        <v>176</v>
      </c>
      <c r="F13" t="s">
        <v>177</v>
      </c>
      <c r="G13" s="20" t="s">
        <v>201</v>
      </c>
      <c r="H13" s="20" t="s">
        <v>192</v>
      </c>
      <c r="I13" s="25" t="s">
        <v>271</v>
      </c>
      <c r="J13" s="20" t="s">
        <v>264</v>
      </c>
      <c r="K13" s="17">
        <v>0.2</v>
      </c>
      <c r="L13" s="22">
        <v>1</v>
      </c>
      <c r="M13" s="18">
        <v>30</v>
      </c>
      <c r="N13" s="18">
        <v>95</v>
      </c>
      <c r="O13" t="s">
        <v>256</v>
      </c>
      <c r="P13" s="23">
        <v>5.133311</v>
      </c>
      <c r="Q13" s="18">
        <v>2023</v>
      </c>
      <c r="R13">
        <v>1</v>
      </c>
      <c r="S13" s="15">
        <f>IFERROR(INDEX(Selected_Interventions!$L$2:$L$18,MATCH(G13,Selected_Interventions!$Q$2:$Q$18,0)),"")</f>
        <v>0.31</v>
      </c>
      <c r="T13" s="15">
        <f>IFERROR(INDEX(Selected_Interventions!$M$2:$M$18,MATCH(G13,Selected_Interventions!$Q$2:$Q$18,0)),"")</f>
        <v>0.8</v>
      </c>
      <c r="U13" s="24">
        <f>IFERROR(INDEX(Selected_Interventions!$N$2:$N$18,MATCH(G13,Selected_Interventions!$Q$2:$Q$18,0)),"")</f>
        <v>2025</v>
      </c>
      <c r="V13" s="24">
        <f>IFERROR(INDEX(Selected_Interventions!$O$2:$O$18,MATCH(G13,Selected_Interventions!$Q$2:$Q$18,0)),"")</f>
        <v>2050</v>
      </c>
      <c r="W13" s="20" t="s">
        <v>170</v>
      </c>
      <c r="X13" s="21">
        <f t="shared" si="0"/>
        <v>1</v>
      </c>
    </row>
    <row r="14" spans="1:24" ht="27.6">
      <c r="A14" s="20" t="s">
        <v>286</v>
      </c>
      <c r="B14" s="20" t="s">
        <v>287</v>
      </c>
      <c r="C14" s="20" t="s">
        <v>288</v>
      </c>
      <c r="D14" t="s">
        <v>197</v>
      </c>
      <c r="E14" t="s">
        <v>176</v>
      </c>
      <c r="F14" t="s">
        <v>177</v>
      </c>
      <c r="G14" s="20" t="s">
        <v>201</v>
      </c>
      <c r="H14" s="20" t="s">
        <v>192</v>
      </c>
      <c r="I14" s="25" t="s">
        <v>274</v>
      </c>
      <c r="J14" s="20" t="s">
        <v>264</v>
      </c>
      <c r="K14" s="17">
        <v>0.2</v>
      </c>
      <c r="L14" s="22">
        <v>1</v>
      </c>
      <c r="M14" s="18">
        <v>30</v>
      </c>
      <c r="N14" s="18">
        <v>95</v>
      </c>
      <c r="O14" t="s">
        <v>256</v>
      </c>
      <c r="P14" s="23">
        <v>7</v>
      </c>
      <c r="Q14" s="18">
        <v>2023</v>
      </c>
      <c r="R14">
        <v>1</v>
      </c>
      <c r="S14" s="15">
        <f>IFERROR(INDEX(Selected_Interventions!$L$2:$L$18,MATCH(G14,Selected_Interventions!$Q$2:$Q$18,0)),"")</f>
        <v>0.31</v>
      </c>
      <c r="T14" s="15">
        <f>IFERROR(INDEX(Selected_Interventions!$M$2:$M$18,MATCH(G14,Selected_Interventions!$Q$2:$Q$18,0)),"")</f>
        <v>0.8</v>
      </c>
      <c r="U14" s="24">
        <f>IFERROR(INDEX(Selected_Interventions!$N$2:$N$18,MATCH(G14,Selected_Interventions!$Q$2:$Q$18,0)),"")</f>
        <v>2025</v>
      </c>
      <c r="V14" s="24">
        <f>IFERROR(INDEX(Selected_Interventions!$O$2:$O$18,MATCH(G14,Selected_Interventions!$Q$2:$Q$18,0)),"")</f>
        <v>2050</v>
      </c>
      <c r="W14" s="20" t="s">
        <v>230</v>
      </c>
      <c r="X14" s="21">
        <f t="shared" si="0"/>
        <v>1</v>
      </c>
    </row>
    <row r="15" spans="1:24" ht="27.6">
      <c r="A15" s="20" t="s">
        <v>289</v>
      </c>
      <c r="B15" s="20" t="s">
        <v>290</v>
      </c>
      <c r="C15" s="20" t="s">
        <v>262</v>
      </c>
      <c r="D15" t="s">
        <v>197</v>
      </c>
      <c r="E15" t="s">
        <v>176</v>
      </c>
      <c r="F15" t="s">
        <v>177</v>
      </c>
      <c r="G15" s="20" t="s">
        <v>201</v>
      </c>
      <c r="H15" s="20" t="s">
        <v>192</v>
      </c>
      <c r="I15" s="25" t="s">
        <v>277</v>
      </c>
      <c r="J15" s="20" t="s">
        <v>264</v>
      </c>
      <c r="K15" s="17">
        <v>0.2</v>
      </c>
      <c r="L15" s="22">
        <v>1</v>
      </c>
      <c r="M15" s="18">
        <v>30</v>
      </c>
      <c r="N15" s="18">
        <v>95</v>
      </c>
      <c r="O15" t="s">
        <v>256</v>
      </c>
      <c r="P15" s="23">
        <v>29.216218999999999</v>
      </c>
      <c r="Q15" s="18">
        <v>2023</v>
      </c>
      <c r="R15">
        <v>1</v>
      </c>
      <c r="S15" s="15">
        <f>IFERROR(INDEX(Selected_Interventions!$L$2:$L$18,MATCH(G15,Selected_Interventions!$Q$2:$Q$18,0)),"")</f>
        <v>0.31</v>
      </c>
      <c r="T15" s="15">
        <f>IFERROR(INDEX(Selected_Interventions!$M$2:$M$18,MATCH(G15,Selected_Interventions!$Q$2:$Q$18,0)),"")</f>
        <v>0.8</v>
      </c>
      <c r="U15" s="24">
        <f>IFERROR(INDEX(Selected_Interventions!$N$2:$N$18,MATCH(G15,Selected_Interventions!$Q$2:$Q$18,0)),"")</f>
        <v>2025</v>
      </c>
      <c r="V15" s="24">
        <f>IFERROR(INDEX(Selected_Interventions!$O$2:$O$18,MATCH(G15,Selected_Interventions!$Q$2:$Q$18,0)),"")</f>
        <v>2050</v>
      </c>
      <c r="W15" s="20" t="s">
        <v>170</v>
      </c>
      <c r="X15" s="21">
        <f t="shared" si="0"/>
        <v>1</v>
      </c>
    </row>
    <row r="16" spans="1:24" ht="27.6">
      <c r="A16" s="20" t="s">
        <v>291</v>
      </c>
      <c r="B16" s="20" t="s">
        <v>292</v>
      </c>
      <c r="C16" s="20" t="s">
        <v>253</v>
      </c>
      <c r="D16" t="s">
        <v>202</v>
      </c>
      <c r="E16" t="s">
        <v>176</v>
      </c>
      <c r="F16" t="s">
        <v>177</v>
      </c>
      <c r="G16" s="20" t="s">
        <v>203</v>
      </c>
      <c r="H16" s="20" t="s">
        <v>192</v>
      </c>
      <c r="I16" s="25" t="s">
        <v>293</v>
      </c>
      <c r="J16" s="20" t="s">
        <v>167</v>
      </c>
      <c r="K16" s="17">
        <v>0.52</v>
      </c>
      <c r="L16" s="22">
        <v>1</v>
      </c>
      <c r="M16" s="18">
        <v>0</v>
      </c>
      <c r="N16" s="18">
        <v>95</v>
      </c>
      <c r="O16" t="s">
        <v>256</v>
      </c>
      <c r="P16" s="23">
        <v>35.362648999999998</v>
      </c>
      <c r="Q16" s="18">
        <v>2023</v>
      </c>
      <c r="R16">
        <v>1</v>
      </c>
      <c r="S16" s="15">
        <f>IFERROR(INDEX(Selected_Interventions!$L$2:$L$18,MATCH(G16,Selected_Interventions!$Q$2:$Q$18,0)),"")</f>
        <v>0.31</v>
      </c>
      <c r="T16" s="15">
        <f>IFERROR(INDEX(Selected_Interventions!$M$2:$M$18,MATCH(G16,Selected_Interventions!$Q$2:$Q$18,0)),"")</f>
        <v>0.8</v>
      </c>
      <c r="U16" s="24">
        <f>IFERROR(INDEX(Selected_Interventions!$N$2:$N$18,MATCH(G16,Selected_Interventions!$Q$2:$Q$18,0)),"")</f>
        <v>2025</v>
      </c>
      <c r="V16" s="24">
        <f>IFERROR(INDEX(Selected_Interventions!$O$2:$O$18,MATCH(G16,Selected_Interventions!$Q$2:$Q$18,0)),"")</f>
        <v>2050</v>
      </c>
      <c r="W16" s="20" t="s">
        <v>216</v>
      </c>
      <c r="X16" s="21">
        <f t="shared" si="0"/>
        <v>1</v>
      </c>
    </row>
    <row r="17" spans="1:24" ht="41.4">
      <c r="A17" s="20" t="s">
        <v>294</v>
      </c>
      <c r="B17" s="20" t="s">
        <v>295</v>
      </c>
      <c r="C17" s="20" t="s">
        <v>262</v>
      </c>
      <c r="D17" t="s">
        <v>202</v>
      </c>
      <c r="E17" t="s">
        <v>176</v>
      </c>
      <c r="F17" t="s">
        <v>177</v>
      </c>
      <c r="G17" s="20" t="s">
        <v>203</v>
      </c>
      <c r="H17" s="20" t="s">
        <v>192</v>
      </c>
      <c r="I17" s="25" t="s">
        <v>296</v>
      </c>
      <c r="J17" s="20" t="s">
        <v>264</v>
      </c>
      <c r="K17" s="17">
        <v>1</v>
      </c>
      <c r="L17" s="22">
        <v>1</v>
      </c>
      <c r="M17" s="18">
        <v>0</v>
      </c>
      <c r="N17" s="18">
        <v>95</v>
      </c>
      <c r="O17" t="s">
        <v>256</v>
      </c>
      <c r="P17" s="23">
        <v>119.721487</v>
      </c>
      <c r="Q17" s="18">
        <v>2023</v>
      </c>
      <c r="R17">
        <v>1</v>
      </c>
      <c r="S17" s="15">
        <f>IFERROR(INDEX(Selected_Interventions!$L$2:$L$18,MATCH(G17,Selected_Interventions!$Q$2:$Q$18,0)),"")</f>
        <v>0.31</v>
      </c>
      <c r="T17" s="15">
        <f>IFERROR(INDEX(Selected_Interventions!$M$2:$M$18,MATCH(G17,Selected_Interventions!$Q$2:$Q$18,0)),"")</f>
        <v>0.8</v>
      </c>
      <c r="U17" s="24">
        <f>IFERROR(INDEX(Selected_Interventions!$N$2:$N$18,MATCH(G17,Selected_Interventions!$Q$2:$Q$18,0)),"")</f>
        <v>2025</v>
      </c>
      <c r="V17" s="24">
        <f>IFERROR(INDEX(Selected_Interventions!$O$2:$O$18,MATCH(G17,Selected_Interventions!$Q$2:$Q$18,0)),"")</f>
        <v>2050</v>
      </c>
      <c r="W17" s="20" t="s">
        <v>170</v>
      </c>
      <c r="X17" s="21">
        <f t="shared" si="0"/>
        <v>1</v>
      </c>
    </row>
    <row r="18" spans="1:24" ht="27.6">
      <c r="A18" s="20" t="s">
        <v>297</v>
      </c>
      <c r="B18" s="20" t="s">
        <v>298</v>
      </c>
      <c r="C18" s="20" t="s">
        <v>262</v>
      </c>
      <c r="D18" t="s">
        <v>202</v>
      </c>
      <c r="E18" t="s">
        <v>176</v>
      </c>
      <c r="F18" t="s">
        <v>177</v>
      </c>
      <c r="G18" s="20" t="s">
        <v>203</v>
      </c>
      <c r="H18" s="20" t="s">
        <v>192</v>
      </c>
      <c r="I18" s="25" t="s">
        <v>299</v>
      </c>
      <c r="J18" s="20" t="s">
        <v>264</v>
      </c>
      <c r="K18" s="17">
        <v>1</v>
      </c>
      <c r="L18" s="22">
        <v>1</v>
      </c>
      <c r="M18" s="18">
        <v>0</v>
      </c>
      <c r="N18" s="18">
        <v>95</v>
      </c>
      <c r="O18" t="s">
        <v>256</v>
      </c>
      <c r="P18" s="23">
        <v>36.463997999999997</v>
      </c>
      <c r="Q18" s="18">
        <v>2023</v>
      </c>
      <c r="R18">
        <v>1</v>
      </c>
      <c r="S18" s="15">
        <f>IFERROR(INDEX(Selected_Interventions!$L$2:$L$18,MATCH(G18,Selected_Interventions!$Q$2:$Q$18,0)),"")</f>
        <v>0.31</v>
      </c>
      <c r="T18" s="15">
        <f>IFERROR(INDEX(Selected_Interventions!$M$2:$M$18,MATCH(G18,Selected_Interventions!$Q$2:$Q$18,0)),"")</f>
        <v>0.8</v>
      </c>
      <c r="U18" s="24">
        <f>IFERROR(INDEX(Selected_Interventions!$N$2:$N$18,MATCH(G18,Selected_Interventions!$Q$2:$Q$18,0)),"")</f>
        <v>2025</v>
      </c>
      <c r="V18" s="24">
        <f>IFERROR(INDEX(Selected_Interventions!$O$2:$O$18,MATCH(G18,Selected_Interventions!$Q$2:$Q$18,0)),"")</f>
        <v>2050</v>
      </c>
      <c r="W18" s="20" t="s">
        <v>170</v>
      </c>
      <c r="X18" s="21">
        <f t="shared" si="0"/>
        <v>1</v>
      </c>
    </row>
    <row r="19" spans="1:24" ht="41.4">
      <c r="A19" s="20" t="s">
        <v>300</v>
      </c>
      <c r="B19" s="20" t="s">
        <v>301</v>
      </c>
      <c r="C19" s="20" t="s">
        <v>262</v>
      </c>
      <c r="D19" t="s">
        <v>205</v>
      </c>
      <c r="E19" t="s">
        <v>208</v>
      </c>
      <c r="F19" t="s">
        <v>209</v>
      </c>
      <c r="G19" s="20" t="s">
        <v>206</v>
      </c>
      <c r="H19" s="20" t="s">
        <v>192</v>
      </c>
      <c r="I19" s="25" t="s">
        <v>302</v>
      </c>
      <c r="J19" s="20" t="s">
        <v>264</v>
      </c>
      <c r="K19" s="17">
        <v>1</v>
      </c>
      <c r="L19" s="22">
        <v>1</v>
      </c>
      <c r="M19" s="18">
        <v>5</v>
      </c>
      <c r="N19" s="18">
        <v>39</v>
      </c>
      <c r="O19" t="s">
        <v>256</v>
      </c>
      <c r="P19" s="23">
        <v>50.857354000000001</v>
      </c>
      <c r="Q19" s="18">
        <v>2023</v>
      </c>
      <c r="R19">
        <v>1</v>
      </c>
      <c r="S19" s="15">
        <f>IFERROR(INDEX(Selected_Interventions!$L$2:$L$18,MATCH(G19,Selected_Interventions!$Q$2:$Q$18,0)),"")</f>
        <v>0.31</v>
      </c>
      <c r="T19" s="15">
        <f>IFERROR(INDEX(Selected_Interventions!$M$2:$M$18,MATCH(G19,Selected_Interventions!$Q$2:$Q$18,0)),"")</f>
        <v>0.8</v>
      </c>
      <c r="U19" s="24">
        <f>IFERROR(INDEX(Selected_Interventions!$N$2:$N$18,MATCH(G19,Selected_Interventions!$Q$2:$Q$18,0)),"")</f>
        <v>2025</v>
      </c>
      <c r="V19" s="24">
        <f>IFERROR(INDEX(Selected_Interventions!$O$2:$O$18,MATCH(G19,Selected_Interventions!$Q$2:$Q$18,0)),"")</f>
        <v>2050</v>
      </c>
      <c r="W19" s="20" t="s">
        <v>170</v>
      </c>
      <c r="X19" s="21">
        <f t="shared" si="0"/>
        <v>1</v>
      </c>
    </row>
    <row r="20" spans="1:24" ht="41.4">
      <c r="A20" s="20" t="s">
        <v>303</v>
      </c>
      <c r="B20" s="20" t="s">
        <v>304</v>
      </c>
      <c r="C20" s="20" t="s">
        <v>262</v>
      </c>
      <c r="D20" t="s">
        <v>212</v>
      </c>
      <c r="E20" t="s">
        <v>208</v>
      </c>
      <c r="F20" t="s">
        <v>209</v>
      </c>
      <c r="G20" s="20" t="s">
        <v>213</v>
      </c>
      <c r="H20" s="20" t="s">
        <v>192</v>
      </c>
      <c r="I20" s="25" t="s">
        <v>305</v>
      </c>
      <c r="J20" s="20" t="s">
        <v>264</v>
      </c>
      <c r="K20" s="17">
        <v>1</v>
      </c>
      <c r="L20" s="22">
        <v>1</v>
      </c>
      <c r="M20" s="18">
        <v>5</v>
      </c>
      <c r="N20" s="18">
        <v>40</v>
      </c>
      <c r="O20" t="s">
        <v>256</v>
      </c>
      <c r="P20" s="23">
        <v>12488.38616</v>
      </c>
      <c r="Q20" s="18">
        <v>2023</v>
      </c>
      <c r="R20">
        <v>1</v>
      </c>
      <c r="S20" s="15">
        <f>IFERROR(INDEX(Selected_Interventions!$L$2:$L$18,MATCH(G20,Selected_Interventions!$Q$2:$Q$18,0)),"")</f>
        <v>0.1</v>
      </c>
      <c r="T20" s="15">
        <f>IFERROR(INDEX(Selected_Interventions!$M$2:$M$18,MATCH(G20,Selected_Interventions!$Q$2:$Q$18,0)),"")</f>
        <v>0.8</v>
      </c>
      <c r="U20" s="24">
        <f>IFERROR(INDEX(Selected_Interventions!$N$2:$N$18,MATCH(G20,Selected_Interventions!$Q$2:$Q$18,0)),"")</f>
        <v>2025</v>
      </c>
      <c r="V20" s="24">
        <f>IFERROR(INDEX(Selected_Interventions!$O$2:$O$18,MATCH(G20,Selected_Interventions!$Q$2:$Q$18,0)),"")</f>
        <v>2050</v>
      </c>
      <c r="W20" s="20" t="s">
        <v>216</v>
      </c>
      <c r="X20" s="21">
        <f t="shared" si="0"/>
        <v>1</v>
      </c>
    </row>
    <row r="21" spans="1:24" ht="27.6">
      <c r="A21" s="20" t="s">
        <v>306</v>
      </c>
      <c r="B21" s="20" t="s">
        <v>307</v>
      </c>
      <c r="C21" s="20" t="s">
        <v>253</v>
      </c>
      <c r="D21" t="s">
        <v>217</v>
      </c>
      <c r="E21" t="s">
        <v>172</v>
      </c>
      <c r="F21" t="s">
        <v>173</v>
      </c>
      <c r="G21" s="20" t="s">
        <v>218</v>
      </c>
      <c r="H21" s="20" t="s">
        <v>192</v>
      </c>
      <c r="I21" s="25" t="s">
        <v>293</v>
      </c>
      <c r="J21" s="20" t="s">
        <v>167</v>
      </c>
      <c r="K21" s="17">
        <v>0.52</v>
      </c>
      <c r="L21" s="22">
        <v>1</v>
      </c>
      <c r="M21" s="18">
        <v>30</v>
      </c>
      <c r="N21" s="18">
        <v>95</v>
      </c>
      <c r="O21" t="s">
        <v>256</v>
      </c>
      <c r="P21" s="23">
        <v>550.94828900000005</v>
      </c>
      <c r="Q21" s="18">
        <v>2023</v>
      </c>
      <c r="R21">
        <v>1</v>
      </c>
      <c r="S21" s="15">
        <f>IFERROR(INDEX(Selected_Interventions!$L$2:$L$18,MATCH(G21,Selected_Interventions!$Q$2:$Q$18,0)),"")</f>
        <v>0.31</v>
      </c>
      <c r="T21" s="15">
        <f>IFERROR(INDEX(Selected_Interventions!$M$2:$M$18,MATCH(G21,Selected_Interventions!$Q$2:$Q$18,0)),"")</f>
        <v>0.8</v>
      </c>
      <c r="U21" s="24">
        <f>IFERROR(INDEX(Selected_Interventions!$N$2:$N$18,MATCH(G21,Selected_Interventions!$Q$2:$Q$18,0)),"")</f>
        <v>2025</v>
      </c>
      <c r="V21" s="24">
        <f>IFERROR(INDEX(Selected_Interventions!$O$2:$O$18,MATCH(G21,Selected_Interventions!$Q$2:$Q$18,0)),"")</f>
        <v>2050</v>
      </c>
      <c r="W21" s="20" t="s">
        <v>216</v>
      </c>
      <c r="X21" s="21">
        <f t="shared" si="0"/>
        <v>1</v>
      </c>
    </row>
    <row r="22" spans="1:24" ht="27.6">
      <c r="A22" s="20" t="s">
        <v>308</v>
      </c>
      <c r="B22" s="20" t="s">
        <v>309</v>
      </c>
      <c r="C22" s="20" t="s">
        <v>253</v>
      </c>
      <c r="D22" t="s">
        <v>217</v>
      </c>
      <c r="E22" t="s">
        <v>172</v>
      </c>
      <c r="F22" t="s">
        <v>173</v>
      </c>
      <c r="G22" s="20" t="s">
        <v>218</v>
      </c>
      <c r="H22" s="20" t="s">
        <v>192</v>
      </c>
      <c r="I22" s="25" t="s">
        <v>274</v>
      </c>
      <c r="J22" s="20" t="s">
        <v>264</v>
      </c>
      <c r="K22" s="17">
        <v>0.5</v>
      </c>
      <c r="L22" s="22">
        <v>1</v>
      </c>
      <c r="M22" s="18">
        <v>30</v>
      </c>
      <c r="N22" s="18">
        <v>95</v>
      </c>
      <c r="O22" t="s">
        <v>256</v>
      </c>
      <c r="P22" s="23">
        <v>35.362648999999998</v>
      </c>
      <c r="Q22" s="18">
        <v>2023</v>
      </c>
      <c r="R22">
        <v>1</v>
      </c>
      <c r="S22" s="15">
        <f>IFERROR(INDEX(Selected_Interventions!$L$2:$L$18,MATCH(G22,Selected_Interventions!$Q$2:$Q$18,0)),"")</f>
        <v>0.31</v>
      </c>
      <c r="T22" s="15">
        <f>IFERROR(INDEX(Selected_Interventions!$M$2:$M$18,MATCH(G22,Selected_Interventions!$Q$2:$Q$18,0)),"")</f>
        <v>0.8</v>
      </c>
      <c r="U22" s="24">
        <f>IFERROR(INDEX(Selected_Interventions!$N$2:$N$18,MATCH(G22,Selected_Interventions!$Q$2:$Q$18,0)),"")</f>
        <v>2025</v>
      </c>
      <c r="V22" s="24">
        <f>IFERROR(INDEX(Selected_Interventions!$O$2:$O$18,MATCH(G22,Selected_Interventions!$Q$2:$Q$18,0)),"")</f>
        <v>2050</v>
      </c>
      <c r="W22" s="20" t="s">
        <v>216</v>
      </c>
      <c r="X22" s="21">
        <f t="shared" si="0"/>
        <v>1</v>
      </c>
    </row>
    <row r="23" spans="1:24" ht="27.6">
      <c r="A23" s="20" t="s">
        <v>310</v>
      </c>
      <c r="B23" s="20" t="s">
        <v>311</v>
      </c>
      <c r="C23" s="20" t="s">
        <v>262</v>
      </c>
      <c r="D23" t="s">
        <v>217</v>
      </c>
      <c r="E23" t="s">
        <v>172</v>
      </c>
      <c r="F23" t="s">
        <v>173</v>
      </c>
      <c r="G23" s="20" t="s">
        <v>218</v>
      </c>
      <c r="H23" s="20" t="s">
        <v>192</v>
      </c>
      <c r="I23" s="25" t="s">
        <v>312</v>
      </c>
      <c r="J23" s="20" t="s">
        <v>264</v>
      </c>
      <c r="K23" s="17">
        <v>0.5</v>
      </c>
      <c r="L23" s="22">
        <v>1</v>
      </c>
      <c r="M23" s="18">
        <v>30</v>
      </c>
      <c r="N23" s="18">
        <v>95</v>
      </c>
      <c r="O23" t="s">
        <v>256</v>
      </c>
      <c r="P23" s="23">
        <v>119.721487</v>
      </c>
      <c r="Q23" s="18">
        <v>2023</v>
      </c>
      <c r="R23">
        <v>1</v>
      </c>
      <c r="S23" s="15">
        <f>IFERROR(INDEX(Selected_Interventions!$L$2:$L$18,MATCH(G23,Selected_Interventions!$Q$2:$Q$18,0)),"")</f>
        <v>0.31</v>
      </c>
      <c r="T23" s="15">
        <f>IFERROR(INDEX(Selected_Interventions!$M$2:$M$18,MATCH(G23,Selected_Interventions!$Q$2:$Q$18,0)),"")</f>
        <v>0.8</v>
      </c>
      <c r="U23" s="24">
        <f>IFERROR(INDEX(Selected_Interventions!$N$2:$N$18,MATCH(G23,Selected_Interventions!$Q$2:$Q$18,0)),"")</f>
        <v>2025</v>
      </c>
      <c r="V23" s="24">
        <f>IFERROR(INDEX(Selected_Interventions!$O$2:$O$18,MATCH(G23,Selected_Interventions!$Q$2:$Q$18,0)),"")</f>
        <v>2050</v>
      </c>
      <c r="W23" s="20" t="s">
        <v>170</v>
      </c>
      <c r="X23" s="21">
        <f t="shared" si="0"/>
        <v>1</v>
      </c>
    </row>
    <row r="24" spans="1:24" ht="27.6">
      <c r="A24" s="20" t="s">
        <v>313</v>
      </c>
      <c r="B24" s="20" t="s">
        <v>314</v>
      </c>
      <c r="C24" s="20" t="s">
        <v>262</v>
      </c>
      <c r="D24" t="s">
        <v>217</v>
      </c>
      <c r="E24" t="s">
        <v>180</v>
      </c>
      <c r="F24" t="s">
        <v>181</v>
      </c>
      <c r="G24" s="20" t="s">
        <v>221</v>
      </c>
      <c r="H24" s="20" t="s">
        <v>192</v>
      </c>
      <c r="I24" s="25" t="s">
        <v>293</v>
      </c>
      <c r="J24" s="20" t="s">
        <v>167</v>
      </c>
      <c r="K24" s="17">
        <v>0.52</v>
      </c>
      <c r="L24" s="22">
        <v>1</v>
      </c>
      <c r="M24" s="18">
        <v>30</v>
      </c>
      <c r="N24" s="18">
        <v>95</v>
      </c>
      <c r="O24" t="s">
        <v>256</v>
      </c>
      <c r="P24" s="23">
        <v>186.479792</v>
      </c>
      <c r="Q24" s="18">
        <v>2023</v>
      </c>
      <c r="R24">
        <v>1</v>
      </c>
      <c r="S24" s="15">
        <f>IFERROR(INDEX(Selected_Interventions!$L$2:$L$18,MATCH(G24,Selected_Interventions!$Q$2:$Q$18,0)),"")</f>
        <v>0.31</v>
      </c>
      <c r="T24" s="15">
        <f>IFERROR(INDEX(Selected_Interventions!$M$2:$M$18,MATCH(G24,Selected_Interventions!$Q$2:$Q$18,0)),"")</f>
        <v>0.8</v>
      </c>
      <c r="U24" s="24">
        <f>IFERROR(INDEX(Selected_Interventions!$N$2:$N$18,MATCH(G24,Selected_Interventions!$Q$2:$Q$18,0)),"")</f>
        <v>2025</v>
      </c>
      <c r="V24" s="24">
        <f>IFERROR(INDEX(Selected_Interventions!$O$2:$O$18,MATCH(G24,Selected_Interventions!$Q$2:$Q$18,0)),"")</f>
        <v>2050</v>
      </c>
      <c r="W24" s="20" t="s">
        <v>170</v>
      </c>
      <c r="X24" s="21">
        <f t="shared" si="0"/>
        <v>1</v>
      </c>
    </row>
    <row r="25" spans="1:24" ht="27.6">
      <c r="A25" s="20" t="s">
        <v>315</v>
      </c>
      <c r="B25" s="20" t="s">
        <v>316</v>
      </c>
      <c r="C25" s="20" t="s">
        <v>253</v>
      </c>
      <c r="D25" t="s">
        <v>217</v>
      </c>
      <c r="E25" t="s">
        <v>180</v>
      </c>
      <c r="F25" t="s">
        <v>181</v>
      </c>
      <c r="G25" s="20" t="s">
        <v>221</v>
      </c>
      <c r="H25" s="20" t="s">
        <v>192</v>
      </c>
      <c r="I25" s="25" t="s">
        <v>274</v>
      </c>
      <c r="J25" s="20" t="s">
        <v>264</v>
      </c>
      <c r="K25" s="17">
        <v>0.5</v>
      </c>
      <c r="L25" s="22">
        <v>1</v>
      </c>
      <c r="M25" s="18">
        <v>30</v>
      </c>
      <c r="N25" s="18">
        <v>95</v>
      </c>
      <c r="O25" t="s">
        <v>256</v>
      </c>
      <c r="P25" s="23">
        <v>35.362648999999998</v>
      </c>
      <c r="Q25" s="18">
        <v>2023</v>
      </c>
      <c r="R25">
        <v>1</v>
      </c>
      <c r="S25" s="15">
        <f>IFERROR(INDEX(Selected_Interventions!$L$2:$L$18,MATCH(G25,Selected_Interventions!$Q$2:$Q$18,0)),"")</f>
        <v>0.31</v>
      </c>
      <c r="T25" s="15">
        <f>IFERROR(INDEX(Selected_Interventions!$M$2:$M$18,MATCH(G25,Selected_Interventions!$Q$2:$Q$18,0)),"")</f>
        <v>0.8</v>
      </c>
      <c r="U25" s="24">
        <f>IFERROR(INDEX(Selected_Interventions!$N$2:$N$18,MATCH(G25,Selected_Interventions!$Q$2:$Q$18,0)),"")</f>
        <v>2025</v>
      </c>
      <c r="V25" s="24">
        <f>IFERROR(INDEX(Selected_Interventions!$O$2:$O$18,MATCH(G25,Selected_Interventions!$Q$2:$Q$18,0)),"")</f>
        <v>2050</v>
      </c>
      <c r="W25" s="20" t="s">
        <v>216</v>
      </c>
      <c r="X25" s="21">
        <f t="shared" si="0"/>
        <v>1</v>
      </c>
    </row>
    <row r="26" spans="1:24" ht="27.6">
      <c r="A26" s="20" t="s">
        <v>317</v>
      </c>
      <c r="B26" s="20" t="s">
        <v>318</v>
      </c>
      <c r="C26" s="20" t="s">
        <v>262</v>
      </c>
      <c r="D26" t="s">
        <v>217</v>
      </c>
      <c r="E26" t="s">
        <v>180</v>
      </c>
      <c r="F26" t="s">
        <v>181</v>
      </c>
      <c r="G26" s="20" t="s">
        <v>221</v>
      </c>
      <c r="H26" s="20" t="s">
        <v>192</v>
      </c>
      <c r="I26" s="25" t="s">
        <v>312</v>
      </c>
      <c r="J26" s="20" t="s">
        <v>264</v>
      </c>
      <c r="K26" s="17">
        <v>0.5</v>
      </c>
      <c r="L26" s="22">
        <v>1</v>
      </c>
      <c r="M26" s="18">
        <v>30</v>
      </c>
      <c r="N26" s="18">
        <v>95</v>
      </c>
      <c r="O26" t="s">
        <v>256</v>
      </c>
      <c r="P26" s="23">
        <v>119.721487</v>
      </c>
      <c r="Q26" s="18">
        <v>2023</v>
      </c>
      <c r="R26">
        <v>1</v>
      </c>
      <c r="S26" s="15">
        <f>IFERROR(INDEX(Selected_Interventions!$L$2:$L$18,MATCH(G26,Selected_Interventions!$Q$2:$Q$18,0)),"")</f>
        <v>0.31</v>
      </c>
      <c r="T26" s="15">
        <f>IFERROR(INDEX(Selected_Interventions!$M$2:$M$18,MATCH(G26,Selected_Interventions!$Q$2:$Q$18,0)),"")</f>
        <v>0.8</v>
      </c>
      <c r="U26" s="24">
        <f>IFERROR(INDEX(Selected_Interventions!$N$2:$N$18,MATCH(G26,Selected_Interventions!$Q$2:$Q$18,0)),"")</f>
        <v>2025</v>
      </c>
      <c r="V26" s="24">
        <f>IFERROR(INDEX(Selected_Interventions!$O$2:$O$18,MATCH(G26,Selected_Interventions!$Q$2:$Q$18,0)),"")</f>
        <v>2050</v>
      </c>
      <c r="W26" s="20" t="s">
        <v>170</v>
      </c>
      <c r="X26" s="21">
        <f t="shared" si="0"/>
        <v>1</v>
      </c>
    </row>
    <row r="27" spans="1:24" ht="27.6">
      <c r="A27" s="20" t="s">
        <v>319</v>
      </c>
      <c r="B27" s="20" t="s">
        <v>320</v>
      </c>
      <c r="C27" s="20" t="s">
        <v>262</v>
      </c>
      <c r="D27" t="s">
        <v>223</v>
      </c>
      <c r="E27" t="s">
        <v>226</v>
      </c>
      <c r="F27" t="s">
        <v>227</v>
      </c>
      <c r="G27" s="20" t="s">
        <v>224</v>
      </c>
      <c r="H27" s="20" t="s">
        <v>192</v>
      </c>
      <c r="I27" s="25" t="s">
        <v>321</v>
      </c>
      <c r="J27" s="20" t="s">
        <v>264</v>
      </c>
      <c r="K27" s="17">
        <v>0.8</v>
      </c>
      <c r="L27" s="22">
        <v>1</v>
      </c>
      <c r="M27" s="18">
        <v>0</v>
      </c>
      <c r="N27" s="18">
        <v>95</v>
      </c>
      <c r="O27" t="s">
        <v>256</v>
      </c>
      <c r="P27" s="23">
        <v>176.67</v>
      </c>
      <c r="Q27" s="18">
        <v>2014</v>
      </c>
      <c r="R27">
        <v>0</v>
      </c>
      <c r="S27" s="15">
        <f>IFERROR(INDEX(Selected_Interventions!$L$2:$L$18,MATCH(G27,Selected_Interventions!$Q$2:$Q$18,0)),"")</f>
        <v>0.31</v>
      </c>
      <c r="T27" s="15">
        <f>IFERROR(INDEX(Selected_Interventions!$M$2:$M$18,MATCH(G27,Selected_Interventions!$Q$2:$Q$18,0)),"")</f>
        <v>0.8</v>
      </c>
      <c r="U27" s="24">
        <f>IFERROR(INDEX(Selected_Interventions!$N$2:$N$18,MATCH(G27,Selected_Interventions!$Q$2:$Q$18,0)),"")</f>
        <v>2025</v>
      </c>
      <c r="V27" s="24">
        <f>IFERROR(INDEX(Selected_Interventions!$O$2:$O$18,MATCH(G27,Selected_Interventions!$Q$2:$Q$18,0)),"")</f>
        <v>2050</v>
      </c>
      <c r="W27" s="20" t="s">
        <v>216</v>
      </c>
      <c r="X27" s="21">
        <f t="shared" si="0"/>
        <v>1</v>
      </c>
    </row>
  </sheetData>
  <autoFilter ref="A1:X1" xr:uid="{00000000-0009-0000-0000-000003000000}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21"/>
  <sheetViews>
    <sheetView workbookViewId="0">
      <pane ySplit="1" topLeftCell="A47" activePane="bottomLeft" state="frozen"/>
      <selection pane="bottomLeft"/>
    </sheetView>
  </sheetViews>
  <sheetFormatPr defaultColWidth="11.19921875" defaultRowHeight="13.8"/>
  <cols>
    <col min="1" max="1" width="11.69921875" customWidth="1"/>
    <col min="2" max="2" width="16.69921875" customWidth="1"/>
    <col min="3" max="5" width="11.69921875" customWidth="1"/>
    <col min="6" max="6" width="14.69921875" customWidth="1"/>
    <col min="7" max="7" width="13.69921875" customWidth="1"/>
    <col min="8" max="8" width="16.69921875" customWidth="1"/>
    <col min="9" max="9" width="12.69921875" customWidth="1"/>
    <col min="10" max="10" width="15.69921875" customWidth="1"/>
  </cols>
  <sheetData>
    <row r="1" spans="1:10" ht="28.05" customHeight="1">
      <c r="A1" s="1" t="s">
        <v>322</v>
      </c>
      <c r="B1" s="1" t="s">
        <v>323</v>
      </c>
      <c r="C1" s="1" t="s">
        <v>25</v>
      </c>
      <c r="D1" s="1" t="s">
        <v>324</v>
      </c>
      <c r="E1" s="1" t="s">
        <v>325</v>
      </c>
      <c r="F1" s="1" t="s">
        <v>326</v>
      </c>
      <c r="G1" s="1" t="s">
        <v>327</v>
      </c>
      <c r="H1" s="1" t="s">
        <v>328</v>
      </c>
      <c r="I1" s="1" t="s">
        <v>329</v>
      </c>
      <c r="J1" s="1" t="s">
        <v>330</v>
      </c>
    </row>
    <row r="2" spans="1:10">
      <c r="A2" t="s">
        <v>159</v>
      </c>
      <c r="B2" t="s">
        <v>161</v>
      </c>
      <c r="C2" s="18">
        <v>2025</v>
      </c>
      <c r="D2" t="s">
        <v>187</v>
      </c>
      <c r="E2" s="20">
        <v>12347.3896757033</v>
      </c>
      <c r="F2" s="20">
        <v>8975.3084972287597</v>
      </c>
      <c r="G2" s="10">
        <v>8975.3084972287597</v>
      </c>
      <c r="H2" s="21">
        <f t="shared" ref="H2:H65" si="0">G2-F2</f>
        <v>0</v>
      </c>
      <c r="I2" s="10">
        <v>12347.3896757033</v>
      </c>
      <c r="J2" s="21">
        <f t="shared" ref="J2:J65" si="1">I2-E2</f>
        <v>0</v>
      </c>
    </row>
    <row r="3" spans="1:10">
      <c r="A3" t="s">
        <v>159</v>
      </c>
      <c r="B3" t="s">
        <v>161</v>
      </c>
      <c r="C3" s="18">
        <v>2025</v>
      </c>
      <c r="D3" t="s">
        <v>227</v>
      </c>
      <c r="E3" s="20">
        <v>1026043.97207164</v>
      </c>
      <c r="F3" s="20">
        <v>129403.02283067199</v>
      </c>
      <c r="G3" s="10">
        <v>129403.02283067199</v>
      </c>
      <c r="H3" s="21">
        <f t="shared" si="0"/>
        <v>0</v>
      </c>
      <c r="I3" s="10">
        <v>1026043.97207164</v>
      </c>
      <c r="J3" s="21">
        <f t="shared" si="1"/>
        <v>0</v>
      </c>
    </row>
    <row r="4" spans="1:10">
      <c r="A4" t="s">
        <v>159</v>
      </c>
      <c r="B4" t="s">
        <v>161</v>
      </c>
      <c r="C4" s="18">
        <v>2025</v>
      </c>
      <c r="D4" t="s">
        <v>163</v>
      </c>
      <c r="E4" s="20">
        <v>90875.329080848198</v>
      </c>
      <c r="F4" s="20">
        <v>63318.751825202096</v>
      </c>
      <c r="G4" s="10">
        <v>63318.751825202096</v>
      </c>
      <c r="H4" s="21">
        <f t="shared" si="0"/>
        <v>0</v>
      </c>
      <c r="I4" s="10">
        <v>91684.509014274605</v>
      </c>
      <c r="J4" s="21">
        <f t="shared" si="1"/>
        <v>809.17993342640693</v>
      </c>
    </row>
    <row r="5" spans="1:10">
      <c r="A5" t="s">
        <v>159</v>
      </c>
      <c r="B5" t="s">
        <v>161</v>
      </c>
      <c r="C5" s="18">
        <v>2025</v>
      </c>
      <c r="D5" t="s">
        <v>173</v>
      </c>
      <c r="E5" s="20">
        <v>325302.79723372398</v>
      </c>
      <c r="F5" s="20">
        <v>300216.82861998002</v>
      </c>
      <c r="G5" s="10">
        <v>300216.82861998002</v>
      </c>
      <c r="H5" s="21">
        <f t="shared" si="0"/>
        <v>0</v>
      </c>
      <c r="I5" s="10">
        <v>327817.99211152899</v>
      </c>
      <c r="J5" s="21">
        <f t="shared" si="1"/>
        <v>2515.1948778050137</v>
      </c>
    </row>
    <row r="6" spans="1:10">
      <c r="A6" t="s">
        <v>159</v>
      </c>
      <c r="B6" t="s">
        <v>161</v>
      </c>
      <c r="C6" s="18">
        <v>2025</v>
      </c>
      <c r="D6" t="s">
        <v>177</v>
      </c>
      <c r="E6" s="20">
        <v>558773.29538939195</v>
      </c>
      <c r="F6" s="20">
        <v>321188.16298793198</v>
      </c>
      <c r="G6" s="10">
        <v>321188.16298793198</v>
      </c>
      <c r="H6" s="21">
        <f t="shared" si="0"/>
        <v>0</v>
      </c>
      <c r="I6" s="10">
        <v>563964.12892884796</v>
      </c>
      <c r="J6" s="21">
        <f t="shared" si="1"/>
        <v>5190.8335394560127</v>
      </c>
    </row>
    <row r="7" spans="1:10">
      <c r="A7" t="s">
        <v>159</v>
      </c>
      <c r="B7" t="s">
        <v>161</v>
      </c>
      <c r="C7" s="18">
        <v>2025</v>
      </c>
      <c r="D7" t="s">
        <v>181</v>
      </c>
      <c r="E7" s="20">
        <v>392950.566948722</v>
      </c>
      <c r="F7" s="20">
        <v>191954.71357959701</v>
      </c>
      <c r="G7" s="10">
        <v>191954.71357959701</v>
      </c>
      <c r="H7" s="21">
        <f t="shared" si="0"/>
        <v>0</v>
      </c>
      <c r="I7" s="10">
        <v>396205.91279756802</v>
      </c>
      <c r="J7" s="21">
        <f t="shared" si="1"/>
        <v>3255.3458488460165</v>
      </c>
    </row>
    <row r="8" spans="1:10">
      <c r="A8" t="s">
        <v>159</v>
      </c>
      <c r="B8" t="s">
        <v>161</v>
      </c>
      <c r="C8" s="18">
        <v>2025</v>
      </c>
      <c r="D8" t="s">
        <v>209</v>
      </c>
      <c r="E8" s="20">
        <v>44024.855784556101</v>
      </c>
      <c r="F8" s="20">
        <v>6961.0286695127397</v>
      </c>
      <c r="G8" s="10">
        <v>6961.0286695127397</v>
      </c>
      <c r="H8" s="21">
        <f t="shared" si="0"/>
        <v>0</v>
      </c>
      <c r="I8" s="10">
        <v>44024.855784556101</v>
      </c>
      <c r="J8" s="21">
        <f t="shared" si="1"/>
        <v>0</v>
      </c>
    </row>
    <row r="9" spans="1:10">
      <c r="A9" t="s">
        <v>159</v>
      </c>
      <c r="B9" t="s">
        <v>161</v>
      </c>
      <c r="C9" s="18">
        <v>2026</v>
      </c>
      <c r="D9" t="s">
        <v>187</v>
      </c>
      <c r="E9" s="20">
        <v>12812.507871628</v>
      </c>
      <c r="F9" s="20">
        <v>9308.2642091095495</v>
      </c>
      <c r="G9" s="10">
        <v>9308.2642091095495</v>
      </c>
      <c r="H9" s="21">
        <f t="shared" si="0"/>
        <v>0</v>
      </c>
      <c r="I9" s="10">
        <v>12812.507871628</v>
      </c>
      <c r="J9" s="21">
        <f t="shared" si="1"/>
        <v>0</v>
      </c>
    </row>
    <row r="10" spans="1:10">
      <c r="A10" t="s">
        <v>159</v>
      </c>
      <c r="B10" t="s">
        <v>161</v>
      </c>
      <c r="C10" s="18">
        <v>2026</v>
      </c>
      <c r="D10" t="s">
        <v>227</v>
      </c>
      <c r="E10" s="20">
        <v>1040956.74283153</v>
      </c>
      <c r="F10" s="20">
        <v>137191.89613692299</v>
      </c>
      <c r="G10" s="10">
        <v>137191.89613692299</v>
      </c>
      <c r="H10" s="21">
        <f t="shared" si="0"/>
        <v>0</v>
      </c>
      <c r="I10" s="10">
        <v>1040956.74283153</v>
      </c>
      <c r="J10" s="21">
        <f t="shared" si="1"/>
        <v>0</v>
      </c>
    </row>
    <row r="11" spans="1:10">
      <c r="A11" t="s">
        <v>159</v>
      </c>
      <c r="B11" t="s">
        <v>161</v>
      </c>
      <c r="C11" s="18">
        <v>2026</v>
      </c>
      <c r="D11" t="s">
        <v>163</v>
      </c>
      <c r="E11" s="20">
        <v>93411.244222838504</v>
      </c>
      <c r="F11" s="20">
        <v>65019.038377609097</v>
      </c>
      <c r="G11" s="10">
        <v>65164.470413401701</v>
      </c>
      <c r="H11" s="21">
        <f t="shared" si="0"/>
        <v>145.43203579260444</v>
      </c>
      <c r="I11" s="10">
        <v>95077.183303526501</v>
      </c>
      <c r="J11" s="21">
        <f t="shared" si="1"/>
        <v>1665.9390806879965</v>
      </c>
    </row>
    <row r="12" spans="1:10">
      <c r="A12" t="s">
        <v>159</v>
      </c>
      <c r="B12" t="s">
        <v>161</v>
      </c>
      <c r="C12" s="18">
        <v>2026</v>
      </c>
      <c r="D12" t="s">
        <v>173</v>
      </c>
      <c r="E12" s="20">
        <v>331730.01613131398</v>
      </c>
      <c r="F12" s="20">
        <v>307514.27447539702</v>
      </c>
      <c r="G12" s="10">
        <v>308606.943045308</v>
      </c>
      <c r="H12" s="21">
        <f t="shared" si="0"/>
        <v>1092.6685699109803</v>
      </c>
      <c r="I12" s="10">
        <v>336875.42349560501</v>
      </c>
      <c r="J12" s="21">
        <f t="shared" si="1"/>
        <v>5145.4073642910225</v>
      </c>
    </row>
    <row r="13" spans="1:10">
      <c r="A13" t="s">
        <v>159</v>
      </c>
      <c r="B13" t="s">
        <v>161</v>
      </c>
      <c r="C13" s="18">
        <v>2026</v>
      </c>
      <c r="D13" t="s">
        <v>177</v>
      </c>
      <c r="E13" s="20">
        <v>569503.10037779598</v>
      </c>
      <c r="F13" s="20">
        <v>332582.49357160903</v>
      </c>
      <c r="G13" s="10">
        <v>332896.18576831103</v>
      </c>
      <c r="H13" s="21">
        <f t="shared" si="0"/>
        <v>313.69219670200255</v>
      </c>
      <c r="I13" s="10">
        <v>580111.54195764905</v>
      </c>
      <c r="J13" s="21">
        <f t="shared" si="1"/>
        <v>10608.441579853068</v>
      </c>
    </row>
    <row r="14" spans="1:10">
      <c r="A14" t="s">
        <v>159</v>
      </c>
      <c r="B14" t="s">
        <v>161</v>
      </c>
      <c r="C14" s="18">
        <v>2026</v>
      </c>
      <c r="D14" t="s">
        <v>181</v>
      </c>
      <c r="E14" s="20">
        <v>403151.88233966898</v>
      </c>
      <c r="F14" s="20">
        <v>201852.16389912</v>
      </c>
      <c r="G14" s="10">
        <v>202008.19978323701</v>
      </c>
      <c r="H14" s="21">
        <f t="shared" si="0"/>
        <v>156.03588411700912</v>
      </c>
      <c r="I14" s="10">
        <v>409829.87281699001</v>
      </c>
      <c r="J14" s="21">
        <f t="shared" si="1"/>
        <v>6677.9904773210292</v>
      </c>
    </row>
    <row r="15" spans="1:10">
      <c r="A15" t="s">
        <v>159</v>
      </c>
      <c r="B15" t="s">
        <v>161</v>
      </c>
      <c r="C15" s="18">
        <v>2026</v>
      </c>
      <c r="D15" t="s">
        <v>209</v>
      </c>
      <c r="E15" s="20">
        <v>44219.170751765298</v>
      </c>
      <c r="F15" s="20">
        <v>7023.7712687228704</v>
      </c>
      <c r="G15" s="10">
        <v>7023.7712687228704</v>
      </c>
      <c r="H15" s="21">
        <f t="shared" si="0"/>
        <v>0</v>
      </c>
      <c r="I15" s="10">
        <v>44219.170751765298</v>
      </c>
      <c r="J15" s="21">
        <f t="shared" si="1"/>
        <v>0</v>
      </c>
    </row>
    <row r="16" spans="1:10">
      <c r="A16" t="s">
        <v>159</v>
      </c>
      <c r="B16" t="s">
        <v>161</v>
      </c>
      <c r="C16" s="18">
        <v>2027</v>
      </c>
      <c r="D16" t="s">
        <v>187</v>
      </c>
      <c r="E16" s="20">
        <v>13273.7636622754</v>
      </c>
      <c r="F16" s="20">
        <v>9640.7153077701696</v>
      </c>
      <c r="G16" s="10">
        <v>9640.7153077701696</v>
      </c>
      <c r="H16" s="21">
        <f t="shared" si="0"/>
        <v>0</v>
      </c>
      <c r="I16" s="10">
        <v>13273.481772584</v>
      </c>
      <c r="J16" s="21">
        <f t="shared" si="1"/>
        <v>-0.28188969139955589</v>
      </c>
    </row>
    <row r="17" spans="1:10">
      <c r="A17" t="s">
        <v>159</v>
      </c>
      <c r="B17" t="s">
        <v>161</v>
      </c>
      <c r="C17" s="18">
        <v>2027</v>
      </c>
      <c r="D17" t="s">
        <v>227</v>
      </c>
      <c r="E17" s="20">
        <v>1055269.6446273599</v>
      </c>
      <c r="F17" s="20">
        <v>145087.13077641799</v>
      </c>
      <c r="G17" s="10">
        <v>145087.13077641799</v>
      </c>
      <c r="H17" s="21">
        <f t="shared" si="0"/>
        <v>0</v>
      </c>
      <c r="I17" s="10">
        <v>1055255.40879996</v>
      </c>
      <c r="J17" s="21">
        <f t="shared" si="1"/>
        <v>-14.235827399883419</v>
      </c>
    </row>
    <row r="18" spans="1:10">
      <c r="A18" t="s">
        <v>159</v>
      </c>
      <c r="B18" t="s">
        <v>161</v>
      </c>
      <c r="C18" s="18">
        <v>2027</v>
      </c>
      <c r="D18" t="s">
        <v>163</v>
      </c>
      <c r="E18" s="20">
        <v>95880.827987189507</v>
      </c>
      <c r="F18" s="20">
        <v>66659.931779265506</v>
      </c>
      <c r="G18" s="10">
        <v>67068.016908610196</v>
      </c>
      <c r="H18" s="21">
        <f t="shared" si="0"/>
        <v>408.08512934469036</v>
      </c>
      <c r="I18" s="10">
        <v>98448.827883966893</v>
      </c>
      <c r="J18" s="21">
        <f t="shared" si="1"/>
        <v>2567.9998967773863</v>
      </c>
    </row>
    <row r="19" spans="1:10">
      <c r="A19" t="s">
        <v>159</v>
      </c>
      <c r="B19" t="s">
        <v>161</v>
      </c>
      <c r="C19" s="18">
        <v>2027</v>
      </c>
      <c r="D19" t="s">
        <v>173</v>
      </c>
      <c r="E19" s="20">
        <v>338046.81173723098</v>
      </c>
      <c r="F19" s="20">
        <v>314400.24000676698</v>
      </c>
      <c r="G19" s="10">
        <v>317119.55355255498</v>
      </c>
      <c r="H19" s="21">
        <f t="shared" si="0"/>
        <v>2719.313545787998</v>
      </c>
      <c r="I19" s="10">
        <v>345936.70671640302</v>
      </c>
      <c r="J19" s="21">
        <f t="shared" si="1"/>
        <v>7889.894979172037</v>
      </c>
    </row>
    <row r="20" spans="1:10">
      <c r="A20" t="s">
        <v>159</v>
      </c>
      <c r="B20" t="s">
        <v>161</v>
      </c>
      <c r="C20" s="18">
        <v>2027</v>
      </c>
      <c r="D20" t="s">
        <v>177</v>
      </c>
      <c r="E20" s="20">
        <v>579908.92348849506</v>
      </c>
      <c r="F20" s="20">
        <v>343581.594199894</v>
      </c>
      <c r="G20" s="10">
        <v>344517.274659827</v>
      </c>
      <c r="H20" s="21">
        <f t="shared" si="0"/>
        <v>935.6804599330062</v>
      </c>
      <c r="I20" s="10">
        <v>596148.83233467594</v>
      </c>
      <c r="J20" s="21">
        <f t="shared" si="1"/>
        <v>16239.908846180886</v>
      </c>
    </row>
    <row r="21" spans="1:10">
      <c r="A21" t="s">
        <v>159</v>
      </c>
      <c r="B21" t="s">
        <v>161</v>
      </c>
      <c r="C21" s="18">
        <v>2027</v>
      </c>
      <c r="D21" t="s">
        <v>181</v>
      </c>
      <c r="E21" s="20">
        <v>413223.788271142</v>
      </c>
      <c r="F21" s="20">
        <v>211523.51795782201</v>
      </c>
      <c r="G21" s="10">
        <v>211995.48802417101</v>
      </c>
      <c r="H21" s="21">
        <f t="shared" si="0"/>
        <v>471.97006634899299</v>
      </c>
      <c r="I21" s="10">
        <v>423485.10132199898</v>
      </c>
      <c r="J21" s="21">
        <f t="shared" si="1"/>
        <v>10261.313050856988</v>
      </c>
    </row>
    <row r="22" spans="1:10">
      <c r="A22" t="s">
        <v>159</v>
      </c>
      <c r="B22" t="s">
        <v>161</v>
      </c>
      <c r="C22" s="18">
        <v>2027</v>
      </c>
      <c r="D22" t="s">
        <v>209</v>
      </c>
      <c r="E22" s="20">
        <v>44384.261764804804</v>
      </c>
      <c r="F22" s="20">
        <v>7080.0570056816796</v>
      </c>
      <c r="G22" s="10">
        <v>7080.0570056816796</v>
      </c>
      <c r="H22" s="21">
        <f t="shared" si="0"/>
        <v>0</v>
      </c>
      <c r="I22" s="10">
        <v>44384.2018393689</v>
      </c>
      <c r="J22" s="21">
        <f t="shared" si="1"/>
        <v>-5.9925435904006008E-2</v>
      </c>
    </row>
    <row r="23" spans="1:10">
      <c r="A23" t="s">
        <v>159</v>
      </c>
      <c r="B23" t="s">
        <v>161</v>
      </c>
      <c r="C23" s="18">
        <v>2028</v>
      </c>
      <c r="D23" t="s">
        <v>187</v>
      </c>
      <c r="E23" s="20">
        <v>13730.5278711594</v>
      </c>
      <c r="F23" s="20">
        <v>9971.5042745417995</v>
      </c>
      <c r="G23" s="10">
        <v>9971.4547216338906</v>
      </c>
      <c r="H23" s="21">
        <f t="shared" si="0"/>
        <v>-4.9552907908946509E-2</v>
      </c>
      <c r="I23" s="10">
        <v>13729.5005000864</v>
      </c>
      <c r="J23" s="21">
        <f t="shared" si="1"/>
        <v>-1.0273710729998129</v>
      </c>
    </row>
    <row r="24" spans="1:10">
      <c r="A24" t="s">
        <v>159</v>
      </c>
      <c r="B24" t="s">
        <v>161</v>
      </c>
      <c r="C24" s="18">
        <v>2028</v>
      </c>
      <c r="D24" t="s">
        <v>227</v>
      </c>
      <c r="E24" s="20">
        <v>1069056.6051636101</v>
      </c>
      <c r="F24" s="20">
        <v>153078.063882079</v>
      </c>
      <c r="G24" s="10">
        <v>153077.86738724401</v>
      </c>
      <c r="H24" s="21">
        <f t="shared" si="0"/>
        <v>-0.19649483499233611</v>
      </c>
      <c r="I24" s="10">
        <v>1069005.07088018</v>
      </c>
      <c r="J24" s="21">
        <f t="shared" si="1"/>
        <v>-51.534283430082723</v>
      </c>
    </row>
    <row r="25" spans="1:10">
      <c r="A25" t="s">
        <v>159</v>
      </c>
      <c r="B25" t="s">
        <v>161</v>
      </c>
      <c r="C25" s="18">
        <v>2028</v>
      </c>
      <c r="D25" t="s">
        <v>163</v>
      </c>
      <c r="E25" s="20">
        <v>98284.290692590803</v>
      </c>
      <c r="F25" s="20">
        <v>68252.143535816896</v>
      </c>
      <c r="G25" s="10">
        <v>69019.933123164999</v>
      </c>
      <c r="H25" s="21">
        <f t="shared" si="0"/>
        <v>767.78958734810294</v>
      </c>
      <c r="I25" s="10">
        <v>101797.96761407</v>
      </c>
      <c r="J25" s="21">
        <f t="shared" si="1"/>
        <v>3513.6769214792002</v>
      </c>
    </row>
    <row r="26" spans="1:10">
      <c r="A26" t="s">
        <v>159</v>
      </c>
      <c r="B26" t="s">
        <v>161</v>
      </c>
      <c r="C26" s="18">
        <v>2028</v>
      </c>
      <c r="D26" t="s">
        <v>173</v>
      </c>
      <c r="E26" s="20">
        <v>344219.57085774699</v>
      </c>
      <c r="F26" s="20">
        <v>320989.758124099</v>
      </c>
      <c r="G26" s="10">
        <v>325690.68301689299</v>
      </c>
      <c r="H26" s="21">
        <f t="shared" si="0"/>
        <v>4700.9248927939916</v>
      </c>
      <c r="I26" s="10">
        <v>354965.53581913299</v>
      </c>
      <c r="J26" s="21">
        <f t="shared" si="1"/>
        <v>10745.964961385995</v>
      </c>
    </row>
    <row r="27" spans="1:10">
      <c r="A27" t="s">
        <v>159</v>
      </c>
      <c r="B27" t="s">
        <v>161</v>
      </c>
      <c r="C27" s="18">
        <v>2028</v>
      </c>
      <c r="D27" t="s">
        <v>177</v>
      </c>
      <c r="E27" s="20">
        <v>589955.602631644</v>
      </c>
      <c r="F27" s="20">
        <v>354214.05690220202</v>
      </c>
      <c r="G27" s="10">
        <v>356073.57143805898</v>
      </c>
      <c r="H27" s="21">
        <f t="shared" si="0"/>
        <v>1859.5145358569571</v>
      </c>
      <c r="I27" s="10">
        <v>612031.65944475099</v>
      </c>
      <c r="J27" s="21">
        <f t="shared" si="1"/>
        <v>22076.056813106989</v>
      </c>
    </row>
    <row r="28" spans="1:10">
      <c r="A28" t="s">
        <v>159</v>
      </c>
      <c r="B28" t="s">
        <v>161</v>
      </c>
      <c r="C28" s="18">
        <v>2028</v>
      </c>
      <c r="D28" t="s">
        <v>181</v>
      </c>
      <c r="E28" s="20">
        <v>423157.14765283698</v>
      </c>
      <c r="F28" s="20">
        <v>220959.36295044899</v>
      </c>
      <c r="G28" s="10">
        <v>221908.95856330299</v>
      </c>
      <c r="H28" s="21">
        <f t="shared" si="0"/>
        <v>949.59561285399832</v>
      </c>
      <c r="I28" s="10">
        <v>437159.75519195799</v>
      </c>
      <c r="J28" s="21">
        <f t="shared" si="1"/>
        <v>14002.607539121003</v>
      </c>
    </row>
    <row r="29" spans="1:10">
      <c r="A29" t="s">
        <v>159</v>
      </c>
      <c r="B29" t="s">
        <v>161</v>
      </c>
      <c r="C29" s="18">
        <v>2028</v>
      </c>
      <c r="D29" t="s">
        <v>209</v>
      </c>
      <c r="E29" s="20">
        <v>44510.283340557799</v>
      </c>
      <c r="F29" s="20">
        <v>7131.0705481774103</v>
      </c>
      <c r="G29" s="10">
        <v>7131.0701635649802</v>
      </c>
      <c r="H29" s="21">
        <f t="shared" si="0"/>
        <v>-3.8461243002529955E-4</v>
      </c>
      <c r="I29" s="10">
        <v>44510.064962992903</v>
      </c>
      <c r="J29" s="21">
        <f t="shared" si="1"/>
        <v>-0.21837756489549065</v>
      </c>
    </row>
    <row r="30" spans="1:10">
      <c r="A30" t="s">
        <v>159</v>
      </c>
      <c r="B30" t="s">
        <v>161</v>
      </c>
      <c r="C30" s="18">
        <v>2029</v>
      </c>
      <c r="D30" t="s">
        <v>187</v>
      </c>
      <c r="E30" s="20">
        <v>14183.839428985701</v>
      </c>
      <c r="F30" s="20">
        <v>10301.4465385574</v>
      </c>
      <c r="G30" s="10">
        <v>10301.2295792609</v>
      </c>
      <c r="H30" s="21">
        <f t="shared" si="0"/>
        <v>-0.21695929650013568</v>
      </c>
      <c r="I30" s="10">
        <v>14181.423637546701</v>
      </c>
      <c r="J30" s="21">
        <f t="shared" si="1"/>
        <v>-2.4157914389998041</v>
      </c>
    </row>
    <row r="31" spans="1:10">
      <c r="A31" t="s">
        <v>159</v>
      </c>
      <c r="B31" t="s">
        <v>161</v>
      </c>
      <c r="C31" s="18">
        <v>2029</v>
      </c>
      <c r="D31" t="s">
        <v>227</v>
      </c>
      <c r="E31" s="20">
        <v>1082371.17507781</v>
      </c>
      <c r="F31" s="20">
        <v>161161.967024727</v>
      </c>
      <c r="G31" s="10">
        <v>161161.06213209301</v>
      </c>
      <c r="H31" s="21">
        <f t="shared" si="0"/>
        <v>-0.90489263398922049</v>
      </c>
      <c r="I31" s="10">
        <v>1082252.3942307399</v>
      </c>
      <c r="J31" s="21">
        <f t="shared" si="1"/>
        <v>-118.78084707004018</v>
      </c>
    </row>
    <row r="32" spans="1:10">
      <c r="A32" t="s">
        <v>159</v>
      </c>
      <c r="B32" t="s">
        <v>161</v>
      </c>
      <c r="C32" s="18">
        <v>2029</v>
      </c>
      <c r="D32" t="s">
        <v>163</v>
      </c>
      <c r="E32" s="20">
        <v>100612.982266526</v>
      </c>
      <c r="F32" s="20">
        <v>69832.334077698397</v>
      </c>
      <c r="G32" s="10">
        <v>71042.054429439493</v>
      </c>
      <c r="H32" s="21">
        <f t="shared" si="0"/>
        <v>1209.7203517410962</v>
      </c>
      <c r="I32" s="10">
        <v>105114.693344183</v>
      </c>
      <c r="J32" s="21">
        <f t="shared" si="1"/>
        <v>4501.7110776570044</v>
      </c>
    </row>
    <row r="33" spans="1:10">
      <c r="A33" t="s">
        <v>159</v>
      </c>
      <c r="B33" t="s">
        <v>161</v>
      </c>
      <c r="C33" s="18">
        <v>2029</v>
      </c>
      <c r="D33" t="s">
        <v>173</v>
      </c>
      <c r="E33" s="20">
        <v>350187.27527861</v>
      </c>
      <c r="F33" s="20">
        <v>327345.73920437199</v>
      </c>
      <c r="G33" s="10">
        <v>334292.677138926</v>
      </c>
      <c r="H33" s="21">
        <f t="shared" si="0"/>
        <v>6946.9379345540074</v>
      </c>
      <c r="I33" s="10">
        <v>363896.20424716797</v>
      </c>
      <c r="J33" s="21">
        <f t="shared" si="1"/>
        <v>13708.928968557972</v>
      </c>
    </row>
    <row r="34" spans="1:10">
      <c r="A34" t="s">
        <v>159</v>
      </c>
      <c r="B34" t="s">
        <v>161</v>
      </c>
      <c r="C34" s="18">
        <v>2029</v>
      </c>
      <c r="D34" t="s">
        <v>177</v>
      </c>
      <c r="E34" s="20">
        <v>599616.72713750205</v>
      </c>
      <c r="F34" s="20">
        <v>364497.40962983703</v>
      </c>
      <c r="G34" s="10">
        <v>367575.22274735</v>
      </c>
      <c r="H34" s="21">
        <f t="shared" si="0"/>
        <v>3077.8131175129674</v>
      </c>
      <c r="I34" s="10">
        <v>627726.33689879405</v>
      </c>
      <c r="J34" s="21">
        <f t="shared" si="1"/>
        <v>28109.609761291998</v>
      </c>
    </row>
    <row r="35" spans="1:10">
      <c r="A35" t="s">
        <v>159</v>
      </c>
      <c r="B35" t="s">
        <v>161</v>
      </c>
      <c r="C35" s="18">
        <v>2029</v>
      </c>
      <c r="D35" t="s">
        <v>181</v>
      </c>
      <c r="E35" s="20">
        <v>432885.97050455603</v>
      </c>
      <c r="F35" s="20">
        <v>230118.88699612499</v>
      </c>
      <c r="G35" s="10">
        <v>231708.01887569</v>
      </c>
      <c r="H35" s="21">
        <f t="shared" si="0"/>
        <v>1589.131879565015</v>
      </c>
      <c r="I35" s="10">
        <v>450786.13401356898</v>
      </c>
      <c r="J35" s="21">
        <f t="shared" si="1"/>
        <v>17900.163509012957</v>
      </c>
    </row>
    <row r="36" spans="1:10">
      <c r="A36" t="s">
        <v>159</v>
      </c>
      <c r="B36" t="s">
        <v>161</v>
      </c>
      <c r="C36" s="18">
        <v>2029</v>
      </c>
      <c r="D36" t="s">
        <v>209</v>
      </c>
      <c r="E36" s="20">
        <v>44600.768362365699</v>
      </c>
      <c r="F36" s="20">
        <v>7178.2210661379004</v>
      </c>
      <c r="G36" s="10">
        <v>7178.2193159725202</v>
      </c>
      <c r="H36" s="21">
        <f t="shared" si="0"/>
        <v>-1.7501653801446082E-3</v>
      </c>
      <c r="I36" s="10">
        <v>44600.261443595497</v>
      </c>
      <c r="J36" s="21">
        <f t="shared" si="1"/>
        <v>-0.50691877020290121</v>
      </c>
    </row>
    <row r="37" spans="1:10">
      <c r="A37" t="s">
        <v>159</v>
      </c>
      <c r="B37" t="s">
        <v>161</v>
      </c>
      <c r="C37" s="18">
        <v>2030</v>
      </c>
      <c r="D37" t="s">
        <v>187</v>
      </c>
      <c r="E37" s="20">
        <v>14635.558660442</v>
      </c>
      <c r="F37" s="20">
        <v>10630.850766759</v>
      </c>
      <c r="G37" s="10">
        <v>10630.2702680602</v>
      </c>
      <c r="H37" s="21">
        <f t="shared" si="0"/>
        <v>-0.58049869880051119</v>
      </c>
      <c r="I37" s="10">
        <v>14630.9263575645</v>
      </c>
      <c r="J37" s="21">
        <f t="shared" si="1"/>
        <v>-4.6323028775004786</v>
      </c>
    </row>
    <row r="38" spans="1:10">
      <c r="A38" t="s">
        <v>159</v>
      </c>
      <c r="B38" t="s">
        <v>161</v>
      </c>
      <c r="C38" s="18">
        <v>2030</v>
      </c>
      <c r="D38" t="s">
        <v>227</v>
      </c>
      <c r="E38" s="20">
        <v>1095178.6616849301</v>
      </c>
      <c r="F38" s="20">
        <v>169317.373678342</v>
      </c>
      <c r="G38" s="10">
        <v>169314.83403803801</v>
      </c>
      <c r="H38" s="21">
        <f t="shared" si="0"/>
        <v>-2.5396403039922006</v>
      </c>
      <c r="I38" s="10">
        <v>1094956.8444496701</v>
      </c>
      <c r="J38" s="21">
        <f t="shared" si="1"/>
        <v>-221.81723526003771</v>
      </c>
    </row>
    <row r="39" spans="1:10">
      <c r="A39" t="s">
        <v>159</v>
      </c>
      <c r="B39" t="s">
        <v>161</v>
      </c>
      <c r="C39" s="18">
        <v>2030</v>
      </c>
      <c r="D39" t="s">
        <v>163</v>
      </c>
      <c r="E39" s="20">
        <v>102862.105642497</v>
      </c>
      <c r="F39" s="20">
        <v>71397.916166945899</v>
      </c>
      <c r="G39" s="10">
        <v>73120.8011068864</v>
      </c>
      <c r="H39" s="21">
        <f t="shared" si="0"/>
        <v>1722.8849399405008</v>
      </c>
      <c r="I39" s="10">
        <v>108393.77376611999</v>
      </c>
      <c r="J39" s="21">
        <f t="shared" si="1"/>
        <v>5531.6681236229924</v>
      </c>
    </row>
    <row r="40" spans="1:10">
      <c r="A40" t="s">
        <v>159</v>
      </c>
      <c r="B40" t="s">
        <v>161</v>
      </c>
      <c r="C40" s="18">
        <v>2030</v>
      </c>
      <c r="D40" t="s">
        <v>173</v>
      </c>
      <c r="E40" s="20">
        <v>355964.74305793602</v>
      </c>
      <c r="F40" s="20">
        <v>333483.63472710998</v>
      </c>
      <c r="G40" s="10">
        <v>342889.63536639401</v>
      </c>
      <c r="H40" s="21">
        <f t="shared" si="0"/>
        <v>9406.0006392840296</v>
      </c>
      <c r="I40" s="10">
        <v>372741.79546126397</v>
      </c>
      <c r="J40" s="21">
        <f t="shared" si="1"/>
        <v>16777.052403327951</v>
      </c>
    </row>
    <row r="41" spans="1:10">
      <c r="A41" t="s">
        <v>159</v>
      </c>
      <c r="B41" t="s">
        <v>161</v>
      </c>
      <c r="C41" s="18">
        <v>2030</v>
      </c>
      <c r="D41" t="s">
        <v>177</v>
      </c>
      <c r="E41" s="20">
        <v>608821.08247062401</v>
      </c>
      <c r="F41" s="20">
        <v>374358.62270501902</v>
      </c>
      <c r="G41" s="10">
        <v>378940.23126744502</v>
      </c>
      <c r="H41" s="21">
        <f t="shared" si="0"/>
        <v>4581.6085624260013</v>
      </c>
      <c r="I41" s="10">
        <v>643154.21130562795</v>
      </c>
      <c r="J41" s="21">
        <f t="shared" si="1"/>
        <v>34333.128835003939</v>
      </c>
    </row>
    <row r="42" spans="1:10">
      <c r="A42" t="s">
        <v>159</v>
      </c>
      <c r="B42" t="s">
        <v>161</v>
      </c>
      <c r="C42" s="18">
        <v>2030</v>
      </c>
      <c r="D42" t="s">
        <v>181</v>
      </c>
      <c r="E42" s="20">
        <v>442406.33409883099</v>
      </c>
      <c r="F42" s="20">
        <v>238920.20194527999</v>
      </c>
      <c r="G42" s="10">
        <v>241310.309903655</v>
      </c>
      <c r="H42" s="21">
        <f t="shared" si="0"/>
        <v>2390.1079583750106</v>
      </c>
      <c r="I42" s="10">
        <v>464360.51810377202</v>
      </c>
      <c r="J42" s="21">
        <f t="shared" si="1"/>
        <v>21954.184004941024</v>
      </c>
    </row>
    <row r="43" spans="1:10">
      <c r="A43" t="s">
        <v>159</v>
      </c>
      <c r="B43" t="s">
        <v>161</v>
      </c>
      <c r="C43" s="18">
        <v>2030</v>
      </c>
      <c r="D43" t="s">
        <v>209</v>
      </c>
      <c r="E43" s="20">
        <v>44648.2219237838</v>
      </c>
      <c r="F43" s="20">
        <v>7223.1151549174101</v>
      </c>
      <c r="G43" s="10">
        <v>7223.1103147423601</v>
      </c>
      <c r="H43" s="21">
        <f t="shared" si="0"/>
        <v>-4.8401750500488561E-3</v>
      </c>
      <c r="I43" s="10">
        <v>44647.268915282999</v>
      </c>
      <c r="J43" s="21">
        <f t="shared" si="1"/>
        <v>-0.95300850080093369</v>
      </c>
    </row>
    <row r="44" spans="1:10">
      <c r="A44" t="s">
        <v>159</v>
      </c>
      <c r="B44" t="s">
        <v>161</v>
      </c>
      <c r="C44" s="18">
        <v>2031</v>
      </c>
      <c r="D44" t="s">
        <v>187</v>
      </c>
      <c r="E44" s="20">
        <v>15088.270698775899</v>
      </c>
      <c r="F44" s="20">
        <v>10956.6531231847</v>
      </c>
      <c r="G44" s="10">
        <v>10955.4255331558</v>
      </c>
      <c r="H44" s="21">
        <f t="shared" si="0"/>
        <v>-1.2275900289005222</v>
      </c>
      <c r="I44" s="10">
        <v>15080.3825495532</v>
      </c>
      <c r="J44" s="21">
        <f t="shared" si="1"/>
        <v>-7.8881492226992123</v>
      </c>
    </row>
    <row r="45" spans="1:10">
      <c r="A45" t="s">
        <v>159</v>
      </c>
      <c r="B45" t="s">
        <v>161</v>
      </c>
      <c r="C45" s="18">
        <v>2031</v>
      </c>
      <c r="D45" t="s">
        <v>227</v>
      </c>
      <c r="E45" s="20">
        <v>1107393.3497770701</v>
      </c>
      <c r="F45" s="20">
        <v>177516.50292351801</v>
      </c>
      <c r="G45" s="10">
        <v>177510.90619666901</v>
      </c>
      <c r="H45" s="21">
        <f t="shared" si="0"/>
        <v>-5.5967268490057904</v>
      </c>
      <c r="I45" s="10">
        <v>1107027.6916289399</v>
      </c>
      <c r="J45" s="21">
        <f t="shared" si="1"/>
        <v>-365.65814813016914</v>
      </c>
    </row>
    <row r="46" spans="1:10">
      <c r="A46" t="s">
        <v>159</v>
      </c>
      <c r="B46" t="s">
        <v>161</v>
      </c>
      <c r="C46" s="18">
        <v>2031</v>
      </c>
      <c r="D46" t="s">
        <v>163</v>
      </c>
      <c r="E46" s="20">
        <v>105029.025132544</v>
      </c>
      <c r="F46" s="20">
        <v>72931.580333806298</v>
      </c>
      <c r="G46" s="10">
        <v>75230.219664338001</v>
      </c>
      <c r="H46" s="21">
        <f t="shared" si="0"/>
        <v>2298.6393305317033</v>
      </c>
      <c r="I46" s="10">
        <v>111632.94755435199</v>
      </c>
      <c r="J46" s="21">
        <f t="shared" si="1"/>
        <v>6603.9224218079908</v>
      </c>
    </row>
    <row r="47" spans="1:10">
      <c r="A47" t="s">
        <v>159</v>
      </c>
      <c r="B47" t="s">
        <v>161</v>
      </c>
      <c r="C47" s="18">
        <v>2031</v>
      </c>
      <c r="D47" t="s">
        <v>173</v>
      </c>
      <c r="E47" s="20">
        <v>361522.74722390098</v>
      </c>
      <c r="F47" s="20">
        <v>339387.85107763298</v>
      </c>
      <c r="G47" s="10">
        <v>351432.51867295097</v>
      </c>
      <c r="H47" s="21">
        <f t="shared" si="0"/>
        <v>12044.667595317995</v>
      </c>
      <c r="I47" s="10">
        <v>381470.26678102103</v>
      </c>
      <c r="J47" s="21">
        <f t="shared" si="1"/>
        <v>19947.519557120046</v>
      </c>
    </row>
    <row r="48" spans="1:10">
      <c r="A48" t="s">
        <v>159</v>
      </c>
      <c r="B48" t="s">
        <v>161</v>
      </c>
      <c r="C48" s="18">
        <v>2031</v>
      </c>
      <c r="D48" t="s">
        <v>177</v>
      </c>
      <c r="E48" s="20">
        <v>617538.86525431904</v>
      </c>
      <c r="F48" s="20">
        <v>383814.91818879498</v>
      </c>
      <c r="G48" s="10">
        <v>390181.00302030199</v>
      </c>
      <c r="H48" s="21">
        <f t="shared" si="0"/>
        <v>6366.0848315070034</v>
      </c>
      <c r="I48" s="10">
        <v>658282.14926881401</v>
      </c>
      <c r="J48" s="21">
        <f t="shared" si="1"/>
        <v>40743.284014494973</v>
      </c>
    </row>
    <row r="49" spans="1:10">
      <c r="A49" t="s">
        <v>159</v>
      </c>
      <c r="B49" t="s">
        <v>161</v>
      </c>
      <c r="C49" s="18">
        <v>2031</v>
      </c>
      <c r="D49" t="s">
        <v>181</v>
      </c>
      <c r="E49" s="20">
        <v>451618.53412284702</v>
      </c>
      <c r="F49" s="20">
        <v>247462.70218415401</v>
      </c>
      <c r="G49" s="10">
        <v>250815.78266259201</v>
      </c>
      <c r="H49" s="21">
        <f t="shared" si="0"/>
        <v>3353.0804784380016</v>
      </c>
      <c r="I49" s="10">
        <v>477778.14604748198</v>
      </c>
      <c r="J49" s="21">
        <f t="shared" si="1"/>
        <v>26159.611924634955</v>
      </c>
    </row>
    <row r="50" spans="1:10">
      <c r="A50" t="s">
        <v>159</v>
      </c>
      <c r="B50" t="s">
        <v>161</v>
      </c>
      <c r="C50" s="18">
        <v>2031</v>
      </c>
      <c r="D50" t="s">
        <v>209</v>
      </c>
      <c r="E50" s="20">
        <v>44641.928555295097</v>
      </c>
      <c r="F50" s="20">
        <v>7266.7765061294604</v>
      </c>
      <c r="G50" s="10">
        <v>7266.7660002075399</v>
      </c>
      <c r="H50" s="21">
        <f t="shared" si="0"/>
        <v>-1.050592192041222E-2</v>
      </c>
      <c r="I50" s="10">
        <v>44640.347295477797</v>
      </c>
      <c r="J50" s="21">
        <f t="shared" si="1"/>
        <v>-1.5812598172997241</v>
      </c>
    </row>
    <row r="51" spans="1:10">
      <c r="A51" t="s">
        <v>159</v>
      </c>
      <c r="B51" t="s">
        <v>161</v>
      </c>
      <c r="C51" s="18">
        <v>2032</v>
      </c>
      <c r="D51" t="s">
        <v>187</v>
      </c>
      <c r="E51" s="20">
        <v>15543.6746998991</v>
      </c>
      <c r="F51" s="20">
        <v>11276.7508681048</v>
      </c>
      <c r="G51" s="10">
        <v>11274.495449735199</v>
      </c>
      <c r="H51" s="21">
        <f t="shared" si="0"/>
        <v>-2.2554183696011023</v>
      </c>
      <c r="I51" s="10">
        <v>15531.2601955666</v>
      </c>
      <c r="J51" s="21">
        <f t="shared" si="1"/>
        <v>-12.414504332500655</v>
      </c>
    </row>
    <row r="52" spans="1:10">
      <c r="A52" t="s">
        <v>159</v>
      </c>
      <c r="B52" t="s">
        <v>161</v>
      </c>
      <c r="C52" s="18">
        <v>2032</v>
      </c>
      <c r="D52" t="s">
        <v>227</v>
      </c>
      <c r="E52" s="20">
        <v>1119031.91926709</v>
      </c>
      <c r="F52" s="20">
        <v>185736.64931635201</v>
      </c>
      <c r="G52" s="10">
        <v>185725.99905880101</v>
      </c>
      <c r="H52" s="21">
        <f t="shared" si="0"/>
        <v>-10.650257550994866</v>
      </c>
      <c r="I52" s="10">
        <v>1118477.3274982399</v>
      </c>
      <c r="J52" s="21">
        <f t="shared" si="1"/>
        <v>-554.59176885010675</v>
      </c>
    </row>
    <row r="53" spans="1:10">
      <c r="A53" t="s">
        <v>159</v>
      </c>
      <c r="B53" t="s">
        <v>161</v>
      </c>
      <c r="C53" s="18">
        <v>2032</v>
      </c>
      <c r="D53" t="s">
        <v>163</v>
      </c>
      <c r="E53" s="20">
        <v>107120.34793485</v>
      </c>
      <c r="F53" s="20">
        <v>74423.044138948404</v>
      </c>
      <c r="G53" s="10">
        <v>77353.061023932896</v>
      </c>
      <c r="H53" s="21">
        <f t="shared" si="0"/>
        <v>2930.0168849844922</v>
      </c>
      <c r="I53" s="10">
        <v>114835.221802653</v>
      </c>
      <c r="J53" s="21">
        <f t="shared" si="1"/>
        <v>7714.8738678030059</v>
      </c>
    </row>
    <row r="54" spans="1:10">
      <c r="A54" t="s">
        <v>159</v>
      </c>
      <c r="B54" t="s">
        <v>161</v>
      </c>
      <c r="C54" s="18">
        <v>2032</v>
      </c>
      <c r="D54" t="s">
        <v>173</v>
      </c>
      <c r="E54" s="20">
        <v>366793.08345426602</v>
      </c>
      <c r="F54" s="20">
        <v>344994.18029494502</v>
      </c>
      <c r="G54" s="10">
        <v>359834.54685286601</v>
      </c>
      <c r="H54" s="21">
        <f t="shared" si="0"/>
        <v>14840.366557920992</v>
      </c>
      <c r="I54" s="10">
        <v>389998.37668875401</v>
      </c>
      <c r="J54" s="21">
        <f t="shared" si="1"/>
        <v>23205.293234487996</v>
      </c>
    </row>
    <row r="55" spans="1:10">
      <c r="A55" t="s">
        <v>159</v>
      </c>
      <c r="B55" t="s">
        <v>161</v>
      </c>
      <c r="C55" s="18">
        <v>2032</v>
      </c>
      <c r="D55" t="s">
        <v>177</v>
      </c>
      <c r="E55" s="20">
        <v>625804.50049181201</v>
      </c>
      <c r="F55" s="20">
        <v>392891.90984279203</v>
      </c>
      <c r="G55" s="10">
        <v>401318.28619347198</v>
      </c>
      <c r="H55" s="21">
        <f t="shared" si="0"/>
        <v>8426.3763506799587</v>
      </c>
      <c r="I55" s="10">
        <v>673133.88827326603</v>
      </c>
      <c r="J55" s="21">
        <f t="shared" si="1"/>
        <v>47329.387781454017</v>
      </c>
    </row>
    <row r="56" spans="1:10">
      <c r="A56" t="s">
        <v>159</v>
      </c>
      <c r="B56" t="s">
        <v>161</v>
      </c>
      <c r="C56" s="18">
        <v>2032</v>
      </c>
      <c r="D56" t="s">
        <v>181</v>
      </c>
      <c r="E56" s="20">
        <v>460413.006127564</v>
      </c>
      <c r="F56" s="20">
        <v>255866.065050743</v>
      </c>
      <c r="G56" s="10">
        <v>260346.937343717</v>
      </c>
      <c r="H56" s="21">
        <f t="shared" si="0"/>
        <v>4480.8722929740034</v>
      </c>
      <c r="I56" s="10">
        <v>490904.70344577997</v>
      </c>
      <c r="J56" s="21">
        <f t="shared" si="1"/>
        <v>30491.697318215971</v>
      </c>
    </row>
    <row r="57" spans="1:10">
      <c r="A57" t="s">
        <v>159</v>
      </c>
      <c r="B57" t="s">
        <v>161</v>
      </c>
      <c r="C57" s="18">
        <v>2032</v>
      </c>
      <c r="D57" t="s">
        <v>209</v>
      </c>
      <c r="E57" s="20">
        <v>44585.660577524402</v>
      </c>
      <c r="F57" s="20">
        <v>7308.7092607258501</v>
      </c>
      <c r="G57" s="10">
        <v>7308.6895683399798</v>
      </c>
      <c r="H57" s="21">
        <f t="shared" si="0"/>
        <v>-1.9692385870257567E-2</v>
      </c>
      <c r="I57" s="10">
        <v>44583.245501595899</v>
      </c>
      <c r="J57" s="21">
        <f t="shared" si="1"/>
        <v>-2.4150759285039385</v>
      </c>
    </row>
    <row r="58" spans="1:10">
      <c r="A58" t="s">
        <v>159</v>
      </c>
      <c r="B58" t="s">
        <v>161</v>
      </c>
      <c r="C58" s="18">
        <v>2033</v>
      </c>
      <c r="D58" t="s">
        <v>187</v>
      </c>
      <c r="E58" s="20">
        <v>16002.1891833999</v>
      </c>
      <c r="F58" s="20">
        <v>11590.708625622699</v>
      </c>
      <c r="G58" s="10">
        <v>11586.9335708044</v>
      </c>
      <c r="H58" s="21">
        <f t="shared" si="0"/>
        <v>-3.7750548182993953</v>
      </c>
      <c r="I58" s="10">
        <v>15983.7175379286</v>
      </c>
      <c r="J58" s="21">
        <f t="shared" si="1"/>
        <v>-18.47164547129978</v>
      </c>
    </row>
    <row r="59" spans="1:10">
      <c r="A59" t="s">
        <v>159</v>
      </c>
      <c r="B59" t="s">
        <v>161</v>
      </c>
      <c r="C59" s="18">
        <v>2033</v>
      </c>
      <c r="D59" t="s">
        <v>227</v>
      </c>
      <c r="E59" s="20">
        <v>1130025.84792909</v>
      </c>
      <c r="F59" s="20">
        <v>193971.56956741799</v>
      </c>
      <c r="G59" s="10">
        <v>193953.224223645</v>
      </c>
      <c r="H59" s="21">
        <f t="shared" si="0"/>
        <v>-18.345343772991328</v>
      </c>
      <c r="I59" s="10">
        <v>1129233.47845058</v>
      </c>
      <c r="J59" s="21">
        <f t="shared" si="1"/>
        <v>-792.36947850999422</v>
      </c>
    </row>
    <row r="60" spans="1:10">
      <c r="A60" t="s">
        <v>159</v>
      </c>
      <c r="B60" t="s">
        <v>161</v>
      </c>
      <c r="C60" s="18">
        <v>2033</v>
      </c>
      <c r="D60" t="s">
        <v>163</v>
      </c>
      <c r="E60" s="20">
        <v>109141.223086021</v>
      </c>
      <c r="F60" s="20">
        <v>75869.169184376893</v>
      </c>
      <c r="G60" s="10">
        <v>79480.4761690429</v>
      </c>
      <c r="H60" s="21">
        <f t="shared" si="0"/>
        <v>3611.3069846660073</v>
      </c>
      <c r="I60" s="10">
        <v>117998.73843744201</v>
      </c>
      <c r="J60" s="21">
        <f t="shared" si="1"/>
        <v>8857.5153514210106</v>
      </c>
    </row>
    <row r="61" spans="1:10">
      <c r="A61" t="s">
        <v>159</v>
      </c>
      <c r="B61" t="s">
        <v>161</v>
      </c>
      <c r="C61" s="18">
        <v>2033</v>
      </c>
      <c r="D61" t="s">
        <v>173</v>
      </c>
      <c r="E61" s="20">
        <v>371819.26957274502</v>
      </c>
      <c r="F61" s="20">
        <v>350282.21921739401</v>
      </c>
      <c r="G61" s="10">
        <v>368051.62457544298</v>
      </c>
      <c r="H61" s="21">
        <f t="shared" si="0"/>
        <v>17769.405358048971</v>
      </c>
      <c r="I61" s="10">
        <v>398354.344992358</v>
      </c>
      <c r="J61" s="21">
        <f t="shared" si="1"/>
        <v>26535.075419612986</v>
      </c>
    </row>
    <row r="62" spans="1:10">
      <c r="A62" t="s">
        <v>159</v>
      </c>
      <c r="B62" t="s">
        <v>161</v>
      </c>
      <c r="C62" s="18">
        <v>2033</v>
      </c>
      <c r="D62" t="s">
        <v>177</v>
      </c>
      <c r="E62" s="20">
        <v>633569.20303305297</v>
      </c>
      <c r="F62" s="20">
        <v>401592.32965723402</v>
      </c>
      <c r="G62" s="10">
        <v>412348.075678578</v>
      </c>
      <c r="H62" s="21">
        <f t="shared" si="0"/>
        <v>10755.746021343977</v>
      </c>
      <c r="I62" s="10">
        <v>687634.69954692596</v>
      </c>
      <c r="J62" s="21">
        <f t="shared" si="1"/>
        <v>54065.496513872989</v>
      </c>
    </row>
    <row r="63" spans="1:10">
      <c r="A63" t="s">
        <v>159</v>
      </c>
      <c r="B63" t="s">
        <v>161</v>
      </c>
      <c r="C63" s="18">
        <v>2033</v>
      </c>
      <c r="D63" t="s">
        <v>181</v>
      </c>
      <c r="E63" s="20">
        <v>468824.62340591202</v>
      </c>
      <c r="F63" s="20">
        <v>264111.99154224998</v>
      </c>
      <c r="G63" s="10">
        <v>269883.407599987</v>
      </c>
      <c r="H63" s="21">
        <f t="shared" si="0"/>
        <v>5771.4160577370203</v>
      </c>
      <c r="I63" s="10">
        <v>503751.109420694</v>
      </c>
      <c r="J63" s="21">
        <f t="shared" si="1"/>
        <v>34926.486014781985</v>
      </c>
    </row>
    <row r="64" spans="1:10">
      <c r="A64" t="s">
        <v>159</v>
      </c>
      <c r="B64" t="s">
        <v>161</v>
      </c>
      <c r="C64" s="18">
        <v>2033</v>
      </c>
      <c r="D64" t="s">
        <v>209</v>
      </c>
      <c r="E64" s="20">
        <v>44487.160885286998</v>
      </c>
      <c r="F64" s="20">
        <v>7348.1076138495</v>
      </c>
      <c r="G64" s="10">
        <v>7348.0741473220596</v>
      </c>
      <c r="H64" s="21">
        <f t="shared" si="0"/>
        <v>-3.3466527440396021E-2</v>
      </c>
      <c r="I64" s="10">
        <v>44483.683589841297</v>
      </c>
      <c r="J64" s="21">
        <f t="shared" si="1"/>
        <v>-3.4772954457002925</v>
      </c>
    </row>
    <row r="65" spans="1:10">
      <c r="A65" t="s">
        <v>159</v>
      </c>
      <c r="B65" t="s">
        <v>161</v>
      </c>
      <c r="C65" s="18">
        <v>2034</v>
      </c>
      <c r="D65" t="s">
        <v>187</v>
      </c>
      <c r="E65" s="20">
        <v>16463.275757900901</v>
      </c>
      <c r="F65" s="20">
        <v>11902.297281082299</v>
      </c>
      <c r="G65" s="10">
        <v>11896.382318738601</v>
      </c>
      <c r="H65" s="21">
        <f t="shared" si="0"/>
        <v>-5.9149623436987895</v>
      </c>
      <c r="I65" s="10">
        <v>16436.9312806497</v>
      </c>
      <c r="J65" s="21">
        <f t="shared" si="1"/>
        <v>-26.34447725120117</v>
      </c>
    </row>
    <row r="66" spans="1:10">
      <c r="A66" t="s">
        <v>159</v>
      </c>
      <c r="B66" t="s">
        <v>161</v>
      </c>
      <c r="C66" s="18">
        <v>2034</v>
      </c>
      <c r="D66" t="s">
        <v>227</v>
      </c>
      <c r="E66" s="20">
        <v>1140439.1965483101</v>
      </c>
      <c r="F66" s="20">
        <v>202176.66283884499</v>
      </c>
      <c r="G66" s="10">
        <v>202147.27044605001</v>
      </c>
      <c r="H66" s="21">
        <f t="shared" ref="H66:H129" si="2">G66-F66</f>
        <v>-29.392392794979969</v>
      </c>
      <c r="I66" s="10">
        <v>1139357.0195160699</v>
      </c>
      <c r="J66" s="21">
        <f t="shared" ref="J66:J129" si="3">I66-E66</f>
        <v>-1082.1770322402008</v>
      </c>
    </row>
    <row r="67" spans="1:10">
      <c r="A67" t="s">
        <v>159</v>
      </c>
      <c r="B67" t="s">
        <v>161</v>
      </c>
      <c r="C67" s="18">
        <v>2034</v>
      </c>
      <c r="D67" t="s">
        <v>163</v>
      </c>
      <c r="E67" s="20">
        <v>111076.780018818</v>
      </c>
      <c r="F67" s="20">
        <v>77257.677308401006</v>
      </c>
      <c r="G67" s="10">
        <v>81594.948233921197</v>
      </c>
      <c r="H67" s="21">
        <f t="shared" si="2"/>
        <v>4337.2709255201917</v>
      </c>
      <c r="I67" s="10">
        <v>121105.471839437</v>
      </c>
      <c r="J67" s="21">
        <f t="shared" si="3"/>
        <v>10028.691820619002</v>
      </c>
    </row>
    <row r="68" spans="1:10">
      <c r="A68" t="s">
        <v>159</v>
      </c>
      <c r="B68" t="s">
        <v>161</v>
      </c>
      <c r="C68" s="18">
        <v>2034</v>
      </c>
      <c r="D68" t="s">
        <v>173</v>
      </c>
      <c r="E68" s="20">
        <v>376628.03603455698</v>
      </c>
      <c r="F68" s="20">
        <v>355221.42086551001</v>
      </c>
      <c r="G68" s="10">
        <v>376028.13227833499</v>
      </c>
      <c r="H68" s="21">
        <f t="shared" si="2"/>
        <v>20806.711412824981</v>
      </c>
      <c r="I68" s="10">
        <v>406559.86735378799</v>
      </c>
      <c r="J68" s="21">
        <f t="shared" si="3"/>
        <v>29931.831319231016</v>
      </c>
    </row>
    <row r="69" spans="1:10">
      <c r="A69" t="s">
        <v>159</v>
      </c>
      <c r="B69" t="s">
        <v>161</v>
      </c>
      <c r="C69" s="18">
        <v>2034</v>
      </c>
      <c r="D69" t="s">
        <v>177</v>
      </c>
      <c r="E69" s="20">
        <v>640758.02756489802</v>
      </c>
      <c r="F69" s="20">
        <v>409912.88060675398</v>
      </c>
      <c r="G69" s="10">
        <v>423259.10059080599</v>
      </c>
      <c r="H69" s="21">
        <f t="shared" si="2"/>
        <v>13346.219984052004</v>
      </c>
      <c r="I69" s="10">
        <v>701691.67735876795</v>
      </c>
      <c r="J69" s="21">
        <f t="shared" si="3"/>
        <v>60933.649793869932</v>
      </c>
    </row>
    <row r="70" spans="1:10">
      <c r="A70" t="s">
        <v>159</v>
      </c>
      <c r="B70" t="s">
        <v>161</v>
      </c>
      <c r="C70" s="18">
        <v>2034</v>
      </c>
      <c r="D70" t="s">
        <v>181</v>
      </c>
      <c r="E70" s="20">
        <v>476947.68397264899</v>
      </c>
      <c r="F70" s="20">
        <v>272265.980689983</v>
      </c>
      <c r="G70" s="10">
        <v>279484.98028522899</v>
      </c>
      <c r="H70" s="21">
        <f t="shared" si="2"/>
        <v>7218.9995952459867</v>
      </c>
      <c r="I70" s="10">
        <v>516406.53850878001</v>
      </c>
      <c r="J70" s="21">
        <f t="shared" si="3"/>
        <v>39458.854536131024</v>
      </c>
    </row>
    <row r="71" spans="1:10">
      <c r="A71" t="s">
        <v>159</v>
      </c>
      <c r="B71" t="s">
        <v>161</v>
      </c>
      <c r="C71" s="18">
        <v>2034</v>
      </c>
      <c r="D71" t="s">
        <v>209</v>
      </c>
      <c r="E71" s="20">
        <v>44359.974101200598</v>
      </c>
      <c r="F71" s="20">
        <v>7385.0939870509601</v>
      </c>
      <c r="G71" s="10">
        <v>7385.0409467521704</v>
      </c>
      <c r="H71" s="21">
        <f t="shared" si="2"/>
        <v>-5.3040298789710505E-2</v>
      </c>
      <c r="I71" s="10">
        <v>44355.184450178996</v>
      </c>
      <c r="J71" s="21">
        <f t="shared" si="3"/>
        <v>-4.7896510216014576</v>
      </c>
    </row>
    <row r="72" spans="1:10">
      <c r="A72" t="s">
        <v>159</v>
      </c>
      <c r="B72" t="s">
        <v>161</v>
      </c>
      <c r="C72" s="18">
        <v>2035</v>
      </c>
      <c r="D72" t="s">
        <v>187</v>
      </c>
      <c r="E72" s="20">
        <v>16928.533561731201</v>
      </c>
      <c r="F72" s="20">
        <v>12211.8799548848</v>
      </c>
      <c r="G72" s="10">
        <v>12203.057717863399</v>
      </c>
      <c r="H72" s="21">
        <f t="shared" si="2"/>
        <v>-8.8222370214007242</v>
      </c>
      <c r="I72" s="10">
        <v>16892.2141390053</v>
      </c>
      <c r="J72" s="21">
        <f t="shared" si="3"/>
        <v>-36.319422725900949</v>
      </c>
    </row>
    <row r="73" spans="1:10">
      <c r="A73" t="s">
        <v>159</v>
      </c>
      <c r="B73" t="s">
        <v>161</v>
      </c>
      <c r="C73" s="18">
        <v>2035</v>
      </c>
      <c r="D73" t="s">
        <v>227</v>
      </c>
      <c r="E73" s="20">
        <v>1150398.8428098301</v>
      </c>
      <c r="F73" s="20">
        <v>210335.55383438</v>
      </c>
      <c r="G73" s="10">
        <v>210290.98052792501</v>
      </c>
      <c r="H73" s="21">
        <f t="shared" si="2"/>
        <v>-44.573306454985868</v>
      </c>
      <c r="I73" s="10">
        <v>1148972.16574985</v>
      </c>
      <c r="J73" s="21">
        <f t="shared" si="3"/>
        <v>-1426.6770599801093</v>
      </c>
    </row>
    <row r="74" spans="1:10">
      <c r="A74" t="s">
        <v>159</v>
      </c>
      <c r="B74" t="s">
        <v>161</v>
      </c>
      <c r="C74" s="18">
        <v>2035</v>
      </c>
      <c r="D74" t="s">
        <v>163</v>
      </c>
      <c r="E74" s="20">
        <v>112922.939032696</v>
      </c>
      <c r="F74" s="20">
        <v>78591.665431537898</v>
      </c>
      <c r="G74" s="10">
        <v>83695.117872879797</v>
      </c>
      <c r="H74" s="21">
        <f t="shared" si="2"/>
        <v>5103.4524413418985</v>
      </c>
      <c r="I74" s="10">
        <v>124148.20719584401</v>
      </c>
      <c r="J74" s="21">
        <f t="shared" si="3"/>
        <v>11225.268163148008</v>
      </c>
    </row>
    <row r="75" spans="1:10">
      <c r="A75" t="s">
        <v>159</v>
      </c>
      <c r="B75" t="s">
        <v>161</v>
      </c>
      <c r="C75" s="18">
        <v>2035</v>
      </c>
      <c r="D75" t="s">
        <v>173</v>
      </c>
      <c r="E75" s="20">
        <v>381152.161049071</v>
      </c>
      <c r="F75" s="20">
        <v>359851.81650437799</v>
      </c>
      <c r="G75" s="10">
        <v>383788.76252667198</v>
      </c>
      <c r="H75" s="21">
        <f t="shared" si="2"/>
        <v>23936.946022293996</v>
      </c>
      <c r="I75" s="10">
        <v>414533.16060314502</v>
      </c>
      <c r="J75" s="21">
        <f t="shared" si="3"/>
        <v>33380.99955407402</v>
      </c>
    </row>
    <row r="76" spans="1:10">
      <c r="A76" t="s">
        <v>159</v>
      </c>
      <c r="B76" t="s">
        <v>161</v>
      </c>
      <c r="C76" s="18">
        <v>2035</v>
      </c>
      <c r="D76" t="s">
        <v>177</v>
      </c>
      <c r="E76" s="20">
        <v>647408.00214574602</v>
      </c>
      <c r="F76" s="20">
        <v>417892.40421335702</v>
      </c>
      <c r="G76" s="10">
        <v>434082.03155119502</v>
      </c>
      <c r="H76" s="21">
        <f t="shared" si="2"/>
        <v>16189.627337837999</v>
      </c>
      <c r="I76" s="10">
        <v>715331.78882210201</v>
      </c>
      <c r="J76" s="21">
        <f t="shared" si="3"/>
        <v>67923.786676355987</v>
      </c>
    </row>
    <row r="77" spans="1:10">
      <c r="A77" t="s">
        <v>159</v>
      </c>
      <c r="B77" t="s">
        <v>161</v>
      </c>
      <c r="C77" s="18">
        <v>2035</v>
      </c>
      <c r="D77" t="s">
        <v>181</v>
      </c>
      <c r="E77" s="20">
        <v>484743.25515674398</v>
      </c>
      <c r="F77" s="20">
        <v>280332.92589893303</v>
      </c>
      <c r="G77" s="10">
        <v>289150.80243598297</v>
      </c>
      <c r="H77" s="21">
        <f t="shared" si="2"/>
        <v>8817.8765370499459</v>
      </c>
      <c r="I77" s="10">
        <v>528818.37188395299</v>
      </c>
      <c r="J77" s="21">
        <f t="shared" si="3"/>
        <v>44075.11672720901</v>
      </c>
    </row>
    <row r="78" spans="1:10">
      <c r="A78" t="s">
        <v>159</v>
      </c>
      <c r="B78" t="s">
        <v>161</v>
      </c>
      <c r="C78" s="18">
        <v>2035</v>
      </c>
      <c r="D78" t="s">
        <v>209</v>
      </c>
      <c r="E78" s="20">
        <v>44213.079046863197</v>
      </c>
      <c r="F78" s="20">
        <v>7420.0588230793501</v>
      </c>
      <c r="G78" s="10">
        <v>7419.9788551932097</v>
      </c>
      <c r="H78" s="21">
        <f t="shared" si="2"/>
        <v>-7.9967886140366318E-2</v>
      </c>
      <c r="I78" s="10">
        <v>44206.707306712102</v>
      </c>
      <c r="J78" s="21">
        <f t="shared" si="3"/>
        <v>-6.3717401510948548</v>
      </c>
    </row>
    <row r="79" spans="1:10">
      <c r="A79" t="s">
        <v>159</v>
      </c>
      <c r="B79" t="s">
        <v>161</v>
      </c>
      <c r="C79" s="18">
        <v>2036</v>
      </c>
      <c r="D79" t="s">
        <v>187</v>
      </c>
      <c r="E79" s="20">
        <v>17399.338713131801</v>
      </c>
      <c r="F79" s="20">
        <v>12519.5583692538</v>
      </c>
      <c r="G79" s="10">
        <v>12506.9021026876</v>
      </c>
      <c r="H79" s="21">
        <f t="shared" si="2"/>
        <v>-12.656266566200429</v>
      </c>
      <c r="I79" s="10">
        <v>17350.6546269342</v>
      </c>
      <c r="J79" s="21">
        <f t="shared" si="3"/>
        <v>-48.684086197601573</v>
      </c>
    </row>
    <row r="80" spans="1:10">
      <c r="A80" t="s">
        <v>159</v>
      </c>
      <c r="B80" t="s">
        <v>161</v>
      </c>
      <c r="C80" s="18">
        <v>2036</v>
      </c>
      <c r="D80" t="s">
        <v>227</v>
      </c>
      <c r="E80" s="20">
        <v>1160094.30302296</v>
      </c>
      <c r="F80" s="20">
        <v>218435.42163751001</v>
      </c>
      <c r="G80" s="10">
        <v>218370.687575925</v>
      </c>
      <c r="H80" s="21">
        <f t="shared" si="2"/>
        <v>-64.734061585011659</v>
      </c>
      <c r="I80" s="10">
        <v>1158266.1377582899</v>
      </c>
      <c r="J80" s="21">
        <f t="shared" si="3"/>
        <v>-1828.1652646700386</v>
      </c>
    </row>
    <row r="81" spans="1:10">
      <c r="A81" t="s">
        <v>159</v>
      </c>
      <c r="B81" t="s">
        <v>161</v>
      </c>
      <c r="C81" s="18">
        <v>2036</v>
      </c>
      <c r="D81" t="s">
        <v>163</v>
      </c>
      <c r="E81" s="20">
        <v>114694.336457358</v>
      </c>
      <c r="F81" s="20">
        <v>79860.038631383097</v>
      </c>
      <c r="G81" s="10">
        <v>85765.564735317093</v>
      </c>
      <c r="H81" s="21">
        <f t="shared" si="2"/>
        <v>5905.5261039339966</v>
      </c>
      <c r="I81" s="10">
        <v>127138.451085333</v>
      </c>
      <c r="J81" s="21">
        <f t="shared" si="3"/>
        <v>12444.114627974996</v>
      </c>
    </row>
    <row r="82" spans="1:10">
      <c r="A82" t="s">
        <v>159</v>
      </c>
      <c r="B82" t="s">
        <v>161</v>
      </c>
      <c r="C82" s="18">
        <v>2036</v>
      </c>
      <c r="D82" t="s">
        <v>173</v>
      </c>
      <c r="E82" s="20">
        <v>385362.070594127</v>
      </c>
      <c r="F82" s="20">
        <v>364142.01459445001</v>
      </c>
      <c r="G82" s="10">
        <v>391285.95573958702</v>
      </c>
      <c r="H82" s="21">
        <f t="shared" si="2"/>
        <v>27143.941145137011</v>
      </c>
      <c r="I82" s="10">
        <v>422232.65992213303</v>
      </c>
      <c r="J82" s="21">
        <f t="shared" si="3"/>
        <v>36870.589328006026</v>
      </c>
    </row>
    <row r="83" spans="1:10">
      <c r="A83" t="s">
        <v>159</v>
      </c>
      <c r="B83" t="s">
        <v>161</v>
      </c>
      <c r="C83" s="18">
        <v>2036</v>
      </c>
      <c r="D83" t="s">
        <v>177</v>
      </c>
      <c r="E83" s="20">
        <v>653514.61641767097</v>
      </c>
      <c r="F83" s="20">
        <v>425473.778505439</v>
      </c>
      <c r="G83" s="10">
        <v>444747.90756616899</v>
      </c>
      <c r="H83" s="21">
        <f t="shared" si="2"/>
        <v>19274.129060729989</v>
      </c>
      <c r="I83" s="10">
        <v>728531.610160843</v>
      </c>
      <c r="J83" s="21">
        <f t="shared" si="3"/>
        <v>75016.993743172032</v>
      </c>
    </row>
    <row r="84" spans="1:10">
      <c r="A84" t="s">
        <v>159</v>
      </c>
      <c r="B84" t="s">
        <v>161</v>
      </c>
      <c r="C84" s="18">
        <v>2036</v>
      </c>
      <c r="D84" t="s">
        <v>181</v>
      </c>
      <c r="E84" s="20">
        <v>492290.45867431798</v>
      </c>
      <c r="F84" s="20">
        <v>288318.28700214397</v>
      </c>
      <c r="G84" s="10">
        <v>298879.61130973301</v>
      </c>
      <c r="H84" s="21">
        <f t="shared" si="2"/>
        <v>10561.324307589035</v>
      </c>
      <c r="I84" s="10">
        <v>541052.28077363002</v>
      </c>
      <c r="J84" s="21">
        <f t="shared" si="3"/>
        <v>48761.822099312034</v>
      </c>
    </row>
    <row r="85" spans="1:10">
      <c r="A85" t="s">
        <v>159</v>
      </c>
      <c r="B85" t="s">
        <v>161</v>
      </c>
      <c r="C85" s="18">
        <v>2036</v>
      </c>
      <c r="D85" t="s">
        <v>209</v>
      </c>
      <c r="E85" s="20">
        <v>44058.240938333103</v>
      </c>
      <c r="F85" s="20">
        <v>7453.4512296688399</v>
      </c>
      <c r="G85" s="10">
        <v>7453.3351271514002</v>
      </c>
      <c r="H85" s="21">
        <f t="shared" si="2"/>
        <v>-0.11610251743968547</v>
      </c>
      <c r="I85" s="10">
        <v>44049.998378272197</v>
      </c>
      <c r="J85" s="21">
        <f t="shared" si="3"/>
        <v>-8.2425600609058165</v>
      </c>
    </row>
    <row r="86" spans="1:10">
      <c r="A86" t="s">
        <v>159</v>
      </c>
      <c r="B86" t="s">
        <v>161</v>
      </c>
      <c r="C86" s="18">
        <v>2037</v>
      </c>
      <c r="D86" t="s">
        <v>187</v>
      </c>
      <c r="E86" s="20">
        <v>17876.242483096899</v>
      </c>
      <c r="F86" s="20">
        <v>12825.0832129191</v>
      </c>
      <c r="G86" s="10">
        <v>12807.501268399201</v>
      </c>
      <c r="H86" s="21">
        <f t="shared" si="2"/>
        <v>-17.58194451989948</v>
      </c>
      <c r="I86" s="10">
        <v>17812.5035281772</v>
      </c>
      <c r="J86" s="21">
        <f t="shared" si="3"/>
        <v>-63.738954919699609</v>
      </c>
    </row>
    <row r="87" spans="1:10">
      <c r="A87" t="s">
        <v>159</v>
      </c>
      <c r="B87" t="s">
        <v>161</v>
      </c>
      <c r="C87" s="18">
        <v>2037</v>
      </c>
      <c r="D87" t="s">
        <v>227</v>
      </c>
      <c r="E87" s="20">
        <v>1169653.3726035301</v>
      </c>
      <c r="F87" s="20">
        <v>226464.130156256</v>
      </c>
      <c r="G87" s="10">
        <v>226373.365626062</v>
      </c>
      <c r="H87" s="21">
        <f t="shared" si="2"/>
        <v>-90.764530193991959</v>
      </c>
      <c r="I87" s="10">
        <v>1167364.6654137501</v>
      </c>
      <c r="J87" s="21">
        <f t="shared" si="3"/>
        <v>-2288.7071897799615</v>
      </c>
    </row>
    <row r="88" spans="1:10">
      <c r="A88" t="s">
        <v>159</v>
      </c>
      <c r="B88" t="s">
        <v>161</v>
      </c>
      <c r="C88" s="18">
        <v>2037</v>
      </c>
      <c r="D88" t="s">
        <v>163</v>
      </c>
      <c r="E88" s="20">
        <v>116410.00103384801</v>
      </c>
      <c r="F88" s="20">
        <v>81047.056529235997</v>
      </c>
      <c r="G88" s="10">
        <v>87785.873914228694</v>
      </c>
      <c r="H88" s="21">
        <f t="shared" si="2"/>
        <v>6738.817384992697</v>
      </c>
      <c r="I88" s="10">
        <v>130092.112965313</v>
      </c>
      <c r="J88" s="21">
        <f t="shared" si="3"/>
        <v>13682.111931464999</v>
      </c>
    </row>
    <row r="89" spans="1:10">
      <c r="A89" t="s">
        <v>159</v>
      </c>
      <c r="B89" t="s">
        <v>161</v>
      </c>
      <c r="C89" s="18">
        <v>2037</v>
      </c>
      <c r="D89" t="s">
        <v>173</v>
      </c>
      <c r="E89" s="20">
        <v>389281.76658152801</v>
      </c>
      <c r="F89" s="20">
        <v>368061.84104444098</v>
      </c>
      <c r="G89" s="10">
        <v>398473.81338660797</v>
      </c>
      <c r="H89" s="21">
        <f t="shared" si="2"/>
        <v>30411.972342166991</v>
      </c>
      <c r="I89" s="10">
        <v>429674.679324948</v>
      </c>
      <c r="J89" s="21">
        <f t="shared" si="3"/>
        <v>40392.912743419991</v>
      </c>
    </row>
    <row r="90" spans="1:10">
      <c r="A90" t="s">
        <v>159</v>
      </c>
      <c r="B90" t="s">
        <v>161</v>
      </c>
      <c r="C90" s="18">
        <v>2037</v>
      </c>
      <c r="D90" t="s">
        <v>177</v>
      </c>
      <c r="E90" s="20">
        <v>659076.10886337794</v>
      </c>
      <c r="F90" s="20">
        <v>432582.075113439</v>
      </c>
      <c r="G90" s="10">
        <v>455168.18452875799</v>
      </c>
      <c r="H90" s="21">
        <f t="shared" si="2"/>
        <v>22586.109415318992</v>
      </c>
      <c r="I90" s="10">
        <v>741261.42723499297</v>
      </c>
      <c r="J90" s="21">
        <f t="shared" si="3"/>
        <v>82185.318371615023</v>
      </c>
    </row>
    <row r="91" spans="1:10">
      <c r="A91" t="s">
        <v>159</v>
      </c>
      <c r="B91" t="s">
        <v>161</v>
      </c>
      <c r="C91" s="18">
        <v>2037</v>
      </c>
      <c r="D91" t="s">
        <v>181</v>
      </c>
      <c r="E91" s="20">
        <v>499743.99639667699</v>
      </c>
      <c r="F91" s="20">
        <v>296224.681350003</v>
      </c>
      <c r="G91" s="10">
        <v>308666.04356230202</v>
      </c>
      <c r="H91" s="21">
        <f t="shared" si="2"/>
        <v>12441.36221229902</v>
      </c>
      <c r="I91" s="10">
        <v>553258.51776135701</v>
      </c>
      <c r="J91" s="21">
        <f t="shared" si="3"/>
        <v>53514.521364680026</v>
      </c>
    </row>
    <row r="92" spans="1:10">
      <c r="A92" t="s">
        <v>159</v>
      </c>
      <c r="B92" t="s">
        <v>161</v>
      </c>
      <c r="C92" s="18">
        <v>2037</v>
      </c>
      <c r="D92" t="s">
        <v>209</v>
      </c>
      <c r="E92" s="20">
        <v>43896.915611492303</v>
      </c>
      <c r="F92" s="20">
        <v>7485.8029349594899</v>
      </c>
      <c r="G92" s="10">
        <v>7485.6394586101196</v>
      </c>
      <c r="H92" s="21">
        <f t="shared" si="2"/>
        <v>-0.16347634937028488</v>
      </c>
      <c r="I92" s="10">
        <v>43886.496639761303</v>
      </c>
      <c r="J92" s="21">
        <f t="shared" si="3"/>
        <v>-10.418971731000056</v>
      </c>
    </row>
    <row r="93" spans="1:10">
      <c r="A93" t="s">
        <v>159</v>
      </c>
      <c r="B93" t="s">
        <v>161</v>
      </c>
      <c r="C93" s="18">
        <v>2038</v>
      </c>
      <c r="D93" t="s">
        <v>187</v>
      </c>
      <c r="E93" s="20">
        <v>18360.400551861501</v>
      </c>
      <c r="F93" s="20">
        <v>13132.029532504301</v>
      </c>
      <c r="G93" s="10">
        <v>13108.258682167399</v>
      </c>
      <c r="H93" s="21">
        <f t="shared" si="2"/>
        <v>-23.770850336901276</v>
      </c>
      <c r="I93" s="10">
        <v>18278.619531582299</v>
      </c>
      <c r="J93" s="21">
        <f t="shared" si="3"/>
        <v>-81.781020279202494</v>
      </c>
    </row>
    <row r="94" spans="1:10">
      <c r="A94" t="s">
        <v>159</v>
      </c>
      <c r="B94" t="s">
        <v>161</v>
      </c>
      <c r="C94" s="18">
        <v>2038</v>
      </c>
      <c r="D94" t="s">
        <v>227</v>
      </c>
      <c r="E94" s="20">
        <v>1179095.89319601</v>
      </c>
      <c r="F94" s="20">
        <v>234409.890314672</v>
      </c>
      <c r="G94" s="10">
        <v>234286.30240329501</v>
      </c>
      <c r="H94" s="21">
        <f t="shared" si="2"/>
        <v>-123.58791137699154</v>
      </c>
      <c r="I94" s="10">
        <v>1176286.23006217</v>
      </c>
      <c r="J94" s="21">
        <f t="shared" si="3"/>
        <v>-2809.6631338400766</v>
      </c>
    </row>
    <row r="95" spans="1:10">
      <c r="A95" t="s">
        <v>159</v>
      </c>
      <c r="B95" t="s">
        <v>161</v>
      </c>
      <c r="C95" s="18">
        <v>2038</v>
      </c>
      <c r="D95" t="s">
        <v>163</v>
      </c>
      <c r="E95" s="20">
        <v>118067.858902931</v>
      </c>
      <c r="F95" s="20">
        <v>82162.7890379702</v>
      </c>
      <c r="G95" s="10">
        <v>89762.908504627194</v>
      </c>
      <c r="H95" s="21">
        <f t="shared" si="2"/>
        <v>7600.1194666569936</v>
      </c>
      <c r="I95" s="10">
        <v>133004.77137127001</v>
      </c>
      <c r="J95" s="21">
        <f t="shared" si="3"/>
        <v>14936.912468339011</v>
      </c>
    </row>
    <row r="96" spans="1:10">
      <c r="A96" t="s">
        <v>159</v>
      </c>
      <c r="B96" t="s">
        <v>161</v>
      </c>
      <c r="C96" s="18">
        <v>2038</v>
      </c>
      <c r="D96" t="s">
        <v>173</v>
      </c>
      <c r="E96" s="20">
        <v>392936.59160943102</v>
      </c>
      <c r="F96" s="20">
        <v>371654.93337444199</v>
      </c>
      <c r="G96" s="10">
        <v>405384.95777232101</v>
      </c>
      <c r="H96" s="21">
        <f t="shared" si="2"/>
        <v>33730.024397879024</v>
      </c>
      <c r="I96" s="10">
        <v>436878.35953831702</v>
      </c>
      <c r="J96" s="21">
        <f t="shared" si="3"/>
        <v>43941.767928885994</v>
      </c>
    </row>
    <row r="97" spans="1:10">
      <c r="A97" t="s">
        <v>159</v>
      </c>
      <c r="B97" t="s">
        <v>161</v>
      </c>
      <c r="C97" s="18">
        <v>2038</v>
      </c>
      <c r="D97" t="s">
        <v>177</v>
      </c>
      <c r="E97" s="20">
        <v>664138.76045166398</v>
      </c>
      <c r="F97" s="20">
        <v>439232.78684410499</v>
      </c>
      <c r="G97" s="10">
        <v>465342.91786371003</v>
      </c>
      <c r="H97" s="21">
        <f t="shared" si="2"/>
        <v>26110.131019605033</v>
      </c>
      <c r="I97" s="10">
        <v>753560.82214679301</v>
      </c>
      <c r="J97" s="21">
        <f t="shared" si="3"/>
        <v>89422.061695129029</v>
      </c>
    </row>
    <row r="98" spans="1:10">
      <c r="A98" t="s">
        <v>159</v>
      </c>
      <c r="B98" t="s">
        <v>161</v>
      </c>
      <c r="C98" s="18">
        <v>2038</v>
      </c>
      <c r="D98" t="s">
        <v>181</v>
      </c>
      <c r="E98" s="20">
        <v>507082.16202998802</v>
      </c>
      <c r="F98" s="20">
        <v>304012.08844792901</v>
      </c>
      <c r="G98" s="10">
        <v>318461.02224812203</v>
      </c>
      <c r="H98" s="21">
        <f t="shared" si="2"/>
        <v>14448.933800193015</v>
      </c>
      <c r="I98" s="10">
        <v>565403.75879938505</v>
      </c>
      <c r="J98" s="21">
        <f t="shared" si="3"/>
        <v>58321.596769397031</v>
      </c>
    </row>
    <row r="99" spans="1:10">
      <c r="A99" t="s">
        <v>159</v>
      </c>
      <c r="B99" t="s">
        <v>161</v>
      </c>
      <c r="C99" s="18">
        <v>2038</v>
      </c>
      <c r="D99" t="s">
        <v>209</v>
      </c>
      <c r="E99" s="20">
        <v>43743.661820324603</v>
      </c>
      <c r="F99" s="20">
        <v>7517.9945443317602</v>
      </c>
      <c r="G99" s="10">
        <v>7517.77035327065</v>
      </c>
      <c r="H99" s="21">
        <f t="shared" si="2"/>
        <v>-0.22419106111010478</v>
      </c>
      <c r="I99" s="10">
        <v>43730.744850638199</v>
      </c>
      <c r="J99" s="21">
        <f t="shared" si="3"/>
        <v>-12.916969686404627</v>
      </c>
    </row>
    <row r="100" spans="1:10">
      <c r="A100" t="s">
        <v>159</v>
      </c>
      <c r="B100" t="s">
        <v>161</v>
      </c>
      <c r="C100" s="18">
        <v>2039</v>
      </c>
      <c r="D100" t="s">
        <v>187</v>
      </c>
      <c r="E100" s="20">
        <v>18855.203738861601</v>
      </c>
      <c r="F100" s="20">
        <v>13436.064958159601</v>
      </c>
      <c r="G100" s="10">
        <v>13404.669620275599</v>
      </c>
      <c r="H100" s="21">
        <f t="shared" si="2"/>
        <v>-31.395337884001492</v>
      </c>
      <c r="I100" s="10">
        <v>18752.090499402999</v>
      </c>
      <c r="J100" s="21">
        <f t="shared" si="3"/>
        <v>-103.11323945860204</v>
      </c>
    </row>
    <row r="101" spans="1:10">
      <c r="A101" t="s">
        <v>159</v>
      </c>
      <c r="B101" t="s">
        <v>161</v>
      </c>
      <c r="C101" s="18">
        <v>2039</v>
      </c>
      <c r="D101" t="s">
        <v>227</v>
      </c>
      <c r="E101" s="20">
        <v>1188130.20491546</v>
      </c>
      <c r="F101" s="20">
        <v>242296.32898602399</v>
      </c>
      <c r="G101" s="10">
        <v>242132.19115316399</v>
      </c>
      <c r="H101" s="21">
        <f t="shared" si="2"/>
        <v>-164.13783285999671</v>
      </c>
      <c r="I101" s="10">
        <v>1184738.3918449101</v>
      </c>
      <c r="J101" s="21">
        <f t="shared" si="3"/>
        <v>-3391.8130705498625</v>
      </c>
    </row>
    <row r="102" spans="1:10">
      <c r="A102" t="s">
        <v>159</v>
      </c>
      <c r="B102" t="s">
        <v>161</v>
      </c>
      <c r="C102" s="18">
        <v>2039</v>
      </c>
      <c r="D102" t="s">
        <v>163</v>
      </c>
      <c r="E102" s="20">
        <v>119666.676615766</v>
      </c>
      <c r="F102" s="20">
        <v>83228.725241096006</v>
      </c>
      <c r="G102" s="10">
        <v>91716.366353602294</v>
      </c>
      <c r="H102" s="21">
        <f t="shared" si="2"/>
        <v>8487.6411125062878</v>
      </c>
      <c r="I102" s="10">
        <v>135872.13136763001</v>
      </c>
      <c r="J102" s="21">
        <f t="shared" si="3"/>
        <v>16205.454751864003</v>
      </c>
    </row>
    <row r="103" spans="1:10">
      <c r="A103" t="s">
        <v>159</v>
      </c>
      <c r="B103" t="s">
        <v>161</v>
      </c>
      <c r="C103" s="18">
        <v>2039</v>
      </c>
      <c r="D103" t="s">
        <v>173</v>
      </c>
      <c r="E103" s="20">
        <v>396388.62180072599</v>
      </c>
      <c r="F103" s="20">
        <v>375024.65504327998</v>
      </c>
      <c r="G103" s="10">
        <v>412120.21350488003</v>
      </c>
      <c r="H103" s="21">
        <f t="shared" si="2"/>
        <v>37095.558461600041</v>
      </c>
      <c r="I103" s="10">
        <v>443905.980748337</v>
      </c>
      <c r="J103" s="21">
        <f t="shared" si="3"/>
        <v>47517.358947611006</v>
      </c>
    </row>
    <row r="104" spans="1:10">
      <c r="A104" t="s">
        <v>159</v>
      </c>
      <c r="B104" t="s">
        <v>161</v>
      </c>
      <c r="C104" s="18">
        <v>2039</v>
      </c>
      <c r="D104" t="s">
        <v>177</v>
      </c>
      <c r="E104" s="20">
        <v>668808.39531829604</v>
      </c>
      <c r="F104" s="20">
        <v>445440.64156058599</v>
      </c>
      <c r="G104" s="10">
        <v>475269.78752891801</v>
      </c>
      <c r="H104" s="21">
        <f t="shared" si="2"/>
        <v>29829.145968332014</v>
      </c>
      <c r="I104" s="10">
        <v>765528.46783885697</v>
      </c>
      <c r="J104" s="21">
        <f t="shared" si="3"/>
        <v>96720.072520560934</v>
      </c>
    </row>
    <row r="105" spans="1:10">
      <c r="A105" t="s">
        <v>159</v>
      </c>
      <c r="B105" t="s">
        <v>161</v>
      </c>
      <c r="C105" s="18">
        <v>2039</v>
      </c>
      <c r="D105" t="s">
        <v>181</v>
      </c>
      <c r="E105" s="20">
        <v>514248.62489766598</v>
      </c>
      <c r="F105" s="20">
        <v>311670.62960473</v>
      </c>
      <c r="G105" s="10">
        <v>328246.40127636801</v>
      </c>
      <c r="H105" s="21">
        <f t="shared" si="2"/>
        <v>16575.771671638009</v>
      </c>
      <c r="I105" s="10">
        <v>577414.514396235</v>
      </c>
      <c r="J105" s="21">
        <f t="shared" si="3"/>
        <v>63165.889498569013</v>
      </c>
    </row>
    <row r="106" spans="1:10">
      <c r="A106" t="s">
        <v>159</v>
      </c>
      <c r="B106" t="s">
        <v>161</v>
      </c>
      <c r="C106" s="18">
        <v>2039</v>
      </c>
      <c r="D106" t="s">
        <v>209</v>
      </c>
      <c r="E106" s="20">
        <v>43604.597964147099</v>
      </c>
      <c r="F106" s="20">
        <v>7547.8602142030004</v>
      </c>
      <c r="G106" s="10">
        <v>7547.5598608641003</v>
      </c>
      <c r="H106" s="21">
        <f t="shared" si="2"/>
        <v>-0.30035333890009497</v>
      </c>
      <c r="I106" s="10">
        <v>43588.845456636998</v>
      </c>
      <c r="J106" s="21">
        <f t="shared" si="3"/>
        <v>-15.752507510100259</v>
      </c>
    </row>
    <row r="107" spans="1:10">
      <c r="A107" t="s">
        <v>159</v>
      </c>
      <c r="B107" t="s">
        <v>161</v>
      </c>
      <c r="C107" s="18">
        <v>2040</v>
      </c>
      <c r="D107" t="s">
        <v>187</v>
      </c>
      <c r="E107" s="20">
        <v>19363.789318552201</v>
      </c>
      <c r="F107" s="20">
        <v>13739.633468751599</v>
      </c>
      <c r="G107" s="10">
        <v>13698.9721681132</v>
      </c>
      <c r="H107" s="21">
        <f t="shared" si="2"/>
        <v>-40.661300638399553</v>
      </c>
      <c r="I107" s="10">
        <v>19235.736542927301</v>
      </c>
      <c r="J107" s="21">
        <f t="shared" si="3"/>
        <v>-128.05277562489937</v>
      </c>
    </row>
    <row r="108" spans="1:10">
      <c r="A108" t="s">
        <v>159</v>
      </c>
      <c r="B108" t="s">
        <v>161</v>
      </c>
      <c r="C108" s="18">
        <v>2040</v>
      </c>
      <c r="D108" t="s">
        <v>227</v>
      </c>
      <c r="E108" s="20">
        <v>1196670.4361471001</v>
      </c>
      <c r="F108" s="20">
        <v>250107.853212669</v>
      </c>
      <c r="G108" s="10">
        <v>249894.478827588</v>
      </c>
      <c r="H108" s="21">
        <f t="shared" si="2"/>
        <v>-213.37438508099876</v>
      </c>
      <c r="I108" s="10">
        <v>1192634.43006365</v>
      </c>
      <c r="J108" s="21">
        <f t="shared" si="3"/>
        <v>-4036.0060834500473</v>
      </c>
    </row>
    <row r="109" spans="1:10">
      <c r="A109" t="s">
        <v>159</v>
      </c>
      <c r="B109" t="s">
        <v>161</v>
      </c>
      <c r="C109" s="18">
        <v>2040</v>
      </c>
      <c r="D109" t="s">
        <v>163</v>
      </c>
      <c r="E109" s="20">
        <v>121207.256940607</v>
      </c>
      <c r="F109" s="20">
        <v>84239.353583043398</v>
      </c>
      <c r="G109" s="10">
        <v>93636.896760059302</v>
      </c>
      <c r="H109" s="21">
        <f t="shared" si="2"/>
        <v>9397.5431770159048</v>
      </c>
      <c r="I109" s="10">
        <v>138689.796610277</v>
      </c>
      <c r="J109" s="21">
        <f t="shared" si="3"/>
        <v>17482.539669670005</v>
      </c>
    </row>
    <row r="110" spans="1:10">
      <c r="A110" t="s">
        <v>159</v>
      </c>
      <c r="B110" t="s">
        <v>161</v>
      </c>
      <c r="C110" s="18">
        <v>2040</v>
      </c>
      <c r="D110" t="s">
        <v>173</v>
      </c>
      <c r="E110" s="20">
        <v>399719.26327423798</v>
      </c>
      <c r="F110" s="20">
        <v>378123.63559664</v>
      </c>
      <c r="G110" s="10">
        <v>418620.90894817398</v>
      </c>
      <c r="H110" s="21">
        <f t="shared" si="2"/>
        <v>40497.273351533979</v>
      </c>
      <c r="I110" s="10">
        <v>450841.764596063</v>
      </c>
      <c r="J110" s="21">
        <f t="shared" si="3"/>
        <v>51122.501321825024</v>
      </c>
    </row>
    <row r="111" spans="1:10">
      <c r="A111" t="s">
        <v>159</v>
      </c>
      <c r="B111" t="s">
        <v>161</v>
      </c>
      <c r="C111" s="18">
        <v>2040</v>
      </c>
      <c r="D111" t="s">
        <v>177</v>
      </c>
      <c r="E111" s="20">
        <v>673043.92720048397</v>
      </c>
      <c r="F111" s="20">
        <v>451218.06893645599</v>
      </c>
      <c r="G111" s="10">
        <v>484947.105425179</v>
      </c>
      <c r="H111" s="21">
        <f t="shared" si="2"/>
        <v>33729.03648872301</v>
      </c>
      <c r="I111" s="10">
        <v>777088.49670209095</v>
      </c>
      <c r="J111" s="21">
        <f t="shared" si="3"/>
        <v>104044.56950160698</v>
      </c>
    </row>
    <row r="112" spans="1:10">
      <c r="A112" t="s">
        <v>159</v>
      </c>
      <c r="B112" t="s">
        <v>161</v>
      </c>
      <c r="C112" s="18">
        <v>2040</v>
      </c>
      <c r="D112" t="s">
        <v>181</v>
      </c>
      <c r="E112" s="20">
        <v>521319.87644189899</v>
      </c>
      <c r="F112" s="20">
        <v>319225.43001963798</v>
      </c>
      <c r="G112" s="10">
        <v>338039.01043044601</v>
      </c>
      <c r="H112" s="21">
        <f t="shared" si="2"/>
        <v>18813.580410808034</v>
      </c>
      <c r="I112" s="10">
        <v>589359.73383284197</v>
      </c>
      <c r="J112" s="21">
        <f t="shared" si="3"/>
        <v>68039.857390942983</v>
      </c>
    </row>
    <row r="113" spans="1:10">
      <c r="A113" t="s">
        <v>159</v>
      </c>
      <c r="B113" t="s">
        <v>161</v>
      </c>
      <c r="C113" s="18">
        <v>2040</v>
      </c>
      <c r="D113" t="s">
        <v>209</v>
      </c>
      <c r="E113" s="20">
        <v>43483.8000886554</v>
      </c>
      <c r="F113" s="20">
        <v>7574.1195153954905</v>
      </c>
      <c r="G113" s="10">
        <v>7573.7255608269897</v>
      </c>
      <c r="H113" s="21">
        <f t="shared" si="2"/>
        <v>-0.39395456850070332</v>
      </c>
      <c r="I113" s="10">
        <v>43464.859681883601</v>
      </c>
      <c r="J113" s="21">
        <f t="shared" si="3"/>
        <v>-18.940406771798735</v>
      </c>
    </row>
    <row r="114" spans="1:10">
      <c r="A114" t="s">
        <v>159</v>
      </c>
      <c r="B114" t="s">
        <v>161</v>
      </c>
      <c r="C114" s="18">
        <v>2041</v>
      </c>
      <c r="D114" t="s">
        <v>187</v>
      </c>
      <c r="E114" s="20">
        <v>19884.1712793843</v>
      </c>
      <c r="F114" s="20">
        <v>14043.3660101197</v>
      </c>
      <c r="G114" s="10">
        <v>13991.606690282801</v>
      </c>
      <c r="H114" s="21">
        <f t="shared" si="2"/>
        <v>-51.759319836899522</v>
      </c>
      <c r="I114" s="10">
        <v>19727.283486384</v>
      </c>
      <c r="J114" s="21">
        <f t="shared" si="3"/>
        <v>-156.88779300030001</v>
      </c>
    </row>
    <row r="115" spans="1:10">
      <c r="A115" t="s">
        <v>159</v>
      </c>
      <c r="B115" t="s">
        <v>161</v>
      </c>
      <c r="C115" s="18">
        <v>2041</v>
      </c>
      <c r="D115" t="s">
        <v>227</v>
      </c>
      <c r="E115" s="20">
        <v>1204730.8152368299</v>
      </c>
      <c r="F115" s="20">
        <v>257871.29168894701</v>
      </c>
      <c r="G115" s="10">
        <v>257599.044002988</v>
      </c>
      <c r="H115" s="21">
        <f t="shared" si="2"/>
        <v>-272.24768595900969</v>
      </c>
      <c r="I115" s="10">
        <v>1199988.17586749</v>
      </c>
      <c r="J115" s="21">
        <f t="shared" si="3"/>
        <v>-4742.639369339915</v>
      </c>
    </row>
    <row r="116" spans="1:10">
      <c r="A116" t="s">
        <v>159</v>
      </c>
      <c r="B116" t="s">
        <v>161</v>
      </c>
      <c r="C116" s="18">
        <v>2041</v>
      </c>
      <c r="D116" t="s">
        <v>163</v>
      </c>
      <c r="E116" s="20">
        <v>122710.82253373299</v>
      </c>
      <c r="F116" s="20">
        <v>85200.222945558795</v>
      </c>
      <c r="G116" s="10">
        <v>95527.0063786807</v>
      </c>
      <c r="H116" s="21">
        <f t="shared" si="2"/>
        <v>10326.783433121906</v>
      </c>
      <c r="I116" s="10">
        <v>141475.570851386</v>
      </c>
      <c r="J116" s="21">
        <f t="shared" si="3"/>
        <v>18764.748317653008</v>
      </c>
    </row>
    <row r="117" spans="1:10">
      <c r="A117" t="s">
        <v>159</v>
      </c>
      <c r="B117" t="s">
        <v>161</v>
      </c>
      <c r="C117" s="18">
        <v>2041</v>
      </c>
      <c r="D117" t="s">
        <v>173</v>
      </c>
      <c r="E117" s="20">
        <v>402945.74586169299</v>
      </c>
      <c r="F117" s="20">
        <v>381071.282871934</v>
      </c>
      <c r="G117" s="10">
        <v>425005.77720965003</v>
      </c>
      <c r="H117" s="21">
        <f t="shared" si="2"/>
        <v>43934.494337716023</v>
      </c>
      <c r="I117" s="10">
        <v>457698.12813480198</v>
      </c>
      <c r="J117" s="21">
        <f t="shared" si="3"/>
        <v>54752.382273108989</v>
      </c>
    </row>
    <row r="118" spans="1:10">
      <c r="A118" t="s">
        <v>159</v>
      </c>
      <c r="B118" t="s">
        <v>161</v>
      </c>
      <c r="C118" s="18">
        <v>2041</v>
      </c>
      <c r="D118" t="s">
        <v>177</v>
      </c>
      <c r="E118" s="20">
        <v>676919.536928599</v>
      </c>
      <c r="F118" s="20">
        <v>456597.29066678998</v>
      </c>
      <c r="G118" s="10">
        <v>494390.87324825901</v>
      </c>
      <c r="H118" s="21">
        <f t="shared" si="2"/>
        <v>37793.582581469032</v>
      </c>
      <c r="I118" s="10">
        <v>788293.24275668897</v>
      </c>
      <c r="J118" s="21">
        <f t="shared" si="3"/>
        <v>111373.70582808997</v>
      </c>
    </row>
    <row r="119" spans="1:10">
      <c r="A119" t="s">
        <v>159</v>
      </c>
      <c r="B119" t="s">
        <v>161</v>
      </c>
      <c r="C119" s="18">
        <v>2041</v>
      </c>
      <c r="D119" t="s">
        <v>181</v>
      </c>
      <c r="E119" s="20">
        <v>528231.70196906198</v>
      </c>
      <c r="F119" s="20">
        <v>326772.06662372599</v>
      </c>
      <c r="G119" s="10">
        <v>347924.76632707799</v>
      </c>
      <c r="H119" s="21">
        <f t="shared" si="2"/>
        <v>21152.699703352002</v>
      </c>
      <c r="I119" s="10">
        <v>601155.34094696096</v>
      </c>
      <c r="J119" s="21">
        <f t="shared" si="3"/>
        <v>72923.638977898983</v>
      </c>
    </row>
    <row r="120" spans="1:10">
      <c r="A120" t="s">
        <v>159</v>
      </c>
      <c r="B120" t="s">
        <v>161</v>
      </c>
      <c r="C120" s="18">
        <v>2041</v>
      </c>
      <c r="D120" t="s">
        <v>209</v>
      </c>
      <c r="E120" s="20">
        <v>43383.429569675201</v>
      </c>
      <c r="F120" s="20">
        <v>7596.5024942856298</v>
      </c>
      <c r="G120" s="10">
        <v>7595.9953338682099</v>
      </c>
      <c r="H120" s="21">
        <f t="shared" si="2"/>
        <v>-0.50716041741998197</v>
      </c>
      <c r="I120" s="10">
        <v>43360.9356755525</v>
      </c>
      <c r="J120" s="21">
        <f t="shared" si="3"/>
        <v>-22.493894122701022</v>
      </c>
    </row>
    <row r="121" spans="1:10">
      <c r="A121" t="s">
        <v>159</v>
      </c>
      <c r="B121" t="s">
        <v>161</v>
      </c>
      <c r="C121" s="18">
        <v>2042</v>
      </c>
      <c r="D121" t="s">
        <v>187</v>
      </c>
      <c r="E121" s="20">
        <v>20412.1255683786</v>
      </c>
      <c r="F121" s="20">
        <v>14349.4963862651</v>
      </c>
      <c r="G121" s="10">
        <v>14284.6169088399</v>
      </c>
      <c r="H121" s="21">
        <f t="shared" si="2"/>
        <v>-64.879477425200093</v>
      </c>
      <c r="I121" s="10">
        <v>20222.268399164699</v>
      </c>
      <c r="J121" s="21">
        <f t="shared" si="3"/>
        <v>-189.85716921390122</v>
      </c>
    </row>
    <row r="122" spans="1:10">
      <c r="A122" t="s">
        <v>159</v>
      </c>
      <c r="B122" t="s">
        <v>161</v>
      </c>
      <c r="C122" s="18">
        <v>2042</v>
      </c>
      <c r="D122" t="s">
        <v>227</v>
      </c>
      <c r="E122" s="20">
        <v>1212311.1613827101</v>
      </c>
      <c r="F122" s="20">
        <v>265631.15522212902</v>
      </c>
      <c r="G122" s="10">
        <v>265289.409116733</v>
      </c>
      <c r="H122" s="21">
        <f t="shared" si="2"/>
        <v>-341.74610539601417</v>
      </c>
      <c r="I122" s="10">
        <v>1206799.58929471</v>
      </c>
      <c r="J122" s="21">
        <f t="shared" si="3"/>
        <v>-5511.5720880001318</v>
      </c>
    </row>
    <row r="123" spans="1:10">
      <c r="A123" t="s">
        <v>159</v>
      </c>
      <c r="B123" t="s">
        <v>161</v>
      </c>
      <c r="C123" s="18">
        <v>2042</v>
      </c>
      <c r="D123" t="s">
        <v>163</v>
      </c>
      <c r="E123" s="20">
        <v>124198.465003708</v>
      </c>
      <c r="F123" s="20">
        <v>86131.731601260995</v>
      </c>
      <c r="G123" s="10">
        <v>97406.156977096296</v>
      </c>
      <c r="H123" s="21">
        <f t="shared" si="2"/>
        <v>11274.425375835301</v>
      </c>
      <c r="I123" s="10">
        <v>144248.066926011</v>
      </c>
      <c r="J123" s="21">
        <f t="shared" si="3"/>
        <v>20049.601922303002</v>
      </c>
    </row>
    <row r="124" spans="1:10">
      <c r="A124" t="s">
        <v>159</v>
      </c>
      <c r="B124" t="s">
        <v>161</v>
      </c>
      <c r="C124" s="18">
        <v>2042</v>
      </c>
      <c r="D124" t="s">
        <v>173</v>
      </c>
      <c r="E124" s="20">
        <v>406084.43092434201</v>
      </c>
      <c r="F124" s="20">
        <v>383988.69239496603</v>
      </c>
      <c r="G124" s="10">
        <v>431397.042999706</v>
      </c>
      <c r="H124" s="21">
        <f t="shared" si="2"/>
        <v>47408.350604739971</v>
      </c>
      <c r="I124" s="10">
        <v>464487.03899019101</v>
      </c>
      <c r="J124" s="21">
        <f t="shared" si="3"/>
        <v>58402.608065848995</v>
      </c>
    </row>
    <row r="125" spans="1:10">
      <c r="A125" t="s">
        <v>159</v>
      </c>
      <c r="B125" t="s">
        <v>161</v>
      </c>
      <c r="C125" s="18">
        <v>2042</v>
      </c>
      <c r="D125" t="s">
        <v>177</v>
      </c>
      <c r="E125" s="20">
        <v>680534.68346267997</v>
      </c>
      <c r="F125" s="20">
        <v>461603.30528610101</v>
      </c>
      <c r="G125" s="10">
        <v>503603.80380956898</v>
      </c>
      <c r="H125" s="21">
        <f t="shared" si="2"/>
        <v>42000.498523467977</v>
      </c>
      <c r="I125" s="10">
        <v>799225.499121645</v>
      </c>
      <c r="J125" s="21">
        <f t="shared" si="3"/>
        <v>118690.81565896503</v>
      </c>
    </row>
    <row r="126" spans="1:10">
      <c r="A126" t="s">
        <v>159</v>
      </c>
      <c r="B126" t="s">
        <v>161</v>
      </c>
      <c r="C126" s="18">
        <v>2042</v>
      </c>
      <c r="D126" t="s">
        <v>181</v>
      </c>
      <c r="E126" s="20">
        <v>534875.52206720505</v>
      </c>
      <c r="F126" s="20">
        <v>334350.48213888099</v>
      </c>
      <c r="G126" s="10">
        <v>357930.93950443697</v>
      </c>
      <c r="H126" s="21">
        <f t="shared" si="2"/>
        <v>23580.45736555598</v>
      </c>
      <c r="I126" s="10">
        <v>612664.177038008</v>
      </c>
      <c r="J126" s="21">
        <f t="shared" si="3"/>
        <v>77788.654970802949</v>
      </c>
    </row>
    <row r="127" spans="1:10">
      <c r="A127" t="s">
        <v>159</v>
      </c>
      <c r="B127" t="s">
        <v>161</v>
      </c>
      <c r="C127" s="18">
        <v>2042</v>
      </c>
      <c r="D127" t="s">
        <v>209</v>
      </c>
      <c r="E127" s="20">
        <v>43305.153479841203</v>
      </c>
      <c r="F127" s="20">
        <v>7617.2353057353603</v>
      </c>
      <c r="G127" s="10">
        <v>7616.5928035502902</v>
      </c>
      <c r="H127" s="21">
        <f t="shared" si="2"/>
        <v>-0.6425021850700432</v>
      </c>
      <c r="I127" s="10">
        <v>43278.728481607301</v>
      </c>
      <c r="J127" s="21">
        <f t="shared" si="3"/>
        <v>-26.424998233902443</v>
      </c>
    </row>
    <row r="128" spans="1:10">
      <c r="A128" t="s">
        <v>159</v>
      </c>
      <c r="B128" t="s">
        <v>161</v>
      </c>
      <c r="C128" s="18">
        <v>2043</v>
      </c>
      <c r="D128" t="s">
        <v>187</v>
      </c>
      <c r="E128" s="20">
        <v>20947.768302963399</v>
      </c>
      <c r="F128" s="20">
        <v>14653.080192859399</v>
      </c>
      <c r="G128" s="10">
        <v>14572.883153271399</v>
      </c>
      <c r="H128" s="21">
        <f t="shared" si="2"/>
        <v>-80.197039587999825</v>
      </c>
      <c r="I128" s="10">
        <v>20720.548205455299</v>
      </c>
      <c r="J128" s="21">
        <f t="shared" si="3"/>
        <v>-227.22009750809957</v>
      </c>
    </row>
    <row r="129" spans="1:10">
      <c r="A129" t="s">
        <v>159</v>
      </c>
      <c r="B129" t="s">
        <v>161</v>
      </c>
      <c r="C129" s="18">
        <v>2043</v>
      </c>
      <c r="D129" t="s">
        <v>227</v>
      </c>
      <c r="E129" s="20">
        <v>1219391.98921099</v>
      </c>
      <c r="F129" s="20">
        <v>273373.222844214</v>
      </c>
      <c r="G129" s="10">
        <v>272950.43541917799</v>
      </c>
      <c r="H129" s="21">
        <f t="shared" si="2"/>
        <v>-422.78742503601825</v>
      </c>
      <c r="I129" s="10">
        <v>1213049.26096591</v>
      </c>
      <c r="J129" s="21">
        <f t="shared" si="3"/>
        <v>-6342.728245079983</v>
      </c>
    </row>
    <row r="130" spans="1:10">
      <c r="A130" t="s">
        <v>159</v>
      </c>
      <c r="B130" t="s">
        <v>161</v>
      </c>
      <c r="C130" s="18">
        <v>2043</v>
      </c>
      <c r="D130" t="s">
        <v>163</v>
      </c>
      <c r="E130" s="20">
        <v>125659.087067107</v>
      </c>
      <c r="F130" s="20">
        <v>87034.429212153904</v>
      </c>
      <c r="G130" s="10">
        <v>99271.391168072907</v>
      </c>
      <c r="H130" s="21">
        <f t="shared" ref="H130:H193" si="4">G130-F130</f>
        <v>12236.961955919003</v>
      </c>
      <c r="I130" s="10">
        <v>146993.81420820701</v>
      </c>
      <c r="J130" s="21">
        <f t="shared" ref="J130:J193" si="5">I130-E130</f>
        <v>21334.727141100011</v>
      </c>
    </row>
    <row r="131" spans="1:10">
      <c r="A131" t="s">
        <v>159</v>
      </c>
      <c r="B131" t="s">
        <v>161</v>
      </c>
      <c r="C131" s="18">
        <v>2043</v>
      </c>
      <c r="D131" t="s">
        <v>173</v>
      </c>
      <c r="E131" s="20">
        <v>409086.785019273</v>
      </c>
      <c r="F131" s="20">
        <v>386776.91863388801</v>
      </c>
      <c r="G131" s="10">
        <v>437679.98847184202</v>
      </c>
      <c r="H131" s="21">
        <f t="shared" si="4"/>
        <v>50903.069837954012</v>
      </c>
      <c r="I131" s="10">
        <v>471154.83958066901</v>
      </c>
      <c r="J131" s="21">
        <f t="shared" si="5"/>
        <v>62068.054561396013</v>
      </c>
    </row>
    <row r="132" spans="1:10">
      <c r="A132" t="s">
        <v>159</v>
      </c>
      <c r="B132" t="s">
        <v>161</v>
      </c>
      <c r="C132" s="18">
        <v>2043</v>
      </c>
      <c r="D132" t="s">
        <v>177</v>
      </c>
      <c r="E132" s="20">
        <v>684015.04896813096</v>
      </c>
      <c r="F132" s="20">
        <v>466274.76405551197</v>
      </c>
      <c r="G132" s="10">
        <v>512610.44917931297</v>
      </c>
      <c r="H132" s="21">
        <f t="shared" si="4"/>
        <v>46335.685123800999</v>
      </c>
      <c r="I132" s="10">
        <v>810014.77283431904</v>
      </c>
      <c r="J132" s="21">
        <f t="shared" si="5"/>
        <v>125999.72386618808</v>
      </c>
    </row>
    <row r="133" spans="1:10">
      <c r="A133" t="s">
        <v>159</v>
      </c>
      <c r="B133" t="s">
        <v>161</v>
      </c>
      <c r="C133" s="18">
        <v>2043</v>
      </c>
      <c r="D133" t="s">
        <v>181</v>
      </c>
      <c r="E133" s="20">
        <v>541312.48988328804</v>
      </c>
      <c r="F133" s="20">
        <v>341873.86091293901</v>
      </c>
      <c r="G133" s="10">
        <v>367959.059248153</v>
      </c>
      <c r="H133" s="21">
        <f t="shared" si="4"/>
        <v>26085.198335213994</v>
      </c>
      <c r="I133" s="10">
        <v>623953.35649413895</v>
      </c>
      <c r="J133" s="21">
        <f t="shared" si="5"/>
        <v>82640.866610850906</v>
      </c>
    </row>
    <row r="134" spans="1:10">
      <c r="A134" t="s">
        <v>159</v>
      </c>
      <c r="B134" t="s">
        <v>161</v>
      </c>
      <c r="C134" s="18">
        <v>2043</v>
      </c>
      <c r="D134" t="s">
        <v>209</v>
      </c>
      <c r="E134" s="20">
        <v>43262.881396643403</v>
      </c>
      <c r="F134" s="20">
        <v>7635.4403864209899</v>
      </c>
      <c r="G134" s="10">
        <v>7634.6380979097503</v>
      </c>
      <c r="H134" s="21">
        <f t="shared" si="4"/>
        <v>-0.80228851123956701</v>
      </c>
      <c r="I134" s="10">
        <v>43232.1385441846</v>
      </c>
      <c r="J134" s="21">
        <f t="shared" si="5"/>
        <v>-30.7428524588031</v>
      </c>
    </row>
    <row r="135" spans="1:10">
      <c r="A135" t="s">
        <v>159</v>
      </c>
      <c r="B135" t="s">
        <v>161</v>
      </c>
      <c r="C135" s="18">
        <v>2044</v>
      </c>
      <c r="D135" t="s">
        <v>187</v>
      </c>
      <c r="E135" s="20">
        <v>21489.469783962901</v>
      </c>
      <c r="F135" s="20">
        <v>14959.293604979401</v>
      </c>
      <c r="G135" s="10">
        <v>14861.4315691186</v>
      </c>
      <c r="H135" s="21">
        <f t="shared" si="4"/>
        <v>-97.862035860800461</v>
      </c>
      <c r="I135" s="10">
        <v>21220.2473713984</v>
      </c>
      <c r="J135" s="21">
        <f t="shared" si="5"/>
        <v>-269.2224125645007</v>
      </c>
    </row>
    <row r="136" spans="1:10">
      <c r="A136" t="s">
        <v>159</v>
      </c>
      <c r="B136" t="s">
        <v>161</v>
      </c>
      <c r="C136" s="18">
        <v>2044</v>
      </c>
      <c r="D136" t="s">
        <v>227</v>
      </c>
      <c r="E136" s="20">
        <v>1226224.3230808501</v>
      </c>
      <c r="F136" s="20">
        <v>281022.66915588098</v>
      </c>
      <c r="G136" s="10">
        <v>280506.44153550803</v>
      </c>
      <c r="H136" s="21">
        <f t="shared" si="4"/>
        <v>-516.22762037295615</v>
      </c>
      <c r="I136" s="10">
        <v>1218988.4670045001</v>
      </c>
      <c r="J136" s="21">
        <f t="shared" si="5"/>
        <v>-7235.85607634997</v>
      </c>
    </row>
    <row r="137" spans="1:10">
      <c r="A137" t="s">
        <v>159</v>
      </c>
      <c r="B137" t="s">
        <v>161</v>
      </c>
      <c r="C137" s="18">
        <v>2044</v>
      </c>
      <c r="D137" t="s">
        <v>163</v>
      </c>
      <c r="E137" s="20">
        <v>127080.06024317299</v>
      </c>
      <c r="F137" s="20">
        <v>87901.025732358205</v>
      </c>
      <c r="G137" s="10">
        <v>101112.290089553</v>
      </c>
      <c r="H137" s="21">
        <f t="shared" si="4"/>
        <v>13211.264357194799</v>
      </c>
      <c r="I137" s="10">
        <v>149696.21396730101</v>
      </c>
      <c r="J137" s="21">
        <f t="shared" si="5"/>
        <v>22616.153724128017</v>
      </c>
    </row>
    <row r="138" spans="1:10">
      <c r="A138" t="s">
        <v>159</v>
      </c>
      <c r="B138" t="s">
        <v>161</v>
      </c>
      <c r="C138" s="18">
        <v>2044</v>
      </c>
      <c r="D138" t="s">
        <v>173</v>
      </c>
      <c r="E138" s="20">
        <v>411859.95131219499</v>
      </c>
      <c r="F138" s="20">
        <v>389389.646214596</v>
      </c>
      <c r="G138" s="10">
        <v>443800.63719739497</v>
      </c>
      <c r="H138" s="21">
        <f t="shared" si="4"/>
        <v>54410.990982798976</v>
      </c>
      <c r="I138" s="10">
        <v>477581.31483664498</v>
      </c>
      <c r="J138" s="21">
        <f t="shared" si="5"/>
        <v>65721.363524449989</v>
      </c>
    </row>
    <row r="139" spans="1:10">
      <c r="A139" t="s">
        <v>159</v>
      </c>
      <c r="B139" t="s">
        <v>161</v>
      </c>
      <c r="C139" s="18">
        <v>2044</v>
      </c>
      <c r="D139" t="s">
        <v>177</v>
      </c>
      <c r="E139" s="20">
        <v>687435.85602350498</v>
      </c>
      <c r="F139" s="20">
        <v>470631.37885386898</v>
      </c>
      <c r="G139" s="10">
        <v>521420.17033099697</v>
      </c>
      <c r="H139" s="21">
        <f t="shared" si="4"/>
        <v>50788.79147712799</v>
      </c>
      <c r="I139" s="10">
        <v>820742.37012193399</v>
      </c>
      <c r="J139" s="21">
        <f t="shared" si="5"/>
        <v>133306.514098429</v>
      </c>
    </row>
    <row r="140" spans="1:10">
      <c r="A140" t="s">
        <v>159</v>
      </c>
      <c r="B140" t="s">
        <v>161</v>
      </c>
      <c r="C140" s="18">
        <v>2044</v>
      </c>
      <c r="D140" t="s">
        <v>181</v>
      </c>
      <c r="E140" s="20">
        <v>547553.87678849499</v>
      </c>
      <c r="F140" s="20">
        <v>349260.42220971099</v>
      </c>
      <c r="G140" s="10">
        <v>377918.58989895799</v>
      </c>
      <c r="H140" s="21">
        <f t="shared" si="4"/>
        <v>28658.167689246999</v>
      </c>
      <c r="I140" s="10">
        <v>635024.54646764905</v>
      </c>
      <c r="J140" s="21">
        <f t="shared" si="5"/>
        <v>87470.66967915406</v>
      </c>
    </row>
    <row r="141" spans="1:10">
      <c r="A141" t="s">
        <v>159</v>
      </c>
      <c r="B141" t="s">
        <v>161</v>
      </c>
      <c r="C141" s="18">
        <v>2044</v>
      </c>
      <c r="D141" t="s">
        <v>209</v>
      </c>
      <c r="E141" s="20">
        <v>43238.085546421098</v>
      </c>
      <c r="F141" s="20">
        <v>7653.7105095322404</v>
      </c>
      <c r="G141" s="10">
        <v>7652.7218257366803</v>
      </c>
      <c r="H141" s="21">
        <f t="shared" si="4"/>
        <v>-0.98868379556006403</v>
      </c>
      <c r="I141" s="10">
        <v>43202.630038859497</v>
      </c>
      <c r="J141" s="21">
        <f t="shared" si="5"/>
        <v>-35.455507561600825</v>
      </c>
    </row>
    <row r="142" spans="1:10">
      <c r="A142" t="s">
        <v>159</v>
      </c>
      <c r="B142" t="s">
        <v>161</v>
      </c>
      <c r="C142" s="18">
        <v>2045</v>
      </c>
      <c r="D142" t="s">
        <v>187</v>
      </c>
      <c r="E142" s="20">
        <v>22033.667331589801</v>
      </c>
      <c r="F142" s="20">
        <v>15266.3124018668</v>
      </c>
      <c r="G142" s="10">
        <v>15148.297956242301</v>
      </c>
      <c r="H142" s="21">
        <f t="shared" si="4"/>
        <v>-118.01444562449979</v>
      </c>
      <c r="I142" s="10">
        <v>21717.616521529701</v>
      </c>
      <c r="J142" s="21">
        <f t="shared" si="5"/>
        <v>-316.05081006010005</v>
      </c>
    </row>
    <row r="143" spans="1:10">
      <c r="A143" t="s">
        <v>159</v>
      </c>
      <c r="B143" t="s">
        <v>161</v>
      </c>
      <c r="C143" s="18">
        <v>2045</v>
      </c>
      <c r="D143" t="s">
        <v>227</v>
      </c>
      <c r="E143" s="20">
        <v>1232858.3202740501</v>
      </c>
      <c r="F143" s="20">
        <v>288547.94401997997</v>
      </c>
      <c r="G143" s="10">
        <v>287925.04322278401</v>
      </c>
      <c r="H143" s="21">
        <f t="shared" si="4"/>
        <v>-622.90079719596542</v>
      </c>
      <c r="I143" s="10">
        <v>1224668.96644768</v>
      </c>
      <c r="J143" s="21">
        <f t="shared" si="5"/>
        <v>-8189.3538263700902</v>
      </c>
    </row>
    <row r="144" spans="1:10">
      <c r="A144" t="s">
        <v>159</v>
      </c>
      <c r="B144" t="s">
        <v>161</v>
      </c>
      <c r="C144" s="18">
        <v>2045</v>
      </c>
      <c r="D144" t="s">
        <v>163</v>
      </c>
      <c r="E144" s="20">
        <v>128450.031089173</v>
      </c>
      <c r="F144" s="20">
        <v>88738.088119944994</v>
      </c>
      <c r="G144" s="10">
        <v>102935.314985138</v>
      </c>
      <c r="H144" s="21">
        <f t="shared" si="4"/>
        <v>14197.226865193006</v>
      </c>
      <c r="I144" s="10">
        <v>152338.05281588601</v>
      </c>
      <c r="J144" s="21">
        <f t="shared" si="5"/>
        <v>23888.021726713007</v>
      </c>
    </row>
    <row r="145" spans="1:10">
      <c r="A145" t="s">
        <v>159</v>
      </c>
      <c r="B145" t="s">
        <v>161</v>
      </c>
      <c r="C145" s="18">
        <v>2045</v>
      </c>
      <c r="D145" t="s">
        <v>173</v>
      </c>
      <c r="E145" s="20">
        <v>414377.78316245897</v>
      </c>
      <c r="F145" s="20">
        <v>391795.95913417003</v>
      </c>
      <c r="G145" s="10">
        <v>449717.558047709</v>
      </c>
      <c r="H145" s="21">
        <f t="shared" si="4"/>
        <v>57921.598913538968</v>
      </c>
      <c r="I145" s="10">
        <v>483723.51612219802</v>
      </c>
      <c r="J145" s="21">
        <f t="shared" si="5"/>
        <v>69345.732959739049</v>
      </c>
    </row>
    <row r="146" spans="1:10">
      <c r="A146" t="s">
        <v>159</v>
      </c>
      <c r="B146" t="s">
        <v>161</v>
      </c>
      <c r="C146" s="18">
        <v>2045</v>
      </c>
      <c r="D146" t="s">
        <v>177</v>
      </c>
      <c r="E146" s="20">
        <v>690859.31091820996</v>
      </c>
      <c r="F146" s="20">
        <v>474649.90727905498</v>
      </c>
      <c r="G146" s="10">
        <v>529994.22695920803</v>
      </c>
      <c r="H146" s="21">
        <f t="shared" si="4"/>
        <v>55344.319680153043</v>
      </c>
      <c r="I146" s="10">
        <v>831470.21009817696</v>
      </c>
      <c r="J146" s="21">
        <f t="shared" si="5"/>
        <v>140610.899179967</v>
      </c>
    </row>
    <row r="147" spans="1:10">
      <c r="A147" t="s">
        <v>159</v>
      </c>
      <c r="B147" t="s">
        <v>161</v>
      </c>
      <c r="C147" s="18">
        <v>2045</v>
      </c>
      <c r="D147" t="s">
        <v>181</v>
      </c>
      <c r="E147" s="20">
        <v>553489.66491809301</v>
      </c>
      <c r="F147" s="20">
        <v>356461.881800731</v>
      </c>
      <c r="G147" s="10">
        <v>387750.67878189799</v>
      </c>
      <c r="H147" s="21">
        <f t="shared" si="4"/>
        <v>31288.79698116699</v>
      </c>
      <c r="I147" s="10">
        <v>645730.44769895996</v>
      </c>
      <c r="J147" s="21">
        <f t="shared" si="5"/>
        <v>92240.782780866954</v>
      </c>
    </row>
    <row r="148" spans="1:10">
      <c r="A148" t="s">
        <v>159</v>
      </c>
      <c r="B148" t="s">
        <v>161</v>
      </c>
      <c r="C148" s="18">
        <v>2045</v>
      </c>
      <c r="D148" t="s">
        <v>209</v>
      </c>
      <c r="E148" s="20">
        <v>43231.175047005003</v>
      </c>
      <c r="F148" s="20">
        <v>7673.2720832485702</v>
      </c>
      <c r="G148" s="10">
        <v>7672.0682267846396</v>
      </c>
      <c r="H148" s="21">
        <f t="shared" si="4"/>
        <v>-1.203856463930606</v>
      </c>
      <c r="I148" s="10">
        <v>43190.603751316099</v>
      </c>
      <c r="J148" s="21">
        <f t="shared" si="5"/>
        <v>-40.571295688903774</v>
      </c>
    </row>
    <row r="149" spans="1:10">
      <c r="A149" t="s">
        <v>159</v>
      </c>
      <c r="B149" t="s">
        <v>161</v>
      </c>
      <c r="C149" s="18">
        <v>2046</v>
      </c>
      <c r="D149" t="s">
        <v>187</v>
      </c>
      <c r="E149" s="20">
        <v>22578.865929049902</v>
      </c>
      <c r="F149" s="20">
        <v>15577.6954889807</v>
      </c>
      <c r="G149" s="10">
        <v>15436.8918612077</v>
      </c>
      <c r="H149" s="21">
        <f t="shared" si="4"/>
        <v>-140.8036277730007</v>
      </c>
      <c r="I149" s="10">
        <v>22210.974521910699</v>
      </c>
      <c r="J149" s="21">
        <f t="shared" si="5"/>
        <v>-367.89140713920278</v>
      </c>
    </row>
    <row r="150" spans="1:10">
      <c r="A150" t="s">
        <v>159</v>
      </c>
      <c r="B150" t="s">
        <v>161</v>
      </c>
      <c r="C150" s="18">
        <v>2046</v>
      </c>
      <c r="D150" t="s">
        <v>227</v>
      </c>
      <c r="E150" s="20">
        <v>1239327.1116030901</v>
      </c>
      <c r="F150" s="20">
        <v>295909.48487869703</v>
      </c>
      <c r="G150" s="10">
        <v>295165.87720880198</v>
      </c>
      <c r="H150" s="21">
        <f t="shared" si="4"/>
        <v>-743.60766989504918</v>
      </c>
      <c r="I150" s="10">
        <v>1230125.0687766999</v>
      </c>
      <c r="J150" s="21">
        <f t="shared" si="5"/>
        <v>-9202.0428263901267</v>
      </c>
    </row>
    <row r="151" spans="1:10">
      <c r="A151" t="s">
        <v>159</v>
      </c>
      <c r="B151" t="s">
        <v>161</v>
      </c>
      <c r="C151" s="18">
        <v>2046</v>
      </c>
      <c r="D151" t="s">
        <v>163</v>
      </c>
      <c r="E151" s="20">
        <v>129771.972858851</v>
      </c>
      <c r="F151" s="20">
        <v>89540.496651868903</v>
      </c>
      <c r="G151" s="10">
        <v>104731.13398431199</v>
      </c>
      <c r="H151" s="21">
        <f t="shared" si="4"/>
        <v>15190.63733244309</v>
      </c>
      <c r="I151" s="10">
        <v>154919.18519988199</v>
      </c>
      <c r="J151" s="21">
        <f t="shared" si="5"/>
        <v>25147.212341030987</v>
      </c>
    </row>
    <row r="152" spans="1:10">
      <c r="A152" t="s">
        <v>159</v>
      </c>
      <c r="B152" t="s">
        <v>161</v>
      </c>
      <c r="C152" s="18">
        <v>2046</v>
      </c>
      <c r="D152" t="s">
        <v>173</v>
      </c>
      <c r="E152" s="20">
        <v>416630.90356612799</v>
      </c>
      <c r="F152" s="20">
        <v>393899.34538489103</v>
      </c>
      <c r="G152" s="10">
        <v>455310.080020589</v>
      </c>
      <c r="H152" s="21">
        <f t="shared" si="4"/>
        <v>61410.734635697969</v>
      </c>
      <c r="I152" s="10">
        <v>489559.56948849699</v>
      </c>
      <c r="J152" s="21">
        <f t="shared" si="5"/>
        <v>72928.665922368993</v>
      </c>
    </row>
    <row r="153" spans="1:10">
      <c r="A153" t="s">
        <v>159</v>
      </c>
      <c r="B153" t="s">
        <v>161</v>
      </c>
      <c r="C153" s="18">
        <v>2046</v>
      </c>
      <c r="D153" t="s">
        <v>177</v>
      </c>
      <c r="E153" s="20">
        <v>694138.45650526101</v>
      </c>
      <c r="F153" s="20">
        <v>478450.260807732</v>
      </c>
      <c r="G153" s="10">
        <v>538440.16822828504</v>
      </c>
      <c r="H153" s="21">
        <f t="shared" si="4"/>
        <v>59989.907420553034</v>
      </c>
      <c r="I153" s="10">
        <v>842022.211146035</v>
      </c>
      <c r="J153" s="21">
        <f t="shared" si="5"/>
        <v>147883.75464077399</v>
      </c>
    </row>
    <row r="154" spans="1:10">
      <c r="A154" t="s">
        <v>159</v>
      </c>
      <c r="B154" t="s">
        <v>161</v>
      </c>
      <c r="C154" s="18">
        <v>2046</v>
      </c>
      <c r="D154" t="s">
        <v>181</v>
      </c>
      <c r="E154" s="20">
        <v>559098.64025516994</v>
      </c>
      <c r="F154" s="20">
        <v>363465.354724687</v>
      </c>
      <c r="G154" s="10">
        <v>397431.95060261199</v>
      </c>
      <c r="H154" s="21">
        <f t="shared" si="4"/>
        <v>33966.595877924992</v>
      </c>
      <c r="I154" s="10">
        <v>656023.20384824695</v>
      </c>
      <c r="J154" s="21">
        <f t="shared" si="5"/>
        <v>96924.563593077008</v>
      </c>
    </row>
    <row r="155" spans="1:10">
      <c r="A155" t="s">
        <v>159</v>
      </c>
      <c r="B155" t="s">
        <v>161</v>
      </c>
      <c r="C155" s="18">
        <v>2046</v>
      </c>
      <c r="D155" t="s">
        <v>209</v>
      </c>
      <c r="E155" s="20">
        <v>43242.407718353301</v>
      </c>
      <c r="F155" s="20">
        <v>7695.0068258831297</v>
      </c>
      <c r="G155" s="10">
        <v>7693.5570486562501</v>
      </c>
      <c r="H155" s="21">
        <f t="shared" si="4"/>
        <v>-1.4497772268796325</v>
      </c>
      <c r="I155" s="10">
        <v>43196.310323112302</v>
      </c>
      <c r="J155" s="21">
        <f t="shared" si="5"/>
        <v>-46.097395240998594</v>
      </c>
    </row>
    <row r="156" spans="1:10">
      <c r="A156" t="s">
        <v>159</v>
      </c>
      <c r="B156" t="s">
        <v>161</v>
      </c>
      <c r="C156" s="18">
        <v>2047</v>
      </c>
      <c r="D156" t="s">
        <v>187</v>
      </c>
      <c r="E156" s="20">
        <v>23124.612831681199</v>
      </c>
      <c r="F156" s="20">
        <v>15894.864864892599</v>
      </c>
      <c r="G156" s="10">
        <v>15728.485494730299</v>
      </c>
      <c r="H156" s="21">
        <f t="shared" si="4"/>
        <v>-166.37937016229989</v>
      </c>
      <c r="I156" s="10">
        <v>22699.6629629007</v>
      </c>
      <c r="J156" s="21">
        <f t="shared" si="5"/>
        <v>-424.94986878049895</v>
      </c>
    </row>
    <row r="157" spans="1:10">
      <c r="A157" t="s">
        <v>159</v>
      </c>
      <c r="B157" t="s">
        <v>161</v>
      </c>
      <c r="C157" s="18">
        <v>2047</v>
      </c>
      <c r="D157" t="s">
        <v>227</v>
      </c>
      <c r="E157" s="20">
        <v>1245546.9794835399</v>
      </c>
      <c r="F157" s="20">
        <v>303059.60915390198</v>
      </c>
      <c r="G157" s="10">
        <v>302180.55031250097</v>
      </c>
      <c r="H157" s="21">
        <f t="shared" si="4"/>
        <v>-879.05884140101261</v>
      </c>
      <c r="I157" s="10">
        <v>1235274.66521773</v>
      </c>
      <c r="J157" s="21">
        <f t="shared" si="5"/>
        <v>-10272.314265809953</v>
      </c>
    </row>
    <row r="158" spans="1:10">
      <c r="A158" t="s">
        <v>159</v>
      </c>
      <c r="B158" t="s">
        <v>161</v>
      </c>
      <c r="C158" s="18">
        <v>2047</v>
      </c>
      <c r="D158" t="s">
        <v>163</v>
      </c>
      <c r="E158" s="20">
        <v>131046.904084897</v>
      </c>
      <c r="F158" s="20">
        <v>90301.443711243497</v>
      </c>
      <c r="G158" s="10">
        <v>106487.67776034201</v>
      </c>
      <c r="H158" s="21">
        <f t="shared" si="4"/>
        <v>16186.234049098508</v>
      </c>
      <c r="I158" s="10">
        <v>157435.937342911</v>
      </c>
      <c r="J158" s="21">
        <f t="shared" si="5"/>
        <v>26389.033258013995</v>
      </c>
    </row>
    <row r="159" spans="1:10">
      <c r="A159" t="s">
        <v>159</v>
      </c>
      <c r="B159" t="s">
        <v>161</v>
      </c>
      <c r="C159" s="18">
        <v>2047</v>
      </c>
      <c r="D159" t="s">
        <v>173</v>
      </c>
      <c r="E159" s="20">
        <v>418598.18451017299</v>
      </c>
      <c r="F159" s="20">
        <v>395677.11292938498</v>
      </c>
      <c r="G159" s="10">
        <v>460539.427749469</v>
      </c>
      <c r="H159" s="21">
        <f t="shared" si="4"/>
        <v>64862.314820084022</v>
      </c>
      <c r="I159" s="10">
        <v>495047.33168069902</v>
      </c>
      <c r="J159" s="21">
        <f t="shared" si="5"/>
        <v>76449.147170526034</v>
      </c>
    </row>
    <row r="160" spans="1:10">
      <c r="A160" t="s">
        <v>159</v>
      </c>
      <c r="B160" t="s">
        <v>161</v>
      </c>
      <c r="C160" s="18">
        <v>2047</v>
      </c>
      <c r="D160" t="s">
        <v>177</v>
      </c>
      <c r="E160" s="20">
        <v>697234.62048834504</v>
      </c>
      <c r="F160" s="20">
        <v>482170.34888856002</v>
      </c>
      <c r="G160" s="10">
        <v>546892.884748123</v>
      </c>
      <c r="H160" s="21">
        <f t="shared" si="4"/>
        <v>64722.53585956298</v>
      </c>
      <c r="I160" s="10">
        <v>852357.03689663101</v>
      </c>
      <c r="J160" s="21">
        <f t="shared" si="5"/>
        <v>155122.41640828596</v>
      </c>
    </row>
    <row r="161" spans="1:10">
      <c r="A161" t="s">
        <v>159</v>
      </c>
      <c r="B161" t="s">
        <v>161</v>
      </c>
      <c r="C161" s="18">
        <v>2047</v>
      </c>
      <c r="D161" t="s">
        <v>181</v>
      </c>
      <c r="E161" s="20">
        <v>564445.77981914498</v>
      </c>
      <c r="F161" s="20">
        <v>370258.86563901301</v>
      </c>
      <c r="G161" s="10">
        <v>406938.30985862098</v>
      </c>
      <c r="H161" s="21">
        <f t="shared" si="4"/>
        <v>36679.444219607976</v>
      </c>
      <c r="I161" s="10">
        <v>665960.53053760703</v>
      </c>
      <c r="J161" s="21">
        <f t="shared" si="5"/>
        <v>101514.75071846205</v>
      </c>
    </row>
    <row r="162" spans="1:10">
      <c r="A162" t="s">
        <v>159</v>
      </c>
      <c r="B162" t="s">
        <v>161</v>
      </c>
      <c r="C162" s="18">
        <v>2047</v>
      </c>
      <c r="D162" t="s">
        <v>209</v>
      </c>
      <c r="E162" s="20">
        <v>43269.672774106097</v>
      </c>
      <c r="F162" s="20">
        <v>7717.9926198286003</v>
      </c>
      <c r="G162" s="10">
        <v>7716.2645250788601</v>
      </c>
      <c r="H162" s="21">
        <f t="shared" si="4"/>
        <v>-1.7280947497401939</v>
      </c>
      <c r="I162" s="10">
        <v>43217.634192350401</v>
      </c>
      <c r="J162" s="21">
        <f t="shared" si="5"/>
        <v>-52.038581755696214</v>
      </c>
    </row>
    <row r="163" spans="1:10">
      <c r="A163" t="s">
        <v>159</v>
      </c>
      <c r="B163" t="s">
        <v>161</v>
      </c>
      <c r="C163" s="18">
        <v>2048</v>
      </c>
      <c r="D163" t="s">
        <v>187</v>
      </c>
      <c r="E163" s="20">
        <v>23667.134322956099</v>
      </c>
      <c r="F163" s="20">
        <v>16220.0726449457</v>
      </c>
      <c r="G163" s="10">
        <v>16025.2187605858</v>
      </c>
      <c r="H163" s="21">
        <f t="shared" si="4"/>
        <v>-194.85388435989989</v>
      </c>
      <c r="I163" s="10">
        <v>23179.777529823201</v>
      </c>
      <c r="J163" s="21">
        <f t="shared" si="5"/>
        <v>-487.35679313289802</v>
      </c>
    </row>
    <row r="164" spans="1:10">
      <c r="A164" t="s">
        <v>159</v>
      </c>
      <c r="B164" t="s">
        <v>161</v>
      </c>
      <c r="C164" s="18">
        <v>2048</v>
      </c>
      <c r="D164" t="s">
        <v>227</v>
      </c>
      <c r="E164" s="20">
        <v>1251607.6333410901</v>
      </c>
      <c r="F164" s="20">
        <v>309994.23642392003</v>
      </c>
      <c r="G164" s="10">
        <v>308964.31037728197</v>
      </c>
      <c r="H164" s="21">
        <f t="shared" si="4"/>
        <v>-1029.926046638051</v>
      </c>
      <c r="I164" s="10">
        <v>1240209.10376068</v>
      </c>
      <c r="J164" s="21">
        <f t="shared" si="5"/>
        <v>-11398.529580410104</v>
      </c>
    </row>
    <row r="165" spans="1:10">
      <c r="A165" t="s">
        <v>159</v>
      </c>
      <c r="B165" t="s">
        <v>161</v>
      </c>
      <c r="C165" s="18">
        <v>2048</v>
      </c>
      <c r="D165" t="s">
        <v>163</v>
      </c>
      <c r="E165" s="20">
        <v>132268.61579370001</v>
      </c>
      <c r="F165" s="20">
        <v>91021.483074740594</v>
      </c>
      <c r="G165" s="10">
        <v>108205.309376064</v>
      </c>
      <c r="H165" s="21">
        <f t="shared" si="4"/>
        <v>17183.82630132341</v>
      </c>
      <c r="I165" s="10">
        <v>159877.06955740901</v>
      </c>
      <c r="J165" s="21">
        <f t="shared" si="5"/>
        <v>27608.453763708996</v>
      </c>
    </row>
    <row r="166" spans="1:10">
      <c r="A166" t="s">
        <v>159</v>
      </c>
      <c r="B166" t="s">
        <v>161</v>
      </c>
      <c r="C166" s="18">
        <v>2048</v>
      </c>
      <c r="D166" t="s">
        <v>173</v>
      </c>
      <c r="E166" s="20">
        <v>420352.17056030402</v>
      </c>
      <c r="F166" s="20">
        <v>397272.66680480202</v>
      </c>
      <c r="G166" s="10">
        <v>465558.478994868</v>
      </c>
      <c r="H166" s="21">
        <f t="shared" si="4"/>
        <v>68285.812190065975</v>
      </c>
      <c r="I166" s="10">
        <v>500251.96367663803</v>
      </c>
      <c r="J166" s="21">
        <f t="shared" si="5"/>
        <v>79899.793116334011</v>
      </c>
    </row>
    <row r="167" spans="1:10">
      <c r="A167" t="s">
        <v>159</v>
      </c>
      <c r="B167" t="s">
        <v>161</v>
      </c>
      <c r="C167" s="18">
        <v>2048</v>
      </c>
      <c r="D167" t="s">
        <v>177</v>
      </c>
      <c r="E167" s="20">
        <v>700139.16549665795</v>
      </c>
      <c r="F167" s="20">
        <v>485694.196174004</v>
      </c>
      <c r="G167" s="10">
        <v>555219.25427407597</v>
      </c>
      <c r="H167" s="21">
        <f t="shared" si="4"/>
        <v>69525.058100071969</v>
      </c>
      <c r="I167" s="10">
        <v>862421.19766606798</v>
      </c>
      <c r="J167" s="21">
        <f t="shared" si="5"/>
        <v>162282.03216941003</v>
      </c>
    </row>
    <row r="168" spans="1:10">
      <c r="A168" t="s">
        <v>159</v>
      </c>
      <c r="B168" t="s">
        <v>161</v>
      </c>
      <c r="C168" s="18">
        <v>2048</v>
      </c>
      <c r="D168" t="s">
        <v>181</v>
      </c>
      <c r="E168" s="20">
        <v>569540.49848897301</v>
      </c>
      <c r="F168" s="20">
        <v>376808.54324057302</v>
      </c>
      <c r="G168" s="10">
        <v>416221.14564351598</v>
      </c>
      <c r="H168" s="21">
        <f t="shared" si="4"/>
        <v>39412.602402942954</v>
      </c>
      <c r="I168" s="10">
        <v>675538.06713143899</v>
      </c>
      <c r="J168" s="21">
        <f t="shared" si="5"/>
        <v>105997.56864246598</v>
      </c>
    </row>
    <row r="169" spans="1:10">
      <c r="A169" t="s">
        <v>159</v>
      </c>
      <c r="B169" t="s">
        <v>161</v>
      </c>
      <c r="C169" s="18">
        <v>2048</v>
      </c>
      <c r="D169" t="s">
        <v>209</v>
      </c>
      <c r="E169" s="20">
        <v>43305.511873728698</v>
      </c>
      <c r="F169" s="20">
        <v>7743.0088741060699</v>
      </c>
      <c r="G169" s="10">
        <v>7740.9682323091401</v>
      </c>
      <c r="H169" s="21">
        <f t="shared" si="4"/>
        <v>-2.0406417969297763</v>
      </c>
      <c r="I169" s="10">
        <v>43247.116568268502</v>
      </c>
      <c r="J169" s="21">
        <f t="shared" si="5"/>
        <v>-58.395305460195232</v>
      </c>
    </row>
    <row r="170" spans="1:10">
      <c r="A170" t="s">
        <v>159</v>
      </c>
      <c r="B170" t="s">
        <v>161</v>
      </c>
      <c r="C170" s="18">
        <v>2049</v>
      </c>
      <c r="D170" t="s">
        <v>187</v>
      </c>
      <c r="E170" s="20">
        <v>24205.538913082899</v>
      </c>
      <c r="F170" s="20">
        <v>16548.9673095174</v>
      </c>
      <c r="G170" s="10">
        <v>16322.61151708</v>
      </c>
      <c r="H170" s="21">
        <f t="shared" si="4"/>
        <v>-226.35579243739994</v>
      </c>
      <c r="I170" s="10">
        <v>23650.361484044901</v>
      </c>
      <c r="J170" s="21">
        <f t="shared" si="5"/>
        <v>-555.17742903799808</v>
      </c>
    </row>
    <row r="171" spans="1:10">
      <c r="A171" t="s">
        <v>159</v>
      </c>
      <c r="B171" t="s">
        <v>161</v>
      </c>
      <c r="C171" s="18">
        <v>2049</v>
      </c>
      <c r="D171" t="s">
        <v>227</v>
      </c>
      <c r="E171" s="20">
        <v>1257538.61785551</v>
      </c>
      <c r="F171" s="20">
        <v>316725.38306875498</v>
      </c>
      <c r="G171" s="10">
        <v>315528.65457465599</v>
      </c>
      <c r="H171" s="21">
        <f t="shared" si="4"/>
        <v>-1196.7284940989921</v>
      </c>
      <c r="I171" s="10">
        <v>1244958.37630862</v>
      </c>
      <c r="J171" s="21">
        <f t="shared" si="5"/>
        <v>-12580.24154689</v>
      </c>
    </row>
    <row r="172" spans="1:10">
      <c r="A172" t="s">
        <v>159</v>
      </c>
      <c r="B172" t="s">
        <v>161</v>
      </c>
      <c r="C172" s="18">
        <v>2049</v>
      </c>
      <c r="D172" t="s">
        <v>163</v>
      </c>
      <c r="E172" s="20">
        <v>133431.647229503</v>
      </c>
      <c r="F172" s="20">
        <v>91700.401259299702</v>
      </c>
      <c r="G172" s="10">
        <v>109882.371148655</v>
      </c>
      <c r="H172" s="21">
        <f t="shared" si="4"/>
        <v>18181.9698893553</v>
      </c>
      <c r="I172" s="10">
        <v>162238.134685625</v>
      </c>
      <c r="J172" s="21">
        <f t="shared" si="5"/>
        <v>28806.487456122006</v>
      </c>
    </row>
    <row r="173" spans="1:10">
      <c r="A173" t="s">
        <v>159</v>
      </c>
      <c r="B173" t="s">
        <v>161</v>
      </c>
      <c r="C173" s="18">
        <v>2049</v>
      </c>
      <c r="D173" t="s">
        <v>173</v>
      </c>
      <c r="E173" s="20">
        <v>421915.85558463301</v>
      </c>
      <c r="F173" s="20">
        <v>398705.46659715002</v>
      </c>
      <c r="G173" s="10">
        <v>470383.880162835</v>
      </c>
      <c r="H173" s="21">
        <f t="shared" si="4"/>
        <v>71678.413565684983</v>
      </c>
      <c r="I173" s="10">
        <v>505215.90050813899</v>
      </c>
      <c r="J173" s="21">
        <f t="shared" si="5"/>
        <v>83300.044923505979</v>
      </c>
    </row>
    <row r="174" spans="1:10">
      <c r="A174" t="s">
        <v>159</v>
      </c>
      <c r="B174" t="s">
        <v>161</v>
      </c>
      <c r="C174" s="18">
        <v>2049</v>
      </c>
      <c r="D174" t="s">
        <v>177</v>
      </c>
      <c r="E174" s="20">
        <v>702702.02544081898</v>
      </c>
      <c r="F174" s="20">
        <v>488957.702681906</v>
      </c>
      <c r="G174" s="10">
        <v>563337.76559367101</v>
      </c>
      <c r="H174" s="21">
        <f t="shared" si="4"/>
        <v>74380.06291176501</v>
      </c>
      <c r="I174" s="10">
        <v>872039.41256190802</v>
      </c>
      <c r="J174" s="21">
        <f t="shared" si="5"/>
        <v>169337.38712108904</v>
      </c>
    </row>
    <row r="175" spans="1:10">
      <c r="A175" t="s">
        <v>159</v>
      </c>
      <c r="B175" t="s">
        <v>161</v>
      </c>
      <c r="C175" s="18">
        <v>2049</v>
      </c>
      <c r="D175" t="s">
        <v>181</v>
      </c>
      <c r="E175" s="20">
        <v>574402.43614012003</v>
      </c>
      <c r="F175" s="20">
        <v>383062.54626398103</v>
      </c>
      <c r="G175" s="10">
        <v>425211.29480666103</v>
      </c>
      <c r="H175" s="21">
        <f t="shared" si="4"/>
        <v>42148.748542679998</v>
      </c>
      <c r="I175" s="10">
        <v>684799.51924341801</v>
      </c>
      <c r="J175" s="21">
        <f t="shared" si="5"/>
        <v>110397.08310329798</v>
      </c>
    </row>
    <row r="176" spans="1:10">
      <c r="A176" t="s">
        <v>159</v>
      </c>
      <c r="B176" t="s">
        <v>161</v>
      </c>
      <c r="C176" s="18">
        <v>2049</v>
      </c>
      <c r="D176" t="s">
        <v>209</v>
      </c>
      <c r="E176" s="20">
        <v>43352.851778564698</v>
      </c>
      <c r="F176" s="20">
        <v>7766.8141671522599</v>
      </c>
      <c r="G176" s="10">
        <v>7764.4250577338198</v>
      </c>
      <c r="H176" s="21">
        <f t="shared" si="4"/>
        <v>-2.3891094184400572</v>
      </c>
      <c r="I176" s="10">
        <v>43287.694118175197</v>
      </c>
      <c r="J176" s="21">
        <f t="shared" si="5"/>
        <v>-65.157660389500961</v>
      </c>
    </row>
    <row r="177" spans="1:10">
      <c r="A177" t="s">
        <v>159</v>
      </c>
      <c r="B177" t="s">
        <v>161</v>
      </c>
      <c r="C177" s="18">
        <v>2050</v>
      </c>
      <c r="D177" t="s">
        <v>187</v>
      </c>
      <c r="E177" s="20">
        <v>24738.9195417843</v>
      </c>
      <c r="F177" s="20">
        <v>16879.874479992599</v>
      </c>
      <c r="G177" s="10">
        <v>16618.923709126098</v>
      </c>
      <c r="H177" s="21">
        <f t="shared" si="4"/>
        <v>-260.95077086650053</v>
      </c>
      <c r="I177" s="10">
        <v>24110.4306261692</v>
      </c>
      <c r="J177" s="21">
        <f t="shared" si="5"/>
        <v>-628.48891561510027</v>
      </c>
    </row>
    <row r="178" spans="1:10">
      <c r="A178" t="s">
        <v>159</v>
      </c>
      <c r="B178" t="s">
        <v>161</v>
      </c>
      <c r="C178" s="18">
        <v>2050</v>
      </c>
      <c r="D178" t="s">
        <v>227</v>
      </c>
      <c r="E178" s="20">
        <v>1263391.7688845601</v>
      </c>
      <c r="F178" s="20">
        <v>323246.05463567801</v>
      </c>
      <c r="G178" s="10">
        <v>321866.14542390499</v>
      </c>
      <c r="H178" s="21">
        <f t="shared" si="4"/>
        <v>-1379.9092117730179</v>
      </c>
      <c r="I178" s="10">
        <v>1249574.9812984299</v>
      </c>
      <c r="J178" s="21">
        <f t="shared" si="5"/>
        <v>-13816.787586130202</v>
      </c>
    </row>
    <row r="179" spans="1:10">
      <c r="A179" t="s">
        <v>159</v>
      </c>
      <c r="B179" t="s">
        <v>161</v>
      </c>
      <c r="C179" s="18">
        <v>2050</v>
      </c>
      <c r="D179" t="s">
        <v>163</v>
      </c>
      <c r="E179" s="20">
        <v>134539.31313357101</v>
      </c>
      <c r="F179" s="20">
        <v>92321.367992654996</v>
      </c>
      <c r="G179" s="10">
        <v>111496.260054028</v>
      </c>
      <c r="H179" s="21">
        <f t="shared" si="4"/>
        <v>19174.892061373001</v>
      </c>
      <c r="I179" s="10">
        <v>164526.94959842</v>
      </c>
      <c r="J179" s="21">
        <f t="shared" si="5"/>
        <v>29987.636464848998</v>
      </c>
    </row>
    <row r="180" spans="1:10">
      <c r="A180" t="s">
        <v>159</v>
      </c>
      <c r="B180" t="s">
        <v>161</v>
      </c>
      <c r="C180" s="18">
        <v>2050</v>
      </c>
      <c r="D180" t="s">
        <v>173</v>
      </c>
      <c r="E180" s="20">
        <v>423272.04920538998</v>
      </c>
      <c r="F180" s="20">
        <v>399873.61918879102</v>
      </c>
      <c r="G180" s="10">
        <v>474893.25455494301</v>
      </c>
      <c r="H180" s="21">
        <f t="shared" si="4"/>
        <v>75019.635366151982</v>
      </c>
      <c r="I180" s="10">
        <v>509923.79465326603</v>
      </c>
      <c r="J180" s="21">
        <f t="shared" si="5"/>
        <v>86651.745447876048</v>
      </c>
    </row>
    <row r="181" spans="1:10">
      <c r="A181" t="s">
        <v>159</v>
      </c>
      <c r="B181" t="s">
        <v>161</v>
      </c>
      <c r="C181" s="18">
        <v>2050</v>
      </c>
      <c r="D181" t="s">
        <v>177</v>
      </c>
      <c r="E181" s="20">
        <v>704923.06898358301</v>
      </c>
      <c r="F181" s="20">
        <v>492015.35503165901</v>
      </c>
      <c r="G181" s="10">
        <v>571305.13066545594</v>
      </c>
      <c r="H181" s="21">
        <f t="shared" si="4"/>
        <v>79289.775633796933</v>
      </c>
      <c r="I181" s="10">
        <v>881220.21017861494</v>
      </c>
      <c r="J181" s="21">
        <f t="shared" si="5"/>
        <v>176297.14119503193</v>
      </c>
    </row>
    <row r="182" spans="1:10">
      <c r="A182" t="s">
        <v>159</v>
      </c>
      <c r="B182" t="s">
        <v>161</v>
      </c>
      <c r="C182" s="18">
        <v>2050</v>
      </c>
      <c r="D182" t="s">
        <v>181</v>
      </c>
      <c r="E182" s="20">
        <v>579088.64398397598</v>
      </c>
      <c r="F182" s="20">
        <v>389045.12561952102</v>
      </c>
      <c r="G182" s="10">
        <v>433928.11684243701</v>
      </c>
      <c r="H182" s="21">
        <f t="shared" si="4"/>
        <v>44882.991222915996</v>
      </c>
      <c r="I182" s="10">
        <v>693833.37581002596</v>
      </c>
      <c r="J182" s="21">
        <f t="shared" si="5"/>
        <v>114744.73182604997</v>
      </c>
    </row>
    <row r="183" spans="1:10">
      <c r="A183" t="s">
        <v>159</v>
      </c>
      <c r="B183" t="s">
        <v>161</v>
      </c>
      <c r="C183" s="18">
        <v>2050</v>
      </c>
      <c r="D183" t="s">
        <v>209</v>
      </c>
      <c r="E183" s="20">
        <v>43409.652501853801</v>
      </c>
      <c r="F183" s="20">
        <v>7788.3672161839604</v>
      </c>
      <c r="G183" s="10">
        <v>7785.5925162465101</v>
      </c>
      <c r="H183" s="21">
        <f t="shared" si="4"/>
        <v>-2.7746999374503503</v>
      </c>
      <c r="I183" s="10">
        <v>43337.334071848098</v>
      </c>
      <c r="J183" s="21">
        <f t="shared" si="5"/>
        <v>-72.318430005703704</v>
      </c>
    </row>
    <row r="184" spans="1:10">
      <c r="A184" t="s">
        <v>183</v>
      </c>
      <c r="B184" t="s">
        <v>185</v>
      </c>
      <c r="C184" s="18">
        <v>2025</v>
      </c>
      <c r="D184" t="s">
        <v>187</v>
      </c>
      <c r="E184" s="20">
        <v>12347.3896757033</v>
      </c>
      <c r="F184" s="20">
        <v>8946.8790825964206</v>
      </c>
      <c r="G184" s="10">
        <v>8975.3084972287597</v>
      </c>
      <c r="H184" s="21">
        <f t="shared" si="4"/>
        <v>28.429414632339103</v>
      </c>
      <c r="I184" s="10">
        <v>12347.3896757033</v>
      </c>
      <c r="J184" s="21">
        <f t="shared" si="5"/>
        <v>0</v>
      </c>
    </row>
    <row r="185" spans="1:10">
      <c r="A185" t="s">
        <v>183</v>
      </c>
      <c r="B185" t="s">
        <v>185</v>
      </c>
      <c r="C185" s="18">
        <v>2025</v>
      </c>
      <c r="D185" t="s">
        <v>227</v>
      </c>
      <c r="E185" s="20">
        <v>1026043.97207164</v>
      </c>
      <c r="F185" s="20">
        <v>129403.02283067199</v>
      </c>
      <c r="G185" s="10">
        <v>129403.02283067199</v>
      </c>
      <c r="H185" s="21">
        <f t="shared" si="4"/>
        <v>0</v>
      </c>
      <c r="I185" s="10">
        <v>1026043.97207164</v>
      </c>
      <c r="J185" s="21">
        <f t="shared" si="5"/>
        <v>0</v>
      </c>
    </row>
    <row r="186" spans="1:10">
      <c r="A186" t="s">
        <v>183</v>
      </c>
      <c r="B186" t="s">
        <v>185</v>
      </c>
      <c r="C186" s="18">
        <v>2025</v>
      </c>
      <c r="D186" t="s">
        <v>163</v>
      </c>
      <c r="E186" s="20">
        <v>91684.509014274605</v>
      </c>
      <c r="F186" s="20">
        <v>63090.6648783868</v>
      </c>
      <c r="G186" s="10">
        <v>63318.751825202096</v>
      </c>
      <c r="H186" s="21">
        <f t="shared" si="4"/>
        <v>228.08694681529596</v>
      </c>
      <c r="I186" s="10">
        <v>91684.509014274605</v>
      </c>
      <c r="J186" s="21">
        <f t="shared" si="5"/>
        <v>0</v>
      </c>
    </row>
    <row r="187" spans="1:10">
      <c r="A187" t="s">
        <v>183</v>
      </c>
      <c r="B187" t="s">
        <v>185</v>
      </c>
      <c r="C187" s="18">
        <v>2025</v>
      </c>
      <c r="D187" t="s">
        <v>173</v>
      </c>
      <c r="E187" s="20">
        <v>327817.99211152899</v>
      </c>
      <c r="F187" s="20">
        <v>300216.82861998002</v>
      </c>
      <c r="G187" s="10">
        <v>300216.82861998002</v>
      </c>
      <c r="H187" s="21">
        <f t="shared" si="4"/>
        <v>0</v>
      </c>
      <c r="I187" s="10">
        <v>327817.99211152899</v>
      </c>
      <c r="J187" s="21">
        <f t="shared" si="5"/>
        <v>0</v>
      </c>
    </row>
    <row r="188" spans="1:10">
      <c r="A188" t="s">
        <v>183</v>
      </c>
      <c r="B188" t="s">
        <v>185</v>
      </c>
      <c r="C188" s="18">
        <v>2025</v>
      </c>
      <c r="D188" t="s">
        <v>177</v>
      </c>
      <c r="E188" s="20">
        <v>563964.12892884796</v>
      </c>
      <c r="F188" s="20">
        <v>321132.00306567602</v>
      </c>
      <c r="G188" s="10">
        <v>321188.16298793198</v>
      </c>
      <c r="H188" s="21">
        <f t="shared" si="4"/>
        <v>56.159922255959827</v>
      </c>
      <c r="I188" s="10">
        <v>563964.12892884796</v>
      </c>
      <c r="J188" s="21">
        <f t="shared" si="5"/>
        <v>0</v>
      </c>
    </row>
    <row r="189" spans="1:10">
      <c r="A189" t="s">
        <v>183</v>
      </c>
      <c r="B189" t="s">
        <v>185</v>
      </c>
      <c r="C189" s="18">
        <v>2025</v>
      </c>
      <c r="D189" t="s">
        <v>181</v>
      </c>
      <c r="E189" s="20">
        <v>396205.91279756802</v>
      </c>
      <c r="F189" s="20">
        <v>191954.71357959701</v>
      </c>
      <c r="G189" s="10">
        <v>191954.71357959701</v>
      </c>
      <c r="H189" s="21">
        <f t="shared" si="4"/>
        <v>0</v>
      </c>
      <c r="I189" s="10">
        <v>396205.91279756802</v>
      </c>
      <c r="J189" s="21">
        <f t="shared" si="5"/>
        <v>0</v>
      </c>
    </row>
    <row r="190" spans="1:10">
      <c r="A190" t="s">
        <v>183</v>
      </c>
      <c r="B190" t="s">
        <v>185</v>
      </c>
      <c r="C190" s="18">
        <v>2025</v>
      </c>
      <c r="D190" t="s">
        <v>209</v>
      </c>
      <c r="E190" s="20">
        <v>44024.855784556101</v>
      </c>
      <c r="F190" s="20">
        <v>6961.0286695127397</v>
      </c>
      <c r="G190" s="10">
        <v>6961.0286695127397</v>
      </c>
      <c r="H190" s="21">
        <f t="shared" si="4"/>
        <v>0</v>
      </c>
      <c r="I190" s="10">
        <v>44024.855784556101</v>
      </c>
      <c r="J190" s="21">
        <f t="shared" si="5"/>
        <v>0</v>
      </c>
    </row>
    <row r="191" spans="1:10">
      <c r="A191" t="s">
        <v>183</v>
      </c>
      <c r="B191" t="s">
        <v>185</v>
      </c>
      <c r="C191" s="18">
        <v>2026</v>
      </c>
      <c r="D191" t="s">
        <v>187</v>
      </c>
      <c r="E191" s="20">
        <v>12812.5919576338</v>
      </c>
      <c r="F191" s="20">
        <v>9254.2887311324794</v>
      </c>
      <c r="G191" s="10">
        <v>9308.2642091095495</v>
      </c>
      <c r="H191" s="21">
        <f t="shared" si="4"/>
        <v>53.975477977070113</v>
      </c>
      <c r="I191" s="10">
        <v>12812.507871628</v>
      </c>
      <c r="J191" s="21">
        <f t="shared" si="5"/>
        <v>-8.4086005799690611E-2</v>
      </c>
    </row>
    <row r="192" spans="1:10">
      <c r="A192" t="s">
        <v>183</v>
      </c>
      <c r="B192" t="s">
        <v>185</v>
      </c>
      <c r="C192" s="18">
        <v>2026</v>
      </c>
      <c r="D192" t="s">
        <v>227</v>
      </c>
      <c r="E192" s="20">
        <v>1040959.1839726</v>
      </c>
      <c r="F192" s="20">
        <v>137191.89613692299</v>
      </c>
      <c r="G192" s="10">
        <v>137191.89613692299</v>
      </c>
      <c r="H192" s="21">
        <f t="shared" si="4"/>
        <v>0</v>
      </c>
      <c r="I192" s="10">
        <v>1040956.74283153</v>
      </c>
      <c r="J192" s="21">
        <f t="shared" si="5"/>
        <v>-2.4411410699831322</v>
      </c>
    </row>
    <row r="193" spans="1:10">
      <c r="A193" t="s">
        <v>183</v>
      </c>
      <c r="B193" t="s">
        <v>185</v>
      </c>
      <c r="C193" s="18">
        <v>2026</v>
      </c>
      <c r="D193" t="s">
        <v>163</v>
      </c>
      <c r="E193" s="20">
        <v>95077.336740486702</v>
      </c>
      <c r="F193" s="20">
        <v>64735.915017546104</v>
      </c>
      <c r="G193" s="10">
        <v>65164.470413401701</v>
      </c>
      <c r="H193" s="21">
        <f t="shared" si="4"/>
        <v>428.55539585559745</v>
      </c>
      <c r="I193" s="10">
        <v>95077.183303526501</v>
      </c>
      <c r="J193" s="21">
        <f t="shared" si="5"/>
        <v>-0.15343696020136122</v>
      </c>
    </row>
    <row r="194" spans="1:10">
      <c r="A194" t="s">
        <v>183</v>
      </c>
      <c r="B194" t="s">
        <v>185</v>
      </c>
      <c r="C194" s="18">
        <v>2026</v>
      </c>
      <c r="D194" t="s">
        <v>173</v>
      </c>
      <c r="E194" s="20">
        <v>336876.86089337198</v>
      </c>
      <c r="F194" s="20">
        <v>308606.943045308</v>
      </c>
      <c r="G194" s="10">
        <v>308606.943045308</v>
      </c>
      <c r="H194" s="21">
        <f t="shared" ref="H194:H257" si="6">G194-F194</f>
        <v>0</v>
      </c>
      <c r="I194" s="10">
        <v>336875.42349560501</v>
      </c>
      <c r="J194" s="21">
        <f t="shared" ref="J194:J257" si="7">I194-E194</f>
        <v>-1.4373977669747546</v>
      </c>
    </row>
    <row r="195" spans="1:10">
      <c r="A195" t="s">
        <v>183</v>
      </c>
      <c r="B195" t="s">
        <v>185</v>
      </c>
      <c r="C195" s="18">
        <v>2026</v>
      </c>
      <c r="D195" t="s">
        <v>177</v>
      </c>
      <c r="E195" s="20">
        <v>580113.85131176095</v>
      </c>
      <c r="F195" s="20">
        <v>332783.66889362701</v>
      </c>
      <c r="G195" s="10">
        <v>332896.18576831103</v>
      </c>
      <c r="H195" s="21">
        <f t="shared" si="6"/>
        <v>112.51687468402088</v>
      </c>
      <c r="I195" s="10">
        <v>580111.54195764905</v>
      </c>
      <c r="J195" s="21">
        <f t="shared" si="7"/>
        <v>-2.3093541119014844</v>
      </c>
    </row>
    <row r="196" spans="1:10">
      <c r="A196" t="s">
        <v>183</v>
      </c>
      <c r="B196" t="s">
        <v>185</v>
      </c>
      <c r="C196" s="18">
        <v>2026</v>
      </c>
      <c r="D196" t="s">
        <v>181</v>
      </c>
      <c r="E196" s="20">
        <v>409832.422812565</v>
      </c>
      <c r="F196" s="20">
        <v>202008.19978323701</v>
      </c>
      <c r="G196" s="10">
        <v>202008.19978323701</v>
      </c>
      <c r="H196" s="21">
        <f t="shared" si="6"/>
        <v>0</v>
      </c>
      <c r="I196" s="10">
        <v>409829.87281699001</v>
      </c>
      <c r="J196" s="21">
        <f t="shared" si="7"/>
        <v>-2.5499955749837682</v>
      </c>
    </row>
    <row r="197" spans="1:10">
      <c r="A197" t="s">
        <v>183</v>
      </c>
      <c r="B197" t="s">
        <v>185</v>
      </c>
      <c r="C197" s="18">
        <v>2026</v>
      </c>
      <c r="D197" t="s">
        <v>209</v>
      </c>
      <c r="E197" s="20">
        <v>44219.183163734902</v>
      </c>
      <c r="F197" s="20">
        <v>7023.7712687228704</v>
      </c>
      <c r="G197" s="10">
        <v>7023.7712687228704</v>
      </c>
      <c r="H197" s="21">
        <f t="shared" si="6"/>
        <v>0</v>
      </c>
      <c r="I197" s="10">
        <v>44219.170751765298</v>
      </c>
      <c r="J197" s="21">
        <f t="shared" si="7"/>
        <v>-1.2411969604727346E-2</v>
      </c>
    </row>
    <row r="198" spans="1:10">
      <c r="A198" t="s">
        <v>183</v>
      </c>
      <c r="B198" t="s">
        <v>185</v>
      </c>
      <c r="C198" s="18">
        <v>2027</v>
      </c>
      <c r="D198" t="s">
        <v>187</v>
      </c>
      <c r="E198" s="20">
        <v>13273.733957869699</v>
      </c>
      <c r="F198" s="20">
        <v>9563.0861036443494</v>
      </c>
      <c r="G198" s="10">
        <v>9640.7153077701696</v>
      </c>
      <c r="H198" s="21">
        <f t="shared" si="6"/>
        <v>77.629204125820252</v>
      </c>
      <c r="I198" s="10">
        <v>13273.481772584</v>
      </c>
      <c r="J198" s="21">
        <f t="shared" si="7"/>
        <v>-0.25218528569894261</v>
      </c>
    </row>
    <row r="199" spans="1:10">
      <c r="A199" t="s">
        <v>183</v>
      </c>
      <c r="B199" t="s">
        <v>185</v>
      </c>
      <c r="C199" s="18">
        <v>2027</v>
      </c>
      <c r="D199" t="s">
        <v>227</v>
      </c>
      <c r="E199" s="20">
        <v>1055262.4465437401</v>
      </c>
      <c r="F199" s="20">
        <v>145087.174624223</v>
      </c>
      <c r="G199" s="10">
        <v>145087.13077641799</v>
      </c>
      <c r="H199" s="21">
        <f t="shared" si="6"/>
        <v>-4.384780500549823E-2</v>
      </c>
      <c r="I199" s="10">
        <v>1055255.40879996</v>
      </c>
      <c r="J199" s="21">
        <f t="shared" si="7"/>
        <v>-7.0377437800634652</v>
      </c>
    </row>
    <row r="200" spans="1:10">
      <c r="A200" t="s">
        <v>183</v>
      </c>
      <c r="B200" t="s">
        <v>185</v>
      </c>
      <c r="C200" s="18">
        <v>2027</v>
      </c>
      <c r="D200" t="s">
        <v>163</v>
      </c>
      <c r="E200" s="20">
        <v>98449.302139345906</v>
      </c>
      <c r="F200" s="20">
        <v>66457.325225621302</v>
      </c>
      <c r="G200" s="10">
        <v>67068.016908610196</v>
      </c>
      <c r="H200" s="21">
        <f t="shared" si="6"/>
        <v>610.69168298889417</v>
      </c>
      <c r="I200" s="10">
        <v>98448.827883966893</v>
      </c>
      <c r="J200" s="21">
        <f t="shared" si="7"/>
        <v>-0.47425537901290227</v>
      </c>
    </row>
    <row r="201" spans="1:10">
      <c r="A201" t="s">
        <v>183</v>
      </c>
      <c r="B201" t="s">
        <v>185</v>
      </c>
      <c r="C201" s="18">
        <v>2027</v>
      </c>
      <c r="D201" t="s">
        <v>173</v>
      </c>
      <c r="E201" s="20">
        <v>345940.90671303699</v>
      </c>
      <c r="F201" s="20">
        <v>317120.42284991802</v>
      </c>
      <c r="G201" s="10">
        <v>317119.55355255498</v>
      </c>
      <c r="H201" s="21">
        <f t="shared" si="6"/>
        <v>-0.86929736303864047</v>
      </c>
      <c r="I201" s="10">
        <v>345936.70671640302</v>
      </c>
      <c r="J201" s="21">
        <f t="shared" si="7"/>
        <v>-4.1999966339790262</v>
      </c>
    </row>
    <row r="202" spans="1:10">
      <c r="A202" t="s">
        <v>183</v>
      </c>
      <c r="B202" t="s">
        <v>185</v>
      </c>
      <c r="C202" s="18">
        <v>2027</v>
      </c>
      <c r="D202" t="s">
        <v>177</v>
      </c>
      <c r="E202" s="20">
        <v>596155.55419091997</v>
      </c>
      <c r="F202" s="20">
        <v>344348.38213140902</v>
      </c>
      <c r="G202" s="10">
        <v>344517.274659827</v>
      </c>
      <c r="H202" s="21">
        <f t="shared" si="6"/>
        <v>168.89252841798589</v>
      </c>
      <c r="I202" s="10">
        <v>596148.83233467594</v>
      </c>
      <c r="J202" s="21">
        <f t="shared" si="7"/>
        <v>-6.7218562440248206</v>
      </c>
    </row>
    <row r="203" spans="1:10">
      <c r="A203" t="s">
        <v>183</v>
      </c>
      <c r="B203" t="s">
        <v>185</v>
      </c>
      <c r="C203" s="18">
        <v>2027</v>
      </c>
      <c r="D203" t="s">
        <v>181</v>
      </c>
      <c r="E203" s="20">
        <v>423492.60261813202</v>
      </c>
      <c r="F203" s="20">
        <v>211995.91971888201</v>
      </c>
      <c r="G203" s="10">
        <v>211995.48802417101</v>
      </c>
      <c r="H203" s="21">
        <f t="shared" si="6"/>
        <v>-0.43169471100554802</v>
      </c>
      <c r="I203" s="10">
        <v>423485.10132199898</v>
      </c>
      <c r="J203" s="21">
        <f t="shared" si="7"/>
        <v>-7.5012961330357939</v>
      </c>
    </row>
    <row r="204" spans="1:10">
      <c r="A204" t="s">
        <v>183</v>
      </c>
      <c r="B204" t="s">
        <v>185</v>
      </c>
      <c r="C204" s="18">
        <v>2027</v>
      </c>
      <c r="D204" t="s">
        <v>209</v>
      </c>
      <c r="E204" s="20">
        <v>44384.238024227503</v>
      </c>
      <c r="F204" s="20">
        <v>7080.0571676525897</v>
      </c>
      <c r="G204" s="10">
        <v>7080.0570056816796</v>
      </c>
      <c r="H204" s="21">
        <f t="shared" si="6"/>
        <v>-1.6197091008507414E-4</v>
      </c>
      <c r="I204" s="10">
        <v>44384.2018393689</v>
      </c>
      <c r="J204" s="21">
        <f t="shared" si="7"/>
        <v>-3.6184858603519388E-2</v>
      </c>
    </row>
    <row r="205" spans="1:10">
      <c r="A205" t="s">
        <v>183</v>
      </c>
      <c r="B205" t="s">
        <v>185</v>
      </c>
      <c r="C205" s="18">
        <v>2028</v>
      </c>
      <c r="D205" t="s">
        <v>187</v>
      </c>
      <c r="E205" s="20">
        <v>13730.003744387001</v>
      </c>
      <c r="F205" s="20">
        <v>9871.3957592887</v>
      </c>
      <c r="G205" s="10">
        <v>9971.4547216338906</v>
      </c>
      <c r="H205" s="21">
        <f t="shared" si="6"/>
        <v>100.05896234519059</v>
      </c>
      <c r="I205" s="10">
        <v>13729.5005000864</v>
      </c>
      <c r="J205" s="21">
        <f t="shared" si="7"/>
        <v>-0.50324430060027225</v>
      </c>
    </row>
    <row r="206" spans="1:10">
      <c r="A206" t="s">
        <v>183</v>
      </c>
      <c r="B206" t="s">
        <v>185</v>
      </c>
      <c r="C206" s="18">
        <v>2028</v>
      </c>
      <c r="D206" t="s">
        <v>227</v>
      </c>
      <c r="E206" s="20">
        <v>1069018.6394259699</v>
      </c>
      <c r="F206" s="20">
        <v>153078.03874896301</v>
      </c>
      <c r="G206" s="10">
        <v>153077.86738724401</v>
      </c>
      <c r="H206" s="21">
        <f t="shared" si="6"/>
        <v>-0.17136171899619512</v>
      </c>
      <c r="I206" s="10">
        <v>1069005.07088018</v>
      </c>
      <c r="J206" s="21">
        <f t="shared" si="7"/>
        <v>-13.568545789923519</v>
      </c>
    </row>
    <row r="207" spans="1:10">
      <c r="A207" t="s">
        <v>183</v>
      </c>
      <c r="B207" t="s">
        <v>185</v>
      </c>
      <c r="C207" s="18">
        <v>2028</v>
      </c>
      <c r="D207" t="s">
        <v>163</v>
      </c>
      <c r="E207" s="20">
        <v>101798.938591681</v>
      </c>
      <c r="F207" s="20">
        <v>68238.828427915607</v>
      </c>
      <c r="G207" s="10">
        <v>69019.933123164999</v>
      </c>
      <c r="H207" s="21">
        <f t="shared" si="6"/>
        <v>781.10469524939253</v>
      </c>
      <c r="I207" s="10">
        <v>101797.96761407</v>
      </c>
      <c r="J207" s="21">
        <f t="shared" si="7"/>
        <v>-0.97097761099576019</v>
      </c>
    </row>
    <row r="208" spans="1:10">
      <c r="A208" t="s">
        <v>183</v>
      </c>
      <c r="B208" t="s">
        <v>185</v>
      </c>
      <c r="C208" s="18">
        <v>2028</v>
      </c>
      <c r="D208" t="s">
        <v>173</v>
      </c>
      <c r="E208" s="20">
        <v>354973.74159953999</v>
      </c>
      <c r="F208" s="20">
        <v>325693.46069111599</v>
      </c>
      <c r="G208" s="10">
        <v>325690.68301689299</v>
      </c>
      <c r="H208" s="21">
        <f t="shared" si="6"/>
        <v>-2.777674223005306</v>
      </c>
      <c r="I208" s="10">
        <v>354965.53581913299</v>
      </c>
      <c r="J208" s="21">
        <f t="shared" si="7"/>
        <v>-8.2057804070063867</v>
      </c>
    </row>
    <row r="209" spans="1:10">
      <c r="A209" t="s">
        <v>183</v>
      </c>
      <c r="B209" t="s">
        <v>185</v>
      </c>
      <c r="C209" s="18">
        <v>2028</v>
      </c>
      <c r="D209" t="s">
        <v>177</v>
      </c>
      <c r="E209" s="20">
        <v>612044.72309040697</v>
      </c>
      <c r="F209" s="20">
        <v>355848.40094256902</v>
      </c>
      <c r="G209" s="10">
        <v>356073.57143805898</v>
      </c>
      <c r="H209" s="21">
        <f t="shared" si="6"/>
        <v>225.17049548996147</v>
      </c>
      <c r="I209" s="10">
        <v>612031.65944475099</v>
      </c>
      <c r="J209" s="21">
        <f t="shared" si="7"/>
        <v>-13.063645655987784</v>
      </c>
    </row>
    <row r="210" spans="1:10">
      <c r="A210" t="s">
        <v>183</v>
      </c>
      <c r="B210" t="s">
        <v>185</v>
      </c>
      <c r="C210" s="18">
        <v>2028</v>
      </c>
      <c r="D210" t="s">
        <v>181</v>
      </c>
      <c r="E210" s="20">
        <v>437174.49245391198</v>
      </c>
      <c r="F210" s="20">
        <v>221910.52688564899</v>
      </c>
      <c r="G210" s="10">
        <v>221908.95856330299</v>
      </c>
      <c r="H210" s="21">
        <f t="shared" si="6"/>
        <v>-1.5683223459927831</v>
      </c>
      <c r="I210" s="10">
        <v>437159.75519195799</v>
      </c>
      <c r="J210" s="21">
        <f t="shared" si="7"/>
        <v>-14.737261953996494</v>
      </c>
    </row>
    <row r="211" spans="1:10">
      <c r="A211" t="s">
        <v>183</v>
      </c>
      <c r="B211" t="s">
        <v>185</v>
      </c>
      <c r="C211" s="18">
        <v>2028</v>
      </c>
      <c r="D211" t="s">
        <v>209</v>
      </c>
      <c r="E211" s="20">
        <v>44510.135468244604</v>
      </c>
      <c r="F211" s="20">
        <v>7131.0707872701896</v>
      </c>
      <c r="G211" s="10">
        <v>7131.0701635649802</v>
      </c>
      <c r="H211" s="21">
        <f t="shared" si="6"/>
        <v>-6.23705209363834E-4</v>
      </c>
      <c r="I211" s="10">
        <v>44510.064962992903</v>
      </c>
      <c r="J211" s="21">
        <f t="shared" si="7"/>
        <v>-7.0505251700524241E-2</v>
      </c>
    </row>
    <row r="212" spans="1:10">
      <c r="A212" t="s">
        <v>183</v>
      </c>
      <c r="B212" t="s">
        <v>185</v>
      </c>
      <c r="C212" s="18">
        <v>2029</v>
      </c>
      <c r="D212" t="s">
        <v>187</v>
      </c>
      <c r="E212" s="20">
        <v>14182.260302463699</v>
      </c>
      <c r="F212" s="20">
        <v>10179.5520376239</v>
      </c>
      <c r="G212" s="10">
        <v>10301.2295792609</v>
      </c>
      <c r="H212" s="21">
        <f t="shared" si="6"/>
        <v>121.6775416370001</v>
      </c>
      <c r="I212" s="10">
        <v>14181.423637546701</v>
      </c>
      <c r="J212" s="21">
        <f t="shared" si="7"/>
        <v>-0.83666491699841572</v>
      </c>
    </row>
    <row r="213" spans="1:10">
      <c r="A213" t="s">
        <v>183</v>
      </c>
      <c r="B213" t="s">
        <v>185</v>
      </c>
      <c r="C213" s="18">
        <v>2029</v>
      </c>
      <c r="D213" t="s">
        <v>227</v>
      </c>
      <c r="E213" s="20">
        <v>1082274.2523537599</v>
      </c>
      <c r="F213" s="20">
        <v>161161.480025397</v>
      </c>
      <c r="G213" s="10">
        <v>161161.06213209301</v>
      </c>
      <c r="H213" s="21">
        <f t="shared" si="6"/>
        <v>-0.41789330399478786</v>
      </c>
      <c r="I213" s="10">
        <v>1082252.3942307399</v>
      </c>
      <c r="J213" s="21">
        <f t="shared" si="7"/>
        <v>-21.858123020036146</v>
      </c>
    </row>
    <row r="214" spans="1:10">
      <c r="A214" t="s">
        <v>183</v>
      </c>
      <c r="B214" t="s">
        <v>185</v>
      </c>
      <c r="C214" s="18">
        <v>2029</v>
      </c>
      <c r="D214" t="s">
        <v>163</v>
      </c>
      <c r="E214" s="20">
        <v>105116.342496538</v>
      </c>
      <c r="F214" s="20">
        <v>70097.046087500799</v>
      </c>
      <c r="G214" s="10">
        <v>71042.054429439493</v>
      </c>
      <c r="H214" s="21">
        <f t="shared" si="6"/>
        <v>945.00834193869377</v>
      </c>
      <c r="I214" s="10">
        <v>105114.693344183</v>
      </c>
      <c r="J214" s="21">
        <f t="shared" si="7"/>
        <v>-1.6491523549921112</v>
      </c>
    </row>
    <row r="215" spans="1:10">
      <c r="A215" t="s">
        <v>183</v>
      </c>
      <c r="B215" t="s">
        <v>185</v>
      </c>
      <c r="C215" s="18">
        <v>2029</v>
      </c>
      <c r="D215" t="s">
        <v>173</v>
      </c>
      <c r="E215" s="20">
        <v>363909.59928622999</v>
      </c>
      <c r="F215" s="20">
        <v>334298.43719274498</v>
      </c>
      <c r="G215" s="10">
        <v>334292.677138926</v>
      </c>
      <c r="H215" s="21">
        <f t="shared" si="6"/>
        <v>-5.7600538189872168</v>
      </c>
      <c r="I215" s="10">
        <v>363896.20424716797</v>
      </c>
      <c r="J215" s="21">
        <f t="shared" si="7"/>
        <v>-13.395039062015712</v>
      </c>
    </row>
    <row r="216" spans="1:10">
      <c r="A216" t="s">
        <v>183</v>
      </c>
      <c r="B216" t="s">
        <v>185</v>
      </c>
      <c r="C216" s="18">
        <v>2029</v>
      </c>
      <c r="D216" t="s">
        <v>177</v>
      </c>
      <c r="E216" s="20">
        <v>627747.54166293098</v>
      </c>
      <c r="F216" s="20">
        <v>367293.978597234</v>
      </c>
      <c r="G216" s="10">
        <v>367575.22274735</v>
      </c>
      <c r="H216" s="21">
        <f t="shared" si="6"/>
        <v>281.24415011599194</v>
      </c>
      <c r="I216" s="10">
        <v>627726.33689879405</v>
      </c>
      <c r="J216" s="21">
        <f t="shared" si="7"/>
        <v>-21.204764136928134</v>
      </c>
    </row>
    <row r="217" spans="1:10">
      <c r="A217" t="s">
        <v>183</v>
      </c>
      <c r="B217" t="s">
        <v>185</v>
      </c>
      <c r="C217" s="18">
        <v>2029</v>
      </c>
      <c r="D217" t="s">
        <v>181</v>
      </c>
      <c r="E217" s="20">
        <v>450810.31181951298</v>
      </c>
      <c r="F217" s="20">
        <v>231711.61816788701</v>
      </c>
      <c r="G217" s="10">
        <v>231708.01887569</v>
      </c>
      <c r="H217" s="21">
        <f t="shared" si="6"/>
        <v>-3.5992921970027965</v>
      </c>
      <c r="I217" s="10">
        <v>450786.13401356898</v>
      </c>
      <c r="J217" s="21">
        <f t="shared" si="7"/>
        <v>-24.177805943996646</v>
      </c>
    </row>
    <row r="218" spans="1:10">
      <c r="A218" t="s">
        <v>183</v>
      </c>
      <c r="B218" t="s">
        <v>185</v>
      </c>
      <c r="C218" s="18">
        <v>2029</v>
      </c>
      <c r="D218" t="s">
        <v>209</v>
      </c>
      <c r="E218" s="20">
        <v>44600.376173369899</v>
      </c>
      <c r="F218" s="20">
        <v>7178.2208146437497</v>
      </c>
      <c r="G218" s="10">
        <v>7178.2193159725202</v>
      </c>
      <c r="H218" s="21">
        <f t="shared" si="6"/>
        <v>-1.4986712294557947E-3</v>
      </c>
      <c r="I218" s="10">
        <v>44600.261443595497</v>
      </c>
      <c r="J218" s="21">
        <f t="shared" si="7"/>
        <v>-0.11472977440280374</v>
      </c>
    </row>
    <row r="219" spans="1:10">
      <c r="A219" t="s">
        <v>183</v>
      </c>
      <c r="B219" t="s">
        <v>185</v>
      </c>
      <c r="C219" s="18">
        <v>2030</v>
      </c>
      <c r="D219" t="s">
        <v>187</v>
      </c>
      <c r="E219" s="20">
        <v>14632.1786195967</v>
      </c>
      <c r="F219" s="20">
        <v>10487.487522974499</v>
      </c>
      <c r="G219" s="10">
        <v>10630.2702680602</v>
      </c>
      <c r="H219" s="21">
        <f t="shared" si="6"/>
        <v>142.7827450857003</v>
      </c>
      <c r="I219" s="10">
        <v>14630.9263575645</v>
      </c>
      <c r="J219" s="21">
        <f t="shared" si="7"/>
        <v>-1.2522620321997238</v>
      </c>
    </row>
    <row r="220" spans="1:10">
      <c r="A220" t="s">
        <v>183</v>
      </c>
      <c r="B220" t="s">
        <v>185</v>
      </c>
      <c r="C220" s="18">
        <v>2030</v>
      </c>
      <c r="D220" t="s">
        <v>227</v>
      </c>
      <c r="E220" s="20">
        <v>1094988.61247869</v>
      </c>
      <c r="F220" s="20">
        <v>169315.64827132301</v>
      </c>
      <c r="G220" s="10">
        <v>169314.83403803801</v>
      </c>
      <c r="H220" s="21">
        <f t="shared" si="6"/>
        <v>-0.81423328499658965</v>
      </c>
      <c r="I220" s="10">
        <v>1094956.8444496701</v>
      </c>
      <c r="J220" s="21">
        <f t="shared" si="7"/>
        <v>-31.768029019935057</v>
      </c>
    </row>
    <row r="221" spans="1:10">
      <c r="A221" t="s">
        <v>183</v>
      </c>
      <c r="B221" t="s">
        <v>185</v>
      </c>
      <c r="C221" s="18">
        <v>2030</v>
      </c>
      <c r="D221" t="s">
        <v>163</v>
      </c>
      <c r="E221" s="20">
        <v>108396.28550468999</v>
      </c>
      <c r="F221" s="20">
        <v>72014.904912326805</v>
      </c>
      <c r="G221" s="10">
        <v>73120.8011068864</v>
      </c>
      <c r="H221" s="21">
        <f t="shared" si="6"/>
        <v>1105.8961945595947</v>
      </c>
      <c r="I221" s="10">
        <v>108393.77376611999</v>
      </c>
      <c r="J221" s="21">
        <f t="shared" si="7"/>
        <v>-2.5117385699995793</v>
      </c>
    </row>
    <row r="222" spans="1:10">
      <c r="A222" t="s">
        <v>183</v>
      </c>
      <c r="B222" t="s">
        <v>185</v>
      </c>
      <c r="C222" s="18">
        <v>2030</v>
      </c>
      <c r="D222" t="s">
        <v>173</v>
      </c>
      <c r="E222" s="20">
        <v>372761.52102374902</v>
      </c>
      <c r="F222" s="20">
        <v>342899.44145031797</v>
      </c>
      <c r="G222" s="10">
        <v>342889.63536639401</v>
      </c>
      <c r="H222" s="21">
        <f t="shared" si="6"/>
        <v>-9.8060839239624329</v>
      </c>
      <c r="I222" s="10">
        <v>372741.79546126397</v>
      </c>
      <c r="J222" s="21">
        <f t="shared" si="7"/>
        <v>-19.725562485051341</v>
      </c>
    </row>
    <row r="223" spans="1:10">
      <c r="A223" t="s">
        <v>183</v>
      </c>
      <c r="B223" t="s">
        <v>185</v>
      </c>
      <c r="C223" s="18">
        <v>2030</v>
      </c>
      <c r="D223" t="s">
        <v>177</v>
      </c>
      <c r="E223" s="20">
        <v>643185.25775975105</v>
      </c>
      <c r="F223" s="20">
        <v>378603.27568325697</v>
      </c>
      <c r="G223" s="10">
        <v>378940.23126744502</v>
      </c>
      <c r="H223" s="21">
        <f t="shared" si="6"/>
        <v>336.95558418805012</v>
      </c>
      <c r="I223" s="10">
        <v>643154.21130562795</v>
      </c>
      <c r="J223" s="21">
        <f t="shared" si="7"/>
        <v>-31.046454123104922</v>
      </c>
    </row>
    <row r="224" spans="1:10">
      <c r="A224" t="s">
        <v>183</v>
      </c>
      <c r="B224" t="s">
        <v>185</v>
      </c>
      <c r="C224" s="18">
        <v>2030</v>
      </c>
      <c r="D224" t="s">
        <v>181</v>
      </c>
      <c r="E224" s="20">
        <v>464396.28640287399</v>
      </c>
      <c r="F224" s="20">
        <v>241316.96680659</v>
      </c>
      <c r="G224" s="10">
        <v>241310.309903655</v>
      </c>
      <c r="H224" s="21">
        <f t="shared" si="6"/>
        <v>-6.6569029350066558</v>
      </c>
      <c r="I224" s="10">
        <v>464360.51810377202</v>
      </c>
      <c r="J224" s="21">
        <f t="shared" si="7"/>
        <v>-35.768299101968296</v>
      </c>
    </row>
    <row r="225" spans="1:10">
      <c r="A225" t="s">
        <v>183</v>
      </c>
      <c r="B225" t="s">
        <v>185</v>
      </c>
      <c r="C225" s="18">
        <v>2030</v>
      </c>
      <c r="D225" t="s">
        <v>209</v>
      </c>
      <c r="E225" s="20">
        <v>44647.437260272003</v>
      </c>
      <c r="F225" s="20">
        <v>7223.1131920346197</v>
      </c>
      <c r="G225" s="10">
        <v>7223.1103147423601</v>
      </c>
      <c r="H225" s="21">
        <f t="shared" si="6"/>
        <v>-2.8772922596544959E-3</v>
      </c>
      <c r="I225" s="10">
        <v>44647.268915282999</v>
      </c>
      <c r="J225" s="21">
        <f t="shared" si="7"/>
        <v>-0.16834498900425388</v>
      </c>
    </row>
    <row r="226" spans="1:10">
      <c r="A226" t="s">
        <v>183</v>
      </c>
      <c r="B226" t="s">
        <v>185</v>
      </c>
      <c r="C226" s="18">
        <v>2031</v>
      </c>
      <c r="D226" t="s">
        <v>187</v>
      </c>
      <c r="E226" s="20">
        <v>15082.132775502099</v>
      </c>
      <c r="F226" s="20">
        <v>10791.8950294146</v>
      </c>
      <c r="G226" s="10">
        <v>10955.4255331558</v>
      </c>
      <c r="H226" s="21">
        <f t="shared" si="6"/>
        <v>163.53050374119994</v>
      </c>
      <c r="I226" s="10">
        <v>15080.3825495532</v>
      </c>
      <c r="J226" s="21">
        <f t="shared" si="7"/>
        <v>-1.7502259488992422</v>
      </c>
    </row>
    <row r="227" spans="1:10">
      <c r="A227" t="s">
        <v>183</v>
      </c>
      <c r="B227" t="s">
        <v>185</v>
      </c>
      <c r="C227" s="18">
        <v>2031</v>
      </c>
      <c r="D227" t="s">
        <v>227</v>
      </c>
      <c r="E227" s="20">
        <v>1107070.8655896799</v>
      </c>
      <c r="F227" s="20">
        <v>177512.29278629099</v>
      </c>
      <c r="G227" s="10">
        <v>177510.90619666901</v>
      </c>
      <c r="H227" s="21">
        <f t="shared" si="6"/>
        <v>-1.3865896219795104</v>
      </c>
      <c r="I227" s="10">
        <v>1107027.6916289399</v>
      </c>
      <c r="J227" s="21">
        <f t="shared" si="7"/>
        <v>-43.17396073997952</v>
      </c>
    </row>
    <row r="228" spans="1:10">
      <c r="A228" t="s">
        <v>183</v>
      </c>
      <c r="B228" t="s">
        <v>185</v>
      </c>
      <c r="C228" s="18">
        <v>2031</v>
      </c>
      <c r="D228" t="s">
        <v>163</v>
      </c>
      <c r="E228" s="20">
        <v>111636.508270707</v>
      </c>
      <c r="F228" s="20">
        <v>73964.517014450394</v>
      </c>
      <c r="G228" s="10">
        <v>75230.219664338001</v>
      </c>
      <c r="H228" s="21">
        <f t="shared" si="6"/>
        <v>1265.7026498876075</v>
      </c>
      <c r="I228" s="10">
        <v>111632.94755435199</v>
      </c>
      <c r="J228" s="21">
        <f t="shared" si="7"/>
        <v>-3.5607163550012046</v>
      </c>
    </row>
    <row r="229" spans="1:10">
      <c r="A229" t="s">
        <v>183</v>
      </c>
      <c r="B229" t="s">
        <v>185</v>
      </c>
      <c r="C229" s="18">
        <v>2031</v>
      </c>
      <c r="D229" t="s">
        <v>173</v>
      </c>
      <c r="E229" s="20">
        <v>381497.43079952197</v>
      </c>
      <c r="F229" s="20">
        <v>351447.40608641697</v>
      </c>
      <c r="G229" s="10">
        <v>351432.51867295097</v>
      </c>
      <c r="H229" s="21">
        <f t="shared" si="6"/>
        <v>-14.887413465999998</v>
      </c>
      <c r="I229" s="10">
        <v>381470.26678102103</v>
      </c>
      <c r="J229" s="21">
        <f t="shared" si="7"/>
        <v>-27.164018500945531</v>
      </c>
    </row>
    <row r="230" spans="1:10">
      <c r="A230" t="s">
        <v>183</v>
      </c>
      <c r="B230" t="s">
        <v>185</v>
      </c>
      <c r="C230" s="18">
        <v>2031</v>
      </c>
      <c r="D230" t="s">
        <v>177</v>
      </c>
      <c r="E230" s="20">
        <v>658324.67517574003</v>
      </c>
      <c r="F230" s="20">
        <v>389788.83248819603</v>
      </c>
      <c r="G230" s="10">
        <v>390181.00302030199</v>
      </c>
      <c r="H230" s="21">
        <f t="shared" si="6"/>
        <v>392.17053210595623</v>
      </c>
      <c r="I230" s="10">
        <v>658282.14926881401</v>
      </c>
      <c r="J230" s="21">
        <f t="shared" si="7"/>
        <v>-42.52590692602098</v>
      </c>
    </row>
    <row r="231" spans="1:10">
      <c r="A231" t="s">
        <v>183</v>
      </c>
      <c r="B231" t="s">
        <v>185</v>
      </c>
      <c r="C231" s="18">
        <v>2031</v>
      </c>
      <c r="D231" t="s">
        <v>181</v>
      </c>
      <c r="E231" s="20">
        <v>477827.59719071799</v>
      </c>
      <c r="F231" s="20">
        <v>250826.60219833799</v>
      </c>
      <c r="G231" s="10">
        <v>250815.78266259201</v>
      </c>
      <c r="H231" s="21">
        <f t="shared" si="6"/>
        <v>-10.819535745977191</v>
      </c>
      <c r="I231" s="10">
        <v>477778.14604748198</v>
      </c>
      <c r="J231" s="21">
        <f t="shared" si="7"/>
        <v>-49.451143236015923</v>
      </c>
    </row>
    <row r="232" spans="1:10">
      <c r="A232" t="s">
        <v>183</v>
      </c>
      <c r="B232" t="s">
        <v>185</v>
      </c>
      <c r="C232" s="18">
        <v>2031</v>
      </c>
      <c r="D232" t="s">
        <v>209</v>
      </c>
      <c r="E232" s="20">
        <v>44640.578218142298</v>
      </c>
      <c r="F232" s="20">
        <v>7266.7708308397096</v>
      </c>
      <c r="G232" s="10">
        <v>7266.7660002075399</v>
      </c>
      <c r="H232" s="21">
        <f t="shared" si="6"/>
        <v>-4.830632169614546E-3</v>
      </c>
      <c r="I232" s="10">
        <v>44640.347295477797</v>
      </c>
      <c r="J232" s="21">
        <f t="shared" si="7"/>
        <v>-0.2309226645011222</v>
      </c>
    </row>
    <row r="233" spans="1:10">
      <c r="A233" t="s">
        <v>183</v>
      </c>
      <c r="B233" t="s">
        <v>185</v>
      </c>
      <c r="C233" s="18">
        <v>2032</v>
      </c>
      <c r="D233" t="s">
        <v>187</v>
      </c>
      <c r="E233" s="20">
        <v>15533.591010374799</v>
      </c>
      <c r="F233" s="20">
        <v>11090.493672426799</v>
      </c>
      <c r="G233" s="10">
        <v>11274.495449735199</v>
      </c>
      <c r="H233" s="21">
        <f t="shared" si="6"/>
        <v>184.00177730840005</v>
      </c>
      <c r="I233" s="10">
        <v>15531.2601955666</v>
      </c>
      <c r="J233" s="21">
        <f t="shared" si="7"/>
        <v>-2.3308148081996478</v>
      </c>
    </row>
    <row r="234" spans="1:10">
      <c r="A234" t="s">
        <v>183</v>
      </c>
      <c r="B234" t="s">
        <v>185</v>
      </c>
      <c r="C234" s="18">
        <v>2032</v>
      </c>
      <c r="D234" t="s">
        <v>227</v>
      </c>
      <c r="E234" s="20">
        <v>1118533.2909335101</v>
      </c>
      <c r="F234" s="20">
        <v>185728.155867375</v>
      </c>
      <c r="G234" s="10">
        <v>185725.99905880101</v>
      </c>
      <c r="H234" s="21">
        <f t="shared" si="6"/>
        <v>-2.1568085739854723</v>
      </c>
      <c r="I234" s="10">
        <v>1118477.3274982399</v>
      </c>
      <c r="J234" s="21">
        <f t="shared" si="7"/>
        <v>-55.963435270125046</v>
      </c>
    </row>
    <row r="235" spans="1:10">
      <c r="A235" t="s">
        <v>183</v>
      </c>
      <c r="B235" t="s">
        <v>185</v>
      </c>
      <c r="C235" s="18">
        <v>2032</v>
      </c>
      <c r="D235" t="s">
        <v>163</v>
      </c>
      <c r="E235" s="20">
        <v>114840.01809037699</v>
      </c>
      <c r="F235" s="20">
        <v>75927.151108595805</v>
      </c>
      <c r="G235" s="10">
        <v>77353.061023932896</v>
      </c>
      <c r="H235" s="21">
        <f t="shared" si="6"/>
        <v>1425.9099153370917</v>
      </c>
      <c r="I235" s="10">
        <v>114835.221802653</v>
      </c>
      <c r="J235" s="21">
        <f t="shared" si="7"/>
        <v>-4.7962877239915542</v>
      </c>
    </row>
    <row r="236" spans="1:10">
      <c r="A236" t="s">
        <v>183</v>
      </c>
      <c r="B236" t="s">
        <v>185</v>
      </c>
      <c r="C236" s="18">
        <v>2032</v>
      </c>
      <c r="D236" t="s">
        <v>173</v>
      </c>
      <c r="E236" s="20">
        <v>390034.05457445403</v>
      </c>
      <c r="F236" s="20">
        <v>359855.52007069002</v>
      </c>
      <c r="G236" s="10">
        <v>359834.54685286601</v>
      </c>
      <c r="H236" s="21">
        <f t="shared" si="6"/>
        <v>-20.973217824008316</v>
      </c>
      <c r="I236" s="10">
        <v>389998.37668875401</v>
      </c>
      <c r="J236" s="21">
        <f t="shared" si="7"/>
        <v>-35.677885700017214</v>
      </c>
    </row>
    <row r="237" spans="1:10">
      <c r="A237" t="s">
        <v>183</v>
      </c>
      <c r="B237" t="s">
        <v>185</v>
      </c>
      <c r="C237" s="18">
        <v>2032</v>
      </c>
      <c r="D237" t="s">
        <v>177</v>
      </c>
      <c r="E237" s="20">
        <v>673189.46644701704</v>
      </c>
      <c r="F237" s="20">
        <v>400871.44090523297</v>
      </c>
      <c r="G237" s="10">
        <v>401318.28619347198</v>
      </c>
      <c r="H237" s="21">
        <f t="shared" si="6"/>
        <v>446.84528823901201</v>
      </c>
      <c r="I237" s="10">
        <v>673133.88827326603</v>
      </c>
      <c r="J237" s="21">
        <f t="shared" si="7"/>
        <v>-55.578173751011491</v>
      </c>
    </row>
    <row r="238" spans="1:10">
      <c r="A238" t="s">
        <v>183</v>
      </c>
      <c r="B238" t="s">
        <v>185</v>
      </c>
      <c r="C238" s="18">
        <v>2032</v>
      </c>
      <c r="D238" t="s">
        <v>181</v>
      </c>
      <c r="E238" s="20">
        <v>490969.86692350497</v>
      </c>
      <c r="F238" s="20">
        <v>260363.07819523601</v>
      </c>
      <c r="G238" s="10">
        <v>260346.937343717</v>
      </c>
      <c r="H238" s="21">
        <f t="shared" si="6"/>
        <v>-16.140851519012358</v>
      </c>
      <c r="I238" s="10">
        <v>490904.70344577997</v>
      </c>
      <c r="J238" s="21">
        <f t="shared" si="7"/>
        <v>-65.163477725000121</v>
      </c>
    </row>
    <row r="239" spans="1:10">
      <c r="A239" t="s">
        <v>183</v>
      </c>
      <c r="B239" t="s">
        <v>185</v>
      </c>
      <c r="C239" s="18">
        <v>2032</v>
      </c>
      <c r="D239" t="s">
        <v>209</v>
      </c>
      <c r="E239" s="20">
        <v>44583.547619903802</v>
      </c>
      <c r="F239" s="20">
        <v>7308.6969782942297</v>
      </c>
      <c r="G239" s="10">
        <v>7308.6895683399798</v>
      </c>
      <c r="H239" s="21">
        <f t="shared" si="6"/>
        <v>-7.4099542498515802E-3</v>
      </c>
      <c r="I239" s="10">
        <v>44583.245501595899</v>
      </c>
      <c r="J239" s="21">
        <f t="shared" si="7"/>
        <v>-0.30211830790358363</v>
      </c>
    </row>
    <row r="240" spans="1:10">
      <c r="A240" t="s">
        <v>183</v>
      </c>
      <c r="B240" t="s">
        <v>185</v>
      </c>
      <c r="C240" s="18">
        <v>2033</v>
      </c>
      <c r="D240" t="s">
        <v>187</v>
      </c>
      <c r="E240" s="20">
        <v>15986.711921403399</v>
      </c>
      <c r="F240" s="20">
        <v>11382.5390622658</v>
      </c>
      <c r="G240" s="10">
        <v>11586.9335708044</v>
      </c>
      <c r="H240" s="21">
        <f t="shared" si="6"/>
        <v>204.39450853860035</v>
      </c>
      <c r="I240" s="10">
        <v>15983.7175379286</v>
      </c>
      <c r="J240" s="21">
        <f t="shared" si="7"/>
        <v>-2.9943834747991787</v>
      </c>
    </row>
    <row r="241" spans="1:10">
      <c r="A241" t="s">
        <v>183</v>
      </c>
      <c r="B241" t="s">
        <v>185</v>
      </c>
      <c r="C241" s="18">
        <v>2033</v>
      </c>
      <c r="D241" t="s">
        <v>227</v>
      </c>
      <c r="E241" s="20">
        <v>1129303.5167221699</v>
      </c>
      <c r="F241" s="20">
        <v>193956.36754420199</v>
      </c>
      <c r="G241" s="10">
        <v>193953.224223645</v>
      </c>
      <c r="H241" s="21">
        <f t="shared" si="6"/>
        <v>-3.1433205569919664</v>
      </c>
      <c r="I241" s="10">
        <v>1129233.47845058</v>
      </c>
      <c r="J241" s="21">
        <f t="shared" si="7"/>
        <v>-70.038271589903161</v>
      </c>
    </row>
    <row r="242" spans="1:10">
      <c r="A242" t="s">
        <v>183</v>
      </c>
      <c r="B242" t="s">
        <v>185</v>
      </c>
      <c r="C242" s="18">
        <v>2033</v>
      </c>
      <c r="D242" t="s">
        <v>163</v>
      </c>
      <c r="E242" s="20">
        <v>118004.95579752501</v>
      </c>
      <c r="F242" s="20">
        <v>77892.943312203002</v>
      </c>
      <c r="G242" s="10">
        <v>79480.4761690429</v>
      </c>
      <c r="H242" s="21">
        <f t="shared" si="6"/>
        <v>1587.5328568398982</v>
      </c>
      <c r="I242" s="10">
        <v>117998.73843744201</v>
      </c>
      <c r="J242" s="21">
        <f t="shared" si="7"/>
        <v>-6.217360082999221</v>
      </c>
    </row>
    <row r="243" spans="1:10">
      <c r="A243" t="s">
        <v>183</v>
      </c>
      <c r="B243" t="s">
        <v>185</v>
      </c>
      <c r="C243" s="18">
        <v>2033</v>
      </c>
      <c r="D243" t="s">
        <v>173</v>
      </c>
      <c r="E243" s="20">
        <v>398399.585292865</v>
      </c>
      <c r="F243" s="20">
        <v>368079.65890021197</v>
      </c>
      <c r="G243" s="10">
        <v>368051.62457544298</v>
      </c>
      <c r="H243" s="21">
        <f t="shared" si="6"/>
        <v>-28.034324768988881</v>
      </c>
      <c r="I243" s="10">
        <v>398354.344992358</v>
      </c>
      <c r="J243" s="21">
        <f t="shared" si="7"/>
        <v>-45.240300506993663</v>
      </c>
    </row>
    <row r="244" spans="1:10">
      <c r="A244" t="s">
        <v>183</v>
      </c>
      <c r="B244" t="s">
        <v>185</v>
      </c>
      <c r="C244" s="18">
        <v>2033</v>
      </c>
      <c r="D244" t="s">
        <v>177</v>
      </c>
      <c r="E244" s="20">
        <v>687704.84618600202</v>
      </c>
      <c r="F244" s="20">
        <v>411847.15817830397</v>
      </c>
      <c r="G244" s="10">
        <v>412348.075678578</v>
      </c>
      <c r="H244" s="21">
        <f t="shared" si="6"/>
        <v>500.91750027402304</v>
      </c>
      <c r="I244" s="10">
        <v>687634.69954692596</v>
      </c>
      <c r="J244" s="21">
        <f t="shared" si="7"/>
        <v>-70.146639076061547</v>
      </c>
    </row>
    <row r="245" spans="1:10">
      <c r="A245" t="s">
        <v>183</v>
      </c>
      <c r="B245" t="s">
        <v>185</v>
      </c>
      <c r="C245" s="18">
        <v>2033</v>
      </c>
      <c r="D245" t="s">
        <v>181</v>
      </c>
      <c r="E245" s="20">
        <v>503833.97520289599</v>
      </c>
      <c r="F245" s="20">
        <v>269906.05836648302</v>
      </c>
      <c r="G245" s="10">
        <v>269883.407599987</v>
      </c>
      <c r="H245" s="21">
        <f t="shared" si="6"/>
        <v>-22.650766496022698</v>
      </c>
      <c r="I245" s="10">
        <v>503751.109420694</v>
      </c>
      <c r="J245" s="21">
        <f t="shared" si="7"/>
        <v>-82.865782201988623</v>
      </c>
    </row>
    <row r="246" spans="1:10">
      <c r="A246" t="s">
        <v>183</v>
      </c>
      <c r="B246" t="s">
        <v>185</v>
      </c>
      <c r="C246" s="18">
        <v>2033</v>
      </c>
      <c r="D246" t="s">
        <v>209</v>
      </c>
      <c r="E246" s="20">
        <v>44484.065234825801</v>
      </c>
      <c r="F246" s="20">
        <v>7348.0847964907398</v>
      </c>
      <c r="G246" s="10">
        <v>7348.0741473220596</v>
      </c>
      <c r="H246" s="21">
        <f t="shared" si="6"/>
        <v>-1.0649168680174625E-2</v>
      </c>
      <c r="I246" s="10">
        <v>44483.683589841297</v>
      </c>
      <c r="J246" s="21">
        <f t="shared" si="7"/>
        <v>-0.38164498450350948</v>
      </c>
    </row>
    <row r="247" spans="1:10">
      <c r="A247" t="s">
        <v>183</v>
      </c>
      <c r="B247" t="s">
        <v>185</v>
      </c>
      <c r="C247" s="18">
        <v>2034</v>
      </c>
      <c r="D247" t="s">
        <v>187</v>
      </c>
      <c r="E247" s="20">
        <v>16440.670598116001</v>
      </c>
      <c r="F247" s="20">
        <v>11671.4955667105</v>
      </c>
      <c r="G247" s="10">
        <v>11896.382318738601</v>
      </c>
      <c r="H247" s="21">
        <f t="shared" si="6"/>
        <v>224.88675202810009</v>
      </c>
      <c r="I247" s="10">
        <v>16436.9312806497</v>
      </c>
      <c r="J247" s="21">
        <f t="shared" si="7"/>
        <v>-3.739317466301145</v>
      </c>
    </row>
    <row r="248" spans="1:10">
      <c r="A248" t="s">
        <v>183</v>
      </c>
      <c r="B248" t="s">
        <v>185</v>
      </c>
      <c r="C248" s="18">
        <v>2034</v>
      </c>
      <c r="D248" t="s">
        <v>227</v>
      </c>
      <c r="E248" s="20">
        <v>1139442.341336</v>
      </c>
      <c r="F248" s="20">
        <v>202151.63229655899</v>
      </c>
      <c r="G248" s="10">
        <v>202147.27044605001</v>
      </c>
      <c r="H248" s="21">
        <f t="shared" si="6"/>
        <v>-4.3618505089834798</v>
      </c>
      <c r="I248" s="10">
        <v>1139357.0195160699</v>
      </c>
      <c r="J248" s="21">
        <f t="shared" si="7"/>
        <v>-85.321819930104539</v>
      </c>
    </row>
    <row r="249" spans="1:10">
      <c r="A249" t="s">
        <v>183</v>
      </c>
      <c r="B249" t="s">
        <v>185</v>
      </c>
      <c r="C249" s="18">
        <v>2034</v>
      </c>
      <c r="D249" t="s">
        <v>163</v>
      </c>
      <c r="E249" s="20">
        <v>121113.293217182</v>
      </c>
      <c r="F249" s="20">
        <v>79843.827611534303</v>
      </c>
      <c r="G249" s="10">
        <v>81594.948233921197</v>
      </c>
      <c r="H249" s="21">
        <f t="shared" si="6"/>
        <v>1751.120622386894</v>
      </c>
      <c r="I249" s="10">
        <v>121105.471839437</v>
      </c>
      <c r="J249" s="21">
        <f t="shared" si="7"/>
        <v>-7.8213777450000634</v>
      </c>
    </row>
    <row r="250" spans="1:10">
      <c r="A250" t="s">
        <v>183</v>
      </c>
      <c r="B250" t="s">
        <v>185</v>
      </c>
      <c r="C250" s="18">
        <v>2034</v>
      </c>
      <c r="D250" t="s">
        <v>173</v>
      </c>
      <c r="E250" s="20">
        <v>406615.69119227701</v>
      </c>
      <c r="F250" s="20">
        <v>376064.18232524203</v>
      </c>
      <c r="G250" s="10">
        <v>376028.13227833499</v>
      </c>
      <c r="H250" s="21">
        <f t="shared" si="6"/>
        <v>-36.050046907039359</v>
      </c>
      <c r="I250" s="10">
        <v>406559.86735378799</v>
      </c>
      <c r="J250" s="21">
        <f t="shared" si="7"/>
        <v>-55.823838489013724</v>
      </c>
    </row>
    <row r="251" spans="1:10">
      <c r="A251" t="s">
        <v>183</v>
      </c>
      <c r="B251" t="s">
        <v>185</v>
      </c>
      <c r="C251" s="18">
        <v>2034</v>
      </c>
      <c r="D251" t="s">
        <v>177</v>
      </c>
      <c r="E251" s="20">
        <v>701777.85032192001</v>
      </c>
      <c r="F251" s="20">
        <v>422704.77739046002</v>
      </c>
      <c r="G251" s="10">
        <v>423259.10059080599</v>
      </c>
      <c r="H251" s="21">
        <f t="shared" si="6"/>
        <v>554.32320034597069</v>
      </c>
      <c r="I251" s="10">
        <v>701691.67735876795</v>
      </c>
      <c r="J251" s="21">
        <f t="shared" si="7"/>
        <v>-86.172963152057491</v>
      </c>
    </row>
    <row r="252" spans="1:10">
      <c r="A252" t="s">
        <v>183</v>
      </c>
      <c r="B252" t="s">
        <v>185</v>
      </c>
      <c r="C252" s="18">
        <v>2034</v>
      </c>
      <c r="D252" t="s">
        <v>181</v>
      </c>
      <c r="E252" s="20">
        <v>516509.04879163299</v>
      </c>
      <c r="F252" s="20">
        <v>279515.36820288998</v>
      </c>
      <c r="G252" s="10">
        <v>279484.98028522899</v>
      </c>
      <c r="H252" s="21">
        <f t="shared" si="6"/>
        <v>-30.387917660991661</v>
      </c>
      <c r="I252" s="10">
        <v>516406.53850878001</v>
      </c>
      <c r="J252" s="21">
        <f t="shared" si="7"/>
        <v>-102.51028285297798</v>
      </c>
    </row>
    <row r="253" spans="1:10">
      <c r="A253" t="s">
        <v>183</v>
      </c>
      <c r="B253" t="s">
        <v>185</v>
      </c>
      <c r="C253" s="18">
        <v>2034</v>
      </c>
      <c r="D253" t="s">
        <v>209</v>
      </c>
      <c r="E253" s="20">
        <v>44355.6536799932</v>
      </c>
      <c r="F253" s="20">
        <v>7385.0555208290098</v>
      </c>
      <c r="G253" s="10">
        <v>7385.0409467521704</v>
      </c>
      <c r="H253" s="21">
        <f t="shared" si="6"/>
        <v>-1.4574076839380723E-2</v>
      </c>
      <c r="I253" s="10">
        <v>44355.184450178996</v>
      </c>
      <c r="J253" s="21">
        <f t="shared" si="7"/>
        <v>-0.46922981420357246</v>
      </c>
    </row>
    <row r="254" spans="1:10">
      <c r="A254" t="s">
        <v>183</v>
      </c>
      <c r="B254" t="s">
        <v>185</v>
      </c>
      <c r="C254" s="18">
        <v>2035</v>
      </c>
      <c r="D254" t="s">
        <v>187</v>
      </c>
      <c r="E254" s="20">
        <v>16896.779435226999</v>
      </c>
      <c r="F254" s="20">
        <v>11957.421253980099</v>
      </c>
      <c r="G254" s="10">
        <v>12203.057717863399</v>
      </c>
      <c r="H254" s="21">
        <f t="shared" si="6"/>
        <v>245.63646388330017</v>
      </c>
      <c r="I254" s="10">
        <v>16892.2141390053</v>
      </c>
      <c r="J254" s="21">
        <f t="shared" si="7"/>
        <v>-4.5652962216991</v>
      </c>
    </row>
    <row r="255" spans="1:10">
      <c r="A255" t="s">
        <v>183</v>
      </c>
      <c r="B255" t="s">
        <v>185</v>
      </c>
      <c r="C255" s="18">
        <v>2035</v>
      </c>
      <c r="D255" t="s">
        <v>227</v>
      </c>
      <c r="E255" s="20">
        <v>1149073.9074377201</v>
      </c>
      <c r="F255" s="20">
        <v>210296.805446577</v>
      </c>
      <c r="G255" s="10">
        <v>210290.98052792501</v>
      </c>
      <c r="H255" s="21">
        <f t="shared" si="6"/>
        <v>-5.8249186519824434</v>
      </c>
      <c r="I255" s="10">
        <v>1148972.16574985</v>
      </c>
      <c r="J255" s="21">
        <f t="shared" si="7"/>
        <v>-101.74168787011877</v>
      </c>
    </row>
    <row r="256" spans="1:10">
      <c r="A256" t="s">
        <v>183</v>
      </c>
      <c r="B256" t="s">
        <v>185</v>
      </c>
      <c r="C256" s="18">
        <v>2035</v>
      </c>
      <c r="D256" t="s">
        <v>163</v>
      </c>
      <c r="E256" s="20">
        <v>124157.810957532</v>
      </c>
      <c r="F256" s="20">
        <v>81777.817126082999</v>
      </c>
      <c r="G256" s="10">
        <v>83695.117872879797</v>
      </c>
      <c r="H256" s="21">
        <f t="shared" si="6"/>
        <v>1917.3007467967982</v>
      </c>
      <c r="I256" s="10">
        <v>124148.20719584401</v>
      </c>
      <c r="J256" s="21">
        <f t="shared" si="7"/>
        <v>-9.6037616879912093</v>
      </c>
    </row>
    <row r="257" spans="1:10">
      <c r="A257" t="s">
        <v>183</v>
      </c>
      <c r="B257" t="s">
        <v>185</v>
      </c>
      <c r="C257" s="18">
        <v>2035</v>
      </c>
      <c r="D257" t="s">
        <v>173</v>
      </c>
      <c r="E257" s="20">
        <v>414600.55950194597</v>
      </c>
      <c r="F257" s="20">
        <v>383833.75887589599</v>
      </c>
      <c r="G257" s="10">
        <v>383788.76252667198</v>
      </c>
      <c r="H257" s="21">
        <f t="shared" si="6"/>
        <v>-44.996349224005826</v>
      </c>
      <c r="I257" s="10">
        <v>414533.16060314502</v>
      </c>
      <c r="J257" s="21">
        <f t="shared" si="7"/>
        <v>-67.398898800951429</v>
      </c>
    </row>
    <row r="258" spans="1:10">
      <c r="A258" t="s">
        <v>183</v>
      </c>
      <c r="B258" t="s">
        <v>185</v>
      </c>
      <c r="C258" s="18">
        <v>2035</v>
      </c>
      <c r="D258" t="s">
        <v>177</v>
      </c>
      <c r="E258" s="20">
        <v>715435.39046178304</v>
      </c>
      <c r="F258" s="20">
        <v>433474.94706237799</v>
      </c>
      <c r="G258" s="10">
        <v>434082.03155119502</v>
      </c>
      <c r="H258" s="21">
        <f t="shared" ref="H258:H321" si="8">G258-F258</f>
        <v>607.08448881702498</v>
      </c>
      <c r="I258" s="10">
        <v>715331.78882210201</v>
      </c>
      <c r="J258" s="21">
        <f t="shared" ref="J258:J321" si="9">I258-E258</f>
        <v>-103.60163968103006</v>
      </c>
    </row>
    <row r="259" spans="1:10">
      <c r="A259" t="s">
        <v>183</v>
      </c>
      <c r="B259" t="s">
        <v>185</v>
      </c>
      <c r="C259" s="18">
        <v>2035</v>
      </c>
      <c r="D259" t="s">
        <v>181</v>
      </c>
      <c r="E259" s="20">
        <v>528942.41206440702</v>
      </c>
      <c r="F259" s="20">
        <v>289190.17203772702</v>
      </c>
      <c r="G259" s="10">
        <v>289150.80243598297</v>
      </c>
      <c r="H259" s="21">
        <f t="shared" si="8"/>
        <v>-39.369601744052488</v>
      </c>
      <c r="I259" s="10">
        <v>528818.37188395299</v>
      </c>
      <c r="J259" s="21">
        <f t="shared" si="9"/>
        <v>-124.04018045403063</v>
      </c>
    </row>
    <row r="260" spans="1:10">
      <c r="A260" t="s">
        <v>183</v>
      </c>
      <c r="B260" t="s">
        <v>185</v>
      </c>
      <c r="C260" s="18">
        <v>2035</v>
      </c>
      <c r="D260" t="s">
        <v>209</v>
      </c>
      <c r="E260" s="20">
        <v>44207.271987213302</v>
      </c>
      <c r="F260" s="20">
        <v>7419.9980537418196</v>
      </c>
      <c r="G260" s="10">
        <v>7419.9788551932097</v>
      </c>
      <c r="H260" s="21">
        <f t="shared" si="8"/>
        <v>-1.9198548609892896E-2</v>
      </c>
      <c r="I260" s="10">
        <v>44206.707306712102</v>
      </c>
      <c r="J260" s="21">
        <f t="shared" si="9"/>
        <v>-0.56468050120020052</v>
      </c>
    </row>
    <row r="261" spans="1:10">
      <c r="A261" t="s">
        <v>183</v>
      </c>
      <c r="B261" t="s">
        <v>185</v>
      </c>
      <c r="C261" s="18">
        <v>2036</v>
      </c>
      <c r="D261" t="s">
        <v>187</v>
      </c>
      <c r="E261" s="20">
        <v>17356.126610478401</v>
      </c>
      <c r="F261" s="20">
        <v>12240.123940912799</v>
      </c>
      <c r="G261" s="10">
        <v>12506.9021026876</v>
      </c>
      <c r="H261" s="21">
        <f t="shared" si="8"/>
        <v>266.77816177480054</v>
      </c>
      <c r="I261" s="10">
        <v>17350.6546269342</v>
      </c>
      <c r="J261" s="21">
        <f t="shared" si="9"/>
        <v>-5.4719835442010663</v>
      </c>
    </row>
    <row r="262" spans="1:10">
      <c r="A262" t="s">
        <v>183</v>
      </c>
      <c r="B262" t="s">
        <v>185</v>
      </c>
      <c r="C262" s="18">
        <v>2036</v>
      </c>
      <c r="D262" t="s">
        <v>227</v>
      </c>
      <c r="E262" s="20">
        <v>1158385.38725726</v>
      </c>
      <c r="F262" s="20">
        <v>218378.23172698999</v>
      </c>
      <c r="G262" s="10">
        <v>218370.687575925</v>
      </c>
      <c r="H262" s="21">
        <f t="shared" si="8"/>
        <v>-7.5441510649980046</v>
      </c>
      <c r="I262" s="10">
        <v>1158266.1377582899</v>
      </c>
      <c r="J262" s="21">
        <f t="shared" si="9"/>
        <v>-119.24949897010811</v>
      </c>
    </row>
    <row r="263" spans="1:10">
      <c r="A263" t="s">
        <v>183</v>
      </c>
      <c r="B263" t="s">
        <v>185</v>
      </c>
      <c r="C263" s="18">
        <v>2036</v>
      </c>
      <c r="D263" t="s">
        <v>163</v>
      </c>
      <c r="E263" s="20">
        <v>127150.012035644</v>
      </c>
      <c r="F263" s="20">
        <v>83679.296928399403</v>
      </c>
      <c r="G263" s="10">
        <v>85765.564735317093</v>
      </c>
      <c r="H263" s="21">
        <f t="shared" si="8"/>
        <v>2086.2678069176909</v>
      </c>
      <c r="I263" s="10">
        <v>127138.451085333</v>
      </c>
      <c r="J263" s="21">
        <f t="shared" si="9"/>
        <v>-11.560950311002671</v>
      </c>
    </row>
    <row r="264" spans="1:10">
      <c r="A264" t="s">
        <v>183</v>
      </c>
      <c r="B264" t="s">
        <v>185</v>
      </c>
      <c r="C264" s="18">
        <v>2036</v>
      </c>
      <c r="D264" t="s">
        <v>173</v>
      </c>
      <c r="E264" s="20">
        <v>422312.596423059</v>
      </c>
      <c r="F264" s="20">
        <v>391340.79109949898</v>
      </c>
      <c r="G264" s="10">
        <v>391285.95573958702</v>
      </c>
      <c r="H264" s="21">
        <f t="shared" si="8"/>
        <v>-54.835359911958221</v>
      </c>
      <c r="I264" s="10">
        <v>422232.65992213303</v>
      </c>
      <c r="J264" s="21">
        <f t="shared" si="9"/>
        <v>-79.93650092597818</v>
      </c>
    </row>
    <row r="265" spans="1:10">
      <c r="A265" t="s">
        <v>183</v>
      </c>
      <c r="B265" t="s">
        <v>185</v>
      </c>
      <c r="C265" s="18">
        <v>2036</v>
      </c>
      <c r="D265" t="s">
        <v>177</v>
      </c>
      <c r="E265" s="20">
        <v>728653.99704576703</v>
      </c>
      <c r="F265" s="20">
        <v>444088.77383115701</v>
      </c>
      <c r="G265" s="10">
        <v>444747.90756616899</v>
      </c>
      <c r="H265" s="21">
        <f t="shared" si="8"/>
        <v>659.13373501197202</v>
      </c>
      <c r="I265" s="10">
        <v>728531.610160843</v>
      </c>
      <c r="J265" s="21">
        <f t="shared" si="9"/>
        <v>-122.38688492402434</v>
      </c>
    </row>
    <row r="266" spans="1:10">
      <c r="A266" t="s">
        <v>183</v>
      </c>
      <c r="B266" t="s">
        <v>185</v>
      </c>
      <c r="C266" s="18">
        <v>2036</v>
      </c>
      <c r="D266" t="s">
        <v>181</v>
      </c>
      <c r="E266" s="20">
        <v>541199.73123210797</v>
      </c>
      <c r="F266" s="20">
        <v>298929.232946356</v>
      </c>
      <c r="G266" s="10">
        <v>298879.61130973301</v>
      </c>
      <c r="H266" s="21">
        <f t="shared" si="8"/>
        <v>-49.62163662299281</v>
      </c>
      <c r="I266" s="10">
        <v>541052.28077363002</v>
      </c>
      <c r="J266" s="21">
        <f t="shared" si="9"/>
        <v>-147.45045847794972</v>
      </c>
    </row>
    <row r="267" spans="1:10">
      <c r="A267" t="s">
        <v>183</v>
      </c>
      <c r="B267" t="s">
        <v>185</v>
      </c>
      <c r="C267" s="18">
        <v>2036</v>
      </c>
      <c r="D267" t="s">
        <v>209</v>
      </c>
      <c r="E267" s="20">
        <v>44050.666187229202</v>
      </c>
      <c r="F267" s="20">
        <v>7453.3596582666496</v>
      </c>
      <c r="G267" s="10">
        <v>7453.3351271514002</v>
      </c>
      <c r="H267" s="21">
        <f t="shared" si="8"/>
        <v>-2.4531115249374125E-2</v>
      </c>
      <c r="I267" s="10">
        <v>44049.998378272197</v>
      </c>
      <c r="J267" s="21">
        <f t="shared" si="9"/>
        <v>-0.66780895700503606</v>
      </c>
    </row>
    <row r="268" spans="1:10">
      <c r="A268" t="s">
        <v>183</v>
      </c>
      <c r="B268" t="s">
        <v>185</v>
      </c>
      <c r="C268" s="18">
        <v>2037</v>
      </c>
      <c r="D268" t="s">
        <v>187</v>
      </c>
      <c r="E268" s="20">
        <v>17818.962219286899</v>
      </c>
      <c r="F268" s="20">
        <v>12519.0567812879</v>
      </c>
      <c r="G268" s="10">
        <v>12807.501268399201</v>
      </c>
      <c r="H268" s="21">
        <f t="shared" si="8"/>
        <v>288.44448711130099</v>
      </c>
      <c r="I268" s="10">
        <v>17812.5035281772</v>
      </c>
      <c r="J268" s="21">
        <f t="shared" si="9"/>
        <v>-6.4586911096994299</v>
      </c>
    </row>
    <row r="269" spans="1:10">
      <c r="A269" t="s">
        <v>183</v>
      </c>
      <c r="B269" t="s">
        <v>185</v>
      </c>
      <c r="C269" s="18">
        <v>2037</v>
      </c>
      <c r="D269" t="s">
        <v>227</v>
      </c>
      <c r="E269" s="20">
        <v>1167502.4756430499</v>
      </c>
      <c r="F269" s="20">
        <v>226382.89386087499</v>
      </c>
      <c r="G269" s="10">
        <v>226373.365626062</v>
      </c>
      <c r="H269" s="21">
        <f t="shared" si="8"/>
        <v>-9.5282348129840102</v>
      </c>
      <c r="I269" s="10">
        <v>1167364.6654137501</v>
      </c>
      <c r="J269" s="21">
        <f t="shared" si="9"/>
        <v>-137.81022929982282</v>
      </c>
    </row>
    <row r="270" spans="1:10">
      <c r="A270" t="s">
        <v>183</v>
      </c>
      <c r="B270" t="s">
        <v>185</v>
      </c>
      <c r="C270" s="18">
        <v>2037</v>
      </c>
      <c r="D270" t="s">
        <v>163</v>
      </c>
      <c r="E270" s="20">
        <v>130105.803714222</v>
      </c>
      <c r="F270" s="20">
        <v>85527.872900496703</v>
      </c>
      <c r="G270" s="10">
        <v>87785.873914228694</v>
      </c>
      <c r="H270" s="21">
        <f t="shared" si="8"/>
        <v>2258.0010137319914</v>
      </c>
      <c r="I270" s="10">
        <v>130092.112965313</v>
      </c>
      <c r="J270" s="21">
        <f t="shared" si="9"/>
        <v>-13.690748908993555</v>
      </c>
    </row>
    <row r="271" spans="1:10">
      <c r="A271" t="s">
        <v>183</v>
      </c>
      <c r="B271" t="s">
        <v>185</v>
      </c>
      <c r="C271" s="18">
        <v>2037</v>
      </c>
      <c r="D271" t="s">
        <v>173</v>
      </c>
      <c r="E271" s="20">
        <v>429768.08793662</v>
      </c>
      <c r="F271" s="20">
        <v>398539.33045484597</v>
      </c>
      <c r="G271" s="10">
        <v>398473.81338660797</v>
      </c>
      <c r="H271" s="21">
        <f t="shared" si="8"/>
        <v>-65.517068237997591</v>
      </c>
      <c r="I271" s="10">
        <v>429674.679324948</v>
      </c>
      <c r="J271" s="21">
        <f t="shared" si="9"/>
        <v>-93.408611671999097</v>
      </c>
    </row>
    <row r="272" spans="1:10">
      <c r="A272" t="s">
        <v>183</v>
      </c>
      <c r="B272" t="s">
        <v>185</v>
      </c>
      <c r="C272" s="18">
        <v>2037</v>
      </c>
      <c r="D272" t="s">
        <v>177</v>
      </c>
      <c r="E272" s="20">
        <v>741403.91630559904</v>
      </c>
      <c r="F272" s="20">
        <v>454457.76632019901</v>
      </c>
      <c r="G272" s="10">
        <v>455168.18452875799</v>
      </c>
      <c r="H272" s="21">
        <f t="shared" si="8"/>
        <v>710.4182085589855</v>
      </c>
      <c r="I272" s="10">
        <v>741261.42723499297</v>
      </c>
      <c r="J272" s="21">
        <f t="shared" si="9"/>
        <v>-142.48907060606871</v>
      </c>
    </row>
    <row r="273" spans="1:10">
      <c r="A273" t="s">
        <v>183</v>
      </c>
      <c r="B273" t="s">
        <v>185</v>
      </c>
      <c r="C273" s="18">
        <v>2037</v>
      </c>
      <c r="D273" t="s">
        <v>181</v>
      </c>
      <c r="E273" s="20">
        <v>553431.26733831502</v>
      </c>
      <c r="F273" s="20">
        <v>308727.20889102702</v>
      </c>
      <c r="G273" s="10">
        <v>308666.04356230202</v>
      </c>
      <c r="H273" s="21">
        <f t="shared" si="8"/>
        <v>-61.165328725008294</v>
      </c>
      <c r="I273" s="10">
        <v>553258.51776135701</v>
      </c>
      <c r="J273" s="21">
        <f t="shared" si="9"/>
        <v>-172.74957695801277</v>
      </c>
    </row>
    <row r="274" spans="1:10">
      <c r="A274" t="s">
        <v>183</v>
      </c>
      <c r="B274" t="s">
        <v>185</v>
      </c>
      <c r="C274" s="18">
        <v>2037</v>
      </c>
      <c r="D274" t="s">
        <v>209</v>
      </c>
      <c r="E274" s="20">
        <v>43887.274954692897</v>
      </c>
      <c r="F274" s="20">
        <v>7485.6700302562804</v>
      </c>
      <c r="G274" s="10">
        <v>7485.6394586101196</v>
      </c>
      <c r="H274" s="21">
        <f t="shared" si="8"/>
        <v>-3.0571646160751698E-2</v>
      </c>
      <c r="I274" s="10">
        <v>43886.496639761303</v>
      </c>
      <c r="J274" s="21">
        <f t="shared" si="9"/>
        <v>-0.77831493159465026</v>
      </c>
    </row>
    <row r="275" spans="1:10">
      <c r="A275" t="s">
        <v>183</v>
      </c>
      <c r="B275" t="s">
        <v>185</v>
      </c>
      <c r="C275" s="18">
        <v>2038</v>
      </c>
      <c r="D275" t="s">
        <v>187</v>
      </c>
      <c r="E275" s="20">
        <v>18286.1448667433</v>
      </c>
      <c r="F275" s="20">
        <v>12797.558074194099</v>
      </c>
      <c r="G275" s="10">
        <v>13108.258682167399</v>
      </c>
      <c r="H275" s="21">
        <f t="shared" si="8"/>
        <v>310.70060797330007</v>
      </c>
      <c r="I275" s="10">
        <v>18278.619531582299</v>
      </c>
      <c r="J275" s="21">
        <f t="shared" si="9"/>
        <v>-7.5253351610008394</v>
      </c>
    </row>
    <row r="276" spans="1:10">
      <c r="A276" t="s">
        <v>183</v>
      </c>
      <c r="B276" t="s">
        <v>185</v>
      </c>
      <c r="C276" s="18">
        <v>2038</v>
      </c>
      <c r="D276" t="s">
        <v>227</v>
      </c>
      <c r="E276" s="20">
        <v>1176443.60138603</v>
      </c>
      <c r="F276" s="20">
        <v>234298.08748447301</v>
      </c>
      <c r="G276" s="10">
        <v>234286.30240329501</v>
      </c>
      <c r="H276" s="21">
        <f t="shared" si="8"/>
        <v>-11.785081178008113</v>
      </c>
      <c r="I276" s="10">
        <v>1176286.23006217</v>
      </c>
      <c r="J276" s="21">
        <f t="shared" si="9"/>
        <v>-157.37132386001758</v>
      </c>
    </row>
    <row r="277" spans="1:10">
      <c r="A277" t="s">
        <v>183</v>
      </c>
      <c r="B277" t="s">
        <v>185</v>
      </c>
      <c r="C277" s="18">
        <v>2038</v>
      </c>
      <c r="D277" t="s">
        <v>163</v>
      </c>
      <c r="E277" s="20">
        <v>133020.76005572901</v>
      </c>
      <c r="F277" s="20">
        <v>87329.854850760996</v>
      </c>
      <c r="G277" s="10">
        <v>89762.908504627194</v>
      </c>
      <c r="H277" s="21">
        <f t="shared" si="8"/>
        <v>2433.0536538661981</v>
      </c>
      <c r="I277" s="10">
        <v>133004.77137127001</v>
      </c>
      <c r="J277" s="21">
        <f t="shared" si="9"/>
        <v>-15.988684459007345</v>
      </c>
    </row>
    <row r="278" spans="1:10">
      <c r="A278" t="s">
        <v>183</v>
      </c>
      <c r="B278" t="s">
        <v>185</v>
      </c>
      <c r="C278" s="18">
        <v>2038</v>
      </c>
      <c r="D278" t="s">
        <v>173</v>
      </c>
      <c r="E278" s="20">
        <v>436986.14683710801</v>
      </c>
      <c r="F278" s="20">
        <v>405461.97333649301</v>
      </c>
      <c r="G278" s="10">
        <v>405384.95777232101</v>
      </c>
      <c r="H278" s="21">
        <f t="shared" si="8"/>
        <v>-77.015564172004815</v>
      </c>
      <c r="I278" s="10">
        <v>436878.35953831702</v>
      </c>
      <c r="J278" s="21">
        <f t="shared" si="9"/>
        <v>-107.7872987909941</v>
      </c>
    </row>
    <row r="279" spans="1:10">
      <c r="A279" t="s">
        <v>183</v>
      </c>
      <c r="B279" t="s">
        <v>185</v>
      </c>
      <c r="C279" s="18">
        <v>2038</v>
      </c>
      <c r="D279" t="s">
        <v>177</v>
      </c>
      <c r="E279" s="20">
        <v>753724.68830751895</v>
      </c>
      <c r="F279" s="20">
        <v>464581.96780540003</v>
      </c>
      <c r="G279" s="10">
        <v>465342.91786371003</v>
      </c>
      <c r="H279" s="21">
        <f t="shared" si="8"/>
        <v>760.95005831000162</v>
      </c>
      <c r="I279" s="10">
        <v>753560.82214679301</v>
      </c>
      <c r="J279" s="21">
        <f t="shared" si="9"/>
        <v>-163.86616072594188</v>
      </c>
    </row>
    <row r="280" spans="1:10">
      <c r="A280" t="s">
        <v>183</v>
      </c>
      <c r="B280" t="s">
        <v>185</v>
      </c>
      <c r="C280" s="18">
        <v>2038</v>
      </c>
      <c r="D280" t="s">
        <v>181</v>
      </c>
      <c r="E280" s="20">
        <v>565603.66013722599</v>
      </c>
      <c r="F280" s="20">
        <v>318535.02824651002</v>
      </c>
      <c r="G280" s="10">
        <v>318461.02224812203</v>
      </c>
      <c r="H280" s="21">
        <f t="shared" si="8"/>
        <v>-74.005998387990985</v>
      </c>
      <c r="I280" s="10">
        <v>565403.75879938505</v>
      </c>
      <c r="J280" s="21">
        <f t="shared" si="9"/>
        <v>-199.9013378409436</v>
      </c>
    </row>
    <row r="281" spans="1:10">
      <c r="A281" t="s">
        <v>183</v>
      </c>
      <c r="B281" t="s">
        <v>185</v>
      </c>
      <c r="C281" s="18">
        <v>2038</v>
      </c>
      <c r="D281" t="s">
        <v>209</v>
      </c>
      <c r="E281" s="20">
        <v>43731.640831184202</v>
      </c>
      <c r="F281" s="20">
        <v>7517.8076660475399</v>
      </c>
      <c r="G281" s="10">
        <v>7517.77035327065</v>
      </c>
      <c r="H281" s="21">
        <f t="shared" si="8"/>
        <v>-3.7312776889848465E-2</v>
      </c>
      <c r="I281" s="10">
        <v>43730.744850638199</v>
      </c>
      <c r="J281" s="21">
        <f t="shared" si="9"/>
        <v>-0.89598054600355681</v>
      </c>
    </row>
    <row r="282" spans="1:10">
      <c r="A282" t="s">
        <v>183</v>
      </c>
      <c r="B282" t="s">
        <v>185</v>
      </c>
      <c r="C282" s="18">
        <v>2039</v>
      </c>
      <c r="D282" t="s">
        <v>187</v>
      </c>
      <c r="E282" s="20">
        <v>18760.766898218299</v>
      </c>
      <c r="F282" s="20">
        <v>13071.066427743101</v>
      </c>
      <c r="G282" s="10">
        <v>13404.669620275599</v>
      </c>
      <c r="H282" s="21">
        <f t="shared" si="8"/>
        <v>333.60319253249872</v>
      </c>
      <c r="I282" s="10">
        <v>18752.090499402999</v>
      </c>
      <c r="J282" s="21">
        <f t="shared" si="9"/>
        <v>-8.6763988152997626</v>
      </c>
    </row>
    <row r="283" spans="1:10">
      <c r="A283" t="s">
        <v>183</v>
      </c>
      <c r="B283" t="s">
        <v>185</v>
      </c>
      <c r="C283" s="18">
        <v>2039</v>
      </c>
      <c r="D283" t="s">
        <v>227</v>
      </c>
      <c r="E283" s="20">
        <v>1184916.2706134701</v>
      </c>
      <c r="F283" s="20">
        <v>242146.50973759199</v>
      </c>
      <c r="G283" s="10">
        <v>242132.19115316399</v>
      </c>
      <c r="H283" s="21">
        <f t="shared" si="8"/>
        <v>-14.31858442799421</v>
      </c>
      <c r="I283" s="10">
        <v>1184738.3918449101</v>
      </c>
      <c r="J283" s="21">
        <f t="shared" si="9"/>
        <v>-177.87876856001094</v>
      </c>
    </row>
    <row r="284" spans="1:10">
      <c r="A284" t="s">
        <v>183</v>
      </c>
      <c r="B284" t="s">
        <v>185</v>
      </c>
      <c r="C284" s="18">
        <v>2039</v>
      </c>
      <c r="D284" t="s">
        <v>163</v>
      </c>
      <c r="E284" s="20">
        <v>135890.584635454</v>
      </c>
      <c r="F284" s="20">
        <v>89104.153836710204</v>
      </c>
      <c r="G284" s="10">
        <v>91716.366353602294</v>
      </c>
      <c r="H284" s="21">
        <f t="shared" si="8"/>
        <v>2612.2125168920902</v>
      </c>
      <c r="I284" s="10">
        <v>135872.13136763001</v>
      </c>
      <c r="J284" s="21">
        <f t="shared" si="9"/>
        <v>-18.453267823992064</v>
      </c>
    </row>
    <row r="285" spans="1:10">
      <c r="A285" t="s">
        <v>183</v>
      </c>
      <c r="B285" t="s">
        <v>185</v>
      </c>
      <c r="C285" s="18">
        <v>2039</v>
      </c>
      <c r="D285" t="s">
        <v>173</v>
      </c>
      <c r="E285" s="20">
        <v>444029.03974243498</v>
      </c>
      <c r="F285" s="20">
        <v>412209.50571574498</v>
      </c>
      <c r="G285" s="10">
        <v>412120.21350488003</v>
      </c>
      <c r="H285" s="21">
        <f t="shared" si="8"/>
        <v>-89.292210864950903</v>
      </c>
      <c r="I285" s="10">
        <v>443905.980748337</v>
      </c>
      <c r="J285" s="21">
        <f t="shared" si="9"/>
        <v>-123.0589940979844</v>
      </c>
    </row>
    <row r="286" spans="1:10">
      <c r="A286" t="s">
        <v>183</v>
      </c>
      <c r="B286" t="s">
        <v>185</v>
      </c>
      <c r="C286" s="18">
        <v>2039</v>
      </c>
      <c r="D286" t="s">
        <v>177</v>
      </c>
      <c r="E286" s="20">
        <v>765714.93052527006</v>
      </c>
      <c r="F286" s="20">
        <v>474459.06697141699</v>
      </c>
      <c r="G286" s="10">
        <v>475269.78752891801</v>
      </c>
      <c r="H286" s="21">
        <f t="shared" si="8"/>
        <v>810.72055750101572</v>
      </c>
      <c r="I286" s="10">
        <v>765528.46783885697</v>
      </c>
      <c r="J286" s="21">
        <f t="shared" si="9"/>
        <v>-186.46268641308416</v>
      </c>
    </row>
    <row r="287" spans="1:10">
      <c r="A287" t="s">
        <v>183</v>
      </c>
      <c r="B287" t="s">
        <v>185</v>
      </c>
      <c r="C287" s="18">
        <v>2039</v>
      </c>
      <c r="D287" t="s">
        <v>181</v>
      </c>
      <c r="E287" s="20">
        <v>577643.38310498197</v>
      </c>
      <c r="F287" s="20">
        <v>328334.51465823402</v>
      </c>
      <c r="G287" s="10">
        <v>328246.40127636801</v>
      </c>
      <c r="H287" s="21">
        <f t="shared" si="8"/>
        <v>-88.113381866016425</v>
      </c>
      <c r="I287" s="10">
        <v>577414.514396235</v>
      </c>
      <c r="J287" s="21">
        <f t="shared" si="9"/>
        <v>-228.86870874697343</v>
      </c>
    </row>
    <row r="288" spans="1:10">
      <c r="A288" t="s">
        <v>183</v>
      </c>
      <c r="B288" t="s">
        <v>185</v>
      </c>
      <c r="C288" s="18">
        <v>2039</v>
      </c>
      <c r="D288" t="s">
        <v>209</v>
      </c>
      <c r="E288" s="20">
        <v>43589.866184352897</v>
      </c>
      <c r="F288" s="20">
        <v>7547.6045891315398</v>
      </c>
      <c r="G288" s="10">
        <v>7547.5598608641003</v>
      </c>
      <c r="H288" s="21">
        <f t="shared" si="8"/>
        <v>-4.4728267439495539E-2</v>
      </c>
      <c r="I288" s="10">
        <v>43588.845456636998</v>
      </c>
      <c r="J288" s="21">
        <f t="shared" si="9"/>
        <v>-1.020727715898829</v>
      </c>
    </row>
    <row r="289" spans="1:10">
      <c r="A289" t="s">
        <v>183</v>
      </c>
      <c r="B289" t="s">
        <v>185</v>
      </c>
      <c r="C289" s="18">
        <v>2040</v>
      </c>
      <c r="D289" t="s">
        <v>187</v>
      </c>
      <c r="E289" s="20">
        <v>19245.653619394699</v>
      </c>
      <c r="F289" s="20">
        <v>13341.6888487783</v>
      </c>
      <c r="G289" s="10">
        <v>13698.9721681132</v>
      </c>
      <c r="H289" s="21">
        <f t="shared" si="8"/>
        <v>357.28331933489972</v>
      </c>
      <c r="I289" s="10">
        <v>19235.736542927301</v>
      </c>
      <c r="J289" s="21">
        <f t="shared" si="9"/>
        <v>-9.9170764673981466</v>
      </c>
    </row>
    <row r="290" spans="1:10">
      <c r="A290" t="s">
        <v>183</v>
      </c>
      <c r="B290" t="s">
        <v>185</v>
      </c>
      <c r="C290" s="18">
        <v>2040</v>
      </c>
      <c r="D290" t="s">
        <v>227</v>
      </c>
      <c r="E290" s="20">
        <v>1192833.7403541</v>
      </c>
      <c r="F290" s="20">
        <v>249911.61042295501</v>
      </c>
      <c r="G290" s="10">
        <v>249894.478827588</v>
      </c>
      <c r="H290" s="21">
        <f t="shared" si="8"/>
        <v>-17.131595367012778</v>
      </c>
      <c r="I290" s="10">
        <v>1192634.43006365</v>
      </c>
      <c r="J290" s="21">
        <f t="shared" si="9"/>
        <v>-199.31029044999741</v>
      </c>
    </row>
    <row r="291" spans="1:10">
      <c r="A291" t="s">
        <v>183</v>
      </c>
      <c r="B291" t="s">
        <v>185</v>
      </c>
      <c r="C291" s="18">
        <v>2040</v>
      </c>
      <c r="D291" t="s">
        <v>163</v>
      </c>
      <c r="E291" s="20">
        <v>138710.88021901</v>
      </c>
      <c r="F291" s="20">
        <v>90841.603001090494</v>
      </c>
      <c r="G291" s="10">
        <v>93636.896760059302</v>
      </c>
      <c r="H291" s="21">
        <f t="shared" si="8"/>
        <v>2795.2937589688081</v>
      </c>
      <c r="I291" s="10">
        <v>138689.796610277</v>
      </c>
      <c r="J291" s="21">
        <f t="shared" si="9"/>
        <v>-21.083608732995344</v>
      </c>
    </row>
    <row r="292" spans="1:10">
      <c r="A292" t="s">
        <v>183</v>
      </c>
      <c r="B292" t="s">
        <v>185</v>
      </c>
      <c r="C292" s="18">
        <v>2040</v>
      </c>
      <c r="D292" t="s">
        <v>173</v>
      </c>
      <c r="E292" s="20">
        <v>450980.98156237602</v>
      </c>
      <c r="F292" s="20">
        <v>418723.21512383001</v>
      </c>
      <c r="G292" s="10">
        <v>418620.90894817398</v>
      </c>
      <c r="H292" s="21">
        <f t="shared" si="8"/>
        <v>-102.30617565603461</v>
      </c>
      <c r="I292" s="10">
        <v>450841.764596063</v>
      </c>
      <c r="J292" s="21">
        <f t="shared" si="9"/>
        <v>-139.21696631301893</v>
      </c>
    </row>
    <row r="293" spans="1:10">
      <c r="A293" t="s">
        <v>183</v>
      </c>
      <c r="B293" t="s">
        <v>185</v>
      </c>
      <c r="C293" s="18">
        <v>2040</v>
      </c>
      <c r="D293" t="s">
        <v>177</v>
      </c>
      <c r="E293" s="20">
        <v>777298.74126398505</v>
      </c>
      <c r="F293" s="20">
        <v>484087.370992743</v>
      </c>
      <c r="G293" s="10">
        <v>484947.105425179</v>
      </c>
      <c r="H293" s="21">
        <f t="shared" si="8"/>
        <v>859.73443243600195</v>
      </c>
      <c r="I293" s="10">
        <v>777088.49670209095</v>
      </c>
      <c r="J293" s="21">
        <f t="shared" si="9"/>
        <v>-210.2445618940983</v>
      </c>
    </row>
    <row r="294" spans="1:10">
      <c r="A294" t="s">
        <v>183</v>
      </c>
      <c r="B294" t="s">
        <v>185</v>
      </c>
      <c r="C294" s="18">
        <v>2040</v>
      </c>
      <c r="D294" t="s">
        <v>181</v>
      </c>
      <c r="E294" s="20">
        <v>589619.40320439497</v>
      </c>
      <c r="F294" s="20">
        <v>338142.49954689998</v>
      </c>
      <c r="G294" s="10">
        <v>338039.01043044601</v>
      </c>
      <c r="H294" s="21">
        <f t="shared" si="8"/>
        <v>-103.48911645397311</v>
      </c>
      <c r="I294" s="10">
        <v>589359.73383284197</v>
      </c>
      <c r="J294" s="21">
        <f t="shared" si="9"/>
        <v>-259.6693715529982</v>
      </c>
    </row>
    <row r="295" spans="1:10">
      <c r="A295" t="s">
        <v>183</v>
      </c>
      <c r="B295" t="s">
        <v>185</v>
      </c>
      <c r="C295" s="18">
        <v>2040</v>
      </c>
      <c r="D295" t="s">
        <v>209</v>
      </c>
      <c r="E295" s="20">
        <v>43466.012197290802</v>
      </c>
      <c r="F295" s="20">
        <v>7573.7783530660199</v>
      </c>
      <c r="G295" s="10">
        <v>7573.7255608269897</v>
      </c>
      <c r="H295" s="21">
        <f t="shared" si="8"/>
        <v>-5.2792239030168275E-2</v>
      </c>
      <c r="I295" s="10">
        <v>43464.859681883601</v>
      </c>
      <c r="J295" s="21">
        <f t="shared" si="9"/>
        <v>-1.1525154072005535</v>
      </c>
    </row>
    <row r="296" spans="1:10">
      <c r="A296" t="s">
        <v>183</v>
      </c>
      <c r="B296" t="s">
        <v>185</v>
      </c>
      <c r="C296" s="18">
        <v>2041</v>
      </c>
      <c r="D296" t="s">
        <v>187</v>
      </c>
      <c r="E296" s="20">
        <v>19738.532427347101</v>
      </c>
      <c r="F296" s="20">
        <v>13609.6871163745</v>
      </c>
      <c r="G296" s="10">
        <v>13991.606690282801</v>
      </c>
      <c r="H296" s="21">
        <f t="shared" si="8"/>
        <v>381.91957390830066</v>
      </c>
      <c r="I296" s="10">
        <v>19727.283486384</v>
      </c>
      <c r="J296" s="21">
        <f t="shared" si="9"/>
        <v>-11.248940963101631</v>
      </c>
    </row>
    <row r="297" spans="1:10">
      <c r="A297" t="s">
        <v>183</v>
      </c>
      <c r="B297" t="s">
        <v>185</v>
      </c>
      <c r="C297" s="18">
        <v>2041</v>
      </c>
      <c r="D297" t="s">
        <v>227</v>
      </c>
      <c r="E297" s="20">
        <v>1200209.8234042099</v>
      </c>
      <c r="F297" s="20">
        <v>257619.27463985901</v>
      </c>
      <c r="G297" s="10">
        <v>257599.044002988</v>
      </c>
      <c r="H297" s="21">
        <f t="shared" si="8"/>
        <v>-20.230636871012393</v>
      </c>
      <c r="I297" s="10">
        <v>1199988.17586749</v>
      </c>
      <c r="J297" s="21">
        <f t="shared" si="9"/>
        <v>-221.64753671991639</v>
      </c>
    </row>
    <row r="298" spans="1:10">
      <c r="A298" t="s">
        <v>183</v>
      </c>
      <c r="B298" t="s">
        <v>185</v>
      </c>
      <c r="C298" s="18">
        <v>2041</v>
      </c>
      <c r="D298" t="s">
        <v>163</v>
      </c>
      <c r="E298" s="20">
        <v>141499.460051214</v>
      </c>
      <c r="F298" s="20">
        <v>92544.4822310257</v>
      </c>
      <c r="G298" s="10">
        <v>95527.0063786807</v>
      </c>
      <c r="H298" s="21">
        <f t="shared" si="8"/>
        <v>2982.524147655</v>
      </c>
      <c r="I298" s="10">
        <v>141475.570851386</v>
      </c>
      <c r="J298" s="21">
        <f t="shared" si="9"/>
        <v>-23.889199828001438</v>
      </c>
    </row>
    <row r="299" spans="1:10">
      <c r="A299" t="s">
        <v>183</v>
      </c>
      <c r="B299" t="s">
        <v>185</v>
      </c>
      <c r="C299" s="18">
        <v>2041</v>
      </c>
      <c r="D299" t="s">
        <v>173</v>
      </c>
      <c r="E299" s="20">
        <v>457854.40155746002</v>
      </c>
      <c r="F299" s="20">
        <v>425121.86094959202</v>
      </c>
      <c r="G299" s="10">
        <v>425005.77720965003</v>
      </c>
      <c r="H299" s="21">
        <f t="shared" si="8"/>
        <v>-116.08373994199792</v>
      </c>
      <c r="I299" s="10">
        <v>457698.12813480198</v>
      </c>
      <c r="J299" s="21">
        <f t="shared" si="9"/>
        <v>-156.273422658036</v>
      </c>
    </row>
    <row r="300" spans="1:10">
      <c r="A300" t="s">
        <v>183</v>
      </c>
      <c r="B300" t="s">
        <v>185</v>
      </c>
      <c r="C300" s="18">
        <v>2041</v>
      </c>
      <c r="D300" t="s">
        <v>177</v>
      </c>
      <c r="E300" s="20">
        <v>788528.54852998594</v>
      </c>
      <c r="F300" s="20">
        <v>493482.86643987399</v>
      </c>
      <c r="G300" s="10">
        <v>494390.87324825901</v>
      </c>
      <c r="H300" s="21">
        <f t="shared" si="8"/>
        <v>908.00680838502012</v>
      </c>
      <c r="I300" s="10">
        <v>788293.24275668897</v>
      </c>
      <c r="J300" s="21">
        <f t="shared" si="9"/>
        <v>-235.30577329697553</v>
      </c>
    </row>
    <row r="301" spans="1:10">
      <c r="A301" t="s">
        <v>183</v>
      </c>
      <c r="B301" t="s">
        <v>185</v>
      </c>
      <c r="C301" s="18">
        <v>2041</v>
      </c>
      <c r="D301" t="s">
        <v>181</v>
      </c>
      <c r="E301" s="20">
        <v>601447.62881120597</v>
      </c>
      <c r="F301" s="20">
        <v>348044.95984014199</v>
      </c>
      <c r="G301" s="10">
        <v>347924.76632707799</v>
      </c>
      <c r="H301" s="21">
        <f t="shared" si="8"/>
        <v>-120.19351306400495</v>
      </c>
      <c r="I301" s="10">
        <v>601155.34094696096</v>
      </c>
      <c r="J301" s="21">
        <f t="shared" si="9"/>
        <v>-292.28786424500868</v>
      </c>
    </row>
    <row r="302" spans="1:10">
      <c r="A302" t="s">
        <v>183</v>
      </c>
      <c r="B302" t="s">
        <v>185</v>
      </c>
      <c r="C302" s="18">
        <v>2041</v>
      </c>
      <c r="D302" t="s">
        <v>209</v>
      </c>
      <c r="E302" s="20">
        <v>43362.226954991602</v>
      </c>
      <c r="F302" s="20">
        <v>7596.0568446406796</v>
      </c>
      <c r="G302" s="10">
        <v>7595.9953338682099</v>
      </c>
      <c r="H302" s="21">
        <f t="shared" si="8"/>
        <v>-6.1510772469773656E-2</v>
      </c>
      <c r="I302" s="10">
        <v>43360.9356755525</v>
      </c>
      <c r="J302" s="21">
        <f t="shared" si="9"/>
        <v>-1.2912794391013449</v>
      </c>
    </row>
    <row r="303" spans="1:10">
      <c r="A303" t="s">
        <v>183</v>
      </c>
      <c r="B303" t="s">
        <v>185</v>
      </c>
      <c r="C303" s="18">
        <v>2042</v>
      </c>
      <c r="D303" t="s">
        <v>187</v>
      </c>
      <c r="E303" s="20">
        <v>20234.940013282299</v>
      </c>
      <c r="F303" s="20">
        <v>13876.815466408099</v>
      </c>
      <c r="G303" s="10">
        <v>14284.6169088399</v>
      </c>
      <c r="H303" s="21">
        <f t="shared" si="8"/>
        <v>407.80144243180075</v>
      </c>
      <c r="I303" s="10">
        <v>20222.268399164699</v>
      </c>
      <c r="J303" s="21">
        <f t="shared" si="9"/>
        <v>-12.671614117600257</v>
      </c>
    </row>
    <row r="304" spans="1:10">
      <c r="A304" t="s">
        <v>183</v>
      </c>
      <c r="B304" t="s">
        <v>185</v>
      </c>
      <c r="C304" s="18">
        <v>2042</v>
      </c>
      <c r="D304" t="s">
        <v>227</v>
      </c>
      <c r="E304" s="20">
        <v>1207044.45866858</v>
      </c>
      <c r="F304" s="20">
        <v>265313.037796908</v>
      </c>
      <c r="G304" s="10">
        <v>265289.409116733</v>
      </c>
      <c r="H304" s="21">
        <f t="shared" si="8"/>
        <v>-23.628680174995679</v>
      </c>
      <c r="I304" s="10">
        <v>1206799.58929471</v>
      </c>
      <c r="J304" s="21">
        <f t="shared" si="9"/>
        <v>-244.8693738700822</v>
      </c>
    </row>
    <row r="305" spans="1:10">
      <c r="A305" t="s">
        <v>183</v>
      </c>
      <c r="B305" t="s">
        <v>185</v>
      </c>
      <c r="C305" s="18">
        <v>2042</v>
      </c>
      <c r="D305" t="s">
        <v>163</v>
      </c>
      <c r="E305" s="20">
        <v>144274.95148785101</v>
      </c>
      <c r="F305" s="20">
        <v>94231.303262678601</v>
      </c>
      <c r="G305" s="10">
        <v>97406.156977096296</v>
      </c>
      <c r="H305" s="21">
        <f t="shared" si="8"/>
        <v>3174.8537144176953</v>
      </c>
      <c r="I305" s="10">
        <v>144248.066926011</v>
      </c>
      <c r="J305" s="21">
        <f t="shared" si="9"/>
        <v>-26.884561840008246</v>
      </c>
    </row>
    <row r="306" spans="1:10">
      <c r="A306" t="s">
        <v>183</v>
      </c>
      <c r="B306" t="s">
        <v>185</v>
      </c>
      <c r="C306" s="18">
        <v>2042</v>
      </c>
      <c r="D306" t="s">
        <v>173</v>
      </c>
      <c r="E306" s="20">
        <v>464661.30063266499</v>
      </c>
      <c r="F306" s="20">
        <v>431527.72274307703</v>
      </c>
      <c r="G306" s="10">
        <v>431397.042999706</v>
      </c>
      <c r="H306" s="21">
        <f t="shared" si="8"/>
        <v>-130.67974337103078</v>
      </c>
      <c r="I306" s="10">
        <v>464487.03899019101</v>
      </c>
      <c r="J306" s="21">
        <f t="shared" si="9"/>
        <v>-174.26164247398265</v>
      </c>
    </row>
    <row r="307" spans="1:10">
      <c r="A307" t="s">
        <v>183</v>
      </c>
      <c r="B307" t="s">
        <v>185</v>
      </c>
      <c r="C307" s="18">
        <v>2042</v>
      </c>
      <c r="D307" t="s">
        <v>177</v>
      </c>
      <c r="E307" s="20">
        <v>799487.34388251905</v>
      </c>
      <c r="F307" s="20">
        <v>502648.30010491301</v>
      </c>
      <c r="G307" s="10">
        <v>503603.80380956898</v>
      </c>
      <c r="H307" s="21">
        <f t="shared" si="8"/>
        <v>955.50370465597371</v>
      </c>
      <c r="I307" s="10">
        <v>799225.499121645</v>
      </c>
      <c r="J307" s="21">
        <f t="shared" si="9"/>
        <v>-261.84476087405346</v>
      </c>
    </row>
    <row r="308" spans="1:10">
      <c r="A308" t="s">
        <v>183</v>
      </c>
      <c r="B308" t="s">
        <v>185</v>
      </c>
      <c r="C308" s="18">
        <v>2042</v>
      </c>
      <c r="D308" t="s">
        <v>181</v>
      </c>
      <c r="E308" s="20">
        <v>612990.89649139706</v>
      </c>
      <c r="F308" s="20">
        <v>358069.26009989198</v>
      </c>
      <c r="G308" s="10">
        <v>357930.93950443697</v>
      </c>
      <c r="H308" s="21">
        <f t="shared" si="8"/>
        <v>-138.3205954550067</v>
      </c>
      <c r="I308" s="10">
        <v>612664.177038008</v>
      </c>
      <c r="J308" s="21">
        <f t="shared" si="9"/>
        <v>-326.71945338905789</v>
      </c>
    </row>
    <row r="309" spans="1:10">
      <c r="A309" t="s">
        <v>183</v>
      </c>
      <c r="B309" t="s">
        <v>185</v>
      </c>
      <c r="C309" s="18">
        <v>2042</v>
      </c>
      <c r="D309" t="s">
        <v>209</v>
      </c>
      <c r="E309" s="20">
        <v>43280.165542643699</v>
      </c>
      <c r="F309" s="20">
        <v>7616.6637323796704</v>
      </c>
      <c r="G309" s="10">
        <v>7616.5928035502902</v>
      </c>
      <c r="H309" s="21">
        <f t="shared" si="8"/>
        <v>-7.0928829380136449E-2</v>
      </c>
      <c r="I309" s="10">
        <v>43278.728481607301</v>
      </c>
      <c r="J309" s="21">
        <f t="shared" si="9"/>
        <v>-1.4370610363985179</v>
      </c>
    </row>
    <row r="310" spans="1:10">
      <c r="A310" t="s">
        <v>183</v>
      </c>
      <c r="B310" t="s">
        <v>185</v>
      </c>
      <c r="C310" s="18">
        <v>2043</v>
      </c>
      <c r="D310" t="s">
        <v>187</v>
      </c>
      <c r="E310" s="20">
        <v>20734.738431867499</v>
      </c>
      <c r="F310" s="20">
        <v>14137.9479025698</v>
      </c>
      <c r="G310" s="10">
        <v>14572.883153271399</v>
      </c>
      <c r="H310" s="21">
        <f t="shared" si="8"/>
        <v>434.93525070159922</v>
      </c>
      <c r="I310" s="10">
        <v>20720.548205455299</v>
      </c>
      <c r="J310" s="21">
        <f t="shared" si="9"/>
        <v>-14.190226412199991</v>
      </c>
    </row>
    <row r="311" spans="1:10">
      <c r="A311" t="s">
        <v>183</v>
      </c>
      <c r="B311" t="s">
        <v>185</v>
      </c>
      <c r="C311" s="18">
        <v>2043</v>
      </c>
      <c r="D311" t="s">
        <v>227</v>
      </c>
      <c r="E311" s="20">
        <v>1213318.23991098</v>
      </c>
      <c r="F311" s="20">
        <v>272977.76968322898</v>
      </c>
      <c r="G311" s="10">
        <v>272950.43541917799</v>
      </c>
      <c r="H311" s="21">
        <f t="shared" si="8"/>
        <v>-27.334264050994534</v>
      </c>
      <c r="I311" s="10">
        <v>1213049.26096591</v>
      </c>
      <c r="J311" s="21">
        <f t="shared" si="9"/>
        <v>-268.97894506994635</v>
      </c>
    </row>
    <row r="312" spans="1:10">
      <c r="A312" t="s">
        <v>183</v>
      </c>
      <c r="B312" t="s">
        <v>185</v>
      </c>
      <c r="C312" s="18">
        <v>2043</v>
      </c>
      <c r="D312" t="s">
        <v>163</v>
      </c>
      <c r="E312" s="20">
        <v>147023.88964612701</v>
      </c>
      <c r="F312" s="20">
        <v>95899.009703422998</v>
      </c>
      <c r="G312" s="10">
        <v>99271.391168072907</v>
      </c>
      <c r="H312" s="21">
        <f t="shared" si="8"/>
        <v>3372.3814646499086</v>
      </c>
      <c r="I312" s="10">
        <v>146993.81420820701</v>
      </c>
      <c r="J312" s="21">
        <f t="shared" si="9"/>
        <v>-30.075437919993419</v>
      </c>
    </row>
    <row r="313" spans="1:10">
      <c r="A313" t="s">
        <v>183</v>
      </c>
      <c r="B313" t="s">
        <v>185</v>
      </c>
      <c r="C313" s="18">
        <v>2043</v>
      </c>
      <c r="D313" t="s">
        <v>173</v>
      </c>
      <c r="E313" s="20">
        <v>471348.03774583898</v>
      </c>
      <c r="F313" s="20">
        <v>437826.06945371401</v>
      </c>
      <c r="G313" s="10">
        <v>437679.98847184202</v>
      </c>
      <c r="H313" s="21">
        <f t="shared" si="8"/>
        <v>-146.0809818719863</v>
      </c>
      <c r="I313" s="10">
        <v>471154.83958066901</v>
      </c>
      <c r="J313" s="21">
        <f t="shared" si="9"/>
        <v>-193.19816516997525</v>
      </c>
    </row>
    <row r="314" spans="1:10">
      <c r="A314" t="s">
        <v>183</v>
      </c>
      <c r="B314" t="s">
        <v>185</v>
      </c>
      <c r="C314" s="18">
        <v>2043</v>
      </c>
      <c r="D314" t="s">
        <v>177</v>
      </c>
      <c r="E314" s="20">
        <v>810304.762368027</v>
      </c>
      <c r="F314" s="20">
        <v>511608.223352706</v>
      </c>
      <c r="G314" s="10">
        <v>512610.44917931297</v>
      </c>
      <c r="H314" s="21">
        <f t="shared" si="8"/>
        <v>1002.2258266069693</v>
      </c>
      <c r="I314" s="10">
        <v>810014.77283431904</v>
      </c>
      <c r="J314" s="21">
        <f t="shared" si="9"/>
        <v>-289.98953370796517</v>
      </c>
    </row>
    <row r="315" spans="1:10">
      <c r="A315" t="s">
        <v>183</v>
      </c>
      <c r="B315" t="s">
        <v>185</v>
      </c>
      <c r="C315" s="18">
        <v>2043</v>
      </c>
      <c r="D315" t="s">
        <v>181</v>
      </c>
      <c r="E315" s="20">
        <v>624316.38539978606</v>
      </c>
      <c r="F315" s="20">
        <v>368116.97154207301</v>
      </c>
      <c r="G315" s="10">
        <v>367959.059248153</v>
      </c>
      <c r="H315" s="21">
        <f t="shared" si="8"/>
        <v>-157.91229392000241</v>
      </c>
      <c r="I315" s="10">
        <v>623953.35649413895</v>
      </c>
      <c r="J315" s="21">
        <f t="shared" si="9"/>
        <v>-363.02890564710833</v>
      </c>
    </row>
    <row r="316" spans="1:10">
      <c r="A316" t="s">
        <v>183</v>
      </c>
      <c r="B316" t="s">
        <v>185</v>
      </c>
      <c r="C316" s="18">
        <v>2043</v>
      </c>
      <c r="D316" t="s">
        <v>209</v>
      </c>
      <c r="E316" s="20">
        <v>43233.7285520894</v>
      </c>
      <c r="F316" s="20">
        <v>7634.7191792842896</v>
      </c>
      <c r="G316" s="10">
        <v>7634.6380979097503</v>
      </c>
      <c r="H316" s="21">
        <f t="shared" si="8"/>
        <v>-8.108137453928066E-2</v>
      </c>
      <c r="I316" s="10">
        <v>43232.1385441846</v>
      </c>
      <c r="J316" s="21">
        <f t="shared" si="9"/>
        <v>-1.5900079048005864</v>
      </c>
    </row>
    <row r="317" spans="1:10">
      <c r="A317" t="s">
        <v>183</v>
      </c>
      <c r="B317" t="s">
        <v>185</v>
      </c>
      <c r="C317" s="18">
        <v>2044</v>
      </c>
      <c r="D317" t="s">
        <v>187</v>
      </c>
      <c r="E317" s="20">
        <v>21236.0555197229</v>
      </c>
      <c r="F317" s="20">
        <v>14398.328343401299</v>
      </c>
      <c r="G317" s="10">
        <v>14861.4315691186</v>
      </c>
      <c r="H317" s="21">
        <f t="shared" si="8"/>
        <v>463.10322571730103</v>
      </c>
      <c r="I317" s="10">
        <v>21220.2473713984</v>
      </c>
      <c r="J317" s="21">
        <f t="shared" si="9"/>
        <v>-15.808148324500507</v>
      </c>
    </row>
    <row r="318" spans="1:10">
      <c r="A318" t="s">
        <v>183</v>
      </c>
      <c r="B318" t="s">
        <v>185</v>
      </c>
      <c r="C318" s="18">
        <v>2044</v>
      </c>
      <c r="D318" t="s">
        <v>227</v>
      </c>
      <c r="E318" s="20">
        <v>1219282.4683783301</v>
      </c>
      <c r="F318" s="20">
        <v>280537.79680777597</v>
      </c>
      <c r="G318" s="10">
        <v>280506.44153550803</v>
      </c>
      <c r="H318" s="21">
        <f t="shared" si="8"/>
        <v>-31.355272267945111</v>
      </c>
      <c r="I318" s="10">
        <v>1218988.4670045001</v>
      </c>
      <c r="J318" s="21">
        <f t="shared" si="9"/>
        <v>-294.00137383001857</v>
      </c>
    </row>
    <row r="319" spans="1:10">
      <c r="A319" t="s">
        <v>183</v>
      </c>
      <c r="B319" t="s">
        <v>185</v>
      </c>
      <c r="C319" s="18">
        <v>2044</v>
      </c>
      <c r="D319" t="s">
        <v>163</v>
      </c>
      <c r="E319" s="20">
        <v>149729.67782942401</v>
      </c>
      <c r="F319" s="20">
        <v>97537.543749311706</v>
      </c>
      <c r="G319" s="10">
        <v>101112.290089553</v>
      </c>
      <c r="H319" s="21">
        <f t="shared" si="8"/>
        <v>3574.7463402412977</v>
      </c>
      <c r="I319" s="10">
        <v>149696.21396730101</v>
      </c>
      <c r="J319" s="21">
        <f t="shared" si="9"/>
        <v>-33.463862122996943</v>
      </c>
    </row>
    <row r="320" spans="1:10">
      <c r="A320" t="s">
        <v>183</v>
      </c>
      <c r="B320" t="s">
        <v>185</v>
      </c>
      <c r="C320" s="18">
        <v>2044</v>
      </c>
      <c r="D320" t="s">
        <v>173</v>
      </c>
      <c r="E320" s="20">
        <v>477794.37346351298</v>
      </c>
      <c r="F320" s="20">
        <v>443962.93700852798</v>
      </c>
      <c r="G320" s="10">
        <v>443800.63719739497</v>
      </c>
      <c r="H320" s="21">
        <f t="shared" si="8"/>
        <v>-162.29981113300892</v>
      </c>
      <c r="I320" s="10">
        <v>477581.31483664498</v>
      </c>
      <c r="J320" s="21">
        <f t="shared" si="9"/>
        <v>-213.05862686800538</v>
      </c>
    </row>
    <row r="321" spans="1:10">
      <c r="A321" t="s">
        <v>183</v>
      </c>
      <c r="B321" t="s">
        <v>185</v>
      </c>
      <c r="C321" s="18">
        <v>2044</v>
      </c>
      <c r="D321" t="s">
        <v>177</v>
      </c>
      <c r="E321" s="20">
        <v>821062.25612466095</v>
      </c>
      <c r="F321" s="20">
        <v>520372.12635078398</v>
      </c>
      <c r="G321" s="10">
        <v>521420.17033099697</v>
      </c>
      <c r="H321" s="21">
        <f t="shared" si="8"/>
        <v>1048.0439802129986</v>
      </c>
      <c r="I321" s="10">
        <v>820742.37012193399</v>
      </c>
      <c r="J321" s="21">
        <f t="shared" si="9"/>
        <v>-319.88600272696931</v>
      </c>
    </row>
    <row r="322" spans="1:10">
      <c r="A322" t="s">
        <v>183</v>
      </c>
      <c r="B322" t="s">
        <v>185</v>
      </c>
      <c r="C322" s="18">
        <v>2044</v>
      </c>
      <c r="D322" t="s">
        <v>181</v>
      </c>
      <c r="E322" s="20">
        <v>635425.80039973406</v>
      </c>
      <c r="F322" s="20">
        <v>378097.61723023799</v>
      </c>
      <c r="G322" s="10">
        <v>377918.58989895799</v>
      </c>
      <c r="H322" s="21">
        <f t="shared" ref="H322:H385" si="10">G322-F322</f>
        <v>-179.02733127999818</v>
      </c>
      <c r="I322" s="10">
        <v>635024.54646764905</v>
      </c>
      <c r="J322" s="21">
        <f t="shared" ref="J322:J385" si="11">I322-E322</f>
        <v>-401.25393208500464</v>
      </c>
    </row>
    <row r="323" spans="1:10">
      <c r="A323" t="s">
        <v>183</v>
      </c>
      <c r="B323" t="s">
        <v>185</v>
      </c>
      <c r="C323" s="18">
        <v>2044</v>
      </c>
      <c r="D323" t="s">
        <v>209</v>
      </c>
      <c r="E323" s="20">
        <v>43204.380235069402</v>
      </c>
      <c r="F323" s="20">
        <v>7652.8138371197501</v>
      </c>
      <c r="G323" s="10">
        <v>7652.7218257366803</v>
      </c>
      <c r="H323" s="21">
        <f t="shared" si="10"/>
        <v>-9.2011383069802832E-2</v>
      </c>
      <c r="I323" s="10">
        <v>43202.630038859497</v>
      </c>
      <c r="J323" s="21">
        <f t="shared" si="11"/>
        <v>-1.7501962099049706</v>
      </c>
    </row>
    <row r="324" spans="1:10">
      <c r="A324" t="s">
        <v>183</v>
      </c>
      <c r="B324" t="s">
        <v>185</v>
      </c>
      <c r="C324" s="18">
        <v>2045</v>
      </c>
      <c r="D324" t="s">
        <v>187</v>
      </c>
      <c r="E324" s="20">
        <v>21735.142405315699</v>
      </c>
      <c r="F324" s="20">
        <v>14656.13421638</v>
      </c>
      <c r="G324" s="10">
        <v>15148.297956242301</v>
      </c>
      <c r="H324" s="21">
        <f t="shared" si="10"/>
        <v>492.16373986230064</v>
      </c>
      <c r="I324" s="10">
        <v>21717.616521529701</v>
      </c>
      <c r="J324" s="21">
        <f t="shared" si="11"/>
        <v>-17.525883785998303</v>
      </c>
    </row>
    <row r="325" spans="1:10">
      <c r="A325" t="s">
        <v>183</v>
      </c>
      <c r="B325" t="s">
        <v>185</v>
      </c>
      <c r="C325" s="18">
        <v>2045</v>
      </c>
      <c r="D325" t="s">
        <v>227</v>
      </c>
      <c r="E325" s="20">
        <v>1224988.8737125499</v>
      </c>
      <c r="F325" s="20">
        <v>287960.74247612001</v>
      </c>
      <c r="G325" s="10">
        <v>287925.04322278401</v>
      </c>
      <c r="H325" s="21">
        <f t="shared" si="10"/>
        <v>-35.699253336002585</v>
      </c>
      <c r="I325" s="10">
        <v>1224668.96644768</v>
      </c>
      <c r="J325" s="21">
        <f t="shared" si="11"/>
        <v>-319.90726486989297</v>
      </c>
    </row>
    <row r="326" spans="1:10">
      <c r="A326" t="s">
        <v>183</v>
      </c>
      <c r="B326" t="s">
        <v>185</v>
      </c>
      <c r="C326" s="18">
        <v>2045</v>
      </c>
      <c r="D326" t="s">
        <v>163</v>
      </c>
      <c r="E326" s="20">
        <v>152375.10262471499</v>
      </c>
      <c r="F326" s="20">
        <v>99153.392172177293</v>
      </c>
      <c r="G326" s="10">
        <v>102935.314985138</v>
      </c>
      <c r="H326" s="21">
        <f t="shared" si="10"/>
        <v>3781.9228129607072</v>
      </c>
      <c r="I326" s="10">
        <v>152338.05281588601</v>
      </c>
      <c r="J326" s="21">
        <f t="shared" si="11"/>
        <v>-37.049808828975074</v>
      </c>
    </row>
    <row r="327" spans="1:10">
      <c r="A327" t="s">
        <v>183</v>
      </c>
      <c r="B327" t="s">
        <v>185</v>
      </c>
      <c r="C327" s="18">
        <v>2045</v>
      </c>
      <c r="D327" t="s">
        <v>173</v>
      </c>
      <c r="E327" s="20">
        <v>483957.33586358302</v>
      </c>
      <c r="F327" s="20">
        <v>449896.882392728</v>
      </c>
      <c r="G327" s="10">
        <v>449717.558047709</v>
      </c>
      <c r="H327" s="21">
        <f t="shared" si="10"/>
        <v>-179.3243450190057</v>
      </c>
      <c r="I327" s="10">
        <v>483723.51612219802</v>
      </c>
      <c r="J327" s="21">
        <f t="shared" si="11"/>
        <v>-233.81974138499936</v>
      </c>
    </row>
    <row r="328" spans="1:10">
      <c r="A328" t="s">
        <v>183</v>
      </c>
      <c r="B328" t="s">
        <v>185</v>
      </c>
      <c r="C328" s="18">
        <v>2045</v>
      </c>
      <c r="D328" t="s">
        <v>177</v>
      </c>
      <c r="E328" s="20">
        <v>831821.88775070105</v>
      </c>
      <c r="F328" s="20">
        <v>528901.41923730099</v>
      </c>
      <c r="G328" s="10">
        <v>529994.22695920803</v>
      </c>
      <c r="H328" s="21">
        <f t="shared" si="10"/>
        <v>1092.8077219070401</v>
      </c>
      <c r="I328" s="10">
        <v>831470.21009817696</v>
      </c>
      <c r="J328" s="21">
        <f t="shared" si="11"/>
        <v>-351.67765252408572</v>
      </c>
    </row>
    <row r="329" spans="1:10">
      <c r="A329" t="s">
        <v>183</v>
      </c>
      <c r="B329" t="s">
        <v>185</v>
      </c>
      <c r="C329" s="18">
        <v>2045</v>
      </c>
      <c r="D329" t="s">
        <v>181</v>
      </c>
      <c r="E329" s="20">
        <v>646171.79465869803</v>
      </c>
      <c r="F329" s="20">
        <v>387952.35945712798</v>
      </c>
      <c r="G329" s="10">
        <v>387750.67878189799</v>
      </c>
      <c r="H329" s="21">
        <f t="shared" si="10"/>
        <v>-201.68067522998899</v>
      </c>
      <c r="I329" s="10">
        <v>645730.44769895996</v>
      </c>
      <c r="J329" s="21">
        <f t="shared" si="11"/>
        <v>-441.34695973806083</v>
      </c>
    </row>
    <row r="330" spans="1:10">
      <c r="A330" t="s">
        <v>183</v>
      </c>
      <c r="B330" t="s">
        <v>185</v>
      </c>
      <c r="C330" s="18">
        <v>2045</v>
      </c>
      <c r="D330" t="s">
        <v>209</v>
      </c>
      <c r="E330" s="20">
        <v>43192.521360866303</v>
      </c>
      <c r="F330" s="20">
        <v>7672.1719753201696</v>
      </c>
      <c r="G330" s="10">
        <v>7672.0682267846396</v>
      </c>
      <c r="H330" s="21">
        <f t="shared" si="10"/>
        <v>-0.10374853553003049</v>
      </c>
      <c r="I330" s="10">
        <v>43190.603751316099</v>
      </c>
      <c r="J330" s="21">
        <f t="shared" si="11"/>
        <v>-1.9176095502043609</v>
      </c>
    </row>
    <row r="331" spans="1:10">
      <c r="A331" t="s">
        <v>183</v>
      </c>
      <c r="B331" t="s">
        <v>185</v>
      </c>
      <c r="C331" s="18">
        <v>2046</v>
      </c>
      <c r="D331" t="s">
        <v>187</v>
      </c>
      <c r="E331" s="20">
        <v>22230.320238908102</v>
      </c>
      <c r="F331" s="20">
        <v>14914.857561082001</v>
      </c>
      <c r="G331" s="10">
        <v>15436.8918612077</v>
      </c>
      <c r="H331" s="21">
        <f t="shared" si="10"/>
        <v>522.03430012569879</v>
      </c>
      <c r="I331" s="10">
        <v>22210.974521910699</v>
      </c>
      <c r="J331" s="21">
        <f t="shared" si="11"/>
        <v>-19.345716997402633</v>
      </c>
    </row>
    <row r="332" spans="1:10">
      <c r="A332" t="s">
        <v>183</v>
      </c>
      <c r="B332" t="s">
        <v>185</v>
      </c>
      <c r="C332" s="18">
        <v>2046</v>
      </c>
      <c r="D332" t="s">
        <v>227</v>
      </c>
      <c r="E332" s="20">
        <v>1230471.7319579299</v>
      </c>
      <c r="F332" s="20">
        <v>295206.25730901002</v>
      </c>
      <c r="G332" s="10">
        <v>295165.87720880198</v>
      </c>
      <c r="H332" s="21">
        <f t="shared" si="10"/>
        <v>-40.380100208043586</v>
      </c>
      <c r="I332" s="10">
        <v>1230125.0687766999</v>
      </c>
      <c r="J332" s="21">
        <f t="shared" si="11"/>
        <v>-346.66318122996017</v>
      </c>
    </row>
    <row r="333" spans="1:10">
      <c r="A333" t="s">
        <v>183</v>
      </c>
      <c r="B333" t="s">
        <v>185</v>
      </c>
      <c r="C333" s="18">
        <v>2046</v>
      </c>
      <c r="D333" t="s">
        <v>163</v>
      </c>
      <c r="E333" s="20">
        <v>154960.02674597601</v>
      </c>
      <c r="F333" s="20">
        <v>100738.08301174401</v>
      </c>
      <c r="G333" s="10">
        <v>104731.13398431199</v>
      </c>
      <c r="H333" s="21">
        <f t="shared" si="10"/>
        <v>3993.0509725679876</v>
      </c>
      <c r="I333" s="10">
        <v>154919.18519988199</v>
      </c>
      <c r="J333" s="21">
        <f t="shared" si="11"/>
        <v>-40.841546094015939</v>
      </c>
    </row>
    <row r="334" spans="1:10">
      <c r="A334" t="s">
        <v>183</v>
      </c>
      <c r="B334" t="s">
        <v>185</v>
      </c>
      <c r="C334" s="18">
        <v>2046</v>
      </c>
      <c r="D334" t="s">
        <v>173</v>
      </c>
      <c r="E334" s="20">
        <v>489815.07513469498</v>
      </c>
      <c r="F334" s="20">
        <v>455507.19186603301</v>
      </c>
      <c r="G334" s="10">
        <v>455310.080020589</v>
      </c>
      <c r="H334" s="21">
        <f t="shared" si="10"/>
        <v>-197.11184544401476</v>
      </c>
      <c r="I334" s="10">
        <v>489559.56948849699</v>
      </c>
      <c r="J334" s="21">
        <f t="shared" si="11"/>
        <v>-255.50564619799843</v>
      </c>
    </row>
    <row r="335" spans="1:10">
      <c r="A335" t="s">
        <v>183</v>
      </c>
      <c r="B335" t="s">
        <v>185</v>
      </c>
      <c r="C335" s="18">
        <v>2046</v>
      </c>
      <c r="D335" t="s">
        <v>177</v>
      </c>
      <c r="E335" s="20">
        <v>842407.53405321494</v>
      </c>
      <c r="F335" s="20">
        <v>537303.57596817997</v>
      </c>
      <c r="G335" s="10">
        <v>538440.16822828504</v>
      </c>
      <c r="H335" s="21">
        <f t="shared" si="10"/>
        <v>1136.5922601050697</v>
      </c>
      <c r="I335" s="10">
        <v>842022.211146035</v>
      </c>
      <c r="J335" s="21">
        <f t="shared" si="11"/>
        <v>-385.32290717994329</v>
      </c>
    </row>
    <row r="336" spans="1:10">
      <c r="A336" t="s">
        <v>183</v>
      </c>
      <c r="B336" t="s">
        <v>185</v>
      </c>
      <c r="C336" s="18">
        <v>2046</v>
      </c>
      <c r="D336" t="s">
        <v>181</v>
      </c>
      <c r="E336" s="20">
        <v>656506.61582612805</v>
      </c>
      <c r="F336" s="20">
        <v>397657.84907489998</v>
      </c>
      <c r="G336" s="10">
        <v>397431.95060261199</v>
      </c>
      <c r="H336" s="21">
        <f t="shared" si="10"/>
        <v>-225.89847228798317</v>
      </c>
      <c r="I336" s="10">
        <v>656023.20384824695</v>
      </c>
      <c r="J336" s="21">
        <f t="shared" si="11"/>
        <v>-483.41197788110003</v>
      </c>
    </row>
    <row r="337" spans="1:10">
      <c r="A337" t="s">
        <v>183</v>
      </c>
      <c r="B337" t="s">
        <v>185</v>
      </c>
      <c r="C337" s="18">
        <v>2046</v>
      </c>
      <c r="D337" t="s">
        <v>209</v>
      </c>
      <c r="E337" s="20">
        <v>43198.403106576603</v>
      </c>
      <c r="F337" s="20">
        <v>7693.6733473022196</v>
      </c>
      <c r="G337" s="10">
        <v>7693.5570486562501</v>
      </c>
      <c r="H337" s="21">
        <f t="shared" si="10"/>
        <v>-0.11629864596943662</v>
      </c>
      <c r="I337" s="10">
        <v>43196.310323112302</v>
      </c>
      <c r="J337" s="21">
        <f t="shared" si="11"/>
        <v>-2.0927834643007373</v>
      </c>
    </row>
    <row r="338" spans="1:10">
      <c r="A338" t="s">
        <v>183</v>
      </c>
      <c r="B338" t="s">
        <v>185</v>
      </c>
      <c r="C338" s="18">
        <v>2047</v>
      </c>
      <c r="D338" t="s">
        <v>187</v>
      </c>
      <c r="E338" s="20">
        <v>22720.934290109901</v>
      </c>
      <c r="F338" s="20">
        <v>15175.820072111899</v>
      </c>
      <c r="G338" s="10">
        <v>15728.485494730299</v>
      </c>
      <c r="H338" s="21">
        <f t="shared" si="10"/>
        <v>552.66542261840004</v>
      </c>
      <c r="I338" s="10">
        <v>22699.6629629007</v>
      </c>
      <c r="J338" s="21">
        <f t="shared" si="11"/>
        <v>-21.271327209200535</v>
      </c>
    </row>
    <row r="339" spans="1:10">
      <c r="A339" t="s">
        <v>183</v>
      </c>
      <c r="B339" t="s">
        <v>185</v>
      </c>
      <c r="C339" s="18">
        <v>2047</v>
      </c>
      <c r="D339" t="s">
        <v>227</v>
      </c>
      <c r="E339" s="20">
        <v>1235648.8850772099</v>
      </c>
      <c r="F339" s="20">
        <v>302225.95968119201</v>
      </c>
      <c r="G339" s="10">
        <v>302180.55031250097</v>
      </c>
      <c r="H339" s="21">
        <f t="shared" si="10"/>
        <v>-45.409368691034615</v>
      </c>
      <c r="I339" s="10">
        <v>1235274.66521773</v>
      </c>
      <c r="J339" s="21">
        <f t="shared" si="11"/>
        <v>-374.21985947992653</v>
      </c>
    </row>
    <row r="340" spans="1:10">
      <c r="A340" t="s">
        <v>183</v>
      </c>
      <c r="B340" t="s">
        <v>185</v>
      </c>
      <c r="C340" s="18">
        <v>2047</v>
      </c>
      <c r="D340" t="s">
        <v>163</v>
      </c>
      <c r="E340" s="20">
        <v>157480.78764026801</v>
      </c>
      <c r="F340" s="20">
        <v>102280.427034063</v>
      </c>
      <c r="G340" s="10">
        <v>106487.67776034201</v>
      </c>
      <c r="H340" s="21">
        <f t="shared" si="10"/>
        <v>4207.2507262790023</v>
      </c>
      <c r="I340" s="10">
        <v>157435.937342911</v>
      </c>
      <c r="J340" s="21">
        <f t="shared" si="11"/>
        <v>-44.850297357013915</v>
      </c>
    </row>
    <row r="341" spans="1:10">
      <c r="A341" t="s">
        <v>183</v>
      </c>
      <c r="B341" t="s">
        <v>185</v>
      </c>
      <c r="C341" s="18">
        <v>2047</v>
      </c>
      <c r="D341" t="s">
        <v>173</v>
      </c>
      <c r="E341" s="20">
        <v>495325.47565967299</v>
      </c>
      <c r="F341" s="20">
        <v>460755.08524781599</v>
      </c>
      <c r="G341" s="10">
        <v>460539.427749469</v>
      </c>
      <c r="H341" s="21">
        <f t="shared" si="10"/>
        <v>-215.65749834699091</v>
      </c>
      <c r="I341" s="10">
        <v>495047.33168069902</v>
      </c>
      <c r="J341" s="21">
        <f t="shared" si="11"/>
        <v>-278.14397897396702</v>
      </c>
    </row>
    <row r="342" spans="1:10">
      <c r="A342" t="s">
        <v>183</v>
      </c>
      <c r="B342" t="s">
        <v>185</v>
      </c>
      <c r="C342" s="18">
        <v>2047</v>
      </c>
      <c r="D342" t="s">
        <v>177</v>
      </c>
      <c r="E342" s="20">
        <v>852777.72411318903</v>
      </c>
      <c r="F342" s="20">
        <v>545713.42840808199</v>
      </c>
      <c r="G342" s="10">
        <v>546892.884748123</v>
      </c>
      <c r="H342" s="21">
        <f t="shared" si="10"/>
        <v>1179.4563400410116</v>
      </c>
      <c r="I342" s="10">
        <v>852357.03689663101</v>
      </c>
      <c r="J342" s="21">
        <f t="shared" si="11"/>
        <v>-420.68721655802801</v>
      </c>
    </row>
    <row r="343" spans="1:10">
      <c r="A343" t="s">
        <v>183</v>
      </c>
      <c r="B343" t="s">
        <v>185</v>
      </c>
      <c r="C343" s="18">
        <v>2047</v>
      </c>
      <c r="D343" t="s">
        <v>181</v>
      </c>
      <c r="E343" s="20">
        <v>666488.13045355806</v>
      </c>
      <c r="F343" s="20">
        <v>407190.07129303803</v>
      </c>
      <c r="G343" s="10">
        <v>406938.30985862098</v>
      </c>
      <c r="H343" s="21">
        <f t="shared" si="10"/>
        <v>-251.76143441704335</v>
      </c>
      <c r="I343" s="10">
        <v>665960.53053760703</v>
      </c>
      <c r="J343" s="21">
        <f t="shared" si="11"/>
        <v>-527.59991595102474</v>
      </c>
    </row>
    <row r="344" spans="1:10">
      <c r="A344" t="s">
        <v>183</v>
      </c>
      <c r="B344" t="s">
        <v>185</v>
      </c>
      <c r="C344" s="18">
        <v>2047</v>
      </c>
      <c r="D344" t="s">
        <v>209</v>
      </c>
      <c r="E344" s="20">
        <v>43219.910557854302</v>
      </c>
      <c r="F344" s="20">
        <v>7716.39419663844</v>
      </c>
      <c r="G344" s="10">
        <v>7716.2645250788601</v>
      </c>
      <c r="H344" s="21">
        <f t="shared" si="10"/>
        <v>-0.12967155957994692</v>
      </c>
      <c r="I344" s="10">
        <v>43217.634192350401</v>
      </c>
      <c r="J344" s="21">
        <f t="shared" si="11"/>
        <v>-2.2763655039016157</v>
      </c>
    </row>
    <row r="345" spans="1:10">
      <c r="A345" t="s">
        <v>183</v>
      </c>
      <c r="B345" t="s">
        <v>185</v>
      </c>
      <c r="C345" s="18">
        <v>2048</v>
      </c>
      <c r="D345" t="s">
        <v>187</v>
      </c>
      <c r="E345" s="20">
        <v>23203.079603620699</v>
      </c>
      <c r="F345" s="20">
        <v>15442.037143931801</v>
      </c>
      <c r="G345" s="10">
        <v>16025.2187605858</v>
      </c>
      <c r="H345" s="21">
        <f t="shared" si="10"/>
        <v>583.1816166539993</v>
      </c>
      <c r="I345" s="10">
        <v>23179.777529823201</v>
      </c>
      <c r="J345" s="21">
        <f t="shared" si="11"/>
        <v>-23.302073797498451</v>
      </c>
    </row>
    <row r="346" spans="1:10">
      <c r="A346" t="s">
        <v>183</v>
      </c>
      <c r="B346" t="s">
        <v>185</v>
      </c>
      <c r="C346" s="18">
        <v>2048</v>
      </c>
      <c r="D346" t="s">
        <v>227</v>
      </c>
      <c r="E346" s="20">
        <v>1240611.6431598801</v>
      </c>
      <c r="F346" s="20">
        <v>309015.09344810998</v>
      </c>
      <c r="G346" s="10">
        <v>308964.31037728197</v>
      </c>
      <c r="H346" s="21">
        <f t="shared" si="10"/>
        <v>-50.783070828008931</v>
      </c>
      <c r="I346" s="10">
        <v>1240209.10376068</v>
      </c>
      <c r="J346" s="21">
        <f t="shared" si="11"/>
        <v>-402.53939920011908</v>
      </c>
    </row>
    <row r="347" spans="1:10">
      <c r="A347" t="s">
        <v>183</v>
      </c>
      <c r="B347" t="s">
        <v>185</v>
      </c>
      <c r="C347" s="18">
        <v>2048</v>
      </c>
      <c r="D347" t="s">
        <v>163</v>
      </c>
      <c r="E347" s="20">
        <v>159926.14265563799</v>
      </c>
      <c r="F347" s="20">
        <v>103781.18667548501</v>
      </c>
      <c r="G347" s="10">
        <v>108205.309376064</v>
      </c>
      <c r="H347" s="21">
        <f t="shared" si="10"/>
        <v>4424.1227005789988</v>
      </c>
      <c r="I347" s="10">
        <v>159877.06955740901</v>
      </c>
      <c r="J347" s="21">
        <f t="shared" si="11"/>
        <v>-49.073098228982417</v>
      </c>
    </row>
    <row r="348" spans="1:10">
      <c r="A348" t="s">
        <v>183</v>
      </c>
      <c r="B348" t="s">
        <v>185</v>
      </c>
      <c r="C348" s="18">
        <v>2048</v>
      </c>
      <c r="D348" t="s">
        <v>173</v>
      </c>
      <c r="E348" s="20">
        <v>500553.67483447498</v>
      </c>
      <c r="F348" s="20">
        <v>465793.46294323599</v>
      </c>
      <c r="G348" s="10">
        <v>465558.478994868</v>
      </c>
      <c r="H348" s="21">
        <f t="shared" si="10"/>
        <v>-234.98394836799707</v>
      </c>
      <c r="I348" s="10">
        <v>500251.96367663803</v>
      </c>
      <c r="J348" s="21">
        <f t="shared" si="11"/>
        <v>-301.71115783695132</v>
      </c>
    </row>
    <row r="349" spans="1:10">
      <c r="A349" t="s">
        <v>183</v>
      </c>
      <c r="B349" t="s">
        <v>185</v>
      </c>
      <c r="C349" s="18">
        <v>2048</v>
      </c>
      <c r="D349" t="s">
        <v>177</v>
      </c>
      <c r="E349" s="20">
        <v>862878.93873719103</v>
      </c>
      <c r="F349" s="20">
        <v>553998.47016342799</v>
      </c>
      <c r="G349" s="10">
        <v>555219.25427407597</v>
      </c>
      <c r="H349" s="21">
        <f t="shared" si="10"/>
        <v>1220.7841106479755</v>
      </c>
      <c r="I349" s="10">
        <v>862421.19766606798</v>
      </c>
      <c r="J349" s="21">
        <f t="shared" si="11"/>
        <v>-457.74107112304773</v>
      </c>
    </row>
    <row r="350" spans="1:10">
      <c r="A350" t="s">
        <v>183</v>
      </c>
      <c r="B350" t="s">
        <v>185</v>
      </c>
      <c r="C350" s="18">
        <v>2048</v>
      </c>
      <c r="D350" t="s">
        <v>181</v>
      </c>
      <c r="E350" s="20">
        <v>676111.89865303796</v>
      </c>
      <c r="F350" s="20">
        <v>416500.46310306998</v>
      </c>
      <c r="G350" s="10">
        <v>416221.14564351598</v>
      </c>
      <c r="H350" s="21">
        <f t="shared" si="10"/>
        <v>-279.31745955400402</v>
      </c>
      <c r="I350" s="10">
        <v>675538.06713143899</v>
      </c>
      <c r="J350" s="21">
        <f t="shared" si="11"/>
        <v>-573.83152159897145</v>
      </c>
    </row>
    <row r="351" spans="1:10">
      <c r="A351" t="s">
        <v>183</v>
      </c>
      <c r="B351" t="s">
        <v>185</v>
      </c>
      <c r="C351" s="18">
        <v>2048</v>
      </c>
      <c r="D351" t="s">
        <v>209</v>
      </c>
      <c r="E351" s="20">
        <v>43249.584732675503</v>
      </c>
      <c r="F351" s="20">
        <v>7741.1121362260901</v>
      </c>
      <c r="G351" s="10">
        <v>7740.9682323091401</v>
      </c>
      <c r="H351" s="21">
        <f t="shared" si="10"/>
        <v>-0.14390391694996651</v>
      </c>
      <c r="I351" s="10">
        <v>43247.116568268502</v>
      </c>
      <c r="J351" s="21">
        <f t="shared" si="11"/>
        <v>-2.4681644070005859</v>
      </c>
    </row>
    <row r="352" spans="1:10">
      <c r="A352" t="s">
        <v>183</v>
      </c>
      <c r="B352" t="s">
        <v>185</v>
      </c>
      <c r="C352" s="18">
        <v>2049</v>
      </c>
      <c r="D352" t="s">
        <v>187</v>
      </c>
      <c r="E352" s="20">
        <v>23675.7953646922</v>
      </c>
      <c r="F352" s="20">
        <v>15708.096988978699</v>
      </c>
      <c r="G352" s="10">
        <v>16322.61151708</v>
      </c>
      <c r="H352" s="21">
        <f t="shared" si="10"/>
        <v>614.51452810130104</v>
      </c>
      <c r="I352" s="10">
        <v>23650.361484044901</v>
      </c>
      <c r="J352" s="21">
        <f t="shared" si="11"/>
        <v>-25.433880647298793</v>
      </c>
    </row>
    <row r="353" spans="1:10">
      <c r="A353" t="s">
        <v>183</v>
      </c>
      <c r="B353" t="s">
        <v>185</v>
      </c>
      <c r="C353" s="18">
        <v>2049</v>
      </c>
      <c r="D353" t="s">
        <v>227</v>
      </c>
      <c r="E353" s="20">
        <v>1245389.98106405</v>
      </c>
      <c r="F353" s="20">
        <v>315585.14853152202</v>
      </c>
      <c r="G353" s="10">
        <v>315528.65457465599</v>
      </c>
      <c r="H353" s="21">
        <f t="shared" si="10"/>
        <v>-56.493956866033841</v>
      </c>
      <c r="I353" s="10">
        <v>1244958.37630862</v>
      </c>
      <c r="J353" s="21">
        <f t="shared" si="11"/>
        <v>-431.60475543001667</v>
      </c>
    </row>
    <row r="354" spans="1:10">
      <c r="A354" t="s">
        <v>183</v>
      </c>
      <c r="B354" t="s">
        <v>185</v>
      </c>
      <c r="C354" s="18">
        <v>2049</v>
      </c>
      <c r="D354" t="s">
        <v>163</v>
      </c>
      <c r="E354" s="20">
        <v>162291.63655722901</v>
      </c>
      <c r="F354" s="20">
        <v>105238.57901224001</v>
      </c>
      <c r="G354" s="10">
        <v>109882.371148655</v>
      </c>
      <c r="H354" s="21">
        <f t="shared" si="10"/>
        <v>4643.7921364149952</v>
      </c>
      <c r="I354" s="10">
        <v>162238.134685625</v>
      </c>
      <c r="J354" s="21">
        <f t="shared" si="11"/>
        <v>-53.501871604006737</v>
      </c>
    </row>
    <row r="355" spans="1:10">
      <c r="A355" t="s">
        <v>183</v>
      </c>
      <c r="B355" t="s">
        <v>185</v>
      </c>
      <c r="C355" s="18">
        <v>2049</v>
      </c>
      <c r="D355" t="s">
        <v>173</v>
      </c>
      <c r="E355" s="20">
        <v>505542.06791139801</v>
      </c>
      <c r="F355" s="20">
        <v>470638.94189801998</v>
      </c>
      <c r="G355" s="10">
        <v>470383.880162835</v>
      </c>
      <c r="H355" s="21">
        <f t="shared" si="10"/>
        <v>-255.06173518497963</v>
      </c>
      <c r="I355" s="10">
        <v>505215.90050813899</v>
      </c>
      <c r="J355" s="21">
        <f t="shared" si="11"/>
        <v>-326.16740325902356</v>
      </c>
    </row>
    <row r="356" spans="1:10">
      <c r="A356" t="s">
        <v>183</v>
      </c>
      <c r="B356" t="s">
        <v>185</v>
      </c>
      <c r="C356" s="18">
        <v>2049</v>
      </c>
      <c r="D356" t="s">
        <v>177</v>
      </c>
      <c r="E356" s="20">
        <v>872535.83389093901</v>
      </c>
      <c r="F356" s="20">
        <v>562077.18530746596</v>
      </c>
      <c r="G356" s="10">
        <v>563337.76559367101</v>
      </c>
      <c r="H356" s="21">
        <f t="shared" si="10"/>
        <v>1260.5802862050477</v>
      </c>
      <c r="I356" s="10">
        <v>872039.41256190802</v>
      </c>
      <c r="J356" s="21">
        <f t="shared" si="11"/>
        <v>-496.42132903099991</v>
      </c>
    </row>
    <row r="357" spans="1:10">
      <c r="A357" t="s">
        <v>183</v>
      </c>
      <c r="B357" t="s">
        <v>185</v>
      </c>
      <c r="C357" s="18">
        <v>2049</v>
      </c>
      <c r="D357" t="s">
        <v>181</v>
      </c>
      <c r="E357" s="20">
        <v>685421.53745311697</v>
      </c>
      <c r="F357" s="20">
        <v>425519.81001632899</v>
      </c>
      <c r="G357" s="10">
        <v>425211.29480666103</v>
      </c>
      <c r="H357" s="21">
        <f t="shared" si="10"/>
        <v>-308.5152096679667</v>
      </c>
      <c r="I357" s="10">
        <v>684799.51924341801</v>
      </c>
      <c r="J357" s="21">
        <f t="shared" si="11"/>
        <v>-622.01820969895925</v>
      </c>
    </row>
    <row r="358" spans="1:10">
      <c r="A358" t="s">
        <v>183</v>
      </c>
      <c r="B358" t="s">
        <v>185</v>
      </c>
      <c r="C358" s="18">
        <v>2049</v>
      </c>
      <c r="D358" t="s">
        <v>209</v>
      </c>
      <c r="E358" s="20">
        <v>43290.361540458704</v>
      </c>
      <c r="F358" s="20">
        <v>7764.5840713090502</v>
      </c>
      <c r="G358" s="10">
        <v>7764.4250577338198</v>
      </c>
      <c r="H358" s="21">
        <f t="shared" si="10"/>
        <v>-0.15901357523034676</v>
      </c>
      <c r="I358" s="10">
        <v>43287.694118175197</v>
      </c>
      <c r="J358" s="21">
        <f t="shared" si="11"/>
        <v>-2.6674222835063119</v>
      </c>
    </row>
    <row r="359" spans="1:10">
      <c r="A359" t="s">
        <v>183</v>
      </c>
      <c r="B359" t="s">
        <v>185</v>
      </c>
      <c r="C359" s="18">
        <v>2050</v>
      </c>
      <c r="D359" t="s">
        <v>187</v>
      </c>
      <c r="E359" s="20">
        <v>24138.093479351399</v>
      </c>
      <c r="F359" s="20">
        <v>15972.374034322</v>
      </c>
      <c r="G359" s="10">
        <v>16618.923709126098</v>
      </c>
      <c r="H359" s="21">
        <f t="shared" si="10"/>
        <v>646.54967480409869</v>
      </c>
      <c r="I359" s="10">
        <v>24110.4306261692</v>
      </c>
      <c r="J359" s="21">
        <f t="shared" si="11"/>
        <v>-27.662853182198887</v>
      </c>
    </row>
    <row r="360" spans="1:10">
      <c r="A360" t="s">
        <v>183</v>
      </c>
      <c r="B360" t="s">
        <v>185</v>
      </c>
      <c r="C360" s="18">
        <v>2050</v>
      </c>
      <c r="D360" t="s">
        <v>227</v>
      </c>
      <c r="E360" s="20">
        <v>1250036.3848294001</v>
      </c>
      <c r="F360" s="20">
        <v>321928.68177312298</v>
      </c>
      <c r="G360" s="10">
        <v>321866.14542390499</v>
      </c>
      <c r="H360" s="21">
        <f t="shared" si="10"/>
        <v>-62.536349217989482</v>
      </c>
      <c r="I360" s="10">
        <v>1249574.9812984299</v>
      </c>
      <c r="J360" s="21">
        <f t="shared" si="11"/>
        <v>-461.4035309702158</v>
      </c>
    </row>
    <row r="361" spans="1:10">
      <c r="A361" t="s">
        <v>183</v>
      </c>
      <c r="B361" t="s">
        <v>185</v>
      </c>
      <c r="C361" s="18">
        <v>2050</v>
      </c>
      <c r="D361" t="s">
        <v>163</v>
      </c>
      <c r="E361" s="20">
        <v>164585.08093755299</v>
      </c>
      <c r="F361" s="20">
        <v>106631.30758805299</v>
      </c>
      <c r="G361" s="10">
        <v>111496.260054028</v>
      </c>
      <c r="H361" s="21">
        <f t="shared" si="10"/>
        <v>4864.9524659750023</v>
      </c>
      <c r="I361" s="10">
        <v>164526.94959842</v>
      </c>
      <c r="J361" s="21">
        <f t="shared" si="11"/>
        <v>-58.131339132989524</v>
      </c>
    </row>
    <row r="362" spans="1:10">
      <c r="A362" t="s">
        <v>183</v>
      </c>
      <c r="B362" t="s">
        <v>185</v>
      </c>
      <c r="C362" s="18">
        <v>2050</v>
      </c>
      <c r="D362" t="s">
        <v>173</v>
      </c>
      <c r="E362" s="20">
        <v>510275.26515681099</v>
      </c>
      <c r="F362" s="20">
        <v>475169.09332998598</v>
      </c>
      <c r="G362" s="10">
        <v>474893.25455494301</v>
      </c>
      <c r="H362" s="21">
        <f t="shared" si="10"/>
        <v>-275.83877504296834</v>
      </c>
      <c r="I362" s="10">
        <v>509923.79465326603</v>
      </c>
      <c r="J362" s="21">
        <f t="shared" si="11"/>
        <v>-351.47050354495877</v>
      </c>
    </row>
    <row r="363" spans="1:10">
      <c r="A363" t="s">
        <v>183</v>
      </c>
      <c r="B363" t="s">
        <v>185</v>
      </c>
      <c r="C363" s="18">
        <v>2050</v>
      </c>
      <c r="D363" t="s">
        <v>177</v>
      </c>
      <c r="E363" s="20">
        <v>881756.84885750897</v>
      </c>
      <c r="F363" s="20">
        <v>570006.04692242795</v>
      </c>
      <c r="G363" s="10">
        <v>571305.13066545594</v>
      </c>
      <c r="H363" s="21">
        <f t="shared" si="10"/>
        <v>1299.0837430279935</v>
      </c>
      <c r="I363" s="10">
        <v>881220.21017861494</v>
      </c>
      <c r="J363" s="21">
        <f t="shared" si="11"/>
        <v>-536.638678894029</v>
      </c>
    </row>
    <row r="364" spans="1:10">
      <c r="A364" t="s">
        <v>183</v>
      </c>
      <c r="B364" t="s">
        <v>185</v>
      </c>
      <c r="C364" s="18">
        <v>2050</v>
      </c>
      <c r="D364" t="s">
        <v>181</v>
      </c>
      <c r="E364" s="20">
        <v>694505.487698265</v>
      </c>
      <c r="F364" s="20">
        <v>434267.43613480101</v>
      </c>
      <c r="G364" s="10">
        <v>433928.11684243701</v>
      </c>
      <c r="H364" s="21">
        <f t="shared" si="10"/>
        <v>-339.31929236400174</v>
      </c>
      <c r="I364" s="10">
        <v>693833.37581002596</v>
      </c>
      <c r="J364" s="21">
        <f t="shared" si="11"/>
        <v>-672.11188823904376</v>
      </c>
    </row>
    <row r="365" spans="1:10">
      <c r="A365" t="s">
        <v>183</v>
      </c>
      <c r="B365" t="s">
        <v>185</v>
      </c>
      <c r="C365" s="18">
        <v>2050</v>
      </c>
      <c r="D365" t="s">
        <v>209</v>
      </c>
      <c r="E365" s="20">
        <v>43340.207882768802</v>
      </c>
      <c r="F365" s="20">
        <v>7785.7675093518401</v>
      </c>
      <c r="G365" s="10">
        <v>7785.5925162465101</v>
      </c>
      <c r="H365" s="21">
        <f t="shared" si="10"/>
        <v>-0.17499310533003154</v>
      </c>
      <c r="I365" s="10">
        <v>43337.334071848098</v>
      </c>
      <c r="J365" s="21">
        <f t="shared" si="11"/>
        <v>-2.8738109207042726</v>
      </c>
    </row>
    <row r="366" spans="1:10">
      <c r="A366" t="s">
        <v>197</v>
      </c>
      <c r="B366" t="s">
        <v>199</v>
      </c>
      <c r="C366" s="18">
        <v>2025</v>
      </c>
      <c r="D366" t="s">
        <v>187</v>
      </c>
      <c r="E366" s="20">
        <v>12347.3896757033</v>
      </c>
      <c r="F366" s="20">
        <v>8917.9206405346704</v>
      </c>
      <c r="G366" s="10">
        <v>8975.3084972287597</v>
      </c>
      <c r="H366" s="21">
        <f t="shared" si="10"/>
        <v>57.387856694089351</v>
      </c>
      <c r="I366" s="10">
        <v>12347.3896757033</v>
      </c>
      <c r="J366" s="21">
        <f t="shared" si="11"/>
        <v>0</v>
      </c>
    </row>
    <row r="367" spans="1:10">
      <c r="A367" t="s">
        <v>197</v>
      </c>
      <c r="B367" t="s">
        <v>199</v>
      </c>
      <c r="C367" s="18">
        <v>2025</v>
      </c>
      <c r="D367" t="s">
        <v>227</v>
      </c>
      <c r="E367" s="20">
        <v>1026043.97207164</v>
      </c>
      <c r="F367" s="20">
        <v>129403.02283067199</v>
      </c>
      <c r="G367" s="10">
        <v>129403.02283067199</v>
      </c>
      <c r="H367" s="21">
        <f t="shared" si="10"/>
        <v>0</v>
      </c>
      <c r="I367" s="10">
        <v>1026043.97207164</v>
      </c>
      <c r="J367" s="21">
        <f t="shared" si="11"/>
        <v>0</v>
      </c>
    </row>
    <row r="368" spans="1:10">
      <c r="A368" t="s">
        <v>197</v>
      </c>
      <c r="B368" t="s">
        <v>199</v>
      </c>
      <c r="C368" s="18">
        <v>2025</v>
      </c>
      <c r="D368" t="s">
        <v>163</v>
      </c>
      <c r="E368" s="20">
        <v>91684.509014274605</v>
      </c>
      <c r="F368" s="20">
        <v>63076.389863405202</v>
      </c>
      <c r="G368" s="10">
        <v>63318.751825202096</v>
      </c>
      <c r="H368" s="21">
        <f t="shared" si="10"/>
        <v>242.36196179689432</v>
      </c>
      <c r="I368" s="10">
        <v>91684.509014274605</v>
      </c>
      <c r="J368" s="21">
        <f t="shared" si="11"/>
        <v>0</v>
      </c>
    </row>
    <row r="369" spans="1:10">
      <c r="A369" t="s">
        <v>197</v>
      </c>
      <c r="B369" t="s">
        <v>199</v>
      </c>
      <c r="C369" s="18">
        <v>2025</v>
      </c>
      <c r="D369" t="s">
        <v>173</v>
      </c>
      <c r="E369" s="20">
        <v>327817.99211152899</v>
      </c>
      <c r="F369" s="20">
        <v>300216.82861998002</v>
      </c>
      <c r="G369" s="10">
        <v>300216.82861998002</v>
      </c>
      <c r="H369" s="21">
        <f t="shared" si="10"/>
        <v>0</v>
      </c>
      <c r="I369" s="10">
        <v>327817.99211152899</v>
      </c>
      <c r="J369" s="21">
        <f t="shared" si="11"/>
        <v>0</v>
      </c>
    </row>
    <row r="370" spans="1:10">
      <c r="A370" t="s">
        <v>197</v>
      </c>
      <c r="B370" t="s">
        <v>199</v>
      </c>
      <c r="C370" s="18">
        <v>2025</v>
      </c>
      <c r="D370" t="s">
        <v>177</v>
      </c>
      <c r="E370" s="20">
        <v>563964.12892884796</v>
      </c>
      <c r="F370" s="20">
        <v>321090.94843664201</v>
      </c>
      <c r="G370" s="10">
        <v>321188.16298793198</v>
      </c>
      <c r="H370" s="21">
        <f t="shared" si="10"/>
        <v>97.214551289973315</v>
      </c>
      <c r="I370" s="10">
        <v>563964.12892884796</v>
      </c>
      <c r="J370" s="21">
        <f t="shared" si="11"/>
        <v>0</v>
      </c>
    </row>
    <row r="371" spans="1:10">
      <c r="A371" t="s">
        <v>197</v>
      </c>
      <c r="B371" t="s">
        <v>199</v>
      </c>
      <c r="C371" s="18">
        <v>2025</v>
      </c>
      <c r="D371" t="s">
        <v>181</v>
      </c>
      <c r="E371" s="20">
        <v>396205.91279756802</v>
      </c>
      <c r="F371" s="20">
        <v>191954.71357959701</v>
      </c>
      <c r="G371" s="10">
        <v>191954.71357959701</v>
      </c>
      <c r="H371" s="21">
        <f t="shared" si="10"/>
        <v>0</v>
      </c>
      <c r="I371" s="10">
        <v>396205.91279756802</v>
      </c>
      <c r="J371" s="21">
        <f t="shared" si="11"/>
        <v>0</v>
      </c>
    </row>
    <row r="372" spans="1:10">
      <c r="A372" t="s">
        <v>197</v>
      </c>
      <c r="B372" t="s">
        <v>199</v>
      </c>
      <c r="C372" s="18">
        <v>2025</v>
      </c>
      <c r="D372" t="s">
        <v>209</v>
      </c>
      <c r="E372" s="20">
        <v>44024.855784556101</v>
      </c>
      <c r="F372" s="20">
        <v>6961.0286695127397</v>
      </c>
      <c r="G372" s="10">
        <v>6961.0286695127397</v>
      </c>
      <c r="H372" s="21">
        <f t="shared" si="10"/>
        <v>0</v>
      </c>
      <c r="I372" s="10">
        <v>44024.855784556101</v>
      </c>
      <c r="J372" s="21">
        <f t="shared" si="11"/>
        <v>0</v>
      </c>
    </row>
    <row r="373" spans="1:10">
      <c r="A373" t="s">
        <v>197</v>
      </c>
      <c r="B373" t="s">
        <v>199</v>
      </c>
      <c r="C373" s="18">
        <v>2026</v>
      </c>
      <c r="D373" t="s">
        <v>187</v>
      </c>
      <c r="E373" s="20">
        <v>12812.5577138762</v>
      </c>
      <c r="F373" s="20">
        <v>9201.0991838239897</v>
      </c>
      <c r="G373" s="10">
        <v>9308.2642091095495</v>
      </c>
      <c r="H373" s="21">
        <f t="shared" si="10"/>
        <v>107.16502528555975</v>
      </c>
      <c r="I373" s="10">
        <v>12812.507871628</v>
      </c>
      <c r="J373" s="21">
        <f t="shared" si="11"/>
        <v>-4.9842248199638561E-2</v>
      </c>
    </row>
    <row r="374" spans="1:10">
      <c r="A374" t="s">
        <v>197</v>
      </c>
      <c r="B374" t="s">
        <v>199</v>
      </c>
      <c r="C374" s="18">
        <v>2026</v>
      </c>
      <c r="D374" t="s">
        <v>227</v>
      </c>
      <c r="E374" s="20">
        <v>1040959.89104213</v>
      </c>
      <c r="F374" s="20">
        <v>137191.89613692299</v>
      </c>
      <c r="G374" s="10">
        <v>137191.89613692299</v>
      </c>
      <c r="H374" s="21">
        <f t="shared" si="10"/>
        <v>0</v>
      </c>
      <c r="I374" s="10">
        <v>1040956.74283153</v>
      </c>
      <c r="J374" s="21">
        <f t="shared" si="11"/>
        <v>-3.148210599902086</v>
      </c>
    </row>
    <row r="375" spans="1:10">
      <c r="A375" t="s">
        <v>197</v>
      </c>
      <c r="B375" t="s">
        <v>199</v>
      </c>
      <c r="C375" s="18">
        <v>2026</v>
      </c>
      <c r="D375" t="s">
        <v>163</v>
      </c>
      <c r="E375" s="20">
        <v>95077.364497530099</v>
      </c>
      <c r="F375" s="20">
        <v>64714.164768212897</v>
      </c>
      <c r="G375" s="10">
        <v>65164.470413401701</v>
      </c>
      <c r="H375" s="21">
        <f t="shared" si="10"/>
        <v>450.30564518880419</v>
      </c>
      <c r="I375" s="10">
        <v>95077.183303526501</v>
      </c>
      <c r="J375" s="21">
        <f t="shared" si="11"/>
        <v>-0.18119400359864812</v>
      </c>
    </row>
    <row r="376" spans="1:10">
      <c r="A376" t="s">
        <v>197</v>
      </c>
      <c r="B376" t="s">
        <v>199</v>
      </c>
      <c r="C376" s="18">
        <v>2026</v>
      </c>
      <c r="D376" t="s">
        <v>173</v>
      </c>
      <c r="E376" s="20">
        <v>336876.932285288</v>
      </c>
      <c r="F376" s="20">
        <v>308606.943045308</v>
      </c>
      <c r="G376" s="10">
        <v>308606.943045308</v>
      </c>
      <c r="H376" s="21">
        <f t="shared" si="10"/>
        <v>0</v>
      </c>
      <c r="I376" s="10">
        <v>336875.42349560501</v>
      </c>
      <c r="J376" s="21">
        <f t="shared" si="11"/>
        <v>-1.5087896829936653</v>
      </c>
    </row>
    <row r="377" spans="1:10">
      <c r="A377" t="s">
        <v>197</v>
      </c>
      <c r="B377" t="s">
        <v>199</v>
      </c>
      <c r="C377" s="18">
        <v>2026</v>
      </c>
      <c r="D377" t="s">
        <v>177</v>
      </c>
      <c r="E377" s="20">
        <v>580113.594327003</v>
      </c>
      <c r="F377" s="20">
        <v>332701.98472867499</v>
      </c>
      <c r="G377" s="10">
        <v>332896.18576831103</v>
      </c>
      <c r="H377" s="21">
        <f t="shared" si="10"/>
        <v>194.20103963604197</v>
      </c>
      <c r="I377" s="10">
        <v>580111.54195764905</v>
      </c>
      <c r="J377" s="21">
        <f t="shared" si="11"/>
        <v>-2.0523693539435044</v>
      </c>
    </row>
    <row r="378" spans="1:10">
      <c r="A378" t="s">
        <v>197</v>
      </c>
      <c r="B378" t="s">
        <v>199</v>
      </c>
      <c r="C378" s="18">
        <v>2026</v>
      </c>
      <c r="D378" t="s">
        <v>181</v>
      </c>
      <c r="E378" s="20">
        <v>409832.267176344</v>
      </c>
      <c r="F378" s="20">
        <v>202008.19978323701</v>
      </c>
      <c r="G378" s="10">
        <v>202008.19978323701</v>
      </c>
      <c r="H378" s="21">
        <f t="shared" si="10"/>
        <v>0</v>
      </c>
      <c r="I378" s="10">
        <v>409829.87281699001</v>
      </c>
      <c r="J378" s="21">
        <f t="shared" si="11"/>
        <v>-2.3943593539879657</v>
      </c>
    </row>
    <row r="379" spans="1:10">
      <c r="A379" t="s">
        <v>197</v>
      </c>
      <c r="B379" t="s">
        <v>199</v>
      </c>
      <c r="C379" s="18">
        <v>2026</v>
      </c>
      <c r="D379" t="s">
        <v>209</v>
      </c>
      <c r="E379" s="20">
        <v>44219.184448427797</v>
      </c>
      <c r="F379" s="20">
        <v>7023.7712687228704</v>
      </c>
      <c r="G379" s="10">
        <v>7023.7712687228704</v>
      </c>
      <c r="H379" s="21">
        <f t="shared" si="10"/>
        <v>0</v>
      </c>
      <c r="I379" s="10">
        <v>44219.170751765298</v>
      </c>
      <c r="J379" s="21">
        <f t="shared" si="11"/>
        <v>-1.3696662499569356E-2</v>
      </c>
    </row>
    <row r="380" spans="1:10">
      <c r="A380" t="s">
        <v>197</v>
      </c>
      <c r="B380" t="s">
        <v>199</v>
      </c>
      <c r="C380" s="18">
        <v>2027</v>
      </c>
      <c r="D380" t="s">
        <v>187</v>
      </c>
      <c r="E380" s="20">
        <v>13273.6312864584</v>
      </c>
      <c r="F380" s="20">
        <v>9489.0321952636095</v>
      </c>
      <c r="G380" s="10">
        <v>9640.7153077701696</v>
      </c>
      <c r="H380" s="21">
        <f t="shared" si="10"/>
        <v>151.68311250656006</v>
      </c>
      <c r="I380" s="10">
        <v>13273.481772584</v>
      </c>
      <c r="J380" s="21">
        <f t="shared" si="11"/>
        <v>-0.14951387439941755</v>
      </c>
    </row>
    <row r="381" spans="1:10">
      <c r="A381" t="s">
        <v>197</v>
      </c>
      <c r="B381" t="s">
        <v>199</v>
      </c>
      <c r="C381" s="18">
        <v>2027</v>
      </c>
      <c r="D381" t="s">
        <v>227</v>
      </c>
      <c r="E381" s="20">
        <v>1055264.46487992</v>
      </c>
      <c r="F381" s="20">
        <v>145087.171007008</v>
      </c>
      <c r="G381" s="10">
        <v>145087.13077641799</v>
      </c>
      <c r="H381" s="21">
        <f t="shared" si="10"/>
        <v>-4.0230590006103739E-2</v>
      </c>
      <c r="I381" s="10">
        <v>1055255.40879996</v>
      </c>
      <c r="J381" s="21">
        <f t="shared" si="11"/>
        <v>-9.056079959962517</v>
      </c>
    </row>
    <row r="382" spans="1:10">
      <c r="A382" t="s">
        <v>197</v>
      </c>
      <c r="B382" t="s">
        <v>199</v>
      </c>
      <c r="C382" s="18">
        <v>2027</v>
      </c>
      <c r="D382" t="s">
        <v>163</v>
      </c>
      <c r="E382" s="20">
        <v>98449.374329749902</v>
      </c>
      <c r="F382" s="20">
        <v>66433.351529285297</v>
      </c>
      <c r="G382" s="10">
        <v>67068.016908610196</v>
      </c>
      <c r="H382" s="21">
        <f t="shared" si="10"/>
        <v>634.66537932489882</v>
      </c>
      <c r="I382" s="10">
        <v>98448.827883966893</v>
      </c>
      <c r="J382" s="21">
        <f t="shared" si="11"/>
        <v>-0.54644578300940339</v>
      </c>
    </row>
    <row r="383" spans="1:10">
      <c r="A383" t="s">
        <v>197</v>
      </c>
      <c r="B383" t="s">
        <v>199</v>
      </c>
      <c r="C383" s="18">
        <v>2027</v>
      </c>
      <c r="D383" t="s">
        <v>173</v>
      </c>
      <c r="E383" s="20">
        <v>345941.09214122797</v>
      </c>
      <c r="F383" s="20">
        <v>317120.46884387301</v>
      </c>
      <c r="G383" s="10">
        <v>317119.55355255498</v>
      </c>
      <c r="H383" s="21">
        <f t="shared" si="10"/>
        <v>-0.91529131802963093</v>
      </c>
      <c r="I383" s="10">
        <v>345936.70671640302</v>
      </c>
      <c r="J383" s="21">
        <f t="shared" si="11"/>
        <v>-4.3854248249554075</v>
      </c>
    </row>
    <row r="384" spans="1:10">
      <c r="A384" t="s">
        <v>197</v>
      </c>
      <c r="B384" t="s">
        <v>199</v>
      </c>
      <c r="C384" s="18">
        <v>2027</v>
      </c>
      <c r="D384" t="s">
        <v>177</v>
      </c>
      <c r="E384" s="20">
        <v>596154.69761947903</v>
      </c>
      <c r="F384" s="20">
        <v>344226.289771443</v>
      </c>
      <c r="G384" s="10">
        <v>344517.274659827</v>
      </c>
      <c r="H384" s="21">
        <f t="shared" si="10"/>
        <v>290.98488838400226</v>
      </c>
      <c r="I384" s="10">
        <v>596148.83233467594</v>
      </c>
      <c r="J384" s="21">
        <f t="shared" si="11"/>
        <v>-5.8652848030906171</v>
      </c>
    </row>
    <row r="385" spans="1:10">
      <c r="A385" t="s">
        <v>197</v>
      </c>
      <c r="B385" t="s">
        <v>199</v>
      </c>
      <c r="C385" s="18">
        <v>2027</v>
      </c>
      <c r="D385" t="s">
        <v>181</v>
      </c>
      <c r="E385" s="20">
        <v>423492.07741815801</v>
      </c>
      <c r="F385" s="20">
        <v>211995.64493750501</v>
      </c>
      <c r="G385" s="10">
        <v>211995.48802417101</v>
      </c>
      <c r="H385" s="21">
        <f t="shared" si="10"/>
        <v>-0.15691333400900476</v>
      </c>
      <c r="I385" s="10">
        <v>423485.10132199898</v>
      </c>
      <c r="J385" s="21">
        <f t="shared" si="11"/>
        <v>-6.9760961590218358</v>
      </c>
    </row>
    <row r="386" spans="1:10">
      <c r="A386" t="s">
        <v>197</v>
      </c>
      <c r="B386" t="s">
        <v>199</v>
      </c>
      <c r="C386" s="18">
        <v>2027</v>
      </c>
      <c r="D386" t="s">
        <v>209</v>
      </c>
      <c r="E386" s="20">
        <v>44384.2414466673</v>
      </c>
      <c r="F386" s="20">
        <v>7080.0570916882998</v>
      </c>
      <c r="G386" s="10">
        <v>7080.0570056816796</v>
      </c>
      <c r="H386" s="21">
        <f t="shared" ref="H386:H449" si="12">G386-F386</f>
        <v>-8.6006620222178753E-5</v>
      </c>
      <c r="I386" s="10">
        <v>44384.2018393689</v>
      </c>
      <c r="J386" s="21">
        <f t="shared" ref="J386:J449" si="13">I386-E386</f>
        <v>-3.9607298400369473E-2</v>
      </c>
    </row>
    <row r="387" spans="1:10">
      <c r="A387" t="s">
        <v>197</v>
      </c>
      <c r="B387" t="s">
        <v>199</v>
      </c>
      <c r="C387" s="18">
        <v>2028</v>
      </c>
      <c r="D387" t="s">
        <v>187</v>
      </c>
      <c r="E387" s="20">
        <v>13729.799700900699</v>
      </c>
      <c r="F387" s="20">
        <v>9778.9504297441799</v>
      </c>
      <c r="G387" s="10">
        <v>9971.4547216338906</v>
      </c>
      <c r="H387" s="21">
        <f t="shared" si="12"/>
        <v>192.50429188971066</v>
      </c>
      <c r="I387" s="10">
        <v>13729.5005000864</v>
      </c>
      <c r="J387" s="21">
        <f t="shared" si="13"/>
        <v>-0.29920081429918355</v>
      </c>
    </row>
    <row r="388" spans="1:10">
      <c r="A388" t="s">
        <v>197</v>
      </c>
      <c r="B388" t="s">
        <v>199</v>
      </c>
      <c r="C388" s="18">
        <v>2028</v>
      </c>
      <c r="D388" t="s">
        <v>227</v>
      </c>
      <c r="E388" s="20">
        <v>1069022.5017031599</v>
      </c>
      <c r="F388" s="20">
        <v>153078.02434864501</v>
      </c>
      <c r="G388" s="10">
        <v>153077.86738724401</v>
      </c>
      <c r="H388" s="21">
        <f t="shared" si="12"/>
        <v>-0.15696140099316835</v>
      </c>
      <c r="I388" s="10">
        <v>1069005.07088018</v>
      </c>
      <c r="J388" s="21">
        <f t="shared" si="13"/>
        <v>-17.430822979891673</v>
      </c>
    </row>
    <row r="389" spans="1:10">
      <c r="A389" t="s">
        <v>197</v>
      </c>
      <c r="B389" t="s">
        <v>199</v>
      </c>
      <c r="C389" s="18">
        <v>2028</v>
      </c>
      <c r="D389" t="s">
        <v>163</v>
      </c>
      <c r="E389" s="20">
        <v>101799.06559888</v>
      </c>
      <c r="F389" s="20">
        <v>68216.829367729297</v>
      </c>
      <c r="G389" s="10">
        <v>69019.933123164999</v>
      </c>
      <c r="H389" s="21">
        <f t="shared" si="12"/>
        <v>803.10375543570262</v>
      </c>
      <c r="I389" s="10">
        <v>101797.96761407</v>
      </c>
      <c r="J389" s="21">
        <f t="shared" si="13"/>
        <v>-1.0979848099959781</v>
      </c>
    </row>
    <row r="390" spans="1:10">
      <c r="A390" t="s">
        <v>197</v>
      </c>
      <c r="B390" t="s">
        <v>199</v>
      </c>
      <c r="C390" s="18">
        <v>2028</v>
      </c>
      <c r="D390" t="s">
        <v>173</v>
      </c>
      <c r="E390" s="20">
        <v>354974.06895396899</v>
      </c>
      <c r="F390" s="20">
        <v>325693.62492303899</v>
      </c>
      <c r="G390" s="10">
        <v>325690.68301689299</v>
      </c>
      <c r="H390" s="21">
        <f t="shared" si="12"/>
        <v>-2.9419061460066587</v>
      </c>
      <c r="I390" s="10">
        <v>354965.53581913299</v>
      </c>
      <c r="J390" s="21">
        <f t="shared" si="13"/>
        <v>-8.533134836005047</v>
      </c>
    </row>
    <row r="391" spans="1:10">
      <c r="A391" t="s">
        <v>197</v>
      </c>
      <c r="B391" t="s">
        <v>199</v>
      </c>
      <c r="C391" s="18">
        <v>2028</v>
      </c>
      <c r="D391" t="s">
        <v>177</v>
      </c>
      <c r="E391" s="20">
        <v>612042.87767331803</v>
      </c>
      <c r="F391" s="20">
        <v>355686.00075760501</v>
      </c>
      <c r="G391" s="10">
        <v>356073.57143805898</v>
      </c>
      <c r="H391" s="21">
        <f t="shared" si="12"/>
        <v>387.57068045396591</v>
      </c>
      <c r="I391" s="10">
        <v>612031.65944475099</v>
      </c>
      <c r="J391" s="21">
        <f t="shared" si="13"/>
        <v>-11.218228567042388</v>
      </c>
    </row>
    <row r="392" spans="1:10">
      <c r="A392" t="s">
        <v>197</v>
      </c>
      <c r="B392" t="s">
        <v>199</v>
      </c>
      <c r="C392" s="18">
        <v>2028</v>
      </c>
      <c r="D392" t="s">
        <v>181</v>
      </c>
      <c r="E392" s="20">
        <v>437173.35017541301</v>
      </c>
      <c r="F392" s="20">
        <v>221909.57390589101</v>
      </c>
      <c r="G392" s="10">
        <v>221908.95856330299</v>
      </c>
      <c r="H392" s="21">
        <f t="shared" si="12"/>
        <v>-0.61534258801839314</v>
      </c>
      <c r="I392" s="10">
        <v>437159.75519195799</v>
      </c>
      <c r="J392" s="21">
        <f t="shared" si="13"/>
        <v>-13.594983455026522</v>
      </c>
    </row>
    <row r="393" spans="1:10">
      <c r="A393" t="s">
        <v>197</v>
      </c>
      <c r="B393" t="s">
        <v>199</v>
      </c>
      <c r="C393" s="18">
        <v>2028</v>
      </c>
      <c r="D393" t="s">
        <v>209</v>
      </c>
      <c r="E393" s="20">
        <v>44510.141594079403</v>
      </c>
      <c r="F393" s="20">
        <v>7131.0704928824898</v>
      </c>
      <c r="G393" s="10">
        <v>7131.0701635649802</v>
      </c>
      <c r="H393" s="21">
        <f t="shared" si="12"/>
        <v>-3.293175095677725E-4</v>
      </c>
      <c r="I393" s="10">
        <v>44510.064962992903</v>
      </c>
      <c r="J393" s="21">
        <f t="shared" si="13"/>
        <v>-7.6631086500128731E-2</v>
      </c>
    </row>
    <row r="394" spans="1:10">
      <c r="A394" t="s">
        <v>197</v>
      </c>
      <c r="B394" t="s">
        <v>199</v>
      </c>
      <c r="C394" s="18">
        <v>2029</v>
      </c>
      <c r="D394" t="s">
        <v>187</v>
      </c>
      <c r="E394" s="20">
        <v>14181.9235462367</v>
      </c>
      <c r="F394" s="20">
        <v>10070.500793524699</v>
      </c>
      <c r="G394" s="10">
        <v>10301.2295792609</v>
      </c>
      <c r="H394" s="21">
        <f t="shared" si="12"/>
        <v>230.72878573620073</v>
      </c>
      <c r="I394" s="10">
        <v>14181.423637546701</v>
      </c>
      <c r="J394" s="21">
        <f t="shared" si="13"/>
        <v>-0.49990868999884697</v>
      </c>
    </row>
    <row r="395" spans="1:10">
      <c r="A395" t="s">
        <v>197</v>
      </c>
      <c r="B395" t="s">
        <v>199</v>
      </c>
      <c r="C395" s="18">
        <v>2029</v>
      </c>
      <c r="D395" t="s">
        <v>227</v>
      </c>
      <c r="E395" s="20">
        <v>1082280.4406715201</v>
      </c>
      <c r="F395" s="20">
        <v>161161.44530011099</v>
      </c>
      <c r="G395" s="10">
        <v>161161.06213209301</v>
      </c>
      <c r="H395" s="21">
        <f t="shared" si="12"/>
        <v>-0.38316801798646338</v>
      </c>
      <c r="I395" s="10">
        <v>1082252.3942307399</v>
      </c>
      <c r="J395" s="21">
        <f t="shared" si="13"/>
        <v>-28.046440780162811</v>
      </c>
    </row>
    <row r="396" spans="1:10">
      <c r="A396" t="s">
        <v>197</v>
      </c>
      <c r="B396" t="s">
        <v>199</v>
      </c>
      <c r="C396" s="18">
        <v>2029</v>
      </c>
      <c r="D396" t="s">
        <v>163</v>
      </c>
      <c r="E396" s="20">
        <v>105116.531128439</v>
      </c>
      <c r="F396" s="20">
        <v>70080.1918495102</v>
      </c>
      <c r="G396" s="10">
        <v>71042.054429439493</v>
      </c>
      <c r="H396" s="21">
        <f t="shared" si="12"/>
        <v>961.86257992929313</v>
      </c>
      <c r="I396" s="10">
        <v>105114.693344183</v>
      </c>
      <c r="J396" s="21">
        <f t="shared" si="13"/>
        <v>-1.8377842560003046</v>
      </c>
    </row>
    <row r="397" spans="1:10">
      <c r="A397" t="s">
        <v>197</v>
      </c>
      <c r="B397" t="s">
        <v>199</v>
      </c>
      <c r="C397" s="18">
        <v>2029</v>
      </c>
      <c r="D397" t="s">
        <v>173</v>
      </c>
      <c r="E397" s="20">
        <v>363910.09121401497</v>
      </c>
      <c r="F397" s="20">
        <v>334298.805065241</v>
      </c>
      <c r="G397" s="10">
        <v>334292.677138926</v>
      </c>
      <c r="H397" s="21">
        <f t="shared" si="12"/>
        <v>-6.1279263150063343</v>
      </c>
      <c r="I397" s="10">
        <v>363896.20424716797</v>
      </c>
      <c r="J397" s="21">
        <f t="shared" si="13"/>
        <v>-13.886966846999712</v>
      </c>
    </row>
    <row r="398" spans="1:10">
      <c r="A398" t="s">
        <v>197</v>
      </c>
      <c r="B398" t="s">
        <v>199</v>
      </c>
      <c r="C398" s="18">
        <v>2029</v>
      </c>
      <c r="D398" t="s">
        <v>177</v>
      </c>
      <c r="E398" s="20">
        <v>627744.29648585501</v>
      </c>
      <c r="F398" s="20">
        <v>367091.233500487</v>
      </c>
      <c r="G398" s="10">
        <v>367575.22274735</v>
      </c>
      <c r="H398" s="21">
        <f t="shared" si="12"/>
        <v>483.9892468629987</v>
      </c>
      <c r="I398" s="10">
        <v>627726.33689879405</v>
      </c>
      <c r="J398" s="21">
        <f t="shared" si="13"/>
        <v>-17.959587060962804</v>
      </c>
    </row>
    <row r="399" spans="1:10">
      <c r="A399" t="s">
        <v>197</v>
      </c>
      <c r="B399" t="s">
        <v>199</v>
      </c>
      <c r="C399" s="18">
        <v>2029</v>
      </c>
      <c r="D399" t="s">
        <v>181</v>
      </c>
      <c r="E399" s="20">
        <v>450808.29561662697</v>
      </c>
      <c r="F399" s="20">
        <v>231709.52324907301</v>
      </c>
      <c r="G399" s="10">
        <v>231708.01887569</v>
      </c>
      <c r="H399" s="21">
        <f t="shared" si="12"/>
        <v>-1.5043733830098063</v>
      </c>
      <c r="I399" s="10">
        <v>450786.13401356898</v>
      </c>
      <c r="J399" s="21">
        <f t="shared" si="13"/>
        <v>-22.161603057989851</v>
      </c>
    </row>
    <row r="400" spans="1:10">
      <c r="A400" t="s">
        <v>197</v>
      </c>
      <c r="B400" t="s">
        <v>199</v>
      </c>
      <c r="C400" s="18">
        <v>2029</v>
      </c>
      <c r="D400" t="s">
        <v>209</v>
      </c>
      <c r="E400" s="20">
        <v>44600.3853850667</v>
      </c>
      <c r="F400" s="20">
        <v>7178.2201060422803</v>
      </c>
      <c r="G400" s="10">
        <v>7178.2193159725202</v>
      </c>
      <c r="H400" s="21">
        <f t="shared" si="12"/>
        <v>-7.9006976011442021E-4</v>
      </c>
      <c r="I400" s="10">
        <v>44600.261443595497</v>
      </c>
      <c r="J400" s="21">
        <f t="shared" si="13"/>
        <v>-0.12394147120357957</v>
      </c>
    </row>
    <row r="401" spans="1:10">
      <c r="A401" t="s">
        <v>197</v>
      </c>
      <c r="B401" t="s">
        <v>199</v>
      </c>
      <c r="C401" s="18">
        <v>2030</v>
      </c>
      <c r="D401" t="s">
        <v>187</v>
      </c>
      <c r="E401" s="20">
        <v>14631.679856376601</v>
      </c>
      <c r="F401" s="20">
        <v>10362.999322178899</v>
      </c>
      <c r="G401" s="10">
        <v>10630.2702680602</v>
      </c>
      <c r="H401" s="21">
        <f t="shared" si="12"/>
        <v>267.27094588130058</v>
      </c>
      <c r="I401" s="10">
        <v>14630.9263575645</v>
      </c>
      <c r="J401" s="21">
        <f t="shared" si="13"/>
        <v>-0.75349881210058811</v>
      </c>
    </row>
    <row r="402" spans="1:10">
      <c r="A402" t="s">
        <v>197</v>
      </c>
      <c r="B402" t="s">
        <v>199</v>
      </c>
      <c r="C402" s="18">
        <v>2030</v>
      </c>
      <c r="D402" t="s">
        <v>227</v>
      </c>
      <c r="E402" s="20">
        <v>1094997.5759249399</v>
      </c>
      <c r="F402" s="20">
        <v>169315.583124903</v>
      </c>
      <c r="G402" s="10">
        <v>169314.83403803801</v>
      </c>
      <c r="H402" s="21">
        <f t="shared" si="12"/>
        <v>-0.74908686499111354</v>
      </c>
      <c r="I402" s="10">
        <v>1094956.8444496701</v>
      </c>
      <c r="J402" s="21">
        <f t="shared" si="13"/>
        <v>-40.731475269887596</v>
      </c>
    </row>
    <row r="403" spans="1:10">
      <c r="A403" t="s">
        <v>197</v>
      </c>
      <c r="B403" t="s">
        <v>199</v>
      </c>
      <c r="C403" s="18">
        <v>2030</v>
      </c>
      <c r="D403" t="s">
        <v>163</v>
      </c>
      <c r="E403" s="20">
        <v>108396.54267235599</v>
      </c>
      <c r="F403" s="20">
        <v>72005.042837963294</v>
      </c>
      <c r="G403" s="10">
        <v>73120.8011068864</v>
      </c>
      <c r="H403" s="21">
        <f t="shared" si="12"/>
        <v>1115.7582689231058</v>
      </c>
      <c r="I403" s="10">
        <v>108393.77376611999</v>
      </c>
      <c r="J403" s="21">
        <f t="shared" si="13"/>
        <v>-2.7689062360004755</v>
      </c>
    </row>
    <row r="404" spans="1:10">
      <c r="A404" t="s">
        <v>197</v>
      </c>
      <c r="B404" t="s">
        <v>199</v>
      </c>
      <c r="C404" s="18">
        <v>2030</v>
      </c>
      <c r="D404" t="s">
        <v>173</v>
      </c>
      <c r="E404" s="20">
        <v>372762.199364089</v>
      </c>
      <c r="F404" s="20">
        <v>342900.09479610401</v>
      </c>
      <c r="G404" s="10">
        <v>342889.63536639401</v>
      </c>
      <c r="H404" s="21">
        <f t="shared" si="12"/>
        <v>-10.459429709997494</v>
      </c>
      <c r="I404" s="10">
        <v>372741.79546126397</v>
      </c>
      <c r="J404" s="21">
        <f t="shared" si="13"/>
        <v>-20.403902825026307</v>
      </c>
    </row>
    <row r="405" spans="1:10">
      <c r="A405" t="s">
        <v>197</v>
      </c>
      <c r="B405" t="s">
        <v>199</v>
      </c>
      <c r="C405" s="18">
        <v>2030</v>
      </c>
      <c r="D405" t="s">
        <v>177</v>
      </c>
      <c r="E405" s="20">
        <v>643180.20834426302</v>
      </c>
      <c r="F405" s="20">
        <v>378360.30511421303</v>
      </c>
      <c r="G405" s="10">
        <v>378940.23126744502</v>
      </c>
      <c r="H405" s="21">
        <f t="shared" si="12"/>
        <v>579.92615323199425</v>
      </c>
      <c r="I405" s="10">
        <v>643154.21130562795</v>
      </c>
      <c r="J405" s="21">
        <f t="shared" si="13"/>
        <v>-25.997038635076024</v>
      </c>
    </row>
    <row r="406" spans="1:10">
      <c r="A406" t="s">
        <v>197</v>
      </c>
      <c r="B406" t="s">
        <v>199</v>
      </c>
      <c r="C406" s="18">
        <v>2030</v>
      </c>
      <c r="D406" t="s">
        <v>181</v>
      </c>
      <c r="E406" s="20">
        <v>464393.17941188498</v>
      </c>
      <c r="F406" s="20">
        <v>241313.25475147899</v>
      </c>
      <c r="G406" s="10">
        <v>241310.309903655</v>
      </c>
      <c r="H406" s="21">
        <f t="shared" si="12"/>
        <v>-2.9448478239937685</v>
      </c>
      <c r="I406" s="10">
        <v>464360.51810377202</v>
      </c>
      <c r="J406" s="21">
        <f t="shared" si="13"/>
        <v>-32.661308112961706</v>
      </c>
    </row>
    <row r="407" spans="1:10">
      <c r="A407" t="s">
        <v>197</v>
      </c>
      <c r="B407" t="s">
        <v>199</v>
      </c>
      <c r="C407" s="18">
        <v>2030</v>
      </c>
      <c r="D407" t="s">
        <v>209</v>
      </c>
      <c r="E407" s="20">
        <v>44647.4498319333</v>
      </c>
      <c r="F407" s="20">
        <v>7223.1118327721097</v>
      </c>
      <c r="G407" s="10">
        <v>7223.1103147423601</v>
      </c>
      <c r="H407" s="21">
        <f t="shared" si="12"/>
        <v>-1.5180297496044659E-3</v>
      </c>
      <c r="I407" s="10">
        <v>44647.268915282999</v>
      </c>
      <c r="J407" s="21">
        <f t="shared" si="13"/>
        <v>-0.1809166503007873</v>
      </c>
    </row>
    <row r="408" spans="1:10">
      <c r="A408" t="s">
        <v>197</v>
      </c>
      <c r="B408" t="s">
        <v>199</v>
      </c>
      <c r="C408" s="18">
        <v>2031</v>
      </c>
      <c r="D408" t="s">
        <v>187</v>
      </c>
      <c r="E408" s="20">
        <v>15081.4455752263</v>
      </c>
      <c r="F408" s="20">
        <v>10652.7077769075</v>
      </c>
      <c r="G408" s="10">
        <v>10955.4255331558</v>
      </c>
      <c r="H408" s="21">
        <f t="shared" si="12"/>
        <v>302.71775624829934</v>
      </c>
      <c r="I408" s="10">
        <v>15080.3825495532</v>
      </c>
      <c r="J408" s="21">
        <f t="shared" si="13"/>
        <v>-1.0630256731001282</v>
      </c>
    </row>
    <row r="409" spans="1:10">
      <c r="A409" t="s">
        <v>197</v>
      </c>
      <c r="B409" t="s">
        <v>199</v>
      </c>
      <c r="C409" s="18">
        <v>2031</v>
      </c>
      <c r="D409" t="s">
        <v>227</v>
      </c>
      <c r="E409" s="20">
        <v>1107083.0255082599</v>
      </c>
      <c r="F409" s="20">
        <v>177512.18882784</v>
      </c>
      <c r="G409" s="10">
        <v>177510.90619666901</v>
      </c>
      <c r="H409" s="21">
        <f t="shared" si="12"/>
        <v>-1.2826311709941365</v>
      </c>
      <c r="I409" s="10">
        <v>1107027.6916289399</v>
      </c>
      <c r="J409" s="21">
        <f t="shared" si="13"/>
        <v>-55.333879319950938</v>
      </c>
    </row>
    <row r="410" spans="1:10">
      <c r="A410" t="s">
        <v>197</v>
      </c>
      <c r="B410" t="s">
        <v>199</v>
      </c>
      <c r="C410" s="18">
        <v>2031</v>
      </c>
      <c r="D410" t="s">
        <v>163</v>
      </c>
      <c r="E410" s="20">
        <v>111636.843273764</v>
      </c>
      <c r="F410" s="20">
        <v>73962.653750853395</v>
      </c>
      <c r="G410" s="10">
        <v>75230.219664338001</v>
      </c>
      <c r="H410" s="21">
        <f t="shared" si="12"/>
        <v>1267.5659134846064</v>
      </c>
      <c r="I410" s="10">
        <v>111632.94755435199</v>
      </c>
      <c r="J410" s="21">
        <f t="shared" si="13"/>
        <v>-3.8957194120011991</v>
      </c>
    </row>
    <row r="411" spans="1:10">
      <c r="A411" t="s">
        <v>197</v>
      </c>
      <c r="B411" t="s">
        <v>199</v>
      </c>
      <c r="C411" s="18">
        <v>2031</v>
      </c>
      <c r="D411" t="s">
        <v>173</v>
      </c>
      <c r="E411" s="20">
        <v>381498.32293161901</v>
      </c>
      <c r="F411" s="20">
        <v>351448.42667115497</v>
      </c>
      <c r="G411" s="10">
        <v>351432.51867295097</v>
      </c>
      <c r="H411" s="21">
        <f t="shared" si="12"/>
        <v>-15.907998203998432</v>
      </c>
      <c r="I411" s="10">
        <v>381470.26678102103</v>
      </c>
      <c r="J411" s="21">
        <f t="shared" si="13"/>
        <v>-28.056150597985834</v>
      </c>
    </row>
    <row r="412" spans="1:10">
      <c r="A412" t="s">
        <v>197</v>
      </c>
      <c r="B412" t="s">
        <v>199</v>
      </c>
      <c r="C412" s="18">
        <v>2031</v>
      </c>
      <c r="D412" t="s">
        <v>177</v>
      </c>
      <c r="E412" s="20">
        <v>658317.43997107504</v>
      </c>
      <c r="F412" s="20">
        <v>389505.60622056801</v>
      </c>
      <c r="G412" s="10">
        <v>390181.00302030199</v>
      </c>
      <c r="H412" s="21">
        <f t="shared" si="12"/>
        <v>675.3967997339787</v>
      </c>
      <c r="I412" s="10">
        <v>658282.14926881401</v>
      </c>
      <c r="J412" s="21">
        <f t="shared" si="13"/>
        <v>-35.290702261030674</v>
      </c>
    </row>
    <row r="413" spans="1:10">
      <c r="A413" t="s">
        <v>197</v>
      </c>
      <c r="B413" t="s">
        <v>199</v>
      </c>
      <c r="C413" s="18">
        <v>2031</v>
      </c>
      <c r="D413" t="s">
        <v>181</v>
      </c>
      <c r="E413" s="20">
        <v>477823.23746419401</v>
      </c>
      <c r="F413" s="20">
        <v>250820.82295726301</v>
      </c>
      <c r="G413" s="10">
        <v>250815.78266259201</v>
      </c>
      <c r="H413" s="21">
        <f t="shared" si="12"/>
        <v>-5.0402946709946264</v>
      </c>
      <c r="I413" s="10">
        <v>477778.14604748198</v>
      </c>
      <c r="J413" s="21">
        <f t="shared" si="13"/>
        <v>-45.091416712035425</v>
      </c>
    </row>
    <row r="414" spans="1:10">
      <c r="A414" t="s">
        <v>197</v>
      </c>
      <c r="B414" t="s">
        <v>199</v>
      </c>
      <c r="C414" s="18">
        <v>2031</v>
      </c>
      <c r="D414" t="s">
        <v>209</v>
      </c>
      <c r="E414" s="20">
        <v>44640.5944561008</v>
      </c>
      <c r="F414" s="20">
        <v>7266.7685568262004</v>
      </c>
      <c r="G414" s="10">
        <v>7266.7660002075399</v>
      </c>
      <c r="H414" s="21">
        <f t="shared" si="12"/>
        <v>-2.5566186604919494E-3</v>
      </c>
      <c r="I414" s="10">
        <v>44640.347295477797</v>
      </c>
      <c r="J414" s="21">
        <f t="shared" si="13"/>
        <v>-0.24716062300285557</v>
      </c>
    </row>
    <row r="415" spans="1:10">
      <c r="A415" t="s">
        <v>197</v>
      </c>
      <c r="B415" t="s">
        <v>199</v>
      </c>
      <c r="C415" s="18">
        <v>2032</v>
      </c>
      <c r="D415" t="s">
        <v>187</v>
      </c>
      <c r="E415" s="20">
        <v>15532.6926337149</v>
      </c>
      <c r="F415" s="20">
        <v>10937.4392188603</v>
      </c>
      <c r="G415" s="10">
        <v>11274.495449735199</v>
      </c>
      <c r="H415" s="21">
        <f t="shared" si="12"/>
        <v>337.05623087489948</v>
      </c>
      <c r="I415" s="10">
        <v>15531.2601955666</v>
      </c>
      <c r="J415" s="21">
        <f t="shared" si="13"/>
        <v>-1.4324381483002071</v>
      </c>
    </row>
    <row r="416" spans="1:10">
      <c r="A416" t="s">
        <v>197</v>
      </c>
      <c r="B416" t="s">
        <v>199</v>
      </c>
      <c r="C416" s="18">
        <v>2032</v>
      </c>
      <c r="D416" t="s">
        <v>227</v>
      </c>
      <c r="E416" s="20">
        <v>1118549.0490009999</v>
      </c>
      <c r="F416" s="20">
        <v>185728.00815861899</v>
      </c>
      <c r="G416" s="10">
        <v>185725.99905880101</v>
      </c>
      <c r="H416" s="21">
        <f t="shared" si="12"/>
        <v>-2.0090998179803137</v>
      </c>
      <c r="I416" s="10">
        <v>1118477.3274982399</v>
      </c>
      <c r="J416" s="21">
        <f t="shared" si="13"/>
        <v>-71.721502759959549</v>
      </c>
    </row>
    <row r="417" spans="1:10">
      <c r="A417" t="s">
        <v>197</v>
      </c>
      <c r="B417" t="s">
        <v>199</v>
      </c>
      <c r="C417" s="18">
        <v>2032</v>
      </c>
      <c r="D417" t="s">
        <v>163</v>
      </c>
      <c r="E417" s="20">
        <v>114840.445472975</v>
      </c>
      <c r="F417" s="20">
        <v>75934.860767016697</v>
      </c>
      <c r="G417" s="10">
        <v>77353.061023932896</v>
      </c>
      <c r="H417" s="21">
        <f t="shared" si="12"/>
        <v>1418.2002569161996</v>
      </c>
      <c r="I417" s="10">
        <v>114835.221802653</v>
      </c>
      <c r="J417" s="21">
        <f t="shared" si="13"/>
        <v>-5.2236703219969058</v>
      </c>
    </row>
    <row r="418" spans="1:10">
      <c r="A418" t="s">
        <v>197</v>
      </c>
      <c r="B418" t="s">
        <v>199</v>
      </c>
      <c r="C418" s="18">
        <v>2032</v>
      </c>
      <c r="D418" t="s">
        <v>173</v>
      </c>
      <c r="E418" s="20">
        <v>390035.20404293999</v>
      </c>
      <c r="F418" s="20">
        <v>359856.99528577301</v>
      </c>
      <c r="G418" s="10">
        <v>359834.54685286601</v>
      </c>
      <c r="H418" s="21">
        <f t="shared" si="12"/>
        <v>-22.448432906996459</v>
      </c>
      <c r="I418" s="10">
        <v>389998.37668875401</v>
      </c>
      <c r="J418" s="21">
        <f t="shared" si="13"/>
        <v>-36.827354185981676</v>
      </c>
    </row>
    <row r="419" spans="1:10">
      <c r="A419" t="s">
        <v>197</v>
      </c>
      <c r="B419" t="s">
        <v>199</v>
      </c>
      <c r="C419" s="18">
        <v>2032</v>
      </c>
      <c r="D419" t="s">
        <v>177</v>
      </c>
      <c r="E419" s="20">
        <v>673179.70061843796</v>
      </c>
      <c r="F419" s="20">
        <v>400548.26323207002</v>
      </c>
      <c r="G419" s="10">
        <v>401318.28619347198</v>
      </c>
      <c r="H419" s="21">
        <f t="shared" si="12"/>
        <v>770.02296140196268</v>
      </c>
      <c r="I419" s="10">
        <v>673133.88827326603</v>
      </c>
      <c r="J419" s="21">
        <f t="shared" si="13"/>
        <v>-45.812345171929337</v>
      </c>
    </row>
    <row r="420" spans="1:10">
      <c r="A420" t="s">
        <v>197</v>
      </c>
      <c r="B420" t="s">
        <v>199</v>
      </c>
      <c r="C420" s="18">
        <v>2032</v>
      </c>
      <c r="D420" t="s">
        <v>181</v>
      </c>
      <c r="E420" s="20">
        <v>490964.14377829299</v>
      </c>
      <c r="F420" s="20">
        <v>260354.831408531</v>
      </c>
      <c r="G420" s="10">
        <v>260346.937343717</v>
      </c>
      <c r="H420" s="21">
        <f t="shared" si="12"/>
        <v>-7.8940648139978293</v>
      </c>
      <c r="I420" s="10">
        <v>490904.70344577997</v>
      </c>
      <c r="J420" s="21">
        <f t="shared" si="13"/>
        <v>-59.440332513011526</v>
      </c>
    </row>
    <row r="421" spans="1:10">
      <c r="A421" t="s">
        <v>197</v>
      </c>
      <c r="B421" t="s">
        <v>199</v>
      </c>
      <c r="C421" s="18">
        <v>2032</v>
      </c>
      <c r="D421" t="s">
        <v>209</v>
      </c>
      <c r="E421" s="20">
        <v>44583.5679423275</v>
      </c>
      <c r="F421" s="20">
        <v>7308.6935120103199</v>
      </c>
      <c r="G421" s="10">
        <v>7308.6895683399798</v>
      </c>
      <c r="H421" s="21">
        <f t="shared" si="12"/>
        <v>-3.9436703400497208E-3</v>
      </c>
      <c r="I421" s="10">
        <v>44583.245501595899</v>
      </c>
      <c r="J421" s="21">
        <f t="shared" si="13"/>
        <v>-0.3224407316010911</v>
      </c>
    </row>
    <row r="422" spans="1:10">
      <c r="A422" t="s">
        <v>197</v>
      </c>
      <c r="B422" t="s">
        <v>199</v>
      </c>
      <c r="C422" s="18">
        <v>2033</v>
      </c>
      <c r="D422" t="s">
        <v>187</v>
      </c>
      <c r="E422" s="20">
        <v>15985.583048435799</v>
      </c>
      <c r="F422" s="20">
        <v>11216.698084077199</v>
      </c>
      <c r="G422" s="10">
        <v>11586.9335708044</v>
      </c>
      <c r="H422" s="21">
        <f t="shared" si="12"/>
        <v>370.23548672720062</v>
      </c>
      <c r="I422" s="10">
        <v>15983.7175379286</v>
      </c>
      <c r="J422" s="21">
        <f t="shared" si="13"/>
        <v>-1.8655105071993603</v>
      </c>
    </row>
    <row r="423" spans="1:10">
      <c r="A423" t="s">
        <v>197</v>
      </c>
      <c r="B423" t="s">
        <v>199</v>
      </c>
      <c r="C423" s="18">
        <v>2033</v>
      </c>
      <c r="D423" t="s">
        <v>227</v>
      </c>
      <c r="E423" s="20">
        <v>1129323.2551918</v>
      </c>
      <c r="F423" s="20">
        <v>193956.17627442899</v>
      </c>
      <c r="G423" s="10">
        <v>193953.224223645</v>
      </c>
      <c r="H423" s="21">
        <f t="shared" si="12"/>
        <v>-2.9520507839915808</v>
      </c>
      <c r="I423" s="10">
        <v>1129233.47845058</v>
      </c>
      <c r="J423" s="21">
        <f t="shared" si="13"/>
        <v>-89.776741219917312</v>
      </c>
    </row>
    <row r="424" spans="1:10">
      <c r="A424" t="s">
        <v>197</v>
      </c>
      <c r="B424" t="s">
        <v>199</v>
      </c>
      <c r="C424" s="18">
        <v>2033</v>
      </c>
      <c r="D424" t="s">
        <v>163</v>
      </c>
      <c r="E424" s="20">
        <v>118005.495313263</v>
      </c>
      <c r="F424" s="20">
        <v>77913.199994619295</v>
      </c>
      <c r="G424" s="10">
        <v>79480.4761690429</v>
      </c>
      <c r="H424" s="21">
        <f t="shared" si="12"/>
        <v>1567.276174423605</v>
      </c>
      <c r="I424" s="10">
        <v>117998.73843744201</v>
      </c>
      <c r="J424" s="21">
        <f t="shared" si="13"/>
        <v>-6.7568758209963562</v>
      </c>
    </row>
    <row r="425" spans="1:10">
      <c r="A425" t="s">
        <v>197</v>
      </c>
      <c r="B425" t="s">
        <v>199</v>
      </c>
      <c r="C425" s="18">
        <v>2033</v>
      </c>
      <c r="D425" t="s">
        <v>173</v>
      </c>
      <c r="E425" s="20">
        <v>398401.04692908202</v>
      </c>
      <c r="F425" s="20">
        <v>368081.68885944301</v>
      </c>
      <c r="G425" s="10">
        <v>368051.62457544298</v>
      </c>
      <c r="H425" s="21">
        <f t="shared" si="12"/>
        <v>-30.064284000021871</v>
      </c>
      <c r="I425" s="10">
        <v>398354.344992358</v>
      </c>
      <c r="J425" s="21">
        <f t="shared" si="13"/>
        <v>-46.701936724013649</v>
      </c>
    </row>
    <row r="426" spans="1:10">
      <c r="A426" t="s">
        <v>197</v>
      </c>
      <c r="B426" t="s">
        <v>199</v>
      </c>
      <c r="C426" s="18">
        <v>2033</v>
      </c>
      <c r="D426" t="s">
        <v>177</v>
      </c>
      <c r="E426" s="20">
        <v>687692.24951888598</v>
      </c>
      <c r="F426" s="20">
        <v>411485.14356380701</v>
      </c>
      <c r="G426" s="10">
        <v>412348.075678578</v>
      </c>
      <c r="H426" s="21">
        <f t="shared" si="12"/>
        <v>862.93211477098521</v>
      </c>
      <c r="I426" s="10">
        <v>687634.69954692596</v>
      </c>
      <c r="J426" s="21">
        <f t="shared" si="13"/>
        <v>-57.54997196001932</v>
      </c>
    </row>
    <row r="427" spans="1:10">
      <c r="A427" t="s">
        <v>197</v>
      </c>
      <c r="B427" t="s">
        <v>199</v>
      </c>
      <c r="C427" s="18">
        <v>2033</v>
      </c>
      <c r="D427" t="s">
        <v>181</v>
      </c>
      <c r="E427" s="20">
        <v>503826.820439615</v>
      </c>
      <c r="F427" s="20">
        <v>269895.00900581898</v>
      </c>
      <c r="G427" s="10">
        <v>269883.407599987</v>
      </c>
      <c r="H427" s="21">
        <f t="shared" si="12"/>
        <v>-11.601405831985176</v>
      </c>
      <c r="I427" s="10">
        <v>503751.109420694</v>
      </c>
      <c r="J427" s="21">
        <f t="shared" si="13"/>
        <v>-75.711018920992501</v>
      </c>
    </row>
    <row r="428" spans="1:10">
      <c r="A428" t="s">
        <v>197</v>
      </c>
      <c r="B428" t="s">
        <v>199</v>
      </c>
      <c r="C428" s="18">
        <v>2033</v>
      </c>
      <c r="D428" t="s">
        <v>209</v>
      </c>
      <c r="E428" s="20">
        <v>44484.090108647302</v>
      </c>
      <c r="F428" s="20">
        <v>7348.0798638884999</v>
      </c>
      <c r="G428" s="10">
        <v>7348.0741473220596</v>
      </c>
      <c r="H428" s="21">
        <f t="shared" si="12"/>
        <v>-5.716566440241877E-3</v>
      </c>
      <c r="I428" s="10">
        <v>44483.683589841297</v>
      </c>
      <c r="J428" s="21">
        <f t="shared" si="13"/>
        <v>-0.40651880600489676</v>
      </c>
    </row>
    <row r="429" spans="1:10">
      <c r="A429" t="s">
        <v>197</v>
      </c>
      <c r="B429" t="s">
        <v>199</v>
      </c>
      <c r="C429" s="18">
        <v>2034</v>
      </c>
      <c r="D429" t="s">
        <v>187</v>
      </c>
      <c r="E429" s="20">
        <v>16439.295122006701</v>
      </c>
      <c r="F429" s="20">
        <v>11493.723221102</v>
      </c>
      <c r="G429" s="10">
        <v>11896.382318738601</v>
      </c>
      <c r="H429" s="21">
        <f t="shared" si="12"/>
        <v>402.65909763660056</v>
      </c>
      <c r="I429" s="10">
        <v>16436.9312806497</v>
      </c>
      <c r="J429" s="21">
        <f t="shared" si="13"/>
        <v>-2.3638413570006378</v>
      </c>
    </row>
    <row r="430" spans="1:10">
      <c r="A430" t="s">
        <v>197</v>
      </c>
      <c r="B430" t="s">
        <v>199</v>
      </c>
      <c r="C430" s="18">
        <v>2034</v>
      </c>
      <c r="D430" t="s">
        <v>227</v>
      </c>
      <c r="E430" s="20">
        <v>1139466.40901455</v>
      </c>
      <c r="F430" s="20">
        <v>202151.40433000901</v>
      </c>
      <c r="G430" s="10">
        <v>202147.27044605001</v>
      </c>
      <c r="H430" s="21">
        <f t="shared" si="12"/>
        <v>-4.13388395900256</v>
      </c>
      <c r="I430" s="10">
        <v>1139357.0195160699</v>
      </c>
      <c r="J430" s="21">
        <f t="shared" si="13"/>
        <v>-109.38949848012999</v>
      </c>
    </row>
    <row r="431" spans="1:10">
      <c r="A431" t="s">
        <v>197</v>
      </c>
      <c r="B431" t="s">
        <v>199</v>
      </c>
      <c r="C431" s="18">
        <v>2034</v>
      </c>
      <c r="D431" t="s">
        <v>163</v>
      </c>
      <c r="E431" s="20">
        <v>121113.967203427</v>
      </c>
      <c r="F431" s="20">
        <v>79879.507802563894</v>
      </c>
      <c r="G431" s="10">
        <v>81594.948233921197</v>
      </c>
      <c r="H431" s="21">
        <f t="shared" si="12"/>
        <v>1715.4404313573032</v>
      </c>
      <c r="I431" s="10">
        <v>121105.471839437</v>
      </c>
      <c r="J431" s="21">
        <f t="shared" si="13"/>
        <v>-8.4953639900049893</v>
      </c>
    </row>
    <row r="432" spans="1:10">
      <c r="A432" t="s">
        <v>197</v>
      </c>
      <c r="B432" t="s">
        <v>199</v>
      </c>
      <c r="C432" s="18">
        <v>2034</v>
      </c>
      <c r="D432" t="s">
        <v>173</v>
      </c>
      <c r="E432" s="20">
        <v>406617.51662937802</v>
      </c>
      <c r="F432" s="20">
        <v>376066.86416607897</v>
      </c>
      <c r="G432" s="10">
        <v>376028.13227833499</v>
      </c>
      <c r="H432" s="21">
        <f t="shared" si="12"/>
        <v>-38.731887743982952</v>
      </c>
      <c r="I432" s="10">
        <v>406559.86735378799</v>
      </c>
      <c r="J432" s="21">
        <f t="shared" si="13"/>
        <v>-57.649275590025354</v>
      </c>
    </row>
    <row r="433" spans="1:10">
      <c r="A433" t="s">
        <v>197</v>
      </c>
      <c r="B433" t="s">
        <v>199</v>
      </c>
      <c r="C433" s="18">
        <v>2034</v>
      </c>
      <c r="D433" t="s">
        <v>177</v>
      </c>
      <c r="E433" s="20">
        <v>701762.13904617704</v>
      </c>
      <c r="F433" s="20">
        <v>422305.03013132099</v>
      </c>
      <c r="G433" s="10">
        <v>423259.10059080599</v>
      </c>
      <c r="H433" s="21">
        <f t="shared" si="12"/>
        <v>954.07045948499581</v>
      </c>
      <c r="I433" s="10">
        <v>701691.67735876795</v>
      </c>
      <c r="J433" s="21">
        <f t="shared" si="13"/>
        <v>-70.461687409086153</v>
      </c>
    </row>
    <row r="434" spans="1:10">
      <c r="A434" t="s">
        <v>197</v>
      </c>
      <c r="B434" t="s">
        <v>199</v>
      </c>
      <c r="C434" s="18">
        <v>2034</v>
      </c>
      <c r="D434" t="s">
        <v>181</v>
      </c>
      <c r="E434" s="20">
        <v>516500.40925817401</v>
      </c>
      <c r="F434" s="20">
        <v>279501.23970288603</v>
      </c>
      <c r="G434" s="10">
        <v>279484.98028522899</v>
      </c>
      <c r="H434" s="21">
        <f t="shared" si="12"/>
        <v>-16.259417657041922</v>
      </c>
      <c r="I434" s="10">
        <v>516406.53850878001</v>
      </c>
      <c r="J434" s="21">
        <f t="shared" si="13"/>
        <v>-93.870749394001905</v>
      </c>
    </row>
    <row r="435" spans="1:10">
      <c r="A435" t="s">
        <v>197</v>
      </c>
      <c r="B435" t="s">
        <v>199</v>
      </c>
      <c r="C435" s="18">
        <v>2034</v>
      </c>
      <c r="D435" t="s">
        <v>209</v>
      </c>
      <c r="E435" s="20">
        <v>44355.683480860898</v>
      </c>
      <c r="F435" s="20">
        <v>7385.0488607837096</v>
      </c>
      <c r="G435" s="10">
        <v>7385.0409467521704</v>
      </c>
      <c r="H435" s="21">
        <f t="shared" si="12"/>
        <v>-7.9140315392578486E-3</v>
      </c>
      <c r="I435" s="10">
        <v>44355.184450178996</v>
      </c>
      <c r="J435" s="21">
        <f t="shared" si="13"/>
        <v>-0.49903068190178601</v>
      </c>
    </row>
    <row r="436" spans="1:10">
      <c r="A436" t="s">
        <v>197</v>
      </c>
      <c r="B436" t="s">
        <v>199</v>
      </c>
      <c r="C436" s="18">
        <v>2035</v>
      </c>
      <c r="D436" t="s">
        <v>187</v>
      </c>
      <c r="E436" s="20">
        <v>16895.143153970999</v>
      </c>
      <c r="F436" s="20">
        <v>11768.437002372901</v>
      </c>
      <c r="G436" s="10">
        <v>12203.057717863399</v>
      </c>
      <c r="H436" s="21">
        <f t="shared" si="12"/>
        <v>434.6207154904987</v>
      </c>
      <c r="I436" s="10">
        <v>16892.2141390053</v>
      </c>
      <c r="J436" s="21">
        <f t="shared" si="13"/>
        <v>-2.9290149656990252</v>
      </c>
    </row>
    <row r="437" spans="1:10">
      <c r="A437" t="s">
        <v>197</v>
      </c>
      <c r="B437" t="s">
        <v>199</v>
      </c>
      <c r="C437" s="18">
        <v>2035</v>
      </c>
      <c r="D437" t="s">
        <v>227</v>
      </c>
      <c r="E437" s="20">
        <v>1149102.6236988399</v>
      </c>
      <c r="F437" s="20">
        <v>210296.55686197101</v>
      </c>
      <c r="G437" s="10">
        <v>210290.98052792501</v>
      </c>
      <c r="H437" s="21">
        <f t="shared" si="12"/>
        <v>-5.576334045996191</v>
      </c>
      <c r="I437" s="10">
        <v>1148972.16574985</v>
      </c>
      <c r="J437" s="21">
        <f t="shared" si="13"/>
        <v>-130.45794898993336</v>
      </c>
    </row>
    <row r="438" spans="1:10">
      <c r="A438" t="s">
        <v>197</v>
      </c>
      <c r="B438" t="s">
        <v>199</v>
      </c>
      <c r="C438" s="18">
        <v>2035</v>
      </c>
      <c r="D438" t="s">
        <v>163</v>
      </c>
      <c r="E438" s="20">
        <v>124158.646935432</v>
      </c>
      <c r="F438" s="20">
        <v>81832.088778525693</v>
      </c>
      <c r="G438" s="10">
        <v>83695.117872879797</v>
      </c>
      <c r="H438" s="21">
        <f t="shared" si="12"/>
        <v>1863.029094354104</v>
      </c>
      <c r="I438" s="10">
        <v>124148.20719584401</v>
      </c>
      <c r="J438" s="21">
        <f t="shared" si="13"/>
        <v>-10.439739587993245</v>
      </c>
    </row>
    <row r="439" spans="1:10">
      <c r="A439" t="s">
        <v>197</v>
      </c>
      <c r="B439" t="s">
        <v>199</v>
      </c>
      <c r="C439" s="18">
        <v>2035</v>
      </c>
      <c r="D439" t="s">
        <v>173</v>
      </c>
      <c r="E439" s="20">
        <v>414602.79992557399</v>
      </c>
      <c r="F439" s="20">
        <v>383837.19490280101</v>
      </c>
      <c r="G439" s="10">
        <v>383788.76252667198</v>
      </c>
      <c r="H439" s="21">
        <f t="shared" si="12"/>
        <v>-48.432376129028853</v>
      </c>
      <c r="I439" s="10">
        <v>414533.16060314502</v>
      </c>
      <c r="J439" s="21">
        <f t="shared" si="13"/>
        <v>-69.639322428964078</v>
      </c>
    </row>
    <row r="440" spans="1:10">
      <c r="A440" t="s">
        <v>197</v>
      </c>
      <c r="B440" t="s">
        <v>199</v>
      </c>
      <c r="C440" s="18">
        <v>2035</v>
      </c>
      <c r="D440" t="s">
        <v>177</v>
      </c>
      <c r="E440" s="20">
        <v>715416.327307211</v>
      </c>
      <c r="F440" s="20">
        <v>433038.419850973</v>
      </c>
      <c r="G440" s="10">
        <v>434082.03155119502</v>
      </c>
      <c r="H440" s="21">
        <f t="shared" si="12"/>
        <v>1043.6117002220126</v>
      </c>
      <c r="I440" s="10">
        <v>715331.78882210201</v>
      </c>
      <c r="J440" s="21">
        <f t="shared" si="13"/>
        <v>-84.538485108991154</v>
      </c>
    </row>
    <row r="441" spans="1:10">
      <c r="A441" t="s">
        <v>197</v>
      </c>
      <c r="B441" t="s">
        <v>199</v>
      </c>
      <c r="C441" s="18">
        <v>2035</v>
      </c>
      <c r="D441" t="s">
        <v>181</v>
      </c>
      <c r="E441" s="20">
        <v>528932.24804671702</v>
      </c>
      <c r="F441" s="20">
        <v>289172.76496465201</v>
      </c>
      <c r="G441" s="10">
        <v>289150.80243598297</v>
      </c>
      <c r="H441" s="21">
        <f t="shared" si="12"/>
        <v>-21.962528669042513</v>
      </c>
      <c r="I441" s="10">
        <v>528818.37188395299</v>
      </c>
      <c r="J441" s="21">
        <f t="shared" si="13"/>
        <v>-113.87616276403423</v>
      </c>
    </row>
    <row r="442" spans="1:10">
      <c r="A442" t="s">
        <v>197</v>
      </c>
      <c r="B442" t="s">
        <v>199</v>
      </c>
      <c r="C442" s="18">
        <v>2035</v>
      </c>
      <c r="D442" t="s">
        <v>209</v>
      </c>
      <c r="E442" s="20">
        <v>44207.307021167398</v>
      </c>
      <c r="F442" s="20">
        <v>7419.9894435880296</v>
      </c>
      <c r="G442" s="10">
        <v>7419.9788551932097</v>
      </c>
      <c r="H442" s="21">
        <f t="shared" si="12"/>
        <v>-1.0588394819933455E-2</v>
      </c>
      <c r="I442" s="10">
        <v>44206.707306712102</v>
      </c>
      <c r="J442" s="21">
        <f t="shared" si="13"/>
        <v>-0.5997144552966347</v>
      </c>
    </row>
    <row r="443" spans="1:10">
      <c r="A443" t="s">
        <v>197</v>
      </c>
      <c r="B443" t="s">
        <v>199</v>
      </c>
      <c r="C443" s="18">
        <v>2036</v>
      </c>
      <c r="D443" t="s">
        <v>187</v>
      </c>
      <c r="E443" s="20">
        <v>17354.216998052201</v>
      </c>
      <c r="F443" s="20">
        <v>12040.527586739199</v>
      </c>
      <c r="G443" s="10">
        <v>12506.9021026876</v>
      </c>
      <c r="H443" s="21">
        <f t="shared" si="12"/>
        <v>466.37451594840059</v>
      </c>
      <c r="I443" s="10">
        <v>17350.6546269342</v>
      </c>
      <c r="J443" s="21">
        <f t="shared" si="13"/>
        <v>-3.5623711180014652</v>
      </c>
    </row>
    <row r="444" spans="1:10">
      <c r="A444" t="s">
        <v>197</v>
      </c>
      <c r="B444" t="s">
        <v>199</v>
      </c>
      <c r="C444" s="18">
        <v>2036</v>
      </c>
      <c r="D444" t="s">
        <v>227</v>
      </c>
      <c r="E444" s="20">
        <v>1158419.0462942601</v>
      </c>
      <c r="F444" s="20">
        <v>218377.98774865799</v>
      </c>
      <c r="G444" s="10">
        <v>218370.687575925</v>
      </c>
      <c r="H444" s="21">
        <f t="shared" si="12"/>
        <v>-7.3001727329974528</v>
      </c>
      <c r="I444" s="10">
        <v>1158266.1377582899</v>
      </c>
      <c r="J444" s="21">
        <f t="shared" si="13"/>
        <v>-152.90853597014211</v>
      </c>
    </row>
    <row r="445" spans="1:10">
      <c r="A445" t="s">
        <v>197</v>
      </c>
      <c r="B445" t="s">
        <v>199</v>
      </c>
      <c r="C445" s="18">
        <v>2036</v>
      </c>
      <c r="D445" t="s">
        <v>163</v>
      </c>
      <c r="E445" s="20">
        <v>127151.04102095299</v>
      </c>
      <c r="F445" s="20">
        <v>83755.427454378703</v>
      </c>
      <c r="G445" s="10">
        <v>85765.564735317093</v>
      </c>
      <c r="H445" s="21">
        <f t="shared" si="12"/>
        <v>2010.1372809383902</v>
      </c>
      <c r="I445" s="10">
        <v>127138.451085333</v>
      </c>
      <c r="J445" s="21">
        <f t="shared" si="13"/>
        <v>-12.589935619995231</v>
      </c>
    </row>
    <row r="446" spans="1:10">
      <c r="A446" t="s">
        <v>197</v>
      </c>
      <c r="B446" t="s">
        <v>199</v>
      </c>
      <c r="C446" s="18">
        <v>2036</v>
      </c>
      <c r="D446" t="s">
        <v>173</v>
      </c>
      <c r="E446" s="20">
        <v>422315.30944210902</v>
      </c>
      <c r="F446" s="20">
        <v>391345.08605667099</v>
      </c>
      <c r="G446" s="10">
        <v>391285.95573958702</v>
      </c>
      <c r="H446" s="21">
        <f t="shared" si="12"/>
        <v>-59.130317083967384</v>
      </c>
      <c r="I446" s="10">
        <v>422232.65992213303</v>
      </c>
      <c r="J446" s="21">
        <f t="shared" si="13"/>
        <v>-82.649519975995645</v>
      </c>
    </row>
    <row r="447" spans="1:10">
      <c r="A447" t="s">
        <v>197</v>
      </c>
      <c r="B447" t="s">
        <v>199</v>
      </c>
      <c r="C447" s="18">
        <v>2036</v>
      </c>
      <c r="D447" t="s">
        <v>177</v>
      </c>
      <c r="E447" s="20">
        <v>728631.36492609803</v>
      </c>
      <c r="F447" s="20">
        <v>443616.490415807</v>
      </c>
      <c r="G447" s="10">
        <v>444747.90756616899</v>
      </c>
      <c r="H447" s="21">
        <f t="shared" si="12"/>
        <v>1131.4171503619873</v>
      </c>
      <c r="I447" s="10">
        <v>728531.610160843</v>
      </c>
      <c r="J447" s="21">
        <f t="shared" si="13"/>
        <v>-99.754765255027451</v>
      </c>
    </row>
    <row r="448" spans="1:10">
      <c r="A448" t="s">
        <v>197</v>
      </c>
      <c r="B448" t="s">
        <v>199</v>
      </c>
      <c r="C448" s="18">
        <v>2036</v>
      </c>
      <c r="D448" t="s">
        <v>181</v>
      </c>
      <c r="E448" s="20">
        <v>541187.98738536797</v>
      </c>
      <c r="F448" s="20">
        <v>298908.41389435099</v>
      </c>
      <c r="G448" s="10">
        <v>298879.61130973301</v>
      </c>
      <c r="H448" s="21">
        <f t="shared" si="12"/>
        <v>-28.802584617980756</v>
      </c>
      <c r="I448" s="10">
        <v>541052.28077363002</v>
      </c>
      <c r="J448" s="21">
        <f t="shared" si="13"/>
        <v>-135.70661173795816</v>
      </c>
    </row>
    <row r="449" spans="1:10">
      <c r="A449" t="s">
        <v>197</v>
      </c>
      <c r="B449" t="s">
        <v>199</v>
      </c>
      <c r="C449" s="18">
        <v>2036</v>
      </c>
      <c r="D449" t="s">
        <v>209</v>
      </c>
      <c r="E449" s="20">
        <v>44050.7067076034</v>
      </c>
      <c r="F449" s="20">
        <v>7453.3489225023704</v>
      </c>
      <c r="G449" s="10">
        <v>7453.3351271514002</v>
      </c>
      <c r="H449" s="21">
        <f t="shared" si="12"/>
        <v>-1.3795350970212894E-2</v>
      </c>
      <c r="I449" s="10">
        <v>44049.998378272197</v>
      </c>
      <c r="J449" s="21">
        <f t="shared" si="13"/>
        <v>-0.70832933120254893</v>
      </c>
    </row>
    <row r="450" spans="1:10">
      <c r="A450" t="s">
        <v>197</v>
      </c>
      <c r="B450" t="s">
        <v>199</v>
      </c>
      <c r="C450" s="18">
        <v>2037</v>
      </c>
      <c r="D450" t="s">
        <v>187</v>
      </c>
      <c r="E450" s="20">
        <v>17816.7681553523</v>
      </c>
      <c r="F450" s="20">
        <v>12309.239161440801</v>
      </c>
      <c r="G450" s="10">
        <v>12807.501268399201</v>
      </c>
      <c r="H450" s="21">
        <f t="shared" ref="H450:H513" si="14">G450-F450</f>
        <v>498.26210695840018</v>
      </c>
      <c r="I450" s="10">
        <v>17812.5035281772</v>
      </c>
      <c r="J450" s="21">
        <f t="shared" ref="J450:J513" si="15">I450-E450</f>
        <v>-4.2646271751000313</v>
      </c>
    </row>
    <row r="451" spans="1:10">
      <c r="A451" t="s">
        <v>197</v>
      </c>
      <c r="B451" t="s">
        <v>199</v>
      </c>
      <c r="C451" s="18">
        <v>2037</v>
      </c>
      <c r="D451" t="s">
        <v>227</v>
      </c>
      <c r="E451" s="20">
        <v>1167541.3476763801</v>
      </c>
      <c r="F451" s="20">
        <v>226382.689823528</v>
      </c>
      <c r="G451" s="10">
        <v>226373.365626062</v>
      </c>
      <c r="H451" s="21">
        <f t="shared" si="14"/>
        <v>-9.3241974659904372</v>
      </c>
      <c r="I451" s="10">
        <v>1167364.6654137501</v>
      </c>
      <c r="J451" s="21">
        <f t="shared" si="15"/>
        <v>-176.68226262996905</v>
      </c>
    </row>
    <row r="452" spans="1:10">
      <c r="A452" t="s">
        <v>197</v>
      </c>
      <c r="B452" t="s">
        <v>199</v>
      </c>
      <c r="C452" s="18">
        <v>2037</v>
      </c>
      <c r="D452" t="s">
        <v>163</v>
      </c>
      <c r="E452" s="20">
        <v>130107.057698095</v>
      </c>
      <c r="F452" s="20">
        <v>85629.2630997628</v>
      </c>
      <c r="G452" s="10">
        <v>87785.873914228694</v>
      </c>
      <c r="H452" s="21">
        <f t="shared" si="14"/>
        <v>2156.6108144658938</v>
      </c>
      <c r="I452" s="10">
        <v>130092.112965313</v>
      </c>
      <c r="J452" s="21">
        <f t="shared" si="15"/>
        <v>-14.944732781994389</v>
      </c>
    </row>
    <row r="453" spans="1:10">
      <c r="A453" t="s">
        <v>197</v>
      </c>
      <c r="B453" t="s">
        <v>199</v>
      </c>
      <c r="C453" s="18">
        <v>2037</v>
      </c>
      <c r="D453" t="s">
        <v>173</v>
      </c>
      <c r="E453" s="20">
        <v>429771.33882706601</v>
      </c>
      <c r="F453" s="20">
        <v>398544.596958882</v>
      </c>
      <c r="G453" s="10">
        <v>398473.81338660797</v>
      </c>
      <c r="H453" s="21">
        <f t="shared" si="14"/>
        <v>-70.783572274027392</v>
      </c>
      <c r="I453" s="10">
        <v>429674.679324948</v>
      </c>
      <c r="J453" s="21">
        <f t="shared" si="15"/>
        <v>-96.659502118011005</v>
      </c>
    </row>
    <row r="454" spans="1:10">
      <c r="A454" t="s">
        <v>197</v>
      </c>
      <c r="B454" t="s">
        <v>199</v>
      </c>
      <c r="C454" s="18">
        <v>2037</v>
      </c>
      <c r="D454" t="s">
        <v>177</v>
      </c>
      <c r="E454" s="20">
        <v>741377.49534994795</v>
      </c>
      <c r="F454" s="20">
        <v>453950.74893754802</v>
      </c>
      <c r="G454" s="10">
        <v>455168.18452875799</v>
      </c>
      <c r="H454" s="21">
        <f t="shared" si="14"/>
        <v>1217.4355912099709</v>
      </c>
      <c r="I454" s="10">
        <v>741261.42723499297</v>
      </c>
      <c r="J454" s="21">
        <f t="shared" si="15"/>
        <v>-116.06811495497823</v>
      </c>
    </row>
    <row r="455" spans="1:10">
      <c r="A455" t="s">
        <v>197</v>
      </c>
      <c r="B455" t="s">
        <v>199</v>
      </c>
      <c r="C455" s="18">
        <v>2037</v>
      </c>
      <c r="D455" t="s">
        <v>181</v>
      </c>
      <c r="E455" s="20">
        <v>553417.87062651</v>
      </c>
      <c r="F455" s="20">
        <v>308702.89847393602</v>
      </c>
      <c r="G455" s="10">
        <v>308666.04356230202</v>
      </c>
      <c r="H455" s="21">
        <f t="shared" si="14"/>
        <v>-36.854911634000018</v>
      </c>
      <c r="I455" s="10">
        <v>553258.51776135701</v>
      </c>
      <c r="J455" s="21">
        <f t="shared" si="15"/>
        <v>-159.35286515299231</v>
      </c>
    </row>
    <row r="456" spans="1:10">
      <c r="A456" t="s">
        <v>197</v>
      </c>
      <c r="B456" t="s">
        <v>199</v>
      </c>
      <c r="C456" s="18">
        <v>2037</v>
      </c>
      <c r="D456" t="s">
        <v>209</v>
      </c>
      <c r="E456" s="20">
        <v>43887.321202409803</v>
      </c>
      <c r="F456" s="20">
        <v>7485.6570433670704</v>
      </c>
      <c r="G456" s="10">
        <v>7485.6394586101196</v>
      </c>
      <c r="H456" s="21">
        <f t="shared" si="14"/>
        <v>-1.7584756950782321E-2</v>
      </c>
      <c r="I456" s="10">
        <v>43886.496639761303</v>
      </c>
      <c r="J456" s="21">
        <f t="shared" si="15"/>
        <v>-0.82456264850043226</v>
      </c>
    </row>
    <row r="457" spans="1:10">
      <c r="A457" t="s">
        <v>197</v>
      </c>
      <c r="B457" t="s">
        <v>199</v>
      </c>
      <c r="C457" s="18">
        <v>2038</v>
      </c>
      <c r="D457" t="s">
        <v>187</v>
      </c>
      <c r="E457" s="20">
        <v>18283.6552812066</v>
      </c>
      <c r="F457" s="20">
        <v>12577.9511880835</v>
      </c>
      <c r="G457" s="10">
        <v>13108.258682167399</v>
      </c>
      <c r="H457" s="21">
        <f t="shared" si="14"/>
        <v>530.30749408389966</v>
      </c>
      <c r="I457" s="10">
        <v>18278.619531582299</v>
      </c>
      <c r="J457" s="21">
        <f t="shared" si="15"/>
        <v>-5.0357496243013884</v>
      </c>
    </row>
    <row r="458" spans="1:10">
      <c r="A458" t="s">
        <v>197</v>
      </c>
      <c r="B458" t="s">
        <v>199</v>
      </c>
      <c r="C458" s="18">
        <v>2038</v>
      </c>
      <c r="D458" t="s">
        <v>227</v>
      </c>
      <c r="E458" s="20">
        <v>1176487.9284339701</v>
      </c>
      <c r="F458" s="20">
        <v>234297.96857709499</v>
      </c>
      <c r="G458" s="10">
        <v>234286.30240329501</v>
      </c>
      <c r="H458" s="21">
        <f t="shared" si="14"/>
        <v>-11.666173799982062</v>
      </c>
      <c r="I458" s="10">
        <v>1176286.23006217</v>
      </c>
      <c r="J458" s="21">
        <f t="shared" si="15"/>
        <v>-201.69837180012837</v>
      </c>
    </row>
    <row r="459" spans="1:10">
      <c r="A459" t="s">
        <v>197</v>
      </c>
      <c r="B459" t="s">
        <v>199</v>
      </c>
      <c r="C459" s="18">
        <v>2038</v>
      </c>
      <c r="D459" t="s">
        <v>163</v>
      </c>
      <c r="E459" s="20">
        <v>133022.27251097199</v>
      </c>
      <c r="F459" s="20">
        <v>87460.314254884404</v>
      </c>
      <c r="G459" s="10">
        <v>89762.908504627194</v>
      </c>
      <c r="H459" s="21">
        <f t="shared" si="14"/>
        <v>2302.5942497427895</v>
      </c>
      <c r="I459" s="10">
        <v>133004.77137127001</v>
      </c>
      <c r="J459" s="21">
        <f t="shared" si="15"/>
        <v>-17.501139701984357</v>
      </c>
    </row>
    <row r="460" spans="1:10">
      <c r="A460" t="s">
        <v>197</v>
      </c>
      <c r="B460" t="s">
        <v>199</v>
      </c>
      <c r="C460" s="18">
        <v>2038</v>
      </c>
      <c r="D460" t="s">
        <v>173</v>
      </c>
      <c r="E460" s="20">
        <v>436989.99991413602</v>
      </c>
      <c r="F460" s="20">
        <v>405468.330626101</v>
      </c>
      <c r="G460" s="10">
        <v>405384.95777232101</v>
      </c>
      <c r="H460" s="21">
        <f t="shared" si="14"/>
        <v>-83.372853779990692</v>
      </c>
      <c r="I460" s="10">
        <v>436878.35953831702</v>
      </c>
      <c r="J460" s="21">
        <f t="shared" si="15"/>
        <v>-111.64037581899902</v>
      </c>
    </row>
    <row r="461" spans="1:10">
      <c r="A461" t="s">
        <v>197</v>
      </c>
      <c r="B461" t="s">
        <v>199</v>
      </c>
      <c r="C461" s="18">
        <v>2038</v>
      </c>
      <c r="D461" t="s">
        <v>177</v>
      </c>
      <c r="E461" s="20">
        <v>753694.27228697098</v>
      </c>
      <c r="F461" s="20">
        <v>464041.38310561702</v>
      </c>
      <c r="G461" s="10">
        <v>465342.91786371003</v>
      </c>
      <c r="H461" s="21">
        <f t="shared" si="14"/>
        <v>1301.5347580930102</v>
      </c>
      <c r="I461" s="10">
        <v>753560.82214679301</v>
      </c>
      <c r="J461" s="21">
        <f t="shared" si="15"/>
        <v>-133.45014017797075</v>
      </c>
    </row>
    <row r="462" spans="1:10">
      <c r="A462" t="s">
        <v>197</v>
      </c>
      <c r="B462" t="s">
        <v>199</v>
      </c>
      <c r="C462" s="18">
        <v>2038</v>
      </c>
      <c r="D462" t="s">
        <v>181</v>
      </c>
      <c r="E462" s="20">
        <v>565588.530166585</v>
      </c>
      <c r="F462" s="20">
        <v>318507.18792556698</v>
      </c>
      <c r="G462" s="10">
        <v>318461.02224812203</v>
      </c>
      <c r="H462" s="21">
        <f t="shared" si="14"/>
        <v>-46.165677444951143</v>
      </c>
      <c r="I462" s="10">
        <v>565403.75879938505</v>
      </c>
      <c r="J462" s="21">
        <f t="shared" si="15"/>
        <v>-184.77136719995178</v>
      </c>
    </row>
    <row r="463" spans="1:10">
      <c r="A463" t="s">
        <v>197</v>
      </c>
      <c r="B463" t="s">
        <v>199</v>
      </c>
      <c r="C463" s="18">
        <v>2038</v>
      </c>
      <c r="D463" t="s">
        <v>209</v>
      </c>
      <c r="E463" s="20">
        <v>43731.692993345598</v>
      </c>
      <c r="F463" s="20">
        <v>7517.7923534261299</v>
      </c>
      <c r="G463" s="10">
        <v>7517.77035327065</v>
      </c>
      <c r="H463" s="21">
        <f t="shared" si="14"/>
        <v>-2.2000155479872774E-2</v>
      </c>
      <c r="I463" s="10">
        <v>43730.744850638199</v>
      </c>
      <c r="J463" s="21">
        <f t="shared" si="15"/>
        <v>-0.94814270739880158</v>
      </c>
    </row>
    <row r="464" spans="1:10">
      <c r="A464" t="s">
        <v>197</v>
      </c>
      <c r="B464" t="s">
        <v>199</v>
      </c>
      <c r="C464" s="18">
        <v>2039</v>
      </c>
      <c r="D464" t="s">
        <v>187</v>
      </c>
      <c r="E464" s="20">
        <v>18757.9673338537</v>
      </c>
      <c r="F464" s="20">
        <v>12842.123659101801</v>
      </c>
      <c r="G464" s="10">
        <v>13404.669620275599</v>
      </c>
      <c r="H464" s="21">
        <f t="shared" si="14"/>
        <v>562.54596117379879</v>
      </c>
      <c r="I464" s="10">
        <v>18752.090499402999</v>
      </c>
      <c r="J464" s="21">
        <f t="shared" si="15"/>
        <v>-5.8768344507006987</v>
      </c>
    </row>
    <row r="465" spans="1:10">
      <c r="A465" t="s">
        <v>197</v>
      </c>
      <c r="B465" t="s">
        <v>199</v>
      </c>
      <c r="C465" s="18">
        <v>2039</v>
      </c>
      <c r="D465" t="s">
        <v>227</v>
      </c>
      <c r="E465" s="20">
        <v>1184966.2573474301</v>
      </c>
      <c r="F465" s="20">
        <v>242146.53160331</v>
      </c>
      <c r="G465" s="10">
        <v>242132.19115316399</v>
      </c>
      <c r="H465" s="21">
        <f t="shared" si="14"/>
        <v>-14.340450146002695</v>
      </c>
      <c r="I465" s="10">
        <v>1184738.3918449101</v>
      </c>
      <c r="J465" s="21">
        <f t="shared" si="15"/>
        <v>-227.8655025199987</v>
      </c>
    </row>
    <row r="466" spans="1:10">
      <c r="A466" t="s">
        <v>197</v>
      </c>
      <c r="B466" t="s">
        <v>199</v>
      </c>
      <c r="C466" s="18">
        <v>2039</v>
      </c>
      <c r="D466" t="s">
        <v>163</v>
      </c>
      <c r="E466" s="20">
        <v>135892.389606471</v>
      </c>
      <c r="F466" s="20">
        <v>89267.510494791699</v>
      </c>
      <c r="G466" s="10">
        <v>91716.366353602294</v>
      </c>
      <c r="H466" s="21">
        <f t="shared" si="14"/>
        <v>2448.8558588105952</v>
      </c>
      <c r="I466" s="10">
        <v>135872.13136763001</v>
      </c>
      <c r="J466" s="21">
        <f t="shared" si="15"/>
        <v>-20.258238840993727</v>
      </c>
    </row>
    <row r="467" spans="1:10">
      <c r="A467" t="s">
        <v>197</v>
      </c>
      <c r="B467" t="s">
        <v>199</v>
      </c>
      <c r="C467" s="18">
        <v>2039</v>
      </c>
      <c r="D467" t="s">
        <v>173</v>
      </c>
      <c r="E467" s="20">
        <v>444033.55071412597</v>
      </c>
      <c r="F467" s="20">
        <v>412217.09550003498</v>
      </c>
      <c r="G467" s="10">
        <v>412120.21350488003</v>
      </c>
      <c r="H467" s="21">
        <f t="shared" si="14"/>
        <v>-96.881995154952165</v>
      </c>
      <c r="I467" s="10">
        <v>443905.980748337</v>
      </c>
      <c r="J467" s="21">
        <f t="shared" si="15"/>
        <v>-127.56996578897815</v>
      </c>
    </row>
    <row r="468" spans="1:10">
      <c r="A468" t="s">
        <v>197</v>
      </c>
      <c r="B468" t="s">
        <v>199</v>
      </c>
      <c r="C468" s="18">
        <v>2039</v>
      </c>
      <c r="D468" t="s">
        <v>177</v>
      </c>
      <c r="E468" s="20">
        <v>765680.35190795898</v>
      </c>
      <c r="F468" s="20">
        <v>473886.22370047797</v>
      </c>
      <c r="G468" s="10">
        <v>475269.78752891801</v>
      </c>
      <c r="H468" s="21">
        <f t="shared" si="14"/>
        <v>1383.5638284400338</v>
      </c>
      <c r="I468" s="10">
        <v>765528.46783885697</v>
      </c>
      <c r="J468" s="21">
        <f t="shared" si="15"/>
        <v>-151.88406910200138</v>
      </c>
    </row>
    <row r="469" spans="1:10">
      <c r="A469" t="s">
        <v>197</v>
      </c>
      <c r="B469" t="s">
        <v>199</v>
      </c>
      <c r="C469" s="18">
        <v>2039</v>
      </c>
      <c r="D469" t="s">
        <v>181</v>
      </c>
      <c r="E469" s="20">
        <v>577626.41860000603</v>
      </c>
      <c r="F469" s="20">
        <v>328303.15119972202</v>
      </c>
      <c r="G469" s="10">
        <v>328246.40127636801</v>
      </c>
      <c r="H469" s="21">
        <f t="shared" si="14"/>
        <v>-56.749923354014754</v>
      </c>
      <c r="I469" s="10">
        <v>577414.514396235</v>
      </c>
      <c r="J469" s="21">
        <f t="shared" si="15"/>
        <v>-211.90420377103146</v>
      </c>
    </row>
    <row r="470" spans="1:10">
      <c r="A470" t="s">
        <v>197</v>
      </c>
      <c r="B470" t="s">
        <v>199</v>
      </c>
      <c r="C470" s="18">
        <v>2039</v>
      </c>
      <c r="D470" t="s">
        <v>209</v>
      </c>
      <c r="E470" s="20">
        <v>43589.924349239402</v>
      </c>
      <c r="F470" s="20">
        <v>7547.5869272337304</v>
      </c>
      <c r="G470" s="10">
        <v>7547.5598608641003</v>
      </c>
      <c r="H470" s="21">
        <f t="shared" si="14"/>
        <v>-2.706636963011988E-2</v>
      </c>
      <c r="I470" s="10">
        <v>43588.845456636998</v>
      </c>
      <c r="J470" s="21">
        <f t="shared" si="15"/>
        <v>-1.0788926024033572</v>
      </c>
    </row>
    <row r="471" spans="1:10">
      <c r="A471" t="s">
        <v>197</v>
      </c>
      <c r="B471" t="s">
        <v>199</v>
      </c>
      <c r="C471" s="18">
        <v>2040</v>
      </c>
      <c r="D471" t="s">
        <v>187</v>
      </c>
      <c r="E471" s="20">
        <v>19242.5249986442</v>
      </c>
      <c r="F471" s="20">
        <v>13104.0606345579</v>
      </c>
      <c r="G471" s="10">
        <v>13698.9721681132</v>
      </c>
      <c r="H471" s="21">
        <f t="shared" si="14"/>
        <v>594.91153355529968</v>
      </c>
      <c r="I471" s="10">
        <v>19235.736542927301</v>
      </c>
      <c r="J471" s="21">
        <f t="shared" si="15"/>
        <v>-6.7884557168981701</v>
      </c>
    </row>
    <row r="472" spans="1:10">
      <c r="A472" t="s">
        <v>197</v>
      </c>
      <c r="B472" t="s">
        <v>199</v>
      </c>
      <c r="C472" s="18">
        <v>2040</v>
      </c>
      <c r="D472" t="s">
        <v>227</v>
      </c>
      <c r="E472" s="20">
        <v>1192889.5581157799</v>
      </c>
      <c r="F472" s="20">
        <v>249911.83792563999</v>
      </c>
      <c r="G472" s="10">
        <v>249894.478827588</v>
      </c>
      <c r="H472" s="21">
        <f t="shared" si="14"/>
        <v>-17.359098051994806</v>
      </c>
      <c r="I472" s="10">
        <v>1192634.43006365</v>
      </c>
      <c r="J472" s="21">
        <f t="shared" si="15"/>
        <v>-255.12805212987587</v>
      </c>
    </row>
    <row r="473" spans="1:10">
      <c r="A473" t="s">
        <v>197</v>
      </c>
      <c r="B473" t="s">
        <v>199</v>
      </c>
      <c r="C473" s="18">
        <v>2040</v>
      </c>
      <c r="D473" t="s">
        <v>163</v>
      </c>
      <c r="E473" s="20">
        <v>138713.008756353</v>
      </c>
      <c r="F473" s="20">
        <v>91042.2087319126</v>
      </c>
      <c r="G473" s="10">
        <v>93636.896760059302</v>
      </c>
      <c r="H473" s="21">
        <f t="shared" si="14"/>
        <v>2594.688028146702</v>
      </c>
      <c r="I473" s="10">
        <v>138689.796610277</v>
      </c>
      <c r="J473" s="21">
        <f t="shared" si="15"/>
        <v>-23.212146075995406</v>
      </c>
    </row>
    <row r="474" spans="1:10">
      <c r="A474" t="s">
        <v>197</v>
      </c>
      <c r="B474" t="s">
        <v>199</v>
      </c>
      <c r="C474" s="18">
        <v>2040</v>
      </c>
      <c r="D474" t="s">
        <v>173</v>
      </c>
      <c r="E474" s="20">
        <v>450986.20375354798</v>
      </c>
      <c r="F474" s="20">
        <v>418732.16708382999</v>
      </c>
      <c r="G474" s="10">
        <v>418620.90894817398</v>
      </c>
      <c r="H474" s="21">
        <f t="shared" si="14"/>
        <v>-111.25813565601129</v>
      </c>
      <c r="I474" s="10">
        <v>450841.764596063</v>
      </c>
      <c r="J474" s="21">
        <f t="shared" si="15"/>
        <v>-144.43915748497238</v>
      </c>
    </row>
    <row r="475" spans="1:10">
      <c r="A475" t="s">
        <v>197</v>
      </c>
      <c r="B475" t="s">
        <v>199</v>
      </c>
      <c r="C475" s="18">
        <v>2040</v>
      </c>
      <c r="D475" t="s">
        <v>177</v>
      </c>
      <c r="E475" s="20">
        <v>777259.80156894901</v>
      </c>
      <c r="F475" s="20">
        <v>483483.91297775402</v>
      </c>
      <c r="G475" s="10">
        <v>484947.105425179</v>
      </c>
      <c r="H475" s="21">
        <f t="shared" si="14"/>
        <v>1463.1924474249827</v>
      </c>
      <c r="I475" s="10">
        <v>777088.49670209095</v>
      </c>
      <c r="J475" s="21">
        <f t="shared" si="15"/>
        <v>-171.30486685805954</v>
      </c>
    </row>
    <row r="476" spans="1:10">
      <c r="A476" t="s">
        <v>197</v>
      </c>
      <c r="B476" t="s">
        <v>199</v>
      </c>
      <c r="C476" s="18">
        <v>2040</v>
      </c>
      <c r="D476" t="s">
        <v>181</v>
      </c>
      <c r="E476" s="20">
        <v>589600.45387190103</v>
      </c>
      <c r="F476" s="20">
        <v>338107.63810199301</v>
      </c>
      <c r="G476" s="10">
        <v>338039.01043044601</v>
      </c>
      <c r="H476" s="21">
        <f t="shared" si="14"/>
        <v>-68.627671547001228</v>
      </c>
      <c r="I476" s="10">
        <v>589359.73383284197</v>
      </c>
      <c r="J476" s="21">
        <f t="shared" si="15"/>
        <v>-240.72003905905876</v>
      </c>
    </row>
    <row r="477" spans="1:10">
      <c r="A477" t="s">
        <v>197</v>
      </c>
      <c r="B477" t="s">
        <v>199</v>
      </c>
      <c r="C477" s="18">
        <v>2040</v>
      </c>
      <c r="D477" t="s">
        <v>209</v>
      </c>
      <c r="E477" s="20">
        <v>43466.076180818098</v>
      </c>
      <c r="F477" s="20">
        <v>7573.7583568251803</v>
      </c>
      <c r="G477" s="10">
        <v>7573.7255608269897</v>
      </c>
      <c r="H477" s="21">
        <f t="shared" si="14"/>
        <v>-3.2795998190522369E-2</v>
      </c>
      <c r="I477" s="10">
        <v>43464.859681883601</v>
      </c>
      <c r="J477" s="21">
        <f t="shared" si="15"/>
        <v>-1.2164989344964852</v>
      </c>
    </row>
    <row r="478" spans="1:10">
      <c r="A478" t="s">
        <v>197</v>
      </c>
      <c r="B478" t="s">
        <v>199</v>
      </c>
      <c r="C478" s="18">
        <v>2041</v>
      </c>
      <c r="D478" t="s">
        <v>187</v>
      </c>
      <c r="E478" s="20">
        <v>19735.0528192944</v>
      </c>
      <c r="F478" s="20">
        <v>13364.182601005199</v>
      </c>
      <c r="G478" s="10">
        <v>13991.606690282801</v>
      </c>
      <c r="H478" s="21">
        <f t="shared" si="14"/>
        <v>627.42408927760152</v>
      </c>
      <c r="I478" s="10">
        <v>19727.283486384</v>
      </c>
      <c r="J478" s="21">
        <f t="shared" si="15"/>
        <v>-7.7693329104004079</v>
      </c>
    </row>
    <row r="479" spans="1:10">
      <c r="A479" t="s">
        <v>197</v>
      </c>
      <c r="B479" t="s">
        <v>199</v>
      </c>
      <c r="C479" s="18">
        <v>2041</v>
      </c>
      <c r="D479" t="s">
        <v>227</v>
      </c>
      <c r="E479" s="20">
        <v>1200271.58377467</v>
      </c>
      <c r="F479" s="20">
        <v>257619.77717311299</v>
      </c>
      <c r="G479" s="10">
        <v>257599.044002988</v>
      </c>
      <c r="H479" s="21">
        <f t="shared" si="14"/>
        <v>-20.733170124993194</v>
      </c>
      <c r="I479" s="10">
        <v>1199988.17586749</v>
      </c>
      <c r="J479" s="21">
        <f t="shared" si="15"/>
        <v>-283.40790718002245</v>
      </c>
    </row>
    <row r="480" spans="1:10">
      <c r="A480" t="s">
        <v>197</v>
      </c>
      <c r="B480" t="s">
        <v>199</v>
      </c>
      <c r="C480" s="18">
        <v>2041</v>
      </c>
      <c r="D480" t="s">
        <v>163</v>
      </c>
      <c r="E480" s="20">
        <v>141501.929484072</v>
      </c>
      <c r="F480" s="20">
        <v>92787.128813363001</v>
      </c>
      <c r="G480" s="10">
        <v>95527.0063786807</v>
      </c>
      <c r="H480" s="21">
        <f t="shared" si="14"/>
        <v>2739.8775653176999</v>
      </c>
      <c r="I480" s="10">
        <v>141475.570851386</v>
      </c>
      <c r="J480" s="21">
        <f t="shared" si="15"/>
        <v>-26.358632685994962</v>
      </c>
    </row>
    <row r="481" spans="1:10">
      <c r="A481" t="s">
        <v>197</v>
      </c>
      <c r="B481" t="s">
        <v>199</v>
      </c>
      <c r="C481" s="18">
        <v>2041</v>
      </c>
      <c r="D481" t="s">
        <v>173</v>
      </c>
      <c r="E481" s="20">
        <v>457860.33946601598</v>
      </c>
      <c r="F481" s="20">
        <v>425132.27389095898</v>
      </c>
      <c r="G481" s="10">
        <v>425005.77720965003</v>
      </c>
      <c r="H481" s="21">
        <f t="shared" si="14"/>
        <v>-126.49668130895589</v>
      </c>
      <c r="I481" s="10">
        <v>457698.12813480198</v>
      </c>
      <c r="J481" s="21">
        <f t="shared" si="15"/>
        <v>-162.21133121399907</v>
      </c>
    </row>
    <row r="482" spans="1:10">
      <c r="A482" t="s">
        <v>197</v>
      </c>
      <c r="B482" t="s">
        <v>199</v>
      </c>
      <c r="C482" s="18">
        <v>2041</v>
      </c>
      <c r="D482" t="s">
        <v>177</v>
      </c>
      <c r="E482" s="20">
        <v>788484.91128631704</v>
      </c>
      <c r="F482" s="20">
        <v>492850.683740762</v>
      </c>
      <c r="G482" s="10">
        <v>494390.87324825901</v>
      </c>
      <c r="H482" s="21">
        <f t="shared" si="14"/>
        <v>1540.1895074970089</v>
      </c>
      <c r="I482" s="10">
        <v>788293.24275668897</v>
      </c>
      <c r="J482" s="21">
        <f t="shared" si="15"/>
        <v>-191.66852962807752</v>
      </c>
    </row>
    <row r="483" spans="1:10">
      <c r="A483" t="s">
        <v>197</v>
      </c>
      <c r="B483" t="s">
        <v>199</v>
      </c>
      <c r="C483" s="18">
        <v>2041</v>
      </c>
      <c r="D483" t="s">
        <v>181</v>
      </c>
      <c r="E483" s="20">
        <v>601426.47959302098</v>
      </c>
      <c r="F483" s="20">
        <v>348006.58585584501</v>
      </c>
      <c r="G483" s="10">
        <v>347924.76632707799</v>
      </c>
      <c r="H483" s="21">
        <f t="shared" si="14"/>
        <v>-81.819528767024167</v>
      </c>
      <c r="I483" s="10">
        <v>601155.34094696096</v>
      </c>
      <c r="J483" s="21">
        <f t="shared" si="15"/>
        <v>-271.1386460600188</v>
      </c>
    </row>
    <row r="484" spans="1:10">
      <c r="A484" t="s">
        <v>197</v>
      </c>
      <c r="B484" t="s">
        <v>199</v>
      </c>
      <c r="C484" s="18">
        <v>2041</v>
      </c>
      <c r="D484" t="s">
        <v>209</v>
      </c>
      <c r="E484" s="20">
        <v>43362.296342895301</v>
      </c>
      <c r="F484" s="20">
        <v>7596.0345372649199</v>
      </c>
      <c r="G484" s="10">
        <v>7595.9953338682099</v>
      </c>
      <c r="H484" s="21">
        <f t="shared" si="14"/>
        <v>-3.9203396710036031E-2</v>
      </c>
      <c r="I484" s="10">
        <v>43360.9356755525</v>
      </c>
      <c r="J484" s="21">
        <f t="shared" si="15"/>
        <v>-1.3606673428002978</v>
      </c>
    </row>
    <row r="485" spans="1:10">
      <c r="A485" t="s">
        <v>197</v>
      </c>
      <c r="B485" t="s">
        <v>199</v>
      </c>
      <c r="C485" s="18">
        <v>2042</v>
      </c>
      <c r="D485" t="s">
        <v>187</v>
      </c>
      <c r="E485" s="20">
        <v>20231.0849794227</v>
      </c>
      <c r="F485" s="20">
        <v>13624.253783992999</v>
      </c>
      <c r="G485" s="10">
        <v>14284.6169088399</v>
      </c>
      <c r="H485" s="21">
        <f t="shared" si="14"/>
        <v>660.36312484690097</v>
      </c>
      <c r="I485" s="10">
        <v>20222.268399164699</v>
      </c>
      <c r="J485" s="21">
        <f t="shared" si="15"/>
        <v>-8.816580258000613</v>
      </c>
    </row>
    <row r="486" spans="1:10">
      <c r="A486" t="s">
        <v>197</v>
      </c>
      <c r="B486" t="s">
        <v>199</v>
      </c>
      <c r="C486" s="18">
        <v>2042</v>
      </c>
      <c r="D486" t="s">
        <v>227</v>
      </c>
      <c r="E486" s="20">
        <v>1207112.19560042</v>
      </c>
      <c r="F486" s="20">
        <v>265313.883110644</v>
      </c>
      <c r="G486" s="10">
        <v>265289.409116733</v>
      </c>
      <c r="H486" s="21">
        <f t="shared" si="14"/>
        <v>-24.473993911000434</v>
      </c>
      <c r="I486" s="10">
        <v>1206799.58929471</v>
      </c>
      <c r="J486" s="21">
        <f t="shared" si="15"/>
        <v>-312.60630571004003</v>
      </c>
    </row>
    <row r="487" spans="1:10">
      <c r="A487" t="s">
        <v>197</v>
      </c>
      <c r="B487" t="s">
        <v>199</v>
      </c>
      <c r="C487" s="18">
        <v>2042</v>
      </c>
      <c r="D487" t="s">
        <v>163</v>
      </c>
      <c r="E487" s="20">
        <v>144277.75817848399</v>
      </c>
      <c r="F487" s="20">
        <v>94521.175976986706</v>
      </c>
      <c r="G487" s="10">
        <v>97406.156977096296</v>
      </c>
      <c r="H487" s="21">
        <f t="shared" si="14"/>
        <v>2884.9810001095902</v>
      </c>
      <c r="I487" s="10">
        <v>144248.066926011</v>
      </c>
      <c r="J487" s="21">
        <f t="shared" si="15"/>
        <v>-29.69125247298507</v>
      </c>
    </row>
    <row r="488" spans="1:10">
      <c r="A488" t="s">
        <v>197</v>
      </c>
      <c r="B488" t="s">
        <v>199</v>
      </c>
      <c r="C488" s="18">
        <v>2042</v>
      </c>
      <c r="D488" t="s">
        <v>173</v>
      </c>
      <c r="E488" s="20">
        <v>464667.879986246</v>
      </c>
      <c r="F488" s="20">
        <v>431539.63715179497</v>
      </c>
      <c r="G488" s="10">
        <v>431397.042999706</v>
      </c>
      <c r="H488" s="21">
        <f t="shared" si="14"/>
        <v>-142.59415208897553</v>
      </c>
      <c r="I488" s="10">
        <v>464487.03899019101</v>
      </c>
      <c r="J488" s="21">
        <f t="shared" si="15"/>
        <v>-180.84099605499068</v>
      </c>
    </row>
    <row r="489" spans="1:10">
      <c r="A489" t="s">
        <v>197</v>
      </c>
      <c r="B489" t="s">
        <v>199</v>
      </c>
      <c r="C489" s="18">
        <v>2042</v>
      </c>
      <c r="D489" t="s">
        <v>177</v>
      </c>
      <c r="E489" s="20">
        <v>799438.47382175201</v>
      </c>
      <c r="F489" s="20">
        <v>501989.57707296801</v>
      </c>
      <c r="G489" s="10">
        <v>503603.80380956898</v>
      </c>
      <c r="H489" s="21">
        <f t="shared" si="14"/>
        <v>1614.2267366009764</v>
      </c>
      <c r="I489" s="10">
        <v>799225.499121645</v>
      </c>
      <c r="J489" s="21">
        <f t="shared" si="15"/>
        <v>-212.97470010700636</v>
      </c>
    </row>
    <row r="490" spans="1:10">
      <c r="A490" t="s">
        <v>197</v>
      </c>
      <c r="B490" t="s">
        <v>199</v>
      </c>
      <c r="C490" s="18">
        <v>2042</v>
      </c>
      <c r="D490" t="s">
        <v>181</v>
      </c>
      <c r="E490" s="20">
        <v>612967.22802209703</v>
      </c>
      <c r="F490" s="20">
        <v>358027.27698673803</v>
      </c>
      <c r="G490" s="10">
        <v>357930.93950443697</v>
      </c>
      <c r="H490" s="21">
        <f t="shared" si="14"/>
        <v>-96.33748230105266</v>
      </c>
      <c r="I490" s="10">
        <v>612664.177038008</v>
      </c>
      <c r="J490" s="21">
        <f t="shared" si="15"/>
        <v>-303.05098408902995</v>
      </c>
    </row>
    <row r="491" spans="1:10">
      <c r="A491" t="s">
        <v>197</v>
      </c>
      <c r="B491" t="s">
        <v>199</v>
      </c>
      <c r="C491" s="18">
        <v>2042</v>
      </c>
      <c r="D491" t="s">
        <v>209</v>
      </c>
      <c r="E491" s="20">
        <v>43280.239596683801</v>
      </c>
      <c r="F491" s="20">
        <v>7616.6391194153202</v>
      </c>
      <c r="G491" s="10">
        <v>7616.5928035502902</v>
      </c>
      <c r="H491" s="21">
        <f t="shared" si="14"/>
        <v>-4.6315865030010173E-2</v>
      </c>
      <c r="I491" s="10">
        <v>43278.728481607301</v>
      </c>
      <c r="J491" s="21">
        <f t="shared" si="15"/>
        <v>-1.5111150765005732</v>
      </c>
    </row>
    <row r="492" spans="1:10">
      <c r="A492" t="s">
        <v>197</v>
      </c>
      <c r="B492" t="s">
        <v>199</v>
      </c>
      <c r="C492" s="18">
        <v>2043</v>
      </c>
      <c r="D492" t="s">
        <v>187</v>
      </c>
      <c r="E492" s="20">
        <v>20730.476369728702</v>
      </c>
      <c r="F492" s="20">
        <v>13878.947955769399</v>
      </c>
      <c r="G492" s="10">
        <v>14572.883153271399</v>
      </c>
      <c r="H492" s="21">
        <f t="shared" si="14"/>
        <v>693.93519750199994</v>
      </c>
      <c r="I492" s="10">
        <v>20720.548205455299</v>
      </c>
      <c r="J492" s="21">
        <f t="shared" si="15"/>
        <v>-9.9281642734022171</v>
      </c>
    </row>
    <row r="493" spans="1:10">
      <c r="A493" t="s">
        <v>197</v>
      </c>
      <c r="B493" t="s">
        <v>199</v>
      </c>
      <c r="C493" s="18">
        <v>2043</v>
      </c>
      <c r="D493" t="s">
        <v>227</v>
      </c>
      <c r="E493" s="20">
        <v>1213391.9250127799</v>
      </c>
      <c r="F493" s="20">
        <v>272979.02240921202</v>
      </c>
      <c r="G493" s="10">
        <v>272950.43541917799</v>
      </c>
      <c r="H493" s="21">
        <f t="shared" si="14"/>
        <v>-28.586990034033079</v>
      </c>
      <c r="I493" s="10">
        <v>1213049.26096591</v>
      </c>
      <c r="J493" s="21">
        <f t="shared" si="15"/>
        <v>-342.66404686984606</v>
      </c>
    </row>
    <row r="494" spans="1:10">
      <c r="A494" t="s">
        <v>197</v>
      </c>
      <c r="B494" t="s">
        <v>199</v>
      </c>
      <c r="C494" s="18">
        <v>2043</v>
      </c>
      <c r="D494" t="s">
        <v>163</v>
      </c>
      <c r="E494" s="20">
        <v>147027.01521083299</v>
      </c>
      <c r="F494" s="20">
        <v>96241.3267257728</v>
      </c>
      <c r="G494" s="10">
        <v>99271.391168072907</v>
      </c>
      <c r="H494" s="21">
        <f t="shared" si="14"/>
        <v>3030.0644423001067</v>
      </c>
      <c r="I494" s="10">
        <v>146993.81420820701</v>
      </c>
      <c r="J494" s="21">
        <f t="shared" si="15"/>
        <v>-33.201002625981346</v>
      </c>
    </row>
    <row r="495" spans="1:10">
      <c r="A495" t="s">
        <v>197</v>
      </c>
      <c r="B495" t="s">
        <v>199</v>
      </c>
      <c r="C495" s="18">
        <v>2043</v>
      </c>
      <c r="D495" t="s">
        <v>173</v>
      </c>
      <c r="E495" s="20">
        <v>471355.12790113798</v>
      </c>
      <c r="F495" s="20">
        <v>437839.47545525199</v>
      </c>
      <c r="G495" s="10">
        <v>437679.98847184202</v>
      </c>
      <c r="H495" s="21">
        <f t="shared" si="14"/>
        <v>-159.48698340996634</v>
      </c>
      <c r="I495" s="10">
        <v>471154.83958066901</v>
      </c>
      <c r="J495" s="21">
        <f t="shared" si="15"/>
        <v>-200.28832046897151</v>
      </c>
    </row>
    <row r="496" spans="1:10">
      <c r="A496" t="s">
        <v>197</v>
      </c>
      <c r="B496" t="s">
        <v>199</v>
      </c>
      <c r="C496" s="18">
        <v>2043</v>
      </c>
      <c r="D496" t="s">
        <v>177</v>
      </c>
      <c r="E496" s="20">
        <v>810249.96677514794</v>
      </c>
      <c r="F496" s="20">
        <v>510924.96907100198</v>
      </c>
      <c r="G496" s="10">
        <v>512610.44917931297</v>
      </c>
      <c r="H496" s="21">
        <f t="shared" si="14"/>
        <v>1685.4801083109924</v>
      </c>
      <c r="I496" s="10">
        <v>810014.77283431904</v>
      </c>
      <c r="J496" s="21">
        <f t="shared" si="15"/>
        <v>-235.19394082890358</v>
      </c>
    </row>
    <row r="497" spans="1:10">
      <c r="A497" t="s">
        <v>197</v>
      </c>
      <c r="B497" t="s">
        <v>199</v>
      </c>
      <c r="C497" s="18">
        <v>2043</v>
      </c>
      <c r="D497" t="s">
        <v>181</v>
      </c>
      <c r="E497" s="20">
        <v>624289.76719094301</v>
      </c>
      <c r="F497" s="20">
        <v>368071.21302046999</v>
      </c>
      <c r="G497" s="10">
        <v>367959.059248153</v>
      </c>
      <c r="H497" s="21">
        <f t="shared" si="14"/>
        <v>-112.15377231698949</v>
      </c>
      <c r="I497" s="10">
        <v>623953.35649413895</v>
      </c>
      <c r="J497" s="21">
        <f t="shared" si="15"/>
        <v>-336.41069680405781</v>
      </c>
    </row>
    <row r="498" spans="1:10">
      <c r="A498" t="s">
        <v>197</v>
      </c>
      <c r="B498" t="s">
        <v>199</v>
      </c>
      <c r="C498" s="18">
        <v>2043</v>
      </c>
      <c r="D498" t="s">
        <v>209</v>
      </c>
      <c r="E498" s="20">
        <v>43233.806031106098</v>
      </c>
      <c r="F498" s="20">
        <v>7634.6922374043497</v>
      </c>
      <c r="G498" s="10">
        <v>7634.6380979097503</v>
      </c>
      <c r="H498" s="21">
        <f t="shared" si="14"/>
        <v>-5.4139494599439786E-2</v>
      </c>
      <c r="I498" s="10">
        <v>43232.1385441846</v>
      </c>
      <c r="J498" s="21">
        <f t="shared" si="15"/>
        <v>-1.6674869214984938</v>
      </c>
    </row>
    <row r="499" spans="1:10">
      <c r="A499" t="s">
        <v>197</v>
      </c>
      <c r="B499" t="s">
        <v>199</v>
      </c>
      <c r="C499" s="18">
        <v>2044</v>
      </c>
      <c r="D499" t="s">
        <v>187</v>
      </c>
      <c r="E499" s="20">
        <v>21231.3491043781</v>
      </c>
      <c r="F499" s="20">
        <v>14133.6302175121</v>
      </c>
      <c r="G499" s="10">
        <v>14861.4315691186</v>
      </c>
      <c r="H499" s="21">
        <f t="shared" si="14"/>
        <v>727.80135160650025</v>
      </c>
      <c r="I499" s="10">
        <v>21220.2473713984</v>
      </c>
      <c r="J499" s="21">
        <f t="shared" si="15"/>
        <v>-11.101732979699591</v>
      </c>
    </row>
    <row r="500" spans="1:10">
      <c r="A500" t="s">
        <v>197</v>
      </c>
      <c r="B500" t="s">
        <v>199</v>
      </c>
      <c r="C500" s="18">
        <v>2044</v>
      </c>
      <c r="D500" t="s">
        <v>227</v>
      </c>
      <c r="E500" s="20">
        <v>1219362.01859335</v>
      </c>
      <c r="F500" s="20">
        <v>280539.51577156998</v>
      </c>
      <c r="G500" s="10">
        <v>280506.44153550803</v>
      </c>
      <c r="H500" s="21">
        <f t="shared" si="14"/>
        <v>-33.074236061947886</v>
      </c>
      <c r="I500" s="10">
        <v>1218988.4670045001</v>
      </c>
      <c r="J500" s="21">
        <f t="shared" si="15"/>
        <v>-373.55158884986304</v>
      </c>
    </row>
    <row r="501" spans="1:10">
      <c r="A501" t="s">
        <v>197</v>
      </c>
      <c r="B501" t="s">
        <v>199</v>
      </c>
      <c r="C501" s="18">
        <v>2044</v>
      </c>
      <c r="D501" t="s">
        <v>163</v>
      </c>
      <c r="E501" s="20">
        <v>149733.09035193501</v>
      </c>
      <c r="F501" s="20">
        <v>97937.324576968997</v>
      </c>
      <c r="G501" s="10">
        <v>101112.290089553</v>
      </c>
      <c r="H501" s="21">
        <f t="shared" si="14"/>
        <v>3174.9655125840072</v>
      </c>
      <c r="I501" s="10">
        <v>149696.21396730101</v>
      </c>
      <c r="J501" s="21">
        <f t="shared" si="15"/>
        <v>-36.876384634000715</v>
      </c>
    </row>
    <row r="502" spans="1:10">
      <c r="A502" t="s">
        <v>197</v>
      </c>
      <c r="B502" t="s">
        <v>199</v>
      </c>
      <c r="C502" s="18">
        <v>2044</v>
      </c>
      <c r="D502" t="s">
        <v>173</v>
      </c>
      <c r="E502" s="20">
        <v>477801.78758182598</v>
      </c>
      <c r="F502" s="20">
        <v>443977.77784183901</v>
      </c>
      <c r="G502" s="10">
        <v>443800.63719739497</v>
      </c>
      <c r="H502" s="21">
        <f t="shared" si="14"/>
        <v>-177.1406444440363</v>
      </c>
      <c r="I502" s="10">
        <v>477581.31483664498</v>
      </c>
      <c r="J502" s="21">
        <f t="shared" si="15"/>
        <v>-220.47274518100312</v>
      </c>
    </row>
    <row r="503" spans="1:10">
      <c r="A503" t="s">
        <v>197</v>
      </c>
      <c r="B503" t="s">
        <v>199</v>
      </c>
      <c r="C503" s="18">
        <v>2044</v>
      </c>
      <c r="D503" t="s">
        <v>177</v>
      </c>
      <c r="E503" s="20">
        <v>821000.66410551697</v>
      </c>
      <c r="F503" s="20">
        <v>519666.16967693798</v>
      </c>
      <c r="G503" s="10">
        <v>521420.17033099697</v>
      </c>
      <c r="H503" s="21">
        <f t="shared" si="14"/>
        <v>1754.0006540589966</v>
      </c>
      <c r="I503" s="10">
        <v>820742.37012193399</v>
      </c>
      <c r="J503" s="21">
        <f t="shared" si="15"/>
        <v>-258.29398358298931</v>
      </c>
    </row>
    <row r="504" spans="1:10">
      <c r="A504" t="s">
        <v>197</v>
      </c>
      <c r="B504" t="s">
        <v>199</v>
      </c>
      <c r="C504" s="18">
        <v>2044</v>
      </c>
      <c r="D504" t="s">
        <v>181</v>
      </c>
      <c r="E504" s="20">
        <v>635395.71243454504</v>
      </c>
      <c r="F504" s="20">
        <v>378047.85051774798</v>
      </c>
      <c r="G504" s="10">
        <v>377918.58989895799</v>
      </c>
      <c r="H504" s="21">
        <f t="shared" si="14"/>
        <v>-129.26061878999462</v>
      </c>
      <c r="I504" s="10">
        <v>635024.54646764905</v>
      </c>
      <c r="J504" s="21">
        <f t="shared" si="15"/>
        <v>-371.16596689599101</v>
      </c>
    </row>
    <row r="505" spans="1:10">
      <c r="A505" t="s">
        <v>197</v>
      </c>
      <c r="B505" t="s">
        <v>199</v>
      </c>
      <c r="C505" s="18">
        <v>2044</v>
      </c>
      <c r="D505" t="s">
        <v>209</v>
      </c>
      <c r="E505" s="20">
        <v>43204.459592613297</v>
      </c>
      <c r="F505" s="20">
        <v>7652.7845040714201</v>
      </c>
      <c r="G505" s="10">
        <v>7652.7218257366803</v>
      </c>
      <c r="H505" s="21">
        <f t="shared" si="14"/>
        <v>-6.2678334739757702E-2</v>
      </c>
      <c r="I505" s="10">
        <v>43202.630038859497</v>
      </c>
      <c r="J505" s="21">
        <f t="shared" si="15"/>
        <v>-1.8295537537997006</v>
      </c>
    </row>
    <row r="506" spans="1:10">
      <c r="A506" t="s">
        <v>197</v>
      </c>
      <c r="B506" t="s">
        <v>199</v>
      </c>
      <c r="C506" s="18">
        <v>2045</v>
      </c>
      <c r="D506" t="s">
        <v>187</v>
      </c>
      <c r="E506" s="20">
        <v>21729.951077977599</v>
      </c>
      <c r="F506" s="20">
        <v>14386.6265639467</v>
      </c>
      <c r="G506" s="10">
        <v>15148.297956242301</v>
      </c>
      <c r="H506" s="21">
        <f t="shared" si="14"/>
        <v>761.67139229560053</v>
      </c>
      <c r="I506" s="10">
        <v>21717.616521529701</v>
      </c>
      <c r="J506" s="21">
        <f t="shared" si="15"/>
        <v>-12.334556447898649</v>
      </c>
    </row>
    <row r="507" spans="1:10">
      <c r="A507" t="s">
        <v>197</v>
      </c>
      <c r="B507" t="s">
        <v>199</v>
      </c>
      <c r="C507" s="18">
        <v>2045</v>
      </c>
      <c r="D507" t="s">
        <v>227</v>
      </c>
      <c r="E507" s="20">
        <v>1225074.14270799</v>
      </c>
      <c r="F507" s="20">
        <v>287962.98070266901</v>
      </c>
      <c r="G507" s="10">
        <v>287925.04322278401</v>
      </c>
      <c r="H507" s="21">
        <f t="shared" si="14"/>
        <v>-37.937479885003995</v>
      </c>
      <c r="I507" s="10">
        <v>1224668.96644768</v>
      </c>
      <c r="J507" s="21">
        <f t="shared" si="15"/>
        <v>-405.17626030999236</v>
      </c>
    </row>
    <row r="508" spans="1:10">
      <c r="A508" t="s">
        <v>197</v>
      </c>
      <c r="B508" t="s">
        <v>199</v>
      </c>
      <c r="C508" s="18">
        <v>2045</v>
      </c>
      <c r="D508" t="s">
        <v>163</v>
      </c>
      <c r="E508" s="20">
        <v>152378.76032322799</v>
      </c>
      <c r="F508" s="20">
        <v>99615.649881239398</v>
      </c>
      <c r="G508" s="10">
        <v>102935.314985138</v>
      </c>
      <c r="H508" s="21">
        <f t="shared" si="14"/>
        <v>3319.665103898602</v>
      </c>
      <c r="I508" s="10">
        <v>152338.05281588601</v>
      </c>
      <c r="J508" s="21">
        <f t="shared" si="15"/>
        <v>-40.707507341983728</v>
      </c>
    </row>
    <row r="509" spans="1:10">
      <c r="A509" t="s">
        <v>197</v>
      </c>
      <c r="B509" t="s">
        <v>199</v>
      </c>
      <c r="C509" s="18">
        <v>2045</v>
      </c>
      <c r="D509" t="s">
        <v>173</v>
      </c>
      <c r="E509" s="20">
        <v>483964.85154346598</v>
      </c>
      <c r="F509" s="20">
        <v>449913.060380059</v>
      </c>
      <c r="G509" s="10">
        <v>449717.558047709</v>
      </c>
      <c r="H509" s="21">
        <f t="shared" si="14"/>
        <v>-195.50233235000633</v>
      </c>
      <c r="I509" s="10">
        <v>483723.51612219802</v>
      </c>
      <c r="J509" s="21">
        <f t="shared" si="15"/>
        <v>-241.3354212679551</v>
      </c>
    </row>
    <row r="510" spans="1:10">
      <c r="A510" t="s">
        <v>197</v>
      </c>
      <c r="B510" t="s">
        <v>199</v>
      </c>
      <c r="C510" s="18">
        <v>2045</v>
      </c>
      <c r="D510" t="s">
        <v>177</v>
      </c>
      <c r="E510" s="20">
        <v>831752.50339482597</v>
      </c>
      <c r="F510" s="20">
        <v>528174.38155612105</v>
      </c>
      <c r="G510" s="10">
        <v>529994.22695920803</v>
      </c>
      <c r="H510" s="21">
        <f t="shared" si="14"/>
        <v>1819.8454030869761</v>
      </c>
      <c r="I510" s="10">
        <v>831470.21009817696</v>
      </c>
      <c r="J510" s="21">
        <f t="shared" si="15"/>
        <v>-282.29329664900433</v>
      </c>
    </row>
    <row r="511" spans="1:10">
      <c r="A511" t="s">
        <v>197</v>
      </c>
      <c r="B511" t="s">
        <v>199</v>
      </c>
      <c r="C511" s="18">
        <v>2045</v>
      </c>
      <c r="D511" t="s">
        <v>181</v>
      </c>
      <c r="E511" s="20">
        <v>646137.643110189</v>
      </c>
      <c r="F511" s="20">
        <v>387898.30645585002</v>
      </c>
      <c r="G511" s="10">
        <v>387750.67878189799</v>
      </c>
      <c r="H511" s="21">
        <f t="shared" si="14"/>
        <v>-147.62767395202536</v>
      </c>
      <c r="I511" s="10">
        <v>645730.44769895996</v>
      </c>
      <c r="J511" s="21">
        <f t="shared" si="15"/>
        <v>-407.19541122904047</v>
      </c>
    </row>
    <row r="512" spans="1:10">
      <c r="A512" t="s">
        <v>197</v>
      </c>
      <c r="B512" t="s">
        <v>199</v>
      </c>
      <c r="C512" s="18">
        <v>2045</v>
      </c>
      <c r="D512" t="s">
        <v>209</v>
      </c>
      <c r="E512" s="20">
        <v>43192.600966762999</v>
      </c>
      <c r="F512" s="20">
        <v>7672.1401629001602</v>
      </c>
      <c r="G512" s="10">
        <v>7672.0682267846396</v>
      </c>
      <c r="H512" s="21">
        <f t="shared" si="14"/>
        <v>-7.193611552065704E-2</v>
      </c>
      <c r="I512" s="10">
        <v>43190.603751316099</v>
      </c>
      <c r="J512" s="21">
        <f t="shared" si="15"/>
        <v>-1.997215446899645</v>
      </c>
    </row>
    <row r="513" spans="1:10">
      <c r="A513" t="s">
        <v>197</v>
      </c>
      <c r="B513" t="s">
        <v>199</v>
      </c>
      <c r="C513" s="18">
        <v>2046</v>
      </c>
      <c r="D513" t="s">
        <v>187</v>
      </c>
      <c r="E513" s="20">
        <v>22224.599440167502</v>
      </c>
      <c r="F513" s="20">
        <v>14641.8978740209</v>
      </c>
      <c r="G513" s="10">
        <v>15436.8918612077</v>
      </c>
      <c r="H513" s="21">
        <f t="shared" si="14"/>
        <v>794.99398718679913</v>
      </c>
      <c r="I513" s="10">
        <v>22210.974521910699</v>
      </c>
      <c r="J513" s="21">
        <f t="shared" si="15"/>
        <v>-13.62491825680263</v>
      </c>
    </row>
    <row r="514" spans="1:10">
      <c r="A514" t="s">
        <v>197</v>
      </c>
      <c r="B514" t="s">
        <v>199</v>
      </c>
      <c r="C514" s="18">
        <v>2046</v>
      </c>
      <c r="D514" t="s">
        <v>227</v>
      </c>
      <c r="E514" s="20">
        <v>1230562.5483863901</v>
      </c>
      <c r="F514" s="20">
        <v>295209.04921974399</v>
      </c>
      <c r="G514" s="10">
        <v>295165.87720880198</v>
      </c>
      <c r="H514" s="21">
        <f t="shared" ref="H514:H577" si="16">G514-F514</f>
        <v>-43.172010942013003</v>
      </c>
      <c r="I514" s="10">
        <v>1230125.0687766999</v>
      </c>
      <c r="J514" s="21">
        <f t="shared" ref="J514:J577" si="17">I514-E514</f>
        <v>-437.47960969014093</v>
      </c>
    </row>
    <row r="515" spans="1:10">
      <c r="A515" t="s">
        <v>197</v>
      </c>
      <c r="B515" t="s">
        <v>199</v>
      </c>
      <c r="C515" s="18">
        <v>2046</v>
      </c>
      <c r="D515" t="s">
        <v>163</v>
      </c>
      <c r="E515" s="20">
        <v>154963.87124974199</v>
      </c>
      <c r="F515" s="20">
        <v>101268.375182572</v>
      </c>
      <c r="G515" s="10">
        <v>104731.13398431199</v>
      </c>
      <c r="H515" s="21">
        <f t="shared" si="16"/>
        <v>3462.7588017399976</v>
      </c>
      <c r="I515" s="10">
        <v>154919.18519988199</v>
      </c>
      <c r="J515" s="21">
        <f t="shared" si="17"/>
        <v>-44.686049859999912</v>
      </c>
    </row>
    <row r="516" spans="1:10">
      <c r="A516" t="s">
        <v>197</v>
      </c>
      <c r="B516" t="s">
        <v>199</v>
      </c>
      <c r="C516" s="18">
        <v>2046</v>
      </c>
      <c r="D516" t="s">
        <v>173</v>
      </c>
      <c r="E516" s="20">
        <v>489822.404717358</v>
      </c>
      <c r="F516" s="20">
        <v>455524.56861288199</v>
      </c>
      <c r="G516" s="10">
        <v>455310.080020589</v>
      </c>
      <c r="H516" s="21">
        <f t="shared" si="16"/>
        <v>-214.48859229299705</v>
      </c>
      <c r="I516" s="10">
        <v>489559.56948849699</v>
      </c>
      <c r="J516" s="21">
        <f t="shared" si="17"/>
        <v>-262.83522886101855</v>
      </c>
    </row>
    <row r="517" spans="1:10">
      <c r="A517" t="s">
        <v>197</v>
      </c>
      <c r="B517" t="s">
        <v>199</v>
      </c>
      <c r="C517" s="18">
        <v>2046</v>
      </c>
      <c r="D517" t="s">
        <v>177</v>
      </c>
      <c r="E517" s="20">
        <v>842329.34512132697</v>
      </c>
      <c r="F517" s="20">
        <v>536557.12906269205</v>
      </c>
      <c r="G517" s="10">
        <v>538440.16822828504</v>
      </c>
      <c r="H517" s="21">
        <f t="shared" si="16"/>
        <v>1883.0391655929852</v>
      </c>
      <c r="I517" s="10">
        <v>842022.211146035</v>
      </c>
      <c r="J517" s="21">
        <f t="shared" si="17"/>
        <v>-307.13397529197391</v>
      </c>
    </row>
    <row r="518" spans="1:10">
      <c r="A518" t="s">
        <v>197</v>
      </c>
      <c r="B518" t="s">
        <v>199</v>
      </c>
      <c r="C518" s="18">
        <v>2046</v>
      </c>
      <c r="D518" t="s">
        <v>181</v>
      </c>
      <c r="E518" s="20">
        <v>656467.60651567206</v>
      </c>
      <c r="F518" s="20">
        <v>397599.17579741898</v>
      </c>
      <c r="G518" s="10">
        <v>397431.95060261199</v>
      </c>
      <c r="H518" s="21">
        <f t="shared" si="16"/>
        <v>-167.22519480698975</v>
      </c>
      <c r="I518" s="10">
        <v>656023.20384824695</v>
      </c>
      <c r="J518" s="21">
        <f t="shared" si="17"/>
        <v>-444.40266742510721</v>
      </c>
    </row>
    <row r="519" spans="1:10">
      <c r="A519" t="s">
        <v>197</v>
      </c>
      <c r="B519" t="s">
        <v>199</v>
      </c>
      <c r="C519" s="18">
        <v>2046</v>
      </c>
      <c r="D519" t="s">
        <v>209</v>
      </c>
      <c r="E519" s="20">
        <v>43198.480721380103</v>
      </c>
      <c r="F519" s="20">
        <v>7693.6389567120004</v>
      </c>
      <c r="G519" s="10">
        <v>7693.5570486562501</v>
      </c>
      <c r="H519" s="21">
        <f t="shared" si="16"/>
        <v>-8.1908055750318454E-2</v>
      </c>
      <c r="I519" s="10">
        <v>43196.310323112302</v>
      </c>
      <c r="J519" s="21">
        <f t="shared" si="17"/>
        <v>-2.1703982678009197</v>
      </c>
    </row>
    <row r="520" spans="1:10">
      <c r="A520" t="s">
        <v>197</v>
      </c>
      <c r="B520" t="s">
        <v>199</v>
      </c>
      <c r="C520" s="18">
        <v>2047</v>
      </c>
      <c r="D520" t="s">
        <v>187</v>
      </c>
      <c r="E520" s="20">
        <v>22714.634416083001</v>
      </c>
      <c r="F520" s="20">
        <v>14900.990953031</v>
      </c>
      <c r="G520" s="10">
        <v>15728.485494730299</v>
      </c>
      <c r="H520" s="21">
        <f t="shared" si="16"/>
        <v>827.49454169929959</v>
      </c>
      <c r="I520" s="10">
        <v>22699.6629629007</v>
      </c>
      <c r="J520" s="21">
        <f t="shared" si="17"/>
        <v>-14.971453182301047</v>
      </c>
    </row>
    <row r="521" spans="1:10">
      <c r="A521" t="s">
        <v>197</v>
      </c>
      <c r="B521" t="s">
        <v>199</v>
      </c>
      <c r="C521" s="18">
        <v>2047</v>
      </c>
      <c r="D521" t="s">
        <v>227</v>
      </c>
      <c r="E521" s="20">
        <v>1235745.06284101</v>
      </c>
      <c r="F521" s="20">
        <v>302229.320805514</v>
      </c>
      <c r="G521" s="10">
        <v>302180.55031250097</v>
      </c>
      <c r="H521" s="21">
        <f t="shared" si="16"/>
        <v>-48.77049301302759</v>
      </c>
      <c r="I521" s="10">
        <v>1235274.66521773</v>
      </c>
      <c r="J521" s="21">
        <f t="shared" si="17"/>
        <v>-470.39762328006327</v>
      </c>
    </row>
    <row r="522" spans="1:10">
      <c r="A522" t="s">
        <v>197</v>
      </c>
      <c r="B522" t="s">
        <v>199</v>
      </c>
      <c r="C522" s="18">
        <v>2047</v>
      </c>
      <c r="D522" t="s">
        <v>163</v>
      </c>
      <c r="E522" s="20">
        <v>157484.741361344</v>
      </c>
      <c r="F522" s="20">
        <v>102885.22253691001</v>
      </c>
      <c r="G522" s="10">
        <v>106487.67776034201</v>
      </c>
      <c r="H522" s="21">
        <f t="shared" si="16"/>
        <v>3602.4552234319999</v>
      </c>
      <c r="I522" s="10">
        <v>157435.937342911</v>
      </c>
      <c r="J522" s="21">
        <f t="shared" si="17"/>
        <v>-48.804018433002057</v>
      </c>
    </row>
    <row r="523" spans="1:10">
      <c r="A523" t="s">
        <v>197</v>
      </c>
      <c r="B523" t="s">
        <v>199</v>
      </c>
      <c r="C523" s="18">
        <v>2047</v>
      </c>
      <c r="D523" t="s">
        <v>173</v>
      </c>
      <c r="E523" s="20">
        <v>495332.23737429501</v>
      </c>
      <c r="F523" s="20">
        <v>460773.48840605398</v>
      </c>
      <c r="G523" s="10">
        <v>460539.427749469</v>
      </c>
      <c r="H523" s="21">
        <f t="shared" si="16"/>
        <v>-234.06065658497391</v>
      </c>
      <c r="I523" s="10">
        <v>495047.33168069902</v>
      </c>
      <c r="J523" s="21">
        <f t="shared" si="17"/>
        <v>-284.90569359599613</v>
      </c>
    </row>
    <row r="524" spans="1:10">
      <c r="A524" t="s">
        <v>197</v>
      </c>
      <c r="B524" t="s">
        <v>199</v>
      </c>
      <c r="C524" s="18">
        <v>2047</v>
      </c>
      <c r="D524" t="s">
        <v>177</v>
      </c>
      <c r="E524" s="20">
        <v>852689.77602844196</v>
      </c>
      <c r="F524" s="20">
        <v>544949.12934225902</v>
      </c>
      <c r="G524" s="10">
        <v>546892.884748123</v>
      </c>
      <c r="H524" s="21">
        <f t="shared" si="16"/>
        <v>1943.7554058639798</v>
      </c>
      <c r="I524" s="10">
        <v>852357.03689663101</v>
      </c>
      <c r="J524" s="21">
        <f t="shared" si="17"/>
        <v>-332.7391318109585</v>
      </c>
    </row>
    <row r="525" spans="1:10">
      <c r="A525" t="s">
        <v>197</v>
      </c>
      <c r="B525" t="s">
        <v>199</v>
      </c>
      <c r="C525" s="18">
        <v>2047</v>
      </c>
      <c r="D525" t="s">
        <v>181</v>
      </c>
      <c r="E525" s="20">
        <v>666443.25033910805</v>
      </c>
      <c r="F525" s="20">
        <v>407126.32953482697</v>
      </c>
      <c r="G525" s="10">
        <v>406938.30985862098</v>
      </c>
      <c r="H525" s="21">
        <f t="shared" si="16"/>
        <v>-188.01967620599316</v>
      </c>
      <c r="I525" s="10">
        <v>665960.53053760703</v>
      </c>
      <c r="J525" s="21">
        <f t="shared" si="17"/>
        <v>-482.71980150102172</v>
      </c>
    </row>
    <row r="526" spans="1:10">
      <c r="A526" t="s">
        <v>197</v>
      </c>
      <c r="B526" t="s">
        <v>199</v>
      </c>
      <c r="C526" s="18">
        <v>2047</v>
      </c>
      <c r="D526" t="s">
        <v>209</v>
      </c>
      <c r="E526" s="20">
        <v>43219.983022432702</v>
      </c>
      <c r="F526" s="20">
        <v>7716.3571104149596</v>
      </c>
      <c r="G526" s="10">
        <v>7716.2645250788601</v>
      </c>
      <c r="H526" s="21">
        <f t="shared" si="16"/>
        <v>-9.2585336099546112E-2</v>
      </c>
      <c r="I526" s="10">
        <v>43217.634192350401</v>
      </c>
      <c r="J526" s="21">
        <f t="shared" si="17"/>
        <v>-2.3488300823009922</v>
      </c>
    </row>
    <row r="527" spans="1:10">
      <c r="A527" t="s">
        <v>197</v>
      </c>
      <c r="B527" t="s">
        <v>199</v>
      </c>
      <c r="C527" s="18">
        <v>2048</v>
      </c>
      <c r="D527" t="s">
        <v>187</v>
      </c>
      <c r="E527" s="20">
        <v>23196.147645908699</v>
      </c>
      <c r="F527" s="20">
        <v>15167.7527142053</v>
      </c>
      <c r="G527" s="10">
        <v>16025.2187605858</v>
      </c>
      <c r="H527" s="21">
        <f t="shared" si="16"/>
        <v>857.46604638049939</v>
      </c>
      <c r="I527" s="10">
        <v>23179.777529823201</v>
      </c>
      <c r="J527" s="21">
        <f t="shared" si="17"/>
        <v>-16.370116085498012</v>
      </c>
    </row>
    <row r="528" spans="1:10">
      <c r="A528" t="s">
        <v>197</v>
      </c>
      <c r="B528" t="s">
        <v>199</v>
      </c>
      <c r="C528" s="18">
        <v>2048</v>
      </c>
      <c r="D528" t="s">
        <v>227</v>
      </c>
      <c r="E528" s="20">
        <v>1240712.9652196299</v>
      </c>
      <c r="F528" s="20">
        <v>309019.03864359797</v>
      </c>
      <c r="G528" s="10">
        <v>308964.31037728197</v>
      </c>
      <c r="H528" s="21">
        <f t="shared" si="16"/>
        <v>-54.728266316000372</v>
      </c>
      <c r="I528" s="10">
        <v>1240209.10376068</v>
      </c>
      <c r="J528" s="21">
        <f t="shared" si="17"/>
        <v>-503.86145894997753</v>
      </c>
    </row>
    <row r="529" spans="1:10">
      <c r="A529" t="s">
        <v>197</v>
      </c>
      <c r="B529" t="s">
        <v>199</v>
      </c>
      <c r="C529" s="18">
        <v>2048</v>
      </c>
      <c r="D529" t="s">
        <v>163</v>
      </c>
      <c r="E529" s="20">
        <v>159930.119685349</v>
      </c>
      <c r="F529" s="20">
        <v>104466.609677277</v>
      </c>
      <c r="G529" s="10">
        <v>108205.309376064</v>
      </c>
      <c r="H529" s="21">
        <f t="shared" si="16"/>
        <v>3738.6996987870079</v>
      </c>
      <c r="I529" s="10">
        <v>159877.06955740901</v>
      </c>
      <c r="J529" s="21">
        <f t="shared" si="17"/>
        <v>-53.050127939990489</v>
      </c>
    </row>
    <row r="530" spans="1:10">
      <c r="A530" t="s">
        <v>197</v>
      </c>
      <c r="B530" t="s">
        <v>199</v>
      </c>
      <c r="C530" s="18">
        <v>2048</v>
      </c>
      <c r="D530" t="s">
        <v>173</v>
      </c>
      <c r="E530" s="20">
        <v>500559.455171654</v>
      </c>
      <c r="F530" s="20">
        <v>465812.68286183203</v>
      </c>
      <c r="G530" s="10">
        <v>465558.478994868</v>
      </c>
      <c r="H530" s="21">
        <f t="shared" si="16"/>
        <v>-254.20386696403148</v>
      </c>
      <c r="I530" s="10">
        <v>500251.96367663803</v>
      </c>
      <c r="J530" s="21">
        <f t="shared" si="17"/>
        <v>-307.49149501597276</v>
      </c>
    </row>
    <row r="531" spans="1:10">
      <c r="A531" t="s">
        <v>197</v>
      </c>
      <c r="B531" t="s">
        <v>199</v>
      </c>
      <c r="C531" s="18">
        <v>2048</v>
      </c>
      <c r="D531" t="s">
        <v>177</v>
      </c>
      <c r="E531" s="20">
        <v>862780.25901986903</v>
      </c>
      <c r="F531" s="20">
        <v>553218.02087126102</v>
      </c>
      <c r="G531" s="10">
        <v>555219.25427407597</v>
      </c>
      <c r="H531" s="21">
        <f t="shared" si="16"/>
        <v>2001.2334028149489</v>
      </c>
      <c r="I531" s="10">
        <v>862421.19766606798</v>
      </c>
      <c r="J531" s="21">
        <f t="shared" si="17"/>
        <v>-359.06135380105115</v>
      </c>
    </row>
    <row r="532" spans="1:10">
      <c r="A532" t="s">
        <v>197</v>
      </c>
      <c r="B532" t="s">
        <v>199</v>
      </c>
      <c r="C532" s="18">
        <v>2048</v>
      </c>
      <c r="D532" t="s">
        <v>181</v>
      </c>
      <c r="E532" s="20">
        <v>676060.11192472698</v>
      </c>
      <c r="F532" s="20">
        <v>416431.08128416701</v>
      </c>
      <c r="G532" s="10">
        <v>416221.14564351598</v>
      </c>
      <c r="H532" s="21">
        <f t="shared" si="16"/>
        <v>-209.93564065103419</v>
      </c>
      <c r="I532" s="10">
        <v>675538.06713143899</v>
      </c>
      <c r="J532" s="21">
        <f t="shared" si="17"/>
        <v>-522.04479328799061</v>
      </c>
    </row>
    <row r="533" spans="1:10">
      <c r="A533" t="s">
        <v>197</v>
      </c>
      <c r="B533" t="s">
        <v>199</v>
      </c>
      <c r="C533" s="18">
        <v>2048</v>
      </c>
      <c r="D533" t="s">
        <v>209</v>
      </c>
      <c r="E533" s="20">
        <v>43249.648682632098</v>
      </c>
      <c r="F533" s="20">
        <v>7741.0721932672805</v>
      </c>
      <c r="G533" s="10">
        <v>7740.9682323091401</v>
      </c>
      <c r="H533" s="21">
        <f t="shared" si="16"/>
        <v>-0.10396095814030559</v>
      </c>
      <c r="I533" s="10">
        <v>43247.116568268502</v>
      </c>
      <c r="J533" s="21">
        <f t="shared" si="17"/>
        <v>-2.5321143635956105</v>
      </c>
    </row>
    <row r="534" spans="1:10">
      <c r="A534" t="s">
        <v>197</v>
      </c>
      <c r="B534" t="s">
        <v>199</v>
      </c>
      <c r="C534" s="18">
        <v>2049</v>
      </c>
      <c r="D534" t="s">
        <v>187</v>
      </c>
      <c r="E534" s="20">
        <v>23668.176775609802</v>
      </c>
      <c r="F534" s="20">
        <v>15434.7698598919</v>
      </c>
      <c r="G534" s="10">
        <v>16322.61151708</v>
      </c>
      <c r="H534" s="21">
        <f t="shared" si="16"/>
        <v>887.84165718810073</v>
      </c>
      <c r="I534" s="10">
        <v>23650.361484044901</v>
      </c>
      <c r="J534" s="21">
        <f t="shared" si="17"/>
        <v>-17.81529156490069</v>
      </c>
    </row>
    <row r="535" spans="1:10">
      <c r="A535" t="s">
        <v>197</v>
      </c>
      <c r="B535" t="s">
        <v>199</v>
      </c>
      <c r="C535" s="18">
        <v>2049</v>
      </c>
      <c r="D535" t="s">
        <v>227</v>
      </c>
      <c r="E535" s="20">
        <v>1245496.2258843801</v>
      </c>
      <c r="F535" s="20">
        <v>315589.68674941099</v>
      </c>
      <c r="G535" s="10">
        <v>315528.65457465599</v>
      </c>
      <c r="H535" s="21">
        <f t="shared" si="16"/>
        <v>-61.032174755004235</v>
      </c>
      <c r="I535" s="10">
        <v>1244958.37630862</v>
      </c>
      <c r="J535" s="21">
        <f t="shared" si="17"/>
        <v>-537.84957576007582</v>
      </c>
    </row>
    <row r="536" spans="1:10">
      <c r="A536" t="s">
        <v>197</v>
      </c>
      <c r="B536" t="s">
        <v>199</v>
      </c>
      <c r="C536" s="18">
        <v>2049</v>
      </c>
      <c r="D536" t="s">
        <v>163</v>
      </c>
      <c r="E536" s="20">
        <v>162295.54367946999</v>
      </c>
      <c r="F536" s="20">
        <v>106009.261025869</v>
      </c>
      <c r="G536" s="10">
        <v>109882.371148655</v>
      </c>
      <c r="H536" s="21">
        <f t="shared" si="16"/>
        <v>3873.1101227860054</v>
      </c>
      <c r="I536" s="10">
        <v>162238.134685625</v>
      </c>
      <c r="J536" s="21">
        <f t="shared" si="17"/>
        <v>-57.408993844990619</v>
      </c>
    </row>
    <row r="537" spans="1:10">
      <c r="A537" t="s">
        <v>197</v>
      </c>
      <c r="B537" t="s">
        <v>199</v>
      </c>
      <c r="C537" s="18">
        <v>2049</v>
      </c>
      <c r="D537" t="s">
        <v>173</v>
      </c>
      <c r="E537" s="20">
        <v>505546.44114533899</v>
      </c>
      <c r="F537" s="20">
        <v>470658.70786703401</v>
      </c>
      <c r="G537" s="10">
        <v>470383.880162835</v>
      </c>
      <c r="H537" s="21">
        <f t="shared" si="16"/>
        <v>-274.82770419900771</v>
      </c>
      <c r="I537" s="10">
        <v>505215.90050813899</v>
      </c>
      <c r="J537" s="21">
        <f t="shared" si="17"/>
        <v>-330.54063719999976</v>
      </c>
    </row>
    <row r="538" spans="1:10">
      <c r="A538" t="s">
        <v>197</v>
      </c>
      <c r="B538" t="s">
        <v>199</v>
      </c>
      <c r="C538" s="18">
        <v>2049</v>
      </c>
      <c r="D538" t="s">
        <v>177</v>
      </c>
      <c r="E538" s="20">
        <v>872425.39827533299</v>
      </c>
      <c r="F538" s="20">
        <v>561281.65473412897</v>
      </c>
      <c r="G538" s="10">
        <v>563337.76559367101</v>
      </c>
      <c r="H538" s="21">
        <f t="shared" si="16"/>
        <v>2056.1108595420374</v>
      </c>
      <c r="I538" s="10">
        <v>872039.41256190802</v>
      </c>
      <c r="J538" s="21">
        <f t="shared" si="17"/>
        <v>-385.98571342497598</v>
      </c>
    </row>
    <row r="539" spans="1:10">
      <c r="A539" t="s">
        <v>197</v>
      </c>
      <c r="B539" t="s">
        <v>199</v>
      </c>
      <c r="C539" s="18">
        <v>2049</v>
      </c>
      <c r="D539" t="s">
        <v>181</v>
      </c>
      <c r="E539" s="20">
        <v>685361.82710875</v>
      </c>
      <c r="F539" s="20">
        <v>425444.15688445402</v>
      </c>
      <c r="G539" s="10">
        <v>425211.29480666103</v>
      </c>
      <c r="H539" s="21">
        <f t="shared" si="16"/>
        <v>-232.86207779299002</v>
      </c>
      <c r="I539" s="10">
        <v>684799.51924341801</v>
      </c>
      <c r="J539" s="21">
        <f t="shared" si="17"/>
        <v>-562.30786533199716</v>
      </c>
    </row>
    <row r="540" spans="1:10">
      <c r="A540" t="s">
        <v>197</v>
      </c>
      <c r="B540" t="s">
        <v>199</v>
      </c>
      <c r="C540" s="18">
        <v>2049</v>
      </c>
      <c r="D540" t="s">
        <v>209</v>
      </c>
      <c r="E540" s="20">
        <v>43290.413351677802</v>
      </c>
      <c r="F540" s="20">
        <v>7764.5410750779602</v>
      </c>
      <c r="G540" s="10">
        <v>7764.4250577338198</v>
      </c>
      <c r="H540" s="21">
        <f t="shared" si="16"/>
        <v>-0.11601734414034581</v>
      </c>
      <c r="I540" s="10">
        <v>43287.694118175197</v>
      </c>
      <c r="J540" s="21">
        <f t="shared" si="17"/>
        <v>-2.7192335026047658</v>
      </c>
    </row>
    <row r="541" spans="1:10">
      <c r="A541" t="s">
        <v>197</v>
      </c>
      <c r="B541" t="s">
        <v>199</v>
      </c>
      <c r="C541" s="18">
        <v>2050</v>
      </c>
      <c r="D541" t="s">
        <v>187</v>
      </c>
      <c r="E541" s="20">
        <v>24129.7347792322</v>
      </c>
      <c r="F541" s="20">
        <v>15700.130420478499</v>
      </c>
      <c r="G541" s="10">
        <v>16618.923709126098</v>
      </c>
      <c r="H541" s="21">
        <f t="shared" si="16"/>
        <v>918.79328864759918</v>
      </c>
      <c r="I541" s="10">
        <v>24110.4306261692</v>
      </c>
      <c r="J541" s="21">
        <f t="shared" si="17"/>
        <v>-19.304153062999831</v>
      </c>
    </row>
    <row r="542" spans="1:10">
      <c r="A542" t="s">
        <v>197</v>
      </c>
      <c r="B542" t="s">
        <v>199</v>
      </c>
      <c r="C542" s="18">
        <v>2050</v>
      </c>
      <c r="D542" t="s">
        <v>227</v>
      </c>
      <c r="E542" s="20">
        <v>1250147.34558483</v>
      </c>
      <c r="F542" s="20">
        <v>321933.81552819</v>
      </c>
      <c r="G542" s="10">
        <v>321866.14542390499</v>
      </c>
      <c r="H542" s="21">
        <f t="shared" si="16"/>
        <v>-67.670104285003617</v>
      </c>
      <c r="I542" s="10">
        <v>1249574.9812984299</v>
      </c>
      <c r="J542" s="21">
        <f t="shared" si="17"/>
        <v>-572.36428640014492</v>
      </c>
    </row>
    <row r="543" spans="1:10">
      <c r="A543" t="s">
        <v>197</v>
      </c>
      <c r="B543" t="s">
        <v>199</v>
      </c>
      <c r="C543" s="18">
        <v>2050</v>
      </c>
      <c r="D543" t="s">
        <v>163</v>
      </c>
      <c r="E543" s="20">
        <v>164588.82527455399</v>
      </c>
      <c r="F543" s="20">
        <v>107490.8173595</v>
      </c>
      <c r="G543" s="10">
        <v>111496.260054028</v>
      </c>
      <c r="H543" s="21">
        <f t="shared" si="16"/>
        <v>4005.4426945279993</v>
      </c>
      <c r="I543" s="10">
        <v>164526.94959842</v>
      </c>
      <c r="J543" s="21">
        <f t="shared" si="17"/>
        <v>-61.875676133990055</v>
      </c>
    </row>
    <row r="544" spans="1:10">
      <c r="A544" t="s">
        <v>197</v>
      </c>
      <c r="B544" t="s">
        <v>199</v>
      </c>
      <c r="C544" s="18">
        <v>2050</v>
      </c>
      <c r="D544" t="s">
        <v>173</v>
      </c>
      <c r="E544" s="20">
        <v>510277.80498859799</v>
      </c>
      <c r="F544" s="20">
        <v>475189.09923003003</v>
      </c>
      <c r="G544" s="10">
        <v>474893.25455494301</v>
      </c>
      <c r="H544" s="21">
        <f t="shared" si="16"/>
        <v>-295.84467508702073</v>
      </c>
      <c r="I544" s="10">
        <v>509923.79465326603</v>
      </c>
      <c r="J544" s="21">
        <f t="shared" si="17"/>
        <v>-354.01033533195732</v>
      </c>
    </row>
    <row r="545" spans="1:10">
      <c r="A545" t="s">
        <v>197</v>
      </c>
      <c r="B545" t="s">
        <v>199</v>
      </c>
      <c r="C545" s="18">
        <v>2050</v>
      </c>
      <c r="D545" t="s">
        <v>177</v>
      </c>
      <c r="E545" s="20">
        <v>881633.63188393705</v>
      </c>
      <c r="F545" s="20">
        <v>569195.78481899598</v>
      </c>
      <c r="G545" s="10">
        <v>571305.13066545594</v>
      </c>
      <c r="H545" s="21">
        <f t="shared" si="16"/>
        <v>2109.345846459968</v>
      </c>
      <c r="I545" s="10">
        <v>881220.21017861494</v>
      </c>
      <c r="J545" s="21">
        <f t="shared" si="17"/>
        <v>-413.4217053221073</v>
      </c>
    </row>
    <row r="546" spans="1:10">
      <c r="A546" t="s">
        <v>197</v>
      </c>
      <c r="B546" t="s">
        <v>199</v>
      </c>
      <c r="C546" s="18">
        <v>2050</v>
      </c>
      <c r="D546" t="s">
        <v>181</v>
      </c>
      <c r="E546" s="20">
        <v>694436.861839941</v>
      </c>
      <c r="F546" s="20">
        <v>434184.87312476803</v>
      </c>
      <c r="G546" s="10">
        <v>433928.11684243701</v>
      </c>
      <c r="H546" s="21">
        <f t="shared" si="16"/>
        <v>-256.75628233101452</v>
      </c>
      <c r="I546" s="10">
        <v>693833.37581002596</v>
      </c>
      <c r="J546" s="21">
        <f t="shared" si="17"/>
        <v>-603.48602991504595</v>
      </c>
    </row>
    <row r="547" spans="1:10">
      <c r="A547" t="s">
        <v>197</v>
      </c>
      <c r="B547" t="s">
        <v>199</v>
      </c>
      <c r="C547" s="18">
        <v>2050</v>
      </c>
      <c r="D547" t="s">
        <v>209</v>
      </c>
      <c r="E547" s="20">
        <v>43340.244006280598</v>
      </c>
      <c r="F547" s="20">
        <v>7785.72123875118</v>
      </c>
      <c r="G547" s="10">
        <v>7785.5925162465101</v>
      </c>
      <c r="H547" s="21">
        <f t="shared" si="16"/>
        <v>-0.12872250466989499</v>
      </c>
      <c r="I547" s="10">
        <v>43337.334071848098</v>
      </c>
      <c r="J547" s="21">
        <f t="shared" si="17"/>
        <v>-2.9099344325004495</v>
      </c>
    </row>
    <row r="548" spans="1:10">
      <c r="A548" t="s">
        <v>202</v>
      </c>
      <c r="B548" t="s">
        <v>204</v>
      </c>
      <c r="C548" s="18">
        <v>2025</v>
      </c>
      <c r="D548" t="s">
        <v>187</v>
      </c>
      <c r="E548" s="20">
        <v>12347.3896757033</v>
      </c>
      <c r="F548" s="20">
        <v>8975.3084972287597</v>
      </c>
      <c r="G548" s="10">
        <v>8975.3084972287597</v>
      </c>
      <c r="H548" s="21">
        <f t="shared" si="16"/>
        <v>0</v>
      </c>
      <c r="I548" s="10">
        <v>12347.3896757033</v>
      </c>
      <c r="J548" s="21">
        <f t="shared" si="17"/>
        <v>0</v>
      </c>
    </row>
    <row r="549" spans="1:10">
      <c r="A549" t="s">
        <v>202</v>
      </c>
      <c r="B549" t="s">
        <v>204</v>
      </c>
      <c r="C549" s="18">
        <v>2025</v>
      </c>
      <c r="D549" t="s">
        <v>227</v>
      </c>
      <c r="E549" s="20">
        <v>1026043.97207164</v>
      </c>
      <c r="F549" s="20">
        <v>129403.02283067199</v>
      </c>
      <c r="G549" s="10">
        <v>129403.02283067199</v>
      </c>
      <c r="H549" s="21">
        <f t="shared" si="16"/>
        <v>0</v>
      </c>
      <c r="I549" s="10">
        <v>1026043.97207164</v>
      </c>
      <c r="J549" s="21">
        <f t="shared" si="17"/>
        <v>0</v>
      </c>
    </row>
    <row r="550" spans="1:10">
      <c r="A550" t="s">
        <v>202</v>
      </c>
      <c r="B550" t="s">
        <v>204</v>
      </c>
      <c r="C550" s="18">
        <v>2025</v>
      </c>
      <c r="D550" t="s">
        <v>163</v>
      </c>
      <c r="E550" s="20">
        <v>91684.509014274605</v>
      </c>
      <c r="F550" s="20">
        <v>63318.751825202096</v>
      </c>
      <c r="G550" s="10">
        <v>63318.751825202096</v>
      </c>
      <c r="H550" s="21">
        <f t="shared" si="16"/>
        <v>0</v>
      </c>
      <c r="I550" s="10">
        <v>91684.509014274605</v>
      </c>
      <c r="J550" s="21">
        <f t="shared" si="17"/>
        <v>0</v>
      </c>
    </row>
    <row r="551" spans="1:10">
      <c r="A551" t="s">
        <v>202</v>
      </c>
      <c r="B551" t="s">
        <v>204</v>
      </c>
      <c r="C551" s="18">
        <v>2025</v>
      </c>
      <c r="D551" t="s">
        <v>173</v>
      </c>
      <c r="E551" s="20">
        <v>327817.99211152899</v>
      </c>
      <c r="F551" s="20">
        <v>300216.82861998002</v>
      </c>
      <c r="G551" s="10">
        <v>300216.82861998002</v>
      </c>
      <c r="H551" s="21">
        <f t="shared" si="16"/>
        <v>0</v>
      </c>
      <c r="I551" s="10">
        <v>327817.99211152899</v>
      </c>
      <c r="J551" s="21">
        <f t="shared" si="17"/>
        <v>0</v>
      </c>
    </row>
    <row r="552" spans="1:10">
      <c r="A552" t="s">
        <v>202</v>
      </c>
      <c r="B552" t="s">
        <v>204</v>
      </c>
      <c r="C552" s="18">
        <v>2025</v>
      </c>
      <c r="D552" t="s">
        <v>177</v>
      </c>
      <c r="E552" s="20">
        <v>563964.12892884796</v>
      </c>
      <c r="F552" s="20">
        <v>320466.96037763503</v>
      </c>
      <c r="G552" s="10">
        <v>321188.16298793198</v>
      </c>
      <c r="H552" s="21">
        <f t="shared" si="16"/>
        <v>721.20261029695394</v>
      </c>
      <c r="I552" s="10">
        <v>563964.12892884796</v>
      </c>
      <c r="J552" s="21">
        <f t="shared" si="17"/>
        <v>0</v>
      </c>
    </row>
    <row r="553" spans="1:10">
      <c r="A553" t="s">
        <v>202</v>
      </c>
      <c r="B553" t="s">
        <v>204</v>
      </c>
      <c r="C553" s="18">
        <v>2025</v>
      </c>
      <c r="D553" t="s">
        <v>181</v>
      </c>
      <c r="E553" s="20">
        <v>396205.91279756802</v>
      </c>
      <c r="F553" s="20">
        <v>191954.71357959701</v>
      </c>
      <c r="G553" s="10">
        <v>191954.71357959701</v>
      </c>
      <c r="H553" s="21">
        <f t="shared" si="16"/>
        <v>0</v>
      </c>
      <c r="I553" s="10">
        <v>396205.91279756802</v>
      </c>
      <c r="J553" s="21">
        <f t="shared" si="17"/>
        <v>0</v>
      </c>
    </row>
    <row r="554" spans="1:10">
      <c r="A554" t="s">
        <v>202</v>
      </c>
      <c r="B554" t="s">
        <v>204</v>
      </c>
      <c r="C554" s="18">
        <v>2025</v>
      </c>
      <c r="D554" t="s">
        <v>209</v>
      </c>
      <c r="E554" s="20">
        <v>44024.855784556101</v>
      </c>
      <c r="F554" s="20">
        <v>6961.0286695127397</v>
      </c>
      <c r="G554" s="10">
        <v>6961.0286695127397</v>
      </c>
      <c r="H554" s="21">
        <f t="shared" si="16"/>
        <v>0</v>
      </c>
      <c r="I554" s="10">
        <v>44024.855784556101</v>
      </c>
      <c r="J554" s="21">
        <f t="shared" si="17"/>
        <v>0</v>
      </c>
    </row>
    <row r="555" spans="1:10">
      <c r="A555" t="s">
        <v>202</v>
      </c>
      <c r="B555" t="s">
        <v>204</v>
      </c>
      <c r="C555" s="18">
        <v>2026</v>
      </c>
      <c r="D555" t="s">
        <v>187</v>
      </c>
      <c r="E555" s="20">
        <v>12812.597403953099</v>
      </c>
      <c r="F555" s="20">
        <v>9308.2642091095495</v>
      </c>
      <c r="G555" s="10">
        <v>9308.2642091095495</v>
      </c>
      <c r="H555" s="21">
        <f t="shared" si="16"/>
        <v>0</v>
      </c>
      <c r="I555" s="10">
        <v>12812.507871628</v>
      </c>
      <c r="J555" s="21">
        <f t="shared" si="17"/>
        <v>-8.9532325098844012E-2</v>
      </c>
    </row>
    <row r="556" spans="1:10">
      <c r="A556" t="s">
        <v>202</v>
      </c>
      <c r="B556" t="s">
        <v>204</v>
      </c>
      <c r="C556" s="18">
        <v>2026</v>
      </c>
      <c r="D556" t="s">
        <v>227</v>
      </c>
      <c r="E556" s="20">
        <v>1040962.51013423</v>
      </c>
      <c r="F556" s="20">
        <v>137191.89613692299</v>
      </c>
      <c r="G556" s="10">
        <v>137191.89613692299</v>
      </c>
      <c r="H556" s="21">
        <f t="shared" si="16"/>
        <v>0</v>
      </c>
      <c r="I556" s="10">
        <v>1040956.74283153</v>
      </c>
      <c r="J556" s="21">
        <f t="shared" si="17"/>
        <v>-5.7673026999691501</v>
      </c>
    </row>
    <row r="557" spans="1:10">
      <c r="A557" t="s">
        <v>202</v>
      </c>
      <c r="B557" t="s">
        <v>204</v>
      </c>
      <c r="C557" s="18">
        <v>2026</v>
      </c>
      <c r="D557" t="s">
        <v>163</v>
      </c>
      <c r="E557" s="20">
        <v>95078.067231100198</v>
      </c>
      <c r="F557" s="20">
        <v>65164.470413401701</v>
      </c>
      <c r="G557" s="10">
        <v>65164.470413401701</v>
      </c>
      <c r="H557" s="21">
        <f t="shared" si="16"/>
        <v>0</v>
      </c>
      <c r="I557" s="10">
        <v>95077.183303526501</v>
      </c>
      <c r="J557" s="21">
        <f t="shared" si="17"/>
        <v>-0.88392757369729225</v>
      </c>
    </row>
    <row r="558" spans="1:10">
      <c r="A558" t="s">
        <v>202</v>
      </c>
      <c r="B558" t="s">
        <v>204</v>
      </c>
      <c r="C558" s="18">
        <v>2026</v>
      </c>
      <c r="D558" t="s">
        <v>173</v>
      </c>
      <c r="E558" s="20">
        <v>336878.00690107601</v>
      </c>
      <c r="F558" s="20">
        <v>308606.943045308</v>
      </c>
      <c r="G558" s="10">
        <v>308606.943045308</v>
      </c>
      <c r="H558" s="21">
        <f t="shared" si="16"/>
        <v>0</v>
      </c>
      <c r="I558" s="10">
        <v>336875.42349560501</v>
      </c>
      <c r="J558" s="21">
        <f t="shared" si="17"/>
        <v>-2.5834054709994234</v>
      </c>
    </row>
    <row r="559" spans="1:10">
      <c r="A559" t="s">
        <v>202</v>
      </c>
      <c r="B559" t="s">
        <v>204</v>
      </c>
      <c r="C559" s="18">
        <v>2026</v>
      </c>
      <c r="D559" t="s">
        <v>177</v>
      </c>
      <c r="E559" s="20">
        <v>580111.54195764905</v>
      </c>
      <c r="F559" s="20">
        <v>331455.26916497201</v>
      </c>
      <c r="G559" s="10">
        <v>332896.18576831103</v>
      </c>
      <c r="H559" s="21">
        <f t="shared" si="16"/>
        <v>1440.9166033390211</v>
      </c>
      <c r="I559" s="10">
        <v>580111.54195764905</v>
      </c>
      <c r="J559" s="21">
        <f t="shared" si="17"/>
        <v>0</v>
      </c>
    </row>
    <row r="560" spans="1:10">
      <c r="A560" t="s">
        <v>202</v>
      </c>
      <c r="B560" t="s">
        <v>204</v>
      </c>
      <c r="C560" s="18">
        <v>2026</v>
      </c>
      <c r="D560" t="s">
        <v>181</v>
      </c>
      <c r="E560" s="20">
        <v>409833.88986239</v>
      </c>
      <c r="F560" s="20">
        <v>202008.19978323701</v>
      </c>
      <c r="G560" s="10">
        <v>202008.19978323701</v>
      </c>
      <c r="H560" s="21">
        <f t="shared" si="16"/>
        <v>0</v>
      </c>
      <c r="I560" s="10">
        <v>409829.87281699001</v>
      </c>
      <c r="J560" s="21">
        <f t="shared" si="17"/>
        <v>-4.0170453999890015</v>
      </c>
    </row>
    <row r="561" spans="1:10">
      <c r="A561" t="s">
        <v>202</v>
      </c>
      <c r="B561" t="s">
        <v>204</v>
      </c>
      <c r="C561" s="18">
        <v>2026</v>
      </c>
      <c r="D561" t="s">
        <v>209</v>
      </c>
      <c r="E561" s="20">
        <v>44219.195946869499</v>
      </c>
      <c r="F561" s="20">
        <v>7023.7712687228704</v>
      </c>
      <c r="G561" s="10">
        <v>7023.7712687228704</v>
      </c>
      <c r="H561" s="21">
        <f t="shared" si="16"/>
        <v>0</v>
      </c>
      <c r="I561" s="10">
        <v>44219.170751765298</v>
      </c>
      <c r="J561" s="21">
        <f t="shared" si="17"/>
        <v>-2.5195104200975038E-2</v>
      </c>
    </row>
    <row r="562" spans="1:10">
      <c r="A562" t="s">
        <v>202</v>
      </c>
      <c r="B562" t="s">
        <v>204</v>
      </c>
      <c r="C562" s="18">
        <v>2027</v>
      </c>
      <c r="D562" t="s">
        <v>187</v>
      </c>
      <c r="E562" s="20">
        <v>13273.7601579968</v>
      </c>
      <c r="F562" s="20">
        <v>9640.7315365271297</v>
      </c>
      <c r="G562" s="10">
        <v>9640.7153077701696</v>
      </c>
      <c r="H562" s="21">
        <f t="shared" si="16"/>
        <v>-1.6228756960117607E-2</v>
      </c>
      <c r="I562" s="10">
        <v>13273.481772584</v>
      </c>
      <c r="J562" s="21">
        <f t="shared" si="17"/>
        <v>-0.27838541279925266</v>
      </c>
    </row>
    <row r="563" spans="1:10">
      <c r="A563" t="s">
        <v>202</v>
      </c>
      <c r="B563" t="s">
        <v>204</v>
      </c>
      <c r="C563" s="18">
        <v>2027</v>
      </c>
      <c r="D563" t="s">
        <v>227</v>
      </c>
      <c r="E563" s="20">
        <v>1055272.6415174101</v>
      </c>
      <c r="F563" s="20">
        <v>145087.20014828301</v>
      </c>
      <c r="G563" s="10">
        <v>145087.13077641799</v>
      </c>
      <c r="H563" s="21">
        <f t="shared" si="16"/>
        <v>-6.9371865014545619E-2</v>
      </c>
      <c r="I563" s="10">
        <v>1055255.40879996</v>
      </c>
      <c r="J563" s="21">
        <f t="shared" si="17"/>
        <v>-17.232717450009659</v>
      </c>
    </row>
    <row r="564" spans="1:10">
      <c r="A564" t="s">
        <v>202</v>
      </c>
      <c r="B564" t="s">
        <v>204</v>
      </c>
      <c r="C564" s="18">
        <v>2027</v>
      </c>
      <c r="D564" t="s">
        <v>163</v>
      </c>
      <c r="E564" s="20">
        <v>98451.514016102505</v>
      </c>
      <c r="F564" s="20">
        <v>67068.160133048994</v>
      </c>
      <c r="G564" s="10">
        <v>67068.016908610196</v>
      </c>
      <c r="H564" s="21">
        <f t="shared" si="16"/>
        <v>-0.14322443879791535</v>
      </c>
      <c r="I564" s="10">
        <v>98448.827883966893</v>
      </c>
      <c r="J564" s="21">
        <f t="shared" si="17"/>
        <v>-2.6861321356118424</v>
      </c>
    </row>
    <row r="565" spans="1:10">
      <c r="A565" t="s">
        <v>202</v>
      </c>
      <c r="B565" t="s">
        <v>204</v>
      </c>
      <c r="C565" s="18">
        <v>2027</v>
      </c>
      <c r="D565" t="s">
        <v>173</v>
      </c>
      <c r="E565" s="20">
        <v>345944.54723034101</v>
      </c>
      <c r="F565" s="20">
        <v>317121.05878521898</v>
      </c>
      <c r="G565" s="10">
        <v>317119.55355255498</v>
      </c>
      <c r="H565" s="21">
        <f t="shared" si="16"/>
        <v>-1.5052326639997773</v>
      </c>
      <c r="I565" s="10">
        <v>345936.70671640302</v>
      </c>
      <c r="J565" s="21">
        <f t="shared" si="17"/>
        <v>-7.8405139379901811</v>
      </c>
    </row>
    <row r="566" spans="1:10">
      <c r="A566" t="s">
        <v>202</v>
      </c>
      <c r="B566" t="s">
        <v>204</v>
      </c>
      <c r="C566" s="18">
        <v>2027</v>
      </c>
      <c r="D566" t="s">
        <v>177</v>
      </c>
      <c r="E566" s="20">
        <v>596148.87406242301</v>
      </c>
      <c r="F566" s="20">
        <v>342356.696378591</v>
      </c>
      <c r="G566" s="10">
        <v>344517.274659827</v>
      </c>
      <c r="H566" s="21">
        <f t="shared" si="16"/>
        <v>2160.5782812359976</v>
      </c>
      <c r="I566" s="10">
        <v>596148.83233467594</v>
      </c>
      <c r="J566" s="21">
        <f t="shared" si="17"/>
        <v>-4.172774706967175E-2</v>
      </c>
    </row>
    <row r="567" spans="1:10">
      <c r="A567" t="s">
        <v>202</v>
      </c>
      <c r="B567" t="s">
        <v>204</v>
      </c>
      <c r="C567" s="18">
        <v>2027</v>
      </c>
      <c r="D567" t="s">
        <v>181</v>
      </c>
      <c r="E567" s="20">
        <v>423497.29740758898</v>
      </c>
      <c r="F567" s="20">
        <v>211995.736011845</v>
      </c>
      <c r="G567" s="10">
        <v>211995.48802417101</v>
      </c>
      <c r="H567" s="21">
        <f t="shared" si="16"/>
        <v>-0.24798767399624921</v>
      </c>
      <c r="I567" s="10">
        <v>423485.10132199898</v>
      </c>
      <c r="J567" s="21">
        <f t="shared" si="17"/>
        <v>-12.196085589996073</v>
      </c>
    </row>
    <row r="568" spans="1:10">
      <c r="A568" t="s">
        <v>202</v>
      </c>
      <c r="B568" t="s">
        <v>204</v>
      </c>
      <c r="C568" s="18">
        <v>2027</v>
      </c>
      <c r="D568" t="s">
        <v>209</v>
      </c>
      <c r="E568" s="20">
        <v>44384.277088545503</v>
      </c>
      <c r="F568" s="20">
        <v>7080.05716050313</v>
      </c>
      <c r="G568" s="10">
        <v>7080.0570056816796</v>
      </c>
      <c r="H568" s="21">
        <f t="shared" si="16"/>
        <v>-1.548214504509815E-4</v>
      </c>
      <c r="I568" s="10">
        <v>44384.2018393689</v>
      </c>
      <c r="J568" s="21">
        <f t="shared" si="17"/>
        <v>-7.5249176603392698E-2</v>
      </c>
    </row>
    <row r="569" spans="1:10">
      <c r="A569" t="s">
        <v>202</v>
      </c>
      <c r="B569" t="s">
        <v>204</v>
      </c>
      <c r="C569" s="18">
        <v>2028</v>
      </c>
      <c r="D569" t="s">
        <v>187</v>
      </c>
      <c r="E569" s="20">
        <v>13730.0768632086</v>
      </c>
      <c r="F569" s="20">
        <v>9971.5170462094702</v>
      </c>
      <c r="G569" s="10">
        <v>9971.4547216338906</v>
      </c>
      <c r="H569" s="21">
        <f t="shared" si="16"/>
        <v>-6.2324575579623342E-2</v>
      </c>
      <c r="I569" s="10">
        <v>13729.5005000864</v>
      </c>
      <c r="J569" s="21">
        <f t="shared" si="17"/>
        <v>-0.57636312219983665</v>
      </c>
    </row>
    <row r="570" spans="1:10">
      <c r="A570" t="s">
        <v>202</v>
      </c>
      <c r="B570" t="s">
        <v>204</v>
      </c>
      <c r="C570" s="18">
        <v>2028</v>
      </c>
      <c r="D570" t="s">
        <v>227</v>
      </c>
      <c r="E570" s="20">
        <v>1069039.3513501701</v>
      </c>
      <c r="F570" s="20">
        <v>153078.14651165201</v>
      </c>
      <c r="G570" s="10">
        <v>153077.86738724401</v>
      </c>
      <c r="H570" s="21">
        <f t="shared" si="16"/>
        <v>-0.279124407999916</v>
      </c>
      <c r="I570" s="10">
        <v>1069005.07088018</v>
      </c>
      <c r="J570" s="21">
        <f t="shared" si="17"/>
        <v>-34.280469990102574</v>
      </c>
    </row>
    <row r="571" spans="1:10">
      <c r="A571" t="s">
        <v>202</v>
      </c>
      <c r="B571" t="s">
        <v>204</v>
      </c>
      <c r="C571" s="18">
        <v>2028</v>
      </c>
      <c r="D571" t="s">
        <v>163</v>
      </c>
      <c r="E571" s="20">
        <v>101803.401697954</v>
      </c>
      <c r="F571" s="20">
        <v>69020.475615024494</v>
      </c>
      <c r="G571" s="10">
        <v>69019.933123164999</v>
      </c>
      <c r="H571" s="21">
        <f t="shared" si="16"/>
        <v>-0.54249185949447565</v>
      </c>
      <c r="I571" s="10">
        <v>101797.96761407</v>
      </c>
      <c r="J571" s="21">
        <f t="shared" si="17"/>
        <v>-5.4340838839998469</v>
      </c>
    </row>
    <row r="572" spans="1:10">
      <c r="A572" t="s">
        <v>202</v>
      </c>
      <c r="B572" t="s">
        <v>204</v>
      </c>
      <c r="C572" s="18">
        <v>2028</v>
      </c>
      <c r="D572" t="s">
        <v>173</v>
      </c>
      <c r="E572" s="20">
        <v>354981.38664715103</v>
      </c>
      <c r="F572" s="20">
        <v>325695.75567139802</v>
      </c>
      <c r="G572" s="10">
        <v>325690.68301689299</v>
      </c>
      <c r="H572" s="21">
        <f t="shared" si="16"/>
        <v>-5.0726545050274581</v>
      </c>
      <c r="I572" s="10">
        <v>354965.53581913299</v>
      </c>
      <c r="J572" s="21">
        <f t="shared" si="17"/>
        <v>-15.850828018039465</v>
      </c>
    </row>
    <row r="573" spans="1:10">
      <c r="A573" t="s">
        <v>202</v>
      </c>
      <c r="B573" t="s">
        <v>204</v>
      </c>
      <c r="C573" s="18">
        <v>2028</v>
      </c>
      <c r="D573" t="s">
        <v>177</v>
      </c>
      <c r="E573" s="20">
        <v>612031.81265033502</v>
      </c>
      <c r="F573" s="20">
        <v>353192.33627157001</v>
      </c>
      <c r="G573" s="10">
        <v>356073.57143805898</v>
      </c>
      <c r="H573" s="21">
        <f t="shared" si="16"/>
        <v>2881.235166488972</v>
      </c>
      <c r="I573" s="10">
        <v>612031.65944475099</v>
      </c>
      <c r="J573" s="21">
        <f t="shared" si="17"/>
        <v>-0.15320558403618634</v>
      </c>
    </row>
    <row r="574" spans="1:10">
      <c r="A574" t="s">
        <v>202</v>
      </c>
      <c r="B574" t="s">
        <v>204</v>
      </c>
      <c r="C574" s="18">
        <v>2028</v>
      </c>
      <c r="D574" t="s">
        <v>181</v>
      </c>
      <c r="E574" s="20">
        <v>437184.42262336798</v>
      </c>
      <c r="F574" s="20">
        <v>221909.95615368601</v>
      </c>
      <c r="G574" s="10">
        <v>221908.95856330299</v>
      </c>
      <c r="H574" s="21">
        <f t="shared" si="16"/>
        <v>-0.99759038301999681</v>
      </c>
      <c r="I574" s="10">
        <v>437159.75519195799</v>
      </c>
      <c r="J574" s="21">
        <f t="shared" si="17"/>
        <v>-24.667431409994606</v>
      </c>
    </row>
    <row r="575" spans="1:10">
      <c r="A575" t="s">
        <v>202</v>
      </c>
      <c r="B575" t="s">
        <v>204</v>
      </c>
      <c r="C575" s="18">
        <v>2028</v>
      </c>
      <c r="D575" t="s">
        <v>209</v>
      </c>
      <c r="E575" s="20">
        <v>44510.214819393601</v>
      </c>
      <c r="F575" s="20">
        <v>7131.0707718725298</v>
      </c>
      <c r="G575" s="10">
        <v>7131.0701635649802</v>
      </c>
      <c r="H575" s="21">
        <f t="shared" si="16"/>
        <v>-6.0830754955532029E-4</v>
      </c>
      <c r="I575" s="10">
        <v>44510.064962992903</v>
      </c>
      <c r="J575" s="21">
        <f t="shared" si="17"/>
        <v>-0.14985640069789952</v>
      </c>
    </row>
    <row r="576" spans="1:10">
      <c r="A576" t="s">
        <v>202</v>
      </c>
      <c r="B576" t="s">
        <v>204</v>
      </c>
      <c r="C576" s="18">
        <v>2029</v>
      </c>
      <c r="D576" t="s">
        <v>187</v>
      </c>
      <c r="E576" s="20">
        <v>14182.4176432289</v>
      </c>
      <c r="F576" s="20">
        <v>10301.3797453855</v>
      </c>
      <c r="G576" s="10">
        <v>10301.2295792609</v>
      </c>
      <c r="H576" s="21">
        <f t="shared" si="16"/>
        <v>-0.15016612460021861</v>
      </c>
      <c r="I576" s="10">
        <v>14181.423637546701</v>
      </c>
      <c r="J576" s="21">
        <f t="shared" si="17"/>
        <v>-0.99400568219971319</v>
      </c>
    </row>
    <row r="577" spans="1:10">
      <c r="A577" t="s">
        <v>202</v>
      </c>
      <c r="B577" t="s">
        <v>204</v>
      </c>
      <c r="C577" s="18">
        <v>2029</v>
      </c>
      <c r="D577" t="s">
        <v>227</v>
      </c>
      <c r="E577" s="20">
        <v>1082309.17721484</v>
      </c>
      <c r="F577" s="20">
        <v>161161.76287890101</v>
      </c>
      <c r="G577" s="10">
        <v>161161.06213209301</v>
      </c>
      <c r="H577" s="21">
        <f t="shared" si="16"/>
        <v>-0.70074680799734779</v>
      </c>
      <c r="I577" s="10">
        <v>1082252.3942307399</v>
      </c>
      <c r="J577" s="21">
        <f t="shared" si="17"/>
        <v>-56.782984100049362</v>
      </c>
    </row>
    <row r="578" spans="1:10">
      <c r="A578" t="s">
        <v>202</v>
      </c>
      <c r="B578" t="s">
        <v>204</v>
      </c>
      <c r="C578" s="18">
        <v>2029</v>
      </c>
      <c r="D578" t="s">
        <v>163</v>
      </c>
      <c r="E578" s="20">
        <v>105123.842712913</v>
      </c>
      <c r="F578" s="20">
        <v>71043.342910930602</v>
      </c>
      <c r="G578" s="10">
        <v>71042.054429439493</v>
      </c>
      <c r="H578" s="21">
        <f t="shared" ref="H578:H641" si="18">G578-F578</f>
        <v>-1.2884814911085414</v>
      </c>
      <c r="I578" s="10">
        <v>105114.693344183</v>
      </c>
      <c r="J578" s="21">
        <f t="shared" ref="J578:J641" si="19">I578-E578</f>
        <v>-9.1493687299953308</v>
      </c>
    </row>
    <row r="579" spans="1:10">
      <c r="A579" t="s">
        <v>202</v>
      </c>
      <c r="B579" t="s">
        <v>204</v>
      </c>
      <c r="C579" s="18">
        <v>2029</v>
      </c>
      <c r="D579" t="s">
        <v>173</v>
      </c>
      <c r="E579" s="20">
        <v>363922.89631791197</v>
      </c>
      <c r="F579" s="20">
        <v>334303.69575607299</v>
      </c>
      <c r="G579" s="10">
        <v>334292.677138926</v>
      </c>
      <c r="H579" s="21">
        <f t="shared" si="18"/>
        <v>-11.018617146997713</v>
      </c>
      <c r="I579" s="10">
        <v>363896.20424716797</v>
      </c>
      <c r="J579" s="21">
        <f t="shared" si="19"/>
        <v>-26.692070744000375</v>
      </c>
    </row>
    <row r="580" spans="1:10">
      <c r="A580" t="s">
        <v>202</v>
      </c>
      <c r="B580" t="s">
        <v>204</v>
      </c>
      <c r="C580" s="18">
        <v>2029</v>
      </c>
      <c r="D580" t="s">
        <v>177</v>
      </c>
      <c r="E580" s="20">
        <v>627726.69466969196</v>
      </c>
      <c r="F580" s="20">
        <v>363971.27937842603</v>
      </c>
      <c r="G580" s="10">
        <v>367575.22274735</v>
      </c>
      <c r="H580" s="21">
        <f t="shared" si="18"/>
        <v>3603.9433689239668</v>
      </c>
      <c r="I580" s="10">
        <v>627726.33689879405</v>
      </c>
      <c r="J580" s="21">
        <f t="shared" si="19"/>
        <v>-0.35777089791372418</v>
      </c>
    </row>
    <row r="581" spans="1:10">
      <c r="A581" t="s">
        <v>202</v>
      </c>
      <c r="B581" t="s">
        <v>204</v>
      </c>
      <c r="C581" s="18">
        <v>2029</v>
      </c>
      <c r="D581" t="s">
        <v>181</v>
      </c>
      <c r="E581" s="20">
        <v>450827.695724171</v>
      </c>
      <c r="F581" s="20">
        <v>231710.52316725001</v>
      </c>
      <c r="G581" s="10">
        <v>231708.01887569</v>
      </c>
      <c r="H581" s="21">
        <f t="shared" si="18"/>
        <v>-2.5042915600060951</v>
      </c>
      <c r="I581" s="10">
        <v>450786.13401356898</v>
      </c>
      <c r="J581" s="21">
        <f t="shared" si="19"/>
        <v>-41.561710602021776</v>
      </c>
    </row>
    <row r="582" spans="1:10">
      <c r="A582" t="s">
        <v>202</v>
      </c>
      <c r="B582" t="s">
        <v>204</v>
      </c>
      <c r="C582" s="18">
        <v>2029</v>
      </c>
      <c r="D582" t="s">
        <v>209</v>
      </c>
      <c r="E582" s="20">
        <v>44600.5101575238</v>
      </c>
      <c r="F582" s="20">
        <v>7178.2208110336496</v>
      </c>
      <c r="G582" s="10">
        <v>7178.2193159725202</v>
      </c>
      <c r="H582" s="21">
        <f t="shared" si="18"/>
        <v>-1.4950611293897964E-3</v>
      </c>
      <c r="I582" s="10">
        <v>44600.261443595497</v>
      </c>
      <c r="J582" s="21">
        <f t="shared" si="19"/>
        <v>-0.24871392830391414</v>
      </c>
    </row>
    <row r="583" spans="1:10">
      <c r="A583" t="s">
        <v>202</v>
      </c>
      <c r="B583" t="s">
        <v>204</v>
      </c>
      <c r="C583" s="18">
        <v>2030</v>
      </c>
      <c r="D583" t="s">
        <v>187</v>
      </c>
      <c r="E583" s="20">
        <v>14632.4691303533</v>
      </c>
      <c r="F583" s="20">
        <v>10630.5599560299</v>
      </c>
      <c r="G583" s="10">
        <v>10630.2702680602</v>
      </c>
      <c r="H583" s="21">
        <f t="shared" si="18"/>
        <v>-0.28968796970002586</v>
      </c>
      <c r="I583" s="10">
        <v>14630.9263575645</v>
      </c>
      <c r="J583" s="21">
        <f t="shared" si="19"/>
        <v>-1.5427727887999936</v>
      </c>
    </row>
    <row r="584" spans="1:10">
      <c r="A584" t="s">
        <v>202</v>
      </c>
      <c r="B584" t="s">
        <v>204</v>
      </c>
      <c r="C584" s="18">
        <v>2030</v>
      </c>
      <c r="D584" t="s">
        <v>227</v>
      </c>
      <c r="E584" s="20">
        <v>1095041.4390783701</v>
      </c>
      <c r="F584" s="20">
        <v>169316.23950275299</v>
      </c>
      <c r="G584" s="10">
        <v>169314.83403803801</v>
      </c>
      <c r="H584" s="21">
        <f t="shared" si="18"/>
        <v>-1.4054647149750963</v>
      </c>
      <c r="I584" s="10">
        <v>1094956.8444496701</v>
      </c>
      <c r="J584" s="21">
        <f t="shared" si="19"/>
        <v>-84.594628700055182</v>
      </c>
    </row>
    <row r="585" spans="1:10">
      <c r="A585" t="s">
        <v>202</v>
      </c>
      <c r="B585" t="s">
        <v>204</v>
      </c>
      <c r="C585" s="18">
        <v>2030</v>
      </c>
      <c r="D585" t="s">
        <v>163</v>
      </c>
      <c r="E585" s="20">
        <v>108407.62773140401</v>
      </c>
      <c r="F585" s="20">
        <v>73123.2541058309</v>
      </c>
      <c r="G585" s="10">
        <v>73120.8011068864</v>
      </c>
      <c r="H585" s="21">
        <f t="shared" si="18"/>
        <v>-2.4529989444999956</v>
      </c>
      <c r="I585" s="10">
        <v>108393.77376611999</v>
      </c>
      <c r="J585" s="21">
        <f t="shared" si="19"/>
        <v>-13.853965284011792</v>
      </c>
    </row>
    <row r="586" spans="1:10">
      <c r="A586" t="s">
        <v>202</v>
      </c>
      <c r="B586" t="s">
        <v>204</v>
      </c>
      <c r="C586" s="18">
        <v>2030</v>
      </c>
      <c r="D586" t="s">
        <v>173</v>
      </c>
      <c r="E586" s="20">
        <v>372782.221108898</v>
      </c>
      <c r="F586" s="20">
        <v>342909.15872668399</v>
      </c>
      <c r="G586" s="10">
        <v>342889.63536639401</v>
      </c>
      <c r="H586" s="21">
        <f t="shared" si="18"/>
        <v>-19.52336028998252</v>
      </c>
      <c r="I586" s="10">
        <v>372741.79546126397</v>
      </c>
      <c r="J586" s="21">
        <f t="shared" si="19"/>
        <v>-40.425647634023335</v>
      </c>
    </row>
    <row r="587" spans="1:10">
      <c r="A587" t="s">
        <v>202</v>
      </c>
      <c r="B587" t="s">
        <v>204</v>
      </c>
      <c r="C587" s="18">
        <v>2030</v>
      </c>
      <c r="D587" t="s">
        <v>177</v>
      </c>
      <c r="E587" s="20">
        <v>643154.889104528</v>
      </c>
      <c r="F587" s="20">
        <v>374613.20226077997</v>
      </c>
      <c r="G587" s="10">
        <v>378940.23126744502</v>
      </c>
      <c r="H587" s="21">
        <f t="shared" si="18"/>
        <v>4327.0290066650487</v>
      </c>
      <c r="I587" s="10">
        <v>643154.21130562795</v>
      </c>
      <c r="J587" s="21">
        <f t="shared" si="19"/>
        <v>-0.67779890005476773</v>
      </c>
    </row>
    <row r="588" spans="1:10">
      <c r="A588" t="s">
        <v>202</v>
      </c>
      <c r="B588" t="s">
        <v>204</v>
      </c>
      <c r="C588" s="18">
        <v>2030</v>
      </c>
      <c r="D588" t="s">
        <v>181</v>
      </c>
      <c r="E588" s="20">
        <v>464423.58542193403</v>
      </c>
      <c r="F588" s="20">
        <v>241315.33939652101</v>
      </c>
      <c r="G588" s="10">
        <v>241310.309903655</v>
      </c>
      <c r="H588" s="21">
        <f t="shared" si="18"/>
        <v>-5.0294928660150617</v>
      </c>
      <c r="I588" s="10">
        <v>464360.51810377202</v>
      </c>
      <c r="J588" s="21">
        <f t="shared" si="19"/>
        <v>-63.067318162007723</v>
      </c>
    </row>
    <row r="589" spans="1:10">
      <c r="A589" t="s">
        <v>202</v>
      </c>
      <c r="B589" t="s">
        <v>204</v>
      </c>
      <c r="C589" s="18">
        <v>2030</v>
      </c>
      <c r="D589" t="s">
        <v>209</v>
      </c>
      <c r="E589" s="20">
        <v>44647.640437987902</v>
      </c>
      <c r="F589" s="20">
        <v>7223.1132527019899</v>
      </c>
      <c r="G589" s="10">
        <v>7223.1103147423601</v>
      </c>
      <c r="H589" s="21">
        <f t="shared" si="18"/>
        <v>-2.9379596298895194E-3</v>
      </c>
      <c r="I589" s="10">
        <v>44647.268915282999</v>
      </c>
      <c r="J589" s="21">
        <f t="shared" si="19"/>
        <v>-0.37152270490332739</v>
      </c>
    </row>
    <row r="590" spans="1:10">
      <c r="A590" t="s">
        <v>202</v>
      </c>
      <c r="B590" t="s">
        <v>204</v>
      </c>
      <c r="C590" s="18">
        <v>2031</v>
      </c>
      <c r="D590" t="s">
        <v>187</v>
      </c>
      <c r="E590" s="20">
        <v>15082.6142266854</v>
      </c>
      <c r="F590" s="20">
        <v>10955.9159942762</v>
      </c>
      <c r="G590" s="10">
        <v>10955.4255331558</v>
      </c>
      <c r="H590" s="21">
        <f t="shared" si="18"/>
        <v>-0.49046112040014123</v>
      </c>
      <c r="I590" s="10">
        <v>15080.3825495532</v>
      </c>
      <c r="J590" s="21">
        <f t="shared" si="19"/>
        <v>-2.2316771322002751</v>
      </c>
    </row>
    <row r="591" spans="1:10">
      <c r="A591" t="s">
        <v>202</v>
      </c>
      <c r="B591" t="s">
        <v>204</v>
      </c>
      <c r="C591" s="18">
        <v>2031</v>
      </c>
      <c r="D591" t="s">
        <v>227</v>
      </c>
      <c r="E591" s="20">
        <v>1107145.1490804299</v>
      </c>
      <c r="F591" s="20">
        <v>177513.370887848</v>
      </c>
      <c r="G591" s="10">
        <v>177510.90619666901</v>
      </c>
      <c r="H591" s="21">
        <f t="shared" si="18"/>
        <v>-2.4646911789895967</v>
      </c>
      <c r="I591" s="10">
        <v>1107027.6916289399</v>
      </c>
      <c r="J591" s="21">
        <f t="shared" si="19"/>
        <v>-117.45745148998685</v>
      </c>
    </row>
    <row r="592" spans="1:10">
      <c r="A592" t="s">
        <v>202</v>
      </c>
      <c r="B592" t="s">
        <v>204</v>
      </c>
      <c r="C592" s="18">
        <v>2031</v>
      </c>
      <c r="D592" t="s">
        <v>163</v>
      </c>
      <c r="E592" s="20">
        <v>111652.518714291</v>
      </c>
      <c r="F592" s="20">
        <v>75234.309282262097</v>
      </c>
      <c r="G592" s="10">
        <v>75230.219664338001</v>
      </c>
      <c r="H592" s="21">
        <f t="shared" si="18"/>
        <v>-4.0896179240953643</v>
      </c>
      <c r="I592" s="10">
        <v>111632.94755435199</v>
      </c>
      <c r="J592" s="21">
        <f t="shared" si="19"/>
        <v>-19.571159939005156</v>
      </c>
    </row>
    <row r="593" spans="1:10">
      <c r="A593" t="s">
        <v>202</v>
      </c>
      <c r="B593" t="s">
        <v>204</v>
      </c>
      <c r="C593" s="18">
        <v>2031</v>
      </c>
      <c r="D593" t="s">
        <v>173</v>
      </c>
      <c r="E593" s="20">
        <v>381527.28777565103</v>
      </c>
      <c r="F593" s="20">
        <v>351463.24361828202</v>
      </c>
      <c r="G593" s="10">
        <v>351432.51867295097</v>
      </c>
      <c r="H593" s="21">
        <f t="shared" si="18"/>
        <v>-30.724945331050549</v>
      </c>
      <c r="I593" s="10">
        <v>381470.26678102103</v>
      </c>
      <c r="J593" s="21">
        <f t="shared" si="19"/>
        <v>-57.020994630001951</v>
      </c>
    </row>
    <row r="594" spans="1:10">
      <c r="A594" t="s">
        <v>202</v>
      </c>
      <c r="B594" t="s">
        <v>204</v>
      </c>
      <c r="C594" s="18">
        <v>2031</v>
      </c>
      <c r="D594" t="s">
        <v>177</v>
      </c>
      <c r="E594" s="20">
        <v>658283.28274940897</v>
      </c>
      <c r="F594" s="20">
        <v>385129.86115762702</v>
      </c>
      <c r="G594" s="10">
        <v>390181.00302030199</v>
      </c>
      <c r="H594" s="21">
        <f t="shared" si="18"/>
        <v>5051.1418626749655</v>
      </c>
      <c r="I594" s="10">
        <v>658282.14926881401</v>
      </c>
      <c r="J594" s="21">
        <f t="shared" si="19"/>
        <v>-1.13348059495911</v>
      </c>
    </row>
    <row r="595" spans="1:10">
      <c r="A595" t="s">
        <v>202</v>
      </c>
      <c r="B595" t="s">
        <v>204</v>
      </c>
      <c r="C595" s="18">
        <v>2031</v>
      </c>
      <c r="D595" t="s">
        <v>181</v>
      </c>
      <c r="E595" s="20">
        <v>477867.40980506199</v>
      </c>
      <c r="F595" s="20">
        <v>250824.63094005999</v>
      </c>
      <c r="G595" s="10">
        <v>250815.78266259201</v>
      </c>
      <c r="H595" s="21">
        <f t="shared" si="18"/>
        <v>-8.8482774679723661</v>
      </c>
      <c r="I595" s="10">
        <v>477778.14604748198</v>
      </c>
      <c r="J595" s="21">
        <f t="shared" si="19"/>
        <v>-89.263757580018137</v>
      </c>
    </row>
    <row r="596" spans="1:10">
      <c r="A596" t="s">
        <v>202</v>
      </c>
      <c r="B596" t="s">
        <v>204</v>
      </c>
      <c r="C596" s="18">
        <v>2031</v>
      </c>
      <c r="D596" t="s">
        <v>209</v>
      </c>
      <c r="E596" s="20">
        <v>44640.865253073898</v>
      </c>
      <c r="F596" s="20">
        <v>7266.7710459649898</v>
      </c>
      <c r="G596" s="10">
        <v>7266.7660002075399</v>
      </c>
      <c r="H596" s="21">
        <f t="shared" si="18"/>
        <v>-5.0457574498068425E-3</v>
      </c>
      <c r="I596" s="10">
        <v>44640.347295477797</v>
      </c>
      <c r="J596" s="21">
        <f t="shared" si="19"/>
        <v>-0.51795759610104142</v>
      </c>
    </row>
    <row r="597" spans="1:10">
      <c r="A597" t="s">
        <v>202</v>
      </c>
      <c r="B597" t="s">
        <v>204</v>
      </c>
      <c r="C597" s="18">
        <v>2032</v>
      </c>
      <c r="D597" t="s">
        <v>187</v>
      </c>
      <c r="E597" s="20">
        <v>15534.3318671572</v>
      </c>
      <c r="F597" s="20">
        <v>11275.2560631499</v>
      </c>
      <c r="G597" s="10">
        <v>11274.495449735199</v>
      </c>
      <c r="H597" s="21">
        <f t="shared" si="18"/>
        <v>-0.76061341470085608</v>
      </c>
      <c r="I597" s="10">
        <v>15531.2601955666</v>
      </c>
      <c r="J597" s="21">
        <f t="shared" si="19"/>
        <v>-3.07167159060009</v>
      </c>
    </row>
    <row r="598" spans="1:10">
      <c r="A598" t="s">
        <v>202</v>
      </c>
      <c r="B598" t="s">
        <v>204</v>
      </c>
      <c r="C598" s="18">
        <v>2032</v>
      </c>
      <c r="D598" t="s">
        <v>227</v>
      </c>
      <c r="E598" s="20">
        <v>1118632.4478177801</v>
      </c>
      <c r="F598" s="20">
        <v>185729.94575386099</v>
      </c>
      <c r="G598" s="10">
        <v>185725.99905880101</v>
      </c>
      <c r="H598" s="21">
        <f t="shared" si="18"/>
        <v>-3.946695059974445</v>
      </c>
      <c r="I598" s="10">
        <v>1118477.3274982399</v>
      </c>
      <c r="J598" s="21">
        <f t="shared" si="19"/>
        <v>-155.12031954014674</v>
      </c>
    </row>
    <row r="599" spans="1:10">
      <c r="A599" t="s">
        <v>202</v>
      </c>
      <c r="B599" t="s">
        <v>204</v>
      </c>
      <c r="C599" s="18">
        <v>2032</v>
      </c>
      <c r="D599" t="s">
        <v>163</v>
      </c>
      <c r="E599" s="20">
        <v>114861.54725456001</v>
      </c>
      <c r="F599" s="20">
        <v>77359.301095567498</v>
      </c>
      <c r="G599" s="10">
        <v>77353.061023932896</v>
      </c>
      <c r="H599" s="21">
        <f t="shared" si="18"/>
        <v>-6.240071634601918</v>
      </c>
      <c r="I599" s="10">
        <v>114835.221802653</v>
      </c>
      <c r="J599" s="21">
        <f t="shared" si="19"/>
        <v>-26.325451907003298</v>
      </c>
    </row>
    <row r="600" spans="1:10">
      <c r="A600" t="s">
        <v>202</v>
      </c>
      <c r="B600" t="s">
        <v>204</v>
      </c>
      <c r="C600" s="18">
        <v>2032</v>
      </c>
      <c r="D600" t="s">
        <v>173</v>
      </c>
      <c r="E600" s="20">
        <v>390074.82829324901</v>
      </c>
      <c r="F600" s="20">
        <v>359879.21280905098</v>
      </c>
      <c r="G600" s="10">
        <v>359834.54685286601</v>
      </c>
      <c r="H600" s="21">
        <f t="shared" si="18"/>
        <v>-44.66595618496649</v>
      </c>
      <c r="I600" s="10">
        <v>389998.37668875401</v>
      </c>
      <c r="J600" s="21">
        <f t="shared" si="19"/>
        <v>-76.451604494999629</v>
      </c>
    </row>
    <row r="601" spans="1:10">
      <c r="A601" t="s">
        <v>202</v>
      </c>
      <c r="B601" t="s">
        <v>204</v>
      </c>
      <c r="C601" s="18">
        <v>2032</v>
      </c>
      <c r="D601" t="s">
        <v>177</v>
      </c>
      <c r="E601" s="20">
        <v>673135.63109164301</v>
      </c>
      <c r="F601" s="20">
        <v>395544.33569089201</v>
      </c>
      <c r="G601" s="10">
        <v>401318.28619347198</v>
      </c>
      <c r="H601" s="21">
        <f t="shared" si="18"/>
        <v>5773.9505025799735</v>
      </c>
      <c r="I601" s="10">
        <v>673133.88827326603</v>
      </c>
      <c r="J601" s="21">
        <f t="shared" si="19"/>
        <v>-1.742818376980722</v>
      </c>
    </row>
    <row r="602" spans="1:10">
      <c r="A602" t="s">
        <v>202</v>
      </c>
      <c r="B602" t="s">
        <v>204</v>
      </c>
      <c r="C602" s="18">
        <v>2032</v>
      </c>
      <c r="D602" t="s">
        <v>181</v>
      </c>
      <c r="E602" s="20">
        <v>491024.891195993</v>
      </c>
      <c r="F602" s="20">
        <v>260361.178790042</v>
      </c>
      <c r="G602" s="10">
        <v>260346.937343717</v>
      </c>
      <c r="H602" s="21">
        <f t="shared" si="18"/>
        <v>-14.241446325002471</v>
      </c>
      <c r="I602" s="10">
        <v>490904.70344577997</v>
      </c>
      <c r="J602" s="21">
        <f t="shared" si="19"/>
        <v>-120.18775021302281</v>
      </c>
    </row>
    <row r="603" spans="1:10">
      <c r="A603" t="s">
        <v>202</v>
      </c>
      <c r="B603" t="s">
        <v>204</v>
      </c>
      <c r="C603" s="18">
        <v>2032</v>
      </c>
      <c r="D603" t="s">
        <v>209</v>
      </c>
      <c r="E603" s="20">
        <v>44583.933327553401</v>
      </c>
      <c r="F603" s="20">
        <v>7308.6974856299603</v>
      </c>
      <c r="G603" s="10">
        <v>7308.6895683399798</v>
      </c>
      <c r="H603" s="21">
        <f t="shared" si="18"/>
        <v>-7.9172899804689223E-3</v>
      </c>
      <c r="I603" s="10">
        <v>44583.245501595899</v>
      </c>
      <c r="J603" s="21">
        <f t="shared" si="19"/>
        <v>-0.68782595750235487</v>
      </c>
    </row>
    <row r="604" spans="1:10">
      <c r="A604" t="s">
        <v>202</v>
      </c>
      <c r="B604" t="s">
        <v>204</v>
      </c>
      <c r="C604" s="18">
        <v>2033</v>
      </c>
      <c r="D604" t="s">
        <v>187</v>
      </c>
      <c r="E604" s="20">
        <v>15987.790166115799</v>
      </c>
      <c r="F604" s="20">
        <v>11588.041878233</v>
      </c>
      <c r="G604" s="10">
        <v>11586.9335708044</v>
      </c>
      <c r="H604" s="21">
        <f t="shared" si="18"/>
        <v>-1.1083074285998009</v>
      </c>
      <c r="I604" s="10">
        <v>15983.7175379286</v>
      </c>
      <c r="J604" s="21">
        <f t="shared" si="19"/>
        <v>-4.0726281871993706</v>
      </c>
    </row>
    <row r="605" spans="1:10">
      <c r="A605" t="s">
        <v>202</v>
      </c>
      <c r="B605" t="s">
        <v>204</v>
      </c>
      <c r="C605" s="18">
        <v>2033</v>
      </c>
      <c r="D605" t="s">
        <v>227</v>
      </c>
      <c r="E605" s="20">
        <v>1129430.8061263701</v>
      </c>
      <c r="F605" s="20">
        <v>193959.14121216899</v>
      </c>
      <c r="G605" s="10">
        <v>193953.224223645</v>
      </c>
      <c r="H605" s="21">
        <f t="shared" si="18"/>
        <v>-5.9169885239971336</v>
      </c>
      <c r="I605" s="10">
        <v>1129233.47845058</v>
      </c>
      <c r="J605" s="21">
        <f t="shared" si="19"/>
        <v>-197.32767579006031</v>
      </c>
    </row>
    <row r="606" spans="1:10">
      <c r="A606" t="s">
        <v>202</v>
      </c>
      <c r="B606" t="s">
        <v>204</v>
      </c>
      <c r="C606" s="18">
        <v>2033</v>
      </c>
      <c r="D606" t="s">
        <v>163</v>
      </c>
      <c r="E606" s="20">
        <v>118032.872582536</v>
      </c>
      <c r="F606" s="20">
        <v>79489.414150975703</v>
      </c>
      <c r="G606" s="10">
        <v>79480.4761690429</v>
      </c>
      <c r="H606" s="21">
        <f t="shared" si="18"/>
        <v>-8.9379819328023586</v>
      </c>
      <c r="I606" s="10">
        <v>117998.73843744201</v>
      </c>
      <c r="J606" s="21">
        <f t="shared" si="19"/>
        <v>-34.134145093994448</v>
      </c>
    </row>
    <row r="607" spans="1:10">
      <c r="A607" t="s">
        <v>202</v>
      </c>
      <c r="B607" t="s">
        <v>204</v>
      </c>
      <c r="C607" s="18">
        <v>2033</v>
      </c>
      <c r="D607" t="s">
        <v>173</v>
      </c>
      <c r="E607" s="20">
        <v>398453.02801344998</v>
      </c>
      <c r="F607" s="20">
        <v>368112.97349440801</v>
      </c>
      <c r="G607" s="10">
        <v>368051.62457544298</v>
      </c>
      <c r="H607" s="21">
        <f t="shared" si="18"/>
        <v>-61.348918965028133</v>
      </c>
      <c r="I607" s="10">
        <v>398354.344992358</v>
      </c>
      <c r="J607" s="21">
        <f t="shared" si="19"/>
        <v>-98.683021091972478</v>
      </c>
    </row>
    <row r="608" spans="1:10">
      <c r="A608" t="s">
        <v>202</v>
      </c>
      <c r="B608" t="s">
        <v>204</v>
      </c>
      <c r="C608" s="18">
        <v>2033</v>
      </c>
      <c r="D608" t="s">
        <v>177</v>
      </c>
      <c r="E608" s="20">
        <v>687637.22329640703</v>
      </c>
      <c r="F608" s="20">
        <v>405858.694104044</v>
      </c>
      <c r="G608" s="10">
        <v>412348.075678578</v>
      </c>
      <c r="H608" s="21">
        <f t="shared" si="18"/>
        <v>6489.3815745339962</v>
      </c>
      <c r="I608" s="10">
        <v>687634.69954692596</v>
      </c>
      <c r="J608" s="21">
        <f t="shared" si="19"/>
        <v>-2.523749481071718</v>
      </c>
    </row>
    <row r="609" spans="1:10">
      <c r="A609" t="s">
        <v>202</v>
      </c>
      <c r="B609" t="s">
        <v>204</v>
      </c>
      <c r="C609" s="18">
        <v>2033</v>
      </c>
      <c r="D609" t="s">
        <v>181</v>
      </c>
      <c r="E609" s="20">
        <v>503906.97374197497</v>
      </c>
      <c r="F609" s="20">
        <v>269904.89317849302</v>
      </c>
      <c r="G609" s="10">
        <v>269883.407599987</v>
      </c>
      <c r="H609" s="21">
        <f t="shared" si="18"/>
        <v>-21.485578506020829</v>
      </c>
      <c r="I609" s="10">
        <v>503751.109420694</v>
      </c>
      <c r="J609" s="21">
        <f t="shared" si="19"/>
        <v>-155.86432128096931</v>
      </c>
    </row>
    <row r="610" spans="1:10">
      <c r="A610" t="s">
        <v>202</v>
      </c>
      <c r="B610" t="s">
        <v>204</v>
      </c>
      <c r="C610" s="18">
        <v>2033</v>
      </c>
      <c r="D610" t="s">
        <v>209</v>
      </c>
      <c r="E610" s="20">
        <v>44484.564366012397</v>
      </c>
      <c r="F610" s="20">
        <v>7348.0857976104098</v>
      </c>
      <c r="G610" s="10">
        <v>7348.0741473220596</v>
      </c>
      <c r="H610" s="21">
        <f t="shared" si="18"/>
        <v>-1.1650288350210758E-2</v>
      </c>
      <c r="I610" s="10">
        <v>44483.683589841297</v>
      </c>
      <c r="J610" s="21">
        <f t="shared" si="19"/>
        <v>-0.88077617109956918</v>
      </c>
    </row>
    <row r="611" spans="1:10">
      <c r="A611" t="s">
        <v>202</v>
      </c>
      <c r="B611" t="s">
        <v>204</v>
      </c>
      <c r="C611" s="18">
        <v>2034</v>
      </c>
      <c r="D611" t="s">
        <v>187</v>
      </c>
      <c r="E611" s="20">
        <v>16442.169336889499</v>
      </c>
      <c r="F611" s="20">
        <v>11897.924228378</v>
      </c>
      <c r="G611" s="10">
        <v>11896.382318738601</v>
      </c>
      <c r="H611" s="21">
        <f t="shared" si="18"/>
        <v>-1.5419096393998188</v>
      </c>
      <c r="I611" s="10">
        <v>16436.9312806497</v>
      </c>
      <c r="J611" s="21">
        <f t="shared" si="19"/>
        <v>-5.2380562397993344</v>
      </c>
    </row>
    <row r="612" spans="1:10">
      <c r="A612" t="s">
        <v>202</v>
      </c>
      <c r="B612" t="s">
        <v>204</v>
      </c>
      <c r="C612" s="18">
        <v>2034</v>
      </c>
      <c r="D612" t="s">
        <v>227</v>
      </c>
      <c r="E612" s="20">
        <v>1139600.8293701799</v>
      </c>
      <c r="F612" s="20">
        <v>202155.710507924</v>
      </c>
      <c r="G612" s="10">
        <v>202147.27044605001</v>
      </c>
      <c r="H612" s="21">
        <f t="shared" si="18"/>
        <v>-8.4400618739891797</v>
      </c>
      <c r="I612" s="10">
        <v>1139357.0195160699</v>
      </c>
      <c r="J612" s="21">
        <f t="shared" si="19"/>
        <v>-243.80985411000438</v>
      </c>
    </row>
    <row r="613" spans="1:10">
      <c r="A613" t="s">
        <v>202</v>
      </c>
      <c r="B613" t="s">
        <v>204</v>
      </c>
      <c r="C613" s="18">
        <v>2034</v>
      </c>
      <c r="D613" t="s">
        <v>163</v>
      </c>
      <c r="E613" s="20">
        <v>121148.46535346399</v>
      </c>
      <c r="F613" s="20">
        <v>81607.161668591507</v>
      </c>
      <c r="G613" s="10">
        <v>81594.948233921197</v>
      </c>
      <c r="H613" s="21">
        <f t="shared" si="18"/>
        <v>-12.213434670309653</v>
      </c>
      <c r="I613" s="10">
        <v>121105.471839437</v>
      </c>
      <c r="J613" s="21">
        <f t="shared" si="19"/>
        <v>-42.993514026995399</v>
      </c>
    </row>
    <row r="614" spans="1:10">
      <c r="A614" t="s">
        <v>202</v>
      </c>
      <c r="B614" t="s">
        <v>204</v>
      </c>
      <c r="C614" s="18">
        <v>2034</v>
      </c>
      <c r="D614" t="s">
        <v>173</v>
      </c>
      <c r="E614" s="20">
        <v>406683.50070971501</v>
      </c>
      <c r="F614" s="20">
        <v>376108.85773772601</v>
      </c>
      <c r="G614" s="10">
        <v>376028.13227833499</v>
      </c>
      <c r="H614" s="21">
        <f t="shared" si="18"/>
        <v>-80.725459391018376</v>
      </c>
      <c r="I614" s="10">
        <v>406559.86735378799</v>
      </c>
      <c r="J614" s="21">
        <f t="shared" si="19"/>
        <v>-123.63335592701333</v>
      </c>
    </row>
    <row r="615" spans="1:10">
      <c r="A615" t="s">
        <v>202</v>
      </c>
      <c r="B615" t="s">
        <v>204</v>
      </c>
      <c r="C615" s="18">
        <v>2034</v>
      </c>
      <c r="D615" t="s">
        <v>177</v>
      </c>
      <c r="E615" s="20">
        <v>701695.17286206898</v>
      </c>
      <c r="F615" s="20">
        <v>416061.66921191098</v>
      </c>
      <c r="G615" s="10">
        <v>423259.10059080599</v>
      </c>
      <c r="H615" s="21">
        <f t="shared" si="18"/>
        <v>7197.4313788950094</v>
      </c>
      <c r="I615" s="10">
        <v>701691.67735876795</v>
      </c>
      <c r="J615" s="21">
        <f t="shared" si="19"/>
        <v>-3.4955033010337502</v>
      </c>
    </row>
    <row r="616" spans="1:10">
      <c r="A616" t="s">
        <v>202</v>
      </c>
      <c r="B616" t="s">
        <v>204</v>
      </c>
      <c r="C616" s="18">
        <v>2034</v>
      </c>
      <c r="D616" t="s">
        <v>181</v>
      </c>
      <c r="E616" s="20">
        <v>516602.794630213</v>
      </c>
      <c r="F616" s="20">
        <v>279515.818752172</v>
      </c>
      <c r="G616" s="10">
        <v>279484.98028522899</v>
      </c>
      <c r="H616" s="21">
        <f t="shared" si="18"/>
        <v>-30.838466943008825</v>
      </c>
      <c r="I616" s="10">
        <v>516406.53850878001</v>
      </c>
      <c r="J616" s="21">
        <f t="shared" si="19"/>
        <v>-196.25612143299077</v>
      </c>
    </row>
    <row r="617" spans="1:10">
      <c r="A617" t="s">
        <v>202</v>
      </c>
      <c r="B617" t="s">
        <v>204</v>
      </c>
      <c r="C617" s="18">
        <v>2034</v>
      </c>
      <c r="D617" t="s">
        <v>209</v>
      </c>
      <c r="E617" s="20">
        <v>44356.280410413397</v>
      </c>
      <c r="F617" s="20">
        <v>7385.0572902979402</v>
      </c>
      <c r="G617" s="10">
        <v>7385.0409467521704</v>
      </c>
      <c r="H617" s="21">
        <f t="shared" si="18"/>
        <v>-1.6343545769814227E-2</v>
      </c>
      <c r="I617" s="10">
        <v>44355.184450178996</v>
      </c>
      <c r="J617" s="21">
        <f t="shared" si="19"/>
        <v>-1.0959602344009909</v>
      </c>
    </row>
    <row r="618" spans="1:10">
      <c r="A618" t="s">
        <v>202</v>
      </c>
      <c r="B618" t="s">
        <v>204</v>
      </c>
      <c r="C618" s="18">
        <v>2035</v>
      </c>
      <c r="D618" t="s">
        <v>187</v>
      </c>
      <c r="E618" s="20">
        <v>16898.784444610799</v>
      </c>
      <c r="F618" s="20">
        <v>12205.126039029499</v>
      </c>
      <c r="G618" s="10">
        <v>12203.057717863399</v>
      </c>
      <c r="H618" s="21">
        <f t="shared" si="18"/>
        <v>-2.0683211660998495</v>
      </c>
      <c r="I618" s="10">
        <v>16892.2141390053</v>
      </c>
      <c r="J618" s="21">
        <f t="shared" si="19"/>
        <v>-6.5703056054990157</v>
      </c>
    </row>
    <row r="619" spans="1:10">
      <c r="A619" t="s">
        <v>202</v>
      </c>
      <c r="B619" t="s">
        <v>204</v>
      </c>
      <c r="C619" s="18">
        <v>2035</v>
      </c>
      <c r="D619" t="s">
        <v>227</v>
      </c>
      <c r="E619" s="20">
        <v>1149266.4740126301</v>
      </c>
      <c r="F619" s="20">
        <v>210302.55952117199</v>
      </c>
      <c r="G619" s="10">
        <v>210290.98052792501</v>
      </c>
      <c r="H619" s="21">
        <f t="shared" si="18"/>
        <v>-11.578993246977916</v>
      </c>
      <c r="I619" s="10">
        <v>1148972.16574985</v>
      </c>
      <c r="J619" s="21">
        <f t="shared" si="19"/>
        <v>-294.30826278007589</v>
      </c>
    </row>
    <row r="620" spans="1:10">
      <c r="A620" t="s">
        <v>202</v>
      </c>
      <c r="B620" t="s">
        <v>204</v>
      </c>
      <c r="C620" s="18">
        <v>2035</v>
      </c>
      <c r="D620" t="s">
        <v>163</v>
      </c>
      <c r="E620" s="20">
        <v>124201.10520534099</v>
      </c>
      <c r="F620" s="20">
        <v>83711.206986224002</v>
      </c>
      <c r="G620" s="10">
        <v>83695.117872879797</v>
      </c>
      <c r="H620" s="21">
        <f t="shared" si="18"/>
        <v>-16.089113344205543</v>
      </c>
      <c r="I620" s="10">
        <v>124148.20719584401</v>
      </c>
      <c r="J620" s="21">
        <f t="shared" si="19"/>
        <v>-52.898009496988379</v>
      </c>
    </row>
    <row r="621" spans="1:10">
      <c r="A621" t="s">
        <v>202</v>
      </c>
      <c r="B621" t="s">
        <v>204</v>
      </c>
      <c r="C621" s="18">
        <v>2035</v>
      </c>
      <c r="D621" t="s">
        <v>173</v>
      </c>
      <c r="E621" s="20">
        <v>414684.37361398799</v>
      </c>
      <c r="F621" s="20">
        <v>383891.49839404202</v>
      </c>
      <c r="G621" s="10">
        <v>383788.76252667198</v>
      </c>
      <c r="H621" s="21">
        <f t="shared" si="18"/>
        <v>-102.73586737003643</v>
      </c>
      <c r="I621" s="10">
        <v>414533.16060314502</v>
      </c>
      <c r="J621" s="21">
        <f t="shared" si="19"/>
        <v>-151.21301084297011</v>
      </c>
    </row>
    <row r="622" spans="1:10">
      <c r="A622" t="s">
        <v>202</v>
      </c>
      <c r="B622" t="s">
        <v>204</v>
      </c>
      <c r="C622" s="18">
        <v>2035</v>
      </c>
      <c r="D622" t="s">
        <v>177</v>
      </c>
      <c r="E622" s="20">
        <v>715336.46963869303</v>
      </c>
      <c r="F622" s="20">
        <v>426182.24824571901</v>
      </c>
      <c r="G622" s="10">
        <v>434082.03155119502</v>
      </c>
      <c r="H622" s="21">
        <f t="shared" si="18"/>
        <v>7899.7833054760122</v>
      </c>
      <c r="I622" s="10">
        <v>715331.78882210201</v>
      </c>
      <c r="J622" s="21">
        <f t="shared" si="19"/>
        <v>-4.6808165910188109</v>
      </c>
    </row>
    <row r="623" spans="1:10">
      <c r="A623" t="s">
        <v>202</v>
      </c>
      <c r="B623" t="s">
        <v>204</v>
      </c>
      <c r="C623" s="18">
        <v>2035</v>
      </c>
      <c r="D623" t="s">
        <v>181</v>
      </c>
      <c r="E623" s="20">
        <v>529059.63930606702</v>
      </c>
      <c r="F623" s="20">
        <v>289193.37100355199</v>
      </c>
      <c r="G623" s="10">
        <v>289150.80243598297</v>
      </c>
      <c r="H623" s="21">
        <f t="shared" si="18"/>
        <v>-42.568567569018342</v>
      </c>
      <c r="I623" s="10">
        <v>528818.37188395299</v>
      </c>
      <c r="J623" s="21">
        <f t="shared" si="19"/>
        <v>-241.26742211403325</v>
      </c>
    </row>
    <row r="624" spans="1:10">
      <c r="A624" t="s">
        <v>202</v>
      </c>
      <c r="B624" t="s">
        <v>204</v>
      </c>
      <c r="C624" s="18">
        <v>2035</v>
      </c>
      <c r="D624" t="s">
        <v>209</v>
      </c>
      <c r="E624" s="20">
        <v>44208.040002319402</v>
      </c>
      <c r="F624" s="20">
        <v>7420.0009781584204</v>
      </c>
      <c r="G624" s="10">
        <v>7419.9788551932097</v>
      </c>
      <c r="H624" s="21">
        <f t="shared" si="18"/>
        <v>-2.2122965210655821E-2</v>
      </c>
      <c r="I624" s="10">
        <v>44206.707306712102</v>
      </c>
      <c r="J624" s="21">
        <f t="shared" si="19"/>
        <v>-1.3326956072996836</v>
      </c>
    </row>
    <row r="625" spans="1:10">
      <c r="A625" t="s">
        <v>202</v>
      </c>
      <c r="B625" t="s">
        <v>204</v>
      </c>
      <c r="C625" s="18">
        <v>2036</v>
      </c>
      <c r="D625" t="s">
        <v>187</v>
      </c>
      <c r="E625" s="20">
        <v>17358.7296118097</v>
      </c>
      <c r="F625" s="20">
        <v>12509.594578967201</v>
      </c>
      <c r="G625" s="10">
        <v>12506.9021026876</v>
      </c>
      <c r="H625" s="21">
        <f t="shared" si="18"/>
        <v>-2.6924762796006689</v>
      </c>
      <c r="I625" s="10">
        <v>17350.6546269342</v>
      </c>
      <c r="J625" s="21">
        <f t="shared" si="19"/>
        <v>-8.0749848755003768</v>
      </c>
    </row>
    <row r="626" spans="1:10">
      <c r="A626" t="s">
        <v>202</v>
      </c>
      <c r="B626" t="s">
        <v>204</v>
      </c>
      <c r="C626" s="18">
        <v>2036</v>
      </c>
      <c r="D626" t="s">
        <v>227</v>
      </c>
      <c r="E626" s="20">
        <v>1158614.7873607001</v>
      </c>
      <c r="F626" s="20">
        <v>218386.07246204399</v>
      </c>
      <c r="G626" s="10">
        <v>218370.687575925</v>
      </c>
      <c r="H626" s="21">
        <f t="shared" si="18"/>
        <v>-15.384886118990835</v>
      </c>
      <c r="I626" s="10">
        <v>1158266.1377582899</v>
      </c>
      <c r="J626" s="21">
        <f t="shared" si="19"/>
        <v>-348.64960241015069</v>
      </c>
    </row>
    <row r="627" spans="1:10">
      <c r="A627" t="s">
        <v>202</v>
      </c>
      <c r="B627" t="s">
        <v>204</v>
      </c>
      <c r="C627" s="18">
        <v>2036</v>
      </c>
      <c r="D627" t="s">
        <v>163</v>
      </c>
      <c r="E627" s="20">
        <v>127202.28861253199</v>
      </c>
      <c r="F627" s="20">
        <v>85786.149836789496</v>
      </c>
      <c r="G627" s="10">
        <v>85765.564735317093</v>
      </c>
      <c r="H627" s="21">
        <f t="shared" si="18"/>
        <v>-20.585101472403039</v>
      </c>
      <c r="I627" s="10">
        <v>127138.451085333</v>
      </c>
      <c r="J627" s="21">
        <f t="shared" si="19"/>
        <v>-63.837527198993484</v>
      </c>
    </row>
    <row r="628" spans="1:10">
      <c r="A628" t="s">
        <v>202</v>
      </c>
      <c r="B628" t="s">
        <v>204</v>
      </c>
      <c r="C628" s="18">
        <v>2036</v>
      </c>
      <c r="D628" t="s">
        <v>173</v>
      </c>
      <c r="E628" s="20">
        <v>422414.05003943702</v>
      </c>
      <c r="F628" s="20">
        <v>391413.19637052302</v>
      </c>
      <c r="G628" s="10">
        <v>391285.95573958702</v>
      </c>
      <c r="H628" s="21">
        <f t="shared" si="18"/>
        <v>-127.24063093599398</v>
      </c>
      <c r="I628" s="10">
        <v>422232.65992213303</v>
      </c>
      <c r="J628" s="21">
        <f t="shared" si="19"/>
        <v>-181.39011730399216</v>
      </c>
    </row>
    <row r="629" spans="1:10">
      <c r="A629" t="s">
        <v>202</v>
      </c>
      <c r="B629" t="s">
        <v>204</v>
      </c>
      <c r="C629" s="18">
        <v>2036</v>
      </c>
      <c r="D629" t="s">
        <v>177</v>
      </c>
      <c r="E629" s="20">
        <v>728537.70988425706</v>
      </c>
      <c r="F629" s="20">
        <v>436152.13770198397</v>
      </c>
      <c r="G629" s="10">
        <v>444747.90756616899</v>
      </c>
      <c r="H629" s="21">
        <f t="shared" si="18"/>
        <v>8595.7698641850147</v>
      </c>
      <c r="I629" s="10">
        <v>728531.610160843</v>
      </c>
      <c r="J629" s="21">
        <f t="shared" si="19"/>
        <v>-6.0997234140522778</v>
      </c>
    </row>
    <row r="630" spans="1:10">
      <c r="A630" t="s">
        <v>202</v>
      </c>
      <c r="B630" t="s">
        <v>204</v>
      </c>
      <c r="C630" s="18">
        <v>2036</v>
      </c>
      <c r="D630" t="s">
        <v>181</v>
      </c>
      <c r="E630" s="20">
        <v>541343.17541031202</v>
      </c>
      <c r="F630" s="20">
        <v>298936.48104853998</v>
      </c>
      <c r="G630" s="10">
        <v>298879.61130973301</v>
      </c>
      <c r="H630" s="21">
        <f t="shared" si="18"/>
        <v>-56.869738806970417</v>
      </c>
      <c r="I630" s="10">
        <v>541052.28077363002</v>
      </c>
      <c r="J630" s="21">
        <f t="shared" si="19"/>
        <v>-290.89463668200187</v>
      </c>
    </row>
    <row r="631" spans="1:10">
      <c r="A631" t="s">
        <v>202</v>
      </c>
      <c r="B631" t="s">
        <v>204</v>
      </c>
      <c r="C631" s="18">
        <v>2036</v>
      </c>
      <c r="D631" t="s">
        <v>209</v>
      </c>
      <c r="E631" s="20">
        <v>44051.588770813803</v>
      </c>
      <c r="F631" s="20">
        <v>7453.3642287090797</v>
      </c>
      <c r="G631" s="10">
        <v>7453.3351271514002</v>
      </c>
      <c r="H631" s="21">
        <f t="shared" si="18"/>
        <v>-2.9101557679496182E-2</v>
      </c>
      <c r="I631" s="10">
        <v>44049.998378272197</v>
      </c>
      <c r="J631" s="21">
        <f t="shared" si="19"/>
        <v>-1.5903925416059792</v>
      </c>
    </row>
    <row r="632" spans="1:10">
      <c r="A632" t="s">
        <v>202</v>
      </c>
      <c r="B632" t="s">
        <v>204</v>
      </c>
      <c r="C632" s="18">
        <v>2037</v>
      </c>
      <c r="D632" t="s">
        <v>187</v>
      </c>
      <c r="E632" s="20">
        <v>17822.259613017301</v>
      </c>
      <c r="F632" s="20">
        <v>12810.9196945071</v>
      </c>
      <c r="G632" s="10">
        <v>12807.501268399201</v>
      </c>
      <c r="H632" s="21">
        <f t="shared" si="18"/>
        <v>-3.4184261078989948</v>
      </c>
      <c r="I632" s="10">
        <v>17812.5035281772</v>
      </c>
      <c r="J632" s="21">
        <f t="shared" si="19"/>
        <v>-9.7560848401008116</v>
      </c>
    </row>
    <row r="633" spans="1:10">
      <c r="A633" t="s">
        <v>202</v>
      </c>
      <c r="B633" t="s">
        <v>204</v>
      </c>
      <c r="C633" s="18">
        <v>2037</v>
      </c>
      <c r="D633" t="s">
        <v>227</v>
      </c>
      <c r="E633" s="20">
        <v>1167771.35975276</v>
      </c>
      <c r="F633" s="20">
        <v>226393.27039381099</v>
      </c>
      <c r="G633" s="10">
        <v>226373.365626062</v>
      </c>
      <c r="H633" s="21">
        <f t="shared" si="18"/>
        <v>-19.904767748987069</v>
      </c>
      <c r="I633" s="10">
        <v>1167364.6654137501</v>
      </c>
      <c r="J633" s="21">
        <f t="shared" si="19"/>
        <v>-406.69433900993317</v>
      </c>
    </row>
    <row r="634" spans="1:10">
      <c r="A634" t="s">
        <v>202</v>
      </c>
      <c r="B634" t="s">
        <v>204</v>
      </c>
      <c r="C634" s="18">
        <v>2037</v>
      </c>
      <c r="D634" t="s">
        <v>163</v>
      </c>
      <c r="E634" s="20">
        <v>130167.90950762801</v>
      </c>
      <c r="F634" s="20">
        <v>87811.587179406502</v>
      </c>
      <c r="G634" s="10">
        <v>87785.873914228694</v>
      </c>
      <c r="H634" s="21">
        <f t="shared" si="18"/>
        <v>-25.713265177808353</v>
      </c>
      <c r="I634" s="10">
        <v>130092.112965313</v>
      </c>
      <c r="J634" s="21">
        <f t="shared" si="19"/>
        <v>-75.796542315001716</v>
      </c>
    </row>
    <row r="635" spans="1:10">
      <c r="A635" t="s">
        <v>202</v>
      </c>
      <c r="B635" t="s">
        <v>204</v>
      </c>
      <c r="C635" s="18">
        <v>2037</v>
      </c>
      <c r="D635" t="s">
        <v>173</v>
      </c>
      <c r="E635" s="20">
        <v>429888.80140043399</v>
      </c>
      <c r="F635" s="20">
        <v>398627.96621254599</v>
      </c>
      <c r="G635" s="10">
        <v>398473.81338660797</v>
      </c>
      <c r="H635" s="21">
        <f t="shared" si="18"/>
        <v>-154.15282593801385</v>
      </c>
      <c r="I635" s="10">
        <v>429674.679324948</v>
      </c>
      <c r="J635" s="21">
        <f t="shared" si="19"/>
        <v>-214.1220754859969</v>
      </c>
    </row>
    <row r="636" spans="1:10">
      <c r="A636" t="s">
        <v>202</v>
      </c>
      <c r="B636" t="s">
        <v>204</v>
      </c>
      <c r="C636" s="18">
        <v>2037</v>
      </c>
      <c r="D636" t="s">
        <v>177</v>
      </c>
      <c r="E636" s="20">
        <v>741269.19836676295</v>
      </c>
      <c r="F636" s="20">
        <v>445882.920693452</v>
      </c>
      <c r="G636" s="10">
        <v>455168.18452875799</v>
      </c>
      <c r="H636" s="21">
        <f t="shared" si="18"/>
        <v>9285.2638353059883</v>
      </c>
      <c r="I636" s="10">
        <v>741261.42723499297</v>
      </c>
      <c r="J636" s="21">
        <f t="shared" si="19"/>
        <v>-7.7711317699868232</v>
      </c>
    </row>
    <row r="637" spans="1:10">
      <c r="A637" t="s">
        <v>202</v>
      </c>
      <c r="B637" t="s">
        <v>204</v>
      </c>
      <c r="C637" s="18">
        <v>2037</v>
      </c>
      <c r="D637" t="s">
        <v>181</v>
      </c>
      <c r="E637" s="20">
        <v>553603.68526828405</v>
      </c>
      <c r="F637" s="20">
        <v>308739.95552641002</v>
      </c>
      <c r="G637" s="10">
        <v>308666.04356230202</v>
      </c>
      <c r="H637" s="21">
        <f t="shared" si="18"/>
        <v>-73.911964108003303</v>
      </c>
      <c r="I637" s="10">
        <v>553258.51776135701</v>
      </c>
      <c r="J637" s="21">
        <f t="shared" si="19"/>
        <v>-345.16750692704227</v>
      </c>
    </row>
    <row r="638" spans="1:10">
      <c r="A638" t="s">
        <v>202</v>
      </c>
      <c r="B638" t="s">
        <v>204</v>
      </c>
      <c r="C638" s="18">
        <v>2037</v>
      </c>
      <c r="D638" t="s">
        <v>209</v>
      </c>
      <c r="E638" s="20">
        <v>43888.364869259298</v>
      </c>
      <c r="F638" s="20">
        <v>7485.6768365568196</v>
      </c>
      <c r="G638" s="10">
        <v>7485.6394586101196</v>
      </c>
      <c r="H638" s="21">
        <f t="shared" si="18"/>
        <v>-3.7377946699962195E-2</v>
      </c>
      <c r="I638" s="10">
        <v>43886.496639761303</v>
      </c>
      <c r="J638" s="21">
        <f t="shared" si="19"/>
        <v>-1.868229497995344</v>
      </c>
    </row>
    <row r="639" spans="1:10">
      <c r="A639" t="s">
        <v>202</v>
      </c>
      <c r="B639" t="s">
        <v>204</v>
      </c>
      <c r="C639" s="18">
        <v>2038</v>
      </c>
      <c r="D639" t="s">
        <v>187</v>
      </c>
      <c r="E639" s="20">
        <v>18290.235706649401</v>
      </c>
      <c r="F639" s="20">
        <v>13112.50824117</v>
      </c>
      <c r="G639" s="10">
        <v>13108.258682167399</v>
      </c>
      <c r="H639" s="21">
        <f t="shared" si="18"/>
        <v>-4.2495590026010177</v>
      </c>
      <c r="I639" s="10">
        <v>18278.619531582299</v>
      </c>
      <c r="J639" s="21">
        <f t="shared" si="19"/>
        <v>-11.616175067101722</v>
      </c>
    </row>
    <row r="640" spans="1:10">
      <c r="A640" t="s">
        <v>202</v>
      </c>
      <c r="B640" t="s">
        <v>204</v>
      </c>
      <c r="C640" s="18">
        <v>2038</v>
      </c>
      <c r="D640" t="s">
        <v>227</v>
      </c>
      <c r="E640" s="20">
        <v>1176754.46456216</v>
      </c>
      <c r="F640" s="20">
        <v>234311.48529864399</v>
      </c>
      <c r="G640" s="10">
        <v>234286.30240329501</v>
      </c>
      <c r="H640" s="21">
        <f t="shared" si="18"/>
        <v>-25.182895348989405</v>
      </c>
      <c r="I640" s="10">
        <v>1176286.23006217</v>
      </c>
      <c r="J640" s="21">
        <f t="shared" si="19"/>
        <v>-468.23449999000877</v>
      </c>
    </row>
    <row r="641" spans="1:10">
      <c r="A641" t="s">
        <v>202</v>
      </c>
      <c r="B641" t="s">
        <v>204</v>
      </c>
      <c r="C641" s="18">
        <v>2038</v>
      </c>
      <c r="D641" t="s">
        <v>163</v>
      </c>
      <c r="E641" s="20">
        <v>133093.52624150799</v>
      </c>
      <c r="F641" s="20">
        <v>89794.392575578095</v>
      </c>
      <c r="G641" s="10">
        <v>89762.908504627194</v>
      </c>
      <c r="H641" s="21">
        <f t="shared" si="18"/>
        <v>-31.484070950900787</v>
      </c>
      <c r="I641" s="10">
        <v>133004.77137127001</v>
      </c>
      <c r="J641" s="21">
        <f t="shared" si="19"/>
        <v>-88.754870237986324</v>
      </c>
    </row>
    <row r="642" spans="1:10">
      <c r="A642" t="s">
        <v>202</v>
      </c>
      <c r="B642" t="s">
        <v>204</v>
      </c>
      <c r="C642" s="18">
        <v>2038</v>
      </c>
      <c r="D642" t="s">
        <v>173</v>
      </c>
      <c r="E642" s="20">
        <v>437127.710599855</v>
      </c>
      <c r="F642" s="20">
        <v>405568.37371804402</v>
      </c>
      <c r="G642" s="10">
        <v>405384.95777232101</v>
      </c>
      <c r="H642" s="21">
        <f t="shared" ref="H642:H705" si="20">G642-F642</f>
        <v>-183.41594572301256</v>
      </c>
      <c r="I642" s="10">
        <v>436878.35953831702</v>
      </c>
      <c r="J642" s="21">
        <f t="shared" ref="J642:J705" si="21">I642-E642</f>
        <v>-249.35106153797824</v>
      </c>
    </row>
    <row r="643" spans="1:10">
      <c r="A643" t="s">
        <v>202</v>
      </c>
      <c r="B643" t="s">
        <v>204</v>
      </c>
      <c r="C643" s="18">
        <v>2038</v>
      </c>
      <c r="D643" t="s">
        <v>177</v>
      </c>
      <c r="E643" s="20">
        <v>753570.53271777602</v>
      </c>
      <c r="F643" s="20">
        <v>455375.429042587</v>
      </c>
      <c r="G643" s="10">
        <v>465342.91786371003</v>
      </c>
      <c r="H643" s="21">
        <f t="shared" si="20"/>
        <v>9967.4888211230282</v>
      </c>
      <c r="I643" s="10">
        <v>753560.82214679301</v>
      </c>
      <c r="J643" s="21">
        <f t="shared" si="21"/>
        <v>-9.7105709830066189</v>
      </c>
    </row>
    <row r="644" spans="1:10">
      <c r="A644" t="s">
        <v>202</v>
      </c>
      <c r="B644" t="s">
        <v>204</v>
      </c>
      <c r="C644" s="18">
        <v>2038</v>
      </c>
      <c r="D644" t="s">
        <v>181</v>
      </c>
      <c r="E644" s="20">
        <v>565807.76947685203</v>
      </c>
      <c r="F644" s="20">
        <v>318554.84730972798</v>
      </c>
      <c r="G644" s="10">
        <v>318461.02224812203</v>
      </c>
      <c r="H644" s="21">
        <f t="shared" si="20"/>
        <v>-93.825061605952214</v>
      </c>
      <c r="I644" s="10">
        <v>565403.75879938505</v>
      </c>
      <c r="J644" s="21">
        <f t="shared" si="21"/>
        <v>-404.01067746698391</v>
      </c>
    </row>
    <row r="645" spans="1:10">
      <c r="A645" t="s">
        <v>202</v>
      </c>
      <c r="B645" t="s">
        <v>204</v>
      </c>
      <c r="C645" s="18">
        <v>2038</v>
      </c>
      <c r="D645" t="s">
        <v>209</v>
      </c>
      <c r="E645" s="20">
        <v>43732.910310151499</v>
      </c>
      <c r="F645" s="20">
        <v>7517.8173884628304</v>
      </c>
      <c r="G645" s="10">
        <v>7517.77035327065</v>
      </c>
      <c r="H645" s="21">
        <f t="shared" si="20"/>
        <v>-4.7035192180373997E-2</v>
      </c>
      <c r="I645" s="10">
        <v>43730.744850638199</v>
      </c>
      <c r="J645" s="21">
        <f t="shared" si="21"/>
        <v>-2.1654595133004477</v>
      </c>
    </row>
    <row r="646" spans="1:10">
      <c r="A646" t="s">
        <v>202</v>
      </c>
      <c r="B646" t="s">
        <v>204</v>
      </c>
      <c r="C646" s="18">
        <v>2039</v>
      </c>
      <c r="D646" t="s">
        <v>187</v>
      </c>
      <c r="E646" s="20">
        <v>18765.7522087914</v>
      </c>
      <c r="F646" s="20">
        <v>13409.857572573201</v>
      </c>
      <c r="G646" s="10">
        <v>13404.669620275599</v>
      </c>
      <c r="H646" s="21">
        <f t="shared" si="20"/>
        <v>-5.1879522976014414</v>
      </c>
      <c r="I646" s="10">
        <v>18752.090499402999</v>
      </c>
      <c r="J646" s="21">
        <f t="shared" si="21"/>
        <v>-13.661709388401505</v>
      </c>
    </row>
    <row r="647" spans="1:10">
      <c r="A647" t="s">
        <v>202</v>
      </c>
      <c r="B647" t="s">
        <v>204</v>
      </c>
      <c r="C647" s="18">
        <v>2039</v>
      </c>
      <c r="D647" t="s">
        <v>227</v>
      </c>
      <c r="E647" s="20">
        <v>1185271.46204589</v>
      </c>
      <c r="F647" s="20">
        <v>242163.454625877</v>
      </c>
      <c r="G647" s="10">
        <v>242132.19115316399</v>
      </c>
      <c r="H647" s="21">
        <f t="shared" si="20"/>
        <v>-31.263472713006195</v>
      </c>
      <c r="I647" s="10">
        <v>1184738.3918449101</v>
      </c>
      <c r="J647" s="21">
        <f t="shared" si="21"/>
        <v>-533.07020097994246</v>
      </c>
    </row>
    <row r="648" spans="1:10">
      <c r="A648" t="s">
        <v>202</v>
      </c>
      <c r="B648" t="s">
        <v>204</v>
      </c>
      <c r="C648" s="18">
        <v>2039</v>
      </c>
      <c r="D648" t="s">
        <v>163</v>
      </c>
      <c r="E648" s="20">
        <v>135974.84298618301</v>
      </c>
      <c r="F648" s="20">
        <v>91754.272792775897</v>
      </c>
      <c r="G648" s="10">
        <v>91716.366353602294</v>
      </c>
      <c r="H648" s="21">
        <f t="shared" si="20"/>
        <v>-37.906439173602848</v>
      </c>
      <c r="I648" s="10">
        <v>135872.13136763001</v>
      </c>
      <c r="J648" s="21">
        <f t="shared" si="21"/>
        <v>-102.71161855300306</v>
      </c>
    </row>
    <row r="649" spans="1:10">
      <c r="A649" t="s">
        <v>202</v>
      </c>
      <c r="B649" t="s">
        <v>204</v>
      </c>
      <c r="C649" s="18">
        <v>2039</v>
      </c>
      <c r="D649" t="s">
        <v>173</v>
      </c>
      <c r="E649" s="20">
        <v>444193.04750127601</v>
      </c>
      <c r="F649" s="20">
        <v>412335.28488635598</v>
      </c>
      <c r="G649" s="10">
        <v>412120.21350488003</v>
      </c>
      <c r="H649" s="21">
        <f t="shared" si="20"/>
        <v>-215.07138147595106</v>
      </c>
      <c r="I649" s="10">
        <v>443905.980748337</v>
      </c>
      <c r="J649" s="21">
        <f t="shared" si="21"/>
        <v>-287.06675293901935</v>
      </c>
    </row>
    <row r="650" spans="1:10">
      <c r="A650" t="s">
        <v>202</v>
      </c>
      <c r="B650" t="s">
        <v>204</v>
      </c>
      <c r="C650" s="18">
        <v>2039</v>
      </c>
      <c r="D650" t="s">
        <v>177</v>
      </c>
      <c r="E650" s="20">
        <v>765540.40130768297</v>
      </c>
      <c r="F650" s="20">
        <v>464628.35822737898</v>
      </c>
      <c r="G650" s="10">
        <v>475269.78752891801</v>
      </c>
      <c r="H650" s="21">
        <f t="shared" si="20"/>
        <v>10641.429301539029</v>
      </c>
      <c r="I650" s="10">
        <v>765528.46783885697</v>
      </c>
      <c r="J650" s="21">
        <f t="shared" si="21"/>
        <v>-11.933468825998716</v>
      </c>
    </row>
    <row r="651" spans="1:10">
      <c r="A651" t="s">
        <v>202</v>
      </c>
      <c r="B651" t="s">
        <v>204</v>
      </c>
      <c r="C651" s="18">
        <v>2039</v>
      </c>
      <c r="D651" t="s">
        <v>181</v>
      </c>
      <c r="E651" s="20">
        <v>577881.80611633603</v>
      </c>
      <c r="F651" s="20">
        <v>328363.12372403702</v>
      </c>
      <c r="G651" s="10">
        <v>328246.40127636801</v>
      </c>
      <c r="H651" s="21">
        <f t="shared" si="20"/>
        <v>-116.72244766901713</v>
      </c>
      <c r="I651" s="10">
        <v>577414.514396235</v>
      </c>
      <c r="J651" s="21">
        <f t="shared" si="21"/>
        <v>-467.29172010102775</v>
      </c>
    </row>
    <row r="652" spans="1:10">
      <c r="A652" t="s">
        <v>202</v>
      </c>
      <c r="B652" t="s">
        <v>204</v>
      </c>
      <c r="C652" s="18">
        <v>2039</v>
      </c>
      <c r="D652" t="s">
        <v>209</v>
      </c>
      <c r="E652" s="20">
        <v>43591.327337626601</v>
      </c>
      <c r="F652" s="20">
        <v>7547.6180088671099</v>
      </c>
      <c r="G652" s="10">
        <v>7547.5598608641003</v>
      </c>
      <c r="H652" s="21">
        <f t="shared" si="20"/>
        <v>-5.8148003009591775E-2</v>
      </c>
      <c r="I652" s="10">
        <v>43588.845456636998</v>
      </c>
      <c r="J652" s="21">
        <f t="shared" si="21"/>
        <v>-2.4818809896023595</v>
      </c>
    </row>
    <row r="653" spans="1:10">
      <c r="A653" t="s">
        <v>202</v>
      </c>
      <c r="B653" t="s">
        <v>204</v>
      </c>
      <c r="C653" s="18">
        <v>2040</v>
      </c>
      <c r="D653" t="s">
        <v>187</v>
      </c>
      <c r="E653" s="20">
        <v>19251.633640293399</v>
      </c>
      <c r="F653" s="20">
        <v>13705.210450189301</v>
      </c>
      <c r="G653" s="10">
        <v>13698.9721681132</v>
      </c>
      <c r="H653" s="21">
        <f t="shared" si="20"/>
        <v>-6.2382820761013136</v>
      </c>
      <c r="I653" s="10">
        <v>19235.736542927301</v>
      </c>
      <c r="J653" s="21">
        <f t="shared" si="21"/>
        <v>-15.897097366098023</v>
      </c>
    </row>
    <row r="654" spans="1:10">
      <c r="A654" t="s">
        <v>202</v>
      </c>
      <c r="B654" t="s">
        <v>204</v>
      </c>
      <c r="C654" s="18">
        <v>2040</v>
      </c>
      <c r="D654" t="s">
        <v>227</v>
      </c>
      <c r="E654" s="20">
        <v>1193235.4555287899</v>
      </c>
      <c r="F654" s="20">
        <v>249932.66241066801</v>
      </c>
      <c r="G654" s="10">
        <v>249894.478827588</v>
      </c>
      <c r="H654" s="21">
        <f t="shared" si="20"/>
        <v>-38.183583080011886</v>
      </c>
      <c r="I654" s="10">
        <v>1192634.43006365</v>
      </c>
      <c r="J654" s="21">
        <f t="shared" si="21"/>
        <v>-601.02546513988636</v>
      </c>
    </row>
    <row r="655" spans="1:10">
      <c r="A655" t="s">
        <v>202</v>
      </c>
      <c r="B655" t="s">
        <v>204</v>
      </c>
      <c r="C655" s="18">
        <v>2040</v>
      </c>
      <c r="D655" t="s">
        <v>163</v>
      </c>
      <c r="E655" s="20">
        <v>138807.441616444</v>
      </c>
      <c r="F655" s="20">
        <v>93681.880313093105</v>
      </c>
      <c r="G655" s="10">
        <v>93636.896760059302</v>
      </c>
      <c r="H655" s="21">
        <f t="shared" si="20"/>
        <v>-44.983553033802309</v>
      </c>
      <c r="I655" s="10">
        <v>138689.796610277</v>
      </c>
      <c r="J655" s="21">
        <f t="shared" si="21"/>
        <v>-117.64500616700388</v>
      </c>
    </row>
    <row r="656" spans="1:10">
      <c r="A656" t="s">
        <v>202</v>
      </c>
      <c r="B656" t="s">
        <v>204</v>
      </c>
      <c r="C656" s="18">
        <v>2040</v>
      </c>
      <c r="D656" t="s">
        <v>173</v>
      </c>
      <c r="E656" s="20">
        <v>451169.02784148703</v>
      </c>
      <c r="F656" s="20">
        <v>418869.910904516</v>
      </c>
      <c r="G656" s="10">
        <v>418620.90894817398</v>
      </c>
      <c r="H656" s="21">
        <f t="shared" si="20"/>
        <v>-249.001956342021</v>
      </c>
      <c r="I656" s="10">
        <v>450841.764596063</v>
      </c>
      <c r="J656" s="21">
        <f t="shared" si="21"/>
        <v>-327.2632454240229</v>
      </c>
    </row>
    <row r="657" spans="1:10">
      <c r="A657" t="s">
        <v>202</v>
      </c>
      <c r="B657" t="s">
        <v>204</v>
      </c>
      <c r="C657" s="18">
        <v>2040</v>
      </c>
      <c r="D657" t="s">
        <v>177</v>
      </c>
      <c r="E657" s="20">
        <v>777102.94539910206</v>
      </c>
      <c r="F657" s="20">
        <v>473642.393438617</v>
      </c>
      <c r="G657" s="10">
        <v>484947.105425179</v>
      </c>
      <c r="H657" s="21">
        <f t="shared" si="20"/>
        <v>11304.711986562004</v>
      </c>
      <c r="I657" s="10">
        <v>777088.49670209095</v>
      </c>
      <c r="J657" s="21">
        <f t="shared" si="21"/>
        <v>-14.448697011102922</v>
      </c>
    </row>
    <row r="658" spans="1:10">
      <c r="A658" t="s">
        <v>202</v>
      </c>
      <c r="B658" t="s">
        <v>204</v>
      </c>
      <c r="C658" s="18">
        <v>2040</v>
      </c>
      <c r="D658" t="s">
        <v>181</v>
      </c>
      <c r="E658" s="20">
        <v>589894.68683583406</v>
      </c>
      <c r="F658" s="20">
        <v>338181.69870735402</v>
      </c>
      <c r="G658" s="10">
        <v>338039.01043044601</v>
      </c>
      <c r="H658" s="21">
        <f t="shared" si="20"/>
        <v>-142.68827690801118</v>
      </c>
      <c r="I658" s="10">
        <v>589359.73383284197</v>
      </c>
      <c r="J658" s="21">
        <f t="shared" si="21"/>
        <v>-534.95300299208611</v>
      </c>
    </row>
    <row r="659" spans="1:10">
      <c r="A659" t="s">
        <v>202</v>
      </c>
      <c r="B659" t="s">
        <v>204</v>
      </c>
      <c r="C659" s="18">
        <v>2040</v>
      </c>
      <c r="D659" t="s">
        <v>209</v>
      </c>
      <c r="E659" s="20">
        <v>43467.6763408431</v>
      </c>
      <c r="F659" s="20">
        <v>7573.7963291884398</v>
      </c>
      <c r="G659" s="10">
        <v>7573.7255608269897</v>
      </c>
      <c r="H659" s="21">
        <f t="shared" si="20"/>
        <v>-7.0768361450063821E-2</v>
      </c>
      <c r="I659" s="10">
        <v>43464.859681883601</v>
      </c>
      <c r="J659" s="21">
        <f t="shared" si="21"/>
        <v>-2.8166589594984544</v>
      </c>
    </row>
    <row r="660" spans="1:10">
      <c r="A660" t="s">
        <v>202</v>
      </c>
      <c r="B660" t="s">
        <v>204</v>
      </c>
      <c r="C660" s="18">
        <v>2041</v>
      </c>
      <c r="D660" t="s">
        <v>187</v>
      </c>
      <c r="E660" s="20">
        <v>19745.602912318798</v>
      </c>
      <c r="F660" s="20">
        <v>13999.010529736601</v>
      </c>
      <c r="G660" s="10">
        <v>13991.606690282801</v>
      </c>
      <c r="H660" s="21">
        <f t="shared" si="20"/>
        <v>-7.4038394538001739</v>
      </c>
      <c r="I660" s="10">
        <v>19727.283486384</v>
      </c>
      <c r="J660" s="21">
        <f t="shared" si="21"/>
        <v>-18.319425934798346</v>
      </c>
    </row>
    <row r="661" spans="1:10">
      <c r="A661" t="s">
        <v>202</v>
      </c>
      <c r="B661" t="s">
        <v>204</v>
      </c>
      <c r="C661" s="18">
        <v>2041</v>
      </c>
      <c r="D661" t="s">
        <v>227</v>
      </c>
      <c r="E661" s="20">
        <v>1200660.0410769801</v>
      </c>
      <c r="F661" s="20">
        <v>257645.03104816499</v>
      </c>
      <c r="G661" s="10">
        <v>257599.044002988</v>
      </c>
      <c r="H661" s="21">
        <f t="shared" si="20"/>
        <v>-45.987045176996617</v>
      </c>
      <c r="I661" s="10">
        <v>1199988.17586749</v>
      </c>
      <c r="J661" s="21">
        <f t="shared" si="21"/>
        <v>-671.86520949006081</v>
      </c>
    </row>
    <row r="662" spans="1:10">
      <c r="A662" t="s">
        <v>202</v>
      </c>
      <c r="B662" t="s">
        <v>204</v>
      </c>
      <c r="C662" s="18">
        <v>2041</v>
      </c>
      <c r="D662" t="s">
        <v>163</v>
      </c>
      <c r="E662" s="20">
        <v>141609.10056727601</v>
      </c>
      <c r="F662" s="20">
        <v>95579.719373322994</v>
      </c>
      <c r="G662" s="10">
        <v>95527.0063786807</v>
      </c>
      <c r="H662" s="21">
        <f t="shared" si="20"/>
        <v>-52.712994642293779</v>
      </c>
      <c r="I662" s="10">
        <v>141475.570851386</v>
      </c>
      <c r="J662" s="21">
        <f t="shared" si="21"/>
        <v>-133.52971589000663</v>
      </c>
    </row>
    <row r="663" spans="1:10">
      <c r="A663" t="s">
        <v>202</v>
      </c>
      <c r="B663" t="s">
        <v>204</v>
      </c>
      <c r="C663" s="18">
        <v>2041</v>
      </c>
      <c r="D663" t="s">
        <v>173</v>
      </c>
      <c r="E663" s="20">
        <v>458067.963319314</v>
      </c>
      <c r="F663" s="20">
        <v>425291.013057173</v>
      </c>
      <c r="G663" s="10">
        <v>425005.77720965003</v>
      </c>
      <c r="H663" s="21">
        <f t="shared" si="20"/>
        <v>-285.23584752297029</v>
      </c>
      <c r="I663" s="10">
        <v>457698.12813480198</v>
      </c>
      <c r="J663" s="21">
        <f t="shared" si="21"/>
        <v>-369.83518451201962</v>
      </c>
    </row>
    <row r="664" spans="1:10">
      <c r="A664" t="s">
        <v>202</v>
      </c>
      <c r="B664" t="s">
        <v>204</v>
      </c>
      <c r="C664" s="18">
        <v>2041</v>
      </c>
      <c r="D664" t="s">
        <v>177</v>
      </c>
      <c r="E664" s="20">
        <v>788310.51157170394</v>
      </c>
      <c r="F664" s="20">
        <v>482435.236840214</v>
      </c>
      <c r="G664" s="10">
        <v>494390.87324825901</v>
      </c>
      <c r="H664" s="21">
        <f t="shared" si="20"/>
        <v>11955.636408045015</v>
      </c>
      <c r="I664" s="10">
        <v>788293.24275668897</v>
      </c>
      <c r="J664" s="21">
        <f t="shared" si="21"/>
        <v>-17.268815014977008</v>
      </c>
    </row>
    <row r="665" spans="1:10">
      <c r="A665" t="s">
        <v>202</v>
      </c>
      <c r="B665" t="s">
        <v>204</v>
      </c>
      <c r="C665" s="18">
        <v>2041</v>
      </c>
      <c r="D665" t="s">
        <v>181</v>
      </c>
      <c r="E665" s="20">
        <v>601762.12450372602</v>
      </c>
      <c r="F665" s="20">
        <v>348096.61852480401</v>
      </c>
      <c r="G665" s="10">
        <v>347924.76632707799</v>
      </c>
      <c r="H665" s="21">
        <f t="shared" si="20"/>
        <v>-171.85219772602431</v>
      </c>
      <c r="I665" s="10">
        <v>601155.34094696096</v>
      </c>
      <c r="J665" s="21">
        <f t="shared" si="21"/>
        <v>-606.7835567650618</v>
      </c>
    </row>
    <row r="666" spans="1:10">
      <c r="A666" t="s">
        <v>202</v>
      </c>
      <c r="B666" t="s">
        <v>204</v>
      </c>
      <c r="C666" s="18">
        <v>2041</v>
      </c>
      <c r="D666" t="s">
        <v>209</v>
      </c>
      <c r="E666" s="20">
        <v>43364.104736262299</v>
      </c>
      <c r="F666" s="20">
        <v>7596.0803155977801</v>
      </c>
      <c r="G666" s="10">
        <v>7595.9953338682099</v>
      </c>
      <c r="H666" s="21">
        <f t="shared" si="20"/>
        <v>-8.4981729570245079E-2</v>
      </c>
      <c r="I666" s="10">
        <v>43360.9356755525</v>
      </c>
      <c r="J666" s="21">
        <f t="shared" si="21"/>
        <v>-3.1690607097989414</v>
      </c>
    </row>
    <row r="667" spans="1:10">
      <c r="A667" t="s">
        <v>202</v>
      </c>
      <c r="B667" t="s">
        <v>204</v>
      </c>
      <c r="C667" s="18">
        <v>2042</v>
      </c>
      <c r="D667" t="s">
        <v>187</v>
      </c>
      <c r="E667" s="20">
        <v>20243.1894303525</v>
      </c>
      <c r="F667" s="20">
        <v>14293.3034800938</v>
      </c>
      <c r="G667" s="10">
        <v>14284.6169088399</v>
      </c>
      <c r="H667" s="21">
        <f t="shared" si="20"/>
        <v>-8.6865712539001834</v>
      </c>
      <c r="I667" s="10">
        <v>20222.268399164699</v>
      </c>
      <c r="J667" s="21">
        <f t="shared" si="21"/>
        <v>-20.921031187801418</v>
      </c>
    </row>
    <row r="668" spans="1:10">
      <c r="A668" t="s">
        <v>202</v>
      </c>
      <c r="B668" t="s">
        <v>204</v>
      </c>
      <c r="C668" s="18">
        <v>2042</v>
      </c>
      <c r="D668" t="s">
        <v>227</v>
      </c>
      <c r="E668" s="20">
        <v>1207544.8917226901</v>
      </c>
      <c r="F668" s="20">
        <v>265344.12268559501</v>
      </c>
      <c r="G668" s="10">
        <v>265289.409116733</v>
      </c>
      <c r="H668" s="21">
        <f t="shared" si="20"/>
        <v>-54.71356886200374</v>
      </c>
      <c r="I668" s="10">
        <v>1206799.58929471</v>
      </c>
      <c r="J668" s="21">
        <f t="shared" si="21"/>
        <v>-745.3024279801175</v>
      </c>
    </row>
    <row r="669" spans="1:10">
      <c r="A669" t="s">
        <v>202</v>
      </c>
      <c r="B669" t="s">
        <v>204</v>
      </c>
      <c r="C669" s="18">
        <v>2042</v>
      </c>
      <c r="D669" t="s">
        <v>163</v>
      </c>
      <c r="E669" s="20">
        <v>144398.39309996701</v>
      </c>
      <c r="F669" s="20">
        <v>97467.256347949806</v>
      </c>
      <c r="G669" s="10">
        <v>97406.156977096296</v>
      </c>
      <c r="H669" s="21">
        <f t="shared" si="20"/>
        <v>-61.099370853509754</v>
      </c>
      <c r="I669" s="10">
        <v>144248.066926011</v>
      </c>
      <c r="J669" s="21">
        <f t="shared" si="21"/>
        <v>-150.32617395601119</v>
      </c>
    </row>
    <row r="670" spans="1:10">
      <c r="A670" t="s">
        <v>202</v>
      </c>
      <c r="B670" t="s">
        <v>204</v>
      </c>
      <c r="C670" s="18">
        <v>2042</v>
      </c>
      <c r="D670" t="s">
        <v>173</v>
      </c>
      <c r="E670" s="20">
        <v>464901.68549327098</v>
      </c>
      <c r="F670" s="20">
        <v>431720.82291763002</v>
      </c>
      <c r="G670" s="10">
        <v>431397.042999706</v>
      </c>
      <c r="H670" s="21">
        <f t="shared" si="20"/>
        <v>-323.77991792402463</v>
      </c>
      <c r="I670" s="10">
        <v>464487.03899019101</v>
      </c>
      <c r="J670" s="21">
        <f t="shared" si="21"/>
        <v>-414.64650307997363</v>
      </c>
    </row>
    <row r="671" spans="1:10">
      <c r="A671" t="s">
        <v>202</v>
      </c>
      <c r="B671" t="s">
        <v>204</v>
      </c>
      <c r="C671" s="18">
        <v>2042</v>
      </c>
      <c r="D671" t="s">
        <v>177</v>
      </c>
      <c r="E671" s="20">
        <v>799245.90485105</v>
      </c>
      <c r="F671" s="20">
        <v>491012.14925920399</v>
      </c>
      <c r="G671" s="10">
        <v>503603.80380956898</v>
      </c>
      <c r="H671" s="21">
        <f t="shared" si="20"/>
        <v>12591.654550364998</v>
      </c>
      <c r="I671" s="10">
        <v>799225.499121645</v>
      </c>
      <c r="J671" s="21">
        <f t="shared" si="21"/>
        <v>-20.405729404999875</v>
      </c>
    </row>
    <row r="672" spans="1:10">
      <c r="A672" t="s">
        <v>202</v>
      </c>
      <c r="B672" t="s">
        <v>204</v>
      </c>
      <c r="C672" s="18">
        <v>2042</v>
      </c>
      <c r="D672" t="s">
        <v>181</v>
      </c>
      <c r="E672" s="20">
        <v>613346.63254291902</v>
      </c>
      <c r="F672" s="20">
        <v>358135.21549467399</v>
      </c>
      <c r="G672" s="10">
        <v>357930.93950443697</v>
      </c>
      <c r="H672" s="21">
        <f t="shared" si="20"/>
        <v>-204.27599023701623</v>
      </c>
      <c r="I672" s="10">
        <v>612664.177038008</v>
      </c>
      <c r="J672" s="21">
        <f t="shared" si="21"/>
        <v>-682.4555049110204</v>
      </c>
    </row>
    <row r="673" spans="1:10">
      <c r="A673" t="s">
        <v>202</v>
      </c>
      <c r="B673" t="s">
        <v>204</v>
      </c>
      <c r="C673" s="18">
        <v>2042</v>
      </c>
      <c r="D673" t="s">
        <v>209</v>
      </c>
      <c r="E673" s="20">
        <v>43282.266806224798</v>
      </c>
      <c r="F673" s="20">
        <v>7616.6936897403803</v>
      </c>
      <c r="G673" s="10">
        <v>7616.5928035502902</v>
      </c>
      <c r="H673" s="21">
        <f t="shared" si="20"/>
        <v>-0.10088619009002286</v>
      </c>
      <c r="I673" s="10">
        <v>43278.728481607301</v>
      </c>
      <c r="J673" s="21">
        <f t="shared" si="21"/>
        <v>-3.5383246174969827</v>
      </c>
    </row>
    <row r="674" spans="1:10">
      <c r="A674" t="s">
        <v>202</v>
      </c>
      <c r="B674" t="s">
        <v>204</v>
      </c>
      <c r="C674" s="18">
        <v>2043</v>
      </c>
      <c r="D674" t="s">
        <v>187</v>
      </c>
      <c r="E674" s="20">
        <v>20744.2428685062</v>
      </c>
      <c r="F674" s="20">
        <v>14582.9694392493</v>
      </c>
      <c r="G674" s="10">
        <v>14572.883153271399</v>
      </c>
      <c r="H674" s="21">
        <f t="shared" si="20"/>
        <v>-10.086285977900843</v>
      </c>
      <c r="I674" s="10">
        <v>20720.548205455299</v>
      </c>
      <c r="J674" s="21">
        <f t="shared" si="21"/>
        <v>-23.694663050900999</v>
      </c>
    </row>
    <row r="675" spans="1:10">
      <c r="A675" t="s">
        <v>202</v>
      </c>
      <c r="B675" t="s">
        <v>204</v>
      </c>
      <c r="C675" s="18">
        <v>2043</v>
      </c>
      <c r="D675" t="s">
        <v>227</v>
      </c>
      <c r="E675" s="20">
        <v>1213870.3816478199</v>
      </c>
      <c r="F675" s="20">
        <v>273014.827887944</v>
      </c>
      <c r="G675" s="10">
        <v>272950.43541917799</v>
      </c>
      <c r="H675" s="21">
        <f t="shared" si="20"/>
        <v>-64.392468766018283</v>
      </c>
      <c r="I675" s="10">
        <v>1213049.26096591</v>
      </c>
      <c r="J675" s="21">
        <f t="shared" si="21"/>
        <v>-821.12068190984428</v>
      </c>
    </row>
    <row r="676" spans="1:10">
      <c r="A676" t="s">
        <v>202</v>
      </c>
      <c r="B676" t="s">
        <v>204</v>
      </c>
      <c r="C676" s="18">
        <v>2043</v>
      </c>
      <c r="D676" t="s">
        <v>163</v>
      </c>
      <c r="E676" s="20">
        <v>147161.80120068</v>
      </c>
      <c r="F676" s="20">
        <v>99341.516614115302</v>
      </c>
      <c r="G676" s="10">
        <v>99271.391168072907</v>
      </c>
      <c r="H676" s="21">
        <f t="shared" si="20"/>
        <v>-70.125446042395197</v>
      </c>
      <c r="I676" s="10">
        <v>146993.81420820701</v>
      </c>
      <c r="J676" s="21">
        <f t="shared" si="21"/>
        <v>-167.98699247298646</v>
      </c>
    </row>
    <row r="677" spans="1:10">
      <c r="A677" t="s">
        <v>202</v>
      </c>
      <c r="B677" t="s">
        <v>204</v>
      </c>
      <c r="C677" s="18">
        <v>2043</v>
      </c>
      <c r="D677" t="s">
        <v>173</v>
      </c>
      <c r="E677" s="20">
        <v>471616.41311551398</v>
      </c>
      <c r="F677" s="20">
        <v>438044.44871711498</v>
      </c>
      <c r="G677" s="10">
        <v>437679.98847184202</v>
      </c>
      <c r="H677" s="21">
        <f t="shared" si="20"/>
        <v>-364.46024527295958</v>
      </c>
      <c r="I677" s="10">
        <v>471154.83958066901</v>
      </c>
      <c r="J677" s="21">
        <f t="shared" si="21"/>
        <v>-461.57353484496707</v>
      </c>
    </row>
    <row r="678" spans="1:10">
      <c r="A678" t="s">
        <v>202</v>
      </c>
      <c r="B678" t="s">
        <v>204</v>
      </c>
      <c r="C678" s="18">
        <v>2043</v>
      </c>
      <c r="D678" t="s">
        <v>177</v>
      </c>
      <c r="E678" s="20">
        <v>810038.63089313603</v>
      </c>
      <c r="F678" s="20">
        <v>499396.47415182902</v>
      </c>
      <c r="G678" s="10">
        <v>512610.44917931297</v>
      </c>
      <c r="H678" s="21">
        <f t="shared" si="20"/>
        <v>13213.975027483946</v>
      </c>
      <c r="I678" s="10">
        <v>810014.77283431904</v>
      </c>
      <c r="J678" s="21">
        <f t="shared" si="21"/>
        <v>-23.858058816986158</v>
      </c>
    </row>
    <row r="679" spans="1:10">
      <c r="A679" t="s">
        <v>202</v>
      </c>
      <c r="B679" t="s">
        <v>204</v>
      </c>
      <c r="C679" s="18">
        <v>2043</v>
      </c>
      <c r="D679" t="s">
        <v>181</v>
      </c>
      <c r="E679" s="20">
        <v>624715.15220146405</v>
      </c>
      <c r="F679" s="20">
        <v>368199.00776003097</v>
      </c>
      <c r="G679" s="10">
        <v>367959.059248153</v>
      </c>
      <c r="H679" s="21">
        <f t="shared" si="20"/>
        <v>-239.9485118779703</v>
      </c>
      <c r="I679" s="10">
        <v>623953.35649413895</v>
      </c>
      <c r="J679" s="21">
        <f t="shared" si="21"/>
        <v>-761.79570732510183</v>
      </c>
    </row>
    <row r="680" spans="1:10">
      <c r="A680" t="s">
        <v>202</v>
      </c>
      <c r="B680" t="s">
        <v>204</v>
      </c>
      <c r="C680" s="18">
        <v>2043</v>
      </c>
      <c r="D680" t="s">
        <v>209</v>
      </c>
      <c r="E680" s="20">
        <v>43236.061839896996</v>
      </c>
      <c r="F680" s="20">
        <v>7634.7566435382896</v>
      </c>
      <c r="G680" s="10">
        <v>7634.6380979097503</v>
      </c>
      <c r="H680" s="21">
        <f t="shared" si="20"/>
        <v>-0.11854562853932293</v>
      </c>
      <c r="I680" s="10">
        <v>43232.1385441846</v>
      </c>
      <c r="J680" s="21">
        <f t="shared" si="21"/>
        <v>-3.9232957123967935</v>
      </c>
    </row>
    <row r="681" spans="1:10">
      <c r="A681" t="s">
        <v>202</v>
      </c>
      <c r="B681" t="s">
        <v>204</v>
      </c>
      <c r="C681" s="18">
        <v>2044</v>
      </c>
      <c r="D681" t="s">
        <v>187</v>
      </c>
      <c r="E681" s="20">
        <v>21246.879228207799</v>
      </c>
      <c r="F681" s="20">
        <v>14873.031871532499</v>
      </c>
      <c r="G681" s="10">
        <v>14861.4315691186</v>
      </c>
      <c r="H681" s="21">
        <f t="shared" si="20"/>
        <v>-11.600302413899044</v>
      </c>
      <c r="I681" s="10">
        <v>21220.2473713984</v>
      </c>
      <c r="J681" s="21">
        <f t="shared" si="21"/>
        <v>-26.631856809399324</v>
      </c>
    </row>
    <row r="682" spans="1:10">
      <c r="A682" t="s">
        <v>202</v>
      </c>
      <c r="B682" t="s">
        <v>204</v>
      </c>
      <c r="C682" s="18">
        <v>2044</v>
      </c>
      <c r="D682" t="s">
        <v>227</v>
      </c>
      <c r="E682" s="20">
        <v>1219887.63870319</v>
      </c>
      <c r="F682" s="20">
        <v>280581.47759466001</v>
      </c>
      <c r="G682" s="10">
        <v>280506.44153550803</v>
      </c>
      <c r="H682" s="21">
        <f t="shared" si="20"/>
        <v>-75.036059151985683</v>
      </c>
      <c r="I682" s="10">
        <v>1218988.4670045001</v>
      </c>
      <c r="J682" s="21">
        <f t="shared" si="21"/>
        <v>-899.17169868992642</v>
      </c>
    </row>
    <row r="683" spans="1:10">
      <c r="A683" t="s">
        <v>202</v>
      </c>
      <c r="B683" t="s">
        <v>204</v>
      </c>
      <c r="C683" s="18">
        <v>2044</v>
      </c>
      <c r="D683" t="s">
        <v>163</v>
      </c>
      <c r="E683" s="20">
        <v>149882.65730472401</v>
      </c>
      <c r="F683" s="20">
        <v>101192.054134039</v>
      </c>
      <c r="G683" s="10">
        <v>101112.290089553</v>
      </c>
      <c r="H683" s="21">
        <f t="shared" si="20"/>
        <v>-79.764044486000785</v>
      </c>
      <c r="I683" s="10">
        <v>149696.21396730101</v>
      </c>
      <c r="J683" s="21">
        <f t="shared" si="21"/>
        <v>-186.44333742299932</v>
      </c>
    </row>
    <row r="684" spans="1:10">
      <c r="A684" t="s">
        <v>202</v>
      </c>
      <c r="B684" t="s">
        <v>204</v>
      </c>
      <c r="C684" s="18">
        <v>2044</v>
      </c>
      <c r="D684" t="s">
        <v>173</v>
      </c>
      <c r="E684" s="20">
        <v>478091.64498645603</v>
      </c>
      <c r="F684" s="20">
        <v>444207.79836227099</v>
      </c>
      <c r="G684" s="10">
        <v>443800.63719739497</v>
      </c>
      <c r="H684" s="21">
        <f t="shared" si="20"/>
        <v>-407.16116487601539</v>
      </c>
      <c r="I684" s="10">
        <v>477581.31483664498</v>
      </c>
      <c r="J684" s="21">
        <f t="shared" si="21"/>
        <v>-510.33014981105225</v>
      </c>
    </row>
    <row r="685" spans="1:10">
      <c r="A685" t="s">
        <v>202</v>
      </c>
      <c r="B685" t="s">
        <v>204</v>
      </c>
      <c r="C685" s="18">
        <v>2044</v>
      </c>
      <c r="D685" t="s">
        <v>177</v>
      </c>
      <c r="E685" s="20">
        <v>820769.98828875902</v>
      </c>
      <c r="F685" s="20">
        <v>507597.38716816501</v>
      </c>
      <c r="G685" s="10">
        <v>521420.17033099697</v>
      </c>
      <c r="H685" s="21">
        <f t="shared" si="20"/>
        <v>13822.783162831969</v>
      </c>
      <c r="I685" s="10">
        <v>820742.37012193399</v>
      </c>
      <c r="J685" s="21">
        <f t="shared" si="21"/>
        <v>-27.618166825035587</v>
      </c>
    </row>
    <row r="686" spans="1:10">
      <c r="A686" t="s">
        <v>202</v>
      </c>
      <c r="B686" t="s">
        <v>204</v>
      </c>
      <c r="C686" s="18">
        <v>2044</v>
      </c>
      <c r="D686" t="s">
        <v>181</v>
      </c>
      <c r="E686" s="20">
        <v>635869.20695462101</v>
      </c>
      <c r="F686" s="20">
        <v>378197.42344584601</v>
      </c>
      <c r="G686" s="10">
        <v>377918.58989895799</v>
      </c>
      <c r="H686" s="21">
        <f t="shared" si="20"/>
        <v>-278.83354688802501</v>
      </c>
      <c r="I686" s="10">
        <v>635024.54646764905</v>
      </c>
      <c r="J686" s="21">
        <f t="shared" si="21"/>
        <v>-844.66048697195947</v>
      </c>
    </row>
    <row r="687" spans="1:10">
      <c r="A687" t="s">
        <v>202</v>
      </c>
      <c r="B687" t="s">
        <v>204</v>
      </c>
      <c r="C687" s="18">
        <v>2044</v>
      </c>
      <c r="D687" t="s">
        <v>209</v>
      </c>
      <c r="E687" s="20">
        <v>43206.953162353697</v>
      </c>
      <c r="F687" s="20">
        <v>7652.8598124015998</v>
      </c>
      <c r="G687" s="10">
        <v>7652.7218257366803</v>
      </c>
      <c r="H687" s="21">
        <f t="shared" si="20"/>
        <v>-0.13798666491948097</v>
      </c>
      <c r="I687" s="10">
        <v>43202.630038859497</v>
      </c>
      <c r="J687" s="21">
        <f t="shared" si="21"/>
        <v>-4.3231234941995353</v>
      </c>
    </row>
    <row r="688" spans="1:10">
      <c r="A688" t="s">
        <v>202</v>
      </c>
      <c r="B688" t="s">
        <v>204</v>
      </c>
      <c r="C688" s="18">
        <v>2045</v>
      </c>
      <c r="D688" t="s">
        <v>187</v>
      </c>
      <c r="E688" s="20">
        <v>21747.339755729201</v>
      </c>
      <c r="F688" s="20">
        <v>15161.5222799846</v>
      </c>
      <c r="G688" s="10">
        <v>15148.297956242301</v>
      </c>
      <c r="H688" s="21">
        <f t="shared" si="20"/>
        <v>-13.224323742299021</v>
      </c>
      <c r="I688" s="10">
        <v>21717.616521529701</v>
      </c>
      <c r="J688" s="21">
        <f t="shared" si="21"/>
        <v>-29.723234199500439</v>
      </c>
    </row>
    <row r="689" spans="1:10">
      <c r="A689" t="s">
        <v>202</v>
      </c>
      <c r="B689" t="s">
        <v>204</v>
      </c>
      <c r="C689" s="18">
        <v>2045</v>
      </c>
      <c r="D689" t="s">
        <v>227</v>
      </c>
      <c r="E689" s="20">
        <v>1225648.1236823499</v>
      </c>
      <c r="F689" s="20">
        <v>288011.70406585099</v>
      </c>
      <c r="G689" s="10">
        <v>287925.04322278401</v>
      </c>
      <c r="H689" s="21">
        <f t="shared" si="20"/>
        <v>-86.660843066987582</v>
      </c>
      <c r="I689" s="10">
        <v>1224668.96644768</v>
      </c>
      <c r="J689" s="21">
        <f t="shared" si="21"/>
        <v>-979.15723466989584</v>
      </c>
    </row>
    <row r="690" spans="1:10">
      <c r="A690" t="s">
        <v>202</v>
      </c>
      <c r="B690" t="s">
        <v>204</v>
      </c>
      <c r="C690" s="18">
        <v>2045</v>
      </c>
      <c r="D690" t="s">
        <v>163</v>
      </c>
      <c r="E690" s="20">
        <v>152543.691358615</v>
      </c>
      <c r="F690" s="20">
        <v>103025.31140249</v>
      </c>
      <c r="G690" s="10">
        <v>102935.314985138</v>
      </c>
      <c r="H690" s="21">
        <f t="shared" si="20"/>
        <v>-89.996417351998389</v>
      </c>
      <c r="I690" s="10">
        <v>152338.05281588601</v>
      </c>
      <c r="J690" s="21">
        <f t="shared" si="21"/>
        <v>-205.63854272899334</v>
      </c>
    </row>
    <row r="691" spans="1:10">
      <c r="A691" t="s">
        <v>202</v>
      </c>
      <c r="B691" t="s">
        <v>204</v>
      </c>
      <c r="C691" s="18">
        <v>2045</v>
      </c>
      <c r="D691" t="s">
        <v>173</v>
      </c>
      <c r="E691" s="20">
        <v>484284.24830229202</v>
      </c>
      <c r="F691" s="20">
        <v>450169.25674556202</v>
      </c>
      <c r="G691" s="10">
        <v>449717.558047709</v>
      </c>
      <c r="H691" s="21">
        <f t="shared" si="20"/>
        <v>-451.69869785301853</v>
      </c>
      <c r="I691" s="10">
        <v>483723.51612219802</v>
      </c>
      <c r="J691" s="21">
        <f t="shared" si="21"/>
        <v>-560.73218009399716</v>
      </c>
    </row>
    <row r="692" spans="1:10">
      <c r="A692" t="s">
        <v>202</v>
      </c>
      <c r="B692" t="s">
        <v>204</v>
      </c>
      <c r="C692" s="18">
        <v>2045</v>
      </c>
      <c r="D692" t="s">
        <v>177</v>
      </c>
      <c r="E692" s="20">
        <v>831501.89085718198</v>
      </c>
      <c r="F692" s="20">
        <v>515575.87042658502</v>
      </c>
      <c r="G692" s="10">
        <v>529994.22695920803</v>
      </c>
      <c r="H692" s="21">
        <f t="shared" si="20"/>
        <v>14418.356532623002</v>
      </c>
      <c r="I692" s="10">
        <v>831470.21009817696</v>
      </c>
      <c r="J692" s="21">
        <f t="shared" si="21"/>
        <v>-31.680759005015716</v>
      </c>
    </row>
    <row r="693" spans="1:10">
      <c r="A693" t="s">
        <v>202</v>
      </c>
      <c r="B693" t="s">
        <v>204</v>
      </c>
      <c r="C693" s="18">
        <v>2045</v>
      </c>
      <c r="D693" t="s">
        <v>181</v>
      </c>
      <c r="E693" s="20">
        <v>646661.16212893697</v>
      </c>
      <c r="F693" s="20">
        <v>388071.576882002</v>
      </c>
      <c r="G693" s="10">
        <v>387750.67878189799</v>
      </c>
      <c r="H693" s="21">
        <f t="shared" si="20"/>
        <v>-320.89810010400834</v>
      </c>
      <c r="I693" s="10">
        <v>645730.44769895996</v>
      </c>
      <c r="J693" s="21">
        <f t="shared" si="21"/>
        <v>-930.71442997700069</v>
      </c>
    </row>
    <row r="694" spans="1:10">
      <c r="A694" t="s">
        <v>202</v>
      </c>
      <c r="B694" t="s">
        <v>204</v>
      </c>
      <c r="C694" s="18">
        <v>2045</v>
      </c>
      <c r="D694" t="s">
        <v>209</v>
      </c>
      <c r="E694" s="20">
        <v>43195.3410976171</v>
      </c>
      <c r="F694" s="20">
        <v>7672.2274773365698</v>
      </c>
      <c r="G694" s="10">
        <v>7672.0682267846396</v>
      </c>
      <c r="H694" s="21">
        <f t="shared" si="20"/>
        <v>-0.15925055193019944</v>
      </c>
      <c r="I694" s="10">
        <v>43190.603751316099</v>
      </c>
      <c r="J694" s="21">
        <f t="shared" si="21"/>
        <v>-4.7373463010007981</v>
      </c>
    </row>
    <row r="695" spans="1:10">
      <c r="A695" t="s">
        <v>202</v>
      </c>
      <c r="B695" t="s">
        <v>204</v>
      </c>
      <c r="C695" s="18">
        <v>2046</v>
      </c>
      <c r="D695" t="s">
        <v>187</v>
      </c>
      <c r="E695" s="20">
        <v>22243.9390871674</v>
      </c>
      <c r="F695" s="20">
        <v>15451.8448499074</v>
      </c>
      <c r="G695" s="10">
        <v>15436.8918612077</v>
      </c>
      <c r="H695" s="21">
        <f t="shared" si="20"/>
        <v>-14.952988699700654</v>
      </c>
      <c r="I695" s="10">
        <v>22210.974521910699</v>
      </c>
      <c r="J695" s="21">
        <f t="shared" si="21"/>
        <v>-32.964565256701462</v>
      </c>
    </row>
    <row r="696" spans="1:10">
      <c r="A696" t="s">
        <v>202</v>
      </c>
      <c r="B696" t="s">
        <v>204</v>
      </c>
      <c r="C696" s="18">
        <v>2046</v>
      </c>
      <c r="D696" t="s">
        <v>227</v>
      </c>
      <c r="E696" s="20">
        <v>1231185.92781988</v>
      </c>
      <c r="F696" s="20">
        <v>295265.13153873902</v>
      </c>
      <c r="G696" s="10">
        <v>295165.87720880198</v>
      </c>
      <c r="H696" s="21">
        <f t="shared" si="20"/>
        <v>-99.254329937044531</v>
      </c>
      <c r="I696" s="10">
        <v>1230125.0687766999</v>
      </c>
      <c r="J696" s="21">
        <f t="shared" si="21"/>
        <v>-1060.8590431800112</v>
      </c>
    </row>
    <row r="697" spans="1:10">
      <c r="A697" t="s">
        <v>202</v>
      </c>
      <c r="B697" t="s">
        <v>204</v>
      </c>
      <c r="C697" s="18">
        <v>2046</v>
      </c>
      <c r="D697" t="s">
        <v>163</v>
      </c>
      <c r="E697" s="20">
        <v>155144.70903158799</v>
      </c>
      <c r="F697" s="20">
        <v>104831.919953162</v>
      </c>
      <c r="G697" s="10">
        <v>104731.13398431199</v>
      </c>
      <c r="H697" s="21">
        <f t="shared" si="20"/>
        <v>-100.78596885000297</v>
      </c>
      <c r="I697" s="10">
        <v>154919.18519988199</v>
      </c>
      <c r="J697" s="21">
        <f t="shared" si="21"/>
        <v>-225.52383170599933</v>
      </c>
    </row>
    <row r="698" spans="1:10">
      <c r="A698" t="s">
        <v>202</v>
      </c>
      <c r="B698" t="s">
        <v>204</v>
      </c>
      <c r="C698" s="18">
        <v>2046</v>
      </c>
      <c r="D698" t="s">
        <v>173</v>
      </c>
      <c r="E698" s="20">
        <v>490172.21530023898</v>
      </c>
      <c r="F698" s="20">
        <v>455807.89100660902</v>
      </c>
      <c r="G698" s="10">
        <v>455310.080020589</v>
      </c>
      <c r="H698" s="21">
        <f t="shared" si="20"/>
        <v>-497.81098602002021</v>
      </c>
      <c r="I698" s="10">
        <v>489559.56948849699</v>
      </c>
      <c r="J698" s="21">
        <f t="shared" si="21"/>
        <v>-612.64581174199702</v>
      </c>
    </row>
    <row r="699" spans="1:10">
      <c r="A699" t="s">
        <v>202</v>
      </c>
      <c r="B699" t="s">
        <v>204</v>
      </c>
      <c r="C699" s="18">
        <v>2046</v>
      </c>
      <c r="D699" t="s">
        <v>177</v>
      </c>
      <c r="E699" s="20">
        <v>842058.24606958102</v>
      </c>
      <c r="F699" s="20">
        <v>523439.41717444803</v>
      </c>
      <c r="G699" s="10">
        <v>538440.16822828504</v>
      </c>
      <c r="H699" s="21">
        <f t="shared" si="20"/>
        <v>15000.751053837012</v>
      </c>
      <c r="I699" s="10">
        <v>842022.211146035</v>
      </c>
      <c r="J699" s="21">
        <f t="shared" si="21"/>
        <v>-36.034923546016216</v>
      </c>
    </row>
    <row r="700" spans="1:10">
      <c r="A700" t="s">
        <v>202</v>
      </c>
      <c r="B700" t="s">
        <v>204</v>
      </c>
      <c r="C700" s="18">
        <v>2046</v>
      </c>
      <c r="D700" t="s">
        <v>181</v>
      </c>
      <c r="E700" s="20">
        <v>657042.89956361498</v>
      </c>
      <c r="F700" s="20">
        <v>397798.00733213301</v>
      </c>
      <c r="G700" s="10">
        <v>397431.95060261199</v>
      </c>
      <c r="H700" s="21">
        <f t="shared" si="20"/>
        <v>-366.05672952102032</v>
      </c>
      <c r="I700" s="10">
        <v>656023.20384824695</v>
      </c>
      <c r="J700" s="21">
        <f t="shared" si="21"/>
        <v>-1019.6957153680269</v>
      </c>
    </row>
    <row r="701" spans="1:10">
      <c r="A701" t="s">
        <v>202</v>
      </c>
      <c r="B701" t="s">
        <v>204</v>
      </c>
      <c r="C701" s="18">
        <v>2046</v>
      </c>
      <c r="D701" t="s">
        <v>209</v>
      </c>
      <c r="E701" s="20">
        <v>43201.475933091198</v>
      </c>
      <c r="F701" s="20">
        <v>7693.73937073859</v>
      </c>
      <c r="G701" s="10">
        <v>7693.5570486562501</v>
      </c>
      <c r="H701" s="21">
        <f t="shared" si="20"/>
        <v>-0.18232208233985148</v>
      </c>
      <c r="I701" s="10">
        <v>43196.310323112302</v>
      </c>
      <c r="J701" s="21">
        <f t="shared" si="21"/>
        <v>-5.1656099788961001</v>
      </c>
    </row>
    <row r="702" spans="1:10">
      <c r="A702" t="s">
        <v>202</v>
      </c>
      <c r="B702" t="s">
        <v>204</v>
      </c>
      <c r="C702" s="18">
        <v>2047</v>
      </c>
      <c r="D702" t="s">
        <v>187</v>
      </c>
      <c r="E702" s="20">
        <v>22736.016290296899</v>
      </c>
      <c r="F702" s="20">
        <v>15745.268032559599</v>
      </c>
      <c r="G702" s="10">
        <v>15728.485494730299</v>
      </c>
      <c r="H702" s="21">
        <f t="shared" si="20"/>
        <v>-16.782537829300054</v>
      </c>
      <c r="I702" s="10">
        <v>22699.6629629007</v>
      </c>
      <c r="J702" s="21">
        <f t="shared" si="21"/>
        <v>-36.353327396198438</v>
      </c>
    </row>
    <row r="703" spans="1:10">
      <c r="A703" t="s">
        <v>202</v>
      </c>
      <c r="B703" t="s">
        <v>204</v>
      </c>
      <c r="C703" s="18">
        <v>2047</v>
      </c>
      <c r="D703" t="s">
        <v>227</v>
      </c>
      <c r="E703" s="20">
        <v>1236418.7178211201</v>
      </c>
      <c r="F703" s="20">
        <v>302293.339629088</v>
      </c>
      <c r="G703" s="10">
        <v>302180.55031250097</v>
      </c>
      <c r="H703" s="21">
        <f t="shared" si="20"/>
        <v>-112.78931658703368</v>
      </c>
      <c r="I703" s="10">
        <v>1235274.66521773</v>
      </c>
      <c r="J703" s="21">
        <f t="shared" si="21"/>
        <v>-1144.0526033900678</v>
      </c>
    </row>
    <row r="704" spans="1:10">
      <c r="A704" t="s">
        <v>202</v>
      </c>
      <c r="B704" t="s">
        <v>204</v>
      </c>
      <c r="C704" s="18">
        <v>2047</v>
      </c>
      <c r="D704" t="s">
        <v>163</v>
      </c>
      <c r="E704" s="20">
        <v>157681.99172548801</v>
      </c>
      <c r="F704" s="20">
        <v>106599.767756296</v>
      </c>
      <c r="G704" s="10">
        <v>106487.67776034201</v>
      </c>
      <c r="H704" s="21">
        <f t="shared" si="20"/>
        <v>-112.08999595399655</v>
      </c>
      <c r="I704" s="10">
        <v>157435.937342911</v>
      </c>
      <c r="J704" s="21">
        <f t="shared" si="21"/>
        <v>-246.05438257701462</v>
      </c>
    </row>
    <row r="705" spans="1:10">
      <c r="A705" t="s">
        <v>202</v>
      </c>
      <c r="B705" t="s">
        <v>204</v>
      </c>
      <c r="C705" s="18">
        <v>2047</v>
      </c>
      <c r="D705" t="s">
        <v>173</v>
      </c>
      <c r="E705" s="20">
        <v>495713.202239106</v>
      </c>
      <c r="F705" s="20">
        <v>461084.78978225699</v>
      </c>
      <c r="G705" s="10">
        <v>460539.427749469</v>
      </c>
      <c r="H705" s="21">
        <f t="shared" si="20"/>
        <v>-545.36203278799076</v>
      </c>
      <c r="I705" s="10">
        <v>495047.33168069902</v>
      </c>
      <c r="J705" s="21">
        <f t="shared" si="21"/>
        <v>-665.87055840698304</v>
      </c>
    </row>
    <row r="706" spans="1:10">
      <c r="A706" t="s">
        <v>202</v>
      </c>
      <c r="B706" t="s">
        <v>204</v>
      </c>
      <c r="C706" s="18">
        <v>2047</v>
      </c>
      <c r="D706" t="s">
        <v>177</v>
      </c>
      <c r="E706" s="20">
        <v>852397.70425507904</v>
      </c>
      <c r="F706" s="20">
        <v>531321.68725435203</v>
      </c>
      <c r="G706" s="10">
        <v>546892.884748123</v>
      </c>
      <c r="H706" s="21">
        <f t="shared" ref="H706:H769" si="22">G706-F706</f>
        <v>15571.197493770975</v>
      </c>
      <c r="I706" s="10">
        <v>852357.03689663101</v>
      </c>
      <c r="J706" s="21">
        <f t="shared" ref="J706:J769" si="23">I706-E706</f>
        <v>-40.667358448030427</v>
      </c>
    </row>
    <row r="707" spans="1:10">
      <c r="A707" t="s">
        <v>202</v>
      </c>
      <c r="B707" t="s">
        <v>204</v>
      </c>
      <c r="C707" s="18">
        <v>2047</v>
      </c>
      <c r="D707" t="s">
        <v>181</v>
      </c>
      <c r="E707" s="20">
        <v>667071.933129229</v>
      </c>
      <c r="F707" s="20">
        <v>407352.530170021</v>
      </c>
      <c r="G707" s="10">
        <v>406938.30985862098</v>
      </c>
      <c r="H707" s="21">
        <f t="shared" si="22"/>
        <v>-414.22031140001491</v>
      </c>
      <c r="I707" s="10">
        <v>665960.53053760703</v>
      </c>
      <c r="J707" s="21">
        <f t="shared" si="23"/>
        <v>-1111.4025916219689</v>
      </c>
    </row>
    <row r="708" spans="1:10">
      <c r="A708" t="s">
        <v>202</v>
      </c>
      <c r="B708" t="s">
        <v>204</v>
      </c>
      <c r="C708" s="18">
        <v>2047</v>
      </c>
      <c r="D708" t="s">
        <v>209</v>
      </c>
      <c r="E708" s="20">
        <v>43223.241361692402</v>
      </c>
      <c r="F708" s="20">
        <v>7716.4716851319299</v>
      </c>
      <c r="G708" s="10">
        <v>7716.2645250788601</v>
      </c>
      <c r="H708" s="21">
        <f t="shared" si="22"/>
        <v>-0.20716005306985608</v>
      </c>
      <c r="I708" s="10">
        <v>43217.634192350401</v>
      </c>
      <c r="J708" s="21">
        <f t="shared" si="23"/>
        <v>-5.6071693420017255</v>
      </c>
    </row>
    <row r="709" spans="1:10">
      <c r="A709" t="s">
        <v>202</v>
      </c>
      <c r="B709" t="s">
        <v>204</v>
      </c>
      <c r="C709" s="18">
        <v>2048</v>
      </c>
      <c r="D709" t="s">
        <v>187</v>
      </c>
      <c r="E709" s="20">
        <v>23219.658314660999</v>
      </c>
      <c r="F709" s="20">
        <v>16043.929491683601</v>
      </c>
      <c r="G709" s="10">
        <v>16025.2187605858</v>
      </c>
      <c r="H709" s="21">
        <f t="shared" si="22"/>
        <v>-18.710731097800817</v>
      </c>
      <c r="I709" s="10">
        <v>23179.777529823201</v>
      </c>
      <c r="J709" s="21">
        <f t="shared" si="23"/>
        <v>-39.880784837798274</v>
      </c>
    </row>
    <row r="710" spans="1:10">
      <c r="A710" t="s">
        <v>202</v>
      </c>
      <c r="B710" t="s">
        <v>204</v>
      </c>
      <c r="C710" s="18">
        <v>2048</v>
      </c>
      <c r="D710" t="s">
        <v>227</v>
      </c>
      <c r="E710" s="20">
        <v>1241437.6956967399</v>
      </c>
      <c r="F710" s="20">
        <v>309091.56167800399</v>
      </c>
      <c r="G710" s="10">
        <v>308964.31037728197</v>
      </c>
      <c r="H710" s="21">
        <f t="shared" si="22"/>
        <v>-127.25130072201136</v>
      </c>
      <c r="I710" s="10">
        <v>1240209.10376068</v>
      </c>
      <c r="J710" s="21">
        <f t="shared" si="23"/>
        <v>-1228.5919360599946</v>
      </c>
    </row>
    <row r="711" spans="1:10">
      <c r="A711" t="s">
        <v>202</v>
      </c>
      <c r="B711" t="s">
        <v>204</v>
      </c>
      <c r="C711" s="18">
        <v>2048</v>
      </c>
      <c r="D711" t="s">
        <v>163</v>
      </c>
      <c r="E711" s="20">
        <v>160144.24714950001</v>
      </c>
      <c r="F711" s="20">
        <v>108329.20223634101</v>
      </c>
      <c r="G711" s="10">
        <v>108205.309376064</v>
      </c>
      <c r="H711" s="21">
        <f t="shared" si="22"/>
        <v>-123.89286027700291</v>
      </c>
      <c r="I711" s="10">
        <v>159877.06955740901</v>
      </c>
      <c r="J711" s="21">
        <f t="shared" si="23"/>
        <v>-267.17759209100041</v>
      </c>
    </row>
    <row r="712" spans="1:10">
      <c r="A712" t="s">
        <v>202</v>
      </c>
      <c r="B712" t="s">
        <v>204</v>
      </c>
      <c r="C712" s="18">
        <v>2048</v>
      </c>
      <c r="D712" t="s">
        <v>173</v>
      </c>
      <c r="E712" s="20">
        <v>500972.26770133799</v>
      </c>
      <c r="F712" s="20">
        <v>466152.75954869698</v>
      </c>
      <c r="G712" s="10">
        <v>465558.478994868</v>
      </c>
      <c r="H712" s="21">
        <f t="shared" si="22"/>
        <v>-594.2805538289831</v>
      </c>
      <c r="I712" s="10">
        <v>500251.96367663803</v>
      </c>
      <c r="J712" s="21">
        <f t="shared" si="23"/>
        <v>-720.30402469995897</v>
      </c>
    </row>
    <row r="713" spans="1:10">
      <c r="A713" t="s">
        <v>202</v>
      </c>
      <c r="B713" t="s">
        <v>204</v>
      </c>
      <c r="C713" s="18">
        <v>2048</v>
      </c>
      <c r="D713" t="s">
        <v>177</v>
      </c>
      <c r="E713" s="20">
        <v>862466.76672262501</v>
      </c>
      <c r="F713" s="20">
        <v>539095.59480735799</v>
      </c>
      <c r="G713" s="10">
        <v>555219.25427407597</v>
      </c>
      <c r="H713" s="21">
        <f t="shared" si="22"/>
        <v>16123.659466717974</v>
      </c>
      <c r="I713" s="10">
        <v>862421.19766606798</v>
      </c>
      <c r="J713" s="21">
        <f t="shared" si="23"/>
        <v>-45.56905655702576</v>
      </c>
    </row>
    <row r="714" spans="1:10">
      <c r="A714" t="s">
        <v>202</v>
      </c>
      <c r="B714" t="s">
        <v>204</v>
      </c>
      <c r="C714" s="18">
        <v>2048</v>
      </c>
      <c r="D714" t="s">
        <v>181</v>
      </c>
      <c r="E714" s="20">
        <v>676743.67834241502</v>
      </c>
      <c r="F714" s="20">
        <v>416686.36450622597</v>
      </c>
      <c r="G714" s="10">
        <v>416221.14564351598</v>
      </c>
      <c r="H714" s="21">
        <f t="shared" si="22"/>
        <v>-465.21886270999676</v>
      </c>
      <c r="I714" s="10">
        <v>675538.06713143899</v>
      </c>
      <c r="J714" s="21">
        <f t="shared" si="23"/>
        <v>-1205.6112109760288</v>
      </c>
    </row>
    <row r="715" spans="1:10">
      <c r="A715" t="s">
        <v>202</v>
      </c>
      <c r="B715" t="s">
        <v>204</v>
      </c>
      <c r="C715" s="18">
        <v>2048</v>
      </c>
      <c r="D715" t="s">
        <v>209</v>
      </c>
      <c r="E715" s="20">
        <v>43253.177743238499</v>
      </c>
      <c r="F715" s="20">
        <v>7741.2019754134299</v>
      </c>
      <c r="G715" s="10">
        <v>7740.9682323091401</v>
      </c>
      <c r="H715" s="21">
        <f t="shared" si="22"/>
        <v>-0.23374310428971512</v>
      </c>
      <c r="I715" s="10">
        <v>43247.116568268502</v>
      </c>
      <c r="J715" s="21">
        <f t="shared" si="23"/>
        <v>-6.0611749699965003</v>
      </c>
    </row>
    <row r="716" spans="1:10">
      <c r="A716" t="s">
        <v>202</v>
      </c>
      <c r="B716" t="s">
        <v>204</v>
      </c>
      <c r="C716" s="18">
        <v>2049</v>
      </c>
      <c r="D716" t="s">
        <v>187</v>
      </c>
      <c r="E716" s="20">
        <v>23693.893706537601</v>
      </c>
      <c r="F716" s="20">
        <v>16343.3512016226</v>
      </c>
      <c r="G716" s="10">
        <v>16322.61151708</v>
      </c>
      <c r="H716" s="21">
        <f t="shared" si="22"/>
        <v>-20.739684542599207</v>
      </c>
      <c r="I716" s="10">
        <v>23650.361484044901</v>
      </c>
      <c r="J716" s="21">
        <f t="shared" si="23"/>
        <v>-43.532222492700384</v>
      </c>
    </row>
    <row r="717" spans="1:10">
      <c r="A717" t="s">
        <v>202</v>
      </c>
      <c r="B717" t="s">
        <v>204</v>
      </c>
      <c r="C717" s="18">
        <v>2049</v>
      </c>
      <c r="D717" t="s">
        <v>227</v>
      </c>
      <c r="E717" s="20">
        <v>1246272.8169513401</v>
      </c>
      <c r="F717" s="20">
        <v>315671.25081198802</v>
      </c>
      <c r="G717" s="10">
        <v>315528.65457465599</v>
      </c>
      <c r="H717" s="21">
        <f t="shared" si="22"/>
        <v>-142.59623733203625</v>
      </c>
      <c r="I717" s="10">
        <v>1244958.37630862</v>
      </c>
      <c r="J717" s="21">
        <f t="shared" si="23"/>
        <v>-1314.4406427200884</v>
      </c>
    </row>
    <row r="718" spans="1:10">
      <c r="A718" t="s">
        <v>202</v>
      </c>
      <c r="B718" t="s">
        <v>204</v>
      </c>
      <c r="C718" s="18">
        <v>2049</v>
      </c>
      <c r="D718" t="s">
        <v>163</v>
      </c>
      <c r="E718" s="20">
        <v>162526.94857093701</v>
      </c>
      <c r="F718" s="20">
        <v>110018.533661974</v>
      </c>
      <c r="G718" s="10">
        <v>109882.371148655</v>
      </c>
      <c r="H718" s="21">
        <f t="shared" si="22"/>
        <v>-136.16251331899548</v>
      </c>
      <c r="I718" s="10">
        <v>162238.134685625</v>
      </c>
      <c r="J718" s="21">
        <f t="shared" si="23"/>
        <v>-288.81388531200355</v>
      </c>
    </row>
    <row r="719" spans="1:10">
      <c r="A719" t="s">
        <v>202</v>
      </c>
      <c r="B719" t="s">
        <v>204</v>
      </c>
      <c r="C719" s="18">
        <v>2049</v>
      </c>
      <c r="D719" t="s">
        <v>173</v>
      </c>
      <c r="E719" s="20">
        <v>505991.765558135</v>
      </c>
      <c r="F719" s="20">
        <v>471028.18015294499</v>
      </c>
      <c r="G719" s="10">
        <v>470383.880162835</v>
      </c>
      <c r="H719" s="21">
        <f t="shared" si="22"/>
        <v>-644.2999901099829</v>
      </c>
      <c r="I719" s="10">
        <v>505215.90050813899</v>
      </c>
      <c r="J719" s="21">
        <f t="shared" si="23"/>
        <v>-775.86504999600584</v>
      </c>
    </row>
    <row r="720" spans="1:10">
      <c r="A720" t="s">
        <v>202</v>
      </c>
      <c r="B720" t="s">
        <v>204</v>
      </c>
      <c r="C720" s="18">
        <v>2049</v>
      </c>
      <c r="D720" t="s">
        <v>177</v>
      </c>
      <c r="E720" s="20">
        <v>872090.14205884095</v>
      </c>
      <c r="F720" s="20">
        <v>546675.16840514005</v>
      </c>
      <c r="G720" s="10">
        <v>563337.76559367101</v>
      </c>
      <c r="H720" s="21">
        <f t="shared" si="22"/>
        <v>16662.597188530955</v>
      </c>
      <c r="I720" s="10">
        <v>872039.41256190802</v>
      </c>
      <c r="J720" s="21">
        <f t="shared" si="23"/>
        <v>-50.729496932937764</v>
      </c>
    </row>
    <row r="721" spans="1:10">
      <c r="A721" t="s">
        <v>202</v>
      </c>
      <c r="B721" t="s">
        <v>204</v>
      </c>
      <c r="C721" s="18">
        <v>2049</v>
      </c>
      <c r="D721" t="s">
        <v>181</v>
      </c>
      <c r="E721" s="20">
        <v>686101.641098144</v>
      </c>
      <c r="F721" s="20">
        <v>425730.05363172101</v>
      </c>
      <c r="G721" s="10">
        <v>425211.29480666103</v>
      </c>
      <c r="H721" s="21">
        <f t="shared" si="22"/>
        <v>-518.75882505998015</v>
      </c>
      <c r="I721" s="10">
        <v>684799.51924341801</v>
      </c>
      <c r="J721" s="21">
        <f t="shared" si="23"/>
        <v>-1302.1218547259923</v>
      </c>
    </row>
    <row r="722" spans="1:10">
      <c r="A722" t="s">
        <v>202</v>
      </c>
      <c r="B722" t="s">
        <v>204</v>
      </c>
      <c r="C722" s="18">
        <v>2049</v>
      </c>
      <c r="D722" t="s">
        <v>209</v>
      </c>
      <c r="E722" s="20">
        <v>43294.219205254398</v>
      </c>
      <c r="F722" s="20">
        <v>7764.68709317107</v>
      </c>
      <c r="G722" s="10">
        <v>7764.4250577338198</v>
      </c>
      <c r="H722" s="21">
        <f t="shared" si="22"/>
        <v>-0.26203543725023337</v>
      </c>
      <c r="I722" s="10">
        <v>43287.694118175197</v>
      </c>
      <c r="J722" s="21">
        <f t="shared" si="23"/>
        <v>-6.5250870792006026</v>
      </c>
    </row>
    <row r="723" spans="1:10">
      <c r="A723" t="s">
        <v>202</v>
      </c>
      <c r="B723" t="s">
        <v>204</v>
      </c>
      <c r="C723" s="18">
        <v>2050</v>
      </c>
      <c r="D723" t="s">
        <v>187</v>
      </c>
      <c r="E723" s="20">
        <v>24157.730492945801</v>
      </c>
      <c r="F723" s="20">
        <v>16641.786027304999</v>
      </c>
      <c r="G723" s="10">
        <v>16618.923709126098</v>
      </c>
      <c r="H723" s="21">
        <f t="shared" si="22"/>
        <v>-22.86231817890075</v>
      </c>
      <c r="I723" s="10">
        <v>24110.4306261692</v>
      </c>
      <c r="J723" s="21">
        <f t="shared" si="23"/>
        <v>-47.299866776600538</v>
      </c>
    </row>
    <row r="724" spans="1:10">
      <c r="A724" t="s">
        <v>202</v>
      </c>
      <c r="B724" t="s">
        <v>204</v>
      </c>
      <c r="C724" s="18">
        <v>2050</v>
      </c>
      <c r="D724" t="s">
        <v>227</v>
      </c>
      <c r="E724" s="20">
        <v>1250976.55176064</v>
      </c>
      <c r="F724" s="20">
        <v>322024.93629290402</v>
      </c>
      <c r="G724" s="10">
        <v>321866.14542390499</v>
      </c>
      <c r="H724" s="21">
        <f t="shared" si="22"/>
        <v>-158.79086899902904</v>
      </c>
      <c r="I724" s="10">
        <v>1249574.9812984299</v>
      </c>
      <c r="J724" s="21">
        <f t="shared" si="23"/>
        <v>-1401.5704622101039</v>
      </c>
    </row>
    <row r="725" spans="1:10">
      <c r="A725" t="s">
        <v>202</v>
      </c>
      <c r="B725" t="s">
        <v>204</v>
      </c>
      <c r="C725" s="18">
        <v>2050</v>
      </c>
      <c r="D725" t="s">
        <v>163</v>
      </c>
      <c r="E725" s="20">
        <v>164837.88694244399</v>
      </c>
      <c r="F725" s="20">
        <v>111645.09917969099</v>
      </c>
      <c r="G725" s="10">
        <v>111496.260054028</v>
      </c>
      <c r="H725" s="21">
        <f t="shared" si="22"/>
        <v>-148.83912566299841</v>
      </c>
      <c r="I725" s="10">
        <v>164526.94959842</v>
      </c>
      <c r="J725" s="21">
        <f t="shared" si="23"/>
        <v>-310.93734402398695</v>
      </c>
    </row>
    <row r="726" spans="1:10">
      <c r="A726" t="s">
        <v>202</v>
      </c>
      <c r="B726" t="s">
        <v>204</v>
      </c>
      <c r="C726" s="18">
        <v>2050</v>
      </c>
      <c r="D726" t="s">
        <v>173</v>
      </c>
      <c r="E726" s="20">
        <v>510756.22245910898</v>
      </c>
      <c r="F726" s="20">
        <v>475588.50114365498</v>
      </c>
      <c r="G726" s="10">
        <v>474893.25455494301</v>
      </c>
      <c r="H726" s="21">
        <f t="shared" si="22"/>
        <v>-695.24658871197607</v>
      </c>
      <c r="I726" s="10">
        <v>509923.79465326603</v>
      </c>
      <c r="J726" s="21">
        <f t="shared" si="23"/>
        <v>-832.42780584294815</v>
      </c>
    </row>
    <row r="727" spans="1:10">
      <c r="A727" t="s">
        <v>202</v>
      </c>
      <c r="B727" t="s">
        <v>204</v>
      </c>
      <c r="C727" s="18">
        <v>2050</v>
      </c>
      <c r="D727" t="s">
        <v>177</v>
      </c>
      <c r="E727" s="20">
        <v>881276.34827230196</v>
      </c>
      <c r="F727" s="20">
        <v>554110.06238762604</v>
      </c>
      <c r="G727" s="10">
        <v>571305.13066545594</v>
      </c>
      <c r="H727" s="21">
        <f t="shared" si="22"/>
        <v>17195.068277829909</v>
      </c>
      <c r="I727" s="10">
        <v>881220.21017861494</v>
      </c>
      <c r="J727" s="21">
        <f t="shared" si="23"/>
        <v>-56.13809368701186</v>
      </c>
    </row>
    <row r="728" spans="1:10">
      <c r="A728" t="s">
        <v>202</v>
      </c>
      <c r="B728" t="s">
        <v>204</v>
      </c>
      <c r="C728" s="18">
        <v>2050</v>
      </c>
      <c r="D728" t="s">
        <v>181</v>
      </c>
      <c r="E728" s="20">
        <v>695234.22684406198</v>
      </c>
      <c r="F728" s="20">
        <v>434502.83255711599</v>
      </c>
      <c r="G728" s="10">
        <v>433928.11684243701</v>
      </c>
      <c r="H728" s="21">
        <f t="shared" si="22"/>
        <v>-574.7157146789832</v>
      </c>
      <c r="I728" s="10">
        <v>693833.37581002596</v>
      </c>
      <c r="J728" s="21">
        <f t="shared" si="23"/>
        <v>-1400.8510340360226</v>
      </c>
    </row>
    <row r="729" spans="1:10">
      <c r="A729" t="s">
        <v>202</v>
      </c>
      <c r="B729" t="s">
        <v>204</v>
      </c>
      <c r="C729" s="18">
        <v>2050</v>
      </c>
      <c r="D729" t="s">
        <v>209</v>
      </c>
      <c r="E729" s="20">
        <v>43344.331793746001</v>
      </c>
      <c r="F729" s="20">
        <v>7785.8844776219103</v>
      </c>
      <c r="G729" s="10">
        <v>7785.5925162465101</v>
      </c>
      <c r="H729" s="21">
        <f t="shared" si="22"/>
        <v>-0.29196137540020572</v>
      </c>
      <c r="I729" s="10">
        <v>43337.334071848098</v>
      </c>
      <c r="J729" s="21">
        <f t="shared" si="23"/>
        <v>-6.9977218979038298</v>
      </c>
    </row>
    <row r="730" spans="1:10">
      <c r="A730" t="s">
        <v>205</v>
      </c>
      <c r="B730" t="s">
        <v>207</v>
      </c>
      <c r="C730" s="18">
        <v>2025</v>
      </c>
      <c r="D730" t="s">
        <v>187</v>
      </c>
      <c r="E730" s="20">
        <v>12347.3896757033</v>
      </c>
      <c r="F730" s="20">
        <v>8975.3084972287597</v>
      </c>
      <c r="G730" s="10">
        <v>8975.3084972287597</v>
      </c>
      <c r="H730" s="21">
        <f t="shared" si="22"/>
        <v>0</v>
      </c>
      <c r="I730" s="10">
        <v>12347.3896757033</v>
      </c>
      <c r="J730" s="21">
        <f t="shared" si="23"/>
        <v>0</v>
      </c>
    </row>
    <row r="731" spans="1:10">
      <c r="A731" t="s">
        <v>205</v>
      </c>
      <c r="B731" t="s">
        <v>207</v>
      </c>
      <c r="C731" s="18">
        <v>2025</v>
      </c>
      <c r="D731" t="s">
        <v>227</v>
      </c>
      <c r="E731" s="20">
        <v>1026043.97207164</v>
      </c>
      <c r="F731" s="20">
        <v>129403.02283067199</v>
      </c>
      <c r="G731" s="10">
        <v>129403.02283067199</v>
      </c>
      <c r="H731" s="21">
        <f t="shared" si="22"/>
        <v>0</v>
      </c>
      <c r="I731" s="10">
        <v>1026043.97207164</v>
      </c>
      <c r="J731" s="21">
        <f t="shared" si="23"/>
        <v>0</v>
      </c>
    </row>
    <row r="732" spans="1:10">
      <c r="A732" t="s">
        <v>205</v>
      </c>
      <c r="B732" t="s">
        <v>207</v>
      </c>
      <c r="C732" s="18">
        <v>2025</v>
      </c>
      <c r="D732" t="s">
        <v>163</v>
      </c>
      <c r="E732" s="20">
        <v>91684.509014274605</v>
      </c>
      <c r="F732" s="20">
        <v>63318.751825202096</v>
      </c>
      <c r="G732" s="10">
        <v>63318.751825202096</v>
      </c>
      <c r="H732" s="21">
        <f t="shared" si="22"/>
        <v>0</v>
      </c>
      <c r="I732" s="10">
        <v>91684.509014274605</v>
      </c>
      <c r="J732" s="21">
        <f t="shared" si="23"/>
        <v>0</v>
      </c>
    </row>
    <row r="733" spans="1:10">
      <c r="A733" t="s">
        <v>205</v>
      </c>
      <c r="B733" t="s">
        <v>207</v>
      </c>
      <c r="C733" s="18">
        <v>2025</v>
      </c>
      <c r="D733" t="s">
        <v>173</v>
      </c>
      <c r="E733" s="20">
        <v>327817.99211152899</v>
      </c>
      <c r="F733" s="20">
        <v>300216.82861998002</v>
      </c>
      <c r="G733" s="10">
        <v>300216.82861998002</v>
      </c>
      <c r="H733" s="21">
        <f t="shared" si="22"/>
        <v>0</v>
      </c>
      <c r="I733" s="10">
        <v>327817.99211152899</v>
      </c>
      <c r="J733" s="21">
        <f t="shared" si="23"/>
        <v>0</v>
      </c>
    </row>
    <row r="734" spans="1:10">
      <c r="A734" t="s">
        <v>205</v>
      </c>
      <c r="B734" t="s">
        <v>207</v>
      </c>
      <c r="C734" s="18">
        <v>2025</v>
      </c>
      <c r="D734" t="s">
        <v>177</v>
      </c>
      <c r="E734" s="20">
        <v>563964.12892884796</v>
      </c>
      <c r="F734" s="20">
        <v>321188.16298793198</v>
      </c>
      <c r="G734" s="10">
        <v>321188.16298793198</v>
      </c>
      <c r="H734" s="21">
        <f t="shared" si="22"/>
        <v>0</v>
      </c>
      <c r="I734" s="10">
        <v>563964.12892884796</v>
      </c>
      <c r="J734" s="21">
        <f t="shared" si="23"/>
        <v>0</v>
      </c>
    </row>
    <row r="735" spans="1:10">
      <c r="A735" t="s">
        <v>205</v>
      </c>
      <c r="B735" t="s">
        <v>207</v>
      </c>
      <c r="C735" s="18">
        <v>2025</v>
      </c>
      <c r="D735" t="s">
        <v>181</v>
      </c>
      <c r="E735" s="20">
        <v>396205.91279756802</v>
      </c>
      <c r="F735" s="20">
        <v>191954.71357959701</v>
      </c>
      <c r="G735" s="10">
        <v>191954.71357959701</v>
      </c>
      <c r="H735" s="21">
        <f t="shared" si="22"/>
        <v>0</v>
      </c>
      <c r="I735" s="10">
        <v>396205.91279756802</v>
      </c>
      <c r="J735" s="21">
        <f t="shared" si="23"/>
        <v>0</v>
      </c>
    </row>
    <row r="736" spans="1:10">
      <c r="A736" t="s">
        <v>205</v>
      </c>
      <c r="B736" t="s">
        <v>207</v>
      </c>
      <c r="C736" s="18">
        <v>2025</v>
      </c>
      <c r="D736" t="s">
        <v>209</v>
      </c>
      <c r="E736" s="20">
        <v>44024.855784556101</v>
      </c>
      <c r="F736" s="20">
        <v>6924.39782547097</v>
      </c>
      <c r="G736" s="10">
        <v>6961.0286695127397</v>
      </c>
      <c r="H736" s="21">
        <f t="shared" si="22"/>
        <v>36.630844041769706</v>
      </c>
      <c r="I736" s="10">
        <v>44024.855784556101</v>
      </c>
      <c r="J736" s="21">
        <f t="shared" si="23"/>
        <v>0</v>
      </c>
    </row>
    <row r="737" spans="1:10">
      <c r="A737" t="s">
        <v>205</v>
      </c>
      <c r="B737" t="s">
        <v>207</v>
      </c>
      <c r="C737" s="18">
        <v>2026</v>
      </c>
      <c r="D737" t="s">
        <v>187</v>
      </c>
      <c r="E737" s="20">
        <v>12812.5083465852</v>
      </c>
      <c r="F737" s="20">
        <v>9308.2642091095495</v>
      </c>
      <c r="G737" s="10">
        <v>9308.2642091095495</v>
      </c>
      <c r="H737" s="21">
        <f t="shared" si="22"/>
        <v>0</v>
      </c>
      <c r="I737" s="10">
        <v>12812.507871628</v>
      </c>
      <c r="J737" s="21">
        <f t="shared" si="23"/>
        <v>-4.7495719991275109E-4</v>
      </c>
    </row>
    <row r="738" spans="1:10">
      <c r="A738" t="s">
        <v>205</v>
      </c>
      <c r="B738" t="s">
        <v>207</v>
      </c>
      <c r="C738" s="18">
        <v>2026</v>
      </c>
      <c r="D738" t="s">
        <v>227</v>
      </c>
      <c r="E738" s="20">
        <v>1040956.8389419999</v>
      </c>
      <c r="F738" s="20">
        <v>137191.89613692299</v>
      </c>
      <c r="G738" s="10">
        <v>137191.89613692299</v>
      </c>
      <c r="H738" s="21">
        <f t="shared" si="22"/>
        <v>0</v>
      </c>
      <c r="I738" s="10">
        <v>1040956.74283153</v>
      </c>
      <c r="J738" s="21">
        <f t="shared" si="23"/>
        <v>-9.6110469894483685E-2</v>
      </c>
    </row>
    <row r="739" spans="1:10">
      <c r="A739" t="s">
        <v>205</v>
      </c>
      <c r="B739" t="s">
        <v>207</v>
      </c>
      <c r="C739" s="18">
        <v>2026</v>
      </c>
      <c r="D739" t="s">
        <v>163</v>
      </c>
      <c r="E739" s="20">
        <v>95077.184769751402</v>
      </c>
      <c r="F739" s="20">
        <v>65164.470413401701</v>
      </c>
      <c r="G739" s="10">
        <v>65164.470413401701</v>
      </c>
      <c r="H739" s="21">
        <f t="shared" si="22"/>
        <v>0</v>
      </c>
      <c r="I739" s="10">
        <v>95077.183303526501</v>
      </c>
      <c r="J739" s="21">
        <f t="shared" si="23"/>
        <v>-1.4662249013781548E-3</v>
      </c>
    </row>
    <row r="740" spans="1:10">
      <c r="A740" t="s">
        <v>205</v>
      </c>
      <c r="B740" t="s">
        <v>207</v>
      </c>
      <c r="C740" s="18">
        <v>2026</v>
      </c>
      <c r="D740" t="s">
        <v>173</v>
      </c>
      <c r="E740" s="20">
        <v>336875.43503094203</v>
      </c>
      <c r="F740" s="20">
        <v>308606.943045308</v>
      </c>
      <c r="G740" s="10">
        <v>308606.943045308</v>
      </c>
      <c r="H740" s="21">
        <f t="shared" si="22"/>
        <v>0</v>
      </c>
      <c r="I740" s="10">
        <v>336875.42349560501</v>
      </c>
      <c r="J740" s="21">
        <f t="shared" si="23"/>
        <v>-1.1535337020177394E-2</v>
      </c>
    </row>
    <row r="741" spans="1:10">
      <c r="A741" t="s">
        <v>205</v>
      </c>
      <c r="B741" t="s">
        <v>207</v>
      </c>
      <c r="C741" s="18">
        <v>2026</v>
      </c>
      <c r="D741" t="s">
        <v>177</v>
      </c>
      <c r="E741" s="20">
        <v>580111.56772534002</v>
      </c>
      <c r="F741" s="20">
        <v>332896.18576831103</v>
      </c>
      <c r="G741" s="10">
        <v>332896.18576831103</v>
      </c>
      <c r="H741" s="21">
        <f t="shared" si="22"/>
        <v>0</v>
      </c>
      <c r="I741" s="10">
        <v>580111.54195764905</v>
      </c>
      <c r="J741" s="21">
        <f t="shared" si="23"/>
        <v>-2.5767690967768431E-2</v>
      </c>
    </row>
    <row r="742" spans="1:10">
      <c r="A742" t="s">
        <v>205</v>
      </c>
      <c r="B742" t="s">
        <v>207</v>
      </c>
      <c r="C742" s="18">
        <v>2026</v>
      </c>
      <c r="D742" t="s">
        <v>181</v>
      </c>
      <c r="E742" s="20">
        <v>409829.88151778397</v>
      </c>
      <c r="F742" s="20">
        <v>202008.19978323701</v>
      </c>
      <c r="G742" s="10">
        <v>202008.19978323701</v>
      </c>
      <c r="H742" s="21">
        <f t="shared" si="22"/>
        <v>0</v>
      </c>
      <c r="I742" s="10">
        <v>409829.87281699001</v>
      </c>
      <c r="J742" s="21">
        <f t="shared" si="23"/>
        <v>-8.7007939582690597E-3</v>
      </c>
    </row>
    <row r="743" spans="1:10">
      <c r="A743" t="s">
        <v>205</v>
      </c>
      <c r="B743" t="s">
        <v>207</v>
      </c>
      <c r="C743" s="18">
        <v>2026</v>
      </c>
      <c r="D743" t="s">
        <v>209</v>
      </c>
      <c r="E743" s="20">
        <v>44219.170751765298</v>
      </c>
      <c r="F743" s="20">
        <v>6951.4998532821</v>
      </c>
      <c r="G743" s="10">
        <v>7023.7712687228704</v>
      </c>
      <c r="H743" s="21">
        <f t="shared" si="22"/>
        <v>72.271415440770397</v>
      </c>
      <c r="I743" s="10">
        <v>44219.170751765298</v>
      </c>
      <c r="J743" s="21">
        <f t="shared" si="23"/>
        <v>0</v>
      </c>
    </row>
    <row r="744" spans="1:10">
      <c r="A744" t="s">
        <v>205</v>
      </c>
      <c r="B744" t="s">
        <v>207</v>
      </c>
      <c r="C744" s="18">
        <v>2027</v>
      </c>
      <c r="D744" t="s">
        <v>187</v>
      </c>
      <c r="E744" s="20">
        <v>13273.483201324199</v>
      </c>
      <c r="F744" s="20">
        <v>9640.7153449947691</v>
      </c>
      <c r="G744" s="10">
        <v>9640.7153077701696</v>
      </c>
      <c r="H744" s="21">
        <f t="shared" si="22"/>
        <v>-3.7224599509499967E-5</v>
      </c>
      <c r="I744" s="10">
        <v>13273.481772584</v>
      </c>
      <c r="J744" s="21">
        <f t="shared" si="23"/>
        <v>-1.4287401991168736E-3</v>
      </c>
    </row>
    <row r="745" spans="1:10">
      <c r="A745" t="s">
        <v>205</v>
      </c>
      <c r="B745" t="s">
        <v>207</v>
      </c>
      <c r="C745" s="18">
        <v>2027</v>
      </c>
      <c r="D745" t="s">
        <v>227</v>
      </c>
      <c r="E745" s="20">
        <v>1055255.70297183</v>
      </c>
      <c r="F745" s="20">
        <v>145087.13087735401</v>
      </c>
      <c r="G745" s="10">
        <v>145087.13077641799</v>
      </c>
      <c r="H745" s="21">
        <f t="shared" si="22"/>
        <v>-1.0093601304106414E-4</v>
      </c>
      <c r="I745" s="10">
        <v>1055255.40879996</v>
      </c>
      <c r="J745" s="21">
        <f t="shared" si="23"/>
        <v>-0.2941718699876219</v>
      </c>
    </row>
    <row r="746" spans="1:10">
      <c r="A746" t="s">
        <v>205</v>
      </c>
      <c r="B746" t="s">
        <v>207</v>
      </c>
      <c r="C746" s="18">
        <v>2027</v>
      </c>
      <c r="D746" t="s">
        <v>163</v>
      </c>
      <c r="E746" s="20">
        <v>98448.832449546695</v>
      </c>
      <c r="F746" s="20">
        <v>67068.017081565296</v>
      </c>
      <c r="G746" s="10">
        <v>67068.016908610196</v>
      </c>
      <c r="H746" s="21">
        <f t="shared" si="22"/>
        <v>-1.7295510042458773E-4</v>
      </c>
      <c r="I746" s="10">
        <v>98448.827883966893</v>
      </c>
      <c r="J746" s="21">
        <f t="shared" si="23"/>
        <v>-4.5655798021471128E-3</v>
      </c>
    </row>
    <row r="747" spans="1:10">
      <c r="A747" t="s">
        <v>205</v>
      </c>
      <c r="B747" t="s">
        <v>207</v>
      </c>
      <c r="C747" s="18">
        <v>2027</v>
      </c>
      <c r="D747" t="s">
        <v>173</v>
      </c>
      <c r="E747" s="20">
        <v>345936.74141872599</v>
      </c>
      <c r="F747" s="20">
        <v>317119.55445019598</v>
      </c>
      <c r="G747" s="10">
        <v>317119.55355255498</v>
      </c>
      <c r="H747" s="21">
        <f t="shared" si="22"/>
        <v>-8.9764100266620517E-4</v>
      </c>
      <c r="I747" s="10">
        <v>345936.70671640302</v>
      </c>
      <c r="J747" s="21">
        <f t="shared" si="23"/>
        <v>-3.4702322969678789E-2</v>
      </c>
    </row>
    <row r="748" spans="1:10">
      <c r="A748" t="s">
        <v>205</v>
      </c>
      <c r="B748" t="s">
        <v>207</v>
      </c>
      <c r="C748" s="18">
        <v>2027</v>
      </c>
      <c r="D748" t="s">
        <v>177</v>
      </c>
      <c r="E748" s="20">
        <v>596148.91033678199</v>
      </c>
      <c r="F748" s="20">
        <v>344517.27585312998</v>
      </c>
      <c r="G748" s="10">
        <v>344517.274659827</v>
      </c>
      <c r="H748" s="21">
        <f t="shared" si="22"/>
        <v>-1.1933029745705426E-3</v>
      </c>
      <c r="I748" s="10">
        <v>596148.83233467594</v>
      </c>
      <c r="J748" s="21">
        <f t="shared" si="23"/>
        <v>-7.8002106049098074E-2</v>
      </c>
    </row>
    <row r="749" spans="1:10">
      <c r="A749" t="s">
        <v>205</v>
      </c>
      <c r="B749" t="s">
        <v>207</v>
      </c>
      <c r="C749" s="18">
        <v>2027</v>
      </c>
      <c r="D749" t="s">
        <v>181</v>
      </c>
      <c r="E749" s="20">
        <v>423485.12741154601</v>
      </c>
      <c r="F749" s="20">
        <v>211995.48810420401</v>
      </c>
      <c r="G749" s="10">
        <v>211995.48802417101</v>
      </c>
      <c r="H749" s="21">
        <f t="shared" si="22"/>
        <v>-8.0033001722767949E-5</v>
      </c>
      <c r="I749" s="10">
        <v>423485.10132199898</v>
      </c>
      <c r="J749" s="21">
        <f t="shared" si="23"/>
        <v>-2.6089547027368098E-2</v>
      </c>
    </row>
    <row r="750" spans="1:10">
      <c r="A750" t="s">
        <v>205</v>
      </c>
      <c r="B750" t="s">
        <v>207</v>
      </c>
      <c r="C750" s="18">
        <v>2027</v>
      </c>
      <c r="D750" t="s">
        <v>209</v>
      </c>
      <c r="E750" s="20">
        <v>44384.201840896603</v>
      </c>
      <c r="F750" s="20">
        <v>6972.9981974669699</v>
      </c>
      <c r="G750" s="10">
        <v>7080.0570056816796</v>
      </c>
      <c r="H750" s="21">
        <f t="shared" si="22"/>
        <v>107.05880821470964</v>
      </c>
      <c r="I750" s="10">
        <v>44384.2018393689</v>
      </c>
      <c r="J750" s="21">
        <f t="shared" si="23"/>
        <v>-1.5277037164196372E-6</v>
      </c>
    </row>
    <row r="751" spans="1:10">
      <c r="A751" t="s">
        <v>205</v>
      </c>
      <c r="B751" t="s">
        <v>207</v>
      </c>
      <c r="C751" s="18">
        <v>2028</v>
      </c>
      <c r="D751" t="s">
        <v>187</v>
      </c>
      <c r="E751" s="20">
        <v>13729.5033712476</v>
      </c>
      <c r="F751" s="20">
        <v>9971.4548708951606</v>
      </c>
      <c r="G751" s="10">
        <v>9971.4547216338906</v>
      </c>
      <c r="H751" s="21">
        <f t="shared" si="22"/>
        <v>-1.4926127005310263E-4</v>
      </c>
      <c r="I751" s="10">
        <v>13729.5005000864</v>
      </c>
      <c r="J751" s="21">
        <f t="shared" si="23"/>
        <v>-2.8711611994367559E-3</v>
      </c>
    </row>
    <row r="752" spans="1:10">
      <c r="A752" t="s">
        <v>205</v>
      </c>
      <c r="B752" t="s">
        <v>207</v>
      </c>
      <c r="C752" s="18">
        <v>2028</v>
      </c>
      <c r="D752" t="s">
        <v>227</v>
      </c>
      <c r="E752" s="20">
        <v>1069005.6713670001</v>
      </c>
      <c r="F752" s="20">
        <v>153077.86781281201</v>
      </c>
      <c r="G752" s="10">
        <v>153077.86738724401</v>
      </c>
      <c r="H752" s="21">
        <f t="shared" si="22"/>
        <v>-4.2556799598969519E-4</v>
      </c>
      <c r="I752" s="10">
        <v>1069005.07088018</v>
      </c>
      <c r="J752" s="21">
        <f t="shared" si="23"/>
        <v>-0.60048682009801269</v>
      </c>
    </row>
    <row r="753" spans="1:10">
      <c r="A753" t="s">
        <v>205</v>
      </c>
      <c r="B753" t="s">
        <v>207</v>
      </c>
      <c r="C753" s="18">
        <v>2028</v>
      </c>
      <c r="D753" t="s">
        <v>163</v>
      </c>
      <c r="E753" s="20">
        <v>101797.977111906</v>
      </c>
      <c r="F753" s="20">
        <v>69019.933825773798</v>
      </c>
      <c r="G753" s="10">
        <v>69019.933123164999</v>
      </c>
      <c r="H753" s="21">
        <f t="shared" si="22"/>
        <v>-7.0260879874695092E-4</v>
      </c>
      <c r="I753" s="10">
        <v>101797.96761407</v>
      </c>
      <c r="J753" s="21">
        <f t="shared" si="23"/>
        <v>-9.4978359993547201E-3</v>
      </c>
    </row>
    <row r="754" spans="1:10">
      <c r="A754" t="s">
        <v>205</v>
      </c>
      <c r="B754" t="s">
        <v>207</v>
      </c>
      <c r="C754" s="18">
        <v>2028</v>
      </c>
      <c r="D754" t="s">
        <v>173</v>
      </c>
      <c r="E754" s="20">
        <v>354965.60563801898</v>
      </c>
      <c r="F754" s="20">
        <v>325690.686652139</v>
      </c>
      <c r="G754" s="10">
        <v>325690.68301689299</v>
      </c>
      <c r="H754" s="21">
        <f t="shared" si="22"/>
        <v>-3.6352460156194866E-3</v>
      </c>
      <c r="I754" s="10">
        <v>354965.53581913299</v>
      </c>
      <c r="J754" s="21">
        <f t="shared" si="23"/>
        <v>-6.9818885996937752E-2</v>
      </c>
    </row>
    <row r="755" spans="1:10">
      <c r="A755" t="s">
        <v>205</v>
      </c>
      <c r="B755" t="s">
        <v>207</v>
      </c>
      <c r="C755" s="18">
        <v>2028</v>
      </c>
      <c r="D755" t="s">
        <v>177</v>
      </c>
      <c r="E755" s="20">
        <v>612031.81714319601</v>
      </c>
      <c r="F755" s="20">
        <v>356073.57622994401</v>
      </c>
      <c r="G755" s="10">
        <v>356073.57143805898</v>
      </c>
      <c r="H755" s="21">
        <f t="shared" si="22"/>
        <v>-4.7918850323185325E-3</v>
      </c>
      <c r="I755" s="10">
        <v>612031.65944475099</v>
      </c>
      <c r="J755" s="21">
        <f t="shared" si="23"/>
        <v>-0.15769844502210617</v>
      </c>
    </row>
    <row r="756" spans="1:10">
      <c r="A756" t="s">
        <v>205</v>
      </c>
      <c r="B756" t="s">
        <v>207</v>
      </c>
      <c r="C756" s="18">
        <v>2028</v>
      </c>
      <c r="D756" t="s">
        <v>181</v>
      </c>
      <c r="E756" s="20">
        <v>437159.80745487002</v>
      </c>
      <c r="F756" s="20">
        <v>221908.95888834601</v>
      </c>
      <c r="G756" s="10">
        <v>221908.95856330299</v>
      </c>
      <c r="H756" s="21">
        <f t="shared" si="22"/>
        <v>-3.250430163461715E-4</v>
      </c>
      <c r="I756" s="10">
        <v>437159.75519195799</v>
      </c>
      <c r="J756" s="21">
        <f t="shared" si="23"/>
        <v>-5.2262912038713694E-2</v>
      </c>
    </row>
    <row r="757" spans="1:10">
      <c r="A757" t="s">
        <v>205</v>
      </c>
      <c r="B757" t="s">
        <v>207</v>
      </c>
      <c r="C757" s="18">
        <v>2028</v>
      </c>
      <c r="D757" t="s">
        <v>209</v>
      </c>
      <c r="E757" s="20">
        <v>44510.064969068597</v>
      </c>
      <c r="F757" s="20">
        <v>6990.0248211655899</v>
      </c>
      <c r="G757" s="10">
        <v>7131.0701635649802</v>
      </c>
      <c r="H757" s="21">
        <f t="shared" si="22"/>
        <v>141.04534239939039</v>
      </c>
      <c r="I757" s="10">
        <v>44510.064962992903</v>
      </c>
      <c r="J757" s="21">
        <f t="shared" si="23"/>
        <v>-6.0756938182748854E-6</v>
      </c>
    </row>
    <row r="758" spans="1:10">
      <c r="A758" t="s">
        <v>205</v>
      </c>
      <c r="B758" t="s">
        <v>207</v>
      </c>
      <c r="C758" s="18">
        <v>2029</v>
      </c>
      <c r="D758" t="s">
        <v>187</v>
      </c>
      <c r="E758" s="20">
        <v>14181.428451452301</v>
      </c>
      <c r="F758" s="20">
        <v>10301.2299541541</v>
      </c>
      <c r="G758" s="10">
        <v>10301.2295792609</v>
      </c>
      <c r="H758" s="21">
        <f t="shared" si="22"/>
        <v>-3.7489319947781041E-4</v>
      </c>
      <c r="I758" s="10">
        <v>14181.423637546701</v>
      </c>
      <c r="J758" s="21">
        <f t="shared" si="23"/>
        <v>-4.8139055998035474E-3</v>
      </c>
    </row>
    <row r="759" spans="1:10">
      <c r="A759" t="s">
        <v>205</v>
      </c>
      <c r="B759" t="s">
        <v>207</v>
      </c>
      <c r="C759" s="18">
        <v>2029</v>
      </c>
      <c r="D759" t="s">
        <v>227</v>
      </c>
      <c r="E759" s="20">
        <v>1082253.41584502</v>
      </c>
      <c r="F759" s="20">
        <v>161161.06325707401</v>
      </c>
      <c r="G759" s="10">
        <v>161161.06213209301</v>
      </c>
      <c r="H759" s="21">
        <f t="shared" si="22"/>
        <v>-1.1249810049775988E-3</v>
      </c>
      <c r="I759" s="10">
        <v>1082252.3942307399</v>
      </c>
      <c r="J759" s="21">
        <f t="shared" si="23"/>
        <v>-1.021614280063659</v>
      </c>
    </row>
    <row r="760" spans="1:10">
      <c r="A760" t="s">
        <v>205</v>
      </c>
      <c r="B760" t="s">
        <v>207</v>
      </c>
      <c r="C760" s="18">
        <v>2029</v>
      </c>
      <c r="D760" t="s">
        <v>163</v>
      </c>
      <c r="E760" s="20">
        <v>105114.709826522</v>
      </c>
      <c r="F760" s="20">
        <v>71042.056219684397</v>
      </c>
      <c r="G760" s="10">
        <v>71042.054429439493</v>
      </c>
      <c r="H760" s="21">
        <f t="shared" si="22"/>
        <v>-1.7902449035318568E-3</v>
      </c>
      <c r="I760" s="10">
        <v>105114.693344183</v>
      </c>
      <c r="J760" s="21">
        <f t="shared" si="23"/>
        <v>-1.6482338993228041E-2</v>
      </c>
    </row>
    <row r="761" spans="1:10">
      <c r="A761" t="s">
        <v>205</v>
      </c>
      <c r="B761" t="s">
        <v>207</v>
      </c>
      <c r="C761" s="18">
        <v>2029</v>
      </c>
      <c r="D761" t="s">
        <v>173</v>
      </c>
      <c r="E761" s="20">
        <v>363896.32149213302</v>
      </c>
      <c r="F761" s="20">
        <v>334292.686365609</v>
      </c>
      <c r="G761" s="10">
        <v>334292.677138926</v>
      </c>
      <c r="H761" s="21">
        <f t="shared" si="22"/>
        <v>-9.2266830033622682E-3</v>
      </c>
      <c r="I761" s="10">
        <v>363896.20424716797</v>
      </c>
      <c r="J761" s="21">
        <f t="shared" si="23"/>
        <v>-0.11724496504757553</v>
      </c>
    </row>
    <row r="762" spans="1:10">
      <c r="A762" t="s">
        <v>205</v>
      </c>
      <c r="B762" t="s">
        <v>207</v>
      </c>
      <c r="C762" s="18">
        <v>2029</v>
      </c>
      <c r="D762" t="s">
        <v>177</v>
      </c>
      <c r="E762" s="20">
        <v>627726.60276522895</v>
      </c>
      <c r="F762" s="20">
        <v>367575.234792148</v>
      </c>
      <c r="G762" s="10">
        <v>367575.22274735</v>
      </c>
      <c r="H762" s="21">
        <f t="shared" si="22"/>
        <v>-1.2044798000715673E-2</v>
      </c>
      <c r="I762" s="10">
        <v>627726.33689879405</v>
      </c>
      <c r="J762" s="21">
        <f t="shared" si="23"/>
        <v>-0.2658664349000901</v>
      </c>
    </row>
    <row r="763" spans="1:10">
      <c r="A763" t="s">
        <v>205</v>
      </c>
      <c r="B763" t="s">
        <v>207</v>
      </c>
      <c r="C763" s="18">
        <v>2029</v>
      </c>
      <c r="D763" t="s">
        <v>181</v>
      </c>
      <c r="E763" s="20">
        <v>450786.22136934102</v>
      </c>
      <c r="F763" s="20">
        <v>231708.01970262299</v>
      </c>
      <c r="G763" s="10">
        <v>231708.01887569</v>
      </c>
      <c r="H763" s="21">
        <f t="shared" si="22"/>
        <v>-8.2693298463709652E-4</v>
      </c>
      <c r="I763" s="10">
        <v>450786.13401356898</v>
      </c>
      <c r="J763" s="21">
        <f t="shared" si="23"/>
        <v>-8.7355772033333778E-2</v>
      </c>
    </row>
    <row r="764" spans="1:10">
      <c r="A764" t="s">
        <v>205</v>
      </c>
      <c r="B764" t="s">
        <v>207</v>
      </c>
      <c r="C764" s="18">
        <v>2029</v>
      </c>
      <c r="D764" t="s">
        <v>209</v>
      </c>
      <c r="E764" s="20">
        <v>44600.261458657696</v>
      </c>
      <c r="F764" s="20">
        <v>7004.0200933267097</v>
      </c>
      <c r="G764" s="10">
        <v>7178.2193159725202</v>
      </c>
      <c r="H764" s="21">
        <f t="shared" si="22"/>
        <v>174.19922264581055</v>
      </c>
      <c r="I764" s="10">
        <v>44600.261443595497</v>
      </c>
      <c r="J764" s="21">
        <f t="shared" si="23"/>
        <v>-1.5062199963722378E-5</v>
      </c>
    </row>
    <row r="765" spans="1:10">
      <c r="A765" t="s">
        <v>205</v>
      </c>
      <c r="B765" t="s">
        <v>207</v>
      </c>
      <c r="C765" s="18">
        <v>2030</v>
      </c>
      <c r="D765" t="s">
        <v>187</v>
      </c>
      <c r="E765" s="20">
        <v>14630.9336282574</v>
      </c>
      <c r="F765" s="20">
        <v>10630.2710221828</v>
      </c>
      <c r="G765" s="10">
        <v>10630.2702680602</v>
      </c>
      <c r="H765" s="21">
        <f t="shared" si="22"/>
        <v>-7.5412260048324242E-4</v>
      </c>
      <c r="I765" s="10">
        <v>14630.9263575645</v>
      </c>
      <c r="J765" s="21">
        <f t="shared" si="23"/>
        <v>-7.2706929004198173E-3</v>
      </c>
    </row>
    <row r="766" spans="1:10">
      <c r="A766" t="s">
        <v>205</v>
      </c>
      <c r="B766" t="s">
        <v>207</v>
      </c>
      <c r="C766" s="18">
        <v>2030</v>
      </c>
      <c r="D766" t="s">
        <v>227</v>
      </c>
      <c r="E766" s="20">
        <v>1094958.4078444601</v>
      </c>
      <c r="F766" s="20">
        <v>169314.83642225401</v>
      </c>
      <c r="G766" s="10">
        <v>169314.83403803801</v>
      </c>
      <c r="H766" s="21">
        <f t="shared" si="22"/>
        <v>-2.3842160007916391E-3</v>
      </c>
      <c r="I766" s="10">
        <v>1094956.8444496701</v>
      </c>
      <c r="J766" s="21">
        <f t="shared" si="23"/>
        <v>-1.5633947900496423</v>
      </c>
    </row>
    <row r="767" spans="1:10">
      <c r="A767" t="s">
        <v>205</v>
      </c>
      <c r="B767" t="s">
        <v>207</v>
      </c>
      <c r="C767" s="18">
        <v>2030</v>
      </c>
      <c r="D767" t="s">
        <v>163</v>
      </c>
      <c r="E767" s="20">
        <v>108393.799505376</v>
      </c>
      <c r="F767" s="20">
        <v>73120.804762248794</v>
      </c>
      <c r="G767" s="10">
        <v>73120.8011068864</v>
      </c>
      <c r="H767" s="21">
        <f t="shared" si="22"/>
        <v>-3.6553623940562829E-3</v>
      </c>
      <c r="I767" s="10">
        <v>108393.77376611999</v>
      </c>
      <c r="J767" s="21">
        <f t="shared" si="23"/>
        <v>-2.5739256001543254E-2</v>
      </c>
    </row>
    <row r="768" spans="1:10">
      <c r="A768" t="s">
        <v>205</v>
      </c>
      <c r="B768" t="s">
        <v>207</v>
      </c>
      <c r="C768" s="18">
        <v>2030</v>
      </c>
      <c r="D768" t="s">
        <v>173</v>
      </c>
      <c r="E768" s="20">
        <v>372741.97286183399</v>
      </c>
      <c r="F768" s="20">
        <v>342889.65412330598</v>
      </c>
      <c r="G768" s="10">
        <v>342889.63536639401</v>
      </c>
      <c r="H768" s="21">
        <f t="shared" si="22"/>
        <v>-1.8756911973468959E-2</v>
      </c>
      <c r="I768" s="10">
        <v>372741.79546126397</v>
      </c>
      <c r="J768" s="21">
        <f t="shared" si="23"/>
        <v>-0.17740057001356035</v>
      </c>
    </row>
    <row r="769" spans="1:10">
      <c r="A769" t="s">
        <v>205</v>
      </c>
      <c r="B769" t="s">
        <v>207</v>
      </c>
      <c r="C769" s="18">
        <v>2030</v>
      </c>
      <c r="D769" t="s">
        <v>177</v>
      </c>
      <c r="E769" s="20">
        <v>643154.61479061295</v>
      </c>
      <c r="F769" s="20">
        <v>378940.25551355199</v>
      </c>
      <c r="G769" s="10">
        <v>378940.23126744502</v>
      </c>
      <c r="H769" s="21">
        <f t="shared" si="22"/>
        <v>-2.4246106971986592E-2</v>
      </c>
      <c r="I769" s="10">
        <v>643154.21130562795</v>
      </c>
      <c r="J769" s="21">
        <f t="shared" si="23"/>
        <v>-0.40348498499952257</v>
      </c>
    </row>
    <row r="770" spans="1:10">
      <c r="A770" t="s">
        <v>205</v>
      </c>
      <c r="B770" t="s">
        <v>207</v>
      </c>
      <c r="C770" s="18">
        <v>2030</v>
      </c>
      <c r="D770" t="s">
        <v>181</v>
      </c>
      <c r="E770" s="20">
        <v>464360.649656575</v>
      </c>
      <c r="F770" s="20">
        <v>241310.31158892799</v>
      </c>
      <c r="G770" s="10">
        <v>241310.309903655</v>
      </c>
      <c r="H770" s="21">
        <f t="shared" ref="H770:H833" si="24">G770-F770</f>
        <v>-1.6852729895617813E-3</v>
      </c>
      <c r="I770" s="10">
        <v>464360.51810377202</v>
      </c>
      <c r="J770" s="21">
        <f t="shared" ref="J770:J833" si="25">I770-E770</f>
        <v>-0.13155280298087746</v>
      </c>
    </row>
    <row r="771" spans="1:10">
      <c r="A771" t="s">
        <v>205</v>
      </c>
      <c r="B771" t="s">
        <v>207</v>
      </c>
      <c r="C771" s="18">
        <v>2030</v>
      </c>
      <c r="D771" t="s">
        <v>209</v>
      </c>
      <c r="E771" s="20">
        <v>44647.268945065101</v>
      </c>
      <c r="F771" s="20">
        <v>7016.5195854591502</v>
      </c>
      <c r="G771" s="10">
        <v>7223.1103147423601</v>
      </c>
      <c r="H771" s="21">
        <f t="shared" si="24"/>
        <v>206.59072928320984</v>
      </c>
      <c r="I771" s="10">
        <v>44647.268915282999</v>
      </c>
      <c r="J771" s="21">
        <f t="shared" si="25"/>
        <v>-2.9782102501485497E-5</v>
      </c>
    </row>
    <row r="772" spans="1:10">
      <c r="A772" t="s">
        <v>205</v>
      </c>
      <c r="B772" t="s">
        <v>207</v>
      </c>
      <c r="C772" s="18">
        <v>2031</v>
      </c>
      <c r="D772" t="s">
        <v>187</v>
      </c>
      <c r="E772" s="20">
        <v>15080.3928028748</v>
      </c>
      <c r="F772" s="20">
        <v>10955.426865597499</v>
      </c>
      <c r="G772" s="10">
        <v>10955.4255331558</v>
      </c>
      <c r="H772" s="21">
        <f t="shared" si="24"/>
        <v>-1.3324416995601496E-3</v>
      </c>
      <c r="I772" s="10">
        <v>15080.3825495532</v>
      </c>
      <c r="J772" s="21">
        <f t="shared" si="25"/>
        <v>-1.0253321599520859E-2</v>
      </c>
    </row>
    <row r="773" spans="1:10">
      <c r="A773" t="s">
        <v>205</v>
      </c>
      <c r="B773" t="s">
        <v>207</v>
      </c>
      <c r="C773" s="18">
        <v>2031</v>
      </c>
      <c r="D773" t="s">
        <v>227</v>
      </c>
      <c r="E773" s="20">
        <v>1107029.91988304</v>
      </c>
      <c r="F773" s="20">
        <v>177510.91064495</v>
      </c>
      <c r="G773" s="10">
        <v>177510.90619666901</v>
      </c>
      <c r="H773" s="21">
        <f t="shared" si="24"/>
        <v>-4.4482809898909181E-3</v>
      </c>
      <c r="I773" s="10">
        <v>1107027.6916289399</v>
      </c>
      <c r="J773" s="21">
        <f t="shared" si="25"/>
        <v>-2.2282541000749916</v>
      </c>
    </row>
    <row r="774" spans="1:10">
      <c r="A774" t="s">
        <v>205</v>
      </c>
      <c r="B774" t="s">
        <v>207</v>
      </c>
      <c r="C774" s="18">
        <v>2031</v>
      </c>
      <c r="D774" t="s">
        <v>163</v>
      </c>
      <c r="E774" s="20">
        <v>111632.985000263</v>
      </c>
      <c r="F774" s="20">
        <v>75230.226181343707</v>
      </c>
      <c r="G774" s="10">
        <v>75230.219664338001</v>
      </c>
      <c r="H774" s="21">
        <f t="shared" si="24"/>
        <v>-6.5170057059731334E-3</v>
      </c>
      <c r="I774" s="10">
        <v>111632.94755435199</v>
      </c>
      <c r="J774" s="21">
        <f t="shared" si="25"/>
        <v>-3.7445911002578214E-2</v>
      </c>
    </row>
    <row r="775" spans="1:10">
      <c r="A775" t="s">
        <v>205</v>
      </c>
      <c r="B775" t="s">
        <v>207</v>
      </c>
      <c r="C775" s="18">
        <v>2031</v>
      </c>
      <c r="D775" t="s">
        <v>173</v>
      </c>
      <c r="E775" s="20">
        <v>381470.51838649198</v>
      </c>
      <c r="F775" s="20">
        <v>351432.551906301</v>
      </c>
      <c r="G775" s="10">
        <v>351432.51867295097</v>
      </c>
      <c r="H775" s="21">
        <f t="shared" si="24"/>
        <v>-3.3233350026421249E-2</v>
      </c>
      <c r="I775" s="10">
        <v>381470.26678102103</v>
      </c>
      <c r="J775" s="21">
        <f t="shared" si="25"/>
        <v>-0.25160547095583752</v>
      </c>
    </row>
    <row r="776" spans="1:10">
      <c r="A776" t="s">
        <v>205</v>
      </c>
      <c r="B776" t="s">
        <v>207</v>
      </c>
      <c r="C776" s="18">
        <v>2031</v>
      </c>
      <c r="D776" t="s">
        <v>177</v>
      </c>
      <c r="E776" s="20">
        <v>658282.72087058402</v>
      </c>
      <c r="F776" s="20">
        <v>390181.045900959</v>
      </c>
      <c r="G776" s="10">
        <v>390181.00302030199</v>
      </c>
      <c r="H776" s="21">
        <f t="shared" si="24"/>
        <v>-4.2880657012574375E-2</v>
      </c>
      <c r="I776" s="10">
        <v>658282.14926881401</v>
      </c>
      <c r="J776" s="21">
        <f t="shared" si="25"/>
        <v>-0.57160177000332624</v>
      </c>
    </row>
    <row r="777" spans="1:10">
      <c r="A777" t="s">
        <v>205</v>
      </c>
      <c r="B777" t="s">
        <v>207</v>
      </c>
      <c r="C777" s="18">
        <v>2031</v>
      </c>
      <c r="D777" t="s">
        <v>181</v>
      </c>
      <c r="E777" s="20">
        <v>477778.332021726</v>
      </c>
      <c r="F777" s="20">
        <v>250815.78569782199</v>
      </c>
      <c r="G777" s="10">
        <v>250815.78266259201</v>
      </c>
      <c r="H777" s="21">
        <f t="shared" si="24"/>
        <v>-3.0352299800142646E-3</v>
      </c>
      <c r="I777" s="10">
        <v>477778.14604748198</v>
      </c>
      <c r="J777" s="21">
        <f t="shared" si="25"/>
        <v>-0.18597424402832985</v>
      </c>
    </row>
    <row r="778" spans="1:10">
      <c r="A778" t="s">
        <v>205</v>
      </c>
      <c r="B778" t="s">
        <v>207</v>
      </c>
      <c r="C778" s="18">
        <v>2031</v>
      </c>
      <c r="D778" t="s">
        <v>209</v>
      </c>
      <c r="E778" s="20">
        <v>44640.347346629998</v>
      </c>
      <c r="F778" s="20">
        <v>7028.3721632010402</v>
      </c>
      <c r="G778" s="10">
        <v>7266.7660002075399</v>
      </c>
      <c r="H778" s="21">
        <f t="shared" si="24"/>
        <v>238.39383700649978</v>
      </c>
      <c r="I778" s="10">
        <v>44640.347295477797</v>
      </c>
      <c r="J778" s="21">
        <f t="shared" si="25"/>
        <v>-5.115220119478181E-5</v>
      </c>
    </row>
    <row r="779" spans="1:10">
      <c r="A779" t="s">
        <v>205</v>
      </c>
      <c r="B779" t="s">
        <v>207</v>
      </c>
      <c r="C779" s="18">
        <v>2032</v>
      </c>
      <c r="D779" t="s">
        <v>187</v>
      </c>
      <c r="E779" s="20">
        <v>15531.2739789934</v>
      </c>
      <c r="F779" s="20">
        <v>11274.4976040366</v>
      </c>
      <c r="G779" s="10">
        <v>11274.495449735199</v>
      </c>
      <c r="H779" s="21">
        <f t="shared" si="24"/>
        <v>-2.1543014008784667E-3</v>
      </c>
      <c r="I779" s="10">
        <v>15531.2601955666</v>
      </c>
      <c r="J779" s="21">
        <f t="shared" si="25"/>
        <v>-1.3783426800728193E-2</v>
      </c>
    </row>
    <row r="780" spans="1:10">
      <c r="A780" t="s">
        <v>205</v>
      </c>
      <c r="B780" t="s">
        <v>207</v>
      </c>
      <c r="C780" s="18">
        <v>2032</v>
      </c>
      <c r="D780" t="s">
        <v>227</v>
      </c>
      <c r="E780" s="20">
        <v>1118480.34620948</v>
      </c>
      <c r="F780" s="20">
        <v>185726.00666298499</v>
      </c>
      <c r="G780" s="10">
        <v>185725.99905880101</v>
      </c>
      <c r="H780" s="21">
        <f t="shared" si="24"/>
        <v>-7.6041839784011245E-3</v>
      </c>
      <c r="I780" s="10">
        <v>1118477.3274982399</v>
      </c>
      <c r="J780" s="21">
        <f t="shared" si="25"/>
        <v>-3.0187112400308251</v>
      </c>
    </row>
    <row r="781" spans="1:10">
      <c r="A781" t="s">
        <v>205</v>
      </c>
      <c r="B781" t="s">
        <v>207</v>
      </c>
      <c r="C781" s="18">
        <v>2032</v>
      </c>
      <c r="D781" t="s">
        <v>163</v>
      </c>
      <c r="E781" s="20">
        <v>114835.273612751</v>
      </c>
      <c r="F781" s="20">
        <v>77353.071624503806</v>
      </c>
      <c r="G781" s="10">
        <v>77353.061023932896</v>
      </c>
      <c r="H781" s="21">
        <f t="shared" si="24"/>
        <v>-1.0600570909446105E-2</v>
      </c>
      <c r="I781" s="10">
        <v>114835.221802653</v>
      </c>
      <c r="J781" s="21">
        <f t="shared" si="25"/>
        <v>-5.1810097997076809E-2</v>
      </c>
    </row>
    <row r="782" spans="1:10">
      <c r="A782" t="s">
        <v>205</v>
      </c>
      <c r="B782" t="s">
        <v>207</v>
      </c>
      <c r="C782" s="18">
        <v>2032</v>
      </c>
      <c r="D782" t="s">
        <v>173</v>
      </c>
      <c r="E782" s="20">
        <v>389998.71821267199</v>
      </c>
      <c r="F782" s="20">
        <v>359834.60063304799</v>
      </c>
      <c r="G782" s="10">
        <v>359834.54685286601</v>
      </c>
      <c r="H782" s="21">
        <f t="shared" si="24"/>
        <v>-5.3780181973706931E-2</v>
      </c>
      <c r="I782" s="10">
        <v>389998.37668875401</v>
      </c>
      <c r="J782" s="21">
        <f t="shared" si="25"/>
        <v>-0.34152391797397286</v>
      </c>
    </row>
    <row r="783" spans="1:10">
      <c r="A783" t="s">
        <v>205</v>
      </c>
      <c r="B783" t="s">
        <v>207</v>
      </c>
      <c r="C783" s="18">
        <v>2032</v>
      </c>
      <c r="D783" t="s">
        <v>177</v>
      </c>
      <c r="E783" s="20">
        <v>673134.65994725702</v>
      </c>
      <c r="F783" s="20">
        <v>401318.35572657402</v>
      </c>
      <c r="G783" s="10">
        <v>401318.28619347198</v>
      </c>
      <c r="H783" s="21">
        <f t="shared" si="24"/>
        <v>-6.9533102039713413E-2</v>
      </c>
      <c r="I783" s="10">
        <v>673133.88827326603</v>
      </c>
      <c r="J783" s="21">
        <f t="shared" si="25"/>
        <v>-0.77167399099562317</v>
      </c>
    </row>
    <row r="784" spans="1:10">
      <c r="A784" t="s">
        <v>205</v>
      </c>
      <c r="B784" t="s">
        <v>207</v>
      </c>
      <c r="C784" s="18">
        <v>2032</v>
      </c>
      <c r="D784" t="s">
        <v>181</v>
      </c>
      <c r="E784" s="20">
        <v>490904.95532533701</v>
      </c>
      <c r="F784" s="20">
        <v>260346.94239553</v>
      </c>
      <c r="G784" s="10">
        <v>260346.937343717</v>
      </c>
      <c r="H784" s="21">
        <f t="shared" si="24"/>
        <v>-5.0518130010459572E-3</v>
      </c>
      <c r="I784" s="10">
        <v>490904.70344577997</v>
      </c>
      <c r="J784" s="21">
        <f t="shared" si="25"/>
        <v>-0.2518795570358634</v>
      </c>
    </row>
    <row r="785" spans="1:10">
      <c r="A785" t="s">
        <v>205</v>
      </c>
      <c r="B785" t="s">
        <v>207</v>
      </c>
      <c r="C785" s="18">
        <v>2032</v>
      </c>
      <c r="D785" t="s">
        <v>209</v>
      </c>
      <c r="E785" s="20">
        <v>44583.245581407296</v>
      </c>
      <c r="F785" s="20">
        <v>7038.9025033395501</v>
      </c>
      <c r="G785" s="10">
        <v>7308.6895683399798</v>
      </c>
      <c r="H785" s="21">
        <f t="shared" si="24"/>
        <v>269.78706500042972</v>
      </c>
      <c r="I785" s="10">
        <v>44583.245501595899</v>
      </c>
      <c r="J785" s="21">
        <f t="shared" si="25"/>
        <v>-7.9811397881712765E-5</v>
      </c>
    </row>
    <row r="786" spans="1:10">
      <c r="A786" t="s">
        <v>205</v>
      </c>
      <c r="B786" t="s">
        <v>207</v>
      </c>
      <c r="C786" s="18">
        <v>2033</v>
      </c>
      <c r="D786" t="s">
        <v>187</v>
      </c>
      <c r="E786" s="20">
        <v>15983.735421544799</v>
      </c>
      <c r="F786" s="20">
        <v>11586.936835227099</v>
      </c>
      <c r="G786" s="10">
        <v>11586.9335708044</v>
      </c>
      <c r="H786" s="21">
        <f t="shared" si="24"/>
        <v>-3.2644226994307246E-3</v>
      </c>
      <c r="I786" s="10">
        <v>15983.7175379286</v>
      </c>
      <c r="J786" s="21">
        <f t="shared" si="25"/>
        <v>-1.7883616199469543E-2</v>
      </c>
    </row>
    <row r="787" spans="1:10">
      <c r="A787" t="s">
        <v>205</v>
      </c>
      <c r="B787" t="s">
        <v>207</v>
      </c>
      <c r="C787" s="18">
        <v>2033</v>
      </c>
      <c r="D787" t="s">
        <v>227</v>
      </c>
      <c r="E787" s="20">
        <v>1129237.4173159001</v>
      </c>
      <c r="F787" s="20">
        <v>193953.23641052301</v>
      </c>
      <c r="G787" s="10">
        <v>193953.224223645</v>
      </c>
      <c r="H787" s="21">
        <f t="shared" si="24"/>
        <v>-1.218687801156193E-2</v>
      </c>
      <c r="I787" s="10">
        <v>1129233.47845058</v>
      </c>
      <c r="J787" s="21">
        <f t="shared" si="25"/>
        <v>-3.9388653200585395</v>
      </c>
    </row>
    <row r="788" spans="1:10">
      <c r="A788" t="s">
        <v>205</v>
      </c>
      <c r="B788" t="s">
        <v>207</v>
      </c>
      <c r="C788" s="18">
        <v>2033</v>
      </c>
      <c r="D788" t="s">
        <v>163</v>
      </c>
      <c r="E788" s="20">
        <v>117998.80752858199</v>
      </c>
      <c r="F788" s="20">
        <v>79480.492306491098</v>
      </c>
      <c r="G788" s="10">
        <v>79480.4761690429</v>
      </c>
      <c r="H788" s="21">
        <f t="shared" si="24"/>
        <v>-1.6137448197696358E-2</v>
      </c>
      <c r="I788" s="10">
        <v>117998.73843744201</v>
      </c>
      <c r="J788" s="21">
        <f t="shared" si="25"/>
        <v>-6.9091139986994676E-2</v>
      </c>
    </row>
    <row r="789" spans="1:10">
      <c r="A789" t="s">
        <v>205</v>
      </c>
      <c r="B789" t="s">
        <v>207</v>
      </c>
      <c r="C789" s="18">
        <v>2033</v>
      </c>
      <c r="D789" t="s">
        <v>173</v>
      </c>
      <c r="E789" s="20">
        <v>398354.79391239601</v>
      </c>
      <c r="F789" s="20">
        <v>368051.706262564</v>
      </c>
      <c r="G789" s="10">
        <v>368051.62457544298</v>
      </c>
      <c r="H789" s="21">
        <f t="shared" si="24"/>
        <v>-8.1687121011782438E-2</v>
      </c>
      <c r="I789" s="10">
        <v>398354.344992358</v>
      </c>
      <c r="J789" s="21">
        <f t="shared" si="25"/>
        <v>-0.44892003800487146</v>
      </c>
    </row>
    <row r="790" spans="1:10">
      <c r="A790" t="s">
        <v>205</v>
      </c>
      <c r="B790" t="s">
        <v>207</v>
      </c>
      <c r="C790" s="18">
        <v>2033</v>
      </c>
      <c r="D790" t="s">
        <v>177</v>
      </c>
      <c r="E790" s="20">
        <v>687635.70504952304</v>
      </c>
      <c r="F790" s="20">
        <v>412348.18160310201</v>
      </c>
      <c r="G790" s="10">
        <v>412348.075678578</v>
      </c>
      <c r="H790" s="21">
        <f t="shared" si="24"/>
        <v>-0.10592452401760966</v>
      </c>
      <c r="I790" s="10">
        <v>687634.69954692596</v>
      </c>
      <c r="J790" s="21">
        <f t="shared" si="25"/>
        <v>-1.0055025970796123</v>
      </c>
    </row>
    <row r="791" spans="1:10">
      <c r="A791" t="s">
        <v>205</v>
      </c>
      <c r="B791" t="s">
        <v>207</v>
      </c>
      <c r="C791" s="18">
        <v>2033</v>
      </c>
      <c r="D791" t="s">
        <v>181</v>
      </c>
      <c r="E791" s="20">
        <v>503751.44007958699</v>
      </c>
      <c r="F791" s="20">
        <v>269883.41555262503</v>
      </c>
      <c r="G791" s="10">
        <v>269883.407599987</v>
      </c>
      <c r="H791" s="21">
        <f t="shared" si="24"/>
        <v>-7.9526380286552012E-3</v>
      </c>
      <c r="I791" s="10">
        <v>503751.109420694</v>
      </c>
      <c r="J791" s="21">
        <f t="shared" si="25"/>
        <v>-0.33065889298450202</v>
      </c>
    </row>
    <row r="792" spans="1:10">
      <c r="A792" t="s">
        <v>205</v>
      </c>
      <c r="B792" t="s">
        <v>207</v>
      </c>
      <c r="C792" s="18">
        <v>2033</v>
      </c>
      <c r="D792" t="s">
        <v>209</v>
      </c>
      <c r="E792" s="20">
        <v>44483.683705973803</v>
      </c>
      <c r="F792" s="20">
        <v>7047.2473892191101</v>
      </c>
      <c r="G792" s="10">
        <v>7348.0741473220596</v>
      </c>
      <c r="H792" s="21">
        <f t="shared" si="24"/>
        <v>300.8267581029495</v>
      </c>
      <c r="I792" s="10">
        <v>44483.683589841297</v>
      </c>
      <c r="J792" s="21">
        <f t="shared" si="25"/>
        <v>-1.161325053544715E-4</v>
      </c>
    </row>
    <row r="793" spans="1:10">
      <c r="A793" t="s">
        <v>205</v>
      </c>
      <c r="B793" t="s">
        <v>207</v>
      </c>
      <c r="C793" s="18">
        <v>2034</v>
      </c>
      <c r="D793" t="s">
        <v>187</v>
      </c>
      <c r="E793" s="20">
        <v>16436.953858813798</v>
      </c>
      <c r="F793" s="20">
        <v>11896.387028024799</v>
      </c>
      <c r="G793" s="10">
        <v>11896.382318738601</v>
      </c>
      <c r="H793" s="21">
        <f t="shared" si="24"/>
        <v>-4.7092861987039214E-3</v>
      </c>
      <c r="I793" s="10">
        <v>16436.9312806497</v>
      </c>
      <c r="J793" s="21">
        <f t="shared" si="25"/>
        <v>-2.2578164098376874E-2</v>
      </c>
    </row>
    <row r="794" spans="1:10">
      <c r="A794" t="s">
        <v>205</v>
      </c>
      <c r="B794" t="s">
        <v>207</v>
      </c>
      <c r="C794" s="18">
        <v>2034</v>
      </c>
      <c r="D794" t="s">
        <v>227</v>
      </c>
      <c r="E794" s="20">
        <v>1139362.0143627301</v>
      </c>
      <c r="F794" s="20">
        <v>202147.289037385</v>
      </c>
      <c r="G794" s="10">
        <v>202147.27044605001</v>
      </c>
      <c r="H794" s="21">
        <f t="shared" si="24"/>
        <v>-1.8591334985103458E-2</v>
      </c>
      <c r="I794" s="10">
        <v>1139357.0195160699</v>
      </c>
      <c r="J794" s="21">
        <f t="shared" si="25"/>
        <v>-4.9948466601781547</v>
      </c>
    </row>
    <row r="795" spans="1:10">
      <c r="A795" t="s">
        <v>205</v>
      </c>
      <c r="B795" t="s">
        <v>207</v>
      </c>
      <c r="C795" s="18">
        <v>2034</v>
      </c>
      <c r="D795" t="s">
        <v>163</v>
      </c>
      <c r="E795" s="20">
        <v>121105.56142699</v>
      </c>
      <c r="F795" s="20">
        <v>81594.971608904598</v>
      </c>
      <c r="G795" s="10">
        <v>81594.948233921197</v>
      </c>
      <c r="H795" s="21">
        <f t="shared" si="24"/>
        <v>-2.3374983400572091E-2</v>
      </c>
      <c r="I795" s="10">
        <v>121105.471839437</v>
      </c>
      <c r="J795" s="21">
        <f t="shared" si="25"/>
        <v>-8.9587552996817976E-2</v>
      </c>
    </row>
    <row r="796" spans="1:10">
      <c r="A796" t="s">
        <v>205</v>
      </c>
      <c r="B796" t="s">
        <v>207</v>
      </c>
      <c r="C796" s="18">
        <v>2034</v>
      </c>
      <c r="D796" t="s">
        <v>173</v>
      </c>
      <c r="E796" s="20">
        <v>406560.44281357701</v>
      </c>
      <c r="F796" s="20">
        <v>376028.25064191601</v>
      </c>
      <c r="G796" s="10">
        <v>376028.13227833499</v>
      </c>
      <c r="H796" s="21">
        <f t="shared" si="24"/>
        <v>-0.11836358101572841</v>
      </c>
      <c r="I796" s="10">
        <v>406559.86735378799</v>
      </c>
      <c r="J796" s="21">
        <f t="shared" si="25"/>
        <v>-0.57545978901907802</v>
      </c>
    </row>
    <row r="797" spans="1:10">
      <c r="A797" t="s">
        <v>205</v>
      </c>
      <c r="B797" t="s">
        <v>207</v>
      </c>
      <c r="C797" s="18">
        <v>2034</v>
      </c>
      <c r="D797" t="s">
        <v>177</v>
      </c>
      <c r="E797" s="20">
        <v>701692.95199937595</v>
      </c>
      <c r="F797" s="20">
        <v>423259.25438408402</v>
      </c>
      <c r="G797" s="10">
        <v>423259.10059080599</v>
      </c>
      <c r="H797" s="21">
        <f t="shared" si="24"/>
        <v>-0.15379327803384513</v>
      </c>
      <c r="I797" s="10">
        <v>701691.67735876795</v>
      </c>
      <c r="J797" s="21">
        <f t="shared" si="25"/>
        <v>-1.2746406079968438</v>
      </c>
    </row>
    <row r="798" spans="1:10">
      <c r="A798" t="s">
        <v>205</v>
      </c>
      <c r="B798" t="s">
        <v>207</v>
      </c>
      <c r="C798" s="18">
        <v>2034</v>
      </c>
      <c r="D798" t="s">
        <v>181</v>
      </c>
      <c r="E798" s="20">
        <v>516406.96238837199</v>
      </c>
      <c r="F798" s="20">
        <v>279484.99228402402</v>
      </c>
      <c r="G798" s="10">
        <v>279484.98028522899</v>
      </c>
      <c r="H798" s="21">
        <f t="shared" si="24"/>
        <v>-1.1998795031104237E-2</v>
      </c>
      <c r="I798" s="10">
        <v>516406.53850878001</v>
      </c>
      <c r="J798" s="21">
        <f t="shared" si="25"/>
        <v>-0.42387959198094904</v>
      </c>
    </row>
    <row r="799" spans="1:10">
      <c r="A799" t="s">
        <v>205</v>
      </c>
      <c r="B799" t="s">
        <v>207</v>
      </c>
      <c r="C799" s="18">
        <v>2034</v>
      </c>
      <c r="D799" t="s">
        <v>209</v>
      </c>
      <c r="E799" s="20">
        <v>44355.1846103977</v>
      </c>
      <c r="F799" s="20">
        <v>7053.5167415671804</v>
      </c>
      <c r="G799" s="10">
        <v>7385.0409467521704</v>
      </c>
      <c r="H799" s="21">
        <f t="shared" si="24"/>
        <v>331.52420518499002</v>
      </c>
      <c r="I799" s="10">
        <v>44355.184450178996</v>
      </c>
      <c r="J799" s="21">
        <f t="shared" si="25"/>
        <v>-1.6021870396798477E-4</v>
      </c>
    </row>
    <row r="800" spans="1:10">
      <c r="A800" t="s">
        <v>205</v>
      </c>
      <c r="B800" t="s">
        <v>207</v>
      </c>
      <c r="C800" s="18">
        <v>2035</v>
      </c>
      <c r="D800" t="s">
        <v>187</v>
      </c>
      <c r="E800" s="20">
        <v>16892.2420294599</v>
      </c>
      <c r="F800" s="20">
        <v>12203.0642543874</v>
      </c>
      <c r="G800" s="10">
        <v>12203.057717863399</v>
      </c>
      <c r="H800" s="21">
        <f t="shared" si="24"/>
        <v>-6.5365240006940439E-3</v>
      </c>
      <c r="I800" s="10">
        <v>16892.2141390053</v>
      </c>
      <c r="J800" s="21">
        <f t="shared" si="25"/>
        <v>-2.7890454599400982E-2</v>
      </c>
    </row>
    <row r="801" spans="1:10">
      <c r="A801" t="s">
        <v>205</v>
      </c>
      <c r="B801" t="s">
        <v>207</v>
      </c>
      <c r="C801" s="18">
        <v>2035</v>
      </c>
      <c r="D801" t="s">
        <v>227</v>
      </c>
      <c r="E801" s="20">
        <v>1148978.35949783</v>
      </c>
      <c r="F801" s="20">
        <v>210291.00780813399</v>
      </c>
      <c r="G801" s="10">
        <v>210290.98052792501</v>
      </c>
      <c r="H801" s="21">
        <f t="shared" si="24"/>
        <v>-2.7280208974843845E-2</v>
      </c>
      <c r="I801" s="10">
        <v>1148972.16574985</v>
      </c>
      <c r="J801" s="21">
        <f t="shared" si="25"/>
        <v>-6.1937479800544679</v>
      </c>
    </row>
    <row r="802" spans="1:10">
      <c r="A802" t="s">
        <v>205</v>
      </c>
      <c r="B802" t="s">
        <v>207</v>
      </c>
      <c r="C802" s="18">
        <v>2035</v>
      </c>
      <c r="D802" t="s">
        <v>163</v>
      </c>
      <c r="E802" s="20">
        <v>124148.320830233</v>
      </c>
      <c r="F802" s="20">
        <v>83695.150458907301</v>
      </c>
      <c r="G802" s="10">
        <v>83695.117872879797</v>
      </c>
      <c r="H802" s="21">
        <f t="shared" si="24"/>
        <v>-3.2586027504294179E-2</v>
      </c>
      <c r="I802" s="10">
        <v>124148.20719584401</v>
      </c>
      <c r="J802" s="21">
        <f t="shared" si="25"/>
        <v>-0.1136343889957061</v>
      </c>
    </row>
    <row r="803" spans="1:10">
      <c r="A803" t="s">
        <v>205</v>
      </c>
      <c r="B803" t="s">
        <v>207</v>
      </c>
      <c r="C803" s="18">
        <v>2035</v>
      </c>
      <c r="D803" t="s">
        <v>173</v>
      </c>
      <c r="E803" s="20">
        <v>414533.88310314401</v>
      </c>
      <c r="F803" s="20">
        <v>383788.92788629298</v>
      </c>
      <c r="G803" s="10">
        <v>383788.76252667198</v>
      </c>
      <c r="H803" s="21">
        <f t="shared" si="24"/>
        <v>-0.16535962099442258</v>
      </c>
      <c r="I803" s="10">
        <v>414533.16060314502</v>
      </c>
      <c r="J803" s="21">
        <f t="shared" si="25"/>
        <v>-0.72249999898485839</v>
      </c>
    </row>
    <row r="804" spans="1:10">
      <c r="A804" t="s">
        <v>205</v>
      </c>
      <c r="B804" t="s">
        <v>207</v>
      </c>
      <c r="C804" s="18">
        <v>2035</v>
      </c>
      <c r="D804" t="s">
        <v>177</v>
      </c>
      <c r="E804" s="20">
        <v>715333.36907444405</v>
      </c>
      <c r="F804" s="20">
        <v>434082.24647494801</v>
      </c>
      <c r="G804" s="10">
        <v>434082.03155119502</v>
      </c>
      <c r="H804" s="21">
        <f t="shared" si="24"/>
        <v>-0.21492375299567357</v>
      </c>
      <c r="I804" s="10">
        <v>715331.78882210201</v>
      </c>
      <c r="J804" s="21">
        <f t="shared" si="25"/>
        <v>-1.5802523420425132</v>
      </c>
    </row>
    <row r="805" spans="1:10">
      <c r="A805" t="s">
        <v>205</v>
      </c>
      <c r="B805" t="s">
        <v>207</v>
      </c>
      <c r="C805" s="18">
        <v>2035</v>
      </c>
      <c r="D805" t="s">
        <v>181</v>
      </c>
      <c r="E805" s="20">
        <v>528818.90486555197</v>
      </c>
      <c r="F805" s="20">
        <v>289150.819933536</v>
      </c>
      <c r="G805" s="10">
        <v>289150.80243598297</v>
      </c>
      <c r="H805" s="21">
        <f t="shared" si="24"/>
        <v>-1.7497553024441004E-2</v>
      </c>
      <c r="I805" s="10">
        <v>528818.37188395299</v>
      </c>
      <c r="J805" s="21">
        <f t="shared" si="25"/>
        <v>-0.53298159898258746</v>
      </c>
    </row>
    <row r="806" spans="1:10">
      <c r="A806" t="s">
        <v>205</v>
      </c>
      <c r="B806" t="s">
        <v>207</v>
      </c>
      <c r="C806" s="18">
        <v>2035</v>
      </c>
      <c r="D806" t="s">
        <v>209</v>
      </c>
      <c r="E806" s="20">
        <v>44206.707518703101</v>
      </c>
      <c r="F806" s="20">
        <v>7058.2394977527601</v>
      </c>
      <c r="G806" s="10">
        <v>7419.9788551932097</v>
      </c>
      <c r="H806" s="21">
        <f t="shared" si="24"/>
        <v>361.73935744044957</v>
      </c>
      <c r="I806" s="10">
        <v>44206.707306712102</v>
      </c>
      <c r="J806" s="21">
        <f t="shared" si="25"/>
        <v>-2.1199099865043536E-4</v>
      </c>
    </row>
    <row r="807" spans="1:10">
      <c r="A807" t="s">
        <v>205</v>
      </c>
      <c r="B807" t="s">
        <v>207</v>
      </c>
      <c r="C807" s="18">
        <v>2036</v>
      </c>
      <c r="D807" t="s">
        <v>187</v>
      </c>
      <c r="E807" s="20">
        <v>17350.688471634901</v>
      </c>
      <c r="F807" s="20">
        <v>12506.9108827326</v>
      </c>
      <c r="G807" s="10">
        <v>12506.9021026876</v>
      </c>
      <c r="H807" s="21">
        <f t="shared" si="24"/>
        <v>-8.7800450000941055E-3</v>
      </c>
      <c r="I807" s="10">
        <v>17350.6546269342</v>
      </c>
      <c r="J807" s="21">
        <f t="shared" si="25"/>
        <v>-3.3844700701592956E-2</v>
      </c>
    </row>
    <row r="808" spans="1:10">
      <c r="A808" t="s">
        <v>205</v>
      </c>
      <c r="B808" t="s">
        <v>207</v>
      </c>
      <c r="C808" s="18">
        <v>2036</v>
      </c>
      <c r="D808" t="s">
        <v>227</v>
      </c>
      <c r="E808" s="20">
        <v>1158273.6781097699</v>
      </c>
      <c r="F808" s="20">
        <v>218370.726218097</v>
      </c>
      <c r="G808" s="10">
        <v>218370.687575925</v>
      </c>
      <c r="H808" s="21">
        <f t="shared" si="24"/>
        <v>-3.8642172003164887E-2</v>
      </c>
      <c r="I808" s="10">
        <v>1158266.1377582899</v>
      </c>
      <c r="J808" s="21">
        <f t="shared" si="25"/>
        <v>-7.5403514800127596</v>
      </c>
    </row>
    <row r="809" spans="1:10">
      <c r="A809" t="s">
        <v>205</v>
      </c>
      <c r="B809" t="s">
        <v>207</v>
      </c>
      <c r="C809" s="18">
        <v>2036</v>
      </c>
      <c r="D809" t="s">
        <v>163</v>
      </c>
      <c r="E809" s="20">
        <v>127138.592691164</v>
      </c>
      <c r="F809" s="20">
        <v>85765.608827188698</v>
      </c>
      <c r="G809" s="10">
        <v>85765.564735317093</v>
      </c>
      <c r="H809" s="21">
        <f t="shared" si="24"/>
        <v>-4.4091871604905464E-2</v>
      </c>
      <c r="I809" s="10">
        <v>127138.451085333</v>
      </c>
      <c r="J809" s="21">
        <f t="shared" si="25"/>
        <v>-0.14160583099874202</v>
      </c>
    </row>
    <row r="810" spans="1:10">
      <c r="A810" t="s">
        <v>205</v>
      </c>
      <c r="B810" t="s">
        <v>207</v>
      </c>
      <c r="C810" s="18">
        <v>2036</v>
      </c>
      <c r="D810" t="s">
        <v>173</v>
      </c>
      <c r="E810" s="20">
        <v>422233.551823724</v>
      </c>
      <c r="F810" s="20">
        <v>391286.18054648</v>
      </c>
      <c r="G810" s="10">
        <v>391285.95573958702</v>
      </c>
      <c r="H810" s="21">
        <f t="shared" si="24"/>
        <v>-0.22480689297663048</v>
      </c>
      <c r="I810" s="10">
        <v>422232.65992213303</v>
      </c>
      <c r="J810" s="21">
        <f t="shared" si="25"/>
        <v>-0.89190159097779542</v>
      </c>
    </row>
    <row r="811" spans="1:10">
      <c r="A811" t="s">
        <v>205</v>
      </c>
      <c r="B811" t="s">
        <v>207</v>
      </c>
      <c r="C811" s="18">
        <v>2036</v>
      </c>
      <c r="D811" t="s">
        <v>177</v>
      </c>
      <c r="E811" s="20">
        <v>728533.53324803896</v>
      </c>
      <c r="F811" s="20">
        <v>444748.19825757499</v>
      </c>
      <c r="G811" s="10">
        <v>444747.90756616899</v>
      </c>
      <c r="H811" s="21">
        <f t="shared" si="24"/>
        <v>-0.29069140600040555</v>
      </c>
      <c r="I811" s="10">
        <v>728531.610160843</v>
      </c>
      <c r="J811" s="21">
        <f t="shared" si="25"/>
        <v>-1.9230871959589422</v>
      </c>
    </row>
    <row r="812" spans="1:10">
      <c r="A812" t="s">
        <v>205</v>
      </c>
      <c r="B812" t="s">
        <v>207</v>
      </c>
      <c r="C812" s="18">
        <v>2036</v>
      </c>
      <c r="D812" t="s">
        <v>181</v>
      </c>
      <c r="E812" s="20">
        <v>541052.93937767495</v>
      </c>
      <c r="F812" s="20">
        <v>298879.636008862</v>
      </c>
      <c r="G812" s="10">
        <v>298879.61130973301</v>
      </c>
      <c r="H812" s="21">
        <f t="shared" si="24"/>
        <v>-2.469912898959592E-2</v>
      </c>
      <c r="I812" s="10">
        <v>541052.28077363002</v>
      </c>
      <c r="J812" s="21">
        <f t="shared" si="25"/>
        <v>-0.65860404493287206</v>
      </c>
    </row>
    <row r="813" spans="1:10">
      <c r="A813" t="s">
        <v>205</v>
      </c>
      <c r="B813" t="s">
        <v>207</v>
      </c>
      <c r="C813" s="18">
        <v>2036</v>
      </c>
      <c r="D813" t="s">
        <v>209</v>
      </c>
      <c r="E813" s="20">
        <v>44049.998649838897</v>
      </c>
      <c r="F813" s="20">
        <v>7061.90931651759</v>
      </c>
      <c r="G813" s="10">
        <v>7453.3351271514002</v>
      </c>
      <c r="H813" s="21">
        <f t="shared" si="24"/>
        <v>391.42581063381022</v>
      </c>
      <c r="I813" s="10">
        <v>44049.998378272197</v>
      </c>
      <c r="J813" s="21">
        <f t="shared" si="25"/>
        <v>-2.7156669966643676E-4</v>
      </c>
    </row>
    <row r="814" spans="1:10">
      <c r="A814" t="s">
        <v>205</v>
      </c>
      <c r="B814" t="s">
        <v>207</v>
      </c>
      <c r="C814" s="18">
        <v>2037</v>
      </c>
      <c r="D814" t="s">
        <v>187</v>
      </c>
      <c r="E814" s="20">
        <v>17812.5439961788</v>
      </c>
      <c r="F814" s="20">
        <v>12807.512739445499</v>
      </c>
      <c r="G814" s="10">
        <v>12807.501268399201</v>
      </c>
      <c r="H814" s="21">
        <f t="shared" si="24"/>
        <v>-1.1471046298538567E-2</v>
      </c>
      <c r="I814" s="10">
        <v>17812.5035281772</v>
      </c>
      <c r="J814" s="21">
        <f t="shared" si="25"/>
        <v>-4.0468001599947456E-2</v>
      </c>
    </row>
    <row r="815" spans="1:10">
      <c r="A815" t="s">
        <v>205</v>
      </c>
      <c r="B815" t="s">
        <v>207</v>
      </c>
      <c r="C815" s="18">
        <v>2037</v>
      </c>
      <c r="D815" t="s">
        <v>227</v>
      </c>
      <c r="E815" s="20">
        <v>1167373.7006604399</v>
      </c>
      <c r="F815" s="20">
        <v>226373.418742982</v>
      </c>
      <c r="G815" s="10">
        <v>226373.365626062</v>
      </c>
      <c r="H815" s="21">
        <f t="shared" si="24"/>
        <v>-5.3116919996682554E-2</v>
      </c>
      <c r="I815" s="10">
        <v>1167364.6654137501</v>
      </c>
      <c r="J815" s="21">
        <f t="shared" si="25"/>
        <v>-9.0352466898038983</v>
      </c>
    </row>
    <row r="816" spans="1:10">
      <c r="A816" t="s">
        <v>205</v>
      </c>
      <c r="B816" t="s">
        <v>207</v>
      </c>
      <c r="C816" s="18">
        <v>2037</v>
      </c>
      <c r="D816" t="s">
        <v>163</v>
      </c>
      <c r="E816" s="20">
        <v>130092.286754542</v>
      </c>
      <c r="F816" s="20">
        <v>87785.932126840402</v>
      </c>
      <c r="G816" s="10">
        <v>87785.873914228694</v>
      </c>
      <c r="H816" s="21">
        <f t="shared" si="24"/>
        <v>-5.8212611707858741E-2</v>
      </c>
      <c r="I816" s="10">
        <v>130092.112965313</v>
      </c>
      <c r="J816" s="21">
        <f t="shared" si="25"/>
        <v>-0.1737892289966112</v>
      </c>
    </row>
    <row r="817" spans="1:10">
      <c r="A817" t="s">
        <v>205</v>
      </c>
      <c r="B817" t="s">
        <v>207</v>
      </c>
      <c r="C817" s="18">
        <v>2037</v>
      </c>
      <c r="D817" t="s">
        <v>173</v>
      </c>
      <c r="E817" s="20">
        <v>429675.76545966498</v>
      </c>
      <c r="F817" s="20">
        <v>398474.11246793403</v>
      </c>
      <c r="G817" s="10">
        <v>398473.81338660797</v>
      </c>
      <c r="H817" s="21">
        <f t="shared" si="24"/>
        <v>-0.29908132605487481</v>
      </c>
      <c r="I817" s="10">
        <v>429674.679324948</v>
      </c>
      <c r="J817" s="21">
        <f t="shared" si="25"/>
        <v>-1.0861347169848159</v>
      </c>
    </row>
    <row r="818" spans="1:10">
      <c r="A818" t="s">
        <v>205</v>
      </c>
      <c r="B818" t="s">
        <v>207</v>
      </c>
      <c r="C818" s="18">
        <v>2037</v>
      </c>
      <c r="D818" t="s">
        <v>177</v>
      </c>
      <c r="E818" s="20">
        <v>741263.73227612802</v>
      </c>
      <c r="F818" s="20">
        <v>455168.56701620697</v>
      </c>
      <c r="G818" s="10">
        <v>455168.18452875799</v>
      </c>
      <c r="H818" s="21">
        <f t="shared" si="24"/>
        <v>-0.38248744898010045</v>
      </c>
      <c r="I818" s="10">
        <v>741261.42723499297</v>
      </c>
      <c r="J818" s="21">
        <f t="shared" si="25"/>
        <v>-2.3050411350559443</v>
      </c>
    </row>
    <row r="819" spans="1:10">
      <c r="A819" t="s">
        <v>205</v>
      </c>
      <c r="B819" t="s">
        <v>207</v>
      </c>
      <c r="C819" s="18">
        <v>2037</v>
      </c>
      <c r="D819" t="s">
        <v>181</v>
      </c>
      <c r="E819" s="20">
        <v>553259.31962082302</v>
      </c>
      <c r="F819" s="20">
        <v>308666.07743486401</v>
      </c>
      <c r="G819" s="10">
        <v>308666.04356230202</v>
      </c>
      <c r="H819" s="21">
        <f t="shared" si="24"/>
        <v>-3.3872561994940042E-2</v>
      </c>
      <c r="I819" s="10">
        <v>553258.51776135701</v>
      </c>
      <c r="J819" s="21">
        <f t="shared" si="25"/>
        <v>-0.80185946600977331</v>
      </c>
    </row>
    <row r="820" spans="1:10">
      <c r="A820" t="s">
        <v>205</v>
      </c>
      <c r="B820" t="s">
        <v>207</v>
      </c>
      <c r="C820" s="18">
        <v>2037</v>
      </c>
      <c r="D820" t="s">
        <v>209</v>
      </c>
      <c r="E820" s="20">
        <v>43886.496978649702</v>
      </c>
      <c r="F820" s="20">
        <v>7064.7404043597098</v>
      </c>
      <c r="G820" s="10">
        <v>7485.6394586101196</v>
      </c>
      <c r="H820" s="21">
        <f t="shared" si="24"/>
        <v>420.89905425040979</v>
      </c>
      <c r="I820" s="10">
        <v>43886.496639761303</v>
      </c>
      <c r="J820" s="21">
        <f t="shared" si="25"/>
        <v>-3.3888839971041307E-4</v>
      </c>
    </row>
    <row r="821" spans="1:10">
      <c r="A821" t="s">
        <v>205</v>
      </c>
      <c r="B821" t="s">
        <v>207</v>
      </c>
      <c r="C821" s="18">
        <v>2038</v>
      </c>
      <c r="D821" t="s">
        <v>187</v>
      </c>
      <c r="E821" s="20">
        <v>18278.667317848998</v>
      </c>
      <c r="F821" s="20">
        <v>13108.273329261599</v>
      </c>
      <c r="G821" s="10">
        <v>13108.258682167399</v>
      </c>
      <c r="H821" s="21">
        <f t="shared" si="24"/>
        <v>-1.4647094199972344E-2</v>
      </c>
      <c r="I821" s="10">
        <v>18278.619531582299</v>
      </c>
      <c r="J821" s="21">
        <f t="shared" si="25"/>
        <v>-4.7786266699404223E-2</v>
      </c>
    </row>
    <row r="822" spans="1:10">
      <c r="A822" t="s">
        <v>205</v>
      </c>
      <c r="B822" t="s">
        <v>207</v>
      </c>
      <c r="C822" s="18">
        <v>2038</v>
      </c>
      <c r="D822" t="s">
        <v>227</v>
      </c>
      <c r="E822" s="20">
        <v>1176296.91350497</v>
      </c>
      <c r="F822" s="20">
        <v>234286.37359821299</v>
      </c>
      <c r="G822" s="10">
        <v>234286.30240329501</v>
      </c>
      <c r="H822" s="21">
        <f t="shared" si="24"/>
        <v>-7.1194917982211336E-2</v>
      </c>
      <c r="I822" s="10">
        <v>1176286.23006217</v>
      </c>
      <c r="J822" s="21">
        <f t="shared" si="25"/>
        <v>-10.683442800072953</v>
      </c>
    </row>
    <row r="823" spans="1:10">
      <c r="A823" t="s">
        <v>205</v>
      </c>
      <c r="B823" t="s">
        <v>207</v>
      </c>
      <c r="C823" s="18">
        <v>2038</v>
      </c>
      <c r="D823" t="s">
        <v>163</v>
      </c>
      <c r="E823" s="20">
        <v>133004.98190648001</v>
      </c>
      <c r="F823" s="20">
        <v>89762.983800456001</v>
      </c>
      <c r="G823" s="10">
        <v>89762.908504627194</v>
      </c>
      <c r="H823" s="21">
        <f t="shared" si="24"/>
        <v>-7.5295828806702048E-2</v>
      </c>
      <c r="I823" s="10">
        <v>133004.77137127001</v>
      </c>
      <c r="J823" s="21">
        <f t="shared" si="25"/>
        <v>-0.21053521000430919</v>
      </c>
    </row>
    <row r="824" spans="1:10">
      <c r="A824" t="s">
        <v>205</v>
      </c>
      <c r="B824" t="s">
        <v>207</v>
      </c>
      <c r="C824" s="18">
        <v>2038</v>
      </c>
      <c r="D824" t="s">
        <v>173</v>
      </c>
      <c r="E824" s="20">
        <v>436879.66685338801</v>
      </c>
      <c r="F824" s="20">
        <v>405385.34850803798</v>
      </c>
      <c r="G824" s="10">
        <v>405384.95777232101</v>
      </c>
      <c r="H824" s="21">
        <f t="shared" si="24"/>
        <v>-0.39073571696644649</v>
      </c>
      <c r="I824" s="10">
        <v>436878.35953831702</v>
      </c>
      <c r="J824" s="21">
        <f t="shared" si="25"/>
        <v>-1.3073150709969923</v>
      </c>
    </row>
    <row r="825" spans="1:10">
      <c r="A825" t="s">
        <v>205</v>
      </c>
      <c r="B825" t="s">
        <v>207</v>
      </c>
      <c r="C825" s="18">
        <v>2038</v>
      </c>
      <c r="D825" t="s">
        <v>177</v>
      </c>
      <c r="E825" s="20">
        <v>753563.54955426301</v>
      </c>
      <c r="F825" s="20">
        <v>465343.40956615302</v>
      </c>
      <c r="G825" s="10">
        <v>465342.91786371003</v>
      </c>
      <c r="H825" s="21">
        <f t="shared" si="24"/>
        <v>-0.49170244298875332</v>
      </c>
      <c r="I825" s="10">
        <v>753560.82214679301</v>
      </c>
      <c r="J825" s="21">
        <f t="shared" si="25"/>
        <v>-2.7274074699962512</v>
      </c>
    </row>
    <row r="826" spans="1:10">
      <c r="A826" t="s">
        <v>205</v>
      </c>
      <c r="B826" t="s">
        <v>207</v>
      </c>
      <c r="C826" s="18">
        <v>2038</v>
      </c>
      <c r="D826" t="s">
        <v>181</v>
      </c>
      <c r="E826" s="20">
        <v>565404.722802334</v>
      </c>
      <c r="F826" s="20">
        <v>318461.06755706901</v>
      </c>
      <c r="G826" s="10">
        <v>318461.02224812203</v>
      </c>
      <c r="H826" s="21">
        <f t="shared" si="24"/>
        <v>-4.5308946981094778E-2</v>
      </c>
      <c r="I826" s="10">
        <v>565403.75879938505</v>
      </c>
      <c r="J826" s="21">
        <f t="shared" si="25"/>
        <v>-0.96400294895283878</v>
      </c>
    </row>
    <row r="827" spans="1:10">
      <c r="A827" t="s">
        <v>205</v>
      </c>
      <c r="B827" t="s">
        <v>207</v>
      </c>
      <c r="C827" s="18">
        <v>2038</v>
      </c>
      <c r="D827" t="s">
        <v>209</v>
      </c>
      <c r="E827" s="20">
        <v>43730.745264562502</v>
      </c>
      <c r="F827" s="20">
        <v>7067.4942845979103</v>
      </c>
      <c r="G827" s="10">
        <v>7517.77035327065</v>
      </c>
      <c r="H827" s="21">
        <f t="shared" si="24"/>
        <v>450.27606867273971</v>
      </c>
      <c r="I827" s="10">
        <v>43730.744850638199</v>
      </c>
      <c r="J827" s="21">
        <f t="shared" si="25"/>
        <v>-4.139243028475903E-4</v>
      </c>
    </row>
    <row r="828" spans="1:10">
      <c r="A828" t="s">
        <v>205</v>
      </c>
      <c r="B828" t="s">
        <v>207</v>
      </c>
      <c r="C828" s="18">
        <v>2039</v>
      </c>
      <c r="D828" t="s">
        <v>187</v>
      </c>
      <c r="E828" s="20">
        <v>18752.146329127201</v>
      </c>
      <c r="F828" s="20">
        <v>13404.687964978901</v>
      </c>
      <c r="G828" s="10">
        <v>13404.669620275599</v>
      </c>
      <c r="H828" s="21">
        <f t="shared" si="24"/>
        <v>-1.8344703301409027E-2</v>
      </c>
      <c r="I828" s="10">
        <v>18752.090499402999</v>
      </c>
      <c r="J828" s="21">
        <f t="shared" si="25"/>
        <v>-5.5829724202340003E-2</v>
      </c>
    </row>
    <row r="829" spans="1:10">
      <c r="A829" t="s">
        <v>205</v>
      </c>
      <c r="B829" t="s">
        <v>207</v>
      </c>
      <c r="C829" s="18">
        <v>2039</v>
      </c>
      <c r="D829" t="s">
        <v>227</v>
      </c>
      <c r="E829" s="20">
        <v>1184750.8763069799</v>
      </c>
      <c r="F829" s="20">
        <v>242132.28461136101</v>
      </c>
      <c r="G829" s="10">
        <v>242132.19115316399</v>
      </c>
      <c r="H829" s="21">
        <f t="shared" si="24"/>
        <v>-9.3458197021391243E-2</v>
      </c>
      <c r="I829" s="10">
        <v>1184738.3918449101</v>
      </c>
      <c r="J829" s="21">
        <f t="shared" si="25"/>
        <v>-12.484462069813162</v>
      </c>
    </row>
    <row r="830" spans="1:10">
      <c r="A830" t="s">
        <v>205</v>
      </c>
      <c r="B830" t="s">
        <v>207</v>
      </c>
      <c r="C830" s="18">
        <v>2039</v>
      </c>
      <c r="D830" t="s">
        <v>163</v>
      </c>
      <c r="E830" s="20">
        <v>135872.38361519799</v>
      </c>
      <c r="F830" s="20">
        <v>91716.462042674699</v>
      </c>
      <c r="G830" s="10">
        <v>91716.366353602294</v>
      </c>
      <c r="H830" s="21">
        <f t="shared" si="24"/>
        <v>-9.5689072404638864E-2</v>
      </c>
      <c r="I830" s="10">
        <v>135872.13136763001</v>
      </c>
      <c r="J830" s="21">
        <f t="shared" si="25"/>
        <v>-0.25224756798706949</v>
      </c>
    </row>
    <row r="831" spans="1:10">
      <c r="A831" t="s">
        <v>205</v>
      </c>
      <c r="B831" t="s">
        <v>207</v>
      </c>
      <c r="C831" s="18">
        <v>2039</v>
      </c>
      <c r="D831" t="s">
        <v>173</v>
      </c>
      <c r="E831" s="20">
        <v>443907.53881951398</v>
      </c>
      <c r="F831" s="20">
        <v>412120.71587605297</v>
      </c>
      <c r="G831" s="10">
        <v>412120.21350488003</v>
      </c>
      <c r="H831" s="21">
        <f t="shared" si="24"/>
        <v>-0.50237117294454947</v>
      </c>
      <c r="I831" s="10">
        <v>443905.980748337</v>
      </c>
      <c r="J831" s="21">
        <f t="shared" si="25"/>
        <v>-1.5580711769871414</v>
      </c>
    </row>
    <row r="832" spans="1:10">
      <c r="A832" t="s">
        <v>205</v>
      </c>
      <c r="B832" t="s">
        <v>207</v>
      </c>
      <c r="C832" s="18">
        <v>2039</v>
      </c>
      <c r="D832" t="s">
        <v>177</v>
      </c>
      <c r="E832" s="20">
        <v>765531.66075424198</v>
      </c>
      <c r="F832" s="20">
        <v>475270.40736002399</v>
      </c>
      <c r="G832" s="10">
        <v>475269.78752891801</v>
      </c>
      <c r="H832" s="21">
        <f t="shared" si="24"/>
        <v>-0.61983110598521307</v>
      </c>
      <c r="I832" s="10">
        <v>765528.46783885697</v>
      </c>
      <c r="J832" s="21">
        <f t="shared" si="25"/>
        <v>-3.192915385006927</v>
      </c>
    </row>
    <row r="833" spans="1:10">
      <c r="A833" t="s">
        <v>205</v>
      </c>
      <c r="B833" t="s">
        <v>207</v>
      </c>
      <c r="C833" s="18">
        <v>2039</v>
      </c>
      <c r="D833" t="s">
        <v>181</v>
      </c>
      <c r="E833" s="20">
        <v>577415.66061982897</v>
      </c>
      <c r="F833" s="20">
        <v>328246.46062024299</v>
      </c>
      <c r="G833" s="10">
        <v>328246.40127636801</v>
      </c>
      <c r="H833" s="21">
        <f t="shared" si="24"/>
        <v>-5.9343874978367239E-2</v>
      </c>
      <c r="I833" s="10">
        <v>577414.514396235</v>
      </c>
      <c r="J833" s="21">
        <f t="shared" si="25"/>
        <v>-1.1462235939688981</v>
      </c>
    </row>
    <row r="834" spans="1:10">
      <c r="A834" t="s">
        <v>205</v>
      </c>
      <c r="B834" t="s">
        <v>207</v>
      </c>
      <c r="C834" s="18">
        <v>2039</v>
      </c>
      <c r="D834" t="s">
        <v>209</v>
      </c>
      <c r="E834" s="20">
        <v>43588.845953159303</v>
      </c>
      <c r="F834" s="20">
        <v>7068.0982387952599</v>
      </c>
      <c r="G834" s="10">
        <v>7547.5598608641003</v>
      </c>
      <c r="H834" s="21">
        <f t="shared" ref="H834:H897" si="26">G834-F834</f>
        <v>479.46162206884037</v>
      </c>
      <c r="I834" s="10">
        <v>43588.845456636998</v>
      </c>
      <c r="J834" s="21">
        <f t="shared" ref="J834:J897" si="27">I834-E834</f>
        <v>-4.9652230518404394E-4</v>
      </c>
    </row>
    <row r="835" spans="1:10">
      <c r="A835" t="s">
        <v>205</v>
      </c>
      <c r="B835" t="s">
        <v>207</v>
      </c>
      <c r="C835" s="18">
        <v>2040</v>
      </c>
      <c r="D835" t="s">
        <v>187</v>
      </c>
      <c r="E835" s="20">
        <v>19235.801173317799</v>
      </c>
      <c r="F835" s="20">
        <v>13698.994768791899</v>
      </c>
      <c r="G835" s="10">
        <v>13698.9721681132</v>
      </c>
      <c r="H835" s="21">
        <f t="shared" si="26"/>
        <v>-2.2600678699745913E-2</v>
      </c>
      <c r="I835" s="10">
        <v>19235.736542927301</v>
      </c>
      <c r="J835" s="21">
        <f t="shared" si="27"/>
        <v>-6.4630390497768531E-2</v>
      </c>
    </row>
    <row r="836" spans="1:10">
      <c r="A836" t="s">
        <v>205</v>
      </c>
      <c r="B836" t="s">
        <v>207</v>
      </c>
      <c r="C836" s="18">
        <v>2040</v>
      </c>
      <c r="D836" t="s">
        <v>227</v>
      </c>
      <c r="E836" s="20">
        <v>1192648.8677145301</v>
      </c>
      <c r="F836" s="20">
        <v>249894.59937398499</v>
      </c>
      <c r="G836" s="10">
        <v>249894.478827588</v>
      </c>
      <c r="H836" s="21">
        <f t="shared" si="26"/>
        <v>-0.12054639699636027</v>
      </c>
      <c r="I836" s="10">
        <v>1192634.43006365</v>
      </c>
      <c r="J836" s="21">
        <f t="shared" si="27"/>
        <v>-14.437650880077854</v>
      </c>
    </row>
    <row r="837" spans="1:10">
      <c r="A837" t="s">
        <v>205</v>
      </c>
      <c r="B837" t="s">
        <v>207</v>
      </c>
      <c r="C837" s="18">
        <v>2040</v>
      </c>
      <c r="D837" t="s">
        <v>163</v>
      </c>
      <c r="E837" s="20">
        <v>138690.09610661599</v>
      </c>
      <c r="F837" s="20">
        <v>93637.016516948497</v>
      </c>
      <c r="G837" s="10">
        <v>93636.896760059302</v>
      </c>
      <c r="H837" s="21">
        <f t="shared" si="26"/>
        <v>-0.11975688919483218</v>
      </c>
      <c r="I837" s="10">
        <v>138689.796610277</v>
      </c>
      <c r="J837" s="21">
        <f t="shared" si="27"/>
        <v>-0.29949633899377659</v>
      </c>
    </row>
    <row r="838" spans="1:10">
      <c r="A838" t="s">
        <v>205</v>
      </c>
      <c r="B838" t="s">
        <v>207</v>
      </c>
      <c r="C838" s="18">
        <v>2040</v>
      </c>
      <c r="D838" t="s">
        <v>173</v>
      </c>
      <c r="E838" s="20">
        <v>450843.60664762597</v>
      </c>
      <c r="F838" s="20">
        <v>418621.54568759497</v>
      </c>
      <c r="G838" s="10">
        <v>418620.90894817398</v>
      </c>
      <c r="H838" s="21">
        <f t="shared" si="26"/>
        <v>-0.6367394209955819</v>
      </c>
      <c r="I838" s="10">
        <v>450841.764596063</v>
      </c>
      <c r="J838" s="21">
        <f t="shared" si="27"/>
        <v>-1.8420515629695728</v>
      </c>
    </row>
    <row r="839" spans="1:10">
      <c r="A839" t="s">
        <v>205</v>
      </c>
      <c r="B839" t="s">
        <v>207</v>
      </c>
      <c r="C839" s="18">
        <v>2040</v>
      </c>
      <c r="D839" t="s">
        <v>177</v>
      </c>
      <c r="E839" s="20">
        <v>777092.20186721801</v>
      </c>
      <c r="F839" s="20">
        <v>484947.87395399797</v>
      </c>
      <c r="G839" s="10">
        <v>484947.105425179</v>
      </c>
      <c r="H839" s="21">
        <f t="shared" si="26"/>
        <v>-0.76852881896775216</v>
      </c>
      <c r="I839" s="10">
        <v>777088.49670209095</v>
      </c>
      <c r="J839" s="21">
        <f t="shared" si="27"/>
        <v>-3.7051651270594448</v>
      </c>
    </row>
    <row r="840" spans="1:10">
      <c r="A840" t="s">
        <v>205</v>
      </c>
      <c r="B840" t="s">
        <v>207</v>
      </c>
      <c r="C840" s="18">
        <v>2040</v>
      </c>
      <c r="D840" t="s">
        <v>181</v>
      </c>
      <c r="E840" s="20">
        <v>589361.084410446</v>
      </c>
      <c r="F840" s="20">
        <v>338039.08681011602</v>
      </c>
      <c r="G840" s="10">
        <v>338039.01043044601</v>
      </c>
      <c r="H840" s="21">
        <f t="shared" si="26"/>
        <v>-7.6379670004826039E-2</v>
      </c>
      <c r="I840" s="10">
        <v>589359.73383284197</v>
      </c>
      <c r="J840" s="21">
        <f t="shared" si="27"/>
        <v>-1.3505776040256023</v>
      </c>
    </row>
    <row r="841" spans="1:10">
      <c r="A841" t="s">
        <v>205</v>
      </c>
      <c r="B841" t="s">
        <v>207</v>
      </c>
      <c r="C841" s="18">
        <v>2040</v>
      </c>
      <c r="D841" t="s">
        <v>209</v>
      </c>
      <c r="E841" s="20">
        <v>43464.860268505297</v>
      </c>
      <c r="F841" s="20">
        <v>7065.1525179087703</v>
      </c>
      <c r="G841" s="10">
        <v>7573.7255608269897</v>
      </c>
      <c r="H841" s="21">
        <f t="shared" si="26"/>
        <v>508.57304291821947</v>
      </c>
      <c r="I841" s="10">
        <v>43464.859681883601</v>
      </c>
      <c r="J841" s="21">
        <f t="shared" si="27"/>
        <v>-5.8662169612944126E-4</v>
      </c>
    </row>
    <row r="842" spans="1:10">
      <c r="A842" t="s">
        <v>205</v>
      </c>
      <c r="B842" t="s">
        <v>207</v>
      </c>
      <c r="C842" s="18">
        <v>2041</v>
      </c>
      <c r="D842" t="s">
        <v>187</v>
      </c>
      <c r="E842" s="20">
        <v>19727.357704817699</v>
      </c>
      <c r="F842" s="20">
        <v>13991.6341476538</v>
      </c>
      <c r="G842" s="10">
        <v>13991.606690282801</v>
      </c>
      <c r="H842" s="21">
        <f t="shared" si="26"/>
        <v>-2.7457370999400155E-2</v>
      </c>
      <c r="I842" s="10">
        <v>19727.283486384</v>
      </c>
      <c r="J842" s="21">
        <f t="shared" si="27"/>
        <v>-7.4218433699570596E-2</v>
      </c>
    </row>
    <row r="843" spans="1:10">
      <c r="A843" t="s">
        <v>205</v>
      </c>
      <c r="B843" t="s">
        <v>207</v>
      </c>
      <c r="C843" s="18">
        <v>2041</v>
      </c>
      <c r="D843" t="s">
        <v>227</v>
      </c>
      <c r="E843" s="20">
        <v>1200004.7236395001</v>
      </c>
      <c r="F843" s="20">
        <v>257599.197322191</v>
      </c>
      <c r="G843" s="10">
        <v>257599.044002988</v>
      </c>
      <c r="H843" s="21">
        <f t="shared" si="26"/>
        <v>-0.15331920300377533</v>
      </c>
      <c r="I843" s="10">
        <v>1199988.17586749</v>
      </c>
      <c r="J843" s="21">
        <f t="shared" si="27"/>
        <v>-16.54777201008983</v>
      </c>
    </row>
    <row r="844" spans="1:10">
      <c r="A844" t="s">
        <v>205</v>
      </c>
      <c r="B844" t="s">
        <v>207</v>
      </c>
      <c r="C844" s="18">
        <v>2041</v>
      </c>
      <c r="D844" t="s">
        <v>163</v>
      </c>
      <c r="E844" s="20">
        <v>141475.92354488501</v>
      </c>
      <c r="F844" s="20">
        <v>95527.154340282301</v>
      </c>
      <c r="G844" s="10">
        <v>95527.0063786807</v>
      </c>
      <c r="H844" s="21">
        <f t="shared" si="26"/>
        <v>-0.14796160160040017</v>
      </c>
      <c r="I844" s="10">
        <v>141475.570851386</v>
      </c>
      <c r="J844" s="21">
        <f t="shared" si="27"/>
        <v>-0.35269349900772795</v>
      </c>
    </row>
    <row r="845" spans="1:10">
      <c r="A845" t="s">
        <v>205</v>
      </c>
      <c r="B845" t="s">
        <v>207</v>
      </c>
      <c r="C845" s="18">
        <v>2041</v>
      </c>
      <c r="D845" t="s">
        <v>173</v>
      </c>
      <c r="E845" s="20">
        <v>457700.29009956698</v>
      </c>
      <c r="F845" s="20">
        <v>425006.57276698999</v>
      </c>
      <c r="G845" s="10">
        <v>425005.77720965003</v>
      </c>
      <c r="H845" s="21">
        <f t="shared" si="26"/>
        <v>-0.79555733996676281</v>
      </c>
      <c r="I845" s="10">
        <v>457698.12813480198</v>
      </c>
      <c r="J845" s="21">
        <f t="shared" si="27"/>
        <v>-2.1619647649931721</v>
      </c>
    </row>
    <row r="846" spans="1:10">
      <c r="A846" t="s">
        <v>205</v>
      </c>
      <c r="B846" t="s">
        <v>207</v>
      </c>
      <c r="C846" s="18">
        <v>2041</v>
      </c>
      <c r="D846" t="s">
        <v>177</v>
      </c>
      <c r="E846" s="20">
        <v>788297.514673381</v>
      </c>
      <c r="F846" s="20">
        <v>494391.81410742202</v>
      </c>
      <c r="G846" s="10">
        <v>494390.87324825901</v>
      </c>
      <c r="H846" s="21">
        <f t="shared" si="26"/>
        <v>-0.94085916300537065</v>
      </c>
      <c r="I846" s="10">
        <v>788293.24275668897</v>
      </c>
      <c r="J846" s="21">
        <f t="shared" si="27"/>
        <v>-4.2719166920287535</v>
      </c>
    </row>
    <row r="847" spans="1:10">
      <c r="A847" t="s">
        <v>205</v>
      </c>
      <c r="B847" t="s">
        <v>207</v>
      </c>
      <c r="C847" s="18">
        <v>2041</v>
      </c>
      <c r="D847" t="s">
        <v>181</v>
      </c>
      <c r="E847" s="20">
        <v>601156.92179731803</v>
      </c>
      <c r="F847" s="20">
        <v>347924.86326664401</v>
      </c>
      <c r="G847" s="10">
        <v>347924.76632707799</v>
      </c>
      <c r="H847" s="21">
        <f t="shared" si="26"/>
        <v>-9.6939566021319479E-2</v>
      </c>
      <c r="I847" s="10">
        <v>601155.34094696096</v>
      </c>
      <c r="J847" s="21">
        <f t="shared" si="27"/>
        <v>-1.5808503570733592</v>
      </c>
    </row>
    <row r="848" spans="1:10">
      <c r="A848" t="s">
        <v>205</v>
      </c>
      <c r="B848" t="s">
        <v>207</v>
      </c>
      <c r="C848" s="18">
        <v>2041</v>
      </c>
      <c r="D848" t="s">
        <v>209</v>
      </c>
      <c r="E848" s="20">
        <v>43360.936359574996</v>
      </c>
      <c r="F848" s="20">
        <v>7058.5702897198698</v>
      </c>
      <c r="G848" s="10">
        <v>7595.9953338682099</v>
      </c>
      <c r="H848" s="21">
        <f t="shared" si="26"/>
        <v>537.42504414834002</v>
      </c>
      <c r="I848" s="10">
        <v>43360.9356755525</v>
      </c>
      <c r="J848" s="21">
        <f t="shared" si="27"/>
        <v>-6.8402249598875642E-4</v>
      </c>
    </row>
    <row r="849" spans="1:10">
      <c r="A849" t="s">
        <v>205</v>
      </c>
      <c r="B849" t="s">
        <v>207</v>
      </c>
      <c r="C849" s="18">
        <v>2042</v>
      </c>
      <c r="D849" t="s">
        <v>187</v>
      </c>
      <c r="E849" s="20">
        <v>20222.353019473299</v>
      </c>
      <c r="F849" s="20">
        <v>14284.6498630725</v>
      </c>
      <c r="G849" s="10">
        <v>14284.6169088399</v>
      </c>
      <c r="H849" s="21">
        <f t="shared" si="26"/>
        <v>-3.2954232599877287E-2</v>
      </c>
      <c r="I849" s="10">
        <v>20222.268399164699</v>
      </c>
      <c r="J849" s="21">
        <f t="shared" si="27"/>
        <v>-8.4620308600278804E-2</v>
      </c>
    </row>
    <row r="850" spans="1:10">
      <c r="A850" t="s">
        <v>205</v>
      </c>
      <c r="B850" t="s">
        <v>207</v>
      </c>
      <c r="C850" s="18">
        <v>2042</v>
      </c>
      <c r="D850" t="s">
        <v>227</v>
      </c>
      <c r="E850" s="20">
        <v>1206818.41733944</v>
      </c>
      <c r="F850" s="20">
        <v>265289.60185906902</v>
      </c>
      <c r="G850" s="10">
        <v>265289.409116733</v>
      </c>
      <c r="H850" s="21">
        <f t="shared" si="26"/>
        <v>-0.19274233601754531</v>
      </c>
      <c r="I850" s="10">
        <v>1206799.58929471</v>
      </c>
      <c r="J850" s="21">
        <f t="shared" si="27"/>
        <v>-18.828044730005786</v>
      </c>
    </row>
    <row r="851" spans="1:10">
      <c r="A851" t="s">
        <v>205</v>
      </c>
      <c r="B851" t="s">
        <v>207</v>
      </c>
      <c r="C851" s="18">
        <v>2042</v>
      </c>
      <c r="D851" t="s">
        <v>163</v>
      </c>
      <c r="E851" s="20">
        <v>144248.479325419</v>
      </c>
      <c r="F851" s="20">
        <v>97406.337747114594</v>
      </c>
      <c r="G851" s="10">
        <v>97406.156977096296</v>
      </c>
      <c r="H851" s="21">
        <f t="shared" si="26"/>
        <v>-0.1807700182980625</v>
      </c>
      <c r="I851" s="10">
        <v>144248.066926011</v>
      </c>
      <c r="J851" s="21">
        <f t="shared" si="27"/>
        <v>-0.4123994080000557</v>
      </c>
    </row>
    <row r="852" spans="1:10">
      <c r="A852" t="s">
        <v>205</v>
      </c>
      <c r="B852" t="s">
        <v>207</v>
      </c>
      <c r="C852" s="18">
        <v>2042</v>
      </c>
      <c r="D852" t="s">
        <v>173</v>
      </c>
      <c r="E852" s="20">
        <v>464489.55689491</v>
      </c>
      <c r="F852" s="20">
        <v>431398.02385552402</v>
      </c>
      <c r="G852" s="10">
        <v>431397.042999706</v>
      </c>
      <c r="H852" s="21">
        <f t="shared" si="26"/>
        <v>-0.98085581802297384</v>
      </c>
      <c r="I852" s="10">
        <v>464487.03899019101</v>
      </c>
      <c r="J852" s="21">
        <f t="shared" si="27"/>
        <v>-2.517904718988575</v>
      </c>
    </row>
    <row r="853" spans="1:10">
      <c r="A853" t="s">
        <v>205</v>
      </c>
      <c r="B853" t="s">
        <v>207</v>
      </c>
      <c r="C853" s="18">
        <v>2042</v>
      </c>
      <c r="D853" t="s">
        <v>177</v>
      </c>
      <c r="E853" s="20">
        <v>799230.39767703298</v>
      </c>
      <c r="F853" s="20">
        <v>503604.94388876198</v>
      </c>
      <c r="G853" s="10">
        <v>503603.80380956898</v>
      </c>
      <c r="H853" s="21">
        <f t="shared" si="26"/>
        <v>-1.1400791929918341</v>
      </c>
      <c r="I853" s="10">
        <v>799225.499121645</v>
      </c>
      <c r="J853" s="21">
        <f t="shared" si="27"/>
        <v>-4.898555387975648</v>
      </c>
    </row>
    <row r="854" spans="1:10">
      <c r="A854" t="s">
        <v>205</v>
      </c>
      <c r="B854" t="s">
        <v>207</v>
      </c>
      <c r="C854" s="18">
        <v>2042</v>
      </c>
      <c r="D854" t="s">
        <v>181</v>
      </c>
      <c r="E854" s="20">
        <v>612666.01627661998</v>
      </c>
      <c r="F854" s="20">
        <v>357931.06114731199</v>
      </c>
      <c r="G854" s="10">
        <v>357930.93950443697</v>
      </c>
      <c r="H854" s="21">
        <f t="shared" si="26"/>
        <v>-0.12164287501946092</v>
      </c>
      <c r="I854" s="10">
        <v>612664.177038008</v>
      </c>
      <c r="J854" s="21">
        <f t="shared" si="27"/>
        <v>-1.8392386119812727</v>
      </c>
    </row>
    <row r="855" spans="1:10">
      <c r="A855" t="s">
        <v>205</v>
      </c>
      <c r="B855" t="s">
        <v>207</v>
      </c>
      <c r="C855" s="18">
        <v>2042</v>
      </c>
      <c r="D855" t="s">
        <v>209</v>
      </c>
      <c r="E855" s="20">
        <v>43278.7292704258</v>
      </c>
      <c r="F855" s="20">
        <v>7051.2492082620702</v>
      </c>
      <c r="G855" s="10">
        <v>7616.5928035502902</v>
      </c>
      <c r="H855" s="21">
        <f t="shared" si="26"/>
        <v>565.34359528822006</v>
      </c>
      <c r="I855" s="10">
        <v>43278.728481607301</v>
      </c>
      <c r="J855" s="21">
        <f t="shared" si="27"/>
        <v>-7.8881849913159385E-4</v>
      </c>
    </row>
    <row r="856" spans="1:10">
      <c r="A856" t="s">
        <v>205</v>
      </c>
      <c r="B856" t="s">
        <v>207</v>
      </c>
      <c r="C856" s="18">
        <v>2043</v>
      </c>
      <c r="D856" t="s">
        <v>187</v>
      </c>
      <c r="E856" s="20">
        <v>20720.644060578899</v>
      </c>
      <c r="F856" s="20">
        <v>14572.9222777921</v>
      </c>
      <c r="G856" s="10">
        <v>14572.883153271399</v>
      </c>
      <c r="H856" s="21">
        <f t="shared" si="26"/>
        <v>-3.9124520701079746E-2</v>
      </c>
      <c r="I856" s="10">
        <v>20720.548205455299</v>
      </c>
      <c r="J856" s="21">
        <f t="shared" si="27"/>
        <v>-9.5855123599903891E-2</v>
      </c>
    </row>
    <row r="857" spans="1:10">
      <c r="A857" t="s">
        <v>205</v>
      </c>
      <c r="B857" t="s">
        <v>207</v>
      </c>
      <c r="C857" s="18">
        <v>2043</v>
      </c>
      <c r="D857" t="s">
        <v>227</v>
      </c>
      <c r="E857" s="20">
        <v>1213070.5395923201</v>
      </c>
      <c r="F857" s="20">
        <v>272950.67532163102</v>
      </c>
      <c r="G857" s="10">
        <v>272950.43541917799</v>
      </c>
      <c r="H857" s="21">
        <f t="shared" si="26"/>
        <v>-0.23990245303139091</v>
      </c>
      <c r="I857" s="10">
        <v>1213049.26096591</v>
      </c>
      <c r="J857" s="21">
        <f t="shared" si="27"/>
        <v>-21.278626410057768</v>
      </c>
    </row>
    <row r="858" spans="1:10">
      <c r="A858" t="s">
        <v>205</v>
      </c>
      <c r="B858" t="s">
        <v>207</v>
      </c>
      <c r="C858" s="18">
        <v>2043</v>
      </c>
      <c r="D858" t="s">
        <v>163</v>
      </c>
      <c r="E858" s="20">
        <v>146994.293316939</v>
      </c>
      <c r="F858" s="20">
        <v>99271.609860674507</v>
      </c>
      <c r="G858" s="10">
        <v>99271.391168072907</v>
      </c>
      <c r="H858" s="21">
        <f t="shared" si="26"/>
        <v>-0.21869260160019621</v>
      </c>
      <c r="I858" s="10">
        <v>146993.81420820701</v>
      </c>
      <c r="J858" s="21">
        <f t="shared" si="27"/>
        <v>-0.47910873198998161</v>
      </c>
    </row>
    <row r="859" spans="1:10">
      <c r="A859" t="s">
        <v>205</v>
      </c>
      <c r="B859" t="s">
        <v>207</v>
      </c>
      <c r="C859" s="18">
        <v>2043</v>
      </c>
      <c r="D859" t="s">
        <v>173</v>
      </c>
      <c r="E859" s="20">
        <v>471157.750693293</v>
      </c>
      <c r="F859" s="20">
        <v>437681.18277164001</v>
      </c>
      <c r="G859" s="10">
        <v>437679.98847184202</v>
      </c>
      <c r="H859" s="21">
        <f t="shared" si="26"/>
        <v>-1.1942997979931533</v>
      </c>
      <c r="I859" s="10">
        <v>471154.83958066901</v>
      </c>
      <c r="J859" s="21">
        <f t="shared" si="27"/>
        <v>-2.9111126239877194</v>
      </c>
    </row>
    <row r="860" spans="1:10">
      <c r="A860" t="s">
        <v>205</v>
      </c>
      <c r="B860" t="s">
        <v>207</v>
      </c>
      <c r="C860" s="18">
        <v>2043</v>
      </c>
      <c r="D860" t="s">
        <v>177</v>
      </c>
      <c r="E860" s="20">
        <v>810020.36468769598</v>
      </c>
      <c r="F860" s="20">
        <v>512611.81886199297</v>
      </c>
      <c r="G860" s="10">
        <v>512610.44917931297</v>
      </c>
      <c r="H860" s="21">
        <f t="shared" si="26"/>
        <v>-1.369682680000551</v>
      </c>
      <c r="I860" s="10">
        <v>810014.77283431904</v>
      </c>
      <c r="J860" s="21">
        <f t="shared" si="27"/>
        <v>-5.5918533769436181</v>
      </c>
    </row>
    <row r="861" spans="1:10">
      <c r="A861" t="s">
        <v>205</v>
      </c>
      <c r="B861" t="s">
        <v>207</v>
      </c>
      <c r="C861" s="18">
        <v>2043</v>
      </c>
      <c r="D861" t="s">
        <v>181</v>
      </c>
      <c r="E861" s="20">
        <v>623955.48497252702</v>
      </c>
      <c r="F861" s="20">
        <v>367959.21046595398</v>
      </c>
      <c r="G861" s="10">
        <v>367959.059248153</v>
      </c>
      <c r="H861" s="21">
        <f t="shared" si="26"/>
        <v>-0.15121780097251758</v>
      </c>
      <c r="I861" s="10">
        <v>623953.35649413895</v>
      </c>
      <c r="J861" s="21">
        <f t="shared" si="27"/>
        <v>-2.1284783880691975</v>
      </c>
    </row>
    <row r="862" spans="1:10">
      <c r="A862" t="s">
        <v>205</v>
      </c>
      <c r="B862" t="s">
        <v>207</v>
      </c>
      <c r="C862" s="18">
        <v>2043</v>
      </c>
      <c r="D862" t="s">
        <v>209</v>
      </c>
      <c r="E862" s="20">
        <v>43232.1394453291</v>
      </c>
      <c r="F862" s="20">
        <v>7042.6005046485097</v>
      </c>
      <c r="G862" s="10">
        <v>7634.6380979097503</v>
      </c>
      <c r="H862" s="21">
        <f t="shared" si="26"/>
        <v>592.03759326124054</v>
      </c>
      <c r="I862" s="10">
        <v>43232.1385441846</v>
      </c>
      <c r="J862" s="21">
        <f t="shared" si="27"/>
        <v>-9.0114449994871393E-4</v>
      </c>
    </row>
    <row r="863" spans="1:10">
      <c r="A863" t="s">
        <v>205</v>
      </c>
      <c r="B863" t="s">
        <v>207</v>
      </c>
      <c r="C863" s="18">
        <v>2044</v>
      </c>
      <c r="D863" t="s">
        <v>187</v>
      </c>
      <c r="E863" s="20">
        <v>21220.3552473858</v>
      </c>
      <c r="F863" s="20">
        <v>14861.4775803181</v>
      </c>
      <c r="G863" s="10">
        <v>14861.4315691186</v>
      </c>
      <c r="H863" s="21">
        <f t="shared" si="26"/>
        <v>-4.6011199499844224E-2</v>
      </c>
      <c r="I863" s="10">
        <v>21220.2473713984</v>
      </c>
      <c r="J863" s="21">
        <f t="shared" si="27"/>
        <v>-0.10787598739989335</v>
      </c>
    </row>
    <row r="864" spans="1:10">
      <c r="A864" t="s">
        <v>205</v>
      </c>
      <c r="B864" t="s">
        <v>207</v>
      </c>
      <c r="C864" s="18">
        <v>2044</v>
      </c>
      <c r="D864" t="s">
        <v>227</v>
      </c>
      <c r="E864" s="20">
        <v>1219012.3718117599</v>
      </c>
      <c r="F864" s="20">
        <v>280506.73753018002</v>
      </c>
      <c r="G864" s="10">
        <v>280506.44153550803</v>
      </c>
      <c r="H864" s="21">
        <f t="shared" si="26"/>
        <v>-0.29599467199295759</v>
      </c>
      <c r="I864" s="10">
        <v>1218988.4670045001</v>
      </c>
      <c r="J864" s="21">
        <f t="shared" si="27"/>
        <v>-23.904807259794325</v>
      </c>
    </row>
    <row r="865" spans="1:10">
      <c r="A865" t="s">
        <v>205</v>
      </c>
      <c r="B865" t="s">
        <v>207</v>
      </c>
      <c r="C865" s="18">
        <v>2044</v>
      </c>
      <c r="D865" t="s">
        <v>163</v>
      </c>
      <c r="E865" s="20">
        <v>149696.76742707001</v>
      </c>
      <c r="F865" s="20">
        <v>101112.552336635</v>
      </c>
      <c r="G865" s="10">
        <v>101112.290089553</v>
      </c>
      <c r="H865" s="21">
        <f t="shared" si="26"/>
        <v>-0.26224708199151792</v>
      </c>
      <c r="I865" s="10">
        <v>149696.21396730101</v>
      </c>
      <c r="J865" s="21">
        <f t="shared" si="27"/>
        <v>-0.55345976899843663</v>
      </c>
    </row>
    <row r="866" spans="1:10">
      <c r="A866" t="s">
        <v>205</v>
      </c>
      <c r="B866" t="s">
        <v>207</v>
      </c>
      <c r="C866" s="18">
        <v>2044</v>
      </c>
      <c r="D866" t="s">
        <v>173</v>
      </c>
      <c r="E866" s="20">
        <v>477584.65910859097</v>
      </c>
      <c r="F866" s="20">
        <v>443802.07537718298</v>
      </c>
      <c r="G866" s="10">
        <v>443800.63719739497</v>
      </c>
      <c r="H866" s="21">
        <f t="shared" si="26"/>
        <v>-1.4381797880050726</v>
      </c>
      <c r="I866" s="10">
        <v>477581.31483664498</v>
      </c>
      <c r="J866" s="21">
        <f t="shared" si="27"/>
        <v>-3.3442719459999353</v>
      </c>
    </row>
    <row r="867" spans="1:10">
      <c r="A867" t="s">
        <v>205</v>
      </c>
      <c r="B867" t="s">
        <v>207</v>
      </c>
      <c r="C867" s="18">
        <v>2044</v>
      </c>
      <c r="D867" t="s">
        <v>177</v>
      </c>
      <c r="E867" s="20">
        <v>820748.72610979201</v>
      </c>
      <c r="F867" s="20">
        <v>521421.80433112697</v>
      </c>
      <c r="G867" s="10">
        <v>521420.17033099697</v>
      </c>
      <c r="H867" s="21">
        <f t="shared" si="26"/>
        <v>-1.6340001299977303</v>
      </c>
      <c r="I867" s="10">
        <v>820742.37012193399</v>
      </c>
      <c r="J867" s="21">
        <f t="shared" si="27"/>
        <v>-6.3559878580272198</v>
      </c>
    </row>
    <row r="868" spans="1:10">
      <c r="A868" t="s">
        <v>205</v>
      </c>
      <c r="B868" t="s">
        <v>207</v>
      </c>
      <c r="C868" s="18">
        <v>2044</v>
      </c>
      <c r="D868" t="s">
        <v>181</v>
      </c>
      <c r="E868" s="20">
        <v>635026.99886111298</v>
      </c>
      <c r="F868" s="20">
        <v>377918.77637263102</v>
      </c>
      <c r="G868" s="10">
        <v>377918.58989895799</v>
      </c>
      <c r="H868" s="21">
        <f t="shared" si="26"/>
        <v>-0.18647367303492501</v>
      </c>
      <c r="I868" s="10">
        <v>635024.54646764905</v>
      </c>
      <c r="J868" s="21">
        <f t="shared" si="27"/>
        <v>-2.4523934639291838</v>
      </c>
    </row>
    <row r="869" spans="1:10">
      <c r="A869" t="s">
        <v>205</v>
      </c>
      <c r="B869" t="s">
        <v>207</v>
      </c>
      <c r="C869" s="18">
        <v>2044</v>
      </c>
      <c r="D869" t="s">
        <v>209</v>
      </c>
      <c r="E869" s="20">
        <v>43202.631060412401</v>
      </c>
      <c r="F869" s="20">
        <v>7034.8842683491603</v>
      </c>
      <c r="G869" s="10">
        <v>7652.7218257366803</v>
      </c>
      <c r="H869" s="21">
        <f t="shared" si="26"/>
        <v>617.83755738752006</v>
      </c>
      <c r="I869" s="10">
        <v>43202.630038859497</v>
      </c>
      <c r="J869" s="21">
        <f t="shared" si="27"/>
        <v>-1.0215529036941007E-3</v>
      </c>
    </row>
    <row r="870" spans="1:10">
      <c r="A870" t="s">
        <v>205</v>
      </c>
      <c r="B870" t="s">
        <v>207</v>
      </c>
      <c r="C870" s="18">
        <v>2045</v>
      </c>
      <c r="D870" t="s">
        <v>187</v>
      </c>
      <c r="E870" s="20">
        <v>21717.737183229699</v>
      </c>
      <c r="F870" s="20">
        <v>15148.351593249199</v>
      </c>
      <c r="G870" s="10">
        <v>15148.297956242301</v>
      </c>
      <c r="H870" s="21">
        <f t="shared" si="26"/>
        <v>-5.363700689849793E-2</v>
      </c>
      <c r="I870" s="10">
        <v>21717.616521529701</v>
      </c>
      <c r="J870" s="21">
        <f t="shared" si="27"/>
        <v>-0.12066169999889098</v>
      </c>
    </row>
    <row r="871" spans="1:10">
      <c r="A871" t="s">
        <v>205</v>
      </c>
      <c r="B871" t="s">
        <v>207</v>
      </c>
      <c r="C871" s="18">
        <v>2045</v>
      </c>
      <c r="D871" t="s">
        <v>227</v>
      </c>
      <c r="E871" s="20">
        <v>1224695.6765354699</v>
      </c>
      <c r="F871" s="20">
        <v>287925.40553471399</v>
      </c>
      <c r="G871" s="10">
        <v>287925.04322278401</v>
      </c>
      <c r="H871" s="21">
        <f t="shared" si="26"/>
        <v>-0.36231192998820916</v>
      </c>
      <c r="I871" s="10">
        <v>1224668.96644768</v>
      </c>
      <c r="J871" s="21">
        <f t="shared" si="27"/>
        <v>-26.71008778992109</v>
      </c>
    </row>
    <row r="872" spans="1:10">
      <c r="A872" t="s">
        <v>205</v>
      </c>
      <c r="B872" t="s">
        <v>207</v>
      </c>
      <c r="C872" s="18">
        <v>2045</v>
      </c>
      <c r="D872" t="s">
        <v>163</v>
      </c>
      <c r="E872" s="20">
        <v>152338.68898784401</v>
      </c>
      <c r="F872" s="20">
        <v>102935.62690973601</v>
      </c>
      <c r="G872" s="10">
        <v>102935.314985138</v>
      </c>
      <c r="H872" s="21">
        <f t="shared" si="26"/>
        <v>-0.31192459800513461</v>
      </c>
      <c r="I872" s="10">
        <v>152338.05281588601</v>
      </c>
      <c r="J872" s="21">
        <f t="shared" si="27"/>
        <v>-0.63617195800179616</v>
      </c>
    </row>
    <row r="873" spans="1:10">
      <c r="A873" t="s">
        <v>205</v>
      </c>
      <c r="B873" t="s">
        <v>207</v>
      </c>
      <c r="C873" s="18">
        <v>2045</v>
      </c>
      <c r="D873" t="s">
        <v>173</v>
      </c>
      <c r="E873" s="20">
        <v>483727.33594002703</v>
      </c>
      <c r="F873" s="20">
        <v>449719.27336530498</v>
      </c>
      <c r="G873" s="10">
        <v>449717.558047709</v>
      </c>
      <c r="H873" s="21">
        <f t="shared" si="26"/>
        <v>-1.7153175959829241</v>
      </c>
      <c r="I873" s="10">
        <v>483723.51612219802</v>
      </c>
      <c r="J873" s="21">
        <f t="shared" si="27"/>
        <v>-3.8198178290040232</v>
      </c>
    </row>
    <row r="874" spans="1:10">
      <c r="A874" t="s">
        <v>205</v>
      </c>
      <c r="B874" t="s">
        <v>207</v>
      </c>
      <c r="C874" s="18">
        <v>2045</v>
      </c>
      <c r="D874" t="s">
        <v>177</v>
      </c>
      <c r="E874" s="20">
        <v>831477.40687084105</v>
      </c>
      <c r="F874" s="20">
        <v>529996.16417470598</v>
      </c>
      <c r="G874" s="10">
        <v>529994.22695920803</v>
      </c>
      <c r="H874" s="21">
        <f t="shared" si="26"/>
        <v>-1.937215497950092</v>
      </c>
      <c r="I874" s="10">
        <v>831470.21009817696</v>
      </c>
      <c r="J874" s="21">
        <f t="shared" si="27"/>
        <v>-7.1967726640868932</v>
      </c>
    </row>
    <row r="875" spans="1:10">
      <c r="A875" t="s">
        <v>205</v>
      </c>
      <c r="B875" t="s">
        <v>207</v>
      </c>
      <c r="C875" s="18">
        <v>2045</v>
      </c>
      <c r="D875" t="s">
        <v>181</v>
      </c>
      <c r="E875" s="20">
        <v>645733.26197643799</v>
      </c>
      <c r="F875" s="20">
        <v>387750.90710349102</v>
      </c>
      <c r="G875" s="10">
        <v>387750.67878189799</v>
      </c>
      <c r="H875" s="21">
        <f t="shared" si="26"/>
        <v>-0.22832159302197397</v>
      </c>
      <c r="I875" s="10">
        <v>645730.44769895996</v>
      </c>
      <c r="J875" s="21">
        <f t="shared" si="27"/>
        <v>-2.8142774780280888</v>
      </c>
    </row>
    <row r="876" spans="1:10">
      <c r="A876" t="s">
        <v>205</v>
      </c>
      <c r="B876" t="s">
        <v>207</v>
      </c>
      <c r="C876" s="18">
        <v>2045</v>
      </c>
      <c r="D876" t="s">
        <v>209</v>
      </c>
      <c r="E876" s="20">
        <v>43190.604901873201</v>
      </c>
      <c r="F876" s="20">
        <v>7029.2761341447904</v>
      </c>
      <c r="G876" s="10">
        <v>7672.0682267846396</v>
      </c>
      <c r="H876" s="21">
        <f t="shared" si="26"/>
        <v>642.79209263984922</v>
      </c>
      <c r="I876" s="10">
        <v>43190.603751316099</v>
      </c>
      <c r="J876" s="21">
        <f t="shared" si="27"/>
        <v>-1.1505571019370109E-3</v>
      </c>
    </row>
    <row r="877" spans="1:10">
      <c r="A877" t="s">
        <v>205</v>
      </c>
      <c r="B877" t="s">
        <v>207</v>
      </c>
      <c r="C877" s="18">
        <v>2046</v>
      </c>
      <c r="D877" t="s">
        <v>187</v>
      </c>
      <c r="E877" s="20">
        <v>22211.108730045398</v>
      </c>
      <c r="F877" s="20">
        <v>15436.953922288099</v>
      </c>
      <c r="G877" s="10">
        <v>15436.8918612077</v>
      </c>
      <c r="H877" s="21">
        <f t="shared" si="26"/>
        <v>-6.2061080399871571E-2</v>
      </c>
      <c r="I877" s="10">
        <v>22210.974521910699</v>
      </c>
      <c r="J877" s="21">
        <f t="shared" si="27"/>
        <v>-0.13420813469929271</v>
      </c>
    </row>
    <row r="878" spans="1:10">
      <c r="A878" t="s">
        <v>205</v>
      </c>
      <c r="B878" t="s">
        <v>207</v>
      </c>
      <c r="C878" s="18">
        <v>2046</v>
      </c>
      <c r="D878" t="s">
        <v>227</v>
      </c>
      <c r="E878" s="20">
        <v>1230154.76762291</v>
      </c>
      <c r="F878" s="20">
        <v>295166.317527065</v>
      </c>
      <c r="G878" s="10">
        <v>295165.87720880198</v>
      </c>
      <c r="H878" s="21">
        <f t="shared" si="26"/>
        <v>-0.44031826301943511</v>
      </c>
      <c r="I878" s="10">
        <v>1230125.0687766999</v>
      </c>
      <c r="J878" s="21">
        <f t="shared" si="27"/>
        <v>-29.698846210027114</v>
      </c>
    </row>
    <row r="879" spans="1:10">
      <c r="A879" t="s">
        <v>205</v>
      </c>
      <c r="B879" t="s">
        <v>207</v>
      </c>
      <c r="C879" s="18">
        <v>2046</v>
      </c>
      <c r="D879" t="s">
        <v>163</v>
      </c>
      <c r="E879" s="20">
        <v>154919.91339467501</v>
      </c>
      <c r="F879" s="20">
        <v>104731.502126412</v>
      </c>
      <c r="G879" s="10">
        <v>104731.13398431199</v>
      </c>
      <c r="H879" s="21">
        <f t="shared" si="26"/>
        <v>-0.36814210000738967</v>
      </c>
      <c r="I879" s="10">
        <v>154919.18519988199</v>
      </c>
      <c r="J879" s="21">
        <f t="shared" si="27"/>
        <v>-0.72819479301688261</v>
      </c>
    </row>
    <row r="880" spans="1:10">
      <c r="A880" t="s">
        <v>205</v>
      </c>
      <c r="B880" t="s">
        <v>207</v>
      </c>
      <c r="C880" s="18">
        <v>2046</v>
      </c>
      <c r="D880" t="s">
        <v>173</v>
      </c>
      <c r="E880" s="20">
        <v>489563.91121630801</v>
      </c>
      <c r="F880" s="20">
        <v>455312.11279926001</v>
      </c>
      <c r="G880" s="10">
        <v>455310.080020589</v>
      </c>
      <c r="H880" s="21">
        <f t="shared" si="26"/>
        <v>-2.0327786710113287</v>
      </c>
      <c r="I880" s="10">
        <v>489559.56948849699</v>
      </c>
      <c r="J880" s="21">
        <f t="shared" si="27"/>
        <v>-4.3417278110282496</v>
      </c>
    </row>
    <row r="881" spans="1:10">
      <c r="A881" t="s">
        <v>205</v>
      </c>
      <c r="B881" t="s">
        <v>207</v>
      </c>
      <c r="C881" s="18">
        <v>2046</v>
      </c>
      <c r="D881" t="s">
        <v>177</v>
      </c>
      <c r="E881" s="20">
        <v>842030.32651318505</v>
      </c>
      <c r="F881" s="20">
        <v>538442.45017380896</v>
      </c>
      <c r="G881" s="10">
        <v>538440.16822828504</v>
      </c>
      <c r="H881" s="21">
        <f t="shared" si="26"/>
        <v>-2.2819455239223316</v>
      </c>
      <c r="I881" s="10">
        <v>842022.211146035</v>
      </c>
      <c r="J881" s="21">
        <f t="shared" si="27"/>
        <v>-8.115367150050588</v>
      </c>
    </row>
    <row r="882" spans="1:10">
      <c r="A882" t="s">
        <v>205</v>
      </c>
      <c r="B882" t="s">
        <v>207</v>
      </c>
      <c r="C882" s="18">
        <v>2046</v>
      </c>
      <c r="D882" t="s">
        <v>181</v>
      </c>
      <c r="E882" s="20">
        <v>656026.42132767499</v>
      </c>
      <c r="F882" s="20">
        <v>397432.22852327698</v>
      </c>
      <c r="G882" s="10">
        <v>397431.95060261199</v>
      </c>
      <c r="H882" s="21">
        <f t="shared" si="26"/>
        <v>-0.27792066498659551</v>
      </c>
      <c r="I882" s="10">
        <v>656023.20384824695</v>
      </c>
      <c r="J882" s="21">
        <f t="shared" si="27"/>
        <v>-3.217479428043589</v>
      </c>
    </row>
    <row r="883" spans="1:10">
      <c r="A883" t="s">
        <v>205</v>
      </c>
      <c r="B883" t="s">
        <v>207</v>
      </c>
      <c r="C883" s="18">
        <v>2046</v>
      </c>
      <c r="D883" t="s">
        <v>209</v>
      </c>
      <c r="E883" s="20">
        <v>43196.311611591198</v>
      </c>
      <c r="F883" s="20">
        <v>7026.6989765620301</v>
      </c>
      <c r="G883" s="10">
        <v>7693.5570486562501</v>
      </c>
      <c r="H883" s="21">
        <f t="shared" si="26"/>
        <v>666.85807209422001</v>
      </c>
      <c r="I883" s="10">
        <v>43196.310323112302</v>
      </c>
      <c r="J883" s="21">
        <f t="shared" si="27"/>
        <v>-1.2884788957308047E-3</v>
      </c>
    </row>
    <row r="884" spans="1:10">
      <c r="A884" t="s">
        <v>205</v>
      </c>
      <c r="B884" t="s">
        <v>207</v>
      </c>
      <c r="C884" s="18">
        <v>2047</v>
      </c>
      <c r="D884" t="s">
        <v>187</v>
      </c>
      <c r="E884" s="20">
        <v>22699.811475980401</v>
      </c>
      <c r="F884" s="20">
        <v>15728.556843099899</v>
      </c>
      <c r="G884" s="10">
        <v>15728.485494730299</v>
      </c>
      <c r="H884" s="21">
        <f t="shared" si="26"/>
        <v>-7.1348369599945727E-2</v>
      </c>
      <c r="I884" s="10">
        <v>22699.6629629007</v>
      </c>
      <c r="J884" s="21">
        <f t="shared" si="27"/>
        <v>-0.1485130797009333</v>
      </c>
    </row>
    <row r="885" spans="1:10">
      <c r="A885" t="s">
        <v>205</v>
      </c>
      <c r="B885" t="s">
        <v>207</v>
      </c>
      <c r="C885" s="18">
        <v>2047</v>
      </c>
      <c r="D885" t="s">
        <v>227</v>
      </c>
      <c r="E885" s="20">
        <v>1235307.5398051799</v>
      </c>
      <c r="F885" s="20">
        <v>302181.08205442101</v>
      </c>
      <c r="G885" s="10">
        <v>302180.55031250097</v>
      </c>
      <c r="H885" s="21">
        <f t="shared" si="26"/>
        <v>-0.53174192004371434</v>
      </c>
      <c r="I885" s="10">
        <v>1235274.66521773</v>
      </c>
      <c r="J885" s="21">
        <f t="shared" si="27"/>
        <v>-32.874587449943647</v>
      </c>
    </row>
    <row r="886" spans="1:10">
      <c r="A886" t="s">
        <v>205</v>
      </c>
      <c r="B886" t="s">
        <v>207</v>
      </c>
      <c r="C886" s="18">
        <v>2047</v>
      </c>
      <c r="D886" t="s">
        <v>163</v>
      </c>
      <c r="E886" s="20">
        <v>157436.767873626</v>
      </c>
      <c r="F886" s="20">
        <v>106488.109047929</v>
      </c>
      <c r="G886" s="10">
        <v>106487.67776034201</v>
      </c>
      <c r="H886" s="21">
        <f t="shared" si="26"/>
        <v>-0.43128758699458558</v>
      </c>
      <c r="I886" s="10">
        <v>157435.937342911</v>
      </c>
      <c r="J886" s="21">
        <f t="shared" si="27"/>
        <v>-0.83053071500035003</v>
      </c>
    </row>
    <row r="887" spans="1:10">
      <c r="A887" t="s">
        <v>205</v>
      </c>
      <c r="B887" t="s">
        <v>207</v>
      </c>
      <c r="C887" s="18">
        <v>2047</v>
      </c>
      <c r="D887" t="s">
        <v>173</v>
      </c>
      <c r="E887" s="20">
        <v>495052.24455965101</v>
      </c>
      <c r="F887" s="20">
        <v>460541.82371589198</v>
      </c>
      <c r="G887" s="10">
        <v>460539.427749469</v>
      </c>
      <c r="H887" s="21">
        <f t="shared" si="26"/>
        <v>-2.395966422976926</v>
      </c>
      <c r="I887" s="10">
        <v>495047.33168069902</v>
      </c>
      <c r="J887" s="21">
        <f t="shared" si="27"/>
        <v>-4.9128789519891143</v>
      </c>
    </row>
    <row r="888" spans="1:10">
      <c r="A888" t="s">
        <v>205</v>
      </c>
      <c r="B888" t="s">
        <v>207</v>
      </c>
      <c r="C888" s="18">
        <v>2047</v>
      </c>
      <c r="D888" t="s">
        <v>177</v>
      </c>
      <c r="E888" s="20">
        <v>852366.14653212402</v>
      </c>
      <c r="F888" s="20">
        <v>546895.55520361604</v>
      </c>
      <c r="G888" s="10">
        <v>546892.884748123</v>
      </c>
      <c r="H888" s="21">
        <f t="shared" si="26"/>
        <v>-2.6704554930329323</v>
      </c>
      <c r="I888" s="10">
        <v>852357.03689663101</v>
      </c>
      <c r="J888" s="21">
        <f t="shared" si="27"/>
        <v>-9.1096354930195957</v>
      </c>
    </row>
    <row r="889" spans="1:10">
      <c r="A889" t="s">
        <v>205</v>
      </c>
      <c r="B889" t="s">
        <v>207</v>
      </c>
      <c r="C889" s="18">
        <v>2047</v>
      </c>
      <c r="D889" t="s">
        <v>181</v>
      </c>
      <c r="E889" s="20">
        <v>665964.19607659394</v>
      </c>
      <c r="F889" s="20">
        <v>406938.64660105301</v>
      </c>
      <c r="G889" s="10">
        <v>406938.30985862098</v>
      </c>
      <c r="H889" s="21">
        <f t="shared" si="26"/>
        <v>-0.33674243203131482</v>
      </c>
      <c r="I889" s="10">
        <v>665960.53053760703</v>
      </c>
      <c r="J889" s="21">
        <f t="shared" si="27"/>
        <v>-3.6655389869119972</v>
      </c>
    </row>
    <row r="890" spans="1:10">
      <c r="A890" t="s">
        <v>205</v>
      </c>
      <c r="B890" t="s">
        <v>207</v>
      </c>
      <c r="C890" s="18">
        <v>2047</v>
      </c>
      <c r="D890" t="s">
        <v>209</v>
      </c>
      <c r="E890" s="20">
        <v>43217.635627138203</v>
      </c>
      <c r="F890" s="20">
        <v>7026.5427428788498</v>
      </c>
      <c r="G890" s="10">
        <v>7716.2645250788601</v>
      </c>
      <c r="H890" s="21">
        <f t="shared" si="26"/>
        <v>689.72178220001024</v>
      </c>
      <c r="I890" s="10">
        <v>43217.634192350401</v>
      </c>
      <c r="J890" s="21">
        <f t="shared" si="27"/>
        <v>-1.4347878022817895E-3</v>
      </c>
    </row>
    <row r="891" spans="1:10">
      <c r="A891" t="s">
        <v>205</v>
      </c>
      <c r="B891" t="s">
        <v>207</v>
      </c>
      <c r="C891" s="18">
        <v>2048</v>
      </c>
      <c r="D891" t="s">
        <v>187</v>
      </c>
      <c r="E891" s="20">
        <v>23179.941035623699</v>
      </c>
      <c r="F891" s="20">
        <v>16025.3003031874</v>
      </c>
      <c r="G891" s="10">
        <v>16025.2187605858</v>
      </c>
      <c r="H891" s="21">
        <f t="shared" si="26"/>
        <v>-8.154260159972182E-2</v>
      </c>
      <c r="I891" s="10">
        <v>23179.777529823201</v>
      </c>
      <c r="J891" s="21">
        <f t="shared" si="27"/>
        <v>-0.16350580049765995</v>
      </c>
    </row>
    <row r="892" spans="1:10">
      <c r="A892" t="s">
        <v>205</v>
      </c>
      <c r="B892" t="s">
        <v>207</v>
      </c>
      <c r="C892" s="18">
        <v>2048</v>
      </c>
      <c r="D892" t="s">
        <v>227</v>
      </c>
      <c r="E892" s="20">
        <v>1240245.3378127101</v>
      </c>
      <c r="F892" s="20">
        <v>308964.94875932799</v>
      </c>
      <c r="G892" s="10">
        <v>308964.31037728197</v>
      </c>
      <c r="H892" s="21">
        <f t="shared" si="26"/>
        <v>-0.6383820460177958</v>
      </c>
      <c r="I892" s="10">
        <v>1240209.10376068</v>
      </c>
      <c r="J892" s="21">
        <f t="shared" si="27"/>
        <v>-36.234052030136809</v>
      </c>
    </row>
    <row r="893" spans="1:10">
      <c r="A893" t="s">
        <v>205</v>
      </c>
      <c r="B893" t="s">
        <v>207</v>
      </c>
      <c r="C893" s="18">
        <v>2048</v>
      </c>
      <c r="D893" t="s">
        <v>163</v>
      </c>
      <c r="E893" s="20">
        <v>159878.01366140699</v>
      </c>
      <c r="F893" s="20">
        <v>108205.811194234</v>
      </c>
      <c r="G893" s="10">
        <v>108205.309376064</v>
      </c>
      <c r="H893" s="21">
        <f t="shared" si="26"/>
        <v>-0.50181816999975126</v>
      </c>
      <c r="I893" s="10">
        <v>159877.06955740901</v>
      </c>
      <c r="J893" s="21">
        <f t="shared" si="27"/>
        <v>-0.94410399798653089</v>
      </c>
    </row>
    <row r="894" spans="1:10">
      <c r="A894" t="s">
        <v>205</v>
      </c>
      <c r="B894" t="s">
        <v>207</v>
      </c>
      <c r="C894" s="18">
        <v>2048</v>
      </c>
      <c r="D894" t="s">
        <v>173</v>
      </c>
      <c r="E894" s="20">
        <v>500257.50145603402</v>
      </c>
      <c r="F894" s="20">
        <v>465561.289229232</v>
      </c>
      <c r="G894" s="10">
        <v>465558.478994868</v>
      </c>
      <c r="H894" s="21">
        <f t="shared" si="26"/>
        <v>-2.810234364005737</v>
      </c>
      <c r="I894" s="10">
        <v>500251.96367663803</v>
      </c>
      <c r="J894" s="21">
        <f t="shared" si="27"/>
        <v>-5.537779395992402</v>
      </c>
    </row>
    <row r="895" spans="1:10">
      <c r="A895" t="s">
        <v>205</v>
      </c>
      <c r="B895" t="s">
        <v>207</v>
      </c>
      <c r="C895" s="18">
        <v>2048</v>
      </c>
      <c r="D895" t="s">
        <v>177</v>
      </c>
      <c r="E895" s="20">
        <v>862431.37789010105</v>
      </c>
      <c r="F895" s="20">
        <v>555222.35976816097</v>
      </c>
      <c r="G895" s="10">
        <v>555219.25427407597</v>
      </c>
      <c r="H895" s="21">
        <f t="shared" si="26"/>
        <v>-3.1054940850008279</v>
      </c>
      <c r="I895" s="10">
        <v>862421.19766606798</v>
      </c>
      <c r="J895" s="21">
        <f t="shared" si="27"/>
        <v>-10.180224033072591</v>
      </c>
    </row>
    <row r="896" spans="1:10">
      <c r="A896" t="s">
        <v>205</v>
      </c>
      <c r="B896" t="s">
        <v>207</v>
      </c>
      <c r="C896" s="18">
        <v>2048</v>
      </c>
      <c r="D896" t="s">
        <v>181</v>
      </c>
      <c r="E896" s="20">
        <v>675542.22983266006</v>
      </c>
      <c r="F896" s="20">
        <v>416221.55196918902</v>
      </c>
      <c r="G896" s="10">
        <v>416221.14564351598</v>
      </c>
      <c r="H896" s="21">
        <f t="shared" si="26"/>
        <v>-0.40632567304419354</v>
      </c>
      <c r="I896" s="10">
        <v>675538.06713143899</v>
      </c>
      <c r="J896" s="21">
        <f t="shared" si="27"/>
        <v>-4.1627012210665271</v>
      </c>
    </row>
    <row r="897" spans="1:10">
      <c r="A897" t="s">
        <v>205</v>
      </c>
      <c r="B897" t="s">
        <v>207</v>
      </c>
      <c r="C897" s="18">
        <v>2048</v>
      </c>
      <c r="D897" t="s">
        <v>209</v>
      </c>
      <c r="E897" s="20">
        <v>43247.118157782497</v>
      </c>
      <c r="F897" s="20">
        <v>7029.1387623963001</v>
      </c>
      <c r="G897" s="10">
        <v>7740.9682323091401</v>
      </c>
      <c r="H897" s="21">
        <f t="shared" si="26"/>
        <v>711.82946991284007</v>
      </c>
      <c r="I897" s="10">
        <v>43247.116568268502</v>
      </c>
      <c r="J897" s="21">
        <f t="shared" si="27"/>
        <v>-1.5895139949861914E-3</v>
      </c>
    </row>
    <row r="898" spans="1:10">
      <c r="A898" t="s">
        <v>205</v>
      </c>
      <c r="B898" t="s">
        <v>207</v>
      </c>
      <c r="C898" s="18">
        <v>2049</v>
      </c>
      <c r="D898" t="s">
        <v>187</v>
      </c>
      <c r="E898" s="20">
        <v>23650.540827210301</v>
      </c>
      <c r="F898" s="20">
        <v>16322.7041793153</v>
      </c>
      <c r="G898" s="10">
        <v>16322.61151708</v>
      </c>
      <c r="H898" s="21">
        <f t="shared" ref="H898:H961" si="28">G898-F898</f>
        <v>-9.2662235299940221E-2</v>
      </c>
      <c r="I898" s="10">
        <v>23650.361484044901</v>
      </c>
      <c r="J898" s="21">
        <f t="shared" ref="J898:J961" si="29">I898-E898</f>
        <v>-0.17934316540049622</v>
      </c>
    </row>
    <row r="899" spans="1:10">
      <c r="A899" t="s">
        <v>205</v>
      </c>
      <c r="B899" t="s">
        <v>207</v>
      </c>
      <c r="C899" s="18">
        <v>2049</v>
      </c>
      <c r="D899" t="s">
        <v>227</v>
      </c>
      <c r="E899" s="20">
        <v>1244998.1452305701</v>
      </c>
      <c r="F899" s="20">
        <v>315529.41662651999</v>
      </c>
      <c r="G899" s="10">
        <v>315528.65457465599</v>
      </c>
      <c r="H899" s="21">
        <f t="shared" si="28"/>
        <v>-0.76205186400329694</v>
      </c>
      <c r="I899" s="10">
        <v>1244958.37630862</v>
      </c>
      <c r="J899" s="21">
        <f t="shared" si="29"/>
        <v>-39.768921950133517</v>
      </c>
    </row>
    <row r="900" spans="1:10">
      <c r="A900" t="s">
        <v>205</v>
      </c>
      <c r="B900" t="s">
        <v>207</v>
      </c>
      <c r="C900" s="18">
        <v>2049</v>
      </c>
      <c r="D900" t="s">
        <v>163</v>
      </c>
      <c r="E900" s="20">
        <v>162239.20473975301</v>
      </c>
      <c r="F900" s="20">
        <v>109882.951546435</v>
      </c>
      <c r="G900" s="10">
        <v>109882.371148655</v>
      </c>
      <c r="H900" s="21">
        <f t="shared" si="28"/>
        <v>-0.58039777999510989</v>
      </c>
      <c r="I900" s="10">
        <v>162238.134685625</v>
      </c>
      <c r="J900" s="21">
        <f t="shared" si="29"/>
        <v>-1.0700541280093603</v>
      </c>
    </row>
    <row r="901" spans="1:10">
      <c r="A901" t="s">
        <v>205</v>
      </c>
      <c r="B901" t="s">
        <v>207</v>
      </c>
      <c r="C901" s="18">
        <v>2049</v>
      </c>
      <c r="D901" t="s">
        <v>173</v>
      </c>
      <c r="E901" s="20">
        <v>505222.12109939702</v>
      </c>
      <c r="F901" s="20">
        <v>470387.16038833302</v>
      </c>
      <c r="G901" s="10">
        <v>470383.880162835</v>
      </c>
      <c r="H901" s="21">
        <f t="shared" si="28"/>
        <v>-3.2802254980197176</v>
      </c>
      <c r="I901" s="10">
        <v>505215.90050813899</v>
      </c>
      <c r="J901" s="21">
        <f t="shared" si="29"/>
        <v>-6.2205912580247968</v>
      </c>
    </row>
    <row r="902" spans="1:10">
      <c r="A902" t="s">
        <v>205</v>
      </c>
      <c r="B902" t="s">
        <v>207</v>
      </c>
      <c r="C902" s="18">
        <v>2049</v>
      </c>
      <c r="D902" t="s">
        <v>177</v>
      </c>
      <c r="E902" s="20">
        <v>872050.74166867696</v>
      </c>
      <c r="F902" s="20">
        <v>563341.35411894496</v>
      </c>
      <c r="G902" s="10">
        <v>563337.76559367101</v>
      </c>
      <c r="H902" s="21">
        <f t="shared" si="28"/>
        <v>-3.5885252739535645</v>
      </c>
      <c r="I902" s="10">
        <v>872039.41256190802</v>
      </c>
      <c r="J902" s="21">
        <f t="shared" si="29"/>
        <v>-11.329106768942438</v>
      </c>
    </row>
    <row r="903" spans="1:10">
      <c r="A903" t="s">
        <v>205</v>
      </c>
      <c r="B903" t="s">
        <v>207</v>
      </c>
      <c r="C903" s="18">
        <v>2049</v>
      </c>
      <c r="D903" t="s">
        <v>181</v>
      </c>
      <c r="E903" s="20">
        <v>684804.23151315795</v>
      </c>
      <c r="F903" s="20">
        <v>425211.78338998498</v>
      </c>
      <c r="G903" s="10">
        <v>425211.29480666103</v>
      </c>
      <c r="H903" s="21">
        <f t="shared" si="28"/>
        <v>-0.48858332395320758</v>
      </c>
      <c r="I903" s="10">
        <v>684799.51924341801</v>
      </c>
      <c r="J903" s="21">
        <f t="shared" si="29"/>
        <v>-4.7122697399463505</v>
      </c>
    </row>
    <row r="904" spans="1:10">
      <c r="A904" t="s">
        <v>205</v>
      </c>
      <c r="B904" t="s">
        <v>207</v>
      </c>
      <c r="C904" s="18">
        <v>2049</v>
      </c>
      <c r="D904" t="s">
        <v>209</v>
      </c>
      <c r="E904" s="20">
        <v>43287.695868905103</v>
      </c>
      <c r="F904" s="20">
        <v>7031.2689433335399</v>
      </c>
      <c r="G904" s="10">
        <v>7764.4250577338198</v>
      </c>
      <c r="H904" s="21">
        <f t="shared" si="28"/>
        <v>733.15611440027988</v>
      </c>
      <c r="I904" s="10">
        <v>43287.694118175197</v>
      </c>
      <c r="J904" s="21">
        <f t="shared" si="29"/>
        <v>-1.7507299053249881E-3</v>
      </c>
    </row>
    <row r="905" spans="1:10">
      <c r="A905" t="s">
        <v>205</v>
      </c>
      <c r="B905" t="s">
        <v>207</v>
      </c>
      <c r="C905" s="18">
        <v>2050</v>
      </c>
      <c r="D905" t="s">
        <v>187</v>
      </c>
      <c r="E905" s="20">
        <v>24110.6267036926</v>
      </c>
      <c r="F905" s="20">
        <v>16619.028469082201</v>
      </c>
      <c r="G905" s="10">
        <v>16618.923709126098</v>
      </c>
      <c r="H905" s="21">
        <f t="shared" si="28"/>
        <v>-0.10475995610249811</v>
      </c>
      <c r="I905" s="10">
        <v>24110.4306261692</v>
      </c>
      <c r="J905" s="21">
        <f t="shared" si="29"/>
        <v>-0.19607752340016305</v>
      </c>
    </row>
    <row r="906" spans="1:10">
      <c r="A906" t="s">
        <v>205</v>
      </c>
      <c r="B906" t="s">
        <v>207</v>
      </c>
      <c r="C906" s="18">
        <v>2050</v>
      </c>
      <c r="D906" t="s">
        <v>227</v>
      </c>
      <c r="E906" s="20">
        <v>1249618.45890261</v>
      </c>
      <c r="F906" s="20">
        <v>321867.05038334703</v>
      </c>
      <c r="G906" s="10">
        <v>321866.14542390499</v>
      </c>
      <c r="H906" s="21">
        <f t="shared" si="28"/>
        <v>-0.90495944203576073</v>
      </c>
      <c r="I906" s="10">
        <v>1249574.9812984299</v>
      </c>
      <c r="J906" s="21">
        <f t="shared" si="29"/>
        <v>-43.477604180108756</v>
      </c>
    </row>
    <row r="907" spans="1:10">
      <c r="A907" t="s">
        <v>205</v>
      </c>
      <c r="B907" t="s">
        <v>207</v>
      </c>
      <c r="C907" s="18">
        <v>2050</v>
      </c>
      <c r="D907" t="s">
        <v>163</v>
      </c>
      <c r="E907" s="20">
        <v>164528.158856138</v>
      </c>
      <c r="F907" s="20">
        <v>111496.927774752</v>
      </c>
      <c r="G907" s="10">
        <v>111496.260054028</v>
      </c>
      <c r="H907" s="21">
        <f t="shared" si="28"/>
        <v>-0.66772072399908211</v>
      </c>
      <c r="I907" s="10">
        <v>164526.94959842</v>
      </c>
      <c r="J907" s="21">
        <f t="shared" si="29"/>
        <v>-1.2092577180010267</v>
      </c>
    </row>
    <row r="908" spans="1:10">
      <c r="A908" t="s">
        <v>205</v>
      </c>
      <c r="B908" t="s">
        <v>207</v>
      </c>
      <c r="C908" s="18">
        <v>2050</v>
      </c>
      <c r="D908" t="s">
        <v>173</v>
      </c>
      <c r="E908" s="20">
        <v>509930.75977721898</v>
      </c>
      <c r="F908" s="20">
        <v>474897.06454101001</v>
      </c>
      <c r="G908" s="10">
        <v>474893.25455494301</v>
      </c>
      <c r="H908" s="21">
        <f t="shared" si="28"/>
        <v>-3.8099860670045018</v>
      </c>
      <c r="I908" s="10">
        <v>509923.79465326603</v>
      </c>
      <c r="J908" s="21">
        <f t="shared" si="29"/>
        <v>-6.9651239529484883</v>
      </c>
    </row>
    <row r="909" spans="1:10">
      <c r="A909" t="s">
        <v>205</v>
      </c>
      <c r="B909" t="s">
        <v>207</v>
      </c>
      <c r="C909" s="18">
        <v>2050</v>
      </c>
      <c r="D909" t="s">
        <v>177</v>
      </c>
      <c r="E909" s="20">
        <v>881232.76992555405</v>
      </c>
      <c r="F909" s="20">
        <v>571309.25281226099</v>
      </c>
      <c r="G909" s="10">
        <v>571305.13066545594</v>
      </c>
      <c r="H909" s="21">
        <f t="shared" si="28"/>
        <v>-4.1221468050498515</v>
      </c>
      <c r="I909" s="10">
        <v>881220.21017861494</v>
      </c>
      <c r="J909" s="21">
        <f t="shared" si="29"/>
        <v>-12.559746939106844</v>
      </c>
    </row>
    <row r="910" spans="1:10">
      <c r="A910" t="s">
        <v>205</v>
      </c>
      <c r="B910" t="s">
        <v>207</v>
      </c>
      <c r="C910" s="18">
        <v>2050</v>
      </c>
      <c r="D910" t="s">
        <v>181</v>
      </c>
      <c r="E910" s="20">
        <v>693838.69523694494</v>
      </c>
      <c r="F910" s="20">
        <v>433928.70250750502</v>
      </c>
      <c r="G910" s="10">
        <v>433928.11684243701</v>
      </c>
      <c r="H910" s="21">
        <f t="shared" si="28"/>
        <v>-0.5856650680070743</v>
      </c>
      <c r="I910" s="10">
        <v>693833.37581002596</v>
      </c>
      <c r="J910" s="21">
        <f t="shared" si="29"/>
        <v>-5.3194269189843908</v>
      </c>
    </row>
    <row r="911" spans="1:10">
      <c r="A911" t="s">
        <v>205</v>
      </c>
      <c r="B911" t="s">
        <v>207</v>
      </c>
      <c r="C911" s="18">
        <v>2050</v>
      </c>
      <c r="D911" t="s">
        <v>209</v>
      </c>
      <c r="E911" s="20">
        <v>43337.335988880703</v>
      </c>
      <c r="F911" s="20">
        <v>7031.7905935579101</v>
      </c>
      <c r="G911" s="10">
        <v>7785.5925162465101</v>
      </c>
      <c r="H911" s="21">
        <f t="shared" si="28"/>
        <v>753.80192268859992</v>
      </c>
      <c r="I911" s="10">
        <v>43337.334071848098</v>
      </c>
      <c r="J911" s="21">
        <f t="shared" si="29"/>
        <v>-1.9170326049788855E-3</v>
      </c>
    </row>
    <row r="912" spans="1:10">
      <c r="A912" t="s">
        <v>212</v>
      </c>
      <c r="B912" t="s">
        <v>214</v>
      </c>
      <c r="C912" s="18">
        <v>2025</v>
      </c>
      <c r="D912" t="s">
        <v>187</v>
      </c>
      <c r="E912" s="20">
        <v>12347.3896757033</v>
      </c>
      <c r="F912" s="20">
        <v>8975.3084972287597</v>
      </c>
      <c r="G912" s="10">
        <v>8975.3084972287597</v>
      </c>
      <c r="H912" s="21">
        <f t="shared" si="28"/>
        <v>0</v>
      </c>
      <c r="I912" s="10">
        <v>12347.3896757033</v>
      </c>
      <c r="J912" s="21">
        <f t="shared" si="29"/>
        <v>0</v>
      </c>
    </row>
    <row r="913" spans="1:10">
      <c r="A913" t="s">
        <v>212</v>
      </c>
      <c r="B913" t="s">
        <v>214</v>
      </c>
      <c r="C913" s="18">
        <v>2025</v>
      </c>
      <c r="D913" t="s">
        <v>227</v>
      </c>
      <c r="E913" s="20">
        <v>1026043.97207164</v>
      </c>
      <c r="F913" s="20">
        <v>129403.02283067199</v>
      </c>
      <c r="G913" s="10">
        <v>129403.02283067199</v>
      </c>
      <c r="H913" s="21">
        <f t="shared" si="28"/>
        <v>0</v>
      </c>
      <c r="I913" s="10">
        <v>1026043.97207164</v>
      </c>
      <c r="J913" s="21">
        <f t="shared" si="29"/>
        <v>0</v>
      </c>
    </row>
    <row r="914" spans="1:10">
      <c r="A914" t="s">
        <v>212</v>
      </c>
      <c r="B914" t="s">
        <v>214</v>
      </c>
      <c r="C914" s="18">
        <v>2025</v>
      </c>
      <c r="D914" t="s">
        <v>163</v>
      </c>
      <c r="E914" s="20">
        <v>91684.509014274605</v>
      </c>
      <c r="F914" s="20">
        <v>63318.751825202096</v>
      </c>
      <c r="G914" s="10">
        <v>63318.751825202096</v>
      </c>
      <c r="H914" s="21">
        <f t="shared" si="28"/>
        <v>0</v>
      </c>
      <c r="I914" s="10">
        <v>91684.509014274605</v>
      </c>
      <c r="J914" s="21">
        <f t="shared" si="29"/>
        <v>0</v>
      </c>
    </row>
    <row r="915" spans="1:10">
      <c r="A915" t="s">
        <v>212</v>
      </c>
      <c r="B915" t="s">
        <v>214</v>
      </c>
      <c r="C915" s="18">
        <v>2025</v>
      </c>
      <c r="D915" t="s">
        <v>173</v>
      </c>
      <c r="E915" s="20">
        <v>327817.99211152899</v>
      </c>
      <c r="F915" s="20">
        <v>300216.82861998002</v>
      </c>
      <c r="G915" s="10">
        <v>300216.82861998002</v>
      </c>
      <c r="H915" s="21">
        <f t="shared" si="28"/>
        <v>0</v>
      </c>
      <c r="I915" s="10">
        <v>327817.99211152899</v>
      </c>
      <c r="J915" s="21">
        <f t="shared" si="29"/>
        <v>0</v>
      </c>
    </row>
    <row r="916" spans="1:10">
      <c r="A916" t="s">
        <v>212</v>
      </c>
      <c r="B916" t="s">
        <v>214</v>
      </c>
      <c r="C916" s="18">
        <v>2025</v>
      </c>
      <c r="D916" t="s">
        <v>177</v>
      </c>
      <c r="E916" s="20">
        <v>563964.12892884796</v>
      </c>
      <c r="F916" s="20">
        <v>321188.16298793198</v>
      </c>
      <c r="G916" s="10">
        <v>321188.16298793198</v>
      </c>
      <c r="H916" s="21">
        <f t="shared" si="28"/>
        <v>0</v>
      </c>
      <c r="I916" s="10">
        <v>563964.12892884796</v>
      </c>
      <c r="J916" s="21">
        <f t="shared" si="29"/>
        <v>0</v>
      </c>
    </row>
    <row r="917" spans="1:10">
      <c r="A917" t="s">
        <v>212</v>
      </c>
      <c r="B917" t="s">
        <v>214</v>
      </c>
      <c r="C917" s="18">
        <v>2025</v>
      </c>
      <c r="D917" t="s">
        <v>181</v>
      </c>
      <c r="E917" s="20">
        <v>396205.91279756802</v>
      </c>
      <c r="F917" s="20">
        <v>191954.71357959701</v>
      </c>
      <c r="G917" s="10">
        <v>191954.71357959701</v>
      </c>
      <c r="H917" s="21">
        <f t="shared" si="28"/>
        <v>0</v>
      </c>
      <c r="I917" s="10">
        <v>396205.91279756802</v>
      </c>
      <c r="J917" s="21">
        <f t="shared" si="29"/>
        <v>0</v>
      </c>
    </row>
    <row r="918" spans="1:10">
      <c r="A918" t="s">
        <v>212</v>
      </c>
      <c r="B918" t="s">
        <v>214</v>
      </c>
      <c r="C918" s="18">
        <v>2025</v>
      </c>
      <c r="D918" t="s">
        <v>209</v>
      </c>
      <c r="E918" s="20">
        <v>44024.855784556101</v>
      </c>
      <c r="F918" s="20">
        <v>6954.92501566787</v>
      </c>
      <c r="G918" s="10">
        <v>6961.0286695127397</v>
      </c>
      <c r="H918" s="21">
        <f t="shared" si="28"/>
        <v>6.1036538448697684</v>
      </c>
      <c r="I918" s="10">
        <v>44024.855784556101</v>
      </c>
      <c r="J918" s="21">
        <f t="shared" si="29"/>
        <v>0</v>
      </c>
    </row>
    <row r="919" spans="1:10">
      <c r="A919" t="s">
        <v>212</v>
      </c>
      <c r="B919" t="s">
        <v>214</v>
      </c>
      <c r="C919" s="18">
        <v>2026</v>
      </c>
      <c r="D919" t="s">
        <v>187</v>
      </c>
      <c r="E919" s="20">
        <v>12812.5079528433</v>
      </c>
      <c r="F919" s="20">
        <v>9308.2642091095495</v>
      </c>
      <c r="G919" s="10">
        <v>9308.2642091095495</v>
      </c>
      <c r="H919" s="21">
        <f t="shared" si="28"/>
        <v>0</v>
      </c>
      <c r="I919" s="10">
        <v>12812.507871628</v>
      </c>
      <c r="J919" s="21">
        <f t="shared" si="29"/>
        <v>-8.1215299360337667E-5</v>
      </c>
    </row>
    <row r="920" spans="1:10">
      <c r="A920" t="s">
        <v>212</v>
      </c>
      <c r="B920" t="s">
        <v>214</v>
      </c>
      <c r="C920" s="18">
        <v>2026</v>
      </c>
      <c r="D920" t="s">
        <v>227</v>
      </c>
      <c r="E920" s="20">
        <v>1040956.76026048</v>
      </c>
      <c r="F920" s="20">
        <v>137191.89613692299</v>
      </c>
      <c r="G920" s="10">
        <v>137191.89613692299</v>
      </c>
      <c r="H920" s="21">
        <f t="shared" si="28"/>
        <v>0</v>
      </c>
      <c r="I920" s="10">
        <v>1040956.74283153</v>
      </c>
      <c r="J920" s="21">
        <f t="shared" si="29"/>
        <v>-1.7428949940949678E-2</v>
      </c>
    </row>
    <row r="921" spans="1:10">
      <c r="A921" t="s">
        <v>212</v>
      </c>
      <c r="B921" t="s">
        <v>214</v>
      </c>
      <c r="C921" s="18">
        <v>2026</v>
      </c>
      <c r="D921" t="s">
        <v>163</v>
      </c>
      <c r="E921" s="20">
        <v>95077.183586026295</v>
      </c>
      <c r="F921" s="20">
        <v>65164.470413401701</v>
      </c>
      <c r="G921" s="10">
        <v>65164.470413401701</v>
      </c>
      <c r="H921" s="21">
        <f t="shared" si="28"/>
        <v>0</v>
      </c>
      <c r="I921" s="10">
        <v>95077.183303526501</v>
      </c>
      <c r="J921" s="21">
        <f t="shared" si="29"/>
        <v>-2.8249979368411005E-4</v>
      </c>
    </row>
    <row r="922" spans="1:10">
      <c r="A922" t="s">
        <v>212</v>
      </c>
      <c r="B922" t="s">
        <v>214</v>
      </c>
      <c r="C922" s="18">
        <v>2026</v>
      </c>
      <c r="D922" t="s">
        <v>173</v>
      </c>
      <c r="E922" s="20">
        <v>336875.42551324499</v>
      </c>
      <c r="F922" s="20">
        <v>308606.943045308</v>
      </c>
      <c r="G922" s="10">
        <v>308606.943045308</v>
      </c>
      <c r="H922" s="21">
        <f t="shared" si="28"/>
        <v>0</v>
      </c>
      <c r="I922" s="10">
        <v>336875.42349560501</v>
      </c>
      <c r="J922" s="21">
        <f t="shared" si="29"/>
        <v>-2.0176399848423898E-3</v>
      </c>
    </row>
    <row r="923" spans="1:10">
      <c r="A923" t="s">
        <v>212</v>
      </c>
      <c r="B923" t="s">
        <v>214</v>
      </c>
      <c r="C923" s="18">
        <v>2026</v>
      </c>
      <c r="D923" t="s">
        <v>177</v>
      </c>
      <c r="E923" s="20">
        <v>580111.54641352</v>
      </c>
      <c r="F923" s="20">
        <v>332896.18576831103</v>
      </c>
      <c r="G923" s="10">
        <v>332896.18576831103</v>
      </c>
      <c r="H923" s="21">
        <f t="shared" si="28"/>
        <v>0</v>
      </c>
      <c r="I923" s="10">
        <v>580111.54195764905</v>
      </c>
      <c r="J923" s="21">
        <f t="shared" si="29"/>
        <v>-4.4558709487318993E-3</v>
      </c>
    </row>
    <row r="924" spans="1:10">
      <c r="A924" t="s">
        <v>212</v>
      </c>
      <c r="B924" t="s">
        <v>214</v>
      </c>
      <c r="C924" s="18">
        <v>2026</v>
      </c>
      <c r="D924" t="s">
        <v>181</v>
      </c>
      <c r="E924" s="20">
        <v>409829.87431826099</v>
      </c>
      <c r="F924" s="20">
        <v>202008.19978323701</v>
      </c>
      <c r="G924" s="10">
        <v>202008.19978323701</v>
      </c>
      <c r="H924" s="21">
        <f t="shared" si="28"/>
        <v>0</v>
      </c>
      <c r="I924" s="10">
        <v>409829.87281699001</v>
      </c>
      <c r="J924" s="21">
        <f t="shared" si="29"/>
        <v>-1.5012709773145616E-3</v>
      </c>
    </row>
    <row r="925" spans="1:10">
      <c r="A925" t="s">
        <v>212</v>
      </c>
      <c r="B925" t="s">
        <v>214</v>
      </c>
      <c r="C925" s="18">
        <v>2026</v>
      </c>
      <c r="D925" t="s">
        <v>209</v>
      </c>
      <c r="E925" s="20">
        <v>44219.170751765298</v>
      </c>
      <c r="F925" s="20">
        <v>7011.7399302327103</v>
      </c>
      <c r="G925" s="10">
        <v>7023.7712687228704</v>
      </c>
      <c r="H925" s="21">
        <f t="shared" si="28"/>
        <v>12.031338490160124</v>
      </c>
      <c r="I925" s="10">
        <v>44219.170751765298</v>
      </c>
      <c r="J925" s="21">
        <f t="shared" si="29"/>
        <v>0</v>
      </c>
    </row>
    <row r="926" spans="1:10">
      <c r="A926" t="s">
        <v>212</v>
      </c>
      <c r="B926" t="s">
        <v>214</v>
      </c>
      <c r="C926" s="18">
        <v>2027</v>
      </c>
      <c r="D926" t="s">
        <v>187</v>
      </c>
      <c r="E926" s="20">
        <v>13273.4820166389</v>
      </c>
      <c r="F926" s="20">
        <v>9640.7153143323994</v>
      </c>
      <c r="G926" s="10">
        <v>9640.7153077701696</v>
      </c>
      <c r="H926" s="21">
        <f t="shared" si="28"/>
        <v>-6.5622298279777169E-6</v>
      </c>
      <c r="I926" s="10">
        <v>13273.481772584</v>
      </c>
      <c r="J926" s="21">
        <f t="shared" si="29"/>
        <v>-2.4405489966738969E-4</v>
      </c>
    </row>
    <row r="927" spans="1:10">
      <c r="A927" t="s">
        <v>212</v>
      </c>
      <c r="B927" t="s">
        <v>214</v>
      </c>
      <c r="C927" s="18">
        <v>2027</v>
      </c>
      <c r="D927" t="s">
        <v>227</v>
      </c>
      <c r="E927" s="20">
        <v>1055255.4619543401</v>
      </c>
      <c r="F927" s="20">
        <v>145087.130796716</v>
      </c>
      <c r="G927" s="10">
        <v>145087.13077641799</v>
      </c>
      <c r="H927" s="21">
        <f t="shared" si="28"/>
        <v>-2.0298000890761614E-5</v>
      </c>
      <c r="I927" s="10">
        <v>1055255.40879996</v>
      </c>
      <c r="J927" s="21">
        <f t="shared" si="29"/>
        <v>-5.3154380060732365E-2</v>
      </c>
    </row>
    <row r="928" spans="1:10">
      <c r="A928" t="s">
        <v>212</v>
      </c>
      <c r="B928" t="s">
        <v>214</v>
      </c>
      <c r="C928" s="18">
        <v>2027</v>
      </c>
      <c r="D928" t="s">
        <v>163</v>
      </c>
      <c r="E928" s="20">
        <v>98448.828760415796</v>
      </c>
      <c r="F928" s="20">
        <v>67068.016943393901</v>
      </c>
      <c r="G928" s="10">
        <v>67068.016908610196</v>
      </c>
      <c r="H928" s="21">
        <f t="shared" si="28"/>
        <v>-3.4783704904839396E-5</v>
      </c>
      <c r="I928" s="10">
        <v>98448.827883966893</v>
      </c>
      <c r="J928" s="21">
        <f t="shared" si="29"/>
        <v>-8.7644890299998224E-4</v>
      </c>
    </row>
    <row r="929" spans="1:10">
      <c r="A929" t="s">
        <v>212</v>
      </c>
      <c r="B929" t="s">
        <v>214</v>
      </c>
      <c r="C929" s="18">
        <v>2027</v>
      </c>
      <c r="D929" t="s">
        <v>173</v>
      </c>
      <c r="E929" s="20">
        <v>345936.71279067401</v>
      </c>
      <c r="F929" s="20">
        <v>317119.55372020003</v>
      </c>
      <c r="G929" s="10">
        <v>317119.55355255498</v>
      </c>
      <c r="H929" s="21">
        <f t="shared" si="28"/>
        <v>-1.6764504835009575E-4</v>
      </c>
      <c r="I929" s="10">
        <v>345936.70671640302</v>
      </c>
      <c r="J929" s="21">
        <f t="shared" si="29"/>
        <v>-6.0742709902115166E-3</v>
      </c>
    </row>
    <row r="930" spans="1:10">
      <c r="A930" t="s">
        <v>212</v>
      </c>
      <c r="B930" t="s">
        <v>214</v>
      </c>
      <c r="C930" s="18">
        <v>2027</v>
      </c>
      <c r="D930" t="s">
        <v>177</v>
      </c>
      <c r="E930" s="20">
        <v>596148.845822879</v>
      </c>
      <c r="F930" s="20">
        <v>344517.274867906</v>
      </c>
      <c r="G930" s="10">
        <v>344517.274659827</v>
      </c>
      <c r="H930" s="21">
        <f t="shared" si="28"/>
        <v>-2.0807900000363588E-4</v>
      </c>
      <c r="I930" s="10">
        <v>596148.83233467594</v>
      </c>
      <c r="J930" s="21">
        <f t="shared" si="29"/>
        <v>-1.348820305429399E-2</v>
      </c>
    </row>
    <row r="931" spans="1:10">
      <c r="A931" t="s">
        <v>212</v>
      </c>
      <c r="B931" t="s">
        <v>214</v>
      </c>
      <c r="C931" s="18">
        <v>2027</v>
      </c>
      <c r="D931" t="s">
        <v>181</v>
      </c>
      <c r="E931" s="20">
        <v>423485.10582794901</v>
      </c>
      <c r="F931" s="20">
        <v>211995.48803872601</v>
      </c>
      <c r="G931" s="10">
        <v>211995.48802417101</v>
      </c>
      <c r="H931" s="21">
        <f t="shared" si="28"/>
        <v>-1.4555000234395266E-5</v>
      </c>
      <c r="I931" s="10">
        <v>423485.10132199898</v>
      </c>
      <c r="J931" s="21">
        <f t="shared" si="29"/>
        <v>-4.5059500262141228E-3</v>
      </c>
    </row>
    <row r="932" spans="1:10">
      <c r="A932" t="s">
        <v>212</v>
      </c>
      <c r="B932" t="s">
        <v>214</v>
      </c>
      <c r="C932" s="18">
        <v>2027</v>
      </c>
      <c r="D932" t="s">
        <v>209</v>
      </c>
      <c r="E932" s="20">
        <v>44384.201839634399</v>
      </c>
      <c r="F932" s="20">
        <v>7062.2762998260396</v>
      </c>
      <c r="G932" s="10">
        <v>7080.0570056816796</v>
      </c>
      <c r="H932" s="21">
        <f t="shared" si="28"/>
        <v>17.780705855640008</v>
      </c>
      <c r="I932" s="10">
        <v>44384.2018393689</v>
      </c>
      <c r="J932" s="21">
        <f t="shared" si="29"/>
        <v>-2.6549969334155321E-7</v>
      </c>
    </row>
    <row r="933" spans="1:10">
      <c r="A933" t="s">
        <v>212</v>
      </c>
      <c r="B933" t="s">
        <v>214</v>
      </c>
      <c r="C933" s="18">
        <v>2028</v>
      </c>
      <c r="D933" t="s">
        <v>187</v>
      </c>
      <c r="E933" s="20">
        <v>13729.5009896141</v>
      </c>
      <c r="F933" s="20">
        <v>9971.4547479401008</v>
      </c>
      <c r="G933" s="10">
        <v>9971.4547216338906</v>
      </c>
      <c r="H933" s="21">
        <f t="shared" si="28"/>
        <v>-2.6306210202164948E-5</v>
      </c>
      <c r="I933" s="10">
        <v>13729.5005000864</v>
      </c>
      <c r="J933" s="21">
        <f t="shared" si="29"/>
        <v>-4.8952769975585397E-4</v>
      </c>
    </row>
    <row r="934" spans="1:10">
      <c r="A934" t="s">
        <v>212</v>
      </c>
      <c r="B934" t="s">
        <v>214</v>
      </c>
      <c r="C934" s="18">
        <v>2028</v>
      </c>
      <c r="D934" t="s">
        <v>227</v>
      </c>
      <c r="E934" s="20">
        <v>1069005.1788422901</v>
      </c>
      <c r="F934" s="20">
        <v>153077.867472957</v>
      </c>
      <c r="G934" s="10">
        <v>153077.86738724401</v>
      </c>
      <c r="H934" s="21">
        <f t="shared" si="28"/>
        <v>-8.5712992586195469E-5</v>
      </c>
      <c r="I934" s="10">
        <v>1069005.07088018</v>
      </c>
      <c r="J934" s="21">
        <f t="shared" si="29"/>
        <v>-0.10796211007982492</v>
      </c>
    </row>
    <row r="935" spans="1:10">
      <c r="A935" t="s">
        <v>212</v>
      </c>
      <c r="B935" t="s">
        <v>214</v>
      </c>
      <c r="C935" s="18">
        <v>2028</v>
      </c>
      <c r="D935" t="s">
        <v>163</v>
      </c>
      <c r="E935" s="20">
        <v>101797.96942578199</v>
      </c>
      <c r="F935" s="20">
        <v>69019.933264123203</v>
      </c>
      <c r="G935" s="10">
        <v>69019.933123164999</v>
      </c>
      <c r="H935" s="21">
        <f t="shared" si="28"/>
        <v>-1.4095820370130241E-4</v>
      </c>
      <c r="I935" s="10">
        <v>101797.96761407</v>
      </c>
      <c r="J935" s="21">
        <f t="shared" si="29"/>
        <v>-1.8117119907401502E-3</v>
      </c>
    </row>
    <row r="936" spans="1:10">
      <c r="A936" t="s">
        <v>212</v>
      </c>
      <c r="B936" t="s">
        <v>214</v>
      </c>
      <c r="C936" s="18">
        <v>2028</v>
      </c>
      <c r="D936" t="s">
        <v>173</v>
      </c>
      <c r="E936" s="20">
        <v>354965.54803453502</v>
      </c>
      <c r="F936" s="20">
        <v>325690.68369688501</v>
      </c>
      <c r="G936" s="10">
        <v>325690.68301689299</v>
      </c>
      <c r="H936" s="21">
        <f t="shared" si="28"/>
        <v>-6.7999202292412519E-4</v>
      </c>
      <c r="I936" s="10">
        <v>354965.53581913299</v>
      </c>
      <c r="J936" s="21">
        <f t="shared" si="29"/>
        <v>-1.2215402035508305E-2</v>
      </c>
    </row>
    <row r="937" spans="1:10">
      <c r="A937" t="s">
        <v>212</v>
      </c>
      <c r="B937" t="s">
        <v>214</v>
      </c>
      <c r="C937" s="18">
        <v>2028</v>
      </c>
      <c r="D937" t="s">
        <v>177</v>
      </c>
      <c r="E937" s="20">
        <v>612031.68668683304</v>
      </c>
      <c r="F937" s="20">
        <v>356073.57227512501</v>
      </c>
      <c r="G937" s="10">
        <v>356073.57143805898</v>
      </c>
      <c r="H937" s="21">
        <f t="shared" si="28"/>
        <v>-8.3706603618338704E-4</v>
      </c>
      <c r="I937" s="10">
        <v>612031.65944475099</v>
      </c>
      <c r="J937" s="21">
        <f t="shared" si="29"/>
        <v>-2.7242082054726779E-2</v>
      </c>
    </row>
    <row r="938" spans="1:10">
      <c r="A938" t="s">
        <v>212</v>
      </c>
      <c r="B938" t="s">
        <v>214</v>
      </c>
      <c r="C938" s="18">
        <v>2028</v>
      </c>
      <c r="D938" t="s">
        <v>181</v>
      </c>
      <c r="E938" s="20">
        <v>437159.76422024902</v>
      </c>
      <c r="F938" s="20">
        <v>221908.95862259399</v>
      </c>
      <c r="G938" s="10">
        <v>221908.95856330299</v>
      </c>
      <c r="H938" s="21">
        <f t="shared" si="28"/>
        <v>-5.9290992794558406E-5</v>
      </c>
      <c r="I938" s="10">
        <v>437159.75519195799</v>
      </c>
      <c r="J938" s="21">
        <f t="shared" si="29"/>
        <v>-9.0282910387031734E-3</v>
      </c>
    </row>
    <row r="939" spans="1:10">
      <c r="A939" t="s">
        <v>212</v>
      </c>
      <c r="B939" t="s">
        <v>214</v>
      </c>
      <c r="C939" s="18">
        <v>2028</v>
      </c>
      <c r="D939" t="s">
        <v>209</v>
      </c>
      <c r="E939" s="20">
        <v>44510.064964046796</v>
      </c>
      <c r="F939" s="20">
        <v>7107.6770182714199</v>
      </c>
      <c r="G939" s="10">
        <v>7131.0701635649802</v>
      </c>
      <c r="H939" s="21">
        <f t="shared" si="28"/>
        <v>23.393145293560337</v>
      </c>
      <c r="I939" s="10">
        <v>44510.064962992903</v>
      </c>
      <c r="J939" s="21">
        <f t="shared" si="29"/>
        <v>-1.0538933565840125E-6</v>
      </c>
    </row>
    <row r="940" spans="1:10">
      <c r="A940" t="s">
        <v>212</v>
      </c>
      <c r="B940" t="s">
        <v>214</v>
      </c>
      <c r="C940" s="18">
        <v>2029</v>
      </c>
      <c r="D940" t="s">
        <v>187</v>
      </c>
      <c r="E940" s="20">
        <v>14181.424457094001</v>
      </c>
      <c r="F940" s="20">
        <v>10301.229645244601</v>
      </c>
      <c r="G940" s="10">
        <v>10301.2295792609</v>
      </c>
      <c r="H940" s="21">
        <f t="shared" si="28"/>
        <v>-6.5983700551441871E-5</v>
      </c>
      <c r="I940" s="10">
        <v>14181.423637546701</v>
      </c>
      <c r="J940" s="21">
        <f t="shared" si="29"/>
        <v>-8.19547300125123E-4</v>
      </c>
    </row>
    <row r="941" spans="1:10">
      <c r="A941" t="s">
        <v>212</v>
      </c>
      <c r="B941" t="s">
        <v>214</v>
      </c>
      <c r="C941" s="18">
        <v>2029</v>
      </c>
      <c r="D941" t="s">
        <v>227</v>
      </c>
      <c r="E941" s="20">
        <v>1082252.57711842</v>
      </c>
      <c r="F941" s="20">
        <v>161161.06235837701</v>
      </c>
      <c r="G941" s="10">
        <v>161161.06213209301</v>
      </c>
      <c r="H941" s="21">
        <f t="shared" si="28"/>
        <v>-2.2628399892710149E-4</v>
      </c>
      <c r="I941" s="10">
        <v>1082252.3942307399</v>
      </c>
      <c r="J941" s="21">
        <f t="shared" si="29"/>
        <v>-0.18288768013007939</v>
      </c>
    </row>
    <row r="942" spans="1:10">
      <c r="A942" t="s">
        <v>212</v>
      </c>
      <c r="B942" t="s">
        <v>214</v>
      </c>
      <c r="C942" s="18">
        <v>2029</v>
      </c>
      <c r="D942" t="s">
        <v>163</v>
      </c>
      <c r="E942" s="20">
        <v>105114.696469776</v>
      </c>
      <c r="F942" s="20">
        <v>71042.054786614404</v>
      </c>
      <c r="G942" s="10">
        <v>71042.054429439493</v>
      </c>
      <c r="H942" s="21">
        <f t="shared" si="28"/>
        <v>-3.5717491118703038E-4</v>
      </c>
      <c r="I942" s="10">
        <v>105114.693344183</v>
      </c>
      <c r="J942" s="21">
        <f t="shared" si="29"/>
        <v>-3.125592993455939E-3</v>
      </c>
    </row>
    <row r="943" spans="1:10">
      <c r="A943" t="s">
        <v>212</v>
      </c>
      <c r="B943" t="s">
        <v>214</v>
      </c>
      <c r="C943" s="18">
        <v>2029</v>
      </c>
      <c r="D943" t="s">
        <v>173</v>
      </c>
      <c r="E943" s="20">
        <v>363896.22475734301</v>
      </c>
      <c r="F943" s="20">
        <v>334292.67886429501</v>
      </c>
      <c r="G943" s="10">
        <v>334292.677138926</v>
      </c>
      <c r="H943" s="21">
        <f t="shared" si="28"/>
        <v>-1.7253690166398883E-3</v>
      </c>
      <c r="I943" s="10">
        <v>363896.20424716797</v>
      </c>
      <c r="J943" s="21">
        <f t="shared" si="29"/>
        <v>-2.0510175032541156E-2</v>
      </c>
    </row>
    <row r="944" spans="1:10">
      <c r="A944" t="s">
        <v>212</v>
      </c>
      <c r="B944" t="s">
        <v>214</v>
      </c>
      <c r="C944" s="18">
        <v>2029</v>
      </c>
      <c r="D944" t="s">
        <v>177</v>
      </c>
      <c r="E944" s="20">
        <v>627726.38279787998</v>
      </c>
      <c r="F944" s="20">
        <v>367575.22485332401</v>
      </c>
      <c r="G944" s="10">
        <v>367575.22274735</v>
      </c>
      <c r="H944" s="21">
        <f t="shared" si="28"/>
        <v>-2.1059740101918578E-3</v>
      </c>
      <c r="I944" s="10">
        <v>627726.33689879405</v>
      </c>
      <c r="J944" s="21">
        <f t="shared" si="29"/>
        <v>-4.5899085933342576E-2</v>
      </c>
    </row>
    <row r="945" spans="1:10">
      <c r="A945" t="s">
        <v>212</v>
      </c>
      <c r="B945" t="s">
        <v>214</v>
      </c>
      <c r="C945" s="18">
        <v>2029</v>
      </c>
      <c r="D945" t="s">
        <v>181</v>
      </c>
      <c r="E945" s="20">
        <v>450786.14911315101</v>
      </c>
      <c r="F945" s="20">
        <v>231708.01902683501</v>
      </c>
      <c r="G945" s="10">
        <v>231708.01887569</v>
      </c>
      <c r="H945" s="21">
        <f t="shared" si="28"/>
        <v>-1.5114501002244651E-4</v>
      </c>
      <c r="I945" s="10">
        <v>450786.13401356898</v>
      </c>
      <c r="J945" s="21">
        <f t="shared" si="29"/>
        <v>-1.5099582029506564E-2</v>
      </c>
    </row>
    <row r="946" spans="1:10">
      <c r="A946" t="s">
        <v>212</v>
      </c>
      <c r="B946" t="s">
        <v>214</v>
      </c>
      <c r="C946" s="18">
        <v>2029</v>
      </c>
      <c r="D946" t="s">
        <v>209</v>
      </c>
      <c r="E946" s="20">
        <v>44600.261446201097</v>
      </c>
      <c r="F946" s="20">
        <v>7149.3386472199199</v>
      </c>
      <c r="G946" s="10">
        <v>7178.2193159725202</v>
      </c>
      <c r="H946" s="21">
        <f t="shared" si="28"/>
        <v>28.880668752600286</v>
      </c>
      <c r="I946" s="10">
        <v>44600.261443595497</v>
      </c>
      <c r="J946" s="21">
        <f t="shared" si="29"/>
        <v>-2.6056004571728408E-6</v>
      </c>
    </row>
    <row r="947" spans="1:10">
      <c r="A947" t="s">
        <v>212</v>
      </c>
      <c r="B947" t="s">
        <v>214</v>
      </c>
      <c r="C947" s="18">
        <v>2030</v>
      </c>
      <c r="D947" t="s">
        <v>187</v>
      </c>
      <c r="E947" s="20">
        <v>14630.927595097</v>
      </c>
      <c r="F947" s="20">
        <v>10630.270401171399</v>
      </c>
      <c r="G947" s="10">
        <v>10630.2702680602</v>
      </c>
      <c r="H947" s="21">
        <f t="shared" si="28"/>
        <v>-1.3311119982972741E-4</v>
      </c>
      <c r="I947" s="10">
        <v>14630.9263575645</v>
      </c>
      <c r="J947" s="21">
        <f t="shared" si="29"/>
        <v>-1.2375325004541082E-3</v>
      </c>
    </row>
    <row r="948" spans="1:10">
      <c r="A948" t="s">
        <v>212</v>
      </c>
      <c r="B948" t="s">
        <v>214</v>
      </c>
      <c r="C948" s="18">
        <v>2030</v>
      </c>
      <c r="D948" t="s">
        <v>227</v>
      </c>
      <c r="E948" s="20">
        <v>1094957.1230229801</v>
      </c>
      <c r="F948" s="20">
        <v>169314.83451803701</v>
      </c>
      <c r="G948" s="10">
        <v>169314.83403803801</v>
      </c>
      <c r="H948" s="21">
        <f t="shared" si="28"/>
        <v>-4.7999899834394455E-4</v>
      </c>
      <c r="I948" s="10">
        <v>1094956.8444496701</v>
      </c>
      <c r="J948" s="21">
        <f t="shared" si="29"/>
        <v>-0.27857331000268459</v>
      </c>
    </row>
    <row r="949" spans="1:10">
      <c r="A949" t="s">
        <v>212</v>
      </c>
      <c r="B949" t="s">
        <v>214</v>
      </c>
      <c r="C949" s="18">
        <v>2030</v>
      </c>
      <c r="D949" t="s">
        <v>163</v>
      </c>
      <c r="E949" s="20">
        <v>108393.77862196301</v>
      </c>
      <c r="F949" s="20">
        <v>73120.801830271201</v>
      </c>
      <c r="G949" s="10">
        <v>73120.8011068864</v>
      </c>
      <c r="H949" s="21">
        <f t="shared" si="28"/>
        <v>-7.2338480094913393E-4</v>
      </c>
      <c r="I949" s="10">
        <v>108393.77376611999</v>
      </c>
      <c r="J949" s="21">
        <f t="shared" si="29"/>
        <v>-4.8558430135017261E-3</v>
      </c>
    </row>
    <row r="950" spans="1:10">
      <c r="A950" t="s">
        <v>212</v>
      </c>
      <c r="B950" t="s">
        <v>214</v>
      </c>
      <c r="C950" s="18">
        <v>2030</v>
      </c>
      <c r="D950" t="s">
        <v>173</v>
      </c>
      <c r="E950" s="20">
        <v>372741.82660098601</v>
      </c>
      <c r="F950" s="20">
        <v>342889.638844456</v>
      </c>
      <c r="G950" s="10">
        <v>342889.63536639401</v>
      </c>
      <c r="H950" s="21">
        <f t="shared" si="28"/>
        <v>-3.4780619898810983E-3</v>
      </c>
      <c r="I950" s="10">
        <v>372741.79546126397</v>
      </c>
      <c r="J950" s="21">
        <f t="shared" si="29"/>
        <v>-3.113972203573212E-2</v>
      </c>
    </row>
    <row r="951" spans="1:10">
      <c r="A951" t="s">
        <v>212</v>
      </c>
      <c r="B951" t="s">
        <v>214</v>
      </c>
      <c r="C951" s="18">
        <v>2030</v>
      </c>
      <c r="D951" t="s">
        <v>177</v>
      </c>
      <c r="E951" s="20">
        <v>643154.28087987006</v>
      </c>
      <c r="F951" s="20">
        <v>378940.23550554598</v>
      </c>
      <c r="G951" s="10">
        <v>378940.23126744502</v>
      </c>
      <c r="H951" s="21">
        <f t="shared" si="28"/>
        <v>-4.2381009552627802E-3</v>
      </c>
      <c r="I951" s="10">
        <v>643154.21130562795</v>
      </c>
      <c r="J951" s="21">
        <f t="shared" si="29"/>
        <v>-6.9574242108501494E-2</v>
      </c>
    </row>
    <row r="952" spans="1:10">
      <c r="A952" t="s">
        <v>212</v>
      </c>
      <c r="B952" t="s">
        <v>214</v>
      </c>
      <c r="C952" s="18">
        <v>2030</v>
      </c>
      <c r="D952" t="s">
        <v>181</v>
      </c>
      <c r="E952" s="20">
        <v>464360.54095455998</v>
      </c>
      <c r="F952" s="20">
        <v>241310.31021550801</v>
      </c>
      <c r="G952" s="10">
        <v>241310.309903655</v>
      </c>
      <c r="H952" s="21">
        <f t="shared" si="28"/>
        <v>-3.118530148640275E-4</v>
      </c>
      <c r="I952" s="10">
        <v>464360.51810377202</v>
      </c>
      <c r="J952" s="21">
        <f t="shared" si="29"/>
        <v>-2.2850787965580821E-2</v>
      </c>
    </row>
    <row r="953" spans="1:10">
      <c r="A953" t="s">
        <v>212</v>
      </c>
      <c r="B953" t="s">
        <v>214</v>
      </c>
      <c r="C953" s="18">
        <v>2030</v>
      </c>
      <c r="D953" t="s">
        <v>209</v>
      </c>
      <c r="E953" s="20">
        <v>44647.268920386603</v>
      </c>
      <c r="F953" s="20">
        <v>7188.8688063636</v>
      </c>
      <c r="G953" s="10">
        <v>7223.1103147423601</v>
      </c>
      <c r="H953" s="21">
        <f t="shared" si="28"/>
        <v>34.241508378760045</v>
      </c>
      <c r="I953" s="10">
        <v>44647.268915282999</v>
      </c>
      <c r="J953" s="21">
        <f t="shared" si="29"/>
        <v>-5.1036040531471372E-6</v>
      </c>
    </row>
    <row r="954" spans="1:10">
      <c r="A954" t="s">
        <v>212</v>
      </c>
      <c r="B954" t="s">
        <v>214</v>
      </c>
      <c r="C954" s="18">
        <v>2031</v>
      </c>
      <c r="D954" t="s">
        <v>187</v>
      </c>
      <c r="E954" s="20">
        <v>15080.3842946847</v>
      </c>
      <c r="F954" s="20">
        <v>10955.4257686943</v>
      </c>
      <c r="G954" s="10">
        <v>10955.4255331558</v>
      </c>
      <c r="H954" s="21">
        <f t="shared" si="28"/>
        <v>-2.355385004193522E-4</v>
      </c>
      <c r="I954" s="10">
        <v>15080.3825495532</v>
      </c>
      <c r="J954" s="21">
        <f t="shared" si="29"/>
        <v>-1.7451314997742884E-3</v>
      </c>
    </row>
    <row r="955" spans="1:10">
      <c r="A955" t="s">
        <v>212</v>
      </c>
      <c r="B955" t="s">
        <v>214</v>
      </c>
      <c r="C955" s="18">
        <v>2031</v>
      </c>
      <c r="D955" t="s">
        <v>227</v>
      </c>
      <c r="E955" s="20">
        <v>1107028.0870678001</v>
      </c>
      <c r="F955" s="20">
        <v>177510.907090138</v>
      </c>
      <c r="G955" s="10">
        <v>177510.90619666901</v>
      </c>
      <c r="H955" s="21">
        <f t="shared" si="28"/>
        <v>-8.9346899767406285E-4</v>
      </c>
      <c r="I955" s="10">
        <v>1107027.6916289399</v>
      </c>
      <c r="J955" s="21">
        <f t="shared" si="29"/>
        <v>-0.39543886017054319</v>
      </c>
    </row>
    <row r="956" spans="1:10">
      <c r="A956" t="s">
        <v>212</v>
      </c>
      <c r="B956" t="s">
        <v>214</v>
      </c>
      <c r="C956" s="18">
        <v>2031</v>
      </c>
      <c r="D956" t="s">
        <v>163</v>
      </c>
      <c r="E956" s="20">
        <v>111632.954587156</v>
      </c>
      <c r="F956" s="20">
        <v>75230.220943769105</v>
      </c>
      <c r="G956" s="10">
        <v>75230.219664338001</v>
      </c>
      <c r="H956" s="21">
        <f t="shared" si="28"/>
        <v>-1.2794311041943729E-3</v>
      </c>
      <c r="I956" s="10">
        <v>111632.94755435199</v>
      </c>
      <c r="J956" s="21">
        <f t="shared" si="29"/>
        <v>-7.0328040019376203E-3</v>
      </c>
    </row>
    <row r="957" spans="1:10">
      <c r="A957" t="s">
        <v>212</v>
      </c>
      <c r="B957" t="s">
        <v>214</v>
      </c>
      <c r="C957" s="18">
        <v>2031</v>
      </c>
      <c r="D957" t="s">
        <v>173</v>
      </c>
      <c r="E957" s="20">
        <v>381470.31110628898</v>
      </c>
      <c r="F957" s="20">
        <v>351432.52480699797</v>
      </c>
      <c r="G957" s="10">
        <v>351432.51867295097</v>
      </c>
      <c r="H957" s="21">
        <f t="shared" si="28"/>
        <v>-6.1340469983406365E-3</v>
      </c>
      <c r="I957" s="10">
        <v>381470.26678102103</v>
      </c>
      <c r="J957" s="21">
        <f t="shared" si="29"/>
        <v>-4.4325267954263836E-2</v>
      </c>
    </row>
    <row r="958" spans="1:10">
      <c r="A958" t="s">
        <v>212</v>
      </c>
      <c r="B958" t="s">
        <v>214</v>
      </c>
      <c r="C958" s="18">
        <v>2031</v>
      </c>
      <c r="D958" t="s">
        <v>177</v>
      </c>
      <c r="E958" s="20">
        <v>658282.24772143201</v>
      </c>
      <c r="F958" s="20">
        <v>390181.01051063201</v>
      </c>
      <c r="G958" s="10">
        <v>390181.00302030199</v>
      </c>
      <c r="H958" s="21">
        <f t="shared" si="28"/>
        <v>-7.4903300264850259E-3</v>
      </c>
      <c r="I958" s="10">
        <v>658282.14926881401</v>
      </c>
      <c r="J958" s="21">
        <f t="shared" si="29"/>
        <v>-9.8452617996372283E-2</v>
      </c>
    </row>
    <row r="959" spans="1:10">
      <c r="A959" t="s">
        <v>212</v>
      </c>
      <c r="B959" t="s">
        <v>214</v>
      </c>
      <c r="C959" s="18">
        <v>2031</v>
      </c>
      <c r="D959" t="s">
        <v>181</v>
      </c>
      <c r="E959" s="20">
        <v>477778.17851832497</v>
      </c>
      <c r="F959" s="20">
        <v>250815.78323173799</v>
      </c>
      <c r="G959" s="10">
        <v>250815.78266259201</v>
      </c>
      <c r="H959" s="21">
        <f t="shared" si="28"/>
        <v>-5.6914598098956048E-4</v>
      </c>
      <c r="I959" s="10">
        <v>477778.14604748198</v>
      </c>
      <c r="J959" s="21">
        <f t="shared" si="29"/>
        <v>-3.2470842998009175E-2</v>
      </c>
    </row>
    <row r="960" spans="1:10">
      <c r="A960" t="s">
        <v>212</v>
      </c>
      <c r="B960" t="s">
        <v>214</v>
      </c>
      <c r="C960" s="18">
        <v>2031</v>
      </c>
      <c r="D960" t="s">
        <v>209</v>
      </c>
      <c r="E960" s="20">
        <v>44640.347304178897</v>
      </c>
      <c r="F960" s="20">
        <v>7227.2798371516601</v>
      </c>
      <c r="G960" s="10">
        <v>7266.7660002075399</v>
      </c>
      <c r="H960" s="21">
        <f t="shared" si="28"/>
        <v>39.486163055879842</v>
      </c>
      <c r="I960" s="10">
        <v>44640.347295477797</v>
      </c>
      <c r="J960" s="21">
        <f t="shared" si="29"/>
        <v>-8.7010994320735335E-6</v>
      </c>
    </row>
    <row r="961" spans="1:10">
      <c r="A961" t="s">
        <v>212</v>
      </c>
      <c r="B961" t="s">
        <v>214</v>
      </c>
      <c r="C961" s="18">
        <v>2032</v>
      </c>
      <c r="D961" t="s">
        <v>187</v>
      </c>
      <c r="E961" s="20">
        <v>15531.2625406772</v>
      </c>
      <c r="F961" s="20">
        <v>11274.4958305363</v>
      </c>
      <c r="G961" s="10">
        <v>11274.495449735199</v>
      </c>
      <c r="H961" s="21">
        <f t="shared" si="28"/>
        <v>-3.8080110061855521E-4</v>
      </c>
      <c r="I961" s="10">
        <v>15531.2601955666</v>
      </c>
      <c r="J961" s="21">
        <f t="shared" si="29"/>
        <v>-2.3451106007996714E-3</v>
      </c>
    </row>
    <row r="962" spans="1:10">
      <c r="A962" t="s">
        <v>212</v>
      </c>
      <c r="B962" t="s">
        <v>214</v>
      </c>
      <c r="C962" s="18">
        <v>2032</v>
      </c>
      <c r="D962" t="s">
        <v>227</v>
      </c>
      <c r="E962" s="20">
        <v>1118477.86132759</v>
      </c>
      <c r="F962" s="20">
        <v>185726.00057969001</v>
      </c>
      <c r="G962" s="10">
        <v>185725.99905880101</v>
      </c>
      <c r="H962" s="21">
        <f t="shared" ref="H962:H1025" si="30">G962-F962</f>
        <v>-1.5208889963105321E-3</v>
      </c>
      <c r="I962" s="10">
        <v>1118477.3274982399</v>
      </c>
      <c r="J962" s="21">
        <f t="shared" ref="J962:J1025" si="31">I962-E962</f>
        <v>-0.53382935002446175</v>
      </c>
    </row>
    <row r="963" spans="1:10">
      <c r="A963" t="s">
        <v>212</v>
      </c>
      <c r="B963" t="s">
        <v>214</v>
      </c>
      <c r="C963" s="18">
        <v>2032</v>
      </c>
      <c r="D963" t="s">
        <v>163</v>
      </c>
      <c r="E963" s="20">
        <v>114835.231491511</v>
      </c>
      <c r="F963" s="20">
        <v>77353.063089921197</v>
      </c>
      <c r="G963" s="10">
        <v>77353.061023932896</v>
      </c>
      <c r="H963" s="21">
        <f t="shared" si="30"/>
        <v>-2.0659883011830971E-3</v>
      </c>
      <c r="I963" s="10">
        <v>114835.221802653</v>
      </c>
      <c r="J963" s="21">
        <f t="shared" si="31"/>
        <v>-9.6888580010272563E-3</v>
      </c>
    </row>
    <row r="964" spans="1:10">
      <c r="A964" t="s">
        <v>212</v>
      </c>
      <c r="B964" t="s">
        <v>214</v>
      </c>
      <c r="C964" s="18">
        <v>2032</v>
      </c>
      <c r="D964" t="s">
        <v>173</v>
      </c>
      <c r="E964" s="20">
        <v>389998.43701322703</v>
      </c>
      <c r="F964" s="20">
        <v>359834.55676291499</v>
      </c>
      <c r="G964" s="10">
        <v>359834.54685286601</v>
      </c>
      <c r="H964" s="21">
        <f t="shared" si="30"/>
        <v>-9.9100489751435816E-3</v>
      </c>
      <c r="I964" s="10">
        <v>389998.37668875401</v>
      </c>
      <c r="J964" s="21">
        <f t="shared" si="31"/>
        <v>-6.032447301549837E-2</v>
      </c>
    </row>
    <row r="965" spans="1:10">
      <c r="A965" t="s">
        <v>212</v>
      </c>
      <c r="B965" t="s">
        <v>214</v>
      </c>
      <c r="C965" s="18">
        <v>2032</v>
      </c>
      <c r="D965" t="s">
        <v>177</v>
      </c>
      <c r="E965" s="20">
        <v>673134.02104031399</v>
      </c>
      <c r="F965" s="20">
        <v>401318.29833097901</v>
      </c>
      <c r="G965" s="10">
        <v>401318.28619347198</v>
      </c>
      <c r="H965" s="21">
        <f t="shared" si="30"/>
        <v>-1.2137507030274719E-2</v>
      </c>
      <c r="I965" s="10">
        <v>673133.88827326603</v>
      </c>
      <c r="J965" s="21">
        <f t="shared" si="31"/>
        <v>-0.13276704796589911</v>
      </c>
    </row>
    <row r="966" spans="1:10">
      <c r="A966" t="s">
        <v>212</v>
      </c>
      <c r="B966" t="s">
        <v>214</v>
      </c>
      <c r="C966" s="18">
        <v>2032</v>
      </c>
      <c r="D966" t="s">
        <v>181</v>
      </c>
      <c r="E966" s="20">
        <v>490904.74760296498</v>
      </c>
      <c r="F966" s="20">
        <v>260346.93830135401</v>
      </c>
      <c r="G966" s="10">
        <v>260346.937343717</v>
      </c>
      <c r="H966" s="21">
        <f t="shared" si="30"/>
        <v>-9.5763700664974749E-4</v>
      </c>
      <c r="I966" s="10">
        <v>490904.70344577997</v>
      </c>
      <c r="J966" s="21">
        <f t="shared" si="31"/>
        <v>-4.4157185009680688E-2</v>
      </c>
    </row>
    <row r="967" spans="1:10">
      <c r="A967" t="s">
        <v>212</v>
      </c>
      <c r="B967" t="s">
        <v>214</v>
      </c>
      <c r="C967" s="18">
        <v>2032</v>
      </c>
      <c r="D967" t="s">
        <v>209</v>
      </c>
      <c r="E967" s="20">
        <v>44583.245515104798</v>
      </c>
      <c r="F967" s="20">
        <v>7264.0680636970501</v>
      </c>
      <c r="G967" s="10">
        <v>7308.6895683399798</v>
      </c>
      <c r="H967" s="21">
        <f t="shared" si="30"/>
        <v>44.621504642929722</v>
      </c>
      <c r="I967" s="10">
        <v>44583.245501595899</v>
      </c>
      <c r="J967" s="21">
        <f t="shared" si="31"/>
        <v>-1.3508899428416044E-5</v>
      </c>
    </row>
    <row r="968" spans="1:10">
      <c r="A968" t="s">
        <v>212</v>
      </c>
      <c r="B968" t="s">
        <v>214</v>
      </c>
      <c r="C968" s="18">
        <v>2033</v>
      </c>
      <c r="D968" t="s">
        <v>187</v>
      </c>
      <c r="E968" s="20">
        <v>15983.7205782525</v>
      </c>
      <c r="F968" s="20">
        <v>11586.9341473406</v>
      </c>
      <c r="G968" s="10">
        <v>11586.9335708044</v>
      </c>
      <c r="H968" s="21">
        <f t="shared" si="30"/>
        <v>-5.7653620024211705E-4</v>
      </c>
      <c r="I968" s="10">
        <v>15983.7175379286</v>
      </c>
      <c r="J968" s="21">
        <f t="shared" si="31"/>
        <v>-3.0403238997678272E-3</v>
      </c>
    </row>
    <row r="969" spans="1:10">
      <c r="A969" t="s">
        <v>212</v>
      </c>
      <c r="B969" t="s">
        <v>214</v>
      </c>
      <c r="C969" s="18">
        <v>2033</v>
      </c>
      <c r="D969" t="s">
        <v>227</v>
      </c>
      <c r="E969" s="20">
        <v>1129234.17259513</v>
      </c>
      <c r="F969" s="20">
        <v>193953.22664944699</v>
      </c>
      <c r="G969" s="10">
        <v>193953.224223645</v>
      </c>
      <c r="H969" s="21">
        <f t="shared" si="30"/>
        <v>-2.4258019984699786E-3</v>
      </c>
      <c r="I969" s="10">
        <v>1129233.47845058</v>
      </c>
      <c r="J969" s="21">
        <f t="shared" si="31"/>
        <v>-0.69414455001242459</v>
      </c>
    </row>
    <row r="970" spans="1:10">
      <c r="A970" t="s">
        <v>212</v>
      </c>
      <c r="B970" t="s">
        <v>214</v>
      </c>
      <c r="C970" s="18">
        <v>2033</v>
      </c>
      <c r="D970" t="s">
        <v>163</v>
      </c>
      <c r="E970" s="20">
        <v>117998.751297287</v>
      </c>
      <c r="F970" s="20">
        <v>79480.479293558004</v>
      </c>
      <c r="G970" s="10">
        <v>79480.4761690429</v>
      </c>
      <c r="H970" s="21">
        <f t="shared" si="30"/>
        <v>-3.1245151039911434E-3</v>
      </c>
      <c r="I970" s="10">
        <v>117998.73843744201</v>
      </c>
      <c r="J970" s="21">
        <f t="shared" si="31"/>
        <v>-1.2859844995546155E-2</v>
      </c>
    </row>
    <row r="971" spans="1:10">
      <c r="A971" t="s">
        <v>212</v>
      </c>
      <c r="B971" t="s">
        <v>214</v>
      </c>
      <c r="C971" s="18">
        <v>2033</v>
      </c>
      <c r="D971" t="s">
        <v>173</v>
      </c>
      <c r="E971" s="20">
        <v>398354.42439398402</v>
      </c>
      <c r="F971" s="20">
        <v>368051.63961779</v>
      </c>
      <c r="G971" s="10">
        <v>368051.62457544298</v>
      </c>
      <c r="H971" s="21">
        <f t="shared" si="30"/>
        <v>-1.5042347018606961E-2</v>
      </c>
      <c r="I971" s="10">
        <v>398354.344992358</v>
      </c>
      <c r="J971" s="21">
        <f t="shared" si="31"/>
        <v>-7.9401626018807292E-2</v>
      </c>
    </row>
    <row r="972" spans="1:10">
      <c r="A972" t="s">
        <v>212</v>
      </c>
      <c r="B972" t="s">
        <v>214</v>
      </c>
      <c r="C972" s="18">
        <v>2033</v>
      </c>
      <c r="D972" t="s">
        <v>177</v>
      </c>
      <c r="E972" s="20">
        <v>687634.87232434505</v>
      </c>
      <c r="F972" s="20">
        <v>412348.09414610302</v>
      </c>
      <c r="G972" s="10">
        <v>412348.075678578</v>
      </c>
      <c r="H972" s="21">
        <f t="shared" si="30"/>
        <v>-1.8467525020241737E-2</v>
      </c>
      <c r="I972" s="10">
        <v>687634.69954692596</v>
      </c>
      <c r="J972" s="21">
        <f t="shared" si="31"/>
        <v>-0.17277741909492761</v>
      </c>
    </row>
    <row r="973" spans="1:10">
      <c r="A973" t="s">
        <v>212</v>
      </c>
      <c r="B973" t="s">
        <v>214</v>
      </c>
      <c r="C973" s="18">
        <v>2033</v>
      </c>
      <c r="D973" t="s">
        <v>181</v>
      </c>
      <c r="E973" s="20">
        <v>503751.16755667899</v>
      </c>
      <c r="F973" s="20">
        <v>269883.409118446</v>
      </c>
      <c r="G973" s="10">
        <v>269883.407599987</v>
      </c>
      <c r="H973" s="21">
        <f t="shared" si="30"/>
        <v>-1.5184590010903776E-3</v>
      </c>
      <c r="I973" s="10">
        <v>503751.109420694</v>
      </c>
      <c r="J973" s="21">
        <f t="shared" si="31"/>
        <v>-5.8135984989348799E-2</v>
      </c>
    </row>
    <row r="974" spans="1:10">
      <c r="A974" t="s">
        <v>212</v>
      </c>
      <c r="B974" t="s">
        <v>214</v>
      </c>
      <c r="C974" s="18">
        <v>2033</v>
      </c>
      <c r="D974" t="s">
        <v>209</v>
      </c>
      <c r="E974" s="20">
        <v>44483.6836094315</v>
      </c>
      <c r="F974" s="20">
        <v>7298.3789844518296</v>
      </c>
      <c r="G974" s="10">
        <v>7348.0741473220596</v>
      </c>
      <c r="H974" s="21">
        <f t="shared" si="30"/>
        <v>49.695162870229979</v>
      </c>
      <c r="I974" s="10">
        <v>44483.683589841297</v>
      </c>
      <c r="J974" s="21">
        <f t="shared" si="31"/>
        <v>-1.9590203010011464E-5</v>
      </c>
    </row>
    <row r="975" spans="1:10">
      <c r="A975" t="s">
        <v>212</v>
      </c>
      <c r="B975" t="s">
        <v>214</v>
      </c>
      <c r="C975" s="18">
        <v>2034</v>
      </c>
      <c r="D975" t="s">
        <v>187</v>
      </c>
      <c r="E975" s="20">
        <v>16436.935115399901</v>
      </c>
      <c r="F975" s="20">
        <v>11896.3831492642</v>
      </c>
      <c r="G975" s="10">
        <v>11896.382318738601</v>
      </c>
      <c r="H975" s="21">
        <f t="shared" si="30"/>
        <v>-8.3052559966745321E-4</v>
      </c>
      <c r="I975" s="10">
        <v>16436.9312806497</v>
      </c>
      <c r="J975" s="21">
        <f t="shared" si="31"/>
        <v>-3.8347502013493795E-3</v>
      </c>
    </row>
    <row r="976" spans="1:10">
      <c r="A976" t="s">
        <v>212</v>
      </c>
      <c r="B976" t="s">
        <v>214</v>
      </c>
      <c r="C976" s="18">
        <v>2034</v>
      </c>
      <c r="D976" t="s">
        <v>227</v>
      </c>
      <c r="E976" s="20">
        <v>1139357.8968438001</v>
      </c>
      <c r="F976" s="20">
        <v>202147.27412773899</v>
      </c>
      <c r="G976" s="10">
        <v>202147.27044605001</v>
      </c>
      <c r="H976" s="21">
        <f t="shared" si="30"/>
        <v>-3.6816889769397676E-3</v>
      </c>
      <c r="I976" s="10">
        <v>1139357.0195160699</v>
      </c>
      <c r="J976" s="21">
        <f t="shared" si="31"/>
        <v>-0.87732773018069565</v>
      </c>
    </row>
    <row r="977" spans="1:10">
      <c r="A977" t="s">
        <v>212</v>
      </c>
      <c r="B977" t="s">
        <v>214</v>
      </c>
      <c r="C977" s="18">
        <v>2034</v>
      </c>
      <c r="D977" t="s">
        <v>163</v>
      </c>
      <c r="E977" s="20">
        <v>121105.488432678</v>
      </c>
      <c r="F977" s="20">
        <v>81594.952731565703</v>
      </c>
      <c r="G977" s="10">
        <v>81594.948233921197</v>
      </c>
      <c r="H977" s="21">
        <f t="shared" si="30"/>
        <v>-4.4976445060456172E-3</v>
      </c>
      <c r="I977" s="10">
        <v>121105.471839437</v>
      </c>
      <c r="J977" s="21">
        <f t="shared" si="31"/>
        <v>-1.6593241001828574E-2</v>
      </c>
    </row>
    <row r="978" spans="1:10">
      <c r="A978" t="s">
        <v>212</v>
      </c>
      <c r="B978" t="s">
        <v>214</v>
      </c>
      <c r="C978" s="18">
        <v>2034</v>
      </c>
      <c r="D978" t="s">
        <v>173</v>
      </c>
      <c r="E978" s="20">
        <v>406559.96918547398</v>
      </c>
      <c r="F978" s="20">
        <v>376028.15405855398</v>
      </c>
      <c r="G978" s="10">
        <v>376028.13227833499</v>
      </c>
      <c r="H978" s="21">
        <f t="shared" si="30"/>
        <v>-2.1780218987260014E-2</v>
      </c>
      <c r="I978" s="10">
        <v>406559.86735378799</v>
      </c>
      <c r="J978" s="21">
        <f t="shared" si="31"/>
        <v>-0.1018316859845072</v>
      </c>
    </row>
    <row r="979" spans="1:10">
      <c r="A979" t="s">
        <v>212</v>
      </c>
      <c r="B979" t="s">
        <v>214</v>
      </c>
      <c r="C979" s="18">
        <v>2034</v>
      </c>
      <c r="D979" t="s">
        <v>177</v>
      </c>
      <c r="E979" s="20">
        <v>701691.89609868499</v>
      </c>
      <c r="F979" s="20">
        <v>423259.12735779397</v>
      </c>
      <c r="G979" s="10">
        <v>423259.10059080599</v>
      </c>
      <c r="H979" s="21">
        <f t="shared" si="30"/>
        <v>-2.6766987983137369E-2</v>
      </c>
      <c r="I979" s="10">
        <v>701691.67735876795</v>
      </c>
      <c r="J979" s="21">
        <f t="shared" si="31"/>
        <v>-0.21873991703614593</v>
      </c>
    </row>
    <row r="980" spans="1:10">
      <c r="A980" t="s">
        <v>212</v>
      </c>
      <c r="B980" t="s">
        <v>214</v>
      </c>
      <c r="C980" s="18">
        <v>2034</v>
      </c>
      <c r="D980" t="s">
        <v>181</v>
      </c>
      <c r="E980" s="20">
        <v>516406.61318405502</v>
      </c>
      <c r="F980" s="20">
        <v>279484.98258534999</v>
      </c>
      <c r="G980" s="10">
        <v>279484.98028522899</v>
      </c>
      <c r="H980" s="21">
        <f t="shared" si="30"/>
        <v>-2.3001210065558553E-3</v>
      </c>
      <c r="I980" s="10">
        <v>516406.53850878001</v>
      </c>
      <c r="J980" s="21">
        <f t="shared" si="31"/>
        <v>-7.4675275012850761E-2</v>
      </c>
    </row>
    <row r="981" spans="1:10">
      <c r="A981" t="s">
        <v>212</v>
      </c>
      <c r="B981" t="s">
        <v>214</v>
      </c>
      <c r="C981" s="18">
        <v>2034</v>
      </c>
      <c r="D981" t="s">
        <v>209</v>
      </c>
      <c r="E981" s="20">
        <v>44355.184477140603</v>
      </c>
      <c r="F981" s="20">
        <v>7330.3119055234301</v>
      </c>
      <c r="G981" s="10">
        <v>7385.0409467521704</v>
      </c>
      <c r="H981" s="21">
        <f t="shared" si="30"/>
        <v>54.729041228740243</v>
      </c>
      <c r="I981" s="10">
        <v>44355.184450178996</v>
      </c>
      <c r="J981" s="21">
        <f t="shared" si="31"/>
        <v>-2.6961606636177748E-5</v>
      </c>
    </row>
    <row r="982" spans="1:10">
      <c r="A982" t="s">
        <v>212</v>
      </c>
      <c r="B982" t="s">
        <v>214</v>
      </c>
      <c r="C982" s="18">
        <v>2035</v>
      </c>
      <c r="D982" t="s">
        <v>187</v>
      </c>
      <c r="E982" s="20">
        <v>16892.218870492899</v>
      </c>
      <c r="F982" s="20">
        <v>12203.0588668114</v>
      </c>
      <c r="G982" s="10">
        <v>12203.057717863399</v>
      </c>
      <c r="H982" s="21">
        <f t="shared" si="30"/>
        <v>-1.148948000263772E-3</v>
      </c>
      <c r="I982" s="10">
        <v>16892.2141390053</v>
      </c>
      <c r="J982" s="21">
        <f t="shared" si="31"/>
        <v>-4.7314875992015004E-3</v>
      </c>
    </row>
    <row r="983" spans="1:10">
      <c r="A983" t="s">
        <v>212</v>
      </c>
      <c r="B983" t="s">
        <v>214</v>
      </c>
      <c r="C983" s="18">
        <v>2035</v>
      </c>
      <c r="D983" t="s">
        <v>227</v>
      </c>
      <c r="E983" s="20">
        <v>1148973.24982673</v>
      </c>
      <c r="F983" s="20">
        <v>210290.98587760999</v>
      </c>
      <c r="G983" s="10">
        <v>210290.98052792501</v>
      </c>
      <c r="H983" s="21">
        <f t="shared" si="30"/>
        <v>-5.3496849723160267E-3</v>
      </c>
      <c r="I983" s="10">
        <v>1148972.16574985</v>
      </c>
      <c r="J983" s="21">
        <f t="shared" si="31"/>
        <v>-1.0840768800117075</v>
      </c>
    </row>
    <row r="984" spans="1:10">
      <c r="A984" t="s">
        <v>212</v>
      </c>
      <c r="B984" t="s">
        <v>214</v>
      </c>
      <c r="C984" s="18">
        <v>2035</v>
      </c>
      <c r="D984" t="s">
        <v>163</v>
      </c>
      <c r="E984" s="20">
        <v>124148.22814367199</v>
      </c>
      <c r="F984" s="20">
        <v>83695.124104152797</v>
      </c>
      <c r="G984" s="10">
        <v>83695.117872879797</v>
      </c>
      <c r="H984" s="21">
        <f t="shared" si="30"/>
        <v>-6.2312730005942285E-3</v>
      </c>
      <c r="I984" s="10">
        <v>124148.20719584401</v>
      </c>
      <c r="J984" s="21">
        <f t="shared" si="31"/>
        <v>-2.0947827986674383E-2</v>
      </c>
    </row>
    <row r="985" spans="1:10">
      <c r="A985" t="s">
        <v>212</v>
      </c>
      <c r="B985" t="s">
        <v>214</v>
      </c>
      <c r="C985" s="18">
        <v>2035</v>
      </c>
      <c r="D985" t="s">
        <v>173</v>
      </c>
      <c r="E985" s="20">
        <v>414533.28857602598</v>
      </c>
      <c r="F985" s="20">
        <v>383788.79299735802</v>
      </c>
      <c r="G985" s="10">
        <v>383788.76252667198</v>
      </c>
      <c r="H985" s="21">
        <f t="shared" si="30"/>
        <v>-3.0470686033368111E-2</v>
      </c>
      <c r="I985" s="10">
        <v>414533.16060314502</v>
      </c>
      <c r="J985" s="21">
        <f t="shared" si="31"/>
        <v>-0.12797288096044213</v>
      </c>
    </row>
    <row r="986" spans="1:10">
      <c r="A986" t="s">
        <v>212</v>
      </c>
      <c r="B986" t="s">
        <v>214</v>
      </c>
      <c r="C986" s="18">
        <v>2035</v>
      </c>
      <c r="D986" t="s">
        <v>177</v>
      </c>
      <c r="E986" s="20">
        <v>715332.05973787396</v>
      </c>
      <c r="F986" s="20">
        <v>434082.068872587</v>
      </c>
      <c r="G986" s="10">
        <v>434082.03155119502</v>
      </c>
      <c r="H986" s="21">
        <f t="shared" si="30"/>
        <v>-3.7321391981095076E-2</v>
      </c>
      <c r="I986" s="10">
        <v>715331.78882210201</v>
      </c>
      <c r="J986" s="21">
        <f t="shared" si="31"/>
        <v>-0.27091577195096761</v>
      </c>
    </row>
    <row r="987" spans="1:10">
      <c r="A987" t="s">
        <v>212</v>
      </c>
      <c r="B987" t="s">
        <v>214</v>
      </c>
      <c r="C987" s="18">
        <v>2035</v>
      </c>
      <c r="D987" t="s">
        <v>181</v>
      </c>
      <c r="E987" s="20">
        <v>528818.46588615002</v>
      </c>
      <c r="F987" s="20">
        <v>289150.80577923497</v>
      </c>
      <c r="G987" s="10">
        <v>289150.80243598297</v>
      </c>
      <c r="H987" s="21">
        <f t="shared" si="30"/>
        <v>-3.3432519994676113E-3</v>
      </c>
      <c r="I987" s="10">
        <v>528818.37188395299</v>
      </c>
      <c r="J987" s="21">
        <f t="shared" si="31"/>
        <v>-9.4002197030931711E-2</v>
      </c>
    </row>
    <row r="988" spans="1:10">
      <c r="A988" t="s">
        <v>212</v>
      </c>
      <c r="B988" t="s">
        <v>214</v>
      </c>
      <c r="C988" s="18">
        <v>2035</v>
      </c>
      <c r="D988" t="s">
        <v>209</v>
      </c>
      <c r="E988" s="20">
        <v>44206.707342386602</v>
      </c>
      <c r="F988" s="20">
        <v>7360.2612076780097</v>
      </c>
      <c r="G988" s="10">
        <v>7419.9788551932097</v>
      </c>
      <c r="H988" s="21">
        <f t="shared" si="30"/>
        <v>59.717647515200042</v>
      </c>
      <c r="I988" s="10">
        <v>44206.707306712102</v>
      </c>
      <c r="J988" s="21">
        <f t="shared" si="31"/>
        <v>-3.5674500395543873E-5</v>
      </c>
    </row>
    <row r="989" spans="1:10">
      <c r="A989" t="s">
        <v>212</v>
      </c>
      <c r="B989" t="s">
        <v>214</v>
      </c>
      <c r="C989" s="18">
        <v>2036</v>
      </c>
      <c r="D989" t="s">
        <v>187</v>
      </c>
      <c r="E989" s="20">
        <v>17350.660362084</v>
      </c>
      <c r="F989" s="20">
        <v>12506.903640246201</v>
      </c>
      <c r="G989" s="10">
        <v>12506.9021026876</v>
      </c>
      <c r="H989" s="21">
        <f t="shared" si="30"/>
        <v>-1.5375586008303799E-3</v>
      </c>
      <c r="I989" s="10">
        <v>17350.6546269342</v>
      </c>
      <c r="J989" s="21">
        <f t="shared" si="31"/>
        <v>-5.7351497998752166E-3</v>
      </c>
    </row>
    <row r="990" spans="1:10">
      <c r="A990" t="s">
        <v>212</v>
      </c>
      <c r="B990" t="s">
        <v>214</v>
      </c>
      <c r="C990" s="18">
        <v>2036</v>
      </c>
      <c r="D990" t="s">
        <v>227</v>
      </c>
      <c r="E990" s="20">
        <v>1158267.45318202</v>
      </c>
      <c r="F990" s="20">
        <v>218370.695075205</v>
      </c>
      <c r="G990" s="10">
        <v>218370.687575925</v>
      </c>
      <c r="H990" s="21">
        <f t="shared" si="30"/>
        <v>-7.4992800073232502E-3</v>
      </c>
      <c r="I990" s="10">
        <v>1158266.1377582899</v>
      </c>
      <c r="J990" s="21">
        <f t="shared" si="31"/>
        <v>-1.3154237300623208</v>
      </c>
    </row>
    <row r="991" spans="1:10">
      <c r="A991" t="s">
        <v>212</v>
      </c>
      <c r="B991" t="s">
        <v>214</v>
      </c>
      <c r="C991" s="18">
        <v>2036</v>
      </c>
      <c r="D991" t="s">
        <v>163</v>
      </c>
      <c r="E991" s="20">
        <v>127138.47707459499</v>
      </c>
      <c r="F991" s="20">
        <v>85765.573114295898</v>
      </c>
      <c r="G991" s="10">
        <v>85765.564735317093</v>
      </c>
      <c r="H991" s="21">
        <f t="shared" si="30"/>
        <v>-8.3789788041030988E-3</v>
      </c>
      <c r="I991" s="10">
        <v>127138.451085333</v>
      </c>
      <c r="J991" s="21">
        <f t="shared" si="31"/>
        <v>-2.5989261994254775E-2</v>
      </c>
    </row>
    <row r="992" spans="1:10">
      <c r="A992" t="s">
        <v>212</v>
      </c>
      <c r="B992" t="s">
        <v>214</v>
      </c>
      <c r="C992" s="18">
        <v>2036</v>
      </c>
      <c r="D992" t="s">
        <v>173</v>
      </c>
      <c r="E992" s="20">
        <v>422232.818067096</v>
      </c>
      <c r="F992" s="20">
        <v>391285.99725074699</v>
      </c>
      <c r="G992" s="10">
        <v>391285.95573958702</v>
      </c>
      <c r="H992" s="21">
        <f t="shared" si="30"/>
        <v>-4.1511159972287714E-2</v>
      </c>
      <c r="I992" s="10">
        <v>422232.65992213303</v>
      </c>
      <c r="J992" s="21">
        <f t="shared" si="31"/>
        <v>-0.15814496297389269</v>
      </c>
    </row>
    <row r="993" spans="1:10">
      <c r="A993" t="s">
        <v>212</v>
      </c>
      <c r="B993" t="s">
        <v>214</v>
      </c>
      <c r="C993" s="18">
        <v>2036</v>
      </c>
      <c r="D993" t="s">
        <v>177</v>
      </c>
      <c r="E993" s="20">
        <v>728531.93964473996</v>
      </c>
      <c r="F993" s="20">
        <v>444747.95793239702</v>
      </c>
      <c r="G993" s="10">
        <v>444747.90756616899</v>
      </c>
      <c r="H993" s="21">
        <f t="shared" si="30"/>
        <v>-5.0366228038910776E-2</v>
      </c>
      <c r="I993" s="10">
        <v>728531.610160843</v>
      </c>
      <c r="J993" s="21">
        <f t="shared" si="31"/>
        <v>-0.32948389695957303</v>
      </c>
    </row>
    <row r="994" spans="1:10">
      <c r="A994" t="s">
        <v>212</v>
      </c>
      <c r="B994" t="s">
        <v>214</v>
      </c>
      <c r="C994" s="18">
        <v>2036</v>
      </c>
      <c r="D994" t="s">
        <v>181</v>
      </c>
      <c r="E994" s="20">
        <v>541052.397015361</v>
      </c>
      <c r="F994" s="20">
        <v>298879.61600291397</v>
      </c>
      <c r="G994" s="10">
        <v>298879.61130973301</v>
      </c>
      <c r="H994" s="21">
        <f t="shared" si="30"/>
        <v>-4.6931809629313648E-3</v>
      </c>
      <c r="I994" s="10">
        <v>541052.28077363002</v>
      </c>
      <c r="J994" s="21">
        <f t="shared" si="31"/>
        <v>-0.11624173098243773</v>
      </c>
    </row>
    <row r="995" spans="1:10">
      <c r="A995" t="s">
        <v>212</v>
      </c>
      <c r="B995" t="s">
        <v>214</v>
      </c>
      <c r="C995" s="18">
        <v>2036</v>
      </c>
      <c r="D995" t="s">
        <v>209</v>
      </c>
      <c r="E995" s="20">
        <v>44049.998424026497</v>
      </c>
      <c r="F995" s="20">
        <v>7388.6967870874196</v>
      </c>
      <c r="G995" s="10">
        <v>7453.3351271514002</v>
      </c>
      <c r="H995" s="21">
        <f t="shared" si="30"/>
        <v>64.63834006398065</v>
      </c>
      <c r="I995" s="10">
        <v>44049.998378272197</v>
      </c>
      <c r="J995" s="21">
        <f t="shared" si="31"/>
        <v>-4.5754299208056182E-5</v>
      </c>
    </row>
    <row r="996" spans="1:10">
      <c r="A996" t="s">
        <v>212</v>
      </c>
      <c r="B996" t="s">
        <v>214</v>
      </c>
      <c r="C996" s="18">
        <v>2037</v>
      </c>
      <c r="D996" t="s">
        <v>187</v>
      </c>
      <c r="E996" s="20">
        <v>17812.510378764899</v>
      </c>
      <c r="F996" s="20">
        <v>12807.503270212001</v>
      </c>
      <c r="G996" s="10">
        <v>12807.501268399201</v>
      </c>
      <c r="H996" s="21">
        <f t="shared" si="30"/>
        <v>-2.0018127997900592E-3</v>
      </c>
      <c r="I996" s="10">
        <v>17812.5035281772</v>
      </c>
      <c r="J996" s="21">
        <f t="shared" si="31"/>
        <v>-6.8505876988638192E-3</v>
      </c>
    </row>
    <row r="997" spans="1:10">
      <c r="A997" t="s">
        <v>212</v>
      </c>
      <c r="B997" t="s">
        <v>214</v>
      </c>
      <c r="C997" s="18">
        <v>2037</v>
      </c>
      <c r="D997" t="s">
        <v>227</v>
      </c>
      <c r="E997" s="20">
        <v>1167366.2371213001</v>
      </c>
      <c r="F997" s="20">
        <v>226373.37583672101</v>
      </c>
      <c r="G997" s="10">
        <v>226373.365626062</v>
      </c>
      <c r="H997" s="21">
        <f t="shared" si="30"/>
        <v>-1.021065900567919E-2</v>
      </c>
      <c r="I997" s="10">
        <v>1167364.6654137501</v>
      </c>
      <c r="J997" s="21">
        <f t="shared" si="31"/>
        <v>-1.571707549970597</v>
      </c>
    </row>
    <row r="998" spans="1:10">
      <c r="A998" t="s">
        <v>212</v>
      </c>
      <c r="B998" t="s">
        <v>214</v>
      </c>
      <c r="C998" s="18">
        <v>2037</v>
      </c>
      <c r="D998" t="s">
        <v>163</v>
      </c>
      <c r="E998" s="20">
        <v>130092.144733115</v>
      </c>
      <c r="F998" s="20">
        <v>87785.884909389395</v>
      </c>
      <c r="G998" s="10">
        <v>87785.873914228694</v>
      </c>
      <c r="H998" s="21">
        <f t="shared" si="30"/>
        <v>-1.0995160700986162E-2</v>
      </c>
      <c r="I998" s="10">
        <v>130092.112965313</v>
      </c>
      <c r="J998" s="21">
        <f t="shared" si="31"/>
        <v>-3.1767801992828026E-2</v>
      </c>
    </row>
    <row r="999" spans="1:10">
      <c r="A999" t="s">
        <v>212</v>
      </c>
      <c r="B999" t="s">
        <v>214</v>
      </c>
      <c r="C999" s="18">
        <v>2037</v>
      </c>
      <c r="D999" t="s">
        <v>173</v>
      </c>
      <c r="E999" s="20">
        <v>429674.87206626101</v>
      </c>
      <c r="F999" s="20">
        <v>398473.86870751297</v>
      </c>
      <c r="G999" s="10">
        <v>398473.81338660797</v>
      </c>
      <c r="H999" s="21">
        <f t="shared" si="30"/>
        <v>-5.5320904997643083E-2</v>
      </c>
      <c r="I999" s="10">
        <v>429674.679324948</v>
      </c>
      <c r="J999" s="21">
        <f t="shared" si="31"/>
        <v>-0.19274131301790476</v>
      </c>
    </row>
    <row r="1000" spans="1:10">
      <c r="A1000" t="s">
        <v>212</v>
      </c>
      <c r="B1000" t="s">
        <v>214</v>
      </c>
      <c r="C1000" s="18">
        <v>2037</v>
      </c>
      <c r="D1000" t="s">
        <v>177</v>
      </c>
      <c r="E1000" s="20">
        <v>741261.82202638395</v>
      </c>
      <c r="F1000" s="20">
        <v>455168.250670904</v>
      </c>
      <c r="G1000" s="10">
        <v>455168.18452875799</v>
      </c>
      <c r="H1000" s="21">
        <f t="shared" si="30"/>
        <v>-6.614214600995183E-2</v>
      </c>
      <c r="I1000" s="10">
        <v>741261.42723499297</v>
      </c>
      <c r="J1000" s="21">
        <f t="shared" si="31"/>
        <v>-0.39479139097966254</v>
      </c>
    </row>
    <row r="1001" spans="1:10">
      <c r="A1001" t="s">
        <v>212</v>
      </c>
      <c r="B1001" t="s">
        <v>214</v>
      </c>
      <c r="C1001" s="18">
        <v>2037</v>
      </c>
      <c r="D1001" t="s">
        <v>181</v>
      </c>
      <c r="E1001" s="20">
        <v>553258.65934567503</v>
      </c>
      <c r="F1001" s="20">
        <v>308666.04996186099</v>
      </c>
      <c r="G1001" s="10">
        <v>308666.04356230202</v>
      </c>
      <c r="H1001" s="21">
        <f t="shared" si="30"/>
        <v>-6.3995589734986424E-3</v>
      </c>
      <c r="I1001" s="10">
        <v>553258.51776135701</v>
      </c>
      <c r="J1001" s="21">
        <f t="shared" si="31"/>
        <v>-0.1415843180147931</v>
      </c>
    </row>
    <row r="1002" spans="1:10">
      <c r="A1002" t="s">
        <v>212</v>
      </c>
      <c r="B1002" t="s">
        <v>214</v>
      </c>
      <c r="C1002" s="18">
        <v>2037</v>
      </c>
      <c r="D1002" t="s">
        <v>209</v>
      </c>
      <c r="E1002" s="20">
        <v>43886.496696961003</v>
      </c>
      <c r="F1002" s="20">
        <v>7416.1567174785796</v>
      </c>
      <c r="G1002" s="10">
        <v>7485.6394586101196</v>
      </c>
      <c r="H1002" s="21">
        <f t="shared" si="30"/>
        <v>69.482741131540024</v>
      </c>
      <c r="I1002" s="10">
        <v>43886.496639761303</v>
      </c>
      <c r="J1002" s="21">
        <f t="shared" si="31"/>
        <v>-5.7199700677301735E-5</v>
      </c>
    </row>
    <row r="1003" spans="1:10">
      <c r="A1003" t="s">
        <v>212</v>
      </c>
      <c r="B1003" t="s">
        <v>214</v>
      </c>
      <c r="C1003" s="18">
        <v>2038</v>
      </c>
      <c r="D1003" t="s">
        <v>187</v>
      </c>
      <c r="E1003" s="20">
        <v>18278.627613929501</v>
      </c>
      <c r="F1003" s="20">
        <v>13108.2612304418</v>
      </c>
      <c r="G1003" s="10">
        <v>13108.258682167399</v>
      </c>
      <c r="H1003" s="21">
        <f t="shared" si="30"/>
        <v>-2.5482744003966218E-3</v>
      </c>
      <c r="I1003" s="10">
        <v>18278.619531582299</v>
      </c>
      <c r="J1003" s="21">
        <f t="shared" si="31"/>
        <v>-8.0823472017073072E-3</v>
      </c>
    </row>
    <row r="1004" spans="1:10">
      <c r="A1004" t="s">
        <v>212</v>
      </c>
      <c r="B1004" t="s">
        <v>214</v>
      </c>
      <c r="C1004" s="18">
        <v>2038</v>
      </c>
      <c r="D1004" t="s">
        <v>227</v>
      </c>
      <c r="E1004" s="20">
        <v>1176288.08353247</v>
      </c>
      <c r="F1004" s="20">
        <v>234286.31597591101</v>
      </c>
      <c r="G1004" s="10">
        <v>234286.30240329501</v>
      </c>
      <c r="H1004" s="21">
        <f t="shared" si="30"/>
        <v>-1.3572616007877514E-2</v>
      </c>
      <c r="I1004" s="10">
        <v>1176286.23006217</v>
      </c>
      <c r="J1004" s="21">
        <f t="shared" si="31"/>
        <v>-1.8534703000914305</v>
      </c>
    </row>
    <row r="1005" spans="1:10">
      <c r="A1005" t="s">
        <v>212</v>
      </c>
      <c r="B1005" t="s">
        <v>214</v>
      </c>
      <c r="C1005" s="18">
        <v>2038</v>
      </c>
      <c r="D1005" t="s">
        <v>163</v>
      </c>
      <c r="E1005" s="20">
        <v>133004.80972826801</v>
      </c>
      <c r="F1005" s="20">
        <v>89762.922644085498</v>
      </c>
      <c r="G1005" s="10">
        <v>89762.908504627194</v>
      </c>
      <c r="H1005" s="21">
        <f t="shared" si="30"/>
        <v>-1.4139458304271102E-2</v>
      </c>
      <c r="I1005" s="10">
        <v>133004.77137127001</v>
      </c>
      <c r="J1005" s="21">
        <f t="shared" si="31"/>
        <v>-3.835699800401926E-2</v>
      </c>
    </row>
    <row r="1006" spans="1:10">
      <c r="A1006" t="s">
        <v>212</v>
      </c>
      <c r="B1006" t="s">
        <v>214</v>
      </c>
      <c r="C1006" s="18">
        <v>2038</v>
      </c>
      <c r="D1006" t="s">
        <v>173</v>
      </c>
      <c r="E1006" s="20">
        <v>436878.59164625203</v>
      </c>
      <c r="F1006" s="20">
        <v>405385.03012238001</v>
      </c>
      <c r="G1006" s="10">
        <v>405384.95777232101</v>
      </c>
      <c r="H1006" s="21">
        <f t="shared" si="30"/>
        <v>-7.2350058995652944E-2</v>
      </c>
      <c r="I1006" s="10">
        <v>436878.35953831702</v>
      </c>
      <c r="J1006" s="21">
        <f t="shared" si="31"/>
        <v>-0.23210793500766158</v>
      </c>
    </row>
    <row r="1007" spans="1:10">
      <c r="A1007" t="s">
        <v>212</v>
      </c>
      <c r="B1007" t="s">
        <v>214</v>
      </c>
      <c r="C1007" s="18">
        <v>2038</v>
      </c>
      <c r="D1007" t="s">
        <v>177</v>
      </c>
      <c r="E1007" s="20">
        <v>753561.28917129198</v>
      </c>
      <c r="F1007" s="20">
        <v>465343.00275612599</v>
      </c>
      <c r="G1007" s="10">
        <v>465342.91786371003</v>
      </c>
      <c r="H1007" s="21">
        <f t="shared" si="30"/>
        <v>-8.4892415965441614E-2</v>
      </c>
      <c r="I1007" s="10">
        <v>753560.82214679301</v>
      </c>
      <c r="J1007" s="21">
        <f t="shared" si="31"/>
        <v>-0.46702449896838516</v>
      </c>
    </row>
    <row r="1008" spans="1:10">
      <c r="A1008" t="s">
        <v>212</v>
      </c>
      <c r="B1008" t="s">
        <v>214</v>
      </c>
      <c r="C1008" s="18">
        <v>2038</v>
      </c>
      <c r="D1008" t="s">
        <v>181</v>
      </c>
      <c r="E1008" s="20">
        <v>565403.92903760704</v>
      </c>
      <c r="F1008" s="20">
        <v>318461.030765565</v>
      </c>
      <c r="G1008" s="10">
        <v>318461.02224812203</v>
      </c>
      <c r="H1008" s="21">
        <f t="shared" si="30"/>
        <v>-8.5174429696053267E-3</v>
      </c>
      <c r="I1008" s="10">
        <v>565403.75879938505</v>
      </c>
      <c r="J1008" s="21">
        <f t="shared" si="31"/>
        <v>-0.17023822199553251</v>
      </c>
    </row>
    <row r="1009" spans="1:10">
      <c r="A1009" t="s">
        <v>212</v>
      </c>
      <c r="B1009" t="s">
        <v>214</v>
      </c>
      <c r="C1009" s="18">
        <v>2038</v>
      </c>
      <c r="D1009" t="s">
        <v>209</v>
      </c>
      <c r="E1009" s="20">
        <v>43730.744920658602</v>
      </c>
      <c r="F1009" s="20">
        <v>7443.4581506490003</v>
      </c>
      <c r="G1009" s="10">
        <v>7517.77035327065</v>
      </c>
      <c r="H1009" s="21">
        <f t="shared" si="30"/>
        <v>74.312202621649703</v>
      </c>
      <c r="I1009" s="10">
        <v>43730.744850638199</v>
      </c>
      <c r="J1009" s="21">
        <f t="shared" si="31"/>
        <v>-7.0020403654780239E-5</v>
      </c>
    </row>
    <row r="1010" spans="1:10">
      <c r="A1010" t="s">
        <v>212</v>
      </c>
      <c r="B1010" t="s">
        <v>214</v>
      </c>
      <c r="C1010" s="18">
        <v>2039</v>
      </c>
      <c r="D1010" t="s">
        <v>187</v>
      </c>
      <c r="E1010" s="20">
        <v>18752.099935333801</v>
      </c>
      <c r="F1010" s="20">
        <v>13404.672803687699</v>
      </c>
      <c r="G1010" s="10">
        <v>13404.669620275599</v>
      </c>
      <c r="H1010" s="21">
        <f t="shared" si="30"/>
        <v>-3.183412100042915E-3</v>
      </c>
      <c r="I1010" s="10">
        <v>18752.090499402999</v>
      </c>
      <c r="J1010" s="21">
        <f t="shared" si="31"/>
        <v>-9.4359308022831101E-3</v>
      </c>
    </row>
    <row r="1011" spans="1:10">
      <c r="A1011" t="s">
        <v>212</v>
      </c>
      <c r="B1011" t="s">
        <v>214</v>
      </c>
      <c r="C1011" s="18">
        <v>2039</v>
      </c>
      <c r="D1011" t="s">
        <v>227</v>
      </c>
      <c r="E1011" s="20">
        <v>1184740.5524709399</v>
      </c>
      <c r="F1011" s="20">
        <v>242132.208841121</v>
      </c>
      <c r="G1011" s="10">
        <v>242132.19115316399</v>
      </c>
      <c r="H1011" s="21">
        <f t="shared" si="30"/>
        <v>-1.7687957006273791E-2</v>
      </c>
      <c r="I1011" s="10">
        <v>1184738.3918449101</v>
      </c>
      <c r="J1011" s="21">
        <f t="shared" si="31"/>
        <v>-2.1606260298285633</v>
      </c>
    </row>
    <row r="1012" spans="1:10">
      <c r="A1012" t="s">
        <v>212</v>
      </c>
      <c r="B1012" t="s">
        <v>214</v>
      </c>
      <c r="C1012" s="18">
        <v>2039</v>
      </c>
      <c r="D1012" t="s">
        <v>163</v>
      </c>
      <c r="E1012" s="20">
        <v>135872.17720901</v>
      </c>
      <c r="F1012" s="20">
        <v>91716.384228379306</v>
      </c>
      <c r="G1012" s="10">
        <v>91716.366353602294</v>
      </c>
      <c r="H1012" s="21">
        <f t="shared" si="30"/>
        <v>-1.7874777011456899E-2</v>
      </c>
      <c r="I1012" s="10">
        <v>135872.13136763001</v>
      </c>
      <c r="J1012" s="21">
        <f t="shared" si="31"/>
        <v>-4.5841379993362352E-2</v>
      </c>
    </row>
    <row r="1013" spans="1:10">
      <c r="A1013" t="s">
        <v>212</v>
      </c>
      <c r="B1013" t="s">
        <v>214</v>
      </c>
      <c r="C1013" s="18">
        <v>2039</v>
      </c>
      <c r="D1013" t="s">
        <v>173</v>
      </c>
      <c r="E1013" s="20">
        <v>443906.25744341302</v>
      </c>
      <c r="F1013" s="20">
        <v>412120.306556275</v>
      </c>
      <c r="G1013" s="10">
        <v>412120.21350488003</v>
      </c>
      <c r="H1013" s="21">
        <f t="shared" si="30"/>
        <v>-9.3051394971553236E-2</v>
      </c>
      <c r="I1013" s="10">
        <v>443905.980748337</v>
      </c>
      <c r="J1013" s="21">
        <f t="shared" si="31"/>
        <v>-0.27669507602695376</v>
      </c>
    </row>
    <row r="1014" spans="1:10">
      <c r="A1014" t="s">
        <v>212</v>
      </c>
      <c r="B1014" t="s">
        <v>214</v>
      </c>
      <c r="C1014" s="18">
        <v>2039</v>
      </c>
      <c r="D1014" t="s">
        <v>177</v>
      </c>
      <c r="E1014" s="20">
        <v>765529.01448214205</v>
      </c>
      <c r="F1014" s="20">
        <v>475269.89441322797</v>
      </c>
      <c r="G1014" s="10">
        <v>475269.78752891801</v>
      </c>
      <c r="H1014" s="21">
        <f t="shared" si="30"/>
        <v>-0.10688430996378884</v>
      </c>
      <c r="I1014" s="10">
        <v>765528.46783885697</v>
      </c>
      <c r="J1014" s="21">
        <f t="shared" si="31"/>
        <v>-0.54664328508079052</v>
      </c>
    </row>
    <row r="1015" spans="1:10">
      <c r="A1015" t="s">
        <v>212</v>
      </c>
      <c r="B1015" t="s">
        <v>214</v>
      </c>
      <c r="C1015" s="18">
        <v>2039</v>
      </c>
      <c r="D1015" t="s">
        <v>181</v>
      </c>
      <c r="E1015" s="20">
        <v>577414.71682353597</v>
      </c>
      <c r="F1015" s="20">
        <v>328246.41238567099</v>
      </c>
      <c r="G1015" s="10">
        <v>328246.40127636801</v>
      </c>
      <c r="H1015" s="21">
        <f t="shared" si="30"/>
        <v>-1.1109302984550595E-2</v>
      </c>
      <c r="I1015" s="10">
        <v>577414.514396235</v>
      </c>
      <c r="J1015" s="21">
        <f t="shared" si="31"/>
        <v>-0.20242730097379535</v>
      </c>
    </row>
    <row r="1016" spans="1:10">
      <c r="A1016" t="s">
        <v>212</v>
      </c>
      <c r="B1016" t="s">
        <v>214</v>
      </c>
      <c r="C1016" s="18">
        <v>2039</v>
      </c>
      <c r="D1016" t="s">
        <v>209</v>
      </c>
      <c r="E1016" s="20">
        <v>43588.845540843999</v>
      </c>
      <c r="F1016" s="20">
        <v>7468.4770714933902</v>
      </c>
      <c r="G1016" s="10">
        <v>7547.5598608641003</v>
      </c>
      <c r="H1016" s="21">
        <f t="shared" si="30"/>
        <v>79.082789370710088</v>
      </c>
      <c r="I1016" s="10">
        <v>43588.845456636998</v>
      </c>
      <c r="J1016" s="21">
        <f t="shared" si="31"/>
        <v>-8.4207000327296555E-5</v>
      </c>
    </row>
    <row r="1017" spans="1:10">
      <c r="A1017" t="s">
        <v>212</v>
      </c>
      <c r="B1017" t="s">
        <v>214</v>
      </c>
      <c r="C1017" s="18">
        <v>2040</v>
      </c>
      <c r="D1017" t="s">
        <v>187</v>
      </c>
      <c r="E1017" s="20">
        <v>19235.747458571299</v>
      </c>
      <c r="F1017" s="20">
        <v>13698.9760810102</v>
      </c>
      <c r="G1017" s="10">
        <v>13698.9721681132</v>
      </c>
      <c r="H1017" s="21">
        <f t="shared" si="30"/>
        <v>-3.9128970001911512E-3</v>
      </c>
      <c r="I1017" s="10">
        <v>19235.736542927301</v>
      </c>
      <c r="J1017" s="21">
        <f t="shared" si="31"/>
        <v>-1.0915643997577718E-2</v>
      </c>
    </row>
    <row r="1018" spans="1:10">
      <c r="A1018" t="s">
        <v>212</v>
      </c>
      <c r="B1018" t="s">
        <v>214</v>
      </c>
      <c r="C1018" s="18">
        <v>2040</v>
      </c>
      <c r="D1018" t="s">
        <v>227</v>
      </c>
      <c r="E1018" s="20">
        <v>1192636.92354488</v>
      </c>
      <c r="F1018" s="20">
        <v>249894.50152628799</v>
      </c>
      <c r="G1018" s="10">
        <v>249894.478827588</v>
      </c>
      <c r="H1018" s="21">
        <f t="shared" si="30"/>
        <v>-2.2698699991451576E-2</v>
      </c>
      <c r="I1018" s="10">
        <v>1192634.43006365</v>
      </c>
      <c r="J1018" s="21">
        <f t="shared" si="31"/>
        <v>-2.4934812299907207</v>
      </c>
    </row>
    <row r="1019" spans="1:10">
      <c r="A1019" t="s">
        <v>212</v>
      </c>
      <c r="B1019" t="s">
        <v>214</v>
      </c>
      <c r="C1019" s="18">
        <v>2040</v>
      </c>
      <c r="D1019" t="s">
        <v>163</v>
      </c>
      <c r="E1019" s="20">
        <v>138689.85088806099</v>
      </c>
      <c r="F1019" s="20">
        <v>93636.919054061</v>
      </c>
      <c r="G1019" s="10">
        <v>93636.896760059302</v>
      </c>
      <c r="H1019" s="21">
        <f t="shared" si="30"/>
        <v>-2.229400169744622E-2</v>
      </c>
      <c r="I1019" s="10">
        <v>138689.796610277</v>
      </c>
      <c r="J1019" s="21">
        <f t="shared" si="31"/>
        <v>-5.4277783987345174E-2</v>
      </c>
    </row>
    <row r="1020" spans="1:10">
      <c r="A1020" t="s">
        <v>212</v>
      </c>
      <c r="B1020" t="s">
        <v>214</v>
      </c>
      <c r="C1020" s="18">
        <v>2040</v>
      </c>
      <c r="D1020" t="s">
        <v>173</v>
      </c>
      <c r="E1020" s="20">
        <v>450842.09163175401</v>
      </c>
      <c r="F1020" s="20">
        <v>418621.02663726301</v>
      </c>
      <c r="G1020" s="10">
        <v>418620.90894817398</v>
      </c>
      <c r="H1020" s="21">
        <f t="shared" si="30"/>
        <v>-0.117689089034684</v>
      </c>
      <c r="I1020" s="10">
        <v>450841.764596063</v>
      </c>
      <c r="J1020" s="21">
        <f t="shared" si="31"/>
        <v>-0.32703569100704044</v>
      </c>
    </row>
    <row r="1021" spans="1:10">
      <c r="A1021" t="s">
        <v>212</v>
      </c>
      <c r="B1021" t="s">
        <v>214</v>
      </c>
      <c r="C1021" s="18">
        <v>2040</v>
      </c>
      <c r="D1021" t="s">
        <v>177</v>
      </c>
      <c r="E1021" s="20">
        <v>777089.13163795799</v>
      </c>
      <c r="F1021" s="20">
        <v>484947.23796339298</v>
      </c>
      <c r="G1021" s="10">
        <v>484947.105425179</v>
      </c>
      <c r="H1021" s="21">
        <f t="shared" si="30"/>
        <v>-0.13253821397665888</v>
      </c>
      <c r="I1021" s="10">
        <v>777088.49670209095</v>
      </c>
      <c r="J1021" s="21">
        <f t="shared" si="31"/>
        <v>-0.63493586704134941</v>
      </c>
    </row>
    <row r="1022" spans="1:10">
      <c r="A1022" t="s">
        <v>212</v>
      </c>
      <c r="B1022" t="s">
        <v>214</v>
      </c>
      <c r="C1022" s="18">
        <v>2040</v>
      </c>
      <c r="D1022" t="s">
        <v>181</v>
      </c>
      <c r="E1022" s="20">
        <v>589359.97257722996</v>
      </c>
      <c r="F1022" s="20">
        <v>338039.024679197</v>
      </c>
      <c r="G1022" s="10">
        <v>338039.01043044601</v>
      </c>
      <c r="H1022" s="21">
        <f t="shared" si="30"/>
        <v>-1.4248750987462699E-2</v>
      </c>
      <c r="I1022" s="10">
        <v>589359.73383284197</v>
      </c>
      <c r="J1022" s="21">
        <f t="shared" si="31"/>
        <v>-0.23874438798520714</v>
      </c>
    </row>
    <row r="1023" spans="1:10">
      <c r="A1023" t="s">
        <v>212</v>
      </c>
      <c r="B1023" t="s">
        <v>214</v>
      </c>
      <c r="C1023" s="18">
        <v>2040</v>
      </c>
      <c r="D1023" t="s">
        <v>209</v>
      </c>
      <c r="E1023" s="20">
        <v>43464.859781603504</v>
      </c>
      <c r="F1023" s="20">
        <v>7489.9254790368104</v>
      </c>
      <c r="G1023" s="10">
        <v>7573.7255608269897</v>
      </c>
      <c r="H1023" s="21">
        <f t="shared" si="30"/>
        <v>83.80008179017932</v>
      </c>
      <c r="I1023" s="10">
        <v>43464.859681883601</v>
      </c>
      <c r="J1023" s="21">
        <f t="shared" si="31"/>
        <v>-9.9719902209471911E-5</v>
      </c>
    </row>
    <row r="1024" spans="1:10">
      <c r="A1024" t="s">
        <v>212</v>
      </c>
      <c r="B1024" t="s">
        <v>214</v>
      </c>
      <c r="C1024" s="18">
        <v>2041</v>
      </c>
      <c r="D1024" t="s">
        <v>187</v>
      </c>
      <c r="E1024" s="20">
        <v>19727.296012698702</v>
      </c>
      <c r="F1024" s="20">
        <v>13991.6114340158</v>
      </c>
      <c r="G1024" s="10">
        <v>13991.606690282801</v>
      </c>
      <c r="H1024" s="21">
        <f t="shared" si="30"/>
        <v>-4.7437329994863831E-3</v>
      </c>
      <c r="I1024" s="10">
        <v>19727.283486384</v>
      </c>
      <c r="J1024" s="21">
        <f t="shared" si="31"/>
        <v>-1.2526314701972296E-2</v>
      </c>
    </row>
    <row r="1025" spans="1:10">
      <c r="A1025" t="s">
        <v>212</v>
      </c>
      <c r="B1025" t="s">
        <v>214</v>
      </c>
      <c r="C1025" s="18">
        <v>2041</v>
      </c>
      <c r="D1025" t="s">
        <v>227</v>
      </c>
      <c r="E1025" s="20">
        <v>1199991.02834802</v>
      </c>
      <c r="F1025" s="20">
        <v>257599.072761471</v>
      </c>
      <c r="G1025" s="10">
        <v>257599.044002988</v>
      </c>
      <c r="H1025" s="21">
        <f t="shared" si="30"/>
        <v>-2.875848300755024E-2</v>
      </c>
      <c r="I1025" s="10">
        <v>1199988.17586749</v>
      </c>
      <c r="J1025" s="21">
        <f t="shared" si="31"/>
        <v>-2.8524805300403386</v>
      </c>
    </row>
    <row r="1026" spans="1:10">
      <c r="A1026" t="s">
        <v>212</v>
      </c>
      <c r="B1026" t="s">
        <v>214</v>
      </c>
      <c r="C1026" s="18">
        <v>2041</v>
      </c>
      <c r="D1026" t="s">
        <v>163</v>
      </c>
      <c r="E1026" s="20">
        <v>141475.63458928399</v>
      </c>
      <c r="F1026" s="20">
        <v>95527.033845252998</v>
      </c>
      <c r="G1026" s="10">
        <v>95527.0063786807</v>
      </c>
      <c r="H1026" s="21">
        <f t="shared" ref="H1026:H1089" si="32">G1026-F1026</f>
        <v>-2.7466572297271341E-2</v>
      </c>
      <c r="I1026" s="10">
        <v>141475.570851386</v>
      </c>
      <c r="J1026" s="21">
        <f t="shared" ref="J1026:J1089" si="33">I1026-E1026</f>
        <v>-6.3737897988175973E-2</v>
      </c>
    </row>
    <row r="1027" spans="1:10">
      <c r="A1027" t="s">
        <v>212</v>
      </c>
      <c r="B1027" t="s">
        <v>214</v>
      </c>
      <c r="C1027" s="18">
        <v>2041</v>
      </c>
      <c r="D1027" t="s">
        <v>173</v>
      </c>
      <c r="E1027" s="20">
        <v>457698.51168890903</v>
      </c>
      <c r="F1027" s="20">
        <v>425005.92376897502</v>
      </c>
      <c r="G1027" s="10">
        <v>425005.77720965003</v>
      </c>
      <c r="H1027" s="21">
        <f t="shared" si="32"/>
        <v>-0.14655932498862967</v>
      </c>
      <c r="I1027" s="10">
        <v>457698.12813480198</v>
      </c>
      <c r="J1027" s="21">
        <f t="shared" si="33"/>
        <v>-0.38355410704389215</v>
      </c>
    </row>
    <row r="1028" spans="1:10">
      <c r="A1028" t="s">
        <v>212</v>
      </c>
      <c r="B1028" t="s">
        <v>214</v>
      </c>
      <c r="C1028" s="18">
        <v>2041</v>
      </c>
      <c r="D1028" t="s">
        <v>177</v>
      </c>
      <c r="E1028" s="20">
        <v>788293.975838496</v>
      </c>
      <c r="F1028" s="20">
        <v>494391.03566895402</v>
      </c>
      <c r="G1028" s="10">
        <v>494390.87324825901</v>
      </c>
      <c r="H1028" s="21">
        <f t="shared" si="32"/>
        <v>-0.16242069500731304</v>
      </c>
      <c r="I1028" s="10">
        <v>788293.24275668897</v>
      </c>
      <c r="J1028" s="21">
        <f t="shared" si="33"/>
        <v>-0.73308180703315884</v>
      </c>
    </row>
    <row r="1029" spans="1:10">
      <c r="A1029" t="s">
        <v>212</v>
      </c>
      <c r="B1029" t="s">
        <v>214</v>
      </c>
      <c r="C1029" s="18">
        <v>2041</v>
      </c>
      <c r="D1029" t="s">
        <v>181</v>
      </c>
      <c r="E1029" s="20">
        <v>601155.62074697204</v>
      </c>
      <c r="F1029" s="20">
        <v>347924.78436472802</v>
      </c>
      <c r="G1029" s="10">
        <v>347924.76632707799</v>
      </c>
      <c r="H1029" s="21">
        <f t="shared" si="32"/>
        <v>-1.8037650035694242E-2</v>
      </c>
      <c r="I1029" s="10">
        <v>601155.34094696096</v>
      </c>
      <c r="J1029" s="21">
        <f t="shared" si="33"/>
        <v>-0.27980001107789576</v>
      </c>
    </row>
    <row r="1030" spans="1:10">
      <c r="A1030" t="s">
        <v>212</v>
      </c>
      <c r="B1030" t="s">
        <v>214</v>
      </c>
      <c r="C1030" s="18">
        <v>2041</v>
      </c>
      <c r="D1030" t="s">
        <v>209</v>
      </c>
      <c r="E1030" s="20">
        <v>43360.935792081596</v>
      </c>
      <c r="F1030" s="20">
        <v>7507.5136127960604</v>
      </c>
      <c r="G1030" s="10">
        <v>7595.9953338682099</v>
      </c>
      <c r="H1030" s="21">
        <f t="shared" si="32"/>
        <v>88.481721072149412</v>
      </c>
      <c r="I1030" s="10">
        <v>43360.9356755525</v>
      </c>
      <c r="J1030" s="21">
        <f t="shared" si="33"/>
        <v>-1.165290959761478E-4</v>
      </c>
    </row>
    <row r="1031" spans="1:10">
      <c r="A1031" t="s">
        <v>212</v>
      </c>
      <c r="B1031" t="s">
        <v>214</v>
      </c>
      <c r="C1031" s="18">
        <v>2042</v>
      </c>
      <c r="D1031" t="s">
        <v>187</v>
      </c>
      <c r="E1031" s="20">
        <v>20222.2826722028</v>
      </c>
      <c r="F1031" s="20">
        <v>14284.622591466299</v>
      </c>
      <c r="G1031" s="10">
        <v>14284.6169088399</v>
      </c>
      <c r="H1031" s="21">
        <f t="shared" si="32"/>
        <v>-5.6826263989933068E-3</v>
      </c>
      <c r="I1031" s="10">
        <v>20222.268399164699</v>
      </c>
      <c r="J1031" s="21">
        <f t="shared" si="33"/>
        <v>-1.4273038101237034E-2</v>
      </c>
    </row>
    <row r="1032" spans="1:10">
      <c r="A1032" t="s">
        <v>212</v>
      </c>
      <c r="B1032" t="s">
        <v>214</v>
      </c>
      <c r="C1032" s="18">
        <v>2042</v>
      </c>
      <c r="D1032" t="s">
        <v>227</v>
      </c>
      <c r="E1032" s="20">
        <v>1206802.8290433099</v>
      </c>
      <c r="F1032" s="20">
        <v>265289.445153735</v>
      </c>
      <c r="G1032" s="10">
        <v>265289.409116733</v>
      </c>
      <c r="H1032" s="21">
        <f t="shared" si="32"/>
        <v>-3.6037001991644502E-2</v>
      </c>
      <c r="I1032" s="10">
        <v>1206799.58929471</v>
      </c>
      <c r="J1032" s="21">
        <f t="shared" si="33"/>
        <v>-3.2397485999390483</v>
      </c>
    </row>
    <row r="1033" spans="1:10">
      <c r="A1033" t="s">
        <v>212</v>
      </c>
      <c r="B1033" t="s">
        <v>214</v>
      </c>
      <c r="C1033" s="18">
        <v>2042</v>
      </c>
      <c r="D1033" t="s">
        <v>163</v>
      </c>
      <c r="E1033" s="20">
        <v>144248.14125292399</v>
      </c>
      <c r="F1033" s="20">
        <v>97406.190440968407</v>
      </c>
      <c r="G1033" s="10">
        <v>97406.156977096296</v>
      </c>
      <c r="H1033" s="21">
        <f t="shared" si="32"/>
        <v>-3.3463872110587545E-2</v>
      </c>
      <c r="I1033" s="10">
        <v>144248.066926011</v>
      </c>
      <c r="J1033" s="21">
        <f t="shared" si="33"/>
        <v>-7.4326912988908589E-2</v>
      </c>
    </row>
    <row r="1034" spans="1:10">
      <c r="A1034" t="s">
        <v>212</v>
      </c>
      <c r="B1034" t="s">
        <v>214</v>
      </c>
      <c r="C1034" s="18">
        <v>2042</v>
      </c>
      <c r="D1034" t="s">
        <v>173</v>
      </c>
      <c r="E1034" s="20">
        <v>464487.48525941302</v>
      </c>
      <c r="F1034" s="20">
        <v>431397.22302412702</v>
      </c>
      <c r="G1034" s="10">
        <v>431397.042999706</v>
      </c>
      <c r="H1034" s="21">
        <f t="shared" si="32"/>
        <v>-0.18002442101715133</v>
      </c>
      <c r="I1034" s="10">
        <v>464487.03899019101</v>
      </c>
      <c r="J1034" s="21">
        <f t="shared" si="33"/>
        <v>-0.44626922201132402</v>
      </c>
    </row>
    <row r="1035" spans="1:10">
      <c r="A1035" t="s">
        <v>212</v>
      </c>
      <c r="B1035" t="s">
        <v>214</v>
      </c>
      <c r="C1035" s="18">
        <v>2042</v>
      </c>
      <c r="D1035" t="s">
        <v>177</v>
      </c>
      <c r="E1035" s="20">
        <v>799226.34101520095</v>
      </c>
      <c r="F1035" s="20">
        <v>503604.00092250499</v>
      </c>
      <c r="G1035" s="10">
        <v>503603.80380956898</v>
      </c>
      <c r="H1035" s="21">
        <f t="shared" si="32"/>
        <v>-0.19711293600266799</v>
      </c>
      <c r="I1035" s="10">
        <v>799225.499121645</v>
      </c>
      <c r="J1035" s="21">
        <f t="shared" si="33"/>
        <v>-0.8418935559457168</v>
      </c>
    </row>
    <row r="1036" spans="1:10">
      <c r="A1036" t="s">
        <v>212</v>
      </c>
      <c r="B1036" t="s">
        <v>214</v>
      </c>
      <c r="C1036" s="18">
        <v>2042</v>
      </c>
      <c r="D1036" t="s">
        <v>181</v>
      </c>
      <c r="E1036" s="20">
        <v>612664.50297769997</v>
      </c>
      <c r="F1036" s="20">
        <v>357930.962099539</v>
      </c>
      <c r="G1036" s="10">
        <v>357930.93950443697</v>
      </c>
      <c r="H1036" s="21">
        <f t="shared" si="32"/>
        <v>-2.2595102025661618E-2</v>
      </c>
      <c r="I1036" s="10">
        <v>612664.177038008</v>
      </c>
      <c r="J1036" s="21">
        <f t="shared" si="33"/>
        <v>-0.32593969197478145</v>
      </c>
    </row>
    <row r="1037" spans="1:10">
      <c r="A1037" t="s">
        <v>212</v>
      </c>
      <c r="B1037" t="s">
        <v>214</v>
      </c>
      <c r="C1037" s="18">
        <v>2042</v>
      </c>
      <c r="D1037" t="s">
        <v>209</v>
      </c>
      <c r="E1037" s="20">
        <v>43278.728616254899</v>
      </c>
      <c r="F1037" s="20">
        <v>7523.4538137477603</v>
      </c>
      <c r="G1037" s="10">
        <v>7616.5928035502902</v>
      </c>
      <c r="H1037" s="21">
        <f t="shared" si="32"/>
        <v>93.138989802529977</v>
      </c>
      <c r="I1037" s="10">
        <v>43278.728481607301</v>
      </c>
      <c r="J1037" s="21">
        <f t="shared" si="33"/>
        <v>-1.34647598315496E-4</v>
      </c>
    </row>
    <row r="1038" spans="1:10">
      <c r="A1038" t="s">
        <v>212</v>
      </c>
      <c r="B1038" t="s">
        <v>214</v>
      </c>
      <c r="C1038" s="18">
        <v>2043</v>
      </c>
      <c r="D1038" t="s">
        <v>187</v>
      </c>
      <c r="E1038" s="20">
        <v>20720.564367544899</v>
      </c>
      <c r="F1038" s="20">
        <v>14572.8898876608</v>
      </c>
      <c r="G1038" s="10">
        <v>14572.883153271399</v>
      </c>
      <c r="H1038" s="21">
        <f t="shared" si="32"/>
        <v>-6.7343894006626215E-3</v>
      </c>
      <c r="I1038" s="10">
        <v>20720.548205455299</v>
      </c>
      <c r="J1038" s="21">
        <f t="shared" si="33"/>
        <v>-1.61620895996748E-2</v>
      </c>
    </row>
    <row r="1039" spans="1:10">
      <c r="A1039" t="s">
        <v>212</v>
      </c>
      <c r="B1039" t="s">
        <v>214</v>
      </c>
      <c r="C1039" s="18">
        <v>2043</v>
      </c>
      <c r="D1039" t="s">
        <v>227</v>
      </c>
      <c r="E1039" s="20">
        <v>1213052.91701125</v>
      </c>
      <c r="F1039" s="20">
        <v>272950.48014835001</v>
      </c>
      <c r="G1039" s="10">
        <v>272950.43541917799</v>
      </c>
      <c r="H1039" s="21">
        <f t="shared" si="32"/>
        <v>-4.4729172019287944E-2</v>
      </c>
      <c r="I1039" s="10">
        <v>1213049.26096591</v>
      </c>
      <c r="J1039" s="21">
        <f t="shared" si="33"/>
        <v>-3.6560453400015831</v>
      </c>
    </row>
    <row r="1040" spans="1:10">
      <c r="A1040" t="s">
        <v>212</v>
      </c>
      <c r="B1040" t="s">
        <v>214</v>
      </c>
      <c r="C1040" s="18">
        <v>2043</v>
      </c>
      <c r="D1040" t="s">
        <v>163</v>
      </c>
      <c r="E1040" s="20">
        <v>146993.900377221</v>
      </c>
      <c r="F1040" s="20">
        <v>99271.431525821594</v>
      </c>
      <c r="G1040" s="10">
        <v>99271.391168072907</v>
      </c>
      <c r="H1040" s="21">
        <f t="shared" si="32"/>
        <v>-4.0357748686801642E-2</v>
      </c>
      <c r="I1040" s="10">
        <v>146993.81420820701</v>
      </c>
      <c r="J1040" s="21">
        <f t="shared" si="33"/>
        <v>-8.6169013986364007E-2</v>
      </c>
    </row>
    <row r="1041" spans="1:10">
      <c r="A1041" t="s">
        <v>212</v>
      </c>
      <c r="B1041" t="s">
        <v>214</v>
      </c>
      <c r="C1041" s="18">
        <v>2043</v>
      </c>
      <c r="D1041" t="s">
        <v>173</v>
      </c>
      <c r="E1041" s="20">
        <v>471155.35506855801</v>
      </c>
      <c r="F1041" s="20">
        <v>437680.20686650398</v>
      </c>
      <c r="G1041" s="10">
        <v>437679.98847184202</v>
      </c>
      <c r="H1041" s="21">
        <f t="shared" si="32"/>
        <v>-0.21839466196252033</v>
      </c>
      <c r="I1041" s="10">
        <v>471154.83958066901</v>
      </c>
      <c r="J1041" s="21">
        <f t="shared" si="33"/>
        <v>-0.51548788900254294</v>
      </c>
    </row>
    <row r="1042" spans="1:10">
      <c r="A1042" t="s">
        <v>212</v>
      </c>
      <c r="B1042" t="s">
        <v>214</v>
      </c>
      <c r="C1042" s="18">
        <v>2043</v>
      </c>
      <c r="D1042" t="s">
        <v>177</v>
      </c>
      <c r="E1042" s="20">
        <v>810015.73543865501</v>
      </c>
      <c r="F1042" s="20">
        <v>512610.68639782298</v>
      </c>
      <c r="G1042" s="10">
        <v>512610.44917931297</v>
      </c>
      <c r="H1042" s="21">
        <f t="shared" si="32"/>
        <v>-0.23721851001027972</v>
      </c>
      <c r="I1042" s="10">
        <v>810014.77283431904</v>
      </c>
      <c r="J1042" s="21">
        <f t="shared" si="33"/>
        <v>-0.96260433597490191</v>
      </c>
    </row>
    <row r="1043" spans="1:10">
      <c r="A1043" t="s">
        <v>212</v>
      </c>
      <c r="B1043" t="s">
        <v>214</v>
      </c>
      <c r="C1043" s="18">
        <v>2043</v>
      </c>
      <c r="D1043" t="s">
        <v>181</v>
      </c>
      <c r="E1043" s="20">
        <v>623953.73419101804</v>
      </c>
      <c r="F1043" s="20">
        <v>367959.08731138101</v>
      </c>
      <c r="G1043" s="10">
        <v>367959.059248153</v>
      </c>
      <c r="H1043" s="21">
        <f t="shared" si="32"/>
        <v>-2.8063228004612029E-2</v>
      </c>
      <c r="I1043" s="10">
        <v>623953.35649413895</v>
      </c>
      <c r="J1043" s="21">
        <f t="shared" si="33"/>
        <v>-0.3776968790916726</v>
      </c>
    </row>
    <row r="1044" spans="1:10">
      <c r="A1044" t="s">
        <v>212</v>
      </c>
      <c r="B1044" t="s">
        <v>214</v>
      </c>
      <c r="C1044" s="18">
        <v>2043</v>
      </c>
      <c r="D1044" t="s">
        <v>209</v>
      </c>
      <c r="E1044" s="20">
        <v>43232.1386982693</v>
      </c>
      <c r="F1044" s="20">
        <v>7537.03681343264</v>
      </c>
      <c r="G1044" s="10">
        <v>7634.6380979097503</v>
      </c>
      <c r="H1044" s="21">
        <f t="shared" si="32"/>
        <v>97.601284477110312</v>
      </c>
      <c r="I1044" s="10">
        <v>43232.1385441846</v>
      </c>
      <c r="J1044" s="21">
        <f t="shared" si="33"/>
        <v>-1.5408470062538981E-4</v>
      </c>
    </row>
    <row r="1045" spans="1:10">
      <c r="A1045" t="s">
        <v>212</v>
      </c>
      <c r="B1045" t="s">
        <v>214</v>
      </c>
      <c r="C1045" s="18">
        <v>2044</v>
      </c>
      <c r="D1045" t="s">
        <v>187</v>
      </c>
      <c r="E1045" s="20">
        <v>21220.265558648101</v>
      </c>
      <c r="F1045" s="20">
        <v>14861.439474729799</v>
      </c>
      <c r="G1045" s="10">
        <v>14861.4315691186</v>
      </c>
      <c r="H1045" s="21">
        <f t="shared" si="32"/>
        <v>-7.905611199021223E-3</v>
      </c>
      <c r="I1045" s="10">
        <v>21220.2473713984</v>
      </c>
      <c r="J1045" s="21">
        <f t="shared" si="33"/>
        <v>-1.8187249701441033E-2</v>
      </c>
    </row>
    <row r="1046" spans="1:10">
      <c r="A1046" t="s">
        <v>212</v>
      </c>
      <c r="B1046" t="s">
        <v>214</v>
      </c>
      <c r="C1046" s="18">
        <v>2044</v>
      </c>
      <c r="D1046" t="s">
        <v>227</v>
      </c>
      <c r="E1046" s="20">
        <v>1218992.5692000999</v>
      </c>
      <c r="F1046" s="20">
        <v>280506.49658547202</v>
      </c>
      <c r="G1046" s="10">
        <v>280506.44153550803</v>
      </c>
      <c r="H1046" s="21">
        <f t="shared" si="32"/>
        <v>-5.5049963993951678E-2</v>
      </c>
      <c r="I1046" s="10">
        <v>1218988.4670045001</v>
      </c>
      <c r="J1046" s="21">
        <f t="shared" si="33"/>
        <v>-4.1021955998148769</v>
      </c>
    </row>
    <row r="1047" spans="1:10">
      <c r="A1047" t="s">
        <v>212</v>
      </c>
      <c r="B1047" t="s">
        <v>214</v>
      </c>
      <c r="C1047" s="18">
        <v>2044</v>
      </c>
      <c r="D1047" t="s">
        <v>163</v>
      </c>
      <c r="E1047" s="20">
        <v>149696.313357901</v>
      </c>
      <c r="F1047" s="20">
        <v>101112.338325611</v>
      </c>
      <c r="G1047" s="10">
        <v>101112.290089553</v>
      </c>
      <c r="H1047" s="21">
        <f t="shared" si="32"/>
        <v>-4.8236057991744019E-2</v>
      </c>
      <c r="I1047" s="10">
        <v>149696.21396730101</v>
      </c>
      <c r="J1047" s="21">
        <f t="shared" si="33"/>
        <v>-9.9390599993057549E-2</v>
      </c>
    </row>
    <row r="1048" spans="1:10">
      <c r="A1048" t="s">
        <v>212</v>
      </c>
      <c r="B1048" t="s">
        <v>214</v>
      </c>
      <c r="C1048" s="18">
        <v>2044</v>
      </c>
      <c r="D1048" t="s">
        <v>173</v>
      </c>
      <c r="E1048" s="20">
        <v>477581.906526734</v>
      </c>
      <c r="F1048" s="20">
        <v>443800.89928782498</v>
      </c>
      <c r="G1048" s="10">
        <v>443800.63719739497</v>
      </c>
      <c r="H1048" s="21">
        <f t="shared" si="32"/>
        <v>-0.26209043001290411</v>
      </c>
      <c r="I1048" s="10">
        <v>477581.31483664498</v>
      </c>
      <c r="J1048" s="21">
        <f t="shared" si="33"/>
        <v>-0.59169008902972564</v>
      </c>
    </row>
    <row r="1049" spans="1:10">
      <c r="A1049" t="s">
        <v>212</v>
      </c>
      <c r="B1049" t="s">
        <v>214</v>
      </c>
      <c r="C1049" s="18">
        <v>2044</v>
      </c>
      <c r="D1049" t="s">
        <v>177</v>
      </c>
      <c r="E1049" s="20">
        <v>820743.46605182695</v>
      </c>
      <c r="F1049" s="20">
        <v>521420.45379814098</v>
      </c>
      <c r="G1049" s="10">
        <v>521420.17033099697</v>
      </c>
      <c r="H1049" s="21">
        <f t="shared" si="32"/>
        <v>-0.28346714400686324</v>
      </c>
      <c r="I1049" s="10">
        <v>820742.37012193399</v>
      </c>
      <c r="J1049" s="21">
        <f t="shared" si="33"/>
        <v>-1.0959298929665238</v>
      </c>
    </row>
    <row r="1050" spans="1:10">
      <c r="A1050" t="s">
        <v>212</v>
      </c>
      <c r="B1050" t="s">
        <v>214</v>
      </c>
      <c r="C1050" s="18">
        <v>2044</v>
      </c>
      <c r="D1050" t="s">
        <v>181</v>
      </c>
      <c r="E1050" s="20">
        <v>635024.982186493</v>
      </c>
      <c r="F1050" s="20">
        <v>377918.62449761399</v>
      </c>
      <c r="G1050" s="10">
        <v>377918.58989895799</v>
      </c>
      <c r="H1050" s="21">
        <f t="shared" si="32"/>
        <v>-3.4598655998706818E-2</v>
      </c>
      <c r="I1050" s="10">
        <v>635024.54646764905</v>
      </c>
      <c r="J1050" s="21">
        <f t="shared" si="33"/>
        <v>-0.43571884394623339</v>
      </c>
    </row>
    <row r="1051" spans="1:10">
      <c r="A1051" t="s">
        <v>212</v>
      </c>
      <c r="B1051" t="s">
        <v>214</v>
      </c>
      <c r="C1051" s="18">
        <v>2044</v>
      </c>
      <c r="D1051" t="s">
        <v>209</v>
      </c>
      <c r="E1051" s="20">
        <v>43202.630213786302</v>
      </c>
      <c r="F1051" s="20">
        <v>7550.8042848544601</v>
      </c>
      <c r="G1051" s="10">
        <v>7652.7218257366803</v>
      </c>
      <c r="H1051" s="21">
        <f t="shared" si="32"/>
        <v>101.91754088222024</v>
      </c>
      <c r="I1051" s="10">
        <v>43202.630038859497</v>
      </c>
      <c r="J1051" s="21">
        <f t="shared" si="33"/>
        <v>-1.7492680490249768E-4</v>
      </c>
    </row>
    <row r="1052" spans="1:10">
      <c r="A1052" t="s">
        <v>212</v>
      </c>
      <c r="B1052" t="s">
        <v>214</v>
      </c>
      <c r="C1052" s="18">
        <v>2045</v>
      </c>
      <c r="D1052" t="s">
        <v>187</v>
      </c>
      <c r="E1052" s="20">
        <v>21717.636866525201</v>
      </c>
      <c r="F1052" s="20">
        <v>15148.307165697401</v>
      </c>
      <c r="G1052" s="10">
        <v>15148.297956242301</v>
      </c>
      <c r="H1052" s="21">
        <f t="shared" si="32"/>
        <v>-9.2094551000627689E-3</v>
      </c>
      <c r="I1052" s="10">
        <v>21717.616521529701</v>
      </c>
      <c r="J1052" s="21">
        <f t="shared" si="33"/>
        <v>-2.0344995500636287E-2</v>
      </c>
    </row>
    <row r="1053" spans="1:10">
      <c r="A1053" t="s">
        <v>212</v>
      </c>
      <c r="B1053" t="s">
        <v>214</v>
      </c>
      <c r="C1053" s="18">
        <v>2045</v>
      </c>
      <c r="D1053" t="s">
        <v>227</v>
      </c>
      <c r="E1053" s="20">
        <v>1224673.54536431</v>
      </c>
      <c r="F1053" s="20">
        <v>287925.11043443601</v>
      </c>
      <c r="G1053" s="10">
        <v>287925.04322278401</v>
      </c>
      <c r="H1053" s="21">
        <f t="shared" si="32"/>
        <v>-6.7211651999969035E-2</v>
      </c>
      <c r="I1053" s="10">
        <v>1224668.96644768</v>
      </c>
      <c r="J1053" s="21">
        <f t="shared" si="33"/>
        <v>-4.5789166300091892</v>
      </c>
    </row>
    <row r="1054" spans="1:10">
      <c r="A1054" t="s">
        <v>212</v>
      </c>
      <c r="B1054" t="s">
        <v>214</v>
      </c>
      <c r="C1054" s="18">
        <v>2045</v>
      </c>
      <c r="D1054" t="s">
        <v>163</v>
      </c>
      <c r="E1054" s="20">
        <v>152338.16695702699</v>
      </c>
      <c r="F1054" s="20">
        <v>102935.372146062</v>
      </c>
      <c r="G1054" s="10">
        <v>102935.314985138</v>
      </c>
      <c r="H1054" s="21">
        <f t="shared" si="32"/>
        <v>-5.7160923999617808E-2</v>
      </c>
      <c r="I1054" s="10">
        <v>152338.05281588601</v>
      </c>
      <c r="J1054" s="21">
        <f t="shared" si="33"/>
        <v>-0.11414114097715355</v>
      </c>
    </row>
    <row r="1055" spans="1:10">
      <c r="A1055" t="s">
        <v>212</v>
      </c>
      <c r="B1055" t="s">
        <v>214</v>
      </c>
      <c r="C1055" s="18">
        <v>2045</v>
      </c>
      <c r="D1055" t="s">
        <v>173</v>
      </c>
      <c r="E1055" s="20">
        <v>483724.19172259799</v>
      </c>
      <c r="F1055" s="20">
        <v>449717.87050768</v>
      </c>
      <c r="G1055" s="10">
        <v>449717.558047709</v>
      </c>
      <c r="H1055" s="21">
        <f t="shared" si="32"/>
        <v>-0.31245997099904343</v>
      </c>
      <c r="I1055" s="10">
        <v>483723.51612219802</v>
      </c>
      <c r="J1055" s="21">
        <f t="shared" si="33"/>
        <v>-0.67560039996169508</v>
      </c>
    </row>
    <row r="1056" spans="1:10">
      <c r="A1056" t="s">
        <v>212</v>
      </c>
      <c r="B1056" t="s">
        <v>214</v>
      </c>
      <c r="C1056" s="18">
        <v>2045</v>
      </c>
      <c r="D1056" t="s">
        <v>177</v>
      </c>
      <c r="E1056" s="20">
        <v>831471.452623419</v>
      </c>
      <c r="F1056" s="20">
        <v>529994.56341918104</v>
      </c>
      <c r="G1056" s="10">
        <v>529994.22695920803</v>
      </c>
      <c r="H1056" s="21">
        <f t="shared" si="32"/>
        <v>-0.33645997301209718</v>
      </c>
      <c r="I1056" s="10">
        <v>831470.21009817696</v>
      </c>
      <c r="J1056" s="21">
        <f t="shared" si="33"/>
        <v>-1.2425252420362085</v>
      </c>
    </row>
    <row r="1057" spans="1:10">
      <c r="A1057" t="s">
        <v>212</v>
      </c>
      <c r="B1057" t="s">
        <v>214</v>
      </c>
      <c r="C1057" s="18">
        <v>2045</v>
      </c>
      <c r="D1057" t="s">
        <v>181</v>
      </c>
      <c r="E1057" s="20">
        <v>645730.94841618603</v>
      </c>
      <c r="F1057" s="20">
        <v>387750.72116706503</v>
      </c>
      <c r="G1057" s="10">
        <v>387750.67878189799</v>
      </c>
      <c r="H1057" s="21">
        <f t="shared" si="32"/>
        <v>-4.2385167034808546E-2</v>
      </c>
      <c r="I1057" s="10">
        <v>645730.44769895996</v>
      </c>
      <c r="J1057" s="21">
        <f t="shared" si="33"/>
        <v>-0.50071722606662661</v>
      </c>
    </row>
    <row r="1058" spans="1:10">
      <c r="A1058" t="s">
        <v>212</v>
      </c>
      <c r="B1058" t="s">
        <v>214</v>
      </c>
      <c r="C1058" s="18">
        <v>2045</v>
      </c>
      <c r="D1058" t="s">
        <v>209</v>
      </c>
      <c r="E1058" s="20">
        <v>43190.603948597702</v>
      </c>
      <c r="F1058" s="20">
        <v>7565.9663788457201</v>
      </c>
      <c r="G1058" s="10">
        <v>7672.0682267846396</v>
      </c>
      <c r="H1058" s="21">
        <f t="shared" si="32"/>
        <v>106.10184793891949</v>
      </c>
      <c r="I1058" s="10">
        <v>43190.603751316099</v>
      </c>
      <c r="J1058" s="21">
        <f t="shared" si="33"/>
        <v>-1.9728160259546712E-4</v>
      </c>
    </row>
    <row r="1059" spans="1:10">
      <c r="A1059" t="s">
        <v>212</v>
      </c>
      <c r="B1059" t="s">
        <v>214</v>
      </c>
      <c r="C1059" s="18">
        <v>2046</v>
      </c>
      <c r="D1059" t="s">
        <v>187</v>
      </c>
      <c r="E1059" s="20">
        <v>22210.997157490801</v>
      </c>
      <c r="F1059" s="20">
        <v>15436.902513770099</v>
      </c>
      <c r="G1059" s="10">
        <v>15436.8918612077</v>
      </c>
      <c r="H1059" s="21">
        <f t="shared" si="32"/>
        <v>-1.0652562399627641E-2</v>
      </c>
      <c r="I1059" s="10">
        <v>22210.974521910699</v>
      </c>
      <c r="J1059" s="21">
        <f t="shared" si="33"/>
        <v>-2.2635580102360109E-2</v>
      </c>
    </row>
    <row r="1060" spans="1:10">
      <c r="A1060" t="s">
        <v>212</v>
      </c>
      <c r="B1060" t="s">
        <v>214</v>
      </c>
      <c r="C1060" s="18">
        <v>2046</v>
      </c>
      <c r="D1060" t="s">
        <v>227</v>
      </c>
      <c r="E1060" s="20">
        <v>1230130.15556464</v>
      </c>
      <c r="F1060" s="20">
        <v>295165.95867737097</v>
      </c>
      <c r="G1060" s="10">
        <v>295165.87720880198</v>
      </c>
      <c r="H1060" s="21">
        <f t="shared" si="32"/>
        <v>-8.1468568998388946E-2</v>
      </c>
      <c r="I1060" s="10">
        <v>1230125.0687766999</v>
      </c>
      <c r="J1060" s="21">
        <f t="shared" si="33"/>
        <v>-5.0867879400029778</v>
      </c>
    </row>
    <row r="1061" spans="1:10">
      <c r="A1061" t="s">
        <v>212</v>
      </c>
      <c r="B1061" t="s">
        <v>214</v>
      </c>
      <c r="C1061" s="18">
        <v>2046</v>
      </c>
      <c r="D1061" t="s">
        <v>163</v>
      </c>
      <c r="E1061" s="20">
        <v>154919.31579213301</v>
      </c>
      <c r="F1061" s="20">
        <v>104731.201193637</v>
      </c>
      <c r="G1061" s="10">
        <v>104731.13398431199</v>
      </c>
      <c r="H1061" s="21">
        <f t="shared" si="32"/>
        <v>-6.7209325003204867E-2</v>
      </c>
      <c r="I1061" s="10">
        <v>154919.18519988199</v>
      </c>
      <c r="J1061" s="21">
        <f t="shared" si="33"/>
        <v>-0.13059225102188066</v>
      </c>
    </row>
    <row r="1062" spans="1:10">
      <c r="A1062" t="s">
        <v>212</v>
      </c>
      <c r="B1062" t="s">
        <v>214</v>
      </c>
      <c r="C1062" s="18">
        <v>2046</v>
      </c>
      <c r="D1062" t="s">
        <v>173</v>
      </c>
      <c r="E1062" s="20">
        <v>489560.33738570602</v>
      </c>
      <c r="F1062" s="20">
        <v>455310.45044965</v>
      </c>
      <c r="G1062" s="10">
        <v>455310.080020589</v>
      </c>
      <c r="H1062" s="21">
        <f t="shared" si="32"/>
        <v>-0.37042906100396067</v>
      </c>
      <c r="I1062" s="10">
        <v>489559.56948849699</v>
      </c>
      <c r="J1062" s="21">
        <f t="shared" si="33"/>
        <v>-0.76789720903616399</v>
      </c>
    </row>
    <row r="1063" spans="1:10">
      <c r="A1063" t="s">
        <v>212</v>
      </c>
      <c r="B1063" t="s">
        <v>214</v>
      </c>
      <c r="C1063" s="18">
        <v>2046</v>
      </c>
      <c r="D1063" t="s">
        <v>177</v>
      </c>
      <c r="E1063" s="20">
        <v>842023.61371734506</v>
      </c>
      <c r="F1063" s="20">
        <v>538440.56487366196</v>
      </c>
      <c r="G1063" s="10">
        <v>538440.16822828504</v>
      </c>
      <c r="H1063" s="21">
        <f t="shared" si="32"/>
        <v>-0.39664537692442536</v>
      </c>
      <c r="I1063" s="10">
        <v>842022.211146035</v>
      </c>
      <c r="J1063" s="21">
        <f t="shared" si="33"/>
        <v>-1.4025713100563735</v>
      </c>
    </row>
    <row r="1064" spans="1:10">
      <c r="A1064" t="s">
        <v>212</v>
      </c>
      <c r="B1064" t="s">
        <v>214</v>
      </c>
      <c r="C1064" s="18">
        <v>2046</v>
      </c>
      <c r="D1064" t="s">
        <v>181</v>
      </c>
      <c r="E1064" s="20">
        <v>656023.77709097497</v>
      </c>
      <c r="F1064" s="20">
        <v>397432.00224733201</v>
      </c>
      <c r="G1064" s="10">
        <v>397431.95060261199</v>
      </c>
      <c r="H1064" s="21">
        <f t="shared" si="32"/>
        <v>-5.1644720020703971E-2</v>
      </c>
      <c r="I1064" s="10">
        <v>656023.20384824695</v>
      </c>
      <c r="J1064" s="21">
        <f t="shared" si="33"/>
        <v>-0.57324272801633924</v>
      </c>
    </row>
    <row r="1065" spans="1:10">
      <c r="A1065" t="s">
        <v>212</v>
      </c>
      <c r="B1065" t="s">
        <v>214</v>
      </c>
      <c r="C1065" s="18">
        <v>2046</v>
      </c>
      <c r="D1065" t="s">
        <v>209</v>
      </c>
      <c r="E1065" s="20">
        <v>43196.310544271997</v>
      </c>
      <c r="F1065" s="20">
        <v>7583.3640399135102</v>
      </c>
      <c r="G1065" s="10">
        <v>7693.5570486562501</v>
      </c>
      <c r="H1065" s="21">
        <f t="shared" si="32"/>
        <v>110.19300874273995</v>
      </c>
      <c r="I1065" s="10">
        <v>43196.310323112302</v>
      </c>
      <c r="J1065" s="21">
        <f t="shared" si="33"/>
        <v>-2.21159694774542E-4</v>
      </c>
    </row>
    <row r="1066" spans="1:10">
      <c r="A1066" t="s">
        <v>212</v>
      </c>
      <c r="B1066" t="s">
        <v>214</v>
      </c>
      <c r="C1066" s="18">
        <v>2047</v>
      </c>
      <c r="D1066" t="s">
        <v>187</v>
      </c>
      <c r="E1066" s="20">
        <v>22699.688024233801</v>
      </c>
      <c r="F1066" s="20">
        <v>15728.497738247101</v>
      </c>
      <c r="G1066" s="10">
        <v>15728.485494730299</v>
      </c>
      <c r="H1066" s="21">
        <f t="shared" si="32"/>
        <v>-1.2243516801390797E-2</v>
      </c>
      <c r="I1066" s="10">
        <v>22699.6629629007</v>
      </c>
      <c r="J1066" s="21">
        <f t="shared" si="33"/>
        <v>-2.5061333100893535E-2</v>
      </c>
    </row>
    <row r="1067" spans="1:10">
      <c r="A1067" t="s">
        <v>212</v>
      </c>
      <c r="B1067" t="s">
        <v>214</v>
      </c>
      <c r="C1067" s="18">
        <v>2047</v>
      </c>
      <c r="D1067" t="s">
        <v>227</v>
      </c>
      <c r="E1067" s="20">
        <v>1235280.2916657899</v>
      </c>
      <c r="F1067" s="20">
        <v>302180.64843252802</v>
      </c>
      <c r="G1067" s="10">
        <v>302180.55031250097</v>
      </c>
      <c r="H1067" s="21">
        <f t="shared" si="32"/>
        <v>-9.8120027047116309E-2</v>
      </c>
      <c r="I1067" s="10">
        <v>1235274.66521773</v>
      </c>
      <c r="J1067" s="21">
        <f t="shared" si="33"/>
        <v>-5.6264480599202216</v>
      </c>
    </row>
    <row r="1068" spans="1:10">
      <c r="A1068" t="s">
        <v>212</v>
      </c>
      <c r="B1068" t="s">
        <v>214</v>
      </c>
      <c r="C1068" s="18">
        <v>2047</v>
      </c>
      <c r="D1068" t="s">
        <v>163</v>
      </c>
      <c r="E1068" s="20">
        <v>157436.08627613299</v>
      </c>
      <c r="F1068" s="20">
        <v>106487.756211756</v>
      </c>
      <c r="G1068" s="10">
        <v>106487.67776034201</v>
      </c>
      <c r="H1068" s="21">
        <f t="shared" si="32"/>
        <v>-7.8451413995935582E-2</v>
      </c>
      <c r="I1068" s="10">
        <v>157435.937342911</v>
      </c>
      <c r="J1068" s="21">
        <f t="shared" si="33"/>
        <v>-0.14893322199350223</v>
      </c>
    </row>
    <row r="1069" spans="1:10">
      <c r="A1069" t="s">
        <v>212</v>
      </c>
      <c r="B1069" t="s">
        <v>214</v>
      </c>
      <c r="C1069" s="18">
        <v>2047</v>
      </c>
      <c r="D1069" t="s">
        <v>173</v>
      </c>
      <c r="E1069" s="20">
        <v>495048.200786867</v>
      </c>
      <c r="F1069" s="20">
        <v>460539.86445310398</v>
      </c>
      <c r="G1069" s="10">
        <v>460539.427749469</v>
      </c>
      <c r="H1069" s="21">
        <f t="shared" si="32"/>
        <v>-0.43670363497221842</v>
      </c>
      <c r="I1069" s="10">
        <v>495047.33168069902</v>
      </c>
      <c r="J1069" s="21">
        <f t="shared" si="33"/>
        <v>-0.86910616798559204</v>
      </c>
    </row>
    <row r="1070" spans="1:10">
      <c r="A1070" t="s">
        <v>212</v>
      </c>
      <c r="B1070" t="s">
        <v>214</v>
      </c>
      <c r="C1070" s="18">
        <v>2047</v>
      </c>
      <c r="D1070" t="s">
        <v>177</v>
      </c>
      <c r="E1070" s="20">
        <v>852358.61262399203</v>
      </c>
      <c r="F1070" s="20">
        <v>546893.34915722499</v>
      </c>
      <c r="G1070" s="10">
        <v>546892.884748123</v>
      </c>
      <c r="H1070" s="21">
        <f t="shared" si="32"/>
        <v>-0.4644091019872576</v>
      </c>
      <c r="I1070" s="10">
        <v>852357.03689663101</v>
      </c>
      <c r="J1070" s="21">
        <f t="shared" si="33"/>
        <v>-1.5757273610215634</v>
      </c>
    </row>
    <row r="1071" spans="1:10">
      <c r="A1071" t="s">
        <v>212</v>
      </c>
      <c r="B1071" t="s">
        <v>214</v>
      </c>
      <c r="C1071" s="18">
        <v>2047</v>
      </c>
      <c r="D1071" t="s">
        <v>181</v>
      </c>
      <c r="E1071" s="20">
        <v>665961.18443181796</v>
      </c>
      <c r="F1071" s="20">
        <v>406938.37251202401</v>
      </c>
      <c r="G1071" s="10">
        <v>406938.30985862098</v>
      </c>
      <c r="H1071" s="21">
        <f t="shared" si="32"/>
        <v>-6.2653403030708432E-2</v>
      </c>
      <c r="I1071" s="10">
        <v>665960.53053760703</v>
      </c>
      <c r="J1071" s="21">
        <f t="shared" si="33"/>
        <v>-0.65389421093277633</v>
      </c>
    </row>
    <row r="1072" spans="1:10">
      <c r="A1072" t="s">
        <v>212</v>
      </c>
      <c r="B1072" t="s">
        <v>214</v>
      </c>
      <c r="C1072" s="18">
        <v>2047</v>
      </c>
      <c r="D1072" t="s">
        <v>209</v>
      </c>
      <c r="E1072" s="20">
        <v>43217.634438777401</v>
      </c>
      <c r="F1072" s="20">
        <v>7602.09047563491</v>
      </c>
      <c r="G1072" s="10">
        <v>7716.2645250788601</v>
      </c>
      <c r="H1072" s="21">
        <f t="shared" si="32"/>
        <v>114.17404944395003</v>
      </c>
      <c r="I1072" s="10">
        <v>43217.634192350401</v>
      </c>
      <c r="J1072" s="21">
        <f t="shared" si="33"/>
        <v>-2.4642700009280816E-4</v>
      </c>
    </row>
    <row r="1073" spans="1:10">
      <c r="A1073" t="s">
        <v>212</v>
      </c>
      <c r="B1073" t="s">
        <v>214</v>
      </c>
      <c r="C1073" s="18">
        <v>2048</v>
      </c>
      <c r="D1073" t="s">
        <v>187</v>
      </c>
      <c r="E1073" s="20">
        <v>23179.8051433976</v>
      </c>
      <c r="F1073" s="20">
        <v>16025.232749324599</v>
      </c>
      <c r="G1073" s="10">
        <v>16025.2187605858</v>
      </c>
      <c r="H1073" s="21">
        <f t="shared" si="32"/>
        <v>-1.398873879952589E-2</v>
      </c>
      <c r="I1073" s="10">
        <v>23179.777529823201</v>
      </c>
      <c r="J1073" s="21">
        <f t="shared" si="33"/>
        <v>-2.7613574398856144E-2</v>
      </c>
    </row>
    <row r="1074" spans="1:10">
      <c r="A1074" t="s">
        <v>212</v>
      </c>
      <c r="B1074" t="s">
        <v>214</v>
      </c>
      <c r="C1074" s="18">
        <v>2048</v>
      </c>
      <c r="D1074" t="s">
        <v>227</v>
      </c>
      <c r="E1074" s="20">
        <v>1240215.3016155099</v>
      </c>
      <c r="F1074" s="20">
        <v>308964.427857865</v>
      </c>
      <c r="G1074" s="10">
        <v>308964.31037728197</v>
      </c>
      <c r="H1074" s="21">
        <f t="shared" si="32"/>
        <v>-0.11748058302327991</v>
      </c>
      <c r="I1074" s="10">
        <v>1240209.10376068</v>
      </c>
      <c r="J1074" s="21">
        <f t="shared" si="33"/>
        <v>-6.1978548299521208</v>
      </c>
    </row>
    <row r="1075" spans="1:10">
      <c r="A1075" t="s">
        <v>212</v>
      </c>
      <c r="B1075" t="s">
        <v>214</v>
      </c>
      <c r="C1075" s="18">
        <v>2048</v>
      </c>
      <c r="D1075" t="s">
        <v>163</v>
      </c>
      <c r="E1075" s="20">
        <v>159877.238888099</v>
      </c>
      <c r="F1075" s="20">
        <v>108205.400347181</v>
      </c>
      <c r="G1075" s="10">
        <v>108205.309376064</v>
      </c>
      <c r="H1075" s="21">
        <f t="shared" si="32"/>
        <v>-9.0971116995206103E-2</v>
      </c>
      <c r="I1075" s="10">
        <v>159877.06955740901</v>
      </c>
      <c r="J1075" s="21">
        <f t="shared" si="33"/>
        <v>-0.16933068999787793</v>
      </c>
    </row>
    <row r="1076" spans="1:10">
      <c r="A1076" t="s">
        <v>212</v>
      </c>
      <c r="B1076" t="s">
        <v>214</v>
      </c>
      <c r="C1076" s="18">
        <v>2048</v>
      </c>
      <c r="D1076" t="s">
        <v>173</v>
      </c>
      <c r="E1076" s="20">
        <v>500252.94370069302</v>
      </c>
      <c r="F1076" s="20">
        <v>465558.99113292998</v>
      </c>
      <c r="G1076" s="10">
        <v>465558.478994868</v>
      </c>
      <c r="H1076" s="21">
        <f t="shared" si="32"/>
        <v>-0.51213806198211387</v>
      </c>
      <c r="I1076" s="10">
        <v>500251.96367663803</v>
      </c>
      <c r="J1076" s="21">
        <f t="shared" si="33"/>
        <v>-0.98002405499573797</v>
      </c>
    </row>
    <row r="1077" spans="1:10">
      <c r="A1077" t="s">
        <v>212</v>
      </c>
      <c r="B1077" t="s">
        <v>214</v>
      </c>
      <c r="C1077" s="18">
        <v>2048</v>
      </c>
      <c r="D1077" t="s">
        <v>177</v>
      </c>
      <c r="E1077" s="20">
        <v>862422.95987672405</v>
      </c>
      <c r="F1077" s="20">
        <v>555219.79448685702</v>
      </c>
      <c r="G1077" s="10">
        <v>555219.25427407597</v>
      </c>
      <c r="H1077" s="21">
        <f t="shared" si="32"/>
        <v>-0.54021278105210513</v>
      </c>
      <c r="I1077" s="10">
        <v>862421.19766606798</v>
      </c>
      <c r="J1077" s="21">
        <f t="shared" si="33"/>
        <v>-1.7622106560738757</v>
      </c>
    </row>
    <row r="1078" spans="1:10">
      <c r="A1078" t="s">
        <v>212</v>
      </c>
      <c r="B1078" t="s">
        <v>214</v>
      </c>
      <c r="C1078" s="18">
        <v>2048</v>
      </c>
      <c r="D1078" t="s">
        <v>181</v>
      </c>
      <c r="E1078" s="20">
        <v>675538.81056401902</v>
      </c>
      <c r="F1078" s="20">
        <v>416221.22134873603</v>
      </c>
      <c r="G1078" s="10">
        <v>416221.14564351598</v>
      </c>
      <c r="H1078" s="21">
        <f t="shared" si="32"/>
        <v>-7.5705220049712807E-2</v>
      </c>
      <c r="I1078" s="10">
        <v>675538.06713143899</v>
      </c>
      <c r="J1078" s="21">
        <f t="shared" si="33"/>
        <v>-0.74343258002772927</v>
      </c>
    </row>
    <row r="1079" spans="1:10">
      <c r="A1079" t="s">
        <v>212</v>
      </c>
      <c r="B1079" t="s">
        <v>214</v>
      </c>
      <c r="C1079" s="18">
        <v>2048</v>
      </c>
      <c r="D1079" t="s">
        <v>209</v>
      </c>
      <c r="E1079" s="20">
        <v>43247.116841336901</v>
      </c>
      <c r="F1079" s="20">
        <v>7622.9767420103299</v>
      </c>
      <c r="G1079" s="10">
        <v>7740.9682323091401</v>
      </c>
      <c r="H1079" s="21">
        <f t="shared" si="32"/>
        <v>117.99149029881028</v>
      </c>
      <c r="I1079" s="10">
        <v>43247.116568268502</v>
      </c>
      <c r="J1079" s="21">
        <f t="shared" si="33"/>
        <v>-2.7306839911034331E-4</v>
      </c>
    </row>
    <row r="1080" spans="1:10">
      <c r="A1080" t="s">
        <v>212</v>
      </c>
      <c r="B1080" t="s">
        <v>214</v>
      </c>
      <c r="C1080" s="18">
        <v>2049</v>
      </c>
      <c r="D1080" t="s">
        <v>187</v>
      </c>
      <c r="E1080" s="20">
        <v>23650.391801522099</v>
      </c>
      <c r="F1080" s="20">
        <v>16322.627409036601</v>
      </c>
      <c r="G1080" s="10">
        <v>16322.61151708</v>
      </c>
      <c r="H1080" s="21">
        <f t="shared" si="32"/>
        <v>-1.5891956600171397E-2</v>
      </c>
      <c r="I1080" s="10">
        <v>23650.361484044901</v>
      </c>
      <c r="J1080" s="21">
        <f t="shared" si="33"/>
        <v>-3.0317477197968401E-2</v>
      </c>
    </row>
    <row r="1081" spans="1:10">
      <c r="A1081" t="s">
        <v>212</v>
      </c>
      <c r="B1081" t="s">
        <v>214</v>
      </c>
      <c r="C1081" s="18">
        <v>2049</v>
      </c>
      <c r="D1081" t="s">
        <v>227</v>
      </c>
      <c r="E1081" s="20">
        <v>1244965.1756835601</v>
      </c>
      <c r="F1081" s="20">
        <v>315528.794437095</v>
      </c>
      <c r="G1081" s="10">
        <v>315528.65457465599</v>
      </c>
      <c r="H1081" s="21">
        <f t="shared" si="32"/>
        <v>-0.13986243901308626</v>
      </c>
      <c r="I1081" s="10">
        <v>1244958.37630862</v>
      </c>
      <c r="J1081" s="21">
        <f t="shared" si="33"/>
        <v>-6.7993749401066452</v>
      </c>
    </row>
    <row r="1082" spans="1:10">
      <c r="A1082" t="s">
        <v>212</v>
      </c>
      <c r="B1082" t="s">
        <v>214</v>
      </c>
      <c r="C1082" s="18">
        <v>2049</v>
      </c>
      <c r="D1082" t="s">
        <v>163</v>
      </c>
      <c r="E1082" s="20">
        <v>162238.326652405</v>
      </c>
      <c r="F1082" s="20">
        <v>109882.476028241</v>
      </c>
      <c r="G1082" s="10">
        <v>109882.371148655</v>
      </c>
      <c r="H1082" s="21">
        <f t="shared" si="32"/>
        <v>-0.10487958599696867</v>
      </c>
      <c r="I1082" s="10">
        <v>162238.134685625</v>
      </c>
      <c r="J1082" s="21">
        <f t="shared" si="33"/>
        <v>-0.19196677999570966</v>
      </c>
    </row>
    <row r="1083" spans="1:10">
      <c r="A1083" t="s">
        <v>212</v>
      </c>
      <c r="B1083" t="s">
        <v>214</v>
      </c>
      <c r="C1083" s="18">
        <v>2049</v>
      </c>
      <c r="D1083" t="s">
        <v>173</v>
      </c>
      <c r="E1083" s="20">
        <v>505217.00180606201</v>
      </c>
      <c r="F1083" s="20">
        <v>470384.47769581701</v>
      </c>
      <c r="G1083" s="10">
        <v>470383.880162835</v>
      </c>
      <c r="H1083" s="21">
        <f t="shared" si="32"/>
        <v>-0.59753298200666904</v>
      </c>
      <c r="I1083" s="10">
        <v>505215.90050813899</v>
      </c>
      <c r="J1083" s="21">
        <f t="shared" si="33"/>
        <v>-1.1012979230144992</v>
      </c>
    </row>
    <row r="1084" spans="1:10">
      <c r="A1084" t="s">
        <v>212</v>
      </c>
      <c r="B1084" t="s">
        <v>214</v>
      </c>
      <c r="C1084" s="18">
        <v>2049</v>
      </c>
      <c r="D1084" t="s">
        <v>177</v>
      </c>
      <c r="E1084" s="20">
        <v>872041.37493380799</v>
      </c>
      <c r="F1084" s="20">
        <v>563338.38993029098</v>
      </c>
      <c r="G1084" s="10">
        <v>563337.76559367101</v>
      </c>
      <c r="H1084" s="21">
        <f t="shared" si="32"/>
        <v>-0.62433661997783929</v>
      </c>
      <c r="I1084" s="10">
        <v>872039.41256190802</v>
      </c>
      <c r="J1084" s="21">
        <f t="shared" si="33"/>
        <v>-1.962371899979189</v>
      </c>
    </row>
    <row r="1085" spans="1:10">
      <c r="A1085" t="s">
        <v>212</v>
      </c>
      <c r="B1085" t="s">
        <v>214</v>
      </c>
      <c r="C1085" s="18">
        <v>2049</v>
      </c>
      <c r="D1085" t="s">
        <v>181</v>
      </c>
      <c r="E1085" s="20">
        <v>684800.36168092303</v>
      </c>
      <c r="F1085" s="20">
        <v>425211.38596333802</v>
      </c>
      <c r="G1085" s="10">
        <v>425211.29480666103</v>
      </c>
      <c r="H1085" s="21">
        <f t="shared" si="32"/>
        <v>-9.1156676993705332E-2</v>
      </c>
      <c r="I1085" s="10">
        <v>684799.51924341801</v>
      </c>
      <c r="J1085" s="21">
        <f t="shared" si="33"/>
        <v>-0.84243750502355397</v>
      </c>
    </row>
    <row r="1086" spans="1:10">
      <c r="A1086" t="s">
        <v>212</v>
      </c>
      <c r="B1086" t="s">
        <v>214</v>
      </c>
      <c r="C1086" s="18">
        <v>2049</v>
      </c>
      <c r="D1086" t="s">
        <v>209</v>
      </c>
      <c r="E1086" s="20">
        <v>43287.694418935702</v>
      </c>
      <c r="F1086" s="20">
        <v>7642.86658316782</v>
      </c>
      <c r="G1086" s="10">
        <v>7764.4250577338198</v>
      </c>
      <c r="H1086" s="21">
        <f t="shared" si="32"/>
        <v>121.55847456599986</v>
      </c>
      <c r="I1086" s="10">
        <v>43287.694118175197</v>
      </c>
      <c r="J1086" s="21">
        <f t="shared" si="33"/>
        <v>-3.0076050461502746E-4</v>
      </c>
    </row>
    <row r="1087" spans="1:10">
      <c r="A1087" t="s">
        <v>212</v>
      </c>
      <c r="B1087" t="s">
        <v>214</v>
      </c>
      <c r="C1087" s="18">
        <v>2050</v>
      </c>
      <c r="D1087" t="s">
        <v>187</v>
      </c>
      <c r="E1087" s="20">
        <v>24110.4638041535</v>
      </c>
      <c r="F1087" s="20">
        <v>16618.941664217698</v>
      </c>
      <c r="G1087" s="10">
        <v>16618.923709126098</v>
      </c>
      <c r="H1087" s="21">
        <f t="shared" si="32"/>
        <v>-1.7955091600015294E-2</v>
      </c>
      <c r="I1087" s="10">
        <v>24110.4306261692</v>
      </c>
      <c r="J1087" s="21">
        <f t="shared" si="33"/>
        <v>-3.3177984299982199E-2</v>
      </c>
    </row>
    <row r="1088" spans="1:10">
      <c r="A1088" t="s">
        <v>212</v>
      </c>
      <c r="B1088" t="s">
        <v>214</v>
      </c>
      <c r="C1088" s="18">
        <v>2050</v>
      </c>
      <c r="D1088" t="s">
        <v>227</v>
      </c>
      <c r="E1088" s="20">
        <v>1249582.41113846</v>
      </c>
      <c r="F1088" s="20">
        <v>321866.31111369201</v>
      </c>
      <c r="G1088" s="10">
        <v>321866.14542390499</v>
      </c>
      <c r="H1088" s="21">
        <f t="shared" si="32"/>
        <v>-0.1656897870125249</v>
      </c>
      <c r="I1088" s="10">
        <v>1249574.9812984299</v>
      </c>
      <c r="J1088" s="21">
        <f t="shared" si="33"/>
        <v>-7.4298400301486254</v>
      </c>
    </row>
    <row r="1089" spans="1:10">
      <c r="A1089" t="s">
        <v>212</v>
      </c>
      <c r="B1089" t="s">
        <v>214</v>
      </c>
      <c r="C1089" s="18">
        <v>2050</v>
      </c>
      <c r="D1089" t="s">
        <v>163</v>
      </c>
      <c r="E1089" s="20">
        <v>164527.16653542401</v>
      </c>
      <c r="F1089" s="20">
        <v>111496.380435402</v>
      </c>
      <c r="G1089" s="10">
        <v>111496.260054028</v>
      </c>
      <c r="H1089" s="21">
        <f t="shared" si="32"/>
        <v>-0.12038137399940751</v>
      </c>
      <c r="I1089" s="10">
        <v>164526.94959842</v>
      </c>
      <c r="J1089" s="21">
        <f t="shared" si="33"/>
        <v>-0.21693700400646776</v>
      </c>
    </row>
    <row r="1090" spans="1:10">
      <c r="A1090" t="s">
        <v>212</v>
      </c>
      <c r="B1090" t="s">
        <v>214</v>
      </c>
      <c r="C1090" s="18">
        <v>2050</v>
      </c>
      <c r="D1090" t="s">
        <v>173</v>
      </c>
      <c r="E1090" s="20">
        <v>509925.027517954</v>
      </c>
      <c r="F1090" s="20">
        <v>474893.94808635802</v>
      </c>
      <c r="G1090" s="10">
        <v>474893.25455494301</v>
      </c>
      <c r="H1090" s="21">
        <f t="shared" ref="H1090:H1153" si="34">G1090-F1090</f>
        <v>-0.69353141501778737</v>
      </c>
      <c r="I1090" s="10">
        <v>509923.79465326603</v>
      </c>
      <c r="J1090" s="21">
        <f t="shared" ref="J1090:J1153" si="35">I1090-E1090</f>
        <v>-1.2328646879759617</v>
      </c>
    </row>
    <row r="1091" spans="1:10">
      <c r="A1091" t="s">
        <v>212</v>
      </c>
      <c r="B1091" t="s">
        <v>214</v>
      </c>
      <c r="C1091" s="18">
        <v>2050</v>
      </c>
      <c r="D1091" t="s">
        <v>177</v>
      </c>
      <c r="E1091" s="20">
        <v>881222.38738952996</v>
      </c>
      <c r="F1091" s="20">
        <v>571305.847636463</v>
      </c>
      <c r="G1091" s="10">
        <v>571305.13066545594</v>
      </c>
      <c r="H1091" s="21">
        <f t="shared" si="34"/>
        <v>-0.71697100705932826</v>
      </c>
      <c r="I1091" s="10">
        <v>881220.21017861494</v>
      </c>
      <c r="J1091" s="21">
        <f t="shared" si="35"/>
        <v>-2.1772109150188044</v>
      </c>
    </row>
    <row r="1092" spans="1:10">
      <c r="A1092" t="s">
        <v>212</v>
      </c>
      <c r="B1092" t="s">
        <v>214</v>
      </c>
      <c r="C1092" s="18">
        <v>2050</v>
      </c>
      <c r="D1092" t="s">
        <v>181</v>
      </c>
      <c r="E1092" s="20">
        <v>693834.32678907004</v>
      </c>
      <c r="F1092" s="20">
        <v>433928.22619897401</v>
      </c>
      <c r="G1092" s="10">
        <v>433928.11684243701</v>
      </c>
      <c r="H1092" s="21">
        <f t="shared" si="34"/>
        <v>-0.10935653699561954</v>
      </c>
      <c r="I1092" s="10">
        <v>693833.37581002596</v>
      </c>
      <c r="J1092" s="21">
        <f t="shared" si="35"/>
        <v>-0.95097904407884926</v>
      </c>
    </row>
    <row r="1093" spans="1:10">
      <c r="A1093" t="s">
        <v>212</v>
      </c>
      <c r="B1093" t="s">
        <v>214</v>
      </c>
      <c r="C1093" s="18">
        <v>2050</v>
      </c>
      <c r="D1093" t="s">
        <v>209</v>
      </c>
      <c r="E1093" s="20">
        <v>43337.3344010937</v>
      </c>
      <c r="F1093" s="20">
        <v>7660.62653691572</v>
      </c>
      <c r="G1093" s="10">
        <v>7785.5925162465101</v>
      </c>
      <c r="H1093" s="21">
        <f t="shared" si="34"/>
        <v>124.96597933079011</v>
      </c>
      <c r="I1093" s="10">
        <v>43337.334071848098</v>
      </c>
      <c r="J1093" s="21">
        <f t="shared" si="35"/>
        <v>-3.2924560218816623E-4</v>
      </c>
    </row>
    <row r="1094" spans="1:10">
      <c r="A1094" t="s">
        <v>217</v>
      </c>
      <c r="B1094" t="s">
        <v>219</v>
      </c>
      <c r="C1094" s="18">
        <v>2025</v>
      </c>
      <c r="D1094" t="s">
        <v>187</v>
      </c>
      <c r="E1094" s="20">
        <v>12347.3896757033</v>
      </c>
      <c r="F1094" s="20">
        <v>8975.3084972287597</v>
      </c>
      <c r="G1094" s="10">
        <v>8975.3084972287597</v>
      </c>
      <c r="H1094" s="21">
        <f t="shared" si="34"/>
        <v>0</v>
      </c>
      <c r="I1094" s="10">
        <v>12347.3896757033</v>
      </c>
      <c r="J1094" s="21">
        <f t="shared" si="35"/>
        <v>0</v>
      </c>
    </row>
    <row r="1095" spans="1:10">
      <c r="A1095" t="s">
        <v>217</v>
      </c>
      <c r="B1095" t="s">
        <v>219</v>
      </c>
      <c r="C1095" s="18">
        <v>2025</v>
      </c>
      <c r="D1095" t="s">
        <v>227</v>
      </c>
      <c r="E1095" s="20">
        <v>1026043.97207164</v>
      </c>
      <c r="F1095" s="20">
        <v>129403.02283067199</v>
      </c>
      <c r="G1095" s="10">
        <v>129403.02283067199</v>
      </c>
      <c r="H1095" s="21">
        <f t="shared" si="34"/>
        <v>0</v>
      </c>
      <c r="I1095" s="10">
        <v>1026043.97207164</v>
      </c>
      <c r="J1095" s="21">
        <f t="shared" si="35"/>
        <v>0</v>
      </c>
    </row>
    <row r="1096" spans="1:10">
      <c r="A1096" t="s">
        <v>217</v>
      </c>
      <c r="B1096" t="s">
        <v>219</v>
      </c>
      <c r="C1096" s="18">
        <v>2025</v>
      </c>
      <c r="D1096" t="s">
        <v>163</v>
      </c>
      <c r="E1096" s="20">
        <v>91684.509014274605</v>
      </c>
      <c r="F1096" s="20">
        <v>63318.751825202096</v>
      </c>
      <c r="G1096" s="10">
        <v>63318.751825202096</v>
      </c>
      <c r="H1096" s="21">
        <f t="shared" si="34"/>
        <v>0</v>
      </c>
      <c r="I1096" s="10">
        <v>91684.509014274605</v>
      </c>
      <c r="J1096" s="21">
        <f t="shared" si="35"/>
        <v>0</v>
      </c>
    </row>
    <row r="1097" spans="1:10">
      <c r="A1097" t="s">
        <v>217</v>
      </c>
      <c r="B1097" t="s">
        <v>219</v>
      </c>
      <c r="C1097" s="18">
        <v>2025</v>
      </c>
      <c r="D1097" t="s">
        <v>173</v>
      </c>
      <c r="E1097" s="20">
        <v>327817.99211152899</v>
      </c>
      <c r="F1097" s="20">
        <v>300132.72734442202</v>
      </c>
      <c r="G1097" s="10">
        <v>300216.82861998002</v>
      </c>
      <c r="H1097" s="21">
        <f t="shared" si="34"/>
        <v>84.101275558001362</v>
      </c>
      <c r="I1097" s="10">
        <v>327817.99211152899</v>
      </c>
      <c r="J1097" s="21">
        <f t="shared" si="35"/>
        <v>0</v>
      </c>
    </row>
    <row r="1098" spans="1:10">
      <c r="A1098" t="s">
        <v>217</v>
      </c>
      <c r="B1098" t="s">
        <v>219</v>
      </c>
      <c r="C1098" s="18">
        <v>2025</v>
      </c>
      <c r="D1098" t="s">
        <v>177</v>
      </c>
      <c r="E1098" s="20">
        <v>563964.12892884796</v>
      </c>
      <c r="F1098" s="20">
        <v>321188.16298793198</v>
      </c>
      <c r="G1098" s="10">
        <v>321188.16298793198</v>
      </c>
      <c r="H1098" s="21">
        <f t="shared" si="34"/>
        <v>0</v>
      </c>
      <c r="I1098" s="10">
        <v>563964.12892884796</v>
      </c>
      <c r="J1098" s="21">
        <f t="shared" si="35"/>
        <v>0</v>
      </c>
    </row>
    <row r="1099" spans="1:10">
      <c r="A1099" t="s">
        <v>217</v>
      </c>
      <c r="B1099" t="s">
        <v>219</v>
      </c>
      <c r="C1099" s="18">
        <v>2025</v>
      </c>
      <c r="D1099" t="s">
        <v>181</v>
      </c>
      <c r="E1099" s="20">
        <v>396205.91279756802</v>
      </c>
      <c r="F1099" s="20">
        <v>191832.03807386299</v>
      </c>
      <c r="G1099" s="10">
        <v>191954.71357959701</v>
      </c>
      <c r="H1099" s="21">
        <f t="shared" si="34"/>
        <v>122.67550573401968</v>
      </c>
      <c r="I1099" s="10">
        <v>396205.91279756802</v>
      </c>
      <c r="J1099" s="21">
        <f t="shared" si="35"/>
        <v>0</v>
      </c>
    </row>
    <row r="1100" spans="1:10">
      <c r="A1100" t="s">
        <v>217</v>
      </c>
      <c r="B1100" t="s">
        <v>219</v>
      </c>
      <c r="C1100" s="18">
        <v>2025</v>
      </c>
      <c r="D1100" t="s">
        <v>209</v>
      </c>
      <c r="E1100" s="20">
        <v>44024.855784556101</v>
      </c>
      <c r="F1100" s="20">
        <v>6961.0286695127397</v>
      </c>
      <c r="G1100" s="10">
        <v>6961.0286695127397</v>
      </c>
      <c r="H1100" s="21">
        <f t="shared" si="34"/>
        <v>0</v>
      </c>
      <c r="I1100" s="10">
        <v>44024.855784556101</v>
      </c>
      <c r="J1100" s="21">
        <f t="shared" si="35"/>
        <v>0</v>
      </c>
    </row>
    <row r="1101" spans="1:10">
      <c r="A1101" t="s">
        <v>217</v>
      </c>
      <c r="B1101" t="s">
        <v>219</v>
      </c>
      <c r="C1101" s="18">
        <v>2026</v>
      </c>
      <c r="D1101" t="s">
        <v>187</v>
      </c>
      <c r="E1101" s="20">
        <v>12812.5423111953</v>
      </c>
      <c r="F1101" s="20">
        <v>9308.2642091095495</v>
      </c>
      <c r="G1101" s="10">
        <v>9308.2642091095495</v>
      </c>
      <c r="H1101" s="21">
        <f t="shared" si="34"/>
        <v>0</v>
      </c>
      <c r="I1101" s="10">
        <v>12812.507871628</v>
      </c>
      <c r="J1101" s="21">
        <f t="shared" si="35"/>
        <v>-3.4439567300069029E-2</v>
      </c>
    </row>
    <row r="1102" spans="1:10">
      <c r="A1102" t="s">
        <v>217</v>
      </c>
      <c r="B1102" t="s">
        <v>219</v>
      </c>
      <c r="C1102" s="18">
        <v>2026</v>
      </c>
      <c r="D1102" t="s">
        <v>227</v>
      </c>
      <c r="E1102" s="20">
        <v>1040958.44107326</v>
      </c>
      <c r="F1102" s="20">
        <v>137191.89613692299</v>
      </c>
      <c r="G1102" s="10">
        <v>137191.89613692299</v>
      </c>
      <c r="H1102" s="21">
        <f t="shared" si="34"/>
        <v>0</v>
      </c>
      <c r="I1102" s="10">
        <v>1040956.74283153</v>
      </c>
      <c r="J1102" s="21">
        <f t="shared" si="35"/>
        <v>-1.6982417299877852</v>
      </c>
    </row>
    <row r="1103" spans="1:10">
      <c r="A1103" t="s">
        <v>217</v>
      </c>
      <c r="B1103" t="s">
        <v>219</v>
      </c>
      <c r="C1103" s="18">
        <v>2026</v>
      </c>
      <c r="D1103" t="s">
        <v>163</v>
      </c>
      <c r="E1103" s="20">
        <v>95077.482682675094</v>
      </c>
      <c r="F1103" s="20">
        <v>65164.470413401701</v>
      </c>
      <c r="G1103" s="10">
        <v>65164.470413401701</v>
      </c>
      <c r="H1103" s="21">
        <f t="shared" si="34"/>
        <v>0</v>
      </c>
      <c r="I1103" s="10">
        <v>95077.183303526501</v>
      </c>
      <c r="J1103" s="21">
        <f t="shared" si="35"/>
        <v>-0.29937914859328885</v>
      </c>
    </row>
    <row r="1104" spans="1:10">
      <c r="A1104" t="s">
        <v>217</v>
      </c>
      <c r="B1104" t="s">
        <v>219</v>
      </c>
      <c r="C1104" s="18">
        <v>2026</v>
      </c>
      <c r="D1104" t="s">
        <v>173</v>
      </c>
      <c r="E1104" s="20">
        <v>336875.98576513003</v>
      </c>
      <c r="F1104" s="20">
        <v>308474.76401635102</v>
      </c>
      <c r="G1104" s="10">
        <v>308606.943045308</v>
      </c>
      <c r="H1104" s="21">
        <f t="shared" si="34"/>
        <v>132.17902895697625</v>
      </c>
      <c r="I1104" s="10">
        <v>336875.42349560501</v>
      </c>
      <c r="J1104" s="21">
        <f t="shared" si="35"/>
        <v>-0.5622695250203833</v>
      </c>
    </row>
    <row r="1105" spans="1:10">
      <c r="A1105" t="s">
        <v>217</v>
      </c>
      <c r="B1105" t="s">
        <v>219</v>
      </c>
      <c r="C1105" s="18">
        <v>2026</v>
      </c>
      <c r="D1105" t="s">
        <v>177</v>
      </c>
      <c r="E1105" s="20">
        <v>580113.05885640101</v>
      </c>
      <c r="F1105" s="20">
        <v>332896.18576831103</v>
      </c>
      <c r="G1105" s="10">
        <v>332896.18576831103</v>
      </c>
      <c r="H1105" s="21">
        <f t="shared" si="34"/>
        <v>0</v>
      </c>
      <c r="I1105" s="10">
        <v>580111.54195764905</v>
      </c>
      <c r="J1105" s="21">
        <f t="shared" si="35"/>
        <v>-1.516898751957342</v>
      </c>
    </row>
    <row r="1106" spans="1:10">
      <c r="A1106" t="s">
        <v>217</v>
      </c>
      <c r="B1106" t="s">
        <v>219</v>
      </c>
      <c r="C1106" s="18">
        <v>2026</v>
      </c>
      <c r="D1106" t="s">
        <v>181</v>
      </c>
      <c r="E1106" s="20">
        <v>409830.31036531902</v>
      </c>
      <c r="F1106" s="20">
        <v>201760.70830660599</v>
      </c>
      <c r="G1106" s="10">
        <v>202008.19978323701</v>
      </c>
      <c r="H1106" s="21">
        <f t="shared" si="34"/>
        <v>247.49147663102485</v>
      </c>
      <c r="I1106" s="10">
        <v>409829.87281699001</v>
      </c>
      <c r="J1106" s="21">
        <f t="shared" si="35"/>
        <v>-0.4375483290059492</v>
      </c>
    </row>
    <row r="1107" spans="1:10">
      <c r="A1107" t="s">
        <v>217</v>
      </c>
      <c r="B1107" t="s">
        <v>219</v>
      </c>
      <c r="C1107" s="18">
        <v>2026</v>
      </c>
      <c r="D1107" t="s">
        <v>209</v>
      </c>
      <c r="E1107" s="20">
        <v>44219.177999647698</v>
      </c>
      <c r="F1107" s="20">
        <v>7023.7712687228704</v>
      </c>
      <c r="G1107" s="10">
        <v>7023.7712687228704</v>
      </c>
      <c r="H1107" s="21">
        <f t="shared" si="34"/>
        <v>0</v>
      </c>
      <c r="I1107" s="10">
        <v>44219.170751765298</v>
      </c>
      <c r="J1107" s="21">
        <f t="shared" si="35"/>
        <v>-7.2478824004065245E-3</v>
      </c>
    </row>
    <row r="1108" spans="1:10">
      <c r="A1108" t="s">
        <v>217</v>
      </c>
      <c r="B1108" t="s">
        <v>219</v>
      </c>
      <c r="C1108" s="18">
        <v>2027</v>
      </c>
      <c r="D1108" t="s">
        <v>187</v>
      </c>
      <c r="E1108" s="20">
        <v>13273.581766740999</v>
      </c>
      <c r="F1108" s="20">
        <v>9640.7212467981008</v>
      </c>
      <c r="G1108" s="10">
        <v>9640.7153077701696</v>
      </c>
      <c r="H1108" s="21">
        <f t="shared" si="34"/>
        <v>-5.9390279311628547E-3</v>
      </c>
      <c r="I1108" s="10">
        <v>13273.481772584</v>
      </c>
      <c r="J1108" s="21">
        <f t="shared" si="35"/>
        <v>-9.9994156998945982E-2</v>
      </c>
    </row>
    <row r="1109" spans="1:10">
      <c r="A1109" t="s">
        <v>217</v>
      </c>
      <c r="B1109" t="s">
        <v>219</v>
      </c>
      <c r="C1109" s="18">
        <v>2027</v>
      </c>
      <c r="D1109" t="s">
        <v>227</v>
      </c>
      <c r="E1109" s="20">
        <v>1055260.1705911299</v>
      </c>
      <c r="F1109" s="20">
        <v>145087.15485654501</v>
      </c>
      <c r="G1109" s="10">
        <v>145087.13077641799</v>
      </c>
      <c r="H1109" s="21">
        <f t="shared" si="34"/>
        <v>-2.4080127011984587E-2</v>
      </c>
      <c r="I1109" s="10">
        <v>1055255.40879996</v>
      </c>
      <c r="J1109" s="21">
        <f t="shared" si="35"/>
        <v>-4.7617911698762327</v>
      </c>
    </row>
    <row r="1110" spans="1:10">
      <c r="A1110" t="s">
        <v>217</v>
      </c>
      <c r="B1110" t="s">
        <v>219</v>
      </c>
      <c r="C1110" s="18">
        <v>2027</v>
      </c>
      <c r="D1110" t="s">
        <v>163</v>
      </c>
      <c r="E1110" s="20">
        <v>98449.6818118058</v>
      </c>
      <c r="F1110" s="20">
        <v>67068.063963186098</v>
      </c>
      <c r="G1110" s="10">
        <v>67068.016908610196</v>
      </c>
      <c r="H1110" s="21">
        <f t="shared" si="34"/>
        <v>-4.705457590171136E-2</v>
      </c>
      <c r="I1110" s="10">
        <v>98448.827883966893</v>
      </c>
      <c r="J1110" s="21">
        <f t="shared" si="35"/>
        <v>-0.85392783890711144</v>
      </c>
    </row>
    <row r="1111" spans="1:10">
      <c r="A1111" t="s">
        <v>217</v>
      </c>
      <c r="B1111" t="s">
        <v>219</v>
      </c>
      <c r="C1111" s="18">
        <v>2027</v>
      </c>
      <c r="D1111" t="s">
        <v>173</v>
      </c>
      <c r="E1111" s="20">
        <v>345938.40141506802</v>
      </c>
      <c r="F1111" s="20">
        <v>316953.82157118898</v>
      </c>
      <c r="G1111" s="10">
        <v>317119.55355255498</v>
      </c>
      <c r="H1111" s="21">
        <f t="shared" si="34"/>
        <v>165.73198136599967</v>
      </c>
      <c r="I1111" s="10">
        <v>345936.70671640302</v>
      </c>
      <c r="J1111" s="21">
        <f t="shared" si="35"/>
        <v>-1.6946986650000326</v>
      </c>
    </row>
    <row r="1112" spans="1:10">
      <c r="A1112" t="s">
        <v>217</v>
      </c>
      <c r="B1112" t="s">
        <v>219</v>
      </c>
      <c r="C1112" s="18">
        <v>2027</v>
      </c>
      <c r="D1112" t="s">
        <v>177</v>
      </c>
      <c r="E1112" s="20">
        <v>596153.10683380801</v>
      </c>
      <c r="F1112" s="20">
        <v>344517.37132255803</v>
      </c>
      <c r="G1112" s="10">
        <v>344517.274659827</v>
      </c>
      <c r="H1112" s="21">
        <f t="shared" si="34"/>
        <v>-9.6662731026299298E-2</v>
      </c>
      <c r="I1112" s="10">
        <v>596148.83233467594</v>
      </c>
      <c r="J1112" s="21">
        <f t="shared" si="35"/>
        <v>-4.2744991320651025</v>
      </c>
    </row>
    <row r="1113" spans="1:10">
      <c r="A1113" t="s">
        <v>217</v>
      </c>
      <c r="B1113" t="s">
        <v>219</v>
      </c>
      <c r="C1113" s="18">
        <v>2027</v>
      </c>
      <c r="D1113" t="s">
        <v>181</v>
      </c>
      <c r="E1113" s="20">
        <v>423486.182557892</v>
      </c>
      <c r="F1113" s="20">
        <v>211621.17009888199</v>
      </c>
      <c r="G1113" s="10">
        <v>211995.48802417101</v>
      </c>
      <c r="H1113" s="21">
        <f t="shared" si="34"/>
        <v>374.31792528901133</v>
      </c>
      <c r="I1113" s="10">
        <v>423485.10132199898</v>
      </c>
      <c r="J1113" s="21">
        <f t="shared" si="35"/>
        <v>-1.0812358930124901</v>
      </c>
    </row>
    <row r="1114" spans="1:10">
      <c r="A1114" t="s">
        <v>217</v>
      </c>
      <c r="B1114" t="s">
        <v>219</v>
      </c>
      <c r="C1114" s="18">
        <v>2027</v>
      </c>
      <c r="D1114" t="s">
        <v>209</v>
      </c>
      <c r="E1114" s="20">
        <v>44384.222310403798</v>
      </c>
      <c r="F1114" s="20">
        <v>7080.0570533065602</v>
      </c>
      <c r="G1114" s="10">
        <v>7080.0570056816796</v>
      </c>
      <c r="H1114" s="21">
        <f t="shared" si="34"/>
        <v>-4.7624880608054809E-5</v>
      </c>
      <c r="I1114" s="10">
        <v>44384.2018393689</v>
      </c>
      <c r="J1114" s="21">
        <f t="shared" si="35"/>
        <v>-2.0471034898946527E-2</v>
      </c>
    </row>
    <row r="1115" spans="1:10">
      <c r="A1115" t="s">
        <v>217</v>
      </c>
      <c r="B1115" t="s">
        <v>219</v>
      </c>
      <c r="C1115" s="18">
        <v>2028</v>
      </c>
      <c r="D1115" t="s">
        <v>187</v>
      </c>
      <c r="E1115" s="20">
        <v>13729.697728285801</v>
      </c>
      <c r="F1115" s="20">
        <v>9971.47638234646</v>
      </c>
      <c r="G1115" s="10">
        <v>9971.4547216338906</v>
      </c>
      <c r="H1115" s="21">
        <f t="shared" si="34"/>
        <v>-2.1660712569428142E-2</v>
      </c>
      <c r="I1115" s="10">
        <v>13729.5005000864</v>
      </c>
      <c r="J1115" s="21">
        <f t="shared" si="35"/>
        <v>-0.19722819940034242</v>
      </c>
    </row>
    <row r="1116" spans="1:10">
      <c r="A1116" t="s">
        <v>217</v>
      </c>
      <c r="B1116" t="s">
        <v>219</v>
      </c>
      <c r="C1116" s="18">
        <v>2028</v>
      </c>
      <c r="D1116" t="s">
        <v>227</v>
      </c>
      <c r="E1116" s="20">
        <v>1069014.1170040001</v>
      </c>
      <c r="F1116" s="20">
        <v>153077.959260378</v>
      </c>
      <c r="G1116" s="10">
        <v>153077.86738724401</v>
      </c>
      <c r="H1116" s="21">
        <f t="shared" si="34"/>
        <v>-9.1873133991612121E-2</v>
      </c>
      <c r="I1116" s="10">
        <v>1069005.07088018</v>
      </c>
      <c r="J1116" s="21">
        <f t="shared" si="35"/>
        <v>-9.046123820124194</v>
      </c>
    </row>
    <row r="1117" spans="1:10">
      <c r="A1117" t="s">
        <v>217</v>
      </c>
      <c r="B1117" t="s">
        <v>219</v>
      </c>
      <c r="C1117" s="18">
        <v>2028</v>
      </c>
      <c r="D1117" t="s">
        <v>163</v>
      </c>
      <c r="E1117" s="20">
        <v>101799.619772864</v>
      </c>
      <c r="F1117" s="20">
        <v>69020.102114492096</v>
      </c>
      <c r="G1117" s="10">
        <v>69019.933123164999</v>
      </c>
      <c r="H1117" s="21">
        <f t="shared" si="34"/>
        <v>-0.1689913270965917</v>
      </c>
      <c r="I1117" s="10">
        <v>101797.96761407</v>
      </c>
      <c r="J1117" s="21">
        <f t="shared" si="35"/>
        <v>-1.6521587939932942</v>
      </c>
    </row>
    <row r="1118" spans="1:10">
      <c r="A1118" t="s">
        <v>217</v>
      </c>
      <c r="B1118" t="s">
        <v>219</v>
      </c>
      <c r="C1118" s="18">
        <v>2028</v>
      </c>
      <c r="D1118" t="s">
        <v>173</v>
      </c>
      <c r="E1118" s="20">
        <v>354968.93575073598</v>
      </c>
      <c r="F1118" s="20">
        <v>325499.33496952202</v>
      </c>
      <c r="G1118" s="10">
        <v>325690.68301689299</v>
      </c>
      <c r="H1118" s="21">
        <f t="shared" si="34"/>
        <v>191.3480473709642</v>
      </c>
      <c r="I1118" s="10">
        <v>354965.53581913299</v>
      </c>
      <c r="J1118" s="21">
        <f t="shared" si="35"/>
        <v>-3.3999316029949114</v>
      </c>
    </row>
    <row r="1119" spans="1:10">
      <c r="A1119" t="s">
        <v>217</v>
      </c>
      <c r="B1119" t="s">
        <v>219</v>
      </c>
      <c r="C1119" s="18">
        <v>2028</v>
      </c>
      <c r="D1119" t="s">
        <v>177</v>
      </c>
      <c r="E1119" s="20">
        <v>612039.83912714396</v>
      </c>
      <c r="F1119" s="20">
        <v>356073.93376998103</v>
      </c>
      <c r="G1119" s="10">
        <v>356073.57143805898</v>
      </c>
      <c r="H1119" s="21">
        <f t="shared" si="34"/>
        <v>-0.36233192204963416</v>
      </c>
      <c r="I1119" s="10">
        <v>612031.65944475099</v>
      </c>
      <c r="J1119" s="21">
        <f t="shared" si="35"/>
        <v>-8.1796823929762468</v>
      </c>
    </row>
    <row r="1120" spans="1:10">
      <c r="A1120" t="s">
        <v>217</v>
      </c>
      <c r="B1120" t="s">
        <v>219</v>
      </c>
      <c r="C1120" s="18">
        <v>2028</v>
      </c>
      <c r="D1120" t="s">
        <v>181</v>
      </c>
      <c r="E1120" s="20">
        <v>437161.62997309997</v>
      </c>
      <c r="F1120" s="20">
        <v>221405.99602574899</v>
      </c>
      <c r="G1120" s="10">
        <v>221908.95856330299</v>
      </c>
      <c r="H1120" s="21">
        <f t="shared" si="34"/>
        <v>502.96253755400539</v>
      </c>
      <c r="I1120" s="10">
        <v>437159.75519195799</v>
      </c>
      <c r="J1120" s="21">
        <f t="shared" si="35"/>
        <v>-1.8747811419889331</v>
      </c>
    </row>
    <row r="1121" spans="1:10">
      <c r="A1121" t="s">
        <v>217</v>
      </c>
      <c r="B1121" t="s">
        <v>219</v>
      </c>
      <c r="C1121" s="18">
        <v>2028</v>
      </c>
      <c r="D1121" t="s">
        <v>209</v>
      </c>
      <c r="E1121" s="20">
        <v>44510.104135489797</v>
      </c>
      <c r="F1121" s="20">
        <v>7131.07034216171</v>
      </c>
      <c r="G1121" s="10">
        <v>7131.0701635649802</v>
      </c>
      <c r="H1121" s="21">
        <f t="shared" si="34"/>
        <v>-1.7859672971098917E-4</v>
      </c>
      <c r="I1121" s="10">
        <v>44510.064962992903</v>
      </c>
      <c r="J1121" s="21">
        <f t="shared" si="35"/>
        <v>-3.9172496894025244E-2</v>
      </c>
    </row>
    <row r="1122" spans="1:10">
      <c r="A1122" t="s">
        <v>217</v>
      </c>
      <c r="B1122" t="s">
        <v>219</v>
      </c>
      <c r="C1122" s="18">
        <v>2029</v>
      </c>
      <c r="D1122" t="s">
        <v>187</v>
      </c>
      <c r="E1122" s="20">
        <v>14181.750754659</v>
      </c>
      <c r="F1122" s="20">
        <v>10301.2798156845</v>
      </c>
      <c r="G1122" s="10">
        <v>10301.2295792609</v>
      </c>
      <c r="H1122" s="21">
        <f t="shared" si="34"/>
        <v>-5.0236423599926638E-2</v>
      </c>
      <c r="I1122" s="10">
        <v>14181.423637546701</v>
      </c>
      <c r="J1122" s="21">
        <f t="shared" si="35"/>
        <v>-0.32711711229967477</v>
      </c>
    </row>
    <row r="1123" spans="1:10">
      <c r="A1123" t="s">
        <v>217</v>
      </c>
      <c r="B1123" t="s">
        <v>219</v>
      </c>
      <c r="C1123" s="18">
        <v>2029</v>
      </c>
      <c r="D1123" t="s">
        <v>227</v>
      </c>
      <c r="E1123" s="20">
        <v>1082266.8568568099</v>
      </c>
      <c r="F1123" s="20">
        <v>161161.28347626599</v>
      </c>
      <c r="G1123" s="10">
        <v>161161.06213209301</v>
      </c>
      <c r="H1123" s="21">
        <f t="shared" si="34"/>
        <v>-0.22134417298366316</v>
      </c>
      <c r="I1123" s="10">
        <v>1082252.3942307399</v>
      </c>
      <c r="J1123" s="21">
        <f t="shared" si="35"/>
        <v>-14.462626070016995</v>
      </c>
    </row>
    <row r="1124" spans="1:10">
      <c r="A1124" t="s">
        <v>217</v>
      </c>
      <c r="B1124" t="s">
        <v>219</v>
      </c>
      <c r="C1124" s="18">
        <v>2029</v>
      </c>
      <c r="D1124" t="s">
        <v>163</v>
      </c>
      <c r="E1124" s="20">
        <v>105117.381906835</v>
      </c>
      <c r="F1124" s="20">
        <v>71042.439526397895</v>
      </c>
      <c r="G1124" s="10">
        <v>71042.054429439493</v>
      </c>
      <c r="H1124" s="21">
        <f t="shared" si="34"/>
        <v>-0.38509695840184577</v>
      </c>
      <c r="I1124" s="10">
        <v>105114.693344183</v>
      </c>
      <c r="J1124" s="21">
        <f t="shared" si="35"/>
        <v>-2.6885626519942889</v>
      </c>
    </row>
    <row r="1125" spans="1:10">
      <c r="A1125" t="s">
        <v>217</v>
      </c>
      <c r="B1125" t="s">
        <v>219</v>
      </c>
      <c r="C1125" s="18">
        <v>2029</v>
      </c>
      <c r="D1125" t="s">
        <v>173</v>
      </c>
      <c r="E1125" s="20">
        <v>363901.885155597</v>
      </c>
      <c r="F1125" s="20">
        <v>334080.59692576597</v>
      </c>
      <c r="G1125" s="10">
        <v>334292.677138926</v>
      </c>
      <c r="H1125" s="21">
        <f t="shared" si="34"/>
        <v>212.08021316002123</v>
      </c>
      <c r="I1125" s="10">
        <v>363896.20424716797</v>
      </c>
      <c r="J1125" s="21">
        <f t="shared" si="35"/>
        <v>-5.680908429028932</v>
      </c>
    </row>
    <row r="1126" spans="1:10">
      <c r="A1126" t="s">
        <v>217</v>
      </c>
      <c r="B1126" t="s">
        <v>219</v>
      </c>
      <c r="C1126" s="18">
        <v>2029</v>
      </c>
      <c r="D1126" t="s">
        <v>177</v>
      </c>
      <c r="E1126" s="20">
        <v>627739.52192535705</v>
      </c>
      <c r="F1126" s="20">
        <v>367576.08059371001</v>
      </c>
      <c r="G1126" s="10">
        <v>367575.22274735</v>
      </c>
      <c r="H1126" s="21">
        <f t="shared" si="34"/>
        <v>-0.85784636001335457</v>
      </c>
      <c r="I1126" s="10">
        <v>627726.33689879405</v>
      </c>
      <c r="J1126" s="21">
        <f t="shared" si="35"/>
        <v>-13.185026563005522</v>
      </c>
    </row>
    <row r="1127" spans="1:10">
      <c r="A1127" t="s">
        <v>217</v>
      </c>
      <c r="B1127" t="s">
        <v>219</v>
      </c>
      <c r="C1127" s="18">
        <v>2029</v>
      </c>
      <c r="D1127" t="s">
        <v>181</v>
      </c>
      <c r="E1127" s="20">
        <v>450788.93286229298</v>
      </c>
      <c r="F1127" s="20">
        <v>231074.60200558399</v>
      </c>
      <c r="G1127" s="10">
        <v>231708.01887569</v>
      </c>
      <c r="H1127" s="21">
        <f t="shared" si="34"/>
        <v>633.41687010601163</v>
      </c>
      <c r="I1127" s="10">
        <v>450786.13401356898</v>
      </c>
      <c r="J1127" s="21">
        <f t="shared" si="35"/>
        <v>-2.7988487239927053</v>
      </c>
    </row>
    <row r="1128" spans="1:10">
      <c r="A1128" t="s">
        <v>217</v>
      </c>
      <c r="B1128" t="s">
        <v>219</v>
      </c>
      <c r="C1128" s="18">
        <v>2029</v>
      </c>
      <c r="D1128" t="s">
        <v>209</v>
      </c>
      <c r="E1128" s="20">
        <v>44600.324506602701</v>
      </c>
      <c r="F1128" s="20">
        <v>7178.2197392795097</v>
      </c>
      <c r="G1128" s="10">
        <v>7178.2193159725202</v>
      </c>
      <c r="H1128" s="21">
        <f t="shared" si="34"/>
        <v>-4.2330698943260359E-4</v>
      </c>
      <c r="I1128" s="10">
        <v>44600.261443595497</v>
      </c>
      <c r="J1128" s="21">
        <f t="shared" si="35"/>
        <v>-6.3063007204618771E-2</v>
      </c>
    </row>
    <row r="1129" spans="1:10">
      <c r="A1129" t="s">
        <v>217</v>
      </c>
      <c r="B1129" t="s">
        <v>219</v>
      </c>
      <c r="C1129" s="18">
        <v>2030</v>
      </c>
      <c r="D1129" t="s">
        <v>187</v>
      </c>
      <c r="E1129" s="20">
        <v>14631.4170896498</v>
      </c>
      <c r="F1129" s="20">
        <v>10630.3641627004</v>
      </c>
      <c r="G1129" s="10">
        <v>10630.2702680602</v>
      </c>
      <c r="H1129" s="21">
        <f t="shared" si="34"/>
        <v>-9.3894640200232971E-2</v>
      </c>
      <c r="I1129" s="10">
        <v>14630.9263575645</v>
      </c>
      <c r="J1129" s="21">
        <f t="shared" si="35"/>
        <v>-0.49073208529989643</v>
      </c>
    </row>
    <row r="1130" spans="1:10">
      <c r="A1130" t="s">
        <v>217</v>
      </c>
      <c r="B1130" t="s">
        <v>219</v>
      </c>
      <c r="C1130" s="18">
        <v>2030</v>
      </c>
      <c r="D1130" t="s">
        <v>227</v>
      </c>
      <c r="E1130" s="20">
        <v>1094977.79376021</v>
      </c>
      <c r="F1130" s="20">
        <v>169315.26303405</v>
      </c>
      <c r="G1130" s="10">
        <v>169314.83403803801</v>
      </c>
      <c r="H1130" s="21">
        <f t="shared" si="34"/>
        <v>-0.4289960119931493</v>
      </c>
      <c r="I1130" s="10">
        <v>1094956.8444496701</v>
      </c>
      <c r="J1130" s="21">
        <f t="shared" si="35"/>
        <v>-20.949310539988801</v>
      </c>
    </row>
    <row r="1131" spans="1:10">
      <c r="A1131" t="s">
        <v>217</v>
      </c>
      <c r="B1131" t="s">
        <v>219</v>
      </c>
      <c r="C1131" s="18">
        <v>2030</v>
      </c>
      <c r="D1131" t="s">
        <v>163</v>
      </c>
      <c r="E1131" s="20">
        <v>108397.735558948</v>
      </c>
      <c r="F1131" s="20">
        <v>73121.509563845204</v>
      </c>
      <c r="G1131" s="10">
        <v>73120.8011068864</v>
      </c>
      <c r="H1131" s="21">
        <f t="shared" si="34"/>
        <v>-0.70845695880416315</v>
      </c>
      <c r="I1131" s="10">
        <v>108393.77376611999</v>
      </c>
      <c r="J1131" s="21">
        <f t="shared" si="35"/>
        <v>-3.961792828005855</v>
      </c>
    </row>
    <row r="1132" spans="1:10">
      <c r="A1132" t="s">
        <v>217</v>
      </c>
      <c r="B1132" t="s">
        <v>219</v>
      </c>
      <c r="C1132" s="18">
        <v>2030</v>
      </c>
      <c r="D1132" t="s">
        <v>173</v>
      </c>
      <c r="E1132" s="20">
        <v>372750.33142616798</v>
      </c>
      <c r="F1132" s="20">
        <v>342660.099114599</v>
      </c>
      <c r="G1132" s="10">
        <v>342889.63536639401</v>
      </c>
      <c r="H1132" s="21">
        <f t="shared" si="34"/>
        <v>229.5362517950125</v>
      </c>
      <c r="I1132" s="10">
        <v>372741.79546126397</v>
      </c>
      <c r="J1132" s="21">
        <f t="shared" si="35"/>
        <v>-8.5359649040037766</v>
      </c>
    </row>
    <row r="1133" spans="1:10">
      <c r="A1133" t="s">
        <v>217</v>
      </c>
      <c r="B1133" t="s">
        <v>219</v>
      </c>
      <c r="C1133" s="18">
        <v>2030</v>
      </c>
      <c r="D1133" t="s">
        <v>177</v>
      </c>
      <c r="E1133" s="20">
        <v>643173.48144675104</v>
      </c>
      <c r="F1133" s="20">
        <v>378941.86167687998</v>
      </c>
      <c r="G1133" s="10">
        <v>378940.23126744502</v>
      </c>
      <c r="H1133" s="21">
        <f t="shared" si="34"/>
        <v>-1.6304094349616207</v>
      </c>
      <c r="I1133" s="10">
        <v>643154.21130562795</v>
      </c>
      <c r="J1133" s="21">
        <f t="shared" si="35"/>
        <v>-19.270141123095527</v>
      </c>
    </row>
    <row r="1134" spans="1:10">
      <c r="A1134" t="s">
        <v>217</v>
      </c>
      <c r="B1134" t="s">
        <v>219</v>
      </c>
      <c r="C1134" s="18">
        <v>2030</v>
      </c>
      <c r="D1134" t="s">
        <v>181</v>
      </c>
      <c r="E1134" s="20">
        <v>464364.36884849198</v>
      </c>
      <c r="F1134" s="20">
        <v>240543.59806069901</v>
      </c>
      <c r="G1134" s="10">
        <v>241310.309903655</v>
      </c>
      <c r="H1134" s="21">
        <f t="shared" si="34"/>
        <v>766.71184295599232</v>
      </c>
      <c r="I1134" s="10">
        <v>464360.51810377202</v>
      </c>
      <c r="J1134" s="21">
        <f t="shared" si="35"/>
        <v>-3.8507447199663147</v>
      </c>
    </row>
    <row r="1135" spans="1:10">
      <c r="A1135" t="s">
        <v>217</v>
      </c>
      <c r="B1135" t="s">
        <v>219</v>
      </c>
      <c r="C1135" s="18">
        <v>2030</v>
      </c>
      <c r="D1135" t="s">
        <v>209</v>
      </c>
      <c r="E1135" s="20">
        <v>44647.360844055896</v>
      </c>
      <c r="F1135" s="20">
        <v>7223.1111211186399</v>
      </c>
      <c r="G1135" s="10">
        <v>7223.1103147423601</v>
      </c>
      <c r="H1135" s="21">
        <f t="shared" si="34"/>
        <v>-8.06376279797405E-4</v>
      </c>
      <c r="I1135" s="10">
        <v>44647.268915282999</v>
      </c>
      <c r="J1135" s="21">
        <f t="shared" si="35"/>
        <v>-9.1928772897517774E-2</v>
      </c>
    </row>
    <row r="1136" spans="1:10">
      <c r="A1136" t="s">
        <v>217</v>
      </c>
      <c r="B1136" t="s">
        <v>219</v>
      </c>
      <c r="C1136" s="18">
        <v>2031</v>
      </c>
      <c r="D1136" t="s">
        <v>187</v>
      </c>
      <c r="E1136" s="20">
        <v>15081.0727096179</v>
      </c>
      <c r="F1136" s="20">
        <v>10955.580193738</v>
      </c>
      <c r="G1136" s="10">
        <v>10955.4255331558</v>
      </c>
      <c r="H1136" s="21">
        <f t="shared" si="34"/>
        <v>-0.15466058220044943</v>
      </c>
      <c r="I1136" s="10">
        <v>15080.3825495532</v>
      </c>
      <c r="J1136" s="21">
        <f t="shared" si="35"/>
        <v>-0.69016006469973945</v>
      </c>
    </row>
    <row r="1137" spans="1:10">
      <c r="A1137" t="s">
        <v>217</v>
      </c>
      <c r="B1137" t="s">
        <v>219</v>
      </c>
      <c r="C1137" s="18">
        <v>2031</v>
      </c>
      <c r="D1137" t="s">
        <v>227</v>
      </c>
      <c r="E1137" s="20">
        <v>1107056.1546996599</v>
      </c>
      <c r="F1137" s="20">
        <v>177511.63623992601</v>
      </c>
      <c r="G1137" s="10">
        <v>177510.90619666901</v>
      </c>
      <c r="H1137" s="21">
        <f t="shared" si="34"/>
        <v>-0.73004325700458139</v>
      </c>
      <c r="I1137" s="10">
        <v>1107027.6916289399</v>
      </c>
      <c r="J1137" s="21">
        <f t="shared" si="35"/>
        <v>-28.463070719968528</v>
      </c>
    </row>
    <row r="1138" spans="1:10">
      <c r="A1138" t="s">
        <v>217</v>
      </c>
      <c r="B1138" t="s">
        <v>219</v>
      </c>
      <c r="C1138" s="18">
        <v>2031</v>
      </c>
      <c r="D1138" t="s">
        <v>163</v>
      </c>
      <c r="E1138" s="20">
        <v>111638.420242123</v>
      </c>
      <c r="F1138" s="20">
        <v>75231.368898426706</v>
      </c>
      <c r="G1138" s="10">
        <v>75230.219664338001</v>
      </c>
      <c r="H1138" s="21">
        <f t="shared" si="34"/>
        <v>-1.1492340887052706</v>
      </c>
      <c r="I1138" s="10">
        <v>111632.94755435199</v>
      </c>
      <c r="J1138" s="21">
        <f t="shared" si="35"/>
        <v>-5.4726877710054396</v>
      </c>
    </row>
    <row r="1139" spans="1:10">
      <c r="A1139" t="s">
        <v>217</v>
      </c>
      <c r="B1139" t="s">
        <v>219</v>
      </c>
      <c r="C1139" s="18">
        <v>2031</v>
      </c>
      <c r="D1139" t="s">
        <v>173</v>
      </c>
      <c r="E1139" s="20">
        <v>381482.24142530398</v>
      </c>
      <c r="F1139" s="20">
        <v>351188.00998299097</v>
      </c>
      <c r="G1139" s="10">
        <v>351432.51867295097</v>
      </c>
      <c r="H1139" s="21">
        <f t="shared" si="34"/>
        <v>244.50868995999917</v>
      </c>
      <c r="I1139" s="10">
        <v>381470.26678102103</v>
      </c>
      <c r="J1139" s="21">
        <f t="shared" si="35"/>
        <v>-11.974644282949157</v>
      </c>
    </row>
    <row r="1140" spans="1:10">
      <c r="A1140" t="s">
        <v>217</v>
      </c>
      <c r="B1140" t="s">
        <v>219</v>
      </c>
      <c r="C1140" s="18">
        <v>2031</v>
      </c>
      <c r="D1140" t="s">
        <v>177</v>
      </c>
      <c r="E1140" s="20">
        <v>658308.56547475397</v>
      </c>
      <c r="F1140" s="20">
        <v>390183.72600226599</v>
      </c>
      <c r="G1140" s="10">
        <v>390181.00302030199</v>
      </c>
      <c r="H1140" s="21">
        <f t="shared" si="34"/>
        <v>-2.7229819640051574</v>
      </c>
      <c r="I1140" s="10">
        <v>658282.14926881401</v>
      </c>
      <c r="J1140" s="21">
        <f t="shared" si="35"/>
        <v>-26.416205939953215</v>
      </c>
    </row>
    <row r="1141" spans="1:10">
      <c r="A1141" t="s">
        <v>217</v>
      </c>
      <c r="B1141" t="s">
        <v>219</v>
      </c>
      <c r="C1141" s="18">
        <v>2031</v>
      </c>
      <c r="D1141" t="s">
        <v>181</v>
      </c>
      <c r="E1141" s="20">
        <v>477783.17956805602</v>
      </c>
      <c r="F1141" s="20">
        <v>249911.44007688301</v>
      </c>
      <c r="G1141" s="10">
        <v>250815.78266259201</v>
      </c>
      <c r="H1141" s="21">
        <f t="shared" si="34"/>
        <v>904.3425857090042</v>
      </c>
      <c r="I1141" s="10">
        <v>477778.14604748198</v>
      </c>
      <c r="J1141" s="21">
        <f t="shared" si="35"/>
        <v>-5.0335205740411766</v>
      </c>
    </row>
    <row r="1142" spans="1:10">
      <c r="A1142" t="s">
        <v>217</v>
      </c>
      <c r="B1142" t="s">
        <v>219</v>
      </c>
      <c r="C1142" s="18">
        <v>2031</v>
      </c>
      <c r="D1142" t="s">
        <v>209</v>
      </c>
      <c r="E1142" s="20">
        <v>44640.472993143499</v>
      </c>
      <c r="F1142" s="20">
        <v>7266.7673502938796</v>
      </c>
      <c r="G1142" s="10">
        <v>7266.7660002075399</v>
      </c>
      <c r="H1142" s="21">
        <f t="shared" si="34"/>
        <v>-1.3500863396984641E-3</v>
      </c>
      <c r="I1142" s="10">
        <v>44640.347295477797</v>
      </c>
      <c r="J1142" s="21">
        <f t="shared" si="35"/>
        <v>-0.12569766570231877</v>
      </c>
    </row>
    <row r="1143" spans="1:10">
      <c r="A1143" t="s">
        <v>217</v>
      </c>
      <c r="B1143" t="s">
        <v>219</v>
      </c>
      <c r="C1143" s="18">
        <v>2032</v>
      </c>
      <c r="D1143" t="s">
        <v>187</v>
      </c>
      <c r="E1143" s="20">
        <v>15532.18899753</v>
      </c>
      <c r="F1143" s="20">
        <v>11274.7297867079</v>
      </c>
      <c r="G1143" s="10">
        <v>11274.495449735199</v>
      </c>
      <c r="H1143" s="21">
        <f t="shared" si="34"/>
        <v>-0.2343369727004756</v>
      </c>
      <c r="I1143" s="10">
        <v>15531.2601955666</v>
      </c>
      <c r="J1143" s="21">
        <f t="shared" si="35"/>
        <v>-0.92880196340047405</v>
      </c>
    </row>
    <row r="1144" spans="1:10">
      <c r="A1144" t="s">
        <v>217</v>
      </c>
      <c r="B1144" t="s">
        <v>219</v>
      </c>
      <c r="C1144" s="18">
        <v>2032</v>
      </c>
      <c r="D1144" t="s">
        <v>227</v>
      </c>
      <c r="E1144" s="20">
        <v>1118514.2962863101</v>
      </c>
      <c r="F1144" s="20">
        <v>185727.13754940001</v>
      </c>
      <c r="G1144" s="10">
        <v>185725.99905880101</v>
      </c>
      <c r="H1144" s="21">
        <f t="shared" si="34"/>
        <v>-1.1384905989980325</v>
      </c>
      <c r="I1144" s="10">
        <v>1118477.3274982399</v>
      </c>
      <c r="J1144" s="21">
        <f t="shared" si="35"/>
        <v>-36.968788070138544</v>
      </c>
    </row>
    <row r="1145" spans="1:10">
      <c r="A1145" t="s">
        <v>217</v>
      </c>
      <c r="B1145" t="s">
        <v>219</v>
      </c>
      <c r="C1145" s="18">
        <v>2032</v>
      </c>
      <c r="D1145" t="s">
        <v>163</v>
      </c>
      <c r="E1145" s="20">
        <v>114842.44905992701</v>
      </c>
      <c r="F1145" s="20">
        <v>77354.776562690298</v>
      </c>
      <c r="G1145" s="10">
        <v>77353.061023932896</v>
      </c>
      <c r="H1145" s="21">
        <f t="shared" si="34"/>
        <v>-1.7155387574021006</v>
      </c>
      <c r="I1145" s="10">
        <v>114835.221802653</v>
      </c>
      <c r="J1145" s="21">
        <f t="shared" si="35"/>
        <v>-7.2272572740039323</v>
      </c>
    </row>
    <row r="1146" spans="1:10">
      <c r="A1146" t="s">
        <v>217</v>
      </c>
      <c r="B1146" t="s">
        <v>219</v>
      </c>
      <c r="C1146" s="18">
        <v>2032</v>
      </c>
      <c r="D1146" t="s">
        <v>173</v>
      </c>
      <c r="E1146" s="20">
        <v>390014.39049395098</v>
      </c>
      <c r="F1146" s="20">
        <v>359577.42435575998</v>
      </c>
      <c r="G1146" s="10">
        <v>359834.54685286601</v>
      </c>
      <c r="H1146" s="21">
        <f t="shared" si="34"/>
        <v>257.12249710602919</v>
      </c>
      <c r="I1146" s="10">
        <v>389998.37668875401</v>
      </c>
      <c r="J1146" s="21">
        <f t="shared" si="35"/>
        <v>-16.01380519696977</v>
      </c>
    </row>
    <row r="1147" spans="1:10">
      <c r="A1147" t="s">
        <v>217</v>
      </c>
      <c r="B1147" t="s">
        <v>219</v>
      </c>
      <c r="C1147" s="18">
        <v>2032</v>
      </c>
      <c r="D1147" t="s">
        <v>177</v>
      </c>
      <c r="E1147" s="20">
        <v>673168.50445499097</v>
      </c>
      <c r="F1147" s="20">
        <v>401322.46072170301</v>
      </c>
      <c r="G1147" s="10">
        <v>401318.28619347198</v>
      </c>
      <c r="H1147" s="21">
        <f t="shared" si="34"/>
        <v>-4.1745282310293987</v>
      </c>
      <c r="I1147" s="10">
        <v>673133.88827326603</v>
      </c>
      <c r="J1147" s="21">
        <f t="shared" si="35"/>
        <v>-34.616181724937633</v>
      </c>
    </row>
    <row r="1148" spans="1:10">
      <c r="A1148" t="s">
        <v>217</v>
      </c>
      <c r="B1148" t="s">
        <v>219</v>
      </c>
      <c r="C1148" s="18">
        <v>2032</v>
      </c>
      <c r="D1148" t="s">
        <v>181</v>
      </c>
      <c r="E1148" s="20">
        <v>490911.055210691</v>
      </c>
      <c r="F1148" s="20">
        <v>259301.25968032001</v>
      </c>
      <c r="G1148" s="10">
        <v>260346.937343717</v>
      </c>
      <c r="H1148" s="21">
        <f t="shared" si="34"/>
        <v>1045.6776633969857</v>
      </c>
      <c r="I1148" s="10">
        <v>490904.70344577997</v>
      </c>
      <c r="J1148" s="21">
        <f t="shared" si="35"/>
        <v>-6.3517649110290222</v>
      </c>
    </row>
    <row r="1149" spans="1:10">
      <c r="A1149" t="s">
        <v>217</v>
      </c>
      <c r="B1149" t="s">
        <v>219</v>
      </c>
      <c r="C1149" s="18">
        <v>2032</v>
      </c>
      <c r="D1149" t="s">
        <v>209</v>
      </c>
      <c r="E1149" s="20">
        <v>44583.409921414699</v>
      </c>
      <c r="F1149" s="20">
        <v>7308.6916430466799</v>
      </c>
      <c r="G1149" s="10">
        <v>7308.6895683399798</v>
      </c>
      <c r="H1149" s="21">
        <f t="shared" si="34"/>
        <v>-2.074706700113893E-3</v>
      </c>
      <c r="I1149" s="10">
        <v>44583.245501595899</v>
      </c>
      <c r="J1149" s="21">
        <f t="shared" si="35"/>
        <v>-0.16441981880052481</v>
      </c>
    </row>
    <row r="1150" spans="1:10">
      <c r="A1150" t="s">
        <v>217</v>
      </c>
      <c r="B1150" t="s">
        <v>219</v>
      </c>
      <c r="C1150" s="18">
        <v>2033</v>
      </c>
      <c r="D1150" t="s">
        <v>187</v>
      </c>
      <c r="E1150" s="20">
        <v>15984.927354186901</v>
      </c>
      <c r="F1150" s="20">
        <v>11587.2686522607</v>
      </c>
      <c r="G1150" s="10">
        <v>11586.9335708044</v>
      </c>
      <c r="H1150" s="21">
        <f t="shared" si="34"/>
        <v>-0.33508145630003128</v>
      </c>
      <c r="I1150" s="10">
        <v>15983.7175379286</v>
      </c>
      <c r="J1150" s="21">
        <f t="shared" si="35"/>
        <v>-1.2098162583006342</v>
      </c>
    </row>
    <row r="1151" spans="1:10">
      <c r="A1151" t="s">
        <v>217</v>
      </c>
      <c r="B1151" t="s">
        <v>219</v>
      </c>
      <c r="C1151" s="18">
        <v>2033</v>
      </c>
      <c r="D1151" t="s">
        <v>227</v>
      </c>
      <c r="E1151" s="20">
        <v>1129279.9097716999</v>
      </c>
      <c r="F1151" s="20">
        <v>193954.89190472499</v>
      </c>
      <c r="G1151" s="10">
        <v>193953.224223645</v>
      </c>
      <c r="H1151" s="21">
        <f t="shared" si="34"/>
        <v>-1.6676810799981467</v>
      </c>
      <c r="I1151" s="10">
        <v>1129233.47845058</v>
      </c>
      <c r="J1151" s="21">
        <f t="shared" si="35"/>
        <v>-46.431321119889617</v>
      </c>
    </row>
    <row r="1152" spans="1:10">
      <c r="A1152" t="s">
        <v>217</v>
      </c>
      <c r="B1152" t="s">
        <v>219</v>
      </c>
      <c r="C1152" s="18">
        <v>2033</v>
      </c>
      <c r="D1152" t="s">
        <v>163</v>
      </c>
      <c r="E1152" s="20">
        <v>118007.96848389599</v>
      </c>
      <c r="F1152" s="20">
        <v>79482.891190096198</v>
      </c>
      <c r="G1152" s="10">
        <v>79480.4761690429</v>
      </c>
      <c r="H1152" s="21">
        <f t="shared" si="34"/>
        <v>-2.4150210532970959</v>
      </c>
      <c r="I1152" s="10">
        <v>117998.73843744201</v>
      </c>
      <c r="J1152" s="21">
        <f t="shared" si="35"/>
        <v>-9.2300464539875975</v>
      </c>
    </row>
    <row r="1153" spans="1:10">
      <c r="A1153" t="s">
        <v>217</v>
      </c>
      <c r="B1153" t="s">
        <v>219</v>
      </c>
      <c r="C1153" s="18">
        <v>2033</v>
      </c>
      <c r="D1153" t="s">
        <v>173</v>
      </c>
      <c r="E1153" s="20">
        <v>398375.01352354098</v>
      </c>
      <c r="F1153" s="20">
        <v>367784.24534886301</v>
      </c>
      <c r="G1153" s="10">
        <v>368051.62457544298</v>
      </c>
      <c r="H1153" s="21">
        <f t="shared" si="34"/>
        <v>267.37922657997115</v>
      </c>
      <c r="I1153" s="10">
        <v>398354.344992358</v>
      </c>
      <c r="J1153" s="21">
        <f t="shared" si="35"/>
        <v>-20.668531182978768</v>
      </c>
    </row>
    <row r="1154" spans="1:10">
      <c r="A1154" t="s">
        <v>217</v>
      </c>
      <c r="B1154" t="s">
        <v>219</v>
      </c>
      <c r="C1154" s="18">
        <v>2033</v>
      </c>
      <c r="D1154" t="s">
        <v>177</v>
      </c>
      <c r="E1154" s="20">
        <v>687678.55975057895</v>
      </c>
      <c r="F1154" s="20">
        <v>412354.09747959499</v>
      </c>
      <c r="G1154" s="10">
        <v>412348.075678578</v>
      </c>
      <c r="H1154" s="21">
        <f t="shared" ref="H1154:H1217" si="36">G1154-F1154</f>
        <v>-6.021801016991958</v>
      </c>
      <c r="I1154" s="10">
        <v>687634.69954692596</v>
      </c>
      <c r="J1154" s="21">
        <f t="shared" ref="J1154:J1217" si="37">I1154-E1154</f>
        <v>-43.860203652991913</v>
      </c>
    </row>
    <row r="1155" spans="1:10">
      <c r="A1155" t="s">
        <v>217</v>
      </c>
      <c r="B1155" t="s">
        <v>219</v>
      </c>
      <c r="C1155" s="18">
        <v>2033</v>
      </c>
      <c r="D1155" t="s">
        <v>181</v>
      </c>
      <c r="E1155" s="20">
        <v>503758.92029835598</v>
      </c>
      <c r="F1155" s="20">
        <v>268695.65724327997</v>
      </c>
      <c r="G1155" s="10">
        <v>269883.407599987</v>
      </c>
      <c r="H1155" s="21">
        <f t="shared" si="36"/>
        <v>1187.7503567070235</v>
      </c>
      <c r="I1155" s="10">
        <v>503751.109420694</v>
      </c>
      <c r="J1155" s="21">
        <f t="shared" si="37"/>
        <v>-7.8108776619774289</v>
      </c>
    </row>
    <row r="1156" spans="1:10">
      <c r="A1156" t="s">
        <v>217</v>
      </c>
      <c r="B1156" t="s">
        <v>219</v>
      </c>
      <c r="C1156" s="18">
        <v>2033</v>
      </c>
      <c r="D1156" t="s">
        <v>209</v>
      </c>
      <c r="E1156" s="20">
        <v>44483.891683948699</v>
      </c>
      <c r="F1156" s="20">
        <v>7348.0771495990302</v>
      </c>
      <c r="G1156" s="10">
        <v>7348.0741473220596</v>
      </c>
      <c r="H1156" s="21">
        <f t="shared" si="36"/>
        <v>-3.0022769706192776E-3</v>
      </c>
      <c r="I1156" s="10">
        <v>44483.683589841297</v>
      </c>
      <c r="J1156" s="21">
        <f t="shared" si="37"/>
        <v>-0.20809410740184831</v>
      </c>
    </row>
    <row r="1157" spans="1:10">
      <c r="A1157" t="s">
        <v>217</v>
      </c>
      <c r="B1157" t="s">
        <v>219</v>
      </c>
      <c r="C1157" s="18">
        <v>2034</v>
      </c>
      <c r="D1157" t="s">
        <v>187</v>
      </c>
      <c r="E1157" s="20">
        <v>16438.465725891601</v>
      </c>
      <c r="F1157" s="20">
        <v>11896.841340041799</v>
      </c>
      <c r="G1157" s="10">
        <v>11896.382318738601</v>
      </c>
      <c r="H1157" s="21">
        <f t="shared" si="36"/>
        <v>-0.45902130319882417</v>
      </c>
      <c r="I1157" s="10">
        <v>16436.9312806497</v>
      </c>
      <c r="J1157" s="21">
        <f t="shared" si="37"/>
        <v>-1.5344452419012669</v>
      </c>
    </row>
    <row r="1158" spans="1:10">
      <c r="A1158" t="s">
        <v>217</v>
      </c>
      <c r="B1158" t="s">
        <v>219</v>
      </c>
      <c r="C1158" s="18">
        <v>2034</v>
      </c>
      <c r="D1158" t="s">
        <v>227</v>
      </c>
      <c r="E1158" s="20">
        <v>1139413.81072897</v>
      </c>
      <c r="F1158" s="20">
        <v>202149.601246734</v>
      </c>
      <c r="G1158" s="10">
        <v>202147.27044605001</v>
      </c>
      <c r="H1158" s="21">
        <f t="shared" si="36"/>
        <v>-2.3308006839943118</v>
      </c>
      <c r="I1158" s="10">
        <v>1139357.0195160699</v>
      </c>
      <c r="J1158" s="21">
        <f t="shared" si="37"/>
        <v>-56.791212900076061</v>
      </c>
    </row>
    <row r="1159" spans="1:10">
      <c r="A1159" t="s">
        <v>217</v>
      </c>
      <c r="B1159" t="s">
        <v>219</v>
      </c>
      <c r="C1159" s="18">
        <v>2034</v>
      </c>
      <c r="D1159" t="s">
        <v>163</v>
      </c>
      <c r="E1159" s="20">
        <v>121116.950199008</v>
      </c>
      <c r="F1159" s="20">
        <v>81598.202849043097</v>
      </c>
      <c r="G1159" s="10">
        <v>81594.948233921197</v>
      </c>
      <c r="H1159" s="21">
        <f t="shared" si="36"/>
        <v>-3.2546151218994055</v>
      </c>
      <c r="I1159" s="10">
        <v>121105.471839437</v>
      </c>
      <c r="J1159" s="21">
        <f t="shared" si="37"/>
        <v>-11.478359571003239</v>
      </c>
    </row>
    <row r="1160" spans="1:10">
      <c r="A1160" t="s">
        <v>217</v>
      </c>
      <c r="B1160" t="s">
        <v>219</v>
      </c>
      <c r="C1160" s="18">
        <v>2034</v>
      </c>
      <c r="D1160" t="s">
        <v>173</v>
      </c>
      <c r="E1160" s="20">
        <v>406585.79733573401</v>
      </c>
      <c r="F1160" s="20">
        <v>375752.36498605303</v>
      </c>
      <c r="G1160" s="10">
        <v>376028.13227833499</v>
      </c>
      <c r="H1160" s="21">
        <f t="shared" si="36"/>
        <v>275.767292281962</v>
      </c>
      <c r="I1160" s="10">
        <v>406559.86735378799</v>
      </c>
      <c r="J1160" s="21">
        <f t="shared" si="37"/>
        <v>-25.929981946013868</v>
      </c>
    </row>
    <row r="1161" spans="1:10">
      <c r="A1161" t="s">
        <v>217</v>
      </c>
      <c r="B1161" t="s">
        <v>219</v>
      </c>
      <c r="C1161" s="18">
        <v>2034</v>
      </c>
      <c r="D1161" t="s">
        <v>177</v>
      </c>
      <c r="E1161" s="20">
        <v>701745.80954355001</v>
      </c>
      <c r="F1161" s="20">
        <v>423267.40485004202</v>
      </c>
      <c r="G1161" s="10">
        <v>423259.10059080599</v>
      </c>
      <c r="H1161" s="21">
        <f t="shared" si="36"/>
        <v>-8.3042592360288836</v>
      </c>
      <c r="I1161" s="10">
        <v>701691.67735876795</v>
      </c>
      <c r="J1161" s="21">
        <f t="shared" si="37"/>
        <v>-54.132184782065451</v>
      </c>
    </row>
    <row r="1162" spans="1:10">
      <c r="A1162" t="s">
        <v>217</v>
      </c>
      <c r="B1162" t="s">
        <v>219</v>
      </c>
      <c r="C1162" s="18">
        <v>2034</v>
      </c>
      <c r="D1162" t="s">
        <v>181</v>
      </c>
      <c r="E1162" s="20">
        <v>516415.95313399401</v>
      </c>
      <c r="F1162" s="20">
        <v>278154.118627196</v>
      </c>
      <c r="G1162" s="10">
        <v>279484.98028522899</v>
      </c>
      <c r="H1162" s="21">
        <f t="shared" si="36"/>
        <v>1330.8616580329835</v>
      </c>
      <c r="I1162" s="10">
        <v>516406.53850878001</v>
      </c>
      <c r="J1162" s="21">
        <f t="shared" si="37"/>
        <v>-9.4146252140053548</v>
      </c>
    </row>
    <row r="1163" spans="1:10">
      <c r="A1163" t="s">
        <v>217</v>
      </c>
      <c r="B1163" t="s">
        <v>219</v>
      </c>
      <c r="C1163" s="18">
        <v>2034</v>
      </c>
      <c r="D1163" t="s">
        <v>209</v>
      </c>
      <c r="E1163" s="20">
        <v>44355.441053719398</v>
      </c>
      <c r="F1163" s="20">
        <v>7385.0451031233497</v>
      </c>
      <c r="G1163" s="10">
        <v>7385.0409467521704</v>
      </c>
      <c r="H1163" s="21">
        <f t="shared" si="36"/>
        <v>-4.1563711793060065E-3</v>
      </c>
      <c r="I1163" s="10">
        <v>44355.184450178996</v>
      </c>
      <c r="J1163" s="21">
        <f t="shared" si="37"/>
        <v>-0.25660354040155653</v>
      </c>
    </row>
    <row r="1164" spans="1:10">
      <c r="A1164" t="s">
        <v>217</v>
      </c>
      <c r="B1164" t="s">
        <v>219</v>
      </c>
      <c r="C1164" s="18">
        <v>2035</v>
      </c>
      <c r="D1164" t="s">
        <v>187</v>
      </c>
      <c r="E1164" s="20">
        <v>16894.1182373462</v>
      </c>
      <c r="F1164" s="20">
        <v>12203.665946437201</v>
      </c>
      <c r="G1164" s="10">
        <v>12203.057717863399</v>
      </c>
      <c r="H1164" s="21">
        <f t="shared" si="36"/>
        <v>-0.60822857380117057</v>
      </c>
      <c r="I1164" s="10">
        <v>16892.2141390053</v>
      </c>
      <c r="J1164" s="21">
        <f t="shared" si="37"/>
        <v>-1.9040983408995089</v>
      </c>
    </row>
    <row r="1165" spans="1:10">
      <c r="A1165" t="s">
        <v>217</v>
      </c>
      <c r="B1165" t="s">
        <v>219</v>
      </c>
      <c r="C1165" s="18">
        <v>2035</v>
      </c>
      <c r="D1165" t="s">
        <v>227</v>
      </c>
      <c r="E1165" s="20">
        <v>1149040.16247266</v>
      </c>
      <c r="F1165" s="20">
        <v>210294.12181959901</v>
      </c>
      <c r="G1165" s="10">
        <v>210290.98052792501</v>
      </c>
      <c r="H1165" s="21">
        <f t="shared" si="36"/>
        <v>-3.1412916739936918</v>
      </c>
      <c r="I1165" s="10">
        <v>1148972.16574985</v>
      </c>
      <c r="J1165" s="21">
        <f t="shared" si="37"/>
        <v>-67.996722809970379</v>
      </c>
    </row>
    <row r="1166" spans="1:10">
      <c r="A1166" t="s">
        <v>217</v>
      </c>
      <c r="B1166" t="s">
        <v>219</v>
      </c>
      <c r="C1166" s="18">
        <v>2035</v>
      </c>
      <c r="D1166" t="s">
        <v>163</v>
      </c>
      <c r="E1166" s="20">
        <v>124162.178176007</v>
      </c>
      <c r="F1166" s="20">
        <v>83699.358125825995</v>
      </c>
      <c r="G1166" s="10">
        <v>83695.117872879797</v>
      </c>
      <c r="H1166" s="21">
        <f t="shared" si="36"/>
        <v>-4.2402529461978702</v>
      </c>
      <c r="I1166" s="10">
        <v>124148.20719584401</v>
      </c>
      <c r="J1166" s="21">
        <f t="shared" si="37"/>
        <v>-13.970980162994238</v>
      </c>
    </row>
    <row r="1167" spans="1:10">
      <c r="A1167" t="s">
        <v>217</v>
      </c>
      <c r="B1167" t="s">
        <v>219</v>
      </c>
      <c r="C1167" s="18">
        <v>2035</v>
      </c>
      <c r="D1167" t="s">
        <v>173</v>
      </c>
      <c r="E1167" s="20">
        <v>414564.95399488701</v>
      </c>
      <c r="F1167" s="20">
        <v>383506.134700611</v>
      </c>
      <c r="G1167" s="10">
        <v>383788.76252667198</v>
      </c>
      <c r="H1167" s="21">
        <f t="shared" si="36"/>
        <v>282.62782606098335</v>
      </c>
      <c r="I1167" s="10">
        <v>414533.16060314502</v>
      </c>
      <c r="J1167" s="21">
        <f t="shared" si="37"/>
        <v>-31.793391741986852</v>
      </c>
    </row>
    <row r="1168" spans="1:10">
      <c r="A1168" t="s">
        <v>217</v>
      </c>
      <c r="B1168" t="s">
        <v>219</v>
      </c>
      <c r="C1168" s="18">
        <v>2035</v>
      </c>
      <c r="D1168" t="s">
        <v>177</v>
      </c>
      <c r="E1168" s="20">
        <v>715397.21245242795</v>
      </c>
      <c r="F1168" s="20">
        <v>434093.09401516902</v>
      </c>
      <c r="G1168" s="10">
        <v>434082.03155119502</v>
      </c>
      <c r="H1168" s="21">
        <f t="shared" si="36"/>
        <v>-11.062463973998092</v>
      </c>
      <c r="I1168" s="10">
        <v>715331.78882210201</v>
      </c>
      <c r="J1168" s="21">
        <f t="shared" si="37"/>
        <v>-65.423630325938575</v>
      </c>
    </row>
    <row r="1169" spans="1:10">
      <c r="A1169" t="s">
        <v>217</v>
      </c>
      <c r="B1169" t="s">
        <v>219</v>
      </c>
      <c r="C1169" s="18">
        <v>2035</v>
      </c>
      <c r="D1169" t="s">
        <v>181</v>
      </c>
      <c r="E1169" s="20">
        <v>528829.53827146301</v>
      </c>
      <c r="F1169" s="20">
        <v>287677.258581492</v>
      </c>
      <c r="G1169" s="10">
        <v>289150.80243598297</v>
      </c>
      <c r="H1169" s="21">
        <f t="shared" si="36"/>
        <v>1473.5438544909703</v>
      </c>
      <c r="I1169" s="10">
        <v>528818.37188395299</v>
      </c>
      <c r="J1169" s="21">
        <f t="shared" si="37"/>
        <v>-11.166387510020286</v>
      </c>
    </row>
    <row r="1170" spans="1:10">
      <c r="A1170" t="s">
        <v>217</v>
      </c>
      <c r="B1170" t="s">
        <v>219</v>
      </c>
      <c r="C1170" s="18">
        <v>2035</v>
      </c>
      <c r="D1170" t="s">
        <v>209</v>
      </c>
      <c r="E1170" s="20">
        <v>44207.017174896297</v>
      </c>
      <c r="F1170" s="20">
        <v>7419.9844283635703</v>
      </c>
      <c r="G1170" s="10">
        <v>7419.9788551932097</v>
      </c>
      <c r="H1170" s="21">
        <f t="shared" si="36"/>
        <v>-5.5731703605488292E-3</v>
      </c>
      <c r="I1170" s="10">
        <v>44206.707306712102</v>
      </c>
      <c r="J1170" s="21">
        <f t="shared" si="37"/>
        <v>-0.30986818419478368</v>
      </c>
    </row>
    <row r="1171" spans="1:10">
      <c r="A1171" t="s">
        <v>217</v>
      </c>
      <c r="B1171" t="s">
        <v>219</v>
      </c>
      <c r="C1171" s="18">
        <v>2036</v>
      </c>
      <c r="D1171" t="s">
        <v>187</v>
      </c>
      <c r="E1171" s="20">
        <v>17352.9737956754</v>
      </c>
      <c r="F1171" s="20">
        <v>12507.6863370022</v>
      </c>
      <c r="G1171" s="10">
        <v>12506.9021026876</v>
      </c>
      <c r="H1171" s="21">
        <f t="shared" si="36"/>
        <v>-0.78423431460032589</v>
      </c>
      <c r="I1171" s="10">
        <v>17350.6546269342</v>
      </c>
      <c r="J1171" s="21">
        <f t="shared" si="37"/>
        <v>-2.3191687411999737</v>
      </c>
    </row>
    <row r="1172" spans="1:10">
      <c r="A1172" t="s">
        <v>217</v>
      </c>
      <c r="B1172" t="s">
        <v>219</v>
      </c>
      <c r="C1172" s="18">
        <v>2036</v>
      </c>
      <c r="D1172" t="s">
        <v>227</v>
      </c>
      <c r="E1172" s="20">
        <v>1158346.1342843</v>
      </c>
      <c r="F1172" s="20">
        <v>218374.79815795599</v>
      </c>
      <c r="G1172" s="10">
        <v>218370.687575925</v>
      </c>
      <c r="H1172" s="21">
        <f t="shared" si="36"/>
        <v>-4.1105820309894625</v>
      </c>
      <c r="I1172" s="10">
        <v>1158266.1377582899</v>
      </c>
      <c r="J1172" s="21">
        <f t="shared" si="37"/>
        <v>-79.996526010101661</v>
      </c>
    </row>
    <row r="1173" spans="1:10">
      <c r="A1173" t="s">
        <v>217</v>
      </c>
      <c r="B1173" t="s">
        <v>219</v>
      </c>
      <c r="C1173" s="18">
        <v>2036</v>
      </c>
      <c r="D1173" t="s">
        <v>163</v>
      </c>
      <c r="E1173" s="20">
        <v>127155.154979485</v>
      </c>
      <c r="F1173" s="20">
        <v>85770.939872910894</v>
      </c>
      <c r="G1173" s="10">
        <v>85765.564735317093</v>
      </c>
      <c r="H1173" s="21">
        <f t="shared" si="36"/>
        <v>-5.3751375938009005</v>
      </c>
      <c r="I1173" s="10">
        <v>127138.451085333</v>
      </c>
      <c r="J1173" s="21">
        <f t="shared" si="37"/>
        <v>-16.70389415200043</v>
      </c>
    </row>
    <row r="1174" spans="1:10">
      <c r="A1174" t="s">
        <v>217</v>
      </c>
      <c r="B1174" t="s">
        <v>219</v>
      </c>
      <c r="C1174" s="18">
        <v>2036</v>
      </c>
      <c r="D1174" t="s">
        <v>173</v>
      </c>
      <c r="E1174" s="20">
        <v>422270.90077558602</v>
      </c>
      <c r="F1174" s="20">
        <v>390997.87088960799</v>
      </c>
      <c r="G1174" s="10">
        <v>391285.95573958702</v>
      </c>
      <c r="H1174" s="21">
        <f t="shared" si="36"/>
        <v>288.08484997902997</v>
      </c>
      <c r="I1174" s="10">
        <v>422232.65992213303</v>
      </c>
      <c r="J1174" s="21">
        <f t="shared" si="37"/>
        <v>-38.240853452996816</v>
      </c>
    </row>
    <row r="1175" spans="1:10">
      <c r="A1175" t="s">
        <v>217</v>
      </c>
      <c r="B1175" t="s">
        <v>219</v>
      </c>
      <c r="C1175" s="18">
        <v>2036</v>
      </c>
      <c r="D1175" t="s">
        <v>177</v>
      </c>
      <c r="E1175" s="20">
        <v>728609.31144524296</v>
      </c>
      <c r="F1175" s="20">
        <v>444762.23716052901</v>
      </c>
      <c r="G1175" s="10">
        <v>444747.90756616899</v>
      </c>
      <c r="H1175" s="21">
        <f t="shared" si="36"/>
        <v>-14.329594360024203</v>
      </c>
      <c r="I1175" s="10">
        <v>728531.610160843</v>
      </c>
      <c r="J1175" s="21">
        <f t="shared" si="37"/>
        <v>-77.701284399954602</v>
      </c>
    </row>
    <row r="1176" spans="1:10">
      <c r="A1176" t="s">
        <v>217</v>
      </c>
      <c r="B1176" t="s">
        <v>219</v>
      </c>
      <c r="C1176" s="18">
        <v>2036</v>
      </c>
      <c r="D1176" t="s">
        <v>181</v>
      </c>
      <c r="E1176" s="20">
        <v>541065.35293444898</v>
      </c>
      <c r="F1176" s="20">
        <v>297264.36403234798</v>
      </c>
      <c r="G1176" s="10">
        <v>298879.61130973301</v>
      </c>
      <c r="H1176" s="21">
        <f t="shared" si="36"/>
        <v>1615.2472773850313</v>
      </c>
      <c r="I1176" s="10">
        <v>541052.28077363002</v>
      </c>
      <c r="J1176" s="21">
        <f t="shared" si="37"/>
        <v>-13.072160818963312</v>
      </c>
    </row>
    <row r="1177" spans="1:10">
      <c r="A1177" t="s">
        <v>217</v>
      </c>
      <c r="B1177" t="s">
        <v>219</v>
      </c>
      <c r="C1177" s="18">
        <v>2036</v>
      </c>
      <c r="D1177" t="s">
        <v>209</v>
      </c>
      <c r="E1177" s="20">
        <v>44050.366104546301</v>
      </c>
      <c r="F1177" s="20">
        <v>7453.3424079319402</v>
      </c>
      <c r="G1177" s="10">
        <v>7453.3351271514002</v>
      </c>
      <c r="H1177" s="21">
        <f t="shared" si="36"/>
        <v>-7.2807805399861536E-3</v>
      </c>
      <c r="I1177" s="10">
        <v>44049.998378272197</v>
      </c>
      <c r="J1177" s="21">
        <f t="shared" si="37"/>
        <v>-0.36772627410391578</v>
      </c>
    </row>
    <row r="1178" spans="1:10">
      <c r="A1178" t="s">
        <v>217</v>
      </c>
      <c r="B1178" t="s">
        <v>219</v>
      </c>
      <c r="C1178" s="18">
        <v>2037</v>
      </c>
      <c r="D1178" t="s">
        <v>187</v>
      </c>
      <c r="E1178" s="20">
        <v>17815.283030135201</v>
      </c>
      <c r="F1178" s="20">
        <v>12808.4892469315</v>
      </c>
      <c r="G1178" s="10">
        <v>12807.501268399201</v>
      </c>
      <c r="H1178" s="21">
        <f t="shared" si="36"/>
        <v>-0.98797853229916655</v>
      </c>
      <c r="I1178" s="10">
        <v>17812.5035281772</v>
      </c>
      <c r="J1178" s="21">
        <f t="shared" si="37"/>
        <v>-2.7795019580007647</v>
      </c>
    </row>
    <row r="1179" spans="1:10">
      <c r="A1179" t="s">
        <v>217</v>
      </c>
      <c r="B1179" t="s">
        <v>219</v>
      </c>
      <c r="C1179" s="18">
        <v>2037</v>
      </c>
      <c r="D1179" t="s">
        <v>227</v>
      </c>
      <c r="E1179" s="20">
        <v>1167457.41448928</v>
      </c>
      <c r="F1179" s="20">
        <v>226378.61396181901</v>
      </c>
      <c r="G1179" s="10">
        <v>226373.365626062</v>
      </c>
      <c r="H1179" s="21">
        <f t="shared" si="36"/>
        <v>-5.2483357570017688</v>
      </c>
      <c r="I1179" s="10">
        <v>1167364.6654137501</v>
      </c>
      <c r="J1179" s="21">
        <f t="shared" si="37"/>
        <v>-92.749075529864058</v>
      </c>
    </row>
    <row r="1180" spans="1:10">
      <c r="A1180" t="s">
        <v>217</v>
      </c>
      <c r="B1180" t="s">
        <v>219</v>
      </c>
      <c r="C1180" s="18">
        <v>2037</v>
      </c>
      <c r="D1180" t="s">
        <v>163</v>
      </c>
      <c r="E1180" s="20">
        <v>130111.78282539699</v>
      </c>
      <c r="F1180" s="20">
        <v>87792.533821225094</v>
      </c>
      <c r="G1180" s="10">
        <v>87785.873914228694</v>
      </c>
      <c r="H1180" s="21">
        <f t="shared" si="36"/>
        <v>-6.6599069963995134</v>
      </c>
      <c r="I1180" s="10">
        <v>130092.112965313</v>
      </c>
      <c r="J1180" s="21">
        <f t="shared" si="37"/>
        <v>-19.669860083988169</v>
      </c>
    </row>
    <row r="1181" spans="1:10">
      <c r="A1181" t="s">
        <v>217</v>
      </c>
      <c r="B1181" t="s">
        <v>219</v>
      </c>
      <c r="C1181" s="18">
        <v>2037</v>
      </c>
      <c r="D1181" t="s">
        <v>173</v>
      </c>
      <c r="E1181" s="20">
        <v>429719.92916611</v>
      </c>
      <c r="F1181" s="20">
        <v>398181.51260734402</v>
      </c>
      <c r="G1181" s="10">
        <v>398473.81338660797</v>
      </c>
      <c r="H1181" s="21">
        <f t="shared" si="36"/>
        <v>292.30077926395461</v>
      </c>
      <c r="I1181" s="10">
        <v>429674.679324948</v>
      </c>
      <c r="J1181" s="21">
        <f t="shared" si="37"/>
        <v>-45.249841162003577</v>
      </c>
    </row>
    <row r="1182" spans="1:10">
      <c r="A1182" t="s">
        <v>217</v>
      </c>
      <c r="B1182" t="s">
        <v>219</v>
      </c>
      <c r="C1182" s="18">
        <v>2037</v>
      </c>
      <c r="D1182" t="s">
        <v>177</v>
      </c>
      <c r="E1182" s="20">
        <v>741352.33836486097</v>
      </c>
      <c r="F1182" s="20">
        <v>455186.31233994802</v>
      </c>
      <c r="G1182" s="10">
        <v>455168.18452875799</v>
      </c>
      <c r="H1182" s="21">
        <f t="shared" si="36"/>
        <v>-18.127811190031935</v>
      </c>
      <c r="I1182" s="10">
        <v>741261.42723499297</v>
      </c>
      <c r="J1182" s="21">
        <f t="shared" si="37"/>
        <v>-90.911129868007265</v>
      </c>
    </row>
    <row r="1183" spans="1:10">
      <c r="A1183" t="s">
        <v>217</v>
      </c>
      <c r="B1183" t="s">
        <v>219</v>
      </c>
      <c r="C1183" s="18">
        <v>2037</v>
      </c>
      <c r="D1183" t="s">
        <v>181</v>
      </c>
      <c r="E1183" s="20">
        <v>553273.657793566</v>
      </c>
      <c r="F1183" s="20">
        <v>306910.49260102701</v>
      </c>
      <c r="G1183" s="10">
        <v>308666.04356230202</v>
      </c>
      <c r="H1183" s="21">
        <f t="shared" si="36"/>
        <v>1755.5509612750029</v>
      </c>
      <c r="I1183" s="10">
        <v>553258.51776135701</v>
      </c>
      <c r="J1183" s="21">
        <f t="shared" si="37"/>
        <v>-15.140032208990306</v>
      </c>
    </row>
    <row r="1184" spans="1:10">
      <c r="A1184" t="s">
        <v>217</v>
      </c>
      <c r="B1184" t="s">
        <v>219</v>
      </c>
      <c r="C1184" s="18">
        <v>2037</v>
      </c>
      <c r="D1184" t="s">
        <v>209</v>
      </c>
      <c r="E1184" s="20">
        <v>43886.926611903596</v>
      </c>
      <c r="F1184" s="20">
        <v>7485.6487609180904</v>
      </c>
      <c r="G1184" s="10">
        <v>7485.6394586101196</v>
      </c>
      <c r="H1184" s="21">
        <f t="shared" si="36"/>
        <v>-9.3023079707563738E-3</v>
      </c>
      <c r="I1184" s="10">
        <v>43886.496639761303</v>
      </c>
      <c r="J1184" s="21">
        <f t="shared" si="37"/>
        <v>-0.42997214229399106</v>
      </c>
    </row>
    <row r="1185" spans="1:10">
      <c r="A1185" t="s">
        <v>217</v>
      </c>
      <c r="B1185" t="s">
        <v>219</v>
      </c>
      <c r="C1185" s="18">
        <v>2038</v>
      </c>
      <c r="D1185" t="s">
        <v>187</v>
      </c>
      <c r="E1185" s="20">
        <v>18281.904104057801</v>
      </c>
      <c r="F1185" s="20">
        <v>13109.4788436289</v>
      </c>
      <c r="G1185" s="10">
        <v>13108.258682167399</v>
      </c>
      <c r="H1185" s="21">
        <f t="shared" si="36"/>
        <v>-1.2201614615005383</v>
      </c>
      <c r="I1185" s="10">
        <v>18278.619531582299</v>
      </c>
      <c r="J1185" s="21">
        <f t="shared" si="37"/>
        <v>-3.2845724755025003</v>
      </c>
    </row>
    <row r="1186" spans="1:10">
      <c r="A1186" t="s">
        <v>217</v>
      </c>
      <c r="B1186" t="s">
        <v>219</v>
      </c>
      <c r="C1186" s="18">
        <v>2038</v>
      </c>
      <c r="D1186" t="s">
        <v>227</v>
      </c>
      <c r="E1186" s="20">
        <v>1176392.42845496</v>
      </c>
      <c r="F1186" s="20">
        <v>234292.86584804801</v>
      </c>
      <c r="G1186" s="10">
        <v>234286.30240329501</v>
      </c>
      <c r="H1186" s="21">
        <f t="shared" si="36"/>
        <v>-6.563444753002841</v>
      </c>
      <c r="I1186" s="10">
        <v>1176286.23006217</v>
      </c>
      <c r="J1186" s="21">
        <f t="shared" si="37"/>
        <v>-106.19839279004373</v>
      </c>
    </row>
    <row r="1187" spans="1:10">
      <c r="A1187" t="s">
        <v>217</v>
      </c>
      <c r="B1187" t="s">
        <v>219</v>
      </c>
      <c r="C1187" s="18">
        <v>2038</v>
      </c>
      <c r="D1187" t="s">
        <v>163</v>
      </c>
      <c r="E1187" s="20">
        <v>133027.63210064601</v>
      </c>
      <c r="F1187" s="20">
        <v>89771.003487059104</v>
      </c>
      <c r="G1187" s="10">
        <v>89762.908504627194</v>
      </c>
      <c r="H1187" s="21">
        <f t="shared" si="36"/>
        <v>-8.0949824319104664</v>
      </c>
      <c r="I1187" s="10">
        <v>133004.77137127001</v>
      </c>
      <c r="J1187" s="21">
        <f t="shared" si="37"/>
        <v>-22.860729375999654</v>
      </c>
    </row>
    <row r="1188" spans="1:10">
      <c r="A1188" t="s">
        <v>217</v>
      </c>
      <c r="B1188" t="s">
        <v>219</v>
      </c>
      <c r="C1188" s="18">
        <v>2038</v>
      </c>
      <c r="D1188" t="s">
        <v>173</v>
      </c>
      <c r="E1188" s="20">
        <v>436931.15607952798</v>
      </c>
      <c r="F1188" s="20">
        <v>405089.45251222601</v>
      </c>
      <c r="G1188" s="10">
        <v>405384.95777232101</v>
      </c>
      <c r="H1188" s="21">
        <f t="shared" si="36"/>
        <v>295.50526009500027</v>
      </c>
      <c r="I1188" s="10">
        <v>436878.35953831702</v>
      </c>
      <c r="J1188" s="21">
        <f t="shared" si="37"/>
        <v>-52.796541210962459</v>
      </c>
    </row>
    <row r="1189" spans="1:10">
      <c r="A1189" t="s">
        <v>217</v>
      </c>
      <c r="B1189" t="s">
        <v>219</v>
      </c>
      <c r="C1189" s="18">
        <v>2038</v>
      </c>
      <c r="D1189" t="s">
        <v>177</v>
      </c>
      <c r="E1189" s="20">
        <v>753665.84203207097</v>
      </c>
      <c r="F1189" s="20">
        <v>465365.39514220599</v>
      </c>
      <c r="G1189" s="10">
        <v>465342.91786371003</v>
      </c>
      <c r="H1189" s="21">
        <f t="shared" si="36"/>
        <v>-22.477278495964129</v>
      </c>
      <c r="I1189" s="10">
        <v>753560.82214679301</v>
      </c>
      <c r="J1189" s="21">
        <f t="shared" si="37"/>
        <v>-105.01988527795766</v>
      </c>
    </row>
    <row r="1190" spans="1:10">
      <c r="A1190" t="s">
        <v>217</v>
      </c>
      <c r="B1190" t="s">
        <v>219</v>
      </c>
      <c r="C1190" s="18">
        <v>2038</v>
      </c>
      <c r="D1190" t="s">
        <v>181</v>
      </c>
      <c r="E1190" s="20">
        <v>565421.13270474097</v>
      </c>
      <c r="F1190" s="20">
        <v>316566.82610462798</v>
      </c>
      <c r="G1190" s="10">
        <v>318461.02224812203</v>
      </c>
      <c r="H1190" s="21">
        <f t="shared" si="36"/>
        <v>1894.1961434940458</v>
      </c>
      <c r="I1190" s="10">
        <v>565403.75879938505</v>
      </c>
      <c r="J1190" s="21">
        <f t="shared" si="37"/>
        <v>-17.373905355925672</v>
      </c>
    </row>
    <row r="1191" spans="1:10">
      <c r="A1191" t="s">
        <v>217</v>
      </c>
      <c r="B1191" t="s">
        <v>219</v>
      </c>
      <c r="C1191" s="18">
        <v>2038</v>
      </c>
      <c r="D1191" t="s">
        <v>209</v>
      </c>
      <c r="E1191" s="20">
        <v>43731.241275264503</v>
      </c>
      <c r="F1191" s="20">
        <v>7517.7820085023804</v>
      </c>
      <c r="G1191" s="10">
        <v>7517.77035327065</v>
      </c>
      <c r="H1191" s="21">
        <f t="shared" si="36"/>
        <v>-1.1655231730401283E-2</v>
      </c>
      <c r="I1191" s="10">
        <v>43730.744850638199</v>
      </c>
      <c r="J1191" s="21">
        <f t="shared" si="37"/>
        <v>-0.49642462630436057</v>
      </c>
    </row>
    <row r="1192" spans="1:10">
      <c r="A1192" t="s">
        <v>217</v>
      </c>
      <c r="B1192" t="s">
        <v>219</v>
      </c>
      <c r="C1192" s="18">
        <v>2039</v>
      </c>
      <c r="D1192" t="s">
        <v>187</v>
      </c>
      <c r="E1192" s="20">
        <v>18755.924879636099</v>
      </c>
      <c r="F1192" s="20">
        <v>13406.150442813499</v>
      </c>
      <c r="G1192" s="10">
        <v>13404.669620275599</v>
      </c>
      <c r="H1192" s="21">
        <f t="shared" si="36"/>
        <v>-1.4808225379001669</v>
      </c>
      <c r="I1192" s="10">
        <v>18752.090499402999</v>
      </c>
      <c r="J1192" s="21">
        <f t="shared" si="37"/>
        <v>-3.8343802331000916</v>
      </c>
    </row>
    <row r="1193" spans="1:10">
      <c r="A1193" t="s">
        <v>217</v>
      </c>
      <c r="B1193" t="s">
        <v>219</v>
      </c>
      <c r="C1193" s="18">
        <v>2039</v>
      </c>
      <c r="D1193" t="s">
        <v>227</v>
      </c>
      <c r="E1193" s="20">
        <v>1184858.70811394</v>
      </c>
      <c r="F1193" s="20">
        <v>242140.253802666</v>
      </c>
      <c r="G1193" s="10">
        <v>242132.19115316399</v>
      </c>
      <c r="H1193" s="21">
        <f t="shared" si="36"/>
        <v>-8.0626495020114817</v>
      </c>
      <c r="I1193" s="10">
        <v>1184738.3918449101</v>
      </c>
      <c r="J1193" s="21">
        <f t="shared" si="37"/>
        <v>-120.31626902986318</v>
      </c>
    </row>
    <row r="1194" spans="1:10">
      <c r="A1194" t="s">
        <v>217</v>
      </c>
      <c r="B1194" t="s">
        <v>219</v>
      </c>
      <c r="C1194" s="18">
        <v>2039</v>
      </c>
      <c r="D1194" t="s">
        <v>163</v>
      </c>
      <c r="E1194" s="20">
        <v>135898.40063794499</v>
      </c>
      <c r="F1194" s="20">
        <v>91726.044684129505</v>
      </c>
      <c r="G1194" s="10">
        <v>91716.366353602294</v>
      </c>
      <c r="H1194" s="21">
        <f t="shared" si="36"/>
        <v>-9.6783305272110738</v>
      </c>
      <c r="I1194" s="10">
        <v>135872.13136763001</v>
      </c>
      <c r="J1194" s="21">
        <f t="shared" si="37"/>
        <v>-26.269270314980531</v>
      </c>
    </row>
    <row r="1195" spans="1:10">
      <c r="A1195" t="s">
        <v>217</v>
      </c>
      <c r="B1195" t="s">
        <v>219</v>
      </c>
      <c r="C1195" s="18">
        <v>2039</v>
      </c>
      <c r="D1195" t="s">
        <v>173</v>
      </c>
      <c r="E1195" s="20">
        <v>443966.85154316598</v>
      </c>
      <c r="F1195" s="20">
        <v>411822.36127614399</v>
      </c>
      <c r="G1195" s="10">
        <v>412120.21350488003</v>
      </c>
      <c r="H1195" s="21">
        <f t="shared" si="36"/>
        <v>297.85222873603925</v>
      </c>
      <c r="I1195" s="10">
        <v>443905.980748337</v>
      </c>
      <c r="J1195" s="21">
        <f t="shared" si="37"/>
        <v>-60.870794828981161</v>
      </c>
    </row>
    <row r="1196" spans="1:10">
      <c r="A1196" t="s">
        <v>217</v>
      </c>
      <c r="B1196" t="s">
        <v>219</v>
      </c>
      <c r="C1196" s="18">
        <v>2039</v>
      </c>
      <c r="D1196" t="s">
        <v>177</v>
      </c>
      <c r="E1196" s="20">
        <v>765648.44455716503</v>
      </c>
      <c r="F1196" s="20">
        <v>475297.16903491801</v>
      </c>
      <c r="G1196" s="10">
        <v>475269.78752891801</v>
      </c>
      <c r="H1196" s="21">
        <f t="shared" si="36"/>
        <v>-27.381506000005174</v>
      </c>
      <c r="I1196" s="10">
        <v>765528.46783885697</v>
      </c>
      <c r="J1196" s="21">
        <f t="shared" si="37"/>
        <v>-119.97671830805484</v>
      </c>
    </row>
    <row r="1197" spans="1:10">
      <c r="A1197" t="s">
        <v>217</v>
      </c>
      <c r="B1197" t="s">
        <v>219</v>
      </c>
      <c r="C1197" s="18">
        <v>2039</v>
      </c>
      <c r="D1197" t="s">
        <v>181</v>
      </c>
      <c r="E1197" s="20">
        <v>577434.29338517599</v>
      </c>
      <c r="F1197" s="20">
        <v>326214.96101258899</v>
      </c>
      <c r="G1197" s="10">
        <v>328246.40127636801</v>
      </c>
      <c r="H1197" s="21">
        <f t="shared" si="36"/>
        <v>2031.440263779019</v>
      </c>
      <c r="I1197" s="10">
        <v>577414.514396235</v>
      </c>
      <c r="J1197" s="21">
        <f t="shared" si="37"/>
        <v>-19.77898894099053</v>
      </c>
    </row>
    <row r="1198" spans="1:10">
      <c r="A1198" t="s">
        <v>217</v>
      </c>
      <c r="B1198" t="s">
        <v>219</v>
      </c>
      <c r="C1198" s="18">
        <v>2039</v>
      </c>
      <c r="D1198" t="s">
        <v>209</v>
      </c>
      <c r="E1198" s="20">
        <v>43589.412425816598</v>
      </c>
      <c r="F1198" s="20">
        <v>7547.5742097157099</v>
      </c>
      <c r="G1198" s="10">
        <v>7547.5598608641003</v>
      </c>
      <c r="H1198" s="21">
        <f t="shared" si="36"/>
        <v>-1.4348851609611302E-2</v>
      </c>
      <c r="I1198" s="10">
        <v>43588.845456636998</v>
      </c>
      <c r="J1198" s="21">
        <f t="shared" si="37"/>
        <v>-0.56696917959925486</v>
      </c>
    </row>
    <row r="1199" spans="1:10">
      <c r="A1199" t="s">
        <v>217</v>
      </c>
      <c r="B1199" t="s">
        <v>219</v>
      </c>
      <c r="C1199" s="18">
        <v>2040</v>
      </c>
      <c r="D1199" t="s">
        <v>187</v>
      </c>
      <c r="E1199" s="20">
        <v>19240.1651711493</v>
      </c>
      <c r="F1199" s="20">
        <v>13700.7426833273</v>
      </c>
      <c r="G1199" s="10">
        <v>13698.9721681132</v>
      </c>
      <c r="H1199" s="21">
        <f t="shared" si="36"/>
        <v>-1.7705152141006693</v>
      </c>
      <c r="I1199" s="10">
        <v>19235.736542927301</v>
      </c>
      <c r="J1199" s="21">
        <f t="shared" si="37"/>
        <v>-4.428628221998224</v>
      </c>
    </row>
    <row r="1200" spans="1:10">
      <c r="A1200" t="s">
        <v>217</v>
      </c>
      <c r="B1200" t="s">
        <v>219</v>
      </c>
      <c r="C1200" s="18">
        <v>2040</v>
      </c>
      <c r="D1200" t="s">
        <v>227</v>
      </c>
      <c r="E1200" s="20">
        <v>1192769.5005044299</v>
      </c>
      <c r="F1200" s="20">
        <v>249904.231005279</v>
      </c>
      <c r="G1200" s="10">
        <v>249894.478827588</v>
      </c>
      <c r="H1200" s="21">
        <f t="shared" si="36"/>
        <v>-9.7521776909998152</v>
      </c>
      <c r="I1200" s="10">
        <v>1192634.43006365</v>
      </c>
      <c r="J1200" s="21">
        <f t="shared" si="37"/>
        <v>-135.07044077990577</v>
      </c>
    </row>
    <row r="1201" spans="1:10">
      <c r="A1201" t="s">
        <v>217</v>
      </c>
      <c r="B1201" t="s">
        <v>219</v>
      </c>
      <c r="C1201" s="18">
        <v>2040</v>
      </c>
      <c r="D1201" t="s">
        <v>163</v>
      </c>
      <c r="E1201" s="20">
        <v>138719.684192127</v>
      </c>
      <c r="F1201" s="20">
        <v>93648.304373892301</v>
      </c>
      <c r="G1201" s="10">
        <v>93636.896760059302</v>
      </c>
      <c r="H1201" s="21">
        <f t="shared" si="36"/>
        <v>-11.407613832998322</v>
      </c>
      <c r="I1201" s="10">
        <v>138689.796610277</v>
      </c>
      <c r="J1201" s="21">
        <f t="shared" si="37"/>
        <v>-29.887581849994604</v>
      </c>
    </row>
    <row r="1202" spans="1:10">
      <c r="A1202" t="s">
        <v>217</v>
      </c>
      <c r="B1202" t="s">
        <v>219</v>
      </c>
      <c r="C1202" s="18">
        <v>2040</v>
      </c>
      <c r="D1202" t="s">
        <v>173</v>
      </c>
      <c r="E1202" s="20">
        <v>450911.22689516301</v>
      </c>
      <c r="F1202" s="20">
        <v>418321.91312989203</v>
      </c>
      <c r="G1202" s="10">
        <v>418620.90894817398</v>
      </c>
      <c r="H1202" s="21">
        <f t="shared" si="36"/>
        <v>298.99581828195369</v>
      </c>
      <c r="I1202" s="10">
        <v>450841.764596063</v>
      </c>
      <c r="J1202" s="21">
        <f t="shared" si="37"/>
        <v>-69.462299100006931</v>
      </c>
    </row>
    <row r="1203" spans="1:10">
      <c r="A1203" t="s">
        <v>217</v>
      </c>
      <c r="B1203" t="s">
        <v>219</v>
      </c>
      <c r="C1203" s="18">
        <v>2040</v>
      </c>
      <c r="D1203" t="s">
        <v>177</v>
      </c>
      <c r="E1203" s="20">
        <v>777224.21318309102</v>
      </c>
      <c r="F1203" s="20">
        <v>484979.954360537</v>
      </c>
      <c r="G1203" s="10">
        <v>484947.105425179</v>
      </c>
      <c r="H1203" s="21">
        <f t="shared" si="36"/>
        <v>-32.848935357993469</v>
      </c>
      <c r="I1203" s="10">
        <v>777088.49670209095</v>
      </c>
      <c r="J1203" s="21">
        <f t="shared" si="37"/>
        <v>-135.7164810000686</v>
      </c>
    </row>
    <row r="1204" spans="1:10">
      <c r="A1204" t="s">
        <v>217</v>
      </c>
      <c r="B1204" t="s">
        <v>219</v>
      </c>
      <c r="C1204" s="18">
        <v>2040</v>
      </c>
      <c r="D1204" t="s">
        <v>181</v>
      </c>
      <c r="E1204" s="20">
        <v>589382.09711625997</v>
      </c>
      <c r="F1204" s="20">
        <v>335871.84679728001</v>
      </c>
      <c r="G1204" s="10">
        <v>338039.01043044601</v>
      </c>
      <c r="H1204" s="21">
        <f t="shared" si="36"/>
        <v>2167.1636331659975</v>
      </c>
      <c r="I1204" s="10">
        <v>589359.73383284197</v>
      </c>
      <c r="J1204" s="21">
        <f t="shared" si="37"/>
        <v>-22.363283418002538</v>
      </c>
    </row>
    <row r="1205" spans="1:10">
      <c r="A1205" t="s">
        <v>217</v>
      </c>
      <c r="B1205" t="s">
        <v>219</v>
      </c>
      <c r="C1205" s="18">
        <v>2040</v>
      </c>
      <c r="D1205" t="s">
        <v>209</v>
      </c>
      <c r="E1205" s="20">
        <v>43465.5010943448</v>
      </c>
      <c r="F1205" s="20">
        <v>7573.74295031989</v>
      </c>
      <c r="G1205" s="10">
        <v>7573.7255608269897</v>
      </c>
      <c r="H1205" s="21">
        <f t="shared" si="36"/>
        <v>-1.738949290029268E-2</v>
      </c>
      <c r="I1205" s="10">
        <v>43464.859681883601</v>
      </c>
      <c r="J1205" s="21">
        <f t="shared" si="37"/>
        <v>-0.6414124611983425</v>
      </c>
    </row>
    <row r="1206" spans="1:10">
      <c r="A1206" t="s">
        <v>217</v>
      </c>
      <c r="B1206" t="s">
        <v>219</v>
      </c>
      <c r="C1206" s="18">
        <v>2041</v>
      </c>
      <c r="D1206" t="s">
        <v>187</v>
      </c>
      <c r="E1206" s="20">
        <v>19732.349804141599</v>
      </c>
      <c r="F1206" s="20">
        <v>13993.695921430801</v>
      </c>
      <c r="G1206" s="10">
        <v>13991.606690282801</v>
      </c>
      <c r="H1206" s="21">
        <f t="shared" si="36"/>
        <v>-2.0892311480001808</v>
      </c>
      <c r="I1206" s="10">
        <v>19727.283486384</v>
      </c>
      <c r="J1206" s="21">
        <f t="shared" si="37"/>
        <v>-5.0663177575988811</v>
      </c>
    </row>
    <row r="1207" spans="1:10">
      <c r="A1207" t="s">
        <v>217</v>
      </c>
      <c r="B1207" t="s">
        <v>219</v>
      </c>
      <c r="C1207" s="18">
        <v>2041</v>
      </c>
      <c r="D1207" t="s">
        <v>227</v>
      </c>
      <c r="E1207" s="20">
        <v>1200138.5885267099</v>
      </c>
      <c r="F1207" s="20">
        <v>257610.68154142401</v>
      </c>
      <c r="G1207" s="10">
        <v>257599.044002988</v>
      </c>
      <c r="H1207" s="21">
        <f t="shared" si="36"/>
        <v>-11.637538436014438</v>
      </c>
      <c r="I1207" s="10">
        <v>1199988.17586749</v>
      </c>
      <c r="J1207" s="21">
        <f t="shared" si="37"/>
        <v>-150.41265921993181</v>
      </c>
    </row>
    <row r="1208" spans="1:10">
      <c r="A1208" t="s">
        <v>217</v>
      </c>
      <c r="B1208" t="s">
        <v>219</v>
      </c>
      <c r="C1208" s="18">
        <v>2041</v>
      </c>
      <c r="D1208" t="s">
        <v>163</v>
      </c>
      <c r="E1208" s="20">
        <v>141509.27852824901</v>
      </c>
      <c r="F1208" s="20">
        <v>95540.286663118095</v>
      </c>
      <c r="G1208" s="10">
        <v>95527.0063786807</v>
      </c>
      <c r="H1208" s="21">
        <f t="shared" si="36"/>
        <v>-13.280284437394585</v>
      </c>
      <c r="I1208" s="10">
        <v>141475.570851386</v>
      </c>
      <c r="J1208" s="21">
        <f t="shared" si="37"/>
        <v>-33.707676863006782</v>
      </c>
    </row>
    <row r="1209" spans="1:10">
      <c r="A1209" t="s">
        <v>217</v>
      </c>
      <c r="B1209" t="s">
        <v>219</v>
      </c>
      <c r="C1209" s="18">
        <v>2041</v>
      </c>
      <c r="D1209" t="s">
        <v>173</v>
      </c>
      <c r="E1209" s="20">
        <v>457776.68080575799</v>
      </c>
      <c r="F1209" s="20">
        <v>424706.37066832802</v>
      </c>
      <c r="G1209" s="10">
        <v>425005.77720965003</v>
      </c>
      <c r="H1209" s="21">
        <f t="shared" si="36"/>
        <v>299.40654132200871</v>
      </c>
      <c r="I1209" s="10">
        <v>457698.12813480198</v>
      </c>
      <c r="J1209" s="21">
        <f t="shared" si="37"/>
        <v>-78.552670956007205</v>
      </c>
    </row>
    <row r="1210" spans="1:10">
      <c r="A1210" t="s">
        <v>217</v>
      </c>
      <c r="B1210" t="s">
        <v>219</v>
      </c>
      <c r="C1210" s="18">
        <v>2041</v>
      </c>
      <c r="D1210" t="s">
        <v>177</v>
      </c>
      <c r="E1210" s="20">
        <v>788445.43578817102</v>
      </c>
      <c r="F1210" s="20">
        <v>494429.75353511999</v>
      </c>
      <c r="G1210" s="10">
        <v>494390.87324825901</v>
      </c>
      <c r="H1210" s="21">
        <f t="shared" si="36"/>
        <v>-38.880286860978231</v>
      </c>
      <c r="I1210" s="10">
        <v>788293.24275668897</v>
      </c>
      <c r="J1210" s="21">
        <f t="shared" si="37"/>
        <v>-152.19303148204926</v>
      </c>
    </row>
    <row r="1211" spans="1:10">
      <c r="A1211" t="s">
        <v>217</v>
      </c>
      <c r="B1211" t="s">
        <v>219</v>
      </c>
      <c r="C1211" s="18">
        <v>2041</v>
      </c>
      <c r="D1211" t="s">
        <v>181</v>
      </c>
      <c r="E1211" s="20">
        <v>601180.46415912895</v>
      </c>
      <c r="F1211" s="20">
        <v>345623.94344110601</v>
      </c>
      <c r="G1211" s="10">
        <v>347924.76632707799</v>
      </c>
      <c r="H1211" s="21">
        <f t="shared" si="36"/>
        <v>2300.822885971982</v>
      </c>
      <c r="I1211" s="10">
        <v>601155.34094696096</v>
      </c>
      <c r="J1211" s="21">
        <f t="shared" si="37"/>
        <v>-25.123212167993188</v>
      </c>
    </row>
    <row r="1212" spans="1:10">
      <c r="A1212" t="s">
        <v>217</v>
      </c>
      <c r="B1212" t="s">
        <v>219</v>
      </c>
      <c r="C1212" s="18">
        <v>2041</v>
      </c>
      <c r="D1212" t="s">
        <v>209</v>
      </c>
      <c r="E1212" s="20">
        <v>43361.655245843402</v>
      </c>
      <c r="F1212" s="20">
        <v>7596.0161216780698</v>
      </c>
      <c r="G1212" s="10">
        <v>7595.9953338682099</v>
      </c>
      <c r="H1212" s="21">
        <f t="shared" si="36"/>
        <v>-2.0787809859939443E-2</v>
      </c>
      <c r="I1212" s="10">
        <v>43360.9356755525</v>
      </c>
      <c r="J1212" s="21">
        <f t="shared" si="37"/>
        <v>-0.7195702909011743</v>
      </c>
    </row>
    <row r="1213" spans="1:10">
      <c r="A1213" t="s">
        <v>217</v>
      </c>
      <c r="B1213" t="s">
        <v>219</v>
      </c>
      <c r="C1213" s="18">
        <v>2042</v>
      </c>
      <c r="D1213" t="s">
        <v>187</v>
      </c>
      <c r="E1213" s="20">
        <v>20228.0137390573</v>
      </c>
      <c r="F1213" s="20">
        <v>14287.053871983901</v>
      </c>
      <c r="G1213" s="10">
        <v>14284.6169088399</v>
      </c>
      <c r="H1213" s="21">
        <f t="shared" si="36"/>
        <v>-2.4369631440004014</v>
      </c>
      <c r="I1213" s="10">
        <v>20222.268399164699</v>
      </c>
      <c r="J1213" s="21">
        <f t="shared" si="37"/>
        <v>-5.7453398926008958</v>
      </c>
    </row>
    <row r="1214" spans="1:10">
      <c r="A1214" t="s">
        <v>217</v>
      </c>
      <c r="B1214" t="s">
        <v>219</v>
      </c>
      <c r="C1214" s="18">
        <v>2042</v>
      </c>
      <c r="D1214" t="s">
        <v>227</v>
      </c>
      <c r="E1214" s="20">
        <v>1206965.8718180601</v>
      </c>
      <c r="F1214" s="20">
        <v>265303.13218111597</v>
      </c>
      <c r="G1214" s="10">
        <v>265289.409116733</v>
      </c>
      <c r="H1214" s="21">
        <f t="shared" si="36"/>
        <v>-13.723064382968005</v>
      </c>
      <c r="I1214" s="10">
        <v>1206799.58929471</v>
      </c>
      <c r="J1214" s="21">
        <f t="shared" si="37"/>
        <v>-166.28252335009165</v>
      </c>
    </row>
    <row r="1215" spans="1:10">
      <c r="A1215" t="s">
        <v>217</v>
      </c>
      <c r="B1215" t="s">
        <v>219</v>
      </c>
      <c r="C1215" s="18">
        <v>2042</v>
      </c>
      <c r="D1215" t="s">
        <v>163</v>
      </c>
      <c r="E1215" s="20">
        <v>144285.78605937099</v>
      </c>
      <c r="F1215" s="20">
        <v>97421.452286961605</v>
      </c>
      <c r="G1215" s="10">
        <v>97406.156977096296</v>
      </c>
      <c r="H1215" s="21">
        <f t="shared" si="36"/>
        <v>-15.295309865308809</v>
      </c>
      <c r="I1215" s="10">
        <v>144248.066926011</v>
      </c>
      <c r="J1215" s="21">
        <f t="shared" si="37"/>
        <v>-37.719133359991247</v>
      </c>
    </row>
    <row r="1216" spans="1:10">
      <c r="A1216" t="s">
        <v>217</v>
      </c>
      <c r="B1216" t="s">
        <v>219</v>
      </c>
      <c r="C1216" s="18">
        <v>2042</v>
      </c>
      <c r="D1216" t="s">
        <v>173</v>
      </c>
      <c r="E1216" s="20">
        <v>464575.14749586099</v>
      </c>
      <c r="F1216" s="20">
        <v>431097.84046467202</v>
      </c>
      <c r="G1216" s="10">
        <v>431397.042999706</v>
      </c>
      <c r="H1216" s="21">
        <f t="shared" si="36"/>
        <v>299.20253503398271</v>
      </c>
      <c r="I1216" s="10">
        <v>464487.03899019101</v>
      </c>
      <c r="J1216" s="21">
        <f t="shared" si="37"/>
        <v>-88.108505669981241</v>
      </c>
    </row>
    <row r="1217" spans="1:10">
      <c r="A1217" t="s">
        <v>217</v>
      </c>
      <c r="B1217" t="s">
        <v>219</v>
      </c>
      <c r="C1217" s="18">
        <v>2042</v>
      </c>
      <c r="D1217" t="s">
        <v>177</v>
      </c>
      <c r="E1217" s="20">
        <v>799394.87981517497</v>
      </c>
      <c r="F1217" s="20">
        <v>503649.27539802599</v>
      </c>
      <c r="G1217" s="10">
        <v>503603.80380956898</v>
      </c>
      <c r="H1217" s="21">
        <f t="shared" si="36"/>
        <v>-45.471588457003236</v>
      </c>
      <c r="I1217" s="10">
        <v>799225.499121645</v>
      </c>
      <c r="J1217" s="21">
        <f t="shared" si="37"/>
        <v>-169.38069352996536</v>
      </c>
    </row>
    <row r="1218" spans="1:10">
      <c r="A1218" t="s">
        <v>217</v>
      </c>
      <c r="B1218" t="s">
        <v>219</v>
      </c>
      <c r="C1218" s="18">
        <v>2042</v>
      </c>
      <c r="D1218" t="s">
        <v>181</v>
      </c>
      <c r="E1218" s="20">
        <v>612692.23081417195</v>
      </c>
      <c r="F1218" s="20">
        <v>355499.18037761998</v>
      </c>
      <c r="G1218" s="10">
        <v>357930.93950443697</v>
      </c>
      <c r="H1218" s="21">
        <f t="shared" ref="H1218:H1281" si="38">G1218-F1218</f>
        <v>2431.7591268169926</v>
      </c>
      <c r="I1218" s="10">
        <v>612664.177038008</v>
      </c>
      <c r="J1218" s="21">
        <f t="shared" ref="J1218:J1281" si="39">I1218-E1218</f>
        <v>-28.053776163957082</v>
      </c>
    </row>
    <row r="1219" spans="1:10">
      <c r="A1219" t="s">
        <v>217</v>
      </c>
      <c r="B1219" t="s">
        <v>219</v>
      </c>
      <c r="C1219" s="18">
        <v>2042</v>
      </c>
      <c r="D1219" t="s">
        <v>209</v>
      </c>
      <c r="E1219" s="20">
        <v>43279.529742811799</v>
      </c>
      <c r="F1219" s="20">
        <v>7616.6173635363202</v>
      </c>
      <c r="G1219" s="10">
        <v>7616.5928035502902</v>
      </c>
      <c r="H1219" s="21">
        <f t="shared" si="38"/>
        <v>-2.4559986029998981E-2</v>
      </c>
      <c r="I1219" s="10">
        <v>43278.728481607301</v>
      </c>
      <c r="J1219" s="21">
        <f t="shared" si="39"/>
        <v>-0.80126120449858718</v>
      </c>
    </row>
    <row r="1220" spans="1:10">
      <c r="A1220" t="s">
        <v>217</v>
      </c>
      <c r="B1220" t="s">
        <v>219</v>
      </c>
      <c r="C1220" s="18">
        <v>2043</v>
      </c>
      <c r="D1220" t="s">
        <v>187</v>
      </c>
      <c r="E1220" s="20">
        <v>20727.011962225301</v>
      </c>
      <c r="F1220" s="20">
        <v>14575.6963147388</v>
      </c>
      <c r="G1220" s="10">
        <v>14572.883153271399</v>
      </c>
      <c r="H1220" s="21">
        <f t="shared" si="38"/>
        <v>-2.8131614674002776</v>
      </c>
      <c r="I1220" s="10">
        <v>20720.548205455299</v>
      </c>
      <c r="J1220" s="21">
        <f t="shared" si="39"/>
        <v>-6.463756770001055</v>
      </c>
    </row>
    <row r="1221" spans="1:10">
      <c r="A1221" t="s">
        <v>217</v>
      </c>
      <c r="B1221" t="s">
        <v>219</v>
      </c>
      <c r="C1221" s="18">
        <v>2043</v>
      </c>
      <c r="D1221" t="s">
        <v>227</v>
      </c>
      <c r="E1221" s="20">
        <v>1213231.9056958801</v>
      </c>
      <c r="F1221" s="20">
        <v>272966.44636942702</v>
      </c>
      <c r="G1221" s="10">
        <v>272950.43541917799</v>
      </c>
      <c r="H1221" s="21">
        <f t="shared" si="38"/>
        <v>-16.010950249037705</v>
      </c>
      <c r="I1221" s="10">
        <v>1213049.26096591</v>
      </c>
      <c r="J1221" s="21">
        <f t="shared" si="39"/>
        <v>-182.64472997002304</v>
      </c>
    </row>
    <row r="1222" spans="1:10">
      <c r="A1222" t="s">
        <v>217</v>
      </c>
      <c r="B1222" t="s">
        <v>219</v>
      </c>
      <c r="C1222" s="18">
        <v>2043</v>
      </c>
      <c r="D1222" t="s">
        <v>163</v>
      </c>
      <c r="E1222" s="20">
        <v>147035.72434351</v>
      </c>
      <c r="F1222" s="20">
        <v>99288.838819930505</v>
      </c>
      <c r="G1222" s="10">
        <v>99271.391168072907</v>
      </c>
      <c r="H1222" s="21">
        <f t="shared" si="38"/>
        <v>-17.447651857597521</v>
      </c>
      <c r="I1222" s="10">
        <v>146993.81420820701</v>
      </c>
      <c r="J1222" s="21">
        <f t="shared" si="39"/>
        <v>-41.91013530298369</v>
      </c>
    </row>
    <row r="1223" spans="1:10">
      <c r="A1223" t="s">
        <v>217</v>
      </c>
      <c r="B1223" t="s">
        <v>219</v>
      </c>
      <c r="C1223" s="18">
        <v>2043</v>
      </c>
      <c r="D1223" t="s">
        <v>173</v>
      </c>
      <c r="E1223" s="20">
        <v>471252.94415440602</v>
      </c>
      <c r="F1223" s="20">
        <v>437381.73848479899</v>
      </c>
      <c r="G1223" s="10">
        <v>437679.98847184202</v>
      </c>
      <c r="H1223" s="21">
        <f t="shared" si="38"/>
        <v>298.24998704303289</v>
      </c>
      <c r="I1223" s="10">
        <v>471154.83958066901</v>
      </c>
      <c r="J1223" s="21">
        <f t="shared" si="39"/>
        <v>-98.104573737015016</v>
      </c>
    </row>
    <row r="1224" spans="1:10">
      <c r="A1224" t="s">
        <v>217</v>
      </c>
      <c r="B1224" t="s">
        <v>219</v>
      </c>
      <c r="C1224" s="18">
        <v>2043</v>
      </c>
      <c r="D1224" t="s">
        <v>177</v>
      </c>
      <c r="E1224" s="20">
        <v>810202.00216155499</v>
      </c>
      <c r="F1224" s="20">
        <v>512663.06360802398</v>
      </c>
      <c r="G1224" s="10">
        <v>512610.44917931297</v>
      </c>
      <c r="H1224" s="21">
        <f t="shared" si="38"/>
        <v>-52.614428711007349</v>
      </c>
      <c r="I1224" s="10">
        <v>810014.77283431904</v>
      </c>
      <c r="J1224" s="21">
        <f t="shared" si="39"/>
        <v>-187.22932723595295</v>
      </c>
    </row>
    <row r="1225" spans="1:10">
      <c r="A1225" t="s">
        <v>217</v>
      </c>
      <c r="B1225" t="s">
        <v>219</v>
      </c>
      <c r="C1225" s="18">
        <v>2043</v>
      </c>
      <c r="D1225" t="s">
        <v>181</v>
      </c>
      <c r="E1225" s="20">
        <v>623984.51463893999</v>
      </c>
      <c r="F1225" s="20">
        <v>365398.90070856398</v>
      </c>
      <c r="G1225" s="10">
        <v>367959.059248153</v>
      </c>
      <c r="H1225" s="21">
        <f t="shared" si="38"/>
        <v>2560.1585395890288</v>
      </c>
      <c r="I1225" s="10">
        <v>623953.35649413895</v>
      </c>
      <c r="J1225" s="21">
        <f t="shared" si="39"/>
        <v>-31.15814480104018</v>
      </c>
    </row>
    <row r="1226" spans="1:10">
      <c r="A1226" t="s">
        <v>217</v>
      </c>
      <c r="B1226" t="s">
        <v>219</v>
      </c>
      <c r="C1226" s="18">
        <v>2043</v>
      </c>
      <c r="D1226" t="s">
        <v>209</v>
      </c>
      <c r="E1226" s="20">
        <v>43233.024781710403</v>
      </c>
      <c r="F1226" s="20">
        <v>7634.6668099360404</v>
      </c>
      <c r="G1226" s="10">
        <v>7634.6380979097503</v>
      </c>
      <c r="H1226" s="21">
        <f t="shared" si="38"/>
        <v>-2.8712026290122594E-2</v>
      </c>
      <c r="I1226" s="10">
        <v>43232.1385441846</v>
      </c>
      <c r="J1226" s="21">
        <f t="shared" si="39"/>
        <v>-0.8862375258031534</v>
      </c>
    </row>
    <row r="1227" spans="1:10">
      <c r="A1227" t="s">
        <v>217</v>
      </c>
      <c r="B1227" t="s">
        <v>219</v>
      </c>
      <c r="C1227" s="18">
        <v>2044</v>
      </c>
      <c r="D1227" t="s">
        <v>187</v>
      </c>
      <c r="E1227" s="20">
        <v>21227.466032495198</v>
      </c>
      <c r="F1227" s="20">
        <v>14864.6486901357</v>
      </c>
      <c r="G1227" s="10">
        <v>14861.4315691186</v>
      </c>
      <c r="H1227" s="21">
        <f t="shared" si="38"/>
        <v>-3.2171210170999984</v>
      </c>
      <c r="I1227" s="10">
        <v>21220.2473713984</v>
      </c>
      <c r="J1227" s="21">
        <f t="shared" si="39"/>
        <v>-7.2186610967983142</v>
      </c>
    </row>
    <row r="1228" spans="1:10">
      <c r="A1228" t="s">
        <v>217</v>
      </c>
      <c r="B1228" t="s">
        <v>219</v>
      </c>
      <c r="C1228" s="18">
        <v>2044</v>
      </c>
      <c r="D1228" t="s">
        <v>227</v>
      </c>
      <c r="E1228" s="20">
        <v>1219187.91365971</v>
      </c>
      <c r="F1228" s="20">
        <v>280524.94615411002</v>
      </c>
      <c r="G1228" s="10">
        <v>280506.44153550803</v>
      </c>
      <c r="H1228" s="21">
        <f t="shared" si="38"/>
        <v>-18.504618601989932</v>
      </c>
      <c r="I1228" s="10">
        <v>1218988.4670045001</v>
      </c>
      <c r="J1228" s="21">
        <f t="shared" si="39"/>
        <v>-199.44665520987473</v>
      </c>
    </row>
    <row r="1229" spans="1:10">
      <c r="A1229" t="s">
        <v>217</v>
      </c>
      <c r="B1229" t="s">
        <v>219</v>
      </c>
      <c r="C1229" s="18">
        <v>2044</v>
      </c>
      <c r="D1229" t="s">
        <v>163</v>
      </c>
      <c r="E1229" s="20">
        <v>149742.485256874</v>
      </c>
      <c r="F1229" s="20">
        <v>101132.02169496501</v>
      </c>
      <c r="G1229" s="10">
        <v>101112.290089553</v>
      </c>
      <c r="H1229" s="21">
        <f t="shared" si="38"/>
        <v>-19.731605412001954</v>
      </c>
      <c r="I1229" s="10">
        <v>149696.21396730101</v>
      </c>
      <c r="J1229" s="21">
        <f t="shared" si="39"/>
        <v>-46.271289572992828</v>
      </c>
    </row>
    <row r="1230" spans="1:10">
      <c r="A1230" t="s">
        <v>217</v>
      </c>
      <c r="B1230" t="s">
        <v>219</v>
      </c>
      <c r="C1230" s="18">
        <v>2044</v>
      </c>
      <c r="D1230" t="s">
        <v>173</v>
      </c>
      <c r="E1230" s="20">
        <v>477689.79206779302</v>
      </c>
      <c r="F1230" s="20">
        <v>443503.85937495501</v>
      </c>
      <c r="G1230" s="10">
        <v>443800.63719739497</v>
      </c>
      <c r="H1230" s="21">
        <f t="shared" si="38"/>
        <v>296.77782243996626</v>
      </c>
      <c r="I1230" s="10">
        <v>477581.31483664498</v>
      </c>
      <c r="J1230" s="21">
        <f t="shared" si="39"/>
        <v>-108.4772311480483</v>
      </c>
    </row>
    <row r="1231" spans="1:10">
      <c r="A1231" t="s">
        <v>217</v>
      </c>
      <c r="B1231" t="s">
        <v>219</v>
      </c>
      <c r="C1231" s="18">
        <v>2044</v>
      </c>
      <c r="D1231" t="s">
        <v>177</v>
      </c>
      <c r="E1231" s="20">
        <v>820948.11791933002</v>
      </c>
      <c r="F1231" s="20">
        <v>521480.47197329899</v>
      </c>
      <c r="G1231" s="10">
        <v>521420.17033099697</v>
      </c>
      <c r="H1231" s="21">
        <f t="shared" si="38"/>
        <v>-60.301642302016262</v>
      </c>
      <c r="I1231" s="10">
        <v>820742.37012193399</v>
      </c>
      <c r="J1231" s="21">
        <f t="shared" si="39"/>
        <v>-205.747797396034</v>
      </c>
    </row>
    <row r="1232" spans="1:10">
      <c r="A1232" t="s">
        <v>217</v>
      </c>
      <c r="B1232" t="s">
        <v>219</v>
      </c>
      <c r="C1232" s="18">
        <v>2044</v>
      </c>
      <c r="D1232" t="s">
        <v>181</v>
      </c>
      <c r="E1232" s="20">
        <v>635058.97853244701</v>
      </c>
      <c r="F1232" s="20">
        <v>375232.35917346401</v>
      </c>
      <c r="G1232" s="10">
        <v>377918.58989895799</v>
      </c>
      <c r="H1232" s="21">
        <f t="shared" si="38"/>
        <v>2686.2307254939806</v>
      </c>
      <c r="I1232" s="10">
        <v>635024.54646764905</v>
      </c>
      <c r="J1232" s="21">
        <f t="shared" si="39"/>
        <v>-34.432064797962084</v>
      </c>
    </row>
    <row r="1233" spans="1:10">
      <c r="A1233" t="s">
        <v>217</v>
      </c>
      <c r="B1233" t="s">
        <v>219</v>
      </c>
      <c r="C1233" s="18">
        <v>2044</v>
      </c>
      <c r="D1233" t="s">
        <v>209</v>
      </c>
      <c r="E1233" s="20">
        <v>43203.6042876008</v>
      </c>
      <c r="F1233" s="20">
        <v>7652.7550804620196</v>
      </c>
      <c r="G1233" s="10">
        <v>7652.7218257366803</v>
      </c>
      <c r="H1233" s="21">
        <f t="shared" si="38"/>
        <v>-3.325472533924767E-2</v>
      </c>
      <c r="I1233" s="10">
        <v>43202.630038859497</v>
      </c>
      <c r="J1233" s="21">
        <f t="shared" si="39"/>
        <v>-0.97424874130229</v>
      </c>
    </row>
    <row r="1234" spans="1:10">
      <c r="A1234" t="s">
        <v>217</v>
      </c>
      <c r="B1234" t="s">
        <v>219</v>
      </c>
      <c r="C1234" s="18">
        <v>2045</v>
      </c>
      <c r="D1234" t="s">
        <v>187</v>
      </c>
      <c r="E1234" s="20">
        <v>21725.6242885555</v>
      </c>
      <c r="F1234" s="20">
        <v>15151.9455450233</v>
      </c>
      <c r="G1234" s="10">
        <v>15148.297956242301</v>
      </c>
      <c r="H1234" s="21">
        <f t="shared" si="38"/>
        <v>-3.6475887809992855</v>
      </c>
      <c r="I1234" s="10">
        <v>21717.616521529701</v>
      </c>
      <c r="J1234" s="21">
        <f t="shared" si="39"/>
        <v>-8.0077670257996942</v>
      </c>
    </row>
    <row r="1235" spans="1:10">
      <c r="A1235" t="s">
        <v>217</v>
      </c>
      <c r="B1235" t="s">
        <v>219</v>
      </c>
      <c r="C1235" s="18">
        <v>2045</v>
      </c>
      <c r="D1235" t="s">
        <v>227</v>
      </c>
      <c r="E1235" s="20">
        <v>1224885.59106197</v>
      </c>
      <c r="F1235" s="20">
        <v>287946.24817478302</v>
      </c>
      <c r="G1235" s="10">
        <v>287925.04322278401</v>
      </c>
      <c r="H1235" s="21">
        <f t="shared" si="38"/>
        <v>-21.204951999010518</v>
      </c>
      <c r="I1235" s="10">
        <v>1224668.96644768</v>
      </c>
      <c r="J1235" s="21">
        <f t="shared" si="39"/>
        <v>-216.62461428996176</v>
      </c>
    </row>
    <row r="1236" spans="1:10">
      <c r="A1236" t="s">
        <v>217</v>
      </c>
      <c r="B1236" t="s">
        <v>219</v>
      </c>
      <c r="C1236" s="18">
        <v>2045</v>
      </c>
      <c r="D1236" t="s">
        <v>163</v>
      </c>
      <c r="E1236" s="20">
        <v>152388.84534096299</v>
      </c>
      <c r="F1236" s="20">
        <v>102957.45833938</v>
      </c>
      <c r="G1236" s="10">
        <v>102935.314985138</v>
      </c>
      <c r="H1236" s="21">
        <f t="shared" si="38"/>
        <v>-22.143354241998168</v>
      </c>
      <c r="I1236" s="10">
        <v>152338.05281588601</v>
      </c>
      <c r="J1236" s="21">
        <f t="shared" si="39"/>
        <v>-50.792525076976744</v>
      </c>
    </row>
    <row r="1237" spans="1:10">
      <c r="A1237" t="s">
        <v>217</v>
      </c>
      <c r="B1237" t="s">
        <v>219</v>
      </c>
      <c r="C1237" s="18">
        <v>2045</v>
      </c>
      <c r="D1237" t="s">
        <v>173</v>
      </c>
      <c r="E1237" s="20">
        <v>483842.70358343201</v>
      </c>
      <c r="F1237" s="20">
        <v>449423.221113473</v>
      </c>
      <c r="G1237" s="10">
        <v>449717.558047709</v>
      </c>
      <c r="H1237" s="21">
        <f t="shared" si="38"/>
        <v>294.3369342359947</v>
      </c>
      <c r="I1237" s="10">
        <v>483723.51612219802</v>
      </c>
      <c r="J1237" s="21">
        <f t="shared" si="39"/>
        <v>-119.18746123398887</v>
      </c>
    </row>
    <row r="1238" spans="1:10">
      <c r="A1238" t="s">
        <v>217</v>
      </c>
      <c r="B1238" t="s">
        <v>219</v>
      </c>
      <c r="C1238" s="18">
        <v>2045</v>
      </c>
      <c r="D1238" t="s">
        <v>177</v>
      </c>
      <c r="E1238" s="20">
        <v>831695.15656648099</v>
      </c>
      <c r="F1238" s="20">
        <v>530062.75081868703</v>
      </c>
      <c r="G1238" s="10">
        <v>529994.22695920803</v>
      </c>
      <c r="H1238" s="21">
        <f t="shared" si="38"/>
        <v>-68.523859478998929</v>
      </c>
      <c r="I1238" s="10">
        <v>831470.21009817696</v>
      </c>
      <c r="J1238" s="21">
        <f t="shared" si="39"/>
        <v>-224.9464683040278</v>
      </c>
    </row>
    <row r="1239" spans="1:10">
      <c r="A1239" t="s">
        <v>217</v>
      </c>
      <c r="B1239" t="s">
        <v>219</v>
      </c>
      <c r="C1239" s="18">
        <v>2045</v>
      </c>
      <c r="D1239" t="s">
        <v>181</v>
      </c>
      <c r="E1239" s="20">
        <v>645768.31494796998</v>
      </c>
      <c r="F1239" s="20">
        <v>384940.62246424798</v>
      </c>
      <c r="G1239" s="10">
        <v>387750.67878189799</v>
      </c>
      <c r="H1239" s="21">
        <f t="shared" si="38"/>
        <v>2810.0563176500145</v>
      </c>
      <c r="I1239" s="10">
        <v>645730.44769895996</v>
      </c>
      <c r="J1239" s="21">
        <f t="shared" si="39"/>
        <v>-37.867249010014348</v>
      </c>
    </row>
    <row r="1240" spans="1:10">
      <c r="A1240" t="s">
        <v>217</v>
      </c>
      <c r="B1240" t="s">
        <v>219</v>
      </c>
      <c r="C1240" s="18">
        <v>2045</v>
      </c>
      <c r="D1240" t="s">
        <v>209</v>
      </c>
      <c r="E1240" s="20">
        <v>43191.668943208599</v>
      </c>
      <c r="F1240" s="20">
        <v>7672.1064181744196</v>
      </c>
      <c r="G1240" s="10">
        <v>7672.0682267846396</v>
      </c>
      <c r="H1240" s="21">
        <f t="shared" si="38"/>
        <v>-3.8191389779967722E-2</v>
      </c>
      <c r="I1240" s="10">
        <v>43190.603751316099</v>
      </c>
      <c r="J1240" s="21">
        <f t="shared" si="39"/>
        <v>-1.0651918924995698</v>
      </c>
    </row>
    <row r="1241" spans="1:10">
      <c r="A1241" t="s">
        <v>217</v>
      </c>
      <c r="B1241" t="s">
        <v>219</v>
      </c>
      <c r="C1241" s="18">
        <v>2046</v>
      </c>
      <c r="D1241" t="s">
        <v>187</v>
      </c>
      <c r="E1241" s="20">
        <v>22219.8041640751</v>
      </c>
      <c r="F1241" s="20">
        <v>15440.9950094085</v>
      </c>
      <c r="G1241" s="10">
        <v>15436.8918612077</v>
      </c>
      <c r="H1241" s="21">
        <f t="shared" si="38"/>
        <v>-4.1031482008002058</v>
      </c>
      <c r="I1241" s="10">
        <v>22210.974521910699</v>
      </c>
      <c r="J1241" s="21">
        <f t="shared" si="39"/>
        <v>-8.829642164400866</v>
      </c>
    </row>
    <row r="1242" spans="1:10">
      <c r="A1242" t="s">
        <v>217</v>
      </c>
      <c r="B1242" t="s">
        <v>219</v>
      </c>
      <c r="C1242" s="18">
        <v>2046</v>
      </c>
      <c r="D1242" t="s">
        <v>227</v>
      </c>
      <c r="E1242" s="20">
        <v>1230359.20506648</v>
      </c>
      <c r="F1242" s="20">
        <v>295189.98717027699</v>
      </c>
      <c r="G1242" s="10">
        <v>295165.87720880198</v>
      </c>
      <c r="H1242" s="21">
        <f t="shared" si="38"/>
        <v>-24.109961475012824</v>
      </c>
      <c r="I1242" s="10">
        <v>1230125.0687766999</v>
      </c>
      <c r="J1242" s="21">
        <f t="shared" si="39"/>
        <v>-234.13628978002816</v>
      </c>
    </row>
    <row r="1243" spans="1:10">
      <c r="A1243" t="s">
        <v>217</v>
      </c>
      <c r="B1243" t="s">
        <v>219</v>
      </c>
      <c r="C1243" s="18">
        <v>2046</v>
      </c>
      <c r="D1243" t="s">
        <v>163</v>
      </c>
      <c r="E1243" s="20">
        <v>154974.64907093201</v>
      </c>
      <c r="F1243" s="20">
        <v>104755.808377439</v>
      </c>
      <c r="G1243" s="10">
        <v>104731.13398431199</v>
      </c>
      <c r="H1243" s="21">
        <f t="shared" si="38"/>
        <v>-24.674393127002986</v>
      </c>
      <c r="I1243" s="10">
        <v>154919.18519988199</v>
      </c>
      <c r="J1243" s="21">
        <f t="shared" si="39"/>
        <v>-55.463871050014859</v>
      </c>
    </row>
    <row r="1244" spans="1:10">
      <c r="A1244" t="s">
        <v>217</v>
      </c>
      <c r="B1244" t="s">
        <v>219</v>
      </c>
      <c r="C1244" s="18">
        <v>2046</v>
      </c>
      <c r="D1244" t="s">
        <v>173</v>
      </c>
      <c r="E1244" s="20">
        <v>489689.77964293002</v>
      </c>
      <c r="F1244" s="20">
        <v>455019.49941438698</v>
      </c>
      <c r="G1244" s="10">
        <v>455310.080020589</v>
      </c>
      <c r="H1244" s="21">
        <f t="shared" si="38"/>
        <v>290.58060620201286</v>
      </c>
      <c r="I1244" s="10">
        <v>489559.56948849699</v>
      </c>
      <c r="J1244" s="21">
        <f t="shared" si="39"/>
        <v>-130.21015443303622</v>
      </c>
    </row>
    <row r="1245" spans="1:10">
      <c r="A1245" t="s">
        <v>217</v>
      </c>
      <c r="B1245" t="s">
        <v>219</v>
      </c>
      <c r="C1245" s="18">
        <v>2046</v>
      </c>
      <c r="D1245" t="s">
        <v>177</v>
      </c>
      <c r="E1245" s="20">
        <v>842266.97793884296</v>
      </c>
      <c r="F1245" s="20">
        <v>538517.44257734297</v>
      </c>
      <c r="G1245" s="10">
        <v>538440.16822828504</v>
      </c>
      <c r="H1245" s="21">
        <f t="shared" si="38"/>
        <v>-77.274349057930522</v>
      </c>
      <c r="I1245" s="10">
        <v>842022.211146035</v>
      </c>
      <c r="J1245" s="21">
        <f t="shared" si="39"/>
        <v>-244.76679280796088</v>
      </c>
    </row>
    <row r="1246" spans="1:10">
      <c r="A1246" t="s">
        <v>217</v>
      </c>
      <c r="B1246" t="s">
        <v>219</v>
      </c>
      <c r="C1246" s="18">
        <v>2046</v>
      </c>
      <c r="D1246" t="s">
        <v>181</v>
      </c>
      <c r="E1246" s="20">
        <v>656064.65873394301</v>
      </c>
      <c r="F1246" s="20">
        <v>394500.76664877398</v>
      </c>
      <c r="G1246" s="10">
        <v>397431.95060261199</v>
      </c>
      <c r="H1246" s="21">
        <f t="shared" si="38"/>
        <v>2931.1839538380154</v>
      </c>
      <c r="I1246" s="10">
        <v>656023.20384824695</v>
      </c>
      <c r="J1246" s="21">
        <f t="shared" si="39"/>
        <v>-41.454885696060956</v>
      </c>
    </row>
    <row r="1247" spans="1:10">
      <c r="A1247" t="s">
        <v>217</v>
      </c>
      <c r="B1247" t="s">
        <v>219</v>
      </c>
      <c r="C1247" s="18">
        <v>2046</v>
      </c>
      <c r="D1247" t="s">
        <v>209</v>
      </c>
      <c r="E1247" s="20">
        <v>43197.469277986696</v>
      </c>
      <c r="F1247" s="20">
        <v>7693.6005685068903</v>
      </c>
      <c r="G1247" s="10">
        <v>7693.5570486562501</v>
      </c>
      <c r="H1247" s="21">
        <f t="shared" si="38"/>
        <v>-4.3519850640223012E-2</v>
      </c>
      <c r="I1247" s="10">
        <v>43196.310323112302</v>
      </c>
      <c r="J1247" s="21">
        <f t="shared" si="39"/>
        <v>-1.1589548743941123</v>
      </c>
    </row>
    <row r="1248" spans="1:10">
      <c r="A1248" t="s">
        <v>217</v>
      </c>
      <c r="B1248" t="s">
        <v>219</v>
      </c>
      <c r="C1248" s="18">
        <v>2047</v>
      </c>
      <c r="D1248" t="s">
        <v>187</v>
      </c>
      <c r="E1248" s="20">
        <v>22709.346638131599</v>
      </c>
      <c r="F1248" s="20">
        <v>15733.067893961501</v>
      </c>
      <c r="G1248" s="10">
        <v>15728.485494730299</v>
      </c>
      <c r="H1248" s="21">
        <f t="shared" si="38"/>
        <v>-4.5823992312016344</v>
      </c>
      <c r="I1248" s="10">
        <v>22699.6629629007</v>
      </c>
      <c r="J1248" s="21">
        <f t="shared" si="39"/>
        <v>-9.6836752308990981</v>
      </c>
    </row>
    <row r="1249" spans="1:10">
      <c r="A1249" t="s">
        <v>217</v>
      </c>
      <c r="B1249" t="s">
        <v>219</v>
      </c>
      <c r="C1249" s="18">
        <v>2047</v>
      </c>
      <c r="D1249" t="s">
        <v>227</v>
      </c>
      <c r="E1249" s="20">
        <v>1235526.6048745301</v>
      </c>
      <c r="F1249" s="20">
        <v>302207.76340150501</v>
      </c>
      <c r="G1249" s="10">
        <v>302180.55031250097</v>
      </c>
      <c r="H1249" s="21">
        <f t="shared" si="38"/>
        <v>-27.213089004042558</v>
      </c>
      <c r="I1249" s="10">
        <v>1235274.66521773</v>
      </c>
      <c r="J1249" s="21">
        <f t="shared" si="39"/>
        <v>-251.93965680012479</v>
      </c>
    </row>
    <row r="1250" spans="1:10">
      <c r="A1250" t="s">
        <v>217</v>
      </c>
      <c r="B1250" t="s">
        <v>219</v>
      </c>
      <c r="C1250" s="18">
        <v>2047</v>
      </c>
      <c r="D1250" t="s">
        <v>163</v>
      </c>
      <c r="E1250" s="20">
        <v>157496.21001116</v>
      </c>
      <c r="F1250" s="20">
        <v>106514.99259197099</v>
      </c>
      <c r="G1250" s="10">
        <v>106487.67776034201</v>
      </c>
      <c r="H1250" s="21">
        <f t="shared" si="38"/>
        <v>-27.314831628988031</v>
      </c>
      <c r="I1250" s="10">
        <v>157435.937342911</v>
      </c>
      <c r="J1250" s="21">
        <f t="shared" si="39"/>
        <v>-60.272668249002891</v>
      </c>
    </row>
    <row r="1251" spans="1:10">
      <c r="A1251" t="s">
        <v>217</v>
      </c>
      <c r="B1251" t="s">
        <v>219</v>
      </c>
      <c r="C1251" s="18">
        <v>2047</v>
      </c>
      <c r="D1251" t="s">
        <v>173</v>
      </c>
      <c r="E1251" s="20">
        <v>495188.84376187</v>
      </c>
      <c r="F1251" s="20">
        <v>460253.41068673</v>
      </c>
      <c r="G1251" s="10">
        <v>460539.427749469</v>
      </c>
      <c r="H1251" s="21">
        <f t="shared" si="38"/>
        <v>286.01706273900345</v>
      </c>
      <c r="I1251" s="10">
        <v>495047.33168069902</v>
      </c>
      <c r="J1251" s="21">
        <f t="shared" si="39"/>
        <v>-141.51208117097849</v>
      </c>
    </row>
    <row r="1252" spans="1:10">
      <c r="A1252" t="s">
        <v>217</v>
      </c>
      <c r="B1252" t="s">
        <v>219</v>
      </c>
      <c r="C1252" s="18">
        <v>2047</v>
      </c>
      <c r="D1252" t="s">
        <v>177</v>
      </c>
      <c r="E1252" s="20">
        <v>852622.15491165</v>
      </c>
      <c r="F1252" s="20">
        <v>546979.42460051796</v>
      </c>
      <c r="G1252" s="10">
        <v>546892.884748123</v>
      </c>
      <c r="H1252" s="21">
        <f t="shared" si="38"/>
        <v>-86.539852394955233</v>
      </c>
      <c r="I1252" s="10">
        <v>852357.03689663101</v>
      </c>
      <c r="J1252" s="21">
        <f t="shared" si="39"/>
        <v>-265.11801501899026</v>
      </c>
    </row>
    <row r="1253" spans="1:10">
      <c r="A1253" t="s">
        <v>217</v>
      </c>
      <c r="B1253" t="s">
        <v>219</v>
      </c>
      <c r="C1253" s="18">
        <v>2047</v>
      </c>
      <c r="D1253" t="s">
        <v>181</v>
      </c>
      <c r="E1253" s="20">
        <v>666005.71555078705</v>
      </c>
      <c r="F1253" s="20">
        <v>403889.95593187801</v>
      </c>
      <c r="G1253" s="10">
        <v>406938.30985862098</v>
      </c>
      <c r="H1253" s="21">
        <f t="shared" si="38"/>
        <v>3048.3539267429733</v>
      </c>
      <c r="I1253" s="10">
        <v>665960.53053760703</v>
      </c>
      <c r="J1253" s="21">
        <f t="shared" si="39"/>
        <v>-45.18501318001654</v>
      </c>
    </row>
    <row r="1254" spans="1:10">
      <c r="A1254" t="s">
        <v>217</v>
      </c>
      <c r="B1254" t="s">
        <v>219</v>
      </c>
      <c r="C1254" s="18">
        <v>2047</v>
      </c>
      <c r="D1254" t="s">
        <v>209</v>
      </c>
      <c r="E1254" s="20">
        <v>43218.8895669864</v>
      </c>
      <c r="F1254" s="20">
        <v>7716.3137534208599</v>
      </c>
      <c r="G1254" s="10">
        <v>7716.2645250788601</v>
      </c>
      <c r="H1254" s="21">
        <f t="shared" si="38"/>
        <v>-4.9228341999878467E-2</v>
      </c>
      <c r="I1254" s="10">
        <v>43217.634192350401</v>
      </c>
      <c r="J1254" s="21">
        <f t="shared" si="39"/>
        <v>-1.2553746359990328</v>
      </c>
    </row>
    <row r="1255" spans="1:10">
      <c r="A1255" t="s">
        <v>217</v>
      </c>
      <c r="B1255" t="s">
        <v>219</v>
      </c>
      <c r="C1255" s="18">
        <v>2048</v>
      </c>
      <c r="D1255" t="s">
        <v>187</v>
      </c>
      <c r="E1255" s="20">
        <v>23190.344376837998</v>
      </c>
      <c r="F1255" s="20">
        <v>16030.3032633645</v>
      </c>
      <c r="G1255" s="10">
        <v>16025.2187605858</v>
      </c>
      <c r="H1255" s="21">
        <f t="shared" si="38"/>
        <v>-5.0845027786999708</v>
      </c>
      <c r="I1255" s="10">
        <v>23179.777529823201</v>
      </c>
      <c r="J1255" s="21">
        <f t="shared" si="39"/>
        <v>-10.566847014797531</v>
      </c>
    </row>
    <row r="1256" spans="1:10">
      <c r="A1256" t="s">
        <v>217</v>
      </c>
      <c r="B1256" t="s">
        <v>219</v>
      </c>
      <c r="C1256" s="18">
        <v>2048</v>
      </c>
      <c r="D1256" t="s">
        <v>227</v>
      </c>
      <c r="E1256" s="20">
        <v>1240479.08903859</v>
      </c>
      <c r="F1256" s="20">
        <v>308994.82128184999</v>
      </c>
      <c r="G1256" s="10">
        <v>308964.31037728197</v>
      </c>
      <c r="H1256" s="21">
        <f t="shared" si="38"/>
        <v>-30.510904568014666</v>
      </c>
      <c r="I1256" s="10">
        <v>1240209.10376068</v>
      </c>
      <c r="J1256" s="21">
        <f t="shared" si="39"/>
        <v>-269.98527791001834</v>
      </c>
    </row>
    <row r="1257" spans="1:10">
      <c r="A1257" t="s">
        <v>217</v>
      </c>
      <c r="B1257" t="s">
        <v>219</v>
      </c>
      <c r="C1257" s="18">
        <v>2048</v>
      </c>
      <c r="D1257" t="s">
        <v>163</v>
      </c>
      <c r="E1257" s="20">
        <v>159942.27338370599</v>
      </c>
      <c r="F1257" s="20">
        <v>108235.369460585</v>
      </c>
      <c r="G1257" s="10">
        <v>108205.309376064</v>
      </c>
      <c r="H1257" s="21">
        <f t="shared" si="38"/>
        <v>-30.060084520999226</v>
      </c>
      <c r="I1257" s="10">
        <v>159877.06955740901</v>
      </c>
      <c r="J1257" s="21">
        <f t="shared" si="39"/>
        <v>-65.203826296987245</v>
      </c>
    </row>
    <row r="1258" spans="1:10">
      <c r="A1258" t="s">
        <v>217</v>
      </c>
      <c r="B1258" t="s">
        <v>219</v>
      </c>
      <c r="C1258" s="18">
        <v>2048</v>
      </c>
      <c r="D1258" t="s">
        <v>173</v>
      </c>
      <c r="E1258" s="20">
        <v>500405.01672391599</v>
      </c>
      <c r="F1258" s="20">
        <v>465277.17963488202</v>
      </c>
      <c r="G1258" s="10">
        <v>465558.478994868</v>
      </c>
      <c r="H1258" s="21">
        <f t="shared" si="38"/>
        <v>281.29935998597648</v>
      </c>
      <c r="I1258" s="10">
        <v>500251.96367663803</v>
      </c>
      <c r="J1258" s="21">
        <f t="shared" si="39"/>
        <v>-153.05304727796465</v>
      </c>
    </row>
    <row r="1259" spans="1:10">
      <c r="A1259" t="s">
        <v>217</v>
      </c>
      <c r="B1259" t="s">
        <v>219</v>
      </c>
      <c r="C1259" s="18">
        <v>2048</v>
      </c>
      <c r="D1259" t="s">
        <v>177</v>
      </c>
      <c r="E1259" s="20">
        <v>862707.16672624601</v>
      </c>
      <c r="F1259" s="20">
        <v>555315.54782855697</v>
      </c>
      <c r="G1259" s="10">
        <v>555219.25427407597</v>
      </c>
      <c r="H1259" s="21">
        <f t="shared" si="38"/>
        <v>-96.293554481002502</v>
      </c>
      <c r="I1259" s="10">
        <v>862421.19766606798</v>
      </c>
      <c r="J1259" s="21">
        <f t="shared" si="39"/>
        <v>-285.96906017803121</v>
      </c>
    </row>
    <row r="1260" spans="1:10">
      <c r="A1260" t="s">
        <v>217</v>
      </c>
      <c r="B1260" t="s">
        <v>219</v>
      </c>
      <c r="C1260" s="18">
        <v>2048</v>
      </c>
      <c r="D1260" t="s">
        <v>181</v>
      </c>
      <c r="E1260" s="20">
        <v>675587.11424904002</v>
      </c>
      <c r="F1260" s="20">
        <v>413061.03639601398</v>
      </c>
      <c r="G1260" s="10">
        <v>416221.14564351598</v>
      </c>
      <c r="H1260" s="21">
        <f t="shared" si="38"/>
        <v>3160.1092475019977</v>
      </c>
      <c r="I1260" s="10">
        <v>675538.06713143899</v>
      </c>
      <c r="J1260" s="21">
        <f t="shared" si="39"/>
        <v>-49.047117601032369</v>
      </c>
    </row>
    <row r="1261" spans="1:10">
      <c r="A1261" t="s">
        <v>217</v>
      </c>
      <c r="B1261" t="s">
        <v>219</v>
      </c>
      <c r="C1261" s="18">
        <v>2048</v>
      </c>
      <c r="D1261" t="s">
        <v>209</v>
      </c>
      <c r="E1261" s="20">
        <v>43248.470772587803</v>
      </c>
      <c r="F1261" s="20">
        <v>7741.0235420147601</v>
      </c>
      <c r="G1261" s="10">
        <v>7740.9682323091401</v>
      </c>
      <c r="H1261" s="21">
        <f t="shared" si="38"/>
        <v>-5.5309705619947636E-2</v>
      </c>
      <c r="I1261" s="10">
        <v>43247.116568268502</v>
      </c>
      <c r="J1261" s="21">
        <f t="shared" si="39"/>
        <v>-1.3542043193010613</v>
      </c>
    </row>
    <row r="1262" spans="1:10">
      <c r="A1262" t="s">
        <v>217</v>
      </c>
      <c r="B1262" t="s">
        <v>219</v>
      </c>
      <c r="C1262" s="18">
        <v>2049</v>
      </c>
      <c r="D1262" t="s">
        <v>187</v>
      </c>
      <c r="E1262" s="20">
        <v>23661.837501309699</v>
      </c>
      <c r="F1262" s="20">
        <v>16328.2208729555</v>
      </c>
      <c r="G1262" s="10">
        <v>16322.61151708</v>
      </c>
      <c r="H1262" s="21">
        <f t="shared" si="38"/>
        <v>-5.6093558755001141</v>
      </c>
      <c r="I1262" s="10">
        <v>23650.361484044901</v>
      </c>
      <c r="J1262" s="21">
        <f t="shared" si="39"/>
        <v>-11.476017264798429</v>
      </c>
    </row>
    <row r="1263" spans="1:10">
      <c r="A1263" t="s">
        <v>217</v>
      </c>
      <c r="B1263" t="s">
        <v>219</v>
      </c>
      <c r="C1263" s="18">
        <v>2049</v>
      </c>
      <c r="D1263" t="s">
        <v>227</v>
      </c>
      <c r="E1263" s="20">
        <v>1245246.65295833</v>
      </c>
      <c r="F1263" s="20">
        <v>315562.64641191799</v>
      </c>
      <c r="G1263" s="10">
        <v>315528.65457465599</v>
      </c>
      <c r="H1263" s="21">
        <f t="shared" si="38"/>
        <v>-33.991837262001354</v>
      </c>
      <c r="I1263" s="10">
        <v>1244958.37630862</v>
      </c>
      <c r="J1263" s="21">
        <f t="shared" si="39"/>
        <v>-288.27664971002378</v>
      </c>
    </row>
    <row r="1264" spans="1:10">
      <c r="A1264" t="s">
        <v>217</v>
      </c>
      <c r="B1264" t="s">
        <v>219</v>
      </c>
      <c r="C1264" s="18">
        <v>2049</v>
      </c>
      <c r="D1264" t="s">
        <v>163</v>
      </c>
      <c r="E1264" s="20">
        <v>162308.36608438601</v>
      </c>
      <c r="F1264" s="20">
        <v>109915.27392414999</v>
      </c>
      <c r="G1264" s="10">
        <v>109882.371148655</v>
      </c>
      <c r="H1264" s="21">
        <f t="shared" si="38"/>
        <v>-32.902775494992966</v>
      </c>
      <c r="I1264" s="10">
        <v>162238.134685625</v>
      </c>
      <c r="J1264" s="21">
        <f t="shared" si="39"/>
        <v>-70.231398761010496</v>
      </c>
    </row>
    <row r="1265" spans="1:10">
      <c r="A1265" t="s">
        <v>217</v>
      </c>
      <c r="B1265" t="s">
        <v>219</v>
      </c>
      <c r="C1265" s="18">
        <v>2049</v>
      </c>
      <c r="D1265" t="s">
        <v>173</v>
      </c>
      <c r="E1265" s="20">
        <v>505380.71386061999</v>
      </c>
      <c r="F1265" s="20">
        <v>470107.50525895</v>
      </c>
      <c r="G1265" s="10">
        <v>470383.880162835</v>
      </c>
      <c r="H1265" s="21">
        <f t="shared" si="38"/>
        <v>276.37490388500737</v>
      </c>
      <c r="I1265" s="10">
        <v>505215.90050813899</v>
      </c>
      <c r="J1265" s="21">
        <f t="shared" si="39"/>
        <v>-164.8133524809964</v>
      </c>
    </row>
    <row r="1266" spans="1:10">
      <c r="A1266" t="s">
        <v>217</v>
      </c>
      <c r="B1266" t="s">
        <v>219</v>
      </c>
      <c r="C1266" s="18">
        <v>2049</v>
      </c>
      <c r="D1266" t="s">
        <v>177</v>
      </c>
      <c r="E1266" s="20">
        <v>872346.57802241598</v>
      </c>
      <c r="F1266" s="20">
        <v>563444.26333350502</v>
      </c>
      <c r="G1266" s="10">
        <v>563337.76559367101</v>
      </c>
      <c r="H1266" s="21">
        <f t="shared" si="38"/>
        <v>-106.49773983401246</v>
      </c>
      <c r="I1266" s="10">
        <v>872039.41256190802</v>
      </c>
      <c r="J1266" s="21">
        <f t="shared" si="39"/>
        <v>-307.16546050796751</v>
      </c>
    </row>
    <row r="1267" spans="1:10">
      <c r="A1267" t="s">
        <v>217</v>
      </c>
      <c r="B1267" t="s">
        <v>219</v>
      </c>
      <c r="C1267" s="18">
        <v>2049</v>
      </c>
      <c r="D1267" t="s">
        <v>181</v>
      </c>
      <c r="E1267" s="20">
        <v>684852.55615104898</v>
      </c>
      <c r="F1267" s="20">
        <v>421943.843423007</v>
      </c>
      <c r="G1267" s="10">
        <v>425211.29480666103</v>
      </c>
      <c r="H1267" s="21">
        <f t="shared" si="38"/>
        <v>3267.4513836540282</v>
      </c>
      <c r="I1267" s="10">
        <v>684799.51924341801</v>
      </c>
      <c r="J1267" s="21">
        <f t="shared" si="39"/>
        <v>-53.036907630972564</v>
      </c>
    </row>
    <row r="1268" spans="1:10">
      <c r="A1268" t="s">
        <v>217</v>
      </c>
      <c r="B1268" t="s">
        <v>219</v>
      </c>
      <c r="C1268" s="18">
        <v>2049</v>
      </c>
      <c r="D1268" t="s">
        <v>209</v>
      </c>
      <c r="E1268" s="20">
        <v>43289.149136580003</v>
      </c>
      <c r="F1268" s="20">
        <v>7764.4868069505901</v>
      </c>
      <c r="G1268" s="10">
        <v>7764.4250577338198</v>
      </c>
      <c r="H1268" s="21">
        <f t="shared" si="38"/>
        <v>-6.1749216770294879E-2</v>
      </c>
      <c r="I1268" s="10">
        <v>43287.694118175197</v>
      </c>
      <c r="J1268" s="21">
        <f t="shared" si="39"/>
        <v>-1.4550184048057417</v>
      </c>
    </row>
    <row r="1269" spans="1:10">
      <c r="A1269" t="s">
        <v>217</v>
      </c>
      <c r="B1269" t="s">
        <v>219</v>
      </c>
      <c r="C1269" s="18">
        <v>2050</v>
      </c>
      <c r="D1269" t="s">
        <v>187</v>
      </c>
      <c r="E1269" s="20">
        <v>24122.840240059599</v>
      </c>
      <c r="F1269" s="20">
        <v>16625.078471786699</v>
      </c>
      <c r="G1269" s="10">
        <v>16618.923709126098</v>
      </c>
      <c r="H1269" s="21">
        <f t="shared" si="38"/>
        <v>-6.1547626606006816</v>
      </c>
      <c r="I1269" s="10">
        <v>24110.4306261692</v>
      </c>
      <c r="J1269" s="21">
        <f t="shared" si="39"/>
        <v>-12.409613890398759</v>
      </c>
    </row>
    <row r="1270" spans="1:10">
      <c r="A1270" t="s">
        <v>217</v>
      </c>
      <c r="B1270" t="s">
        <v>219</v>
      </c>
      <c r="C1270" s="18">
        <v>2050</v>
      </c>
      <c r="D1270" t="s">
        <v>227</v>
      </c>
      <c r="E1270" s="20">
        <v>1249881.7921788399</v>
      </c>
      <c r="F1270" s="20">
        <v>321903.793329423</v>
      </c>
      <c r="G1270" s="10">
        <v>321866.14542390499</v>
      </c>
      <c r="H1270" s="21">
        <f t="shared" si="38"/>
        <v>-37.647905518009793</v>
      </c>
      <c r="I1270" s="10">
        <v>1249574.9812984299</v>
      </c>
      <c r="J1270" s="21">
        <f t="shared" si="39"/>
        <v>-306.81088041001931</v>
      </c>
    </row>
    <row r="1271" spans="1:10">
      <c r="A1271" t="s">
        <v>217</v>
      </c>
      <c r="B1271" t="s">
        <v>219</v>
      </c>
      <c r="C1271" s="18">
        <v>2050</v>
      </c>
      <c r="D1271" t="s">
        <v>163</v>
      </c>
      <c r="E1271" s="20">
        <v>164602.294374861</v>
      </c>
      <c r="F1271" s="20">
        <v>111532.088042583</v>
      </c>
      <c r="G1271" s="10">
        <v>111496.260054028</v>
      </c>
      <c r="H1271" s="21">
        <f t="shared" si="38"/>
        <v>-35.827988555000047</v>
      </c>
      <c r="I1271" s="10">
        <v>164526.94959842</v>
      </c>
      <c r="J1271" s="21">
        <f t="shared" si="39"/>
        <v>-75.344776440993883</v>
      </c>
    </row>
    <row r="1272" spans="1:10">
      <c r="A1272" t="s">
        <v>217</v>
      </c>
      <c r="B1272" t="s">
        <v>219</v>
      </c>
      <c r="C1272" s="18">
        <v>2050</v>
      </c>
      <c r="D1272" t="s">
        <v>173</v>
      </c>
      <c r="E1272" s="20">
        <v>510100.56347943202</v>
      </c>
      <c r="F1272" s="20">
        <v>474622.50083193497</v>
      </c>
      <c r="G1272" s="10">
        <v>474893.25455494301</v>
      </c>
      <c r="H1272" s="21">
        <f t="shared" si="38"/>
        <v>270.75372300803429</v>
      </c>
      <c r="I1272" s="10">
        <v>509923.79465326603</v>
      </c>
      <c r="J1272" s="21">
        <f t="shared" si="39"/>
        <v>-176.76882616599323</v>
      </c>
    </row>
    <row r="1273" spans="1:10">
      <c r="A1273" t="s">
        <v>217</v>
      </c>
      <c r="B1273" t="s">
        <v>219</v>
      </c>
      <c r="C1273" s="18">
        <v>2050</v>
      </c>
      <c r="D1273" t="s">
        <v>177</v>
      </c>
      <c r="E1273" s="20">
        <v>881548.82066273398</v>
      </c>
      <c r="F1273" s="20">
        <v>571422.25295156904</v>
      </c>
      <c r="G1273" s="10">
        <v>571305.13066545594</v>
      </c>
      <c r="H1273" s="21">
        <f t="shared" si="38"/>
        <v>-117.12228611309547</v>
      </c>
      <c r="I1273" s="10">
        <v>881220.21017861494</v>
      </c>
      <c r="J1273" s="21">
        <f t="shared" si="39"/>
        <v>-328.61048411903903</v>
      </c>
    </row>
    <row r="1274" spans="1:10">
      <c r="A1274" t="s">
        <v>217</v>
      </c>
      <c r="B1274" t="s">
        <v>219</v>
      </c>
      <c r="C1274" s="18">
        <v>2050</v>
      </c>
      <c r="D1274" t="s">
        <v>181</v>
      </c>
      <c r="E1274" s="20">
        <v>693890.529029898</v>
      </c>
      <c r="F1274" s="20">
        <v>430555.33986352698</v>
      </c>
      <c r="G1274" s="10">
        <v>433928.11684243701</v>
      </c>
      <c r="H1274" s="21">
        <f t="shared" si="38"/>
        <v>3372.7769789100275</v>
      </c>
      <c r="I1274" s="10">
        <v>693833.37581002596</v>
      </c>
      <c r="J1274" s="21">
        <f t="shared" si="39"/>
        <v>-57.15321987203788</v>
      </c>
    </row>
    <row r="1275" spans="1:10">
      <c r="A1275" t="s">
        <v>217</v>
      </c>
      <c r="B1275" t="s">
        <v>219</v>
      </c>
      <c r="C1275" s="18">
        <v>2050</v>
      </c>
      <c r="D1275" t="s">
        <v>209</v>
      </c>
      <c r="E1275" s="20">
        <v>43338.891659697802</v>
      </c>
      <c r="F1275" s="20">
        <v>7785.6610445763999</v>
      </c>
      <c r="G1275" s="10">
        <v>7785.5925162465101</v>
      </c>
      <c r="H1275" s="21">
        <f t="shared" si="38"/>
        <v>-6.8528329889886663E-2</v>
      </c>
      <c r="I1275" s="10">
        <v>43337.334071848098</v>
      </c>
      <c r="J1275" s="21">
        <f t="shared" si="39"/>
        <v>-1.5575878497038502</v>
      </c>
    </row>
    <row r="1276" spans="1:10">
      <c r="A1276" t="s">
        <v>223</v>
      </c>
      <c r="B1276" t="s">
        <v>225</v>
      </c>
      <c r="C1276" s="18">
        <v>2025</v>
      </c>
      <c r="D1276" t="s">
        <v>187</v>
      </c>
      <c r="E1276" s="20">
        <v>12347.3896757033</v>
      </c>
      <c r="F1276" s="20">
        <v>8975.3084972287597</v>
      </c>
      <c r="G1276" s="10">
        <v>8975.3084972287597</v>
      </c>
      <c r="H1276" s="21">
        <f t="shared" si="38"/>
        <v>0</v>
      </c>
      <c r="I1276" s="10">
        <v>12347.3896757033</v>
      </c>
      <c r="J1276" s="21">
        <f t="shared" si="39"/>
        <v>0</v>
      </c>
    </row>
    <row r="1277" spans="1:10">
      <c r="A1277" t="s">
        <v>223</v>
      </c>
      <c r="B1277" t="s">
        <v>225</v>
      </c>
      <c r="C1277" s="18">
        <v>2025</v>
      </c>
      <c r="D1277" t="s">
        <v>227</v>
      </c>
      <c r="E1277" s="20">
        <v>1026043.97207164</v>
      </c>
      <c r="F1277" s="20">
        <v>128655.267905794</v>
      </c>
      <c r="G1277" s="10">
        <v>129403.02283067199</v>
      </c>
      <c r="H1277" s="21">
        <f t="shared" si="38"/>
        <v>747.75492487799784</v>
      </c>
      <c r="I1277" s="10">
        <v>1026043.97207164</v>
      </c>
      <c r="J1277" s="21">
        <f t="shared" si="39"/>
        <v>0</v>
      </c>
    </row>
    <row r="1278" spans="1:10">
      <c r="A1278" t="s">
        <v>223</v>
      </c>
      <c r="B1278" t="s">
        <v>225</v>
      </c>
      <c r="C1278" s="18">
        <v>2025</v>
      </c>
      <c r="D1278" t="s">
        <v>163</v>
      </c>
      <c r="E1278" s="20">
        <v>91684.509014274605</v>
      </c>
      <c r="F1278" s="20">
        <v>63318.751825202096</v>
      </c>
      <c r="G1278" s="10">
        <v>63318.751825202096</v>
      </c>
      <c r="H1278" s="21">
        <f t="shared" si="38"/>
        <v>0</v>
      </c>
      <c r="I1278" s="10">
        <v>91684.509014274605</v>
      </c>
      <c r="J1278" s="21">
        <f t="shared" si="39"/>
        <v>0</v>
      </c>
    </row>
    <row r="1279" spans="1:10">
      <c r="A1279" t="s">
        <v>223</v>
      </c>
      <c r="B1279" t="s">
        <v>225</v>
      </c>
      <c r="C1279" s="18">
        <v>2025</v>
      </c>
      <c r="D1279" t="s">
        <v>173</v>
      </c>
      <c r="E1279" s="20">
        <v>327817.99211152899</v>
      </c>
      <c r="F1279" s="20">
        <v>300216.82861998002</v>
      </c>
      <c r="G1279" s="10">
        <v>300216.82861998002</v>
      </c>
      <c r="H1279" s="21">
        <f t="shared" si="38"/>
        <v>0</v>
      </c>
      <c r="I1279" s="10">
        <v>327817.99211152899</v>
      </c>
      <c r="J1279" s="21">
        <f t="shared" si="39"/>
        <v>0</v>
      </c>
    </row>
    <row r="1280" spans="1:10">
      <c r="A1280" t="s">
        <v>223</v>
      </c>
      <c r="B1280" t="s">
        <v>225</v>
      </c>
      <c r="C1280" s="18">
        <v>2025</v>
      </c>
      <c r="D1280" t="s">
        <v>177</v>
      </c>
      <c r="E1280" s="20">
        <v>563964.12892884796</v>
      </c>
      <c r="F1280" s="20">
        <v>321045.32488148502</v>
      </c>
      <c r="G1280" s="10">
        <v>321188.16298793198</v>
      </c>
      <c r="H1280" s="21">
        <f t="shared" si="38"/>
        <v>142.83810644695768</v>
      </c>
      <c r="I1280" s="10">
        <v>563964.12892884796</v>
      </c>
      <c r="J1280" s="21">
        <f t="shared" si="39"/>
        <v>0</v>
      </c>
    </row>
    <row r="1281" spans="1:10">
      <c r="A1281" t="s">
        <v>223</v>
      </c>
      <c r="B1281" t="s">
        <v>225</v>
      </c>
      <c r="C1281" s="18">
        <v>2025</v>
      </c>
      <c r="D1281" t="s">
        <v>181</v>
      </c>
      <c r="E1281" s="20">
        <v>396205.91279756802</v>
      </c>
      <c r="F1281" s="20">
        <v>191954.71357959701</v>
      </c>
      <c r="G1281" s="10">
        <v>191954.71357959701</v>
      </c>
      <c r="H1281" s="21">
        <f t="shared" si="38"/>
        <v>0</v>
      </c>
      <c r="I1281" s="10">
        <v>396205.91279756802</v>
      </c>
      <c r="J1281" s="21">
        <f t="shared" si="39"/>
        <v>0</v>
      </c>
    </row>
    <row r="1282" spans="1:10">
      <c r="A1282" t="s">
        <v>223</v>
      </c>
      <c r="B1282" t="s">
        <v>225</v>
      </c>
      <c r="C1282" s="18">
        <v>2025</v>
      </c>
      <c r="D1282" t="s">
        <v>209</v>
      </c>
      <c r="E1282" s="20">
        <v>44024.855784556101</v>
      </c>
      <c r="F1282" s="20">
        <v>6961.0286695127397</v>
      </c>
      <c r="G1282" s="10">
        <v>6961.0286695127397</v>
      </c>
      <c r="H1282" s="21">
        <f t="shared" ref="H1282:H1345" si="40">G1282-F1282</f>
        <v>0</v>
      </c>
      <c r="I1282" s="10">
        <v>44024.855784556101</v>
      </c>
      <c r="J1282" s="21">
        <f t="shared" ref="J1282:J1345" si="41">I1282-E1282</f>
        <v>0</v>
      </c>
    </row>
    <row r="1283" spans="1:10">
      <c r="A1283" t="s">
        <v>223</v>
      </c>
      <c r="B1283" t="s">
        <v>225</v>
      </c>
      <c r="C1283" s="18">
        <v>2026</v>
      </c>
      <c r="D1283" t="s">
        <v>187</v>
      </c>
      <c r="E1283" s="20">
        <v>12812.7483055996</v>
      </c>
      <c r="F1283" s="20">
        <v>9308.2642091095495</v>
      </c>
      <c r="G1283" s="10">
        <v>9308.2642091095495</v>
      </c>
      <c r="H1283" s="21">
        <f t="shared" si="40"/>
        <v>0</v>
      </c>
      <c r="I1283" s="10">
        <v>12812.507871628</v>
      </c>
      <c r="J1283" s="21">
        <f t="shared" si="41"/>
        <v>-0.24043397159948654</v>
      </c>
    </row>
    <row r="1284" spans="1:10">
      <c r="A1284" t="s">
        <v>223</v>
      </c>
      <c r="B1284" t="s">
        <v>225</v>
      </c>
      <c r="C1284" s="18">
        <v>2026</v>
      </c>
      <c r="D1284" t="s">
        <v>227</v>
      </c>
      <c r="E1284" s="20">
        <v>1040957.85010019</v>
      </c>
      <c r="F1284" s="20">
        <v>135619.28269023201</v>
      </c>
      <c r="G1284" s="10">
        <v>137191.89613692299</v>
      </c>
      <c r="H1284" s="21">
        <f t="shared" si="40"/>
        <v>1572.6134466909862</v>
      </c>
      <c r="I1284" s="10">
        <v>1040956.74283153</v>
      </c>
      <c r="J1284" s="21">
        <f t="shared" si="41"/>
        <v>-1.1072686599800363</v>
      </c>
    </row>
    <row r="1285" spans="1:10">
      <c r="A1285" t="s">
        <v>223</v>
      </c>
      <c r="B1285" t="s">
        <v>225</v>
      </c>
      <c r="C1285" s="18">
        <v>2026</v>
      </c>
      <c r="D1285" t="s">
        <v>163</v>
      </c>
      <c r="E1285" s="20">
        <v>95078.800751050498</v>
      </c>
      <c r="F1285" s="20">
        <v>65164.470413401701</v>
      </c>
      <c r="G1285" s="10">
        <v>65164.470413401701</v>
      </c>
      <c r="H1285" s="21">
        <f t="shared" si="40"/>
        <v>0</v>
      </c>
      <c r="I1285" s="10">
        <v>95077.183303526501</v>
      </c>
      <c r="J1285" s="21">
        <f t="shared" si="41"/>
        <v>-1.617447523996816</v>
      </c>
    </row>
    <row r="1286" spans="1:10">
      <c r="A1286" t="s">
        <v>223</v>
      </c>
      <c r="B1286" t="s">
        <v>225</v>
      </c>
      <c r="C1286" s="18">
        <v>2026</v>
      </c>
      <c r="D1286" t="s">
        <v>173</v>
      </c>
      <c r="E1286" s="20">
        <v>336879.45748607902</v>
      </c>
      <c r="F1286" s="20">
        <v>308606.943045308</v>
      </c>
      <c r="G1286" s="10">
        <v>308606.943045308</v>
      </c>
      <c r="H1286" s="21">
        <f t="shared" si="40"/>
        <v>0</v>
      </c>
      <c r="I1286" s="10">
        <v>336875.42349560501</v>
      </c>
      <c r="J1286" s="21">
        <f t="shared" si="41"/>
        <v>-4.033990474010352</v>
      </c>
    </row>
    <row r="1287" spans="1:10">
      <c r="A1287" t="s">
        <v>223</v>
      </c>
      <c r="B1287" t="s">
        <v>225</v>
      </c>
      <c r="C1287" s="18">
        <v>2026</v>
      </c>
      <c r="D1287" t="s">
        <v>177</v>
      </c>
      <c r="E1287" s="20">
        <v>580118.19210543798</v>
      </c>
      <c r="F1287" s="20">
        <v>332610.03597319999</v>
      </c>
      <c r="G1287" s="10">
        <v>332896.18576831103</v>
      </c>
      <c r="H1287" s="21">
        <f t="shared" si="40"/>
        <v>286.14979511103593</v>
      </c>
      <c r="I1287" s="10">
        <v>580111.54195764905</v>
      </c>
      <c r="J1287" s="21">
        <f t="shared" si="41"/>
        <v>-6.6501477889250964</v>
      </c>
    </row>
    <row r="1288" spans="1:10">
      <c r="A1288" t="s">
        <v>223</v>
      </c>
      <c r="B1288" t="s">
        <v>225</v>
      </c>
      <c r="C1288" s="18">
        <v>2026</v>
      </c>
      <c r="D1288" t="s">
        <v>181</v>
      </c>
      <c r="E1288" s="20">
        <v>409837.07048815198</v>
      </c>
      <c r="F1288" s="20">
        <v>202008.19978323701</v>
      </c>
      <c r="G1288" s="10">
        <v>202008.19978323701</v>
      </c>
      <c r="H1288" s="21">
        <f t="shared" si="40"/>
        <v>0</v>
      </c>
      <c r="I1288" s="10">
        <v>409829.87281699001</v>
      </c>
      <c r="J1288" s="21">
        <f t="shared" si="41"/>
        <v>-7.1976711619645357</v>
      </c>
    </row>
    <row r="1289" spans="1:10">
      <c r="A1289" t="s">
        <v>223</v>
      </c>
      <c r="B1289" t="s">
        <v>225</v>
      </c>
      <c r="C1289" s="18">
        <v>2026</v>
      </c>
      <c r="D1289" t="s">
        <v>209</v>
      </c>
      <c r="E1289" s="20">
        <v>44219.206480212502</v>
      </c>
      <c r="F1289" s="20">
        <v>7023.7712687228704</v>
      </c>
      <c r="G1289" s="10">
        <v>7023.7712687228704</v>
      </c>
      <c r="H1289" s="21">
        <f t="shared" si="40"/>
        <v>0</v>
      </c>
      <c r="I1289" s="10">
        <v>44219.170751765298</v>
      </c>
      <c r="J1289" s="21">
        <f t="shared" si="41"/>
        <v>-3.5728447204746772E-2</v>
      </c>
    </row>
    <row r="1290" spans="1:10">
      <c r="A1290" t="s">
        <v>223</v>
      </c>
      <c r="B1290" t="s">
        <v>225</v>
      </c>
      <c r="C1290" s="18">
        <v>2027</v>
      </c>
      <c r="D1290" t="s">
        <v>187</v>
      </c>
      <c r="E1290" s="20">
        <v>13274.247349027701</v>
      </c>
      <c r="F1290" s="20">
        <v>9640.7579892153299</v>
      </c>
      <c r="G1290" s="10">
        <v>9640.7153077701696</v>
      </c>
      <c r="H1290" s="21">
        <f t="shared" si="40"/>
        <v>-4.2681445160269504E-2</v>
      </c>
      <c r="I1290" s="10">
        <v>13273.481772584</v>
      </c>
      <c r="J1290" s="21">
        <f t="shared" si="41"/>
        <v>-0.76557644370041089</v>
      </c>
    </row>
    <row r="1291" spans="1:10">
      <c r="A1291" t="s">
        <v>223</v>
      </c>
      <c r="B1291" t="s">
        <v>225</v>
      </c>
      <c r="C1291" s="18">
        <v>2027</v>
      </c>
      <c r="D1291" t="s">
        <v>227</v>
      </c>
      <c r="E1291" s="20">
        <v>1055258.8078153301</v>
      </c>
      <c r="F1291" s="20">
        <v>142611.98603538799</v>
      </c>
      <c r="G1291" s="10">
        <v>145087.13077641799</v>
      </c>
      <c r="H1291" s="21">
        <f t="shared" si="40"/>
        <v>2475.1447410300025</v>
      </c>
      <c r="I1291" s="10">
        <v>1055255.40879996</v>
      </c>
      <c r="J1291" s="21">
        <f t="shared" si="41"/>
        <v>-3.3990153700578958</v>
      </c>
    </row>
    <row r="1292" spans="1:10">
      <c r="A1292" t="s">
        <v>223</v>
      </c>
      <c r="B1292" t="s">
        <v>225</v>
      </c>
      <c r="C1292" s="18">
        <v>2027</v>
      </c>
      <c r="D1292" t="s">
        <v>163</v>
      </c>
      <c r="E1292" s="20">
        <v>98453.897588309104</v>
      </c>
      <c r="F1292" s="20">
        <v>67068.262832360095</v>
      </c>
      <c r="G1292" s="10">
        <v>67068.016908610196</v>
      </c>
      <c r="H1292" s="21">
        <f t="shared" si="40"/>
        <v>-0.24592374989879318</v>
      </c>
      <c r="I1292" s="10">
        <v>98448.827883966893</v>
      </c>
      <c r="J1292" s="21">
        <f t="shared" si="41"/>
        <v>-5.0697043422114803</v>
      </c>
    </row>
    <row r="1293" spans="1:10">
      <c r="A1293" t="s">
        <v>223</v>
      </c>
      <c r="B1293" t="s">
        <v>225</v>
      </c>
      <c r="C1293" s="18">
        <v>2027</v>
      </c>
      <c r="D1293" t="s">
        <v>173</v>
      </c>
      <c r="E1293" s="20">
        <v>345949.24231810198</v>
      </c>
      <c r="F1293" s="20">
        <v>317122.02627480403</v>
      </c>
      <c r="G1293" s="10">
        <v>317119.55355255498</v>
      </c>
      <c r="H1293" s="21">
        <f t="shared" si="40"/>
        <v>-2.472722249047365</v>
      </c>
      <c r="I1293" s="10">
        <v>345936.70671640302</v>
      </c>
      <c r="J1293" s="21">
        <f t="shared" si="41"/>
        <v>-12.535601698968094</v>
      </c>
    </row>
    <row r="1294" spans="1:10">
      <c r="A1294" t="s">
        <v>223</v>
      </c>
      <c r="B1294" t="s">
        <v>225</v>
      </c>
      <c r="C1294" s="18">
        <v>2027</v>
      </c>
      <c r="D1294" t="s">
        <v>177</v>
      </c>
      <c r="E1294" s="20">
        <v>596169.64368301898</v>
      </c>
      <c r="F1294" s="20">
        <v>344087.87217272999</v>
      </c>
      <c r="G1294" s="10">
        <v>344517.274659827</v>
      </c>
      <c r="H1294" s="21">
        <f t="shared" si="40"/>
        <v>429.402487097017</v>
      </c>
      <c r="I1294" s="10">
        <v>596148.83233467594</v>
      </c>
      <c r="J1294" s="21">
        <f t="shared" si="41"/>
        <v>-20.811348343035206</v>
      </c>
    </row>
    <row r="1295" spans="1:10">
      <c r="A1295" t="s">
        <v>223</v>
      </c>
      <c r="B1295" t="s">
        <v>225</v>
      </c>
      <c r="C1295" s="18">
        <v>2027</v>
      </c>
      <c r="D1295" t="s">
        <v>181</v>
      </c>
      <c r="E1295" s="20">
        <v>423507.59418982302</v>
      </c>
      <c r="F1295" s="20">
        <v>211996.54894404</v>
      </c>
      <c r="G1295" s="10">
        <v>211995.48802417101</v>
      </c>
      <c r="H1295" s="21">
        <f t="shared" si="40"/>
        <v>-1.0609198689926416</v>
      </c>
      <c r="I1295" s="10">
        <v>423485.10132199898</v>
      </c>
      <c r="J1295" s="21">
        <f t="shared" si="41"/>
        <v>-22.492867824039422</v>
      </c>
    </row>
    <row r="1296" spans="1:10">
      <c r="A1296" t="s">
        <v>223</v>
      </c>
      <c r="B1296" t="s">
        <v>225</v>
      </c>
      <c r="C1296" s="18">
        <v>2027</v>
      </c>
      <c r="D1296" t="s">
        <v>209</v>
      </c>
      <c r="E1296" s="20">
        <v>44384.311971939002</v>
      </c>
      <c r="F1296" s="20">
        <v>7080.05741272466</v>
      </c>
      <c r="G1296" s="10">
        <v>7080.0570056816796</v>
      </c>
      <c r="H1296" s="21">
        <f t="shared" si="40"/>
        <v>-4.0704298044147436E-4</v>
      </c>
      <c r="I1296" s="10">
        <v>44384.2018393689</v>
      </c>
      <c r="J1296" s="21">
        <f t="shared" si="41"/>
        <v>-0.11013257010199595</v>
      </c>
    </row>
    <row r="1297" spans="1:10">
      <c r="A1297" t="s">
        <v>223</v>
      </c>
      <c r="B1297" t="s">
        <v>225</v>
      </c>
      <c r="C1297" s="18">
        <v>2028</v>
      </c>
      <c r="D1297" t="s">
        <v>187</v>
      </c>
      <c r="E1297" s="20">
        <v>13731.117554038599</v>
      </c>
      <c r="F1297" s="20">
        <v>9971.6213852022393</v>
      </c>
      <c r="G1297" s="10">
        <v>9971.4547216338906</v>
      </c>
      <c r="H1297" s="21">
        <f t="shared" si="40"/>
        <v>-0.16666356834866747</v>
      </c>
      <c r="I1297" s="10">
        <v>13729.5005000864</v>
      </c>
      <c r="J1297" s="21">
        <f t="shared" si="41"/>
        <v>-1.6170539521990577</v>
      </c>
    </row>
    <row r="1298" spans="1:10">
      <c r="A1298" t="s">
        <v>223</v>
      </c>
      <c r="B1298" t="s">
        <v>225</v>
      </c>
      <c r="C1298" s="18">
        <v>2028</v>
      </c>
      <c r="D1298" t="s">
        <v>227</v>
      </c>
      <c r="E1298" s="20">
        <v>1069011.98964456</v>
      </c>
      <c r="F1298" s="20">
        <v>149622.10550437</v>
      </c>
      <c r="G1298" s="10">
        <v>153077.86738724401</v>
      </c>
      <c r="H1298" s="21">
        <f t="shared" si="40"/>
        <v>3455.7618828740087</v>
      </c>
      <c r="I1298" s="10">
        <v>1069005.07088018</v>
      </c>
      <c r="J1298" s="21">
        <f t="shared" si="41"/>
        <v>-6.9187643800396472</v>
      </c>
    </row>
    <row r="1299" spans="1:10">
      <c r="A1299" t="s">
        <v>223</v>
      </c>
      <c r="B1299" t="s">
        <v>225</v>
      </c>
      <c r="C1299" s="18">
        <v>2028</v>
      </c>
      <c r="D1299" t="s">
        <v>163</v>
      </c>
      <c r="E1299" s="20">
        <v>101808.523260986</v>
      </c>
      <c r="F1299" s="20">
        <v>69020.885636303297</v>
      </c>
      <c r="G1299" s="10">
        <v>69019.933123164999</v>
      </c>
      <c r="H1299" s="21">
        <f t="shared" si="40"/>
        <v>-0.95251313829794526</v>
      </c>
      <c r="I1299" s="10">
        <v>101797.96761407</v>
      </c>
      <c r="J1299" s="21">
        <f t="shared" si="41"/>
        <v>-10.555646915992838</v>
      </c>
    </row>
    <row r="1300" spans="1:10">
      <c r="A1300" t="s">
        <v>223</v>
      </c>
      <c r="B1300" t="s">
        <v>225</v>
      </c>
      <c r="C1300" s="18">
        <v>2028</v>
      </c>
      <c r="D1300" t="s">
        <v>173</v>
      </c>
      <c r="E1300" s="20">
        <v>354991.46167419601</v>
      </c>
      <c r="F1300" s="20">
        <v>325699.06441920903</v>
      </c>
      <c r="G1300" s="10">
        <v>325690.68301689299</v>
      </c>
      <c r="H1300" s="21">
        <f t="shared" si="40"/>
        <v>-8.3814023160375655</v>
      </c>
      <c r="I1300" s="10">
        <v>354965.53581913299</v>
      </c>
      <c r="J1300" s="21">
        <f t="shared" si="41"/>
        <v>-25.925855063018389</v>
      </c>
    </row>
    <row r="1301" spans="1:10">
      <c r="A1301" t="s">
        <v>223</v>
      </c>
      <c r="B1301" t="s">
        <v>225</v>
      </c>
      <c r="C1301" s="18">
        <v>2028</v>
      </c>
      <c r="D1301" t="s">
        <v>177</v>
      </c>
      <c r="E1301" s="20">
        <v>612074.90771269903</v>
      </c>
      <c r="F1301" s="20">
        <v>355501.462973585</v>
      </c>
      <c r="G1301" s="10">
        <v>356073.57143805898</v>
      </c>
      <c r="H1301" s="21">
        <f t="shared" si="40"/>
        <v>572.10846447397489</v>
      </c>
      <c r="I1301" s="10">
        <v>612031.65944475099</v>
      </c>
      <c r="J1301" s="21">
        <f t="shared" si="41"/>
        <v>-43.248267948045395</v>
      </c>
    </row>
    <row r="1302" spans="1:10">
      <c r="A1302" t="s">
        <v>223</v>
      </c>
      <c r="B1302" t="s">
        <v>225</v>
      </c>
      <c r="C1302" s="18">
        <v>2028</v>
      </c>
      <c r="D1302" t="s">
        <v>181</v>
      </c>
      <c r="E1302" s="20">
        <v>437206.50611285999</v>
      </c>
      <c r="F1302" s="20">
        <v>221913.01018840799</v>
      </c>
      <c r="G1302" s="10">
        <v>221908.95856330299</v>
      </c>
      <c r="H1302" s="21">
        <f t="shared" si="40"/>
        <v>-4.0516251049994025</v>
      </c>
      <c r="I1302" s="10">
        <v>437159.75519195799</v>
      </c>
      <c r="J1302" s="21">
        <f t="shared" si="41"/>
        <v>-46.750920902006328</v>
      </c>
    </row>
    <row r="1303" spans="1:10">
      <c r="A1303" t="s">
        <v>223</v>
      </c>
      <c r="B1303" t="s">
        <v>225</v>
      </c>
      <c r="C1303" s="18">
        <v>2028</v>
      </c>
      <c r="D1303" t="s">
        <v>209</v>
      </c>
      <c r="E1303" s="20">
        <v>44510.290903762703</v>
      </c>
      <c r="F1303" s="20">
        <v>7131.0718008247704</v>
      </c>
      <c r="G1303" s="10">
        <v>7131.0701635649802</v>
      </c>
      <c r="H1303" s="21">
        <f t="shared" si="40"/>
        <v>-1.6372597901863628E-3</v>
      </c>
      <c r="I1303" s="10">
        <v>44510.064962992903</v>
      </c>
      <c r="J1303" s="21">
        <f t="shared" si="41"/>
        <v>-0.22594076980021782</v>
      </c>
    </row>
    <row r="1304" spans="1:10">
      <c r="A1304" t="s">
        <v>223</v>
      </c>
      <c r="B1304" t="s">
        <v>225</v>
      </c>
      <c r="C1304" s="18">
        <v>2029</v>
      </c>
      <c r="D1304" t="s">
        <v>187</v>
      </c>
      <c r="E1304" s="20">
        <v>14184.2576283329</v>
      </c>
      <c r="F1304" s="20">
        <v>10301.6371557532</v>
      </c>
      <c r="G1304" s="10">
        <v>10301.2295792609</v>
      </c>
      <c r="H1304" s="21">
        <f t="shared" si="40"/>
        <v>-0.40757649229999515</v>
      </c>
      <c r="I1304" s="10">
        <v>14181.423637546701</v>
      </c>
      <c r="J1304" s="21">
        <f t="shared" si="41"/>
        <v>-2.8339907861991378</v>
      </c>
    </row>
    <row r="1305" spans="1:10">
      <c r="A1305" t="s">
        <v>223</v>
      </c>
      <c r="B1305" t="s">
        <v>225</v>
      </c>
      <c r="C1305" s="18">
        <v>2029</v>
      </c>
      <c r="D1305" t="s">
        <v>227</v>
      </c>
      <c r="E1305" s="20">
        <v>1082264.092461</v>
      </c>
      <c r="F1305" s="20">
        <v>156646.139259677</v>
      </c>
      <c r="G1305" s="10">
        <v>161161.06213209301</v>
      </c>
      <c r="H1305" s="21">
        <f t="shared" si="40"/>
        <v>4514.9228724160057</v>
      </c>
      <c r="I1305" s="10">
        <v>1082252.3942307399</v>
      </c>
      <c r="J1305" s="21">
        <f t="shared" si="41"/>
        <v>-11.698230260051787</v>
      </c>
    </row>
    <row r="1306" spans="1:10">
      <c r="A1306" t="s">
        <v>223</v>
      </c>
      <c r="B1306" t="s">
        <v>225</v>
      </c>
      <c r="C1306" s="18">
        <v>2029</v>
      </c>
      <c r="D1306" t="s">
        <v>163</v>
      </c>
      <c r="E1306" s="20">
        <v>105132.957366667</v>
      </c>
      <c r="F1306" s="20">
        <v>71044.365357955598</v>
      </c>
      <c r="G1306" s="10">
        <v>71042.054429439493</v>
      </c>
      <c r="H1306" s="21">
        <f t="shared" si="40"/>
        <v>-2.3109285161044681</v>
      </c>
      <c r="I1306" s="10">
        <v>105114.693344183</v>
      </c>
      <c r="J1306" s="21">
        <f t="shared" si="41"/>
        <v>-18.264022483999724</v>
      </c>
    </row>
    <row r="1307" spans="1:10">
      <c r="A1307" t="s">
        <v>223</v>
      </c>
      <c r="B1307" t="s">
        <v>225</v>
      </c>
      <c r="C1307" s="18">
        <v>2029</v>
      </c>
      <c r="D1307" t="s">
        <v>173</v>
      </c>
      <c r="E1307" s="20">
        <v>363940.80348494602</v>
      </c>
      <c r="F1307" s="20">
        <v>334311.04597196297</v>
      </c>
      <c r="G1307" s="10">
        <v>334292.677138926</v>
      </c>
      <c r="H1307" s="21">
        <f t="shared" si="40"/>
        <v>-18.368833036976866</v>
      </c>
      <c r="I1307" s="10">
        <v>363896.20424716797</v>
      </c>
      <c r="J1307" s="21">
        <f t="shared" si="41"/>
        <v>-44.599237778049428</v>
      </c>
    </row>
    <row r="1308" spans="1:10">
      <c r="A1308" t="s">
        <v>223</v>
      </c>
      <c r="B1308" t="s">
        <v>225</v>
      </c>
      <c r="C1308" s="18">
        <v>2029</v>
      </c>
      <c r="D1308" t="s">
        <v>177</v>
      </c>
      <c r="E1308" s="20">
        <v>627801.02515083202</v>
      </c>
      <c r="F1308" s="20">
        <v>366861.42851537699</v>
      </c>
      <c r="G1308" s="10">
        <v>367575.22274735</v>
      </c>
      <c r="H1308" s="21">
        <f t="shared" si="40"/>
        <v>713.79423197300639</v>
      </c>
      <c r="I1308" s="10">
        <v>627726.33689879405</v>
      </c>
      <c r="J1308" s="21">
        <f t="shared" si="41"/>
        <v>-74.688252037973143</v>
      </c>
    </row>
    <row r="1309" spans="1:10">
      <c r="A1309" t="s">
        <v>223</v>
      </c>
      <c r="B1309" t="s">
        <v>225</v>
      </c>
      <c r="C1309" s="18">
        <v>2029</v>
      </c>
      <c r="D1309" t="s">
        <v>181</v>
      </c>
      <c r="E1309" s="20">
        <v>450866.93537738902</v>
      </c>
      <c r="F1309" s="20">
        <v>231717.77863903801</v>
      </c>
      <c r="G1309" s="10">
        <v>231708.01887569</v>
      </c>
      <c r="H1309" s="21">
        <f t="shared" si="40"/>
        <v>-9.7597633480036166</v>
      </c>
      <c r="I1309" s="10">
        <v>450786.13401356898</v>
      </c>
      <c r="J1309" s="21">
        <f t="shared" si="41"/>
        <v>-80.801363820035476</v>
      </c>
    </row>
    <row r="1310" spans="1:10">
      <c r="A1310" t="s">
        <v>223</v>
      </c>
      <c r="B1310" t="s">
        <v>225</v>
      </c>
      <c r="C1310" s="18">
        <v>2029</v>
      </c>
      <c r="D1310" t="s">
        <v>209</v>
      </c>
      <c r="E1310" s="20">
        <v>44600.647087301601</v>
      </c>
      <c r="F1310" s="20">
        <v>7178.22341961653</v>
      </c>
      <c r="G1310" s="10">
        <v>7178.2193159725202</v>
      </c>
      <c r="H1310" s="21">
        <f t="shared" si="40"/>
        <v>-4.1036440097741433E-3</v>
      </c>
      <c r="I1310" s="10">
        <v>44600.261443595497</v>
      </c>
      <c r="J1310" s="21">
        <f t="shared" si="41"/>
        <v>-0.38564370610401966</v>
      </c>
    </row>
    <row r="1311" spans="1:10">
      <c r="A1311" t="s">
        <v>223</v>
      </c>
      <c r="B1311" t="s">
        <v>225</v>
      </c>
      <c r="C1311" s="18">
        <v>2030</v>
      </c>
      <c r="D1311" t="s">
        <v>187</v>
      </c>
      <c r="E1311" s="20">
        <v>14635.3800781308</v>
      </c>
      <c r="F1311" s="20">
        <v>10631.0688293972</v>
      </c>
      <c r="G1311" s="10">
        <v>10630.2702680602</v>
      </c>
      <c r="H1311" s="21">
        <f t="shared" si="40"/>
        <v>-0.79856133700013743</v>
      </c>
      <c r="I1311" s="10">
        <v>14630.9263575645</v>
      </c>
      <c r="J1311" s="21">
        <f t="shared" si="41"/>
        <v>-4.453720566300035</v>
      </c>
    </row>
    <row r="1312" spans="1:10">
      <c r="A1312" t="s">
        <v>223</v>
      </c>
      <c r="B1312" t="s">
        <v>225</v>
      </c>
      <c r="C1312" s="18">
        <v>2030</v>
      </c>
      <c r="D1312" t="s">
        <v>227</v>
      </c>
      <c r="E1312" s="20">
        <v>1094974.60239546</v>
      </c>
      <c r="F1312" s="20">
        <v>163662.36888967501</v>
      </c>
      <c r="G1312" s="10">
        <v>169314.83403803801</v>
      </c>
      <c r="H1312" s="21">
        <f t="shared" si="40"/>
        <v>5652.4651483630005</v>
      </c>
      <c r="I1312" s="10">
        <v>1094956.8444496701</v>
      </c>
      <c r="J1312" s="21">
        <f t="shared" si="41"/>
        <v>-17.757945789955556</v>
      </c>
    </row>
    <row r="1313" spans="1:10">
      <c r="A1313" t="s">
        <v>223</v>
      </c>
      <c r="B1313" t="s">
        <v>225</v>
      </c>
      <c r="C1313" s="18">
        <v>2030</v>
      </c>
      <c r="D1313" t="s">
        <v>163</v>
      </c>
      <c r="E1313" s="20">
        <v>108422.144614427</v>
      </c>
      <c r="F1313" s="20">
        <v>73125.295915726805</v>
      </c>
      <c r="G1313" s="10">
        <v>73120.8011068864</v>
      </c>
      <c r="H1313" s="21">
        <f t="shared" si="40"/>
        <v>-4.4948088404053124</v>
      </c>
      <c r="I1313" s="10">
        <v>108393.77376611999</v>
      </c>
      <c r="J1313" s="21">
        <f t="shared" si="41"/>
        <v>-28.370848307007691</v>
      </c>
    </row>
    <row r="1314" spans="1:10">
      <c r="A1314" t="s">
        <v>223</v>
      </c>
      <c r="B1314" t="s">
        <v>225</v>
      </c>
      <c r="C1314" s="18">
        <v>2030</v>
      </c>
      <c r="D1314" t="s">
        <v>173</v>
      </c>
      <c r="E1314" s="20">
        <v>372810.72342750599</v>
      </c>
      <c r="F1314" s="20">
        <v>342922.56570902001</v>
      </c>
      <c r="G1314" s="10">
        <v>342889.63536639401</v>
      </c>
      <c r="H1314" s="21">
        <f t="shared" si="40"/>
        <v>-32.93034262600122</v>
      </c>
      <c r="I1314" s="10">
        <v>372741.79546126397</v>
      </c>
      <c r="J1314" s="21">
        <f t="shared" si="41"/>
        <v>-68.927966242015827</v>
      </c>
    </row>
    <row r="1315" spans="1:10">
      <c r="A1315" t="s">
        <v>223</v>
      </c>
      <c r="B1315" t="s">
        <v>225</v>
      </c>
      <c r="C1315" s="18">
        <v>2030</v>
      </c>
      <c r="D1315" t="s">
        <v>177</v>
      </c>
      <c r="E1315" s="20">
        <v>643270.02133671497</v>
      </c>
      <c r="F1315" s="20">
        <v>378086.42984008801</v>
      </c>
      <c r="G1315" s="10">
        <v>378940.23126744502</v>
      </c>
      <c r="H1315" s="21">
        <f t="shared" si="40"/>
        <v>853.8014273570152</v>
      </c>
      <c r="I1315" s="10">
        <v>643154.21130562795</v>
      </c>
      <c r="J1315" s="21">
        <f t="shared" si="41"/>
        <v>-115.81003108702134</v>
      </c>
    </row>
    <row r="1316" spans="1:10">
      <c r="A1316" t="s">
        <v>223</v>
      </c>
      <c r="B1316" t="s">
        <v>225</v>
      </c>
      <c r="C1316" s="18">
        <v>2030</v>
      </c>
      <c r="D1316" t="s">
        <v>181</v>
      </c>
      <c r="E1316" s="20">
        <v>464485.96267858602</v>
      </c>
      <c r="F1316" s="20">
        <v>241329.22914590701</v>
      </c>
      <c r="G1316" s="10">
        <v>241310.309903655</v>
      </c>
      <c r="H1316" s="21">
        <f t="shared" si="40"/>
        <v>-18.919242252013646</v>
      </c>
      <c r="I1316" s="10">
        <v>464360.51810377202</v>
      </c>
      <c r="J1316" s="21">
        <f t="shared" si="41"/>
        <v>-125.44457481399877</v>
      </c>
    </row>
    <row r="1317" spans="1:10">
      <c r="A1317" t="s">
        <v>223</v>
      </c>
      <c r="B1317" t="s">
        <v>225</v>
      </c>
      <c r="C1317" s="18">
        <v>2030</v>
      </c>
      <c r="D1317" t="s">
        <v>209</v>
      </c>
      <c r="E1317" s="20">
        <v>44647.860435146598</v>
      </c>
      <c r="F1317" s="20">
        <v>7223.1185217101302</v>
      </c>
      <c r="G1317" s="10">
        <v>7223.1103147423601</v>
      </c>
      <c r="H1317" s="21">
        <f t="shared" si="40"/>
        <v>-8.2069677700928878E-3</v>
      </c>
      <c r="I1317" s="10">
        <v>44647.268915282999</v>
      </c>
      <c r="J1317" s="21">
        <f t="shared" si="41"/>
        <v>-0.59151986359938746</v>
      </c>
    </row>
    <row r="1318" spans="1:10">
      <c r="A1318" t="s">
        <v>223</v>
      </c>
      <c r="B1318" t="s">
        <v>225</v>
      </c>
      <c r="C1318" s="18">
        <v>2031</v>
      </c>
      <c r="D1318" t="s">
        <v>187</v>
      </c>
      <c r="E1318" s="20">
        <v>15086.8898166994</v>
      </c>
      <c r="F1318" s="20">
        <v>10956.7963364553</v>
      </c>
      <c r="G1318" s="10">
        <v>10955.4255331558</v>
      </c>
      <c r="H1318" s="21">
        <f t="shared" si="40"/>
        <v>-1.3708032995000394</v>
      </c>
      <c r="I1318" s="10">
        <v>15080.3825495532</v>
      </c>
      <c r="J1318" s="21">
        <f t="shared" si="41"/>
        <v>-6.50726714620032</v>
      </c>
    </row>
    <row r="1319" spans="1:10">
      <c r="A1319" t="s">
        <v>223</v>
      </c>
      <c r="B1319" t="s">
        <v>225</v>
      </c>
      <c r="C1319" s="18">
        <v>2031</v>
      </c>
      <c r="D1319" t="s">
        <v>227</v>
      </c>
      <c r="E1319" s="20">
        <v>1107052.7867372001</v>
      </c>
      <c r="F1319" s="20">
        <v>170643.360707432</v>
      </c>
      <c r="G1319" s="10">
        <v>177510.90619666901</v>
      </c>
      <c r="H1319" s="21">
        <f t="shared" si="40"/>
        <v>6867.5454892370035</v>
      </c>
      <c r="I1319" s="10">
        <v>1107027.6916289399</v>
      </c>
      <c r="J1319" s="21">
        <f t="shared" si="41"/>
        <v>-25.095108260167763</v>
      </c>
    </row>
    <row r="1320" spans="1:10">
      <c r="A1320" t="s">
        <v>223</v>
      </c>
      <c r="B1320" t="s">
        <v>225</v>
      </c>
      <c r="C1320" s="18">
        <v>2031</v>
      </c>
      <c r="D1320" t="s">
        <v>163</v>
      </c>
      <c r="E1320" s="20">
        <v>111673.983364745</v>
      </c>
      <c r="F1320" s="20">
        <v>75237.876322445998</v>
      </c>
      <c r="G1320" s="10">
        <v>75230.219664338001</v>
      </c>
      <c r="H1320" s="21">
        <f t="shared" si="40"/>
        <v>-7.6566581079969183</v>
      </c>
      <c r="I1320" s="10">
        <v>111632.94755435199</v>
      </c>
      <c r="J1320" s="21">
        <f t="shared" si="41"/>
        <v>-41.035810393004795</v>
      </c>
    </row>
    <row r="1321" spans="1:10">
      <c r="A1321" t="s">
        <v>223</v>
      </c>
      <c r="B1321" t="s">
        <v>225</v>
      </c>
      <c r="C1321" s="18">
        <v>2031</v>
      </c>
      <c r="D1321" t="s">
        <v>173</v>
      </c>
      <c r="E1321" s="20">
        <v>381569.50061982602</v>
      </c>
      <c r="F1321" s="20">
        <v>351484.95514425501</v>
      </c>
      <c r="G1321" s="10">
        <v>351432.51867295097</v>
      </c>
      <c r="H1321" s="21">
        <f t="shared" si="40"/>
        <v>-52.436471304041333</v>
      </c>
      <c r="I1321" s="10">
        <v>381470.26678102103</v>
      </c>
      <c r="J1321" s="21">
        <f t="shared" si="41"/>
        <v>-99.233838804997504</v>
      </c>
    </row>
    <row r="1322" spans="1:10">
      <c r="A1322" t="s">
        <v>223</v>
      </c>
      <c r="B1322" t="s">
        <v>225</v>
      </c>
      <c r="C1322" s="18">
        <v>2031</v>
      </c>
      <c r="D1322" t="s">
        <v>177</v>
      </c>
      <c r="E1322" s="20">
        <v>658449.32884429104</v>
      </c>
      <c r="F1322" s="20">
        <v>389189.53743814502</v>
      </c>
      <c r="G1322" s="10">
        <v>390181.00302030199</v>
      </c>
      <c r="H1322" s="21">
        <f t="shared" si="40"/>
        <v>991.46558215696132</v>
      </c>
      <c r="I1322" s="10">
        <v>658282.14926881401</v>
      </c>
      <c r="J1322" s="21">
        <f t="shared" si="41"/>
        <v>-167.17957547702827</v>
      </c>
    </row>
    <row r="1323" spans="1:10">
      <c r="A1323" t="s">
        <v>223</v>
      </c>
      <c r="B1323" t="s">
        <v>225</v>
      </c>
      <c r="C1323" s="18">
        <v>2031</v>
      </c>
      <c r="D1323" t="s">
        <v>181</v>
      </c>
      <c r="E1323" s="20">
        <v>477959.50610633299</v>
      </c>
      <c r="F1323" s="20">
        <v>250848.03486188801</v>
      </c>
      <c r="G1323" s="10">
        <v>250815.78266259201</v>
      </c>
      <c r="H1323" s="21">
        <f t="shared" si="40"/>
        <v>-32.252199295995524</v>
      </c>
      <c r="I1323" s="10">
        <v>477778.14604748198</v>
      </c>
      <c r="J1323" s="21">
        <f t="shared" si="41"/>
        <v>-181.36005885101622</v>
      </c>
    </row>
    <row r="1324" spans="1:10">
      <c r="A1324" t="s">
        <v>223</v>
      </c>
      <c r="B1324" t="s">
        <v>225</v>
      </c>
      <c r="C1324" s="18">
        <v>2031</v>
      </c>
      <c r="D1324" t="s">
        <v>209</v>
      </c>
      <c r="E1324" s="20">
        <v>44641.192724783999</v>
      </c>
      <c r="F1324" s="20">
        <v>7266.7803353938898</v>
      </c>
      <c r="G1324" s="10">
        <v>7266.7660002075399</v>
      </c>
      <c r="H1324" s="21">
        <f t="shared" si="40"/>
        <v>-1.4335186349853757E-2</v>
      </c>
      <c r="I1324" s="10">
        <v>44640.347295477797</v>
      </c>
      <c r="J1324" s="21">
        <f t="shared" si="41"/>
        <v>-0.84542930620227708</v>
      </c>
    </row>
    <row r="1325" spans="1:10">
      <c r="A1325" t="s">
        <v>223</v>
      </c>
      <c r="B1325" t="s">
        <v>225</v>
      </c>
      <c r="C1325" s="18">
        <v>2032</v>
      </c>
      <c r="D1325" t="s">
        <v>187</v>
      </c>
      <c r="E1325" s="20">
        <v>15540.2841163545</v>
      </c>
      <c r="F1325" s="20">
        <v>11276.6470120671</v>
      </c>
      <c r="G1325" s="10">
        <v>11274.495449735199</v>
      </c>
      <c r="H1325" s="21">
        <f t="shared" si="40"/>
        <v>-2.1515623319010047</v>
      </c>
      <c r="I1325" s="10">
        <v>15531.2601955666</v>
      </c>
      <c r="J1325" s="21">
        <f t="shared" si="41"/>
        <v>-9.0239207879003516</v>
      </c>
    </row>
    <row r="1326" spans="1:10">
      <c r="A1326" t="s">
        <v>223</v>
      </c>
      <c r="B1326" t="s">
        <v>225</v>
      </c>
      <c r="C1326" s="18">
        <v>2032</v>
      </c>
      <c r="D1326" t="s">
        <v>227</v>
      </c>
      <c r="E1326" s="20">
        <v>1118511.02883934</v>
      </c>
      <c r="F1326" s="20">
        <v>177566.958307967</v>
      </c>
      <c r="G1326" s="10">
        <v>185725.99905880101</v>
      </c>
      <c r="H1326" s="21">
        <f t="shared" si="40"/>
        <v>8159.040750834014</v>
      </c>
      <c r="I1326" s="10">
        <v>1118477.3274982399</v>
      </c>
      <c r="J1326" s="21">
        <f t="shared" si="41"/>
        <v>-33.701341100037098</v>
      </c>
    </row>
    <row r="1327" spans="1:10">
      <c r="A1327" t="s">
        <v>223</v>
      </c>
      <c r="B1327" t="s">
        <v>225</v>
      </c>
      <c r="C1327" s="18">
        <v>2032</v>
      </c>
      <c r="D1327" t="s">
        <v>163</v>
      </c>
      <c r="E1327" s="20">
        <v>114891.623346767</v>
      </c>
      <c r="F1327" s="20">
        <v>77364.993344670904</v>
      </c>
      <c r="G1327" s="10">
        <v>77353.061023932896</v>
      </c>
      <c r="H1327" s="21">
        <f t="shared" si="40"/>
        <v>-11.932320738007547</v>
      </c>
      <c r="I1327" s="10">
        <v>114835.221802653</v>
      </c>
      <c r="J1327" s="21">
        <f t="shared" si="41"/>
        <v>-56.401544113992713</v>
      </c>
    </row>
    <row r="1328" spans="1:10">
      <c r="A1328" t="s">
        <v>223</v>
      </c>
      <c r="B1328" t="s">
        <v>225</v>
      </c>
      <c r="C1328" s="18">
        <v>2032</v>
      </c>
      <c r="D1328" t="s">
        <v>173</v>
      </c>
      <c r="E1328" s="20">
        <v>390134.16469358199</v>
      </c>
      <c r="F1328" s="20">
        <v>359911.75923115399</v>
      </c>
      <c r="G1328" s="10">
        <v>359834.54685286601</v>
      </c>
      <c r="H1328" s="21">
        <f t="shared" si="40"/>
        <v>-77.212378287978936</v>
      </c>
      <c r="I1328" s="10">
        <v>389998.37668875401</v>
      </c>
      <c r="J1328" s="21">
        <f t="shared" si="41"/>
        <v>-135.78800482797669</v>
      </c>
    </row>
    <row r="1329" spans="1:10">
      <c r="A1329" t="s">
        <v>223</v>
      </c>
      <c r="B1329" t="s">
        <v>225</v>
      </c>
      <c r="C1329" s="18">
        <v>2032</v>
      </c>
      <c r="D1329" t="s">
        <v>177</v>
      </c>
      <c r="E1329" s="20">
        <v>673363.163926156</v>
      </c>
      <c r="F1329" s="20">
        <v>400192.02366451599</v>
      </c>
      <c r="G1329" s="10">
        <v>401318.28619347198</v>
      </c>
      <c r="H1329" s="21">
        <f t="shared" si="40"/>
        <v>1126.2625289559946</v>
      </c>
      <c r="I1329" s="10">
        <v>673133.88827326603</v>
      </c>
      <c r="J1329" s="21">
        <f t="shared" si="41"/>
        <v>-229.27565288997721</v>
      </c>
    </row>
    <row r="1330" spans="1:10">
      <c r="A1330" t="s">
        <v>223</v>
      </c>
      <c r="B1330" t="s">
        <v>225</v>
      </c>
      <c r="C1330" s="18">
        <v>2032</v>
      </c>
      <c r="D1330" t="s">
        <v>181</v>
      </c>
      <c r="E1330" s="20">
        <v>491153.82931610901</v>
      </c>
      <c r="F1330" s="20">
        <v>260397.370218925</v>
      </c>
      <c r="G1330" s="10">
        <v>260346.937343717</v>
      </c>
      <c r="H1330" s="21">
        <f t="shared" si="40"/>
        <v>-50.432875208003679</v>
      </c>
      <c r="I1330" s="10">
        <v>490904.70344577997</v>
      </c>
      <c r="J1330" s="21">
        <f t="shared" si="41"/>
        <v>-249.12587032903684</v>
      </c>
    </row>
    <row r="1331" spans="1:10">
      <c r="A1331" t="s">
        <v>223</v>
      </c>
      <c r="B1331" t="s">
        <v>225</v>
      </c>
      <c r="C1331" s="18">
        <v>2032</v>
      </c>
      <c r="D1331" t="s">
        <v>209</v>
      </c>
      <c r="E1331" s="20">
        <v>44584.394600202599</v>
      </c>
      <c r="F1331" s="20">
        <v>7308.7124149712999</v>
      </c>
      <c r="G1331" s="10">
        <v>7308.6895683399798</v>
      </c>
      <c r="H1331" s="21">
        <f t="shared" si="40"/>
        <v>-2.2846631320135202E-2</v>
      </c>
      <c r="I1331" s="10">
        <v>44583.245501595899</v>
      </c>
      <c r="J1331" s="21">
        <f t="shared" si="41"/>
        <v>-1.1490986067001359</v>
      </c>
    </row>
    <row r="1332" spans="1:10">
      <c r="A1332" t="s">
        <v>223</v>
      </c>
      <c r="B1332" t="s">
        <v>225</v>
      </c>
      <c r="C1332" s="18">
        <v>2033</v>
      </c>
      <c r="D1332" t="s">
        <v>187</v>
      </c>
      <c r="E1332" s="20">
        <v>15995.7473234963</v>
      </c>
      <c r="F1332" s="20">
        <v>11590.1001534066</v>
      </c>
      <c r="G1332" s="10">
        <v>11586.9335708044</v>
      </c>
      <c r="H1332" s="21">
        <f t="shared" si="40"/>
        <v>-3.1665826021999237</v>
      </c>
      <c r="I1332" s="10">
        <v>15983.7175379286</v>
      </c>
      <c r="J1332" s="21">
        <f t="shared" si="41"/>
        <v>-12.029785567699946</v>
      </c>
    </row>
    <row r="1333" spans="1:10">
      <c r="A1333" t="s">
        <v>223</v>
      </c>
      <c r="B1333" t="s">
        <v>225</v>
      </c>
      <c r="C1333" s="18">
        <v>2033</v>
      </c>
      <c r="D1333" t="s">
        <v>227</v>
      </c>
      <c r="E1333" s="20">
        <v>1129277.04326523</v>
      </c>
      <c r="F1333" s="20">
        <v>184427.01145951101</v>
      </c>
      <c r="G1333" s="10">
        <v>193953.224223645</v>
      </c>
      <c r="H1333" s="21">
        <f t="shared" si="40"/>
        <v>9526.2127641339903</v>
      </c>
      <c r="I1333" s="10">
        <v>1129233.47845058</v>
      </c>
      <c r="J1333" s="21">
        <f t="shared" si="41"/>
        <v>-43.564814649987966</v>
      </c>
    </row>
    <row r="1334" spans="1:10">
      <c r="A1334" t="s">
        <v>223</v>
      </c>
      <c r="B1334" t="s">
        <v>225</v>
      </c>
      <c r="C1334" s="18">
        <v>2033</v>
      </c>
      <c r="D1334" t="s">
        <v>163</v>
      </c>
      <c r="E1334" s="20">
        <v>118073.337308049</v>
      </c>
      <c r="F1334" s="20">
        <v>79497.920617608295</v>
      </c>
      <c r="G1334" s="10">
        <v>79480.4761690429</v>
      </c>
      <c r="H1334" s="21">
        <f t="shared" si="40"/>
        <v>-17.44444856539485</v>
      </c>
      <c r="I1334" s="10">
        <v>117998.73843744201</v>
      </c>
      <c r="J1334" s="21">
        <f t="shared" si="41"/>
        <v>-74.598870606991113</v>
      </c>
    </row>
    <row r="1335" spans="1:10">
      <c r="A1335" t="s">
        <v>223</v>
      </c>
      <c r="B1335" t="s">
        <v>225</v>
      </c>
      <c r="C1335" s="18">
        <v>2033</v>
      </c>
      <c r="D1335" t="s">
        <v>173</v>
      </c>
      <c r="E1335" s="20">
        <v>398533.18664444098</v>
      </c>
      <c r="F1335" s="20">
        <v>368159.15691610897</v>
      </c>
      <c r="G1335" s="10">
        <v>368051.62457544298</v>
      </c>
      <c r="H1335" s="21">
        <f t="shared" si="40"/>
        <v>-107.53234066598816</v>
      </c>
      <c r="I1335" s="10">
        <v>398354.344992358</v>
      </c>
      <c r="J1335" s="21">
        <f t="shared" si="41"/>
        <v>-178.84165208297782</v>
      </c>
    </row>
    <row r="1336" spans="1:10">
      <c r="A1336" t="s">
        <v>223</v>
      </c>
      <c r="B1336" t="s">
        <v>225</v>
      </c>
      <c r="C1336" s="18">
        <v>2033</v>
      </c>
      <c r="D1336" t="s">
        <v>177</v>
      </c>
      <c r="E1336" s="20">
        <v>687937.18493777898</v>
      </c>
      <c r="F1336" s="20">
        <v>411090.44266057998</v>
      </c>
      <c r="G1336" s="10">
        <v>412348.075678578</v>
      </c>
      <c r="H1336" s="21">
        <f t="shared" si="40"/>
        <v>1257.6330179980141</v>
      </c>
      <c r="I1336" s="10">
        <v>687634.69954692596</v>
      </c>
      <c r="J1336" s="21">
        <f t="shared" si="41"/>
        <v>-302.48539085302036</v>
      </c>
    </row>
    <row r="1337" spans="1:10">
      <c r="A1337" t="s">
        <v>223</v>
      </c>
      <c r="B1337" t="s">
        <v>225</v>
      </c>
      <c r="C1337" s="18">
        <v>2033</v>
      </c>
      <c r="D1337" t="s">
        <v>181</v>
      </c>
      <c r="E1337" s="20">
        <v>504080.40443560702</v>
      </c>
      <c r="F1337" s="20">
        <v>269957.48309528199</v>
      </c>
      <c r="G1337" s="10">
        <v>269883.407599987</v>
      </c>
      <c r="H1337" s="21">
        <f t="shared" si="40"/>
        <v>-74.075495294993743</v>
      </c>
      <c r="I1337" s="10">
        <v>503751.109420694</v>
      </c>
      <c r="J1337" s="21">
        <f t="shared" si="41"/>
        <v>-329.29501491301926</v>
      </c>
    </row>
    <row r="1338" spans="1:10">
      <c r="A1338" t="s">
        <v>223</v>
      </c>
      <c r="B1338" t="s">
        <v>225</v>
      </c>
      <c r="C1338" s="18">
        <v>2033</v>
      </c>
      <c r="D1338" t="s">
        <v>209</v>
      </c>
      <c r="E1338" s="20">
        <v>44485.1875716266</v>
      </c>
      <c r="F1338" s="20">
        <v>7348.1082131614703</v>
      </c>
      <c r="G1338" s="10">
        <v>7348.0741473220596</v>
      </c>
      <c r="H1338" s="21">
        <f t="shared" si="40"/>
        <v>-3.4065839410686749E-2</v>
      </c>
      <c r="I1338" s="10">
        <v>44483.683589841297</v>
      </c>
      <c r="J1338" s="21">
        <f t="shared" si="41"/>
        <v>-1.5039817853030399</v>
      </c>
    </row>
    <row r="1339" spans="1:10">
      <c r="A1339" t="s">
        <v>223</v>
      </c>
      <c r="B1339" t="s">
        <v>225</v>
      </c>
      <c r="C1339" s="18">
        <v>2034</v>
      </c>
      <c r="D1339" t="s">
        <v>187</v>
      </c>
      <c r="E1339" s="20">
        <v>16452.486920162301</v>
      </c>
      <c r="F1339" s="20">
        <v>11900.821282924</v>
      </c>
      <c r="G1339" s="10">
        <v>11896.382318738601</v>
      </c>
      <c r="H1339" s="21">
        <f t="shared" si="40"/>
        <v>-4.4389641853995272</v>
      </c>
      <c r="I1339" s="10">
        <v>16436.9312806497</v>
      </c>
      <c r="J1339" s="21">
        <f t="shared" si="41"/>
        <v>-15.555639512600465</v>
      </c>
    </row>
    <row r="1340" spans="1:10">
      <c r="A1340" t="s">
        <v>223</v>
      </c>
      <c r="B1340" t="s">
        <v>225</v>
      </c>
      <c r="C1340" s="18">
        <v>2034</v>
      </c>
      <c r="D1340" t="s">
        <v>227</v>
      </c>
      <c r="E1340" s="20">
        <v>1139411.69038911</v>
      </c>
      <c r="F1340" s="20">
        <v>191180.99555651101</v>
      </c>
      <c r="G1340" s="10">
        <v>202147.27044605001</v>
      </c>
      <c r="H1340" s="21">
        <f t="shared" si="40"/>
        <v>10966.274889538996</v>
      </c>
      <c r="I1340" s="10">
        <v>1139357.0195160699</v>
      </c>
      <c r="J1340" s="21">
        <f t="shared" si="41"/>
        <v>-54.67087304010056</v>
      </c>
    </row>
    <row r="1341" spans="1:10">
      <c r="A1341" t="s">
        <v>223</v>
      </c>
      <c r="B1341" t="s">
        <v>225</v>
      </c>
      <c r="C1341" s="18">
        <v>2034</v>
      </c>
      <c r="D1341" t="s">
        <v>163</v>
      </c>
      <c r="E1341" s="20">
        <v>121201.20520038099</v>
      </c>
      <c r="F1341" s="20">
        <v>81619.251179234707</v>
      </c>
      <c r="G1341" s="10">
        <v>81594.948233921197</v>
      </c>
      <c r="H1341" s="21">
        <f t="shared" si="40"/>
        <v>-24.302945313509554</v>
      </c>
      <c r="I1341" s="10">
        <v>121105.471839437</v>
      </c>
      <c r="J1341" s="21">
        <f t="shared" si="41"/>
        <v>-95.733360943995649</v>
      </c>
    </row>
    <row r="1342" spans="1:10">
      <c r="A1342" t="s">
        <v>223</v>
      </c>
      <c r="B1342" t="s">
        <v>225</v>
      </c>
      <c r="C1342" s="18">
        <v>2034</v>
      </c>
      <c r="D1342" t="s">
        <v>173</v>
      </c>
      <c r="E1342" s="20">
        <v>406788.54415828898</v>
      </c>
      <c r="F1342" s="20">
        <v>376171.76357836003</v>
      </c>
      <c r="G1342" s="10">
        <v>376028.13227833499</v>
      </c>
      <c r="H1342" s="21">
        <f t="shared" si="40"/>
        <v>-143.63130002503749</v>
      </c>
      <c r="I1342" s="10">
        <v>406559.86735378799</v>
      </c>
      <c r="J1342" s="21">
        <f t="shared" si="41"/>
        <v>-228.67680450098123</v>
      </c>
    </row>
    <row r="1343" spans="1:10">
      <c r="A1343" t="s">
        <v>223</v>
      </c>
      <c r="B1343" t="s">
        <v>225</v>
      </c>
      <c r="C1343" s="18">
        <v>2034</v>
      </c>
      <c r="D1343" t="s">
        <v>177</v>
      </c>
      <c r="E1343" s="20">
        <v>702078.799170802</v>
      </c>
      <c r="F1343" s="20">
        <v>421874.03826881602</v>
      </c>
      <c r="G1343" s="10">
        <v>423259.10059080599</v>
      </c>
      <c r="H1343" s="21">
        <f t="shared" si="40"/>
        <v>1385.0623219899717</v>
      </c>
      <c r="I1343" s="10">
        <v>701691.67735876795</v>
      </c>
      <c r="J1343" s="21">
        <f t="shared" si="41"/>
        <v>-387.12181203404907</v>
      </c>
    </row>
    <row r="1344" spans="1:10">
      <c r="A1344" t="s">
        <v>223</v>
      </c>
      <c r="B1344" t="s">
        <v>225</v>
      </c>
      <c r="C1344" s="18">
        <v>2034</v>
      </c>
      <c r="D1344" t="s">
        <v>181</v>
      </c>
      <c r="E1344" s="20">
        <v>516828.86271925102</v>
      </c>
      <c r="F1344" s="20">
        <v>279588.70175046602</v>
      </c>
      <c r="G1344" s="10">
        <v>279484.98028522899</v>
      </c>
      <c r="H1344" s="21">
        <f t="shared" si="40"/>
        <v>-103.72146523703123</v>
      </c>
      <c r="I1344" s="10">
        <v>516406.53850878001</v>
      </c>
      <c r="J1344" s="21">
        <f t="shared" si="41"/>
        <v>-422.32421047100797</v>
      </c>
    </row>
    <row r="1345" spans="1:10">
      <c r="A1345" t="s">
        <v>223</v>
      </c>
      <c r="B1345" t="s">
        <v>225</v>
      </c>
      <c r="C1345" s="18">
        <v>2034</v>
      </c>
      <c r="D1345" t="s">
        <v>209</v>
      </c>
      <c r="E1345" s="20">
        <v>44357.096029822198</v>
      </c>
      <c r="F1345" s="20">
        <v>7385.0892263870501</v>
      </c>
      <c r="G1345" s="10">
        <v>7385.0409467521704</v>
      </c>
      <c r="H1345" s="21">
        <f t="shared" si="40"/>
        <v>-4.8279634879691002E-2</v>
      </c>
      <c r="I1345" s="10">
        <v>44355.184450178996</v>
      </c>
      <c r="J1345" s="21">
        <f t="shared" si="41"/>
        <v>-1.9115796432015486</v>
      </c>
    </row>
    <row r="1346" spans="1:10">
      <c r="A1346" t="s">
        <v>223</v>
      </c>
      <c r="B1346" t="s">
        <v>225</v>
      </c>
      <c r="C1346" s="18">
        <v>2035</v>
      </c>
      <c r="D1346" t="s">
        <v>187</v>
      </c>
      <c r="E1346" s="20">
        <v>16911.844366950299</v>
      </c>
      <c r="F1346" s="20">
        <v>12209.0477567691</v>
      </c>
      <c r="G1346" s="10">
        <v>12203.057717863399</v>
      </c>
      <c r="H1346" s="21">
        <f t="shared" ref="H1346:H1409" si="42">G1346-F1346</f>
        <v>-5.990038905700203</v>
      </c>
      <c r="I1346" s="10">
        <v>16892.2141390053</v>
      </c>
      <c r="J1346" s="21">
        <f t="shared" ref="J1346:J1409" si="43">I1346-E1346</f>
        <v>-19.630227944999206</v>
      </c>
    </row>
    <row r="1347" spans="1:10">
      <c r="A1347" t="s">
        <v>223</v>
      </c>
      <c r="B1347" t="s">
        <v>225</v>
      </c>
      <c r="C1347" s="18">
        <v>2035</v>
      </c>
      <c r="D1347" t="s">
        <v>227</v>
      </c>
      <c r="E1347" s="20">
        <v>1149039.1730334801</v>
      </c>
      <c r="F1347" s="20">
        <v>197813.743196822</v>
      </c>
      <c r="G1347" s="10">
        <v>210290.98052792501</v>
      </c>
      <c r="H1347" s="21">
        <f t="shared" si="42"/>
        <v>12477.23733110301</v>
      </c>
      <c r="I1347" s="10">
        <v>1148972.16574985</v>
      </c>
      <c r="J1347" s="21">
        <f t="shared" si="43"/>
        <v>-67.007283630082384</v>
      </c>
    </row>
    <row r="1348" spans="1:10">
      <c r="A1348" t="s">
        <v>223</v>
      </c>
      <c r="B1348" t="s">
        <v>225</v>
      </c>
      <c r="C1348" s="18">
        <v>2035</v>
      </c>
      <c r="D1348" t="s">
        <v>163</v>
      </c>
      <c r="E1348" s="20">
        <v>124268.099674212</v>
      </c>
      <c r="F1348" s="20">
        <v>83727.722823112097</v>
      </c>
      <c r="G1348" s="10">
        <v>83695.117872879797</v>
      </c>
      <c r="H1348" s="21">
        <f t="shared" si="42"/>
        <v>-32.604950232300325</v>
      </c>
      <c r="I1348" s="10">
        <v>124148.20719584401</v>
      </c>
      <c r="J1348" s="21">
        <f t="shared" si="43"/>
        <v>-119.89247836799768</v>
      </c>
    </row>
    <row r="1349" spans="1:10">
      <c r="A1349" t="s">
        <v>223</v>
      </c>
      <c r="B1349" t="s">
        <v>225</v>
      </c>
      <c r="C1349" s="18">
        <v>2035</v>
      </c>
      <c r="D1349" t="s">
        <v>173</v>
      </c>
      <c r="E1349" s="20">
        <v>414818.67202854803</v>
      </c>
      <c r="F1349" s="20">
        <v>383974.537526517</v>
      </c>
      <c r="G1349" s="10">
        <v>383788.76252667198</v>
      </c>
      <c r="H1349" s="21">
        <f t="shared" si="42"/>
        <v>-185.77499984501628</v>
      </c>
      <c r="I1349" s="10">
        <v>414533.16060314502</v>
      </c>
      <c r="J1349" s="21">
        <f t="shared" si="43"/>
        <v>-285.51142540300498</v>
      </c>
    </row>
    <row r="1350" spans="1:10">
      <c r="A1350" t="s">
        <v>223</v>
      </c>
      <c r="B1350" t="s">
        <v>225</v>
      </c>
      <c r="C1350" s="18">
        <v>2035</v>
      </c>
      <c r="D1350" t="s">
        <v>177</v>
      </c>
      <c r="E1350" s="20">
        <v>715815.26291860896</v>
      </c>
      <c r="F1350" s="20">
        <v>432573.80984951201</v>
      </c>
      <c r="G1350" s="10">
        <v>434082.03155119502</v>
      </c>
      <c r="H1350" s="21">
        <f t="shared" si="42"/>
        <v>1508.2217016830109</v>
      </c>
      <c r="I1350" s="10">
        <v>715331.78882210201</v>
      </c>
      <c r="J1350" s="21">
        <f t="shared" si="43"/>
        <v>-483.47409650695045</v>
      </c>
    </row>
    <row r="1351" spans="1:10">
      <c r="A1351" t="s">
        <v>223</v>
      </c>
      <c r="B1351" t="s">
        <v>225</v>
      </c>
      <c r="C1351" s="18">
        <v>2035</v>
      </c>
      <c r="D1351" t="s">
        <v>181</v>
      </c>
      <c r="E1351" s="20">
        <v>529346.93646857305</v>
      </c>
      <c r="F1351" s="20">
        <v>289290.681776674</v>
      </c>
      <c r="G1351" s="10">
        <v>289150.80243598297</v>
      </c>
      <c r="H1351" s="21">
        <f t="shared" si="42"/>
        <v>-139.8793406910263</v>
      </c>
      <c r="I1351" s="10">
        <v>528818.37188395299</v>
      </c>
      <c r="J1351" s="21">
        <f t="shared" si="43"/>
        <v>-528.56458462006412</v>
      </c>
    </row>
    <row r="1352" spans="1:10">
      <c r="A1352" t="s">
        <v>223</v>
      </c>
      <c r="B1352" t="s">
        <v>225</v>
      </c>
      <c r="C1352" s="18">
        <v>2035</v>
      </c>
      <c r="D1352" t="s">
        <v>209</v>
      </c>
      <c r="E1352" s="20">
        <v>44209.080619036802</v>
      </c>
      <c r="F1352" s="20">
        <v>7420.0446027690696</v>
      </c>
      <c r="G1352" s="10">
        <v>7419.9788551932097</v>
      </c>
      <c r="H1352" s="21">
        <f t="shared" si="42"/>
        <v>-6.5747575859859353E-2</v>
      </c>
      <c r="I1352" s="10">
        <v>44206.707306712102</v>
      </c>
      <c r="J1352" s="21">
        <f t="shared" si="43"/>
        <v>-2.3733123247002368</v>
      </c>
    </row>
    <row r="1353" spans="1:10">
      <c r="A1353" t="s">
        <v>223</v>
      </c>
      <c r="B1353" t="s">
        <v>225</v>
      </c>
      <c r="C1353" s="18">
        <v>2036</v>
      </c>
      <c r="D1353" t="s">
        <v>187</v>
      </c>
      <c r="E1353" s="20">
        <v>17374.940637047199</v>
      </c>
      <c r="F1353" s="20">
        <v>12514.7397922245</v>
      </c>
      <c r="G1353" s="10">
        <v>12506.9021026876</v>
      </c>
      <c r="H1353" s="21">
        <f t="shared" si="42"/>
        <v>-7.8376895369001431</v>
      </c>
      <c r="I1353" s="10">
        <v>17350.6546269342</v>
      </c>
      <c r="J1353" s="21">
        <f t="shared" si="43"/>
        <v>-24.286010112999065</v>
      </c>
    </row>
    <row r="1354" spans="1:10">
      <c r="A1354" t="s">
        <v>223</v>
      </c>
      <c r="B1354" t="s">
        <v>225</v>
      </c>
      <c r="C1354" s="18">
        <v>2036</v>
      </c>
      <c r="D1354" t="s">
        <v>227</v>
      </c>
      <c r="E1354" s="20">
        <v>1158346.7119195799</v>
      </c>
      <c r="F1354" s="20">
        <v>204313.62867029599</v>
      </c>
      <c r="G1354" s="10">
        <v>218370.687575925</v>
      </c>
      <c r="H1354" s="21">
        <f t="shared" si="42"/>
        <v>14057.058905629005</v>
      </c>
      <c r="I1354" s="10">
        <v>1158266.1377582899</v>
      </c>
      <c r="J1354" s="21">
        <f t="shared" si="43"/>
        <v>-80.574161289958283</v>
      </c>
    </row>
    <row r="1355" spans="1:10">
      <c r="A1355" t="s">
        <v>223</v>
      </c>
      <c r="B1355" t="s">
        <v>225</v>
      </c>
      <c r="C1355" s="18">
        <v>2036</v>
      </c>
      <c r="D1355" t="s">
        <v>163</v>
      </c>
      <c r="E1355" s="20">
        <v>127285.637155619</v>
      </c>
      <c r="F1355" s="20">
        <v>85807.998487205899</v>
      </c>
      <c r="G1355" s="10">
        <v>85765.564735317093</v>
      </c>
      <c r="H1355" s="21">
        <f t="shared" si="42"/>
        <v>-42.433751888806</v>
      </c>
      <c r="I1355" s="10">
        <v>127138.451085333</v>
      </c>
      <c r="J1355" s="21">
        <f t="shared" si="43"/>
        <v>-147.18607028599945</v>
      </c>
    </row>
    <row r="1356" spans="1:10">
      <c r="A1356" t="s">
        <v>223</v>
      </c>
      <c r="B1356" t="s">
        <v>225</v>
      </c>
      <c r="C1356" s="18">
        <v>2036</v>
      </c>
      <c r="D1356" t="s">
        <v>173</v>
      </c>
      <c r="E1356" s="20">
        <v>422582.204768378</v>
      </c>
      <c r="F1356" s="20">
        <v>391520.07923363702</v>
      </c>
      <c r="G1356" s="10">
        <v>391285.95573958702</v>
      </c>
      <c r="H1356" s="21">
        <f t="shared" si="42"/>
        <v>-234.12349404999986</v>
      </c>
      <c r="I1356" s="10">
        <v>422232.65992213303</v>
      </c>
      <c r="J1356" s="21">
        <f t="shared" si="43"/>
        <v>-349.54484624497127</v>
      </c>
    </row>
    <row r="1357" spans="1:10">
      <c r="A1357" t="s">
        <v>223</v>
      </c>
      <c r="B1357" t="s">
        <v>225</v>
      </c>
      <c r="C1357" s="18">
        <v>2036</v>
      </c>
      <c r="D1357" t="s">
        <v>177</v>
      </c>
      <c r="E1357" s="20">
        <v>729123.44971696101</v>
      </c>
      <c r="F1357" s="20">
        <v>443121.367047354</v>
      </c>
      <c r="G1357" s="10">
        <v>444747.90756616899</v>
      </c>
      <c r="H1357" s="21">
        <f t="shared" si="42"/>
        <v>1626.5405188149889</v>
      </c>
      <c r="I1357" s="10">
        <v>728531.610160843</v>
      </c>
      <c r="J1357" s="21">
        <f t="shared" si="43"/>
        <v>-591.83955611800775</v>
      </c>
    </row>
    <row r="1358" spans="1:10">
      <c r="A1358" t="s">
        <v>223</v>
      </c>
      <c r="B1358" t="s">
        <v>225</v>
      </c>
      <c r="C1358" s="18">
        <v>2036</v>
      </c>
      <c r="D1358" t="s">
        <v>181</v>
      </c>
      <c r="E1358" s="20">
        <v>541700.78019904101</v>
      </c>
      <c r="F1358" s="20">
        <v>299062.61401233298</v>
      </c>
      <c r="G1358" s="10">
        <v>298879.61130973301</v>
      </c>
      <c r="H1358" s="21">
        <f t="shared" si="42"/>
        <v>-183.00270259997342</v>
      </c>
      <c r="I1358" s="10">
        <v>541052.28077363002</v>
      </c>
      <c r="J1358" s="21">
        <f t="shared" si="43"/>
        <v>-648.49942541099153</v>
      </c>
    </row>
    <row r="1359" spans="1:10">
      <c r="A1359" t="s">
        <v>223</v>
      </c>
      <c r="B1359" t="s">
        <v>225</v>
      </c>
      <c r="C1359" s="18">
        <v>2036</v>
      </c>
      <c r="D1359" t="s">
        <v>209</v>
      </c>
      <c r="E1359" s="20">
        <v>44052.888766691802</v>
      </c>
      <c r="F1359" s="20">
        <v>7453.4218101611204</v>
      </c>
      <c r="G1359" s="10">
        <v>7453.3351271514002</v>
      </c>
      <c r="H1359" s="21">
        <f t="shared" si="42"/>
        <v>-8.6683009720218251E-2</v>
      </c>
      <c r="I1359" s="10">
        <v>44049.998378272197</v>
      </c>
      <c r="J1359" s="21">
        <f t="shared" si="43"/>
        <v>-2.8903884196042782</v>
      </c>
    </row>
    <row r="1360" spans="1:10">
      <c r="A1360" t="s">
        <v>223</v>
      </c>
      <c r="B1360" t="s">
        <v>225</v>
      </c>
      <c r="C1360" s="18">
        <v>2037</v>
      </c>
      <c r="D1360" t="s">
        <v>187</v>
      </c>
      <c r="E1360" s="20">
        <v>17842.061440227499</v>
      </c>
      <c r="F1360" s="20">
        <v>12817.4962798987</v>
      </c>
      <c r="G1360" s="10">
        <v>12807.501268399201</v>
      </c>
      <c r="H1360" s="21">
        <f t="shared" si="42"/>
        <v>-9.9950114994990145</v>
      </c>
      <c r="I1360" s="10">
        <v>17812.5035281772</v>
      </c>
      <c r="J1360" s="21">
        <f t="shared" si="43"/>
        <v>-29.55791205029891</v>
      </c>
    </row>
    <row r="1361" spans="1:10">
      <c r="A1361" t="s">
        <v>223</v>
      </c>
      <c r="B1361" t="s">
        <v>225</v>
      </c>
      <c r="C1361" s="18">
        <v>2037</v>
      </c>
      <c r="D1361" t="s">
        <v>227</v>
      </c>
      <c r="E1361" s="20">
        <v>1167460.0450232599</v>
      </c>
      <c r="F1361" s="20">
        <v>210669.73575472299</v>
      </c>
      <c r="G1361" s="10">
        <v>226373.365626062</v>
      </c>
      <c r="H1361" s="21">
        <f t="shared" si="42"/>
        <v>15703.629871339013</v>
      </c>
      <c r="I1361" s="10">
        <v>1167364.6654137501</v>
      </c>
      <c r="J1361" s="21">
        <f t="shared" si="43"/>
        <v>-95.379609509836882</v>
      </c>
    </row>
    <row r="1362" spans="1:10">
      <c r="A1362" t="s">
        <v>223</v>
      </c>
      <c r="B1362" t="s">
        <v>225</v>
      </c>
      <c r="C1362" s="18">
        <v>2037</v>
      </c>
      <c r="D1362" t="s">
        <v>163</v>
      </c>
      <c r="E1362" s="20">
        <v>130269.829861383</v>
      </c>
      <c r="F1362" s="20">
        <v>87839.729552792996</v>
      </c>
      <c r="G1362" s="10">
        <v>87785.873914228694</v>
      </c>
      <c r="H1362" s="21">
        <f t="shared" si="42"/>
        <v>-53.855638564302353</v>
      </c>
      <c r="I1362" s="10">
        <v>130092.112965313</v>
      </c>
      <c r="J1362" s="21">
        <f t="shared" si="43"/>
        <v>-177.7168960699928</v>
      </c>
    </row>
    <row r="1363" spans="1:10">
      <c r="A1363" t="s">
        <v>223</v>
      </c>
      <c r="B1363" t="s">
        <v>225</v>
      </c>
      <c r="C1363" s="18">
        <v>2037</v>
      </c>
      <c r="D1363" t="s">
        <v>173</v>
      </c>
      <c r="E1363" s="20">
        <v>430095.62267161702</v>
      </c>
      <c r="F1363" s="20">
        <v>398762.57814439799</v>
      </c>
      <c r="G1363" s="10">
        <v>398473.81338660797</v>
      </c>
      <c r="H1363" s="21">
        <f t="shared" si="42"/>
        <v>-288.76475779002067</v>
      </c>
      <c r="I1363" s="10">
        <v>429674.679324948</v>
      </c>
      <c r="J1363" s="21">
        <f t="shared" si="43"/>
        <v>-420.94334666902432</v>
      </c>
    </row>
    <row r="1364" spans="1:10">
      <c r="A1364" t="s">
        <v>223</v>
      </c>
      <c r="B1364" t="s">
        <v>225</v>
      </c>
      <c r="C1364" s="18">
        <v>2037</v>
      </c>
      <c r="D1364" t="s">
        <v>177</v>
      </c>
      <c r="E1364" s="20">
        <v>741973.94991691504</v>
      </c>
      <c r="F1364" s="20">
        <v>453428.70267537498</v>
      </c>
      <c r="G1364" s="10">
        <v>455168.18452875799</v>
      </c>
      <c r="H1364" s="21">
        <f t="shared" si="42"/>
        <v>1739.4818533830112</v>
      </c>
      <c r="I1364" s="10">
        <v>741261.42723499297</v>
      </c>
      <c r="J1364" s="21">
        <f t="shared" si="43"/>
        <v>-712.52268192206975</v>
      </c>
    </row>
    <row r="1365" spans="1:10">
      <c r="A1365" t="s">
        <v>223</v>
      </c>
      <c r="B1365" t="s">
        <v>225</v>
      </c>
      <c r="C1365" s="18">
        <v>2037</v>
      </c>
      <c r="D1365" t="s">
        <v>181</v>
      </c>
      <c r="E1365" s="20">
        <v>554041.20869699901</v>
      </c>
      <c r="F1365" s="20">
        <v>308899.558633067</v>
      </c>
      <c r="G1365" s="10">
        <v>308666.04356230202</v>
      </c>
      <c r="H1365" s="21">
        <f t="shared" si="42"/>
        <v>-233.5150707649882</v>
      </c>
      <c r="I1365" s="10">
        <v>553258.51776135701</v>
      </c>
      <c r="J1365" s="21">
        <f t="shared" si="43"/>
        <v>-782.69093564199284</v>
      </c>
    </row>
    <row r="1366" spans="1:10">
      <c r="A1366" t="s">
        <v>223</v>
      </c>
      <c r="B1366" t="s">
        <v>225</v>
      </c>
      <c r="C1366" s="18">
        <v>2037</v>
      </c>
      <c r="D1366" t="s">
        <v>209</v>
      </c>
      <c r="E1366" s="20">
        <v>43889.9599513414</v>
      </c>
      <c r="F1366" s="20">
        <v>7485.75071221905</v>
      </c>
      <c r="G1366" s="10">
        <v>7485.6394586101196</v>
      </c>
      <c r="H1366" s="21">
        <f t="shared" si="42"/>
        <v>-0.11125360893038305</v>
      </c>
      <c r="I1366" s="10">
        <v>43886.496639761303</v>
      </c>
      <c r="J1366" s="21">
        <f t="shared" si="43"/>
        <v>-3.46331158009707</v>
      </c>
    </row>
    <row r="1367" spans="1:10">
      <c r="A1367" t="s">
        <v>223</v>
      </c>
      <c r="B1367" t="s">
        <v>225</v>
      </c>
      <c r="C1367" s="18">
        <v>2038</v>
      </c>
      <c r="D1367" t="s">
        <v>187</v>
      </c>
      <c r="E1367" s="20">
        <v>18314.103501527199</v>
      </c>
      <c r="F1367" s="20">
        <v>13120.7359009956</v>
      </c>
      <c r="G1367" s="10">
        <v>13108.258682167399</v>
      </c>
      <c r="H1367" s="21">
        <f t="shared" si="42"/>
        <v>-12.477218828200421</v>
      </c>
      <c r="I1367" s="10">
        <v>18278.619531582299</v>
      </c>
      <c r="J1367" s="21">
        <f t="shared" si="43"/>
        <v>-35.483969944900309</v>
      </c>
    </row>
    <row r="1368" spans="1:10">
      <c r="A1368" t="s">
        <v>223</v>
      </c>
      <c r="B1368" t="s">
        <v>225</v>
      </c>
      <c r="C1368" s="18">
        <v>2038</v>
      </c>
      <c r="D1368" t="s">
        <v>227</v>
      </c>
      <c r="E1368" s="20">
        <v>1176397.64621244</v>
      </c>
      <c r="F1368" s="20">
        <v>216871.74378745499</v>
      </c>
      <c r="G1368" s="10">
        <v>234286.30240329501</v>
      </c>
      <c r="H1368" s="21">
        <f t="shared" si="42"/>
        <v>17414.558615840011</v>
      </c>
      <c r="I1368" s="10">
        <v>1176286.23006217</v>
      </c>
      <c r="J1368" s="21">
        <f t="shared" si="43"/>
        <v>-111.4161502700299</v>
      </c>
    </row>
    <row r="1369" spans="1:10">
      <c r="A1369" t="s">
        <v>223</v>
      </c>
      <c r="B1369" t="s">
        <v>225</v>
      </c>
      <c r="C1369" s="18">
        <v>2038</v>
      </c>
      <c r="D1369" t="s">
        <v>163</v>
      </c>
      <c r="E1369" s="20">
        <v>133216.337812165</v>
      </c>
      <c r="F1369" s="20">
        <v>89829.847625475697</v>
      </c>
      <c r="G1369" s="10">
        <v>89762.908504627194</v>
      </c>
      <c r="H1369" s="21">
        <f t="shared" si="42"/>
        <v>-66.93912084850308</v>
      </c>
      <c r="I1369" s="10">
        <v>133004.77137127001</v>
      </c>
      <c r="J1369" s="21">
        <f t="shared" si="43"/>
        <v>-211.56644089499605</v>
      </c>
    </row>
    <row r="1370" spans="1:10">
      <c r="A1370" t="s">
        <v>223</v>
      </c>
      <c r="B1370" t="s">
        <v>225</v>
      </c>
      <c r="C1370" s="18">
        <v>2038</v>
      </c>
      <c r="D1370" t="s">
        <v>173</v>
      </c>
      <c r="E1370" s="20">
        <v>437378.228707859</v>
      </c>
      <c r="F1370" s="20">
        <v>405734.80700564198</v>
      </c>
      <c r="G1370" s="10">
        <v>405384.95777232101</v>
      </c>
      <c r="H1370" s="21">
        <f t="shared" si="42"/>
        <v>-349.84923332097242</v>
      </c>
      <c r="I1370" s="10">
        <v>436878.35953831702</v>
      </c>
      <c r="J1370" s="21">
        <f t="shared" si="43"/>
        <v>-499.86916954198387</v>
      </c>
    </row>
    <row r="1371" spans="1:10">
      <c r="A1371" t="s">
        <v>223</v>
      </c>
      <c r="B1371" t="s">
        <v>225</v>
      </c>
      <c r="C1371" s="18">
        <v>2038</v>
      </c>
      <c r="D1371" t="s">
        <v>177</v>
      </c>
      <c r="E1371" s="20">
        <v>754406.62983629096</v>
      </c>
      <c r="F1371" s="20">
        <v>463496.151343551</v>
      </c>
      <c r="G1371" s="10">
        <v>465342.91786371003</v>
      </c>
      <c r="H1371" s="21">
        <f t="shared" si="42"/>
        <v>1846.766520159028</v>
      </c>
      <c r="I1371" s="10">
        <v>753560.82214679301</v>
      </c>
      <c r="J1371" s="21">
        <f t="shared" si="43"/>
        <v>-845.80768949794583</v>
      </c>
    </row>
    <row r="1372" spans="1:10">
      <c r="A1372" t="s">
        <v>223</v>
      </c>
      <c r="B1372" t="s">
        <v>225</v>
      </c>
      <c r="C1372" s="18">
        <v>2038</v>
      </c>
      <c r="D1372" t="s">
        <v>181</v>
      </c>
      <c r="E1372" s="20">
        <v>566335.25436633697</v>
      </c>
      <c r="F1372" s="20">
        <v>318752.84031891997</v>
      </c>
      <c r="G1372" s="10">
        <v>318461.02224812203</v>
      </c>
      <c r="H1372" s="21">
        <f t="shared" si="42"/>
        <v>-291.81807079794817</v>
      </c>
      <c r="I1372" s="10">
        <v>565403.75879938505</v>
      </c>
      <c r="J1372" s="21">
        <f t="shared" si="43"/>
        <v>-931.49556695192587</v>
      </c>
    </row>
    <row r="1373" spans="1:10">
      <c r="A1373" t="s">
        <v>223</v>
      </c>
      <c r="B1373" t="s">
        <v>225</v>
      </c>
      <c r="C1373" s="18">
        <v>2038</v>
      </c>
      <c r="D1373" t="s">
        <v>209</v>
      </c>
      <c r="E1373" s="20">
        <v>43734.837721274598</v>
      </c>
      <c r="F1373" s="20">
        <v>7517.9099361559302</v>
      </c>
      <c r="G1373" s="10">
        <v>7517.77035327065</v>
      </c>
      <c r="H1373" s="21">
        <f t="shared" si="42"/>
        <v>-0.13958288528010598</v>
      </c>
      <c r="I1373" s="10">
        <v>43730.744850638199</v>
      </c>
      <c r="J1373" s="21">
        <f t="shared" si="43"/>
        <v>-4.0928706363993115</v>
      </c>
    </row>
    <row r="1374" spans="1:10">
      <c r="A1374" t="s">
        <v>223</v>
      </c>
      <c r="B1374" t="s">
        <v>225</v>
      </c>
      <c r="C1374" s="18">
        <v>2039</v>
      </c>
      <c r="D1374" t="s">
        <v>187</v>
      </c>
      <c r="E1374" s="20">
        <v>18794.183938629001</v>
      </c>
      <c r="F1374" s="20">
        <v>13419.972088914499</v>
      </c>
      <c r="G1374" s="10">
        <v>13404.669620275599</v>
      </c>
      <c r="H1374" s="21">
        <f t="shared" si="42"/>
        <v>-15.302468638899882</v>
      </c>
      <c r="I1374" s="10">
        <v>18752.090499402999</v>
      </c>
      <c r="J1374" s="21">
        <f t="shared" si="43"/>
        <v>-42.093439226002374</v>
      </c>
    </row>
    <row r="1375" spans="1:10">
      <c r="A1375" t="s">
        <v>223</v>
      </c>
      <c r="B1375" t="s">
        <v>225</v>
      </c>
      <c r="C1375" s="18">
        <v>2039</v>
      </c>
      <c r="D1375" t="s">
        <v>227</v>
      </c>
      <c r="E1375" s="20">
        <v>1184867.07536506</v>
      </c>
      <c r="F1375" s="20">
        <v>222942.25720283599</v>
      </c>
      <c r="G1375" s="10">
        <v>242132.19115316399</v>
      </c>
      <c r="H1375" s="21">
        <f t="shared" si="42"/>
        <v>19189.933950328006</v>
      </c>
      <c r="I1375" s="10">
        <v>1184738.3918449101</v>
      </c>
      <c r="J1375" s="21">
        <f t="shared" si="43"/>
        <v>-128.68352014990523</v>
      </c>
    </row>
    <row r="1376" spans="1:10">
      <c r="A1376" t="s">
        <v>223</v>
      </c>
      <c r="B1376" t="s">
        <v>225</v>
      </c>
      <c r="C1376" s="18">
        <v>2039</v>
      </c>
      <c r="D1376" t="s">
        <v>163</v>
      </c>
      <c r="E1376" s="20">
        <v>136120.92780446401</v>
      </c>
      <c r="F1376" s="20">
        <v>91798.103970971904</v>
      </c>
      <c r="G1376" s="10">
        <v>91716.366353602294</v>
      </c>
      <c r="H1376" s="21">
        <f t="shared" si="42"/>
        <v>-81.737617369610234</v>
      </c>
      <c r="I1376" s="10">
        <v>135872.13136763001</v>
      </c>
      <c r="J1376" s="21">
        <f t="shared" si="43"/>
        <v>-248.79643683400354</v>
      </c>
    </row>
    <row r="1377" spans="1:10">
      <c r="A1377" t="s">
        <v>223</v>
      </c>
      <c r="B1377" t="s">
        <v>225</v>
      </c>
      <c r="C1377" s="18">
        <v>2039</v>
      </c>
      <c r="D1377" t="s">
        <v>173</v>
      </c>
      <c r="E1377" s="20">
        <v>444492.32673238998</v>
      </c>
      <c r="F1377" s="20">
        <v>412537.73193979298</v>
      </c>
      <c r="G1377" s="10">
        <v>412120.21350488003</v>
      </c>
      <c r="H1377" s="21">
        <f t="shared" si="42"/>
        <v>-417.51843491295585</v>
      </c>
      <c r="I1377" s="10">
        <v>443905.980748337</v>
      </c>
      <c r="J1377" s="21">
        <f t="shared" si="43"/>
        <v>-586.34598405298311</v>
      </c>
    </row>
    <row r="1378" spans="1:10">
      <c r="A1378" t="s">
        <v>223</v>
      </c>
      <c r="B1378" t="s">
        <v>225</v>
      </c>
      <c r="C1378" s="18">
        <v>2039</v>
      </c>
      <c r="D1378" t="s">
        <v>177</v>
      </c>
      <c r="E1378" s="20">
        <v>766520.245412427</v>
      </c>
      <c r="F1378" s="20">
        <v>473321.70007516502</v>
      </c>
      <c r="G1378" s="10">
        <v>475269.78752891801</v>
      </c>
      <c r="H1378" s="21">
        <f t="shared" si="42"/>
        <v>1948.0874537529889</v>
      </c>
      <c r="I1378" s="10">
        <v>765528.46783885697</v>
      </c>
      <c r="J1378" s="21">
        <f t="shared" si="43"/>
        <v>-991.77757357002702</v>
      </c>
    </row>
    <row r="1379" spans="1:10">
      <c r="A1379" t="s">
        <v>223</v>
      </c>
      <c r="B1379" t="s">
        <v>225</v>
      </c>
      <c r="C1379" s="18">
        <v>2039</v>
      </c>
      <c r="D1379" t="s">
        <v>181</v>
      </c>
      <c r="E1379" s="20">
        <v>578509.89080656494</v>
      </c>
      <c r="F1379" s="20">
        <v>328604.89239842899</v>
      </c>
      <c r="G1379" s="10">
        <v>328246.40127636801</v>
      </c>
      <c r="H1379" s="21">
        <f t="shared" si="42"/>
        <v>-358.49112206097925</v>
      </c>
      <c r="I1379" s="10">
        <v>577414.514396235</v>
      </c>
      <c r="J1379" s="21">
        <f t="shared" si="43"/>
        <v>-1095.3764103299472</v>
      </c>
    </row>
    <row r="1380" spans="1:10">
      <c r="A1380" t="s">
        <v>223</v>
      </c>
      <c r="B1380" t="s">
        <v>225</v>
      </c>
      <c r="C1380" s="18">
        <v>2039</v>
      </c>
      <c r="D1380" t="s">
        <v>209</v>
      </c>
      <c r="E1380" s="20">
        <v>43593.625698873802</v>
      </c>
      <c r="F1380" s="20">
        <v>7547.7316561962298</v>
      </c>
      <c r="G1380" s="10">
        <v>7547.5598608641003</v>
      </c>
      <c r="H1380" s="21">
        <f t="shared" si="42"/>
        <v>-0.17179533212947717</v>
      </c>
      <c r="I1380" s="10">
        <v>43588.845456636998</v>
      </c>
      <c r="J1380" s="21">
        <f t="shared" si="43"/>
        <v>-4.7802422368040425</v>
      </c>
    </row>
    <row r="1381" spans="1:10">
      <c r="A1381" t="s">
        <v>223</v>
      </c>
      <c r="B1381" t="s">
        <v>225</v>
      </c>
      <c r="C1381" s="18">
        <v>2040</v>
      </c>
      <c r="D1381" t="s">
        <v>187</v>
      </c>
      <c r="E1381" s="20">
        <v>19285.1713468942</v>
      </c>
      <c r="F1381" s="20">
        <v>13717.459912234601</v>
      </c>
      <c r="G1381" s="10">
        <v>13698.9721681132</v>
      </c>
      <c r="H1381" s="21">
        <f t="shared" si="42"/>
        <v>-18.487744121401192</v>
      </c>
      <c r="I1381" s="10">
        <v>19235.736542927301</v>
      </c>
      <c r="J1381" s="21">
        <f t="shared" si="43"/>
        <v>-49.434803966898471</v>
      </c>
    </row>
    <row r="1382" spans="1:10">
      <c r="A1382" t="s">
        <v>223</v>
      </c>
      <c r="B1382" t="s">
        <v>225</v>
      </c>
      <c r="C1382" s="18">
        <v>2040</v>
      </c>
      <c r="D1382" t="s">
        <v>227</v>
      </c>
      <c r="E1382" s="20">
        <v>1192781.6162471799</v>
      </c>
      <c r="F1382" s="20">
        <v>228867.39735804099</v>
      </c>
      <c r="G1382" s="10">
        <v>249894.478827588</v>
      </c>
      <c r="H1382" s="21">
        <f t="shared" si="42"/>
        <v>21027.081469547004</v>
      </c>
      <c r="I1382" s="10">
        <v>1192634.43006365</v>
      </c>
      <c r="J1382" s="21">
        <f t="shared" si="43"/>
        <v>-147.18618352990597</v>
      </c>
    </row>
    <row r="1383" spans="1:10">
      <c r="A1383" t="s">
        <v>223</v>
      </c>
      <c r="B1383" t="s">
        <v>225</v>
      </c>
      <c r="C1383" s="18">
        <v>2040</v>
      </c>
      <c r="D1383" t="s">
        <v>163</v>
      </c>
      <c r="E1383" s="20">
        <v>138979.282992155</v>
      </c>
      <c r="F1383" s="20">
        <v>93735.191453558597</v>
      </c>
      <c r="G1383" s="10">
        <v>93636.896760059302</v>
      </c>
      <c r="H1383" s="21">
        <f t="shared" si="42"/>
        <v>-98.294693499294226</v>
      </c>
      <c r="I1383" s="10">
        <v>138689.796610277</v>
      </c>
      <c r="J1383" s="21">
        <f t="shared" si="43"/>
        <v>-289.48638187799952</v>
      </c>
    </row>
    <row r="1384" spans="1:10">
      <c r="A1384" t="s">
        <v>223</v>
      </c>
      <c r="B1384" t="s">
        <v>225</v>
      </c>
      <c r="C1384" s="18">
        <v>2040</v>
      </c>
      <c r="D1384" t="s">
        <v>173</v>
      </c>
      <c r="E1384" s="20">
        <v>451522.29486631398</v>
      </c>
      <c r="F1384" s="20">
        <v>419112.57999105297</v>
      </c>
      <c r="G1384" s="10">
        <v>418620.90894817398</v>
      </c>
      <c r="H1384" s="21">
        <f t="shared" si="42"/>
        <v>-491.67104287899565</v>
      </c>
      <c r="I1384" s="10">
        <v>450841.764596063</v>
      </c>
      <c r="J1384" s="21">
        <f t="shared" si="43"/>
        <v>-680.53027025097981</v>
      </c>
    </row>
    <row r="1385" spans="1:10">
      <c r="A1385" t="s">
        <v>223</v>
      </c>
      <c r="B1385" t="s">
        <v>225</v>
      </c>
      <c r="C1385" s="18">
        <v>2040</v>
      </c>
      <c r="D1385" t="s">
        <v>177</v>
      </c>
      <c r="E1385" s="20">
        <v>778238.95589430805</v>
      </c>
      <c r="F1385" s="20">
        <v>482903.93428534601</v>
      </c>
      <c r="G1385" s="10">
        <v>484947.105425179</v>
      </c>
      <c r="H1385" s="21">
        <f t="shared" si="42"/>
        <v>2043.1711398329935</v>
      </c>
      <c r="I1385" s="10">
        <v>777088.49670209095</v>
      </c>
      <c r="J1385" s="21">
        <f t="shared" si="43"/>
        <v>-1150.4591922170948</v>
      </c>
    </row>
    <row r="1386" spans="1:10">
      <c r="A1386" t="s">
        <v>223</v>
      </c>
      <c r="B1386" t="s">
        <v>225</v>
      </c>
      <c r="C1386" s="18">
        <v>2040</v>
      </c>
      <c r="D1386" t="s">
        <v>181</v>
      </c>
      <c r="E1386" s="20">
        <v>590634.63815956004</v>
      </c>
      <c r="F1386" s="20">
        <v>338473.07515694998</v>
      </c>
      <c r="G1386" s="10">
        <v>338039.01043044601</v>
      </c>
      <c r="H1386" s="21">
        <f t="shared" si="42"/>
        <v>-434.06472650397336</v>
      </c>
      <c r="I1386" s="10">
        <v>589359.73383284197</v>
      </c>
      <c r="J1386" s="21">
        <f t="shared" si="43"/>
        <v>-1274.9043267180678</v>
      </c>
    </row>
    <row r="1387" spans="1:10">
      <c r="A1387" t="s">
        <v>223</v>
      </c>
      <c r="B1387" t="s">
        <v>225</v>
      </c>
      <c r="C1387" s="18">
        <v>2040</v>
      </c>
      <c r="D1387" t="s">
        <v>209</v>
      </c>
      <c r="E1387" s="20">
        <v>43470.386326170497</v>
      </c>
      <c r="F1387" s="20">
        <v>7573.9335613942503</v>
      </c>
      <c r="G1387" s="10">
        <v>7573.7255608269897</v>
      </c>
      <c r="H1387" s="21">
        <f t="shared" si="42"/>
        <v>-0.20800056726056937</v>
      </c>
      <c r="I1387" s="10">
        <v>43464.859681883601</v>
      </c>
      <c r="J1387" s="21">
        <f t="shared" si="43"/>
        <v>-5.5266442868960439</v>
      </c>
    </row>
    <row r="1388" spans="1:10">
      <c r="A1388" t="s">
        <v>223</v>
      </c>
      <c r="B1388" t="s">
        <v>225</v>
      </c>
      <c r="C1388" s="18">
        <v>2041</v>
      </c>
      <c r="D1388" t="s">
        <v>187</v>
      </c>
      <c r="E1388" s="20">
        <v>19784.824329008999</v>
      </c>
      <c r="F1388" s="20">
        <v>14013.6601275094</v>
      </c>
      <c r="G1388" s="10">
        <v>13991.606690282801</v>
      </c>
      <c r="H1388" s="21">
        <f t="shared" si="42"/>
        <v>-22.053437226599272</v>
      </c>
      <c r="I1388" s="10">
        <v>19727.283486384</v>
      </c>
      <c r="J1388" s="21">
        <f t="shared" si="43"/>
        <v>-57.540842624999641</v>
      </c>
    </row>
    <row r="1389" spans="1:10">
      <c r="A1389" t="s">
        <v>223</v>
      </c>
      <c r="B1389" t="s">
        <v>225</v>
      </c>
      <c r="C1389" s="18">
        <v>2041</v>
      </c>
      <c r="D1389" t="s">
        <v>227</v>
      </c>
      <c r="E1389" s="20">
        <v>1200155.1112444301</v>
      </c>
      <c r="F1389" s="20">
        <v>234672.56726006401</v>
      </c>
      <c r="G1389" s="10">
        <v>257599.044002988</v>
      </c>
      <c r="H1389" s="21">
        <f t="shared" si="42"/>
        <v>22926.476742923987</v>
      </c>
      <c r="I1389" s="10">
        <v>1199988.17586749</v>
      </c>
      <c r="J1389" s="21">
        <f t="shared" si="43"/>
        <v>-166.93537694006227</v>
      </c>
    </row>
    <row r="1390" spans="1:10">
      <c r="A1390" t="s">
        <v>223</v>
      </c>
      <c r="B1390" t="s">
        <v>225</v>
      </c>
      <c r="C1390" s="18">
        <v>2041</v>
      </c>
      <c r="D1390" t="s">
        <v>163</v>
      </c>
      <c r="E1390" s="20">
        <v>141809.37959884701</v>
      </c>
      <c r="F1390" s="20">
        <v>95643.664310442502</v>
      </c>
      <c r="G1390" s="10">
        <v>95527.0063786807</v>
      </c>
      <c r="H1390" s="21">
        <f t="shared" si="42"/>
        <v>-116.65793176180159</v>
      </c>
      <c r="I1390" s="10">
        <v>141475.570851386</v>
      </c>
      <c r="J1390" s="21">
        <f t="shared" si="43"/>
        <v>-333.80874746100744</v>
      </c>
    </row>
    <row r="1391" spans="1:10">
      <c r="A1391" t="s">
        <v>223</v>
      </c>
      <c r="B1391" t="s">
        <v>225</v>
      </c>
      <c r="C1391" s="18">
        <v>2041</v>
      </c>
      <c r="D1391" t="s">
        <v>173</v>
      </c>
      <c r="E1391" s="20">
        <v>458480.749600654</v>
      </c>
      <c r="F1391" s="20">
        <v>425578.33946154697</v>
      </c>
      <c r="G1391" s="10">
        <v>425005.77720965003</v>
      </c>
      <c r="H1391" s="21">
        <f t="shared" si="42"/>
        <v>-572.56225189694669</v>
      </c>
      <c r="I1391" s="10">
        <v>457698.12813480198</v>
      </c>
      <c r="J1391" s="21">
        <f t="shared" si="43"/>
        <v>-782.62146585201845</v>
      </c>
    </row>
    <row r="1392" spans="1:10">
      <c r="A1392" t="s">
        <v>223</v>
      </c>
      <c r="B1392" t="s">
        <v>225</v>
      </c>
      <c r="C1392" s="18">
        <v>2041</v>
      </c>
      <c r="D1392" t="s">
        <v>177</v>
      </c>
      <c r="E1392" s="20">
        <v>789615.77254262904</v>
      </c>
      <c r="F1392" s="20">
        <v>492259.22444411198</v>
      </c>
      <c r="G1392" s="10">
        <v>494390.87324825901</v>
      </c>
      <c r="H1392" s="21">
        <f t="shared" si="42"/>
        <v>2131.6488041470293</v>
      </c>
      <c r="I1392" s="10">
        <v>788293.24275668897</v>
      </c>
      <c r="J1392" s="21">
        <f t="shared" si="43"/>
        <v>-1322.5297859400744</v>
      </c>
    </row>
    <row r="1393" spans="1:10">
      <c r="A1393" t="s">
        <v>223</v>
      </c>
      <c r="B1393" t="s">
        <v>225</v>
      </c>
      <c r="C1393" s="18">
        <v>2041</v>
      </c>
      <c r="D1393" t="s">
        <v>181</v>
      </c>
      <c r="E1393" s="20">
        <v>602625.71798048704</v>
      </c>
      <c r="F1393" s="20">
        <v>348444.12045830698</v>
      </c>
      <c r="G1393" s="10">
        <v>347924.76632707799</v>
      </c>
      <c r="H1393" s="21">
        <f t="shared" si="42"/>
        <v>-519.35413122898899</v>
      </c>
      <c r="I1393" s="10">
        <v>601155.34094696096</v>
      </c>
      <c r="J1393" s="21">
        <f t="shared" si="43"/>
        <v>-1470.3770335260779</v>
      </c>
    </row>
    <row r="1394" spans="1:10">
      <c r="A1394" t="s">
        <v>223</v>
      </c>
      <c r="B1394" t="s">
        <v>225</v>
      </c>
      <c r="C1394" s="18">
        <v>2041</v>
      </c>
      <c r="D1394" t="s">
        <v>209</v>
      </c>
      <c r="E1394" s="20">
        <v>43367.268644485099</v>
      </c>
      <c r="F1394" s="20">
        <v>7596.2438080942102</v>
      </c>
      <c r="G1394" s="10">
        <v>7595.9953338682099</v>
      </c>
      <c r="H1394" s="21">
        <f t="shared" si="42"/>
        <v>-0.24847422600032587</v>
      </c>
      <c r="I1394" s="10">
        <v>43360.9356755525</v>
      </c>
      <c r="J1394" s="21">
        <f t="shared" si="43"/>
        <v>-6.3329689325983054</v>
      </c>
    </row>
    <row r="1395" spans="1:10">
      <c r="A1395" t="s">
        <v>223</v>
      </c>
      <c r="B1395" t="s">
        <v>225</v>
      </c>
      <c r="C1395" s="18">
        <v>2042</v>
      </c>
      <c r="D1395" t="s">
        <v>187</v>
      </c>
      <c r="E1395" s="20">
        <v>20288.704561660801</v>
      </c>
      <c r="F1395" s="20">
        <v>14310.640295499699</v>
      </c>
      <c r="G1395" s="10">
        <v>14284.6169088399</v>
      </c>
      <c r="H1395" s="21">
        <f t="shared" si="42"/>
        <v>-26.023386659799144</v>
      </c>
      <c r="I1395" s="10">
        <v>20222.268399164699</v>
      </c>
      <c r="J1395" s="21">
        <f t="shared" si="43"/>
        <v>-66.436162496102042</v>
      </c>
    </row>
    <row r="1396" spans="1:10">
      <c r="A1396" t="s">
        <v>223</v>
      </c>
      <c r="B1396" t="s">
        <v>225</v>
      </c>
      <c r="C1396" s="18">
        <v>2042</v>
      </c>
      <c r="D1396" t="s">
        <v>227</v>
      </c>
      <c r="E1396" s="20">
        <v>1206987.5280049299</v>
      </c>
      <c r="F1396" s="20">
        <v>240399.124896692</v>
      </c>
      <c r="G1396" s="10">
        <v>265289.409116733</v>
      </c>
      <c r="H1396" s="21">
        <f t="shared" si="42"/>
        <v>24890.284220041009</v>
      </c>
      <c r="I1396" s="10">
        <v>1206799.58929471</v>
      </c>
      <c r="J1396" s="21">
        <f t="shared" si="43"/>
        <v>-187.93871021992527</v>
      </c>
    </row>
    <row r="1397" spans="1:10">
      <c r="A1397" t="s">
        <v>223</v>
      </c>
      <c r="B1397" t="s">
        <v>225</v>
      </c>
      <c r="C1397" s="18">
        <v>2042</v>
      </c>
      <c r="D1397" t="s">
        <v>163</v>
      </c>
      <c r="E1397" s="20">
        <v>144630.05303081099</v>
      </c>
      <c r="F1397" s="20">
        <v>97543.061791117507</v>
      </c>
      <c r="G1397" s="10">
        <v>97406.156977096296</v>
      </c>
      <c r="H1397" s="21">
        <f t="shared" si="42"/>
        <v>-136.90481402121077</v>
      </c>
      <c r="I1397" s="10">
        <v>144248.066926011</v>
      </c>
      <c r="J1397" s="21">
        <f t="shared" si="43"/>
        <v>-381.98610479998752</v>
      </c>
    </row>
    <row r="1398" spans="1:10">
      <c r="A1398" t="s">
        <v>223</v>
      </c>
      <c r="B1398" t="s">
        <v>225</v>
      </c>
      <c r="C1398" s="18">
        <v>2042</v>
      </c>
      <c r="D1398" t="s">
        <v>173</v>
      </c>
      <c r="E1398" s="20">
        <v>465379.87195886398</v>
      </c>
      <c r="F1398" s="20">
        <v>432057.60972392</v>
      </c>
      <c r="G1398" s="10">
        <v>431397.042999706</v>
      </c>
      <c r="H1398" s="21">
        <f t="shared" si="42"/>
        <v>-660.56672421400435</v>
      </c>
      <c r="I1398" s="10">
        <v>464487.03899019101</v>
      </c>
      <c r="J1398" s="21">
        <f t="shared" si="43"/>
        <v>-892.83296867297031</v>
      </c>
    </row>
    <row r="1399" spans="1:10">
      <c r="A1399" t="s">
        <v>223</v>
      </c>
      <c r="B1399" t="s">
        <v>225</v>
      </c>
      <c r="C1399" s="18">
        <v>2042</v>
      </c>
      <c r="D1399" t="s">
        <v>177</v>
      </c>
      <c r="E1399" s="20">
        <v>800734.74450814805</v>
      </c>
      <c r="F1399" s="20">
        <v>501390.79297315102</v>
      </c>
      <c r="G1399" s="10">
        <v>503603.80380956898</v>
      </c>
      <c r="H1399" s="21">
        <f t="shared" si="42"/>
        <v>2213.0108364179614</v>
      </c>
      <c r="I1399" s="10">
        <v>799225.499121645</v>
      </c>
      <c r="J1399" s="21">
        <f t="shared" si="43"/>
        <v>-1509.2453865030548</v>
      </c>
    </row>
    <row r="1400" spans="1:10">
      <c r="A1400" t="s">
        <v>223</v>
      </c>
      <c r="B1400" t="s">
        <v>225</v>
      </c>
      <c r="C1400" s="18">
        <v>2042</v>
      </c>
      <c r="D1400" t="s">
        <v>181</v>
      </c>
      <c r="E1400" s="20">
        <v>614346.12196224194</v>
      </c>
      <c r="F1400" s="20">
        <v>358546.13364706299</v>
      </c>
      <c r="G1400" s="10">
        <v>357930.93950443697</v>
      </c>
      <c r="H1400" s="21">
        <f t="shared" si="42"/>
        <v>-615.1941426260164</v>
      </c>
      <c r="I1400" s="10">
        <v>612664.177038008</v>
      </c>
      <c r="J1400" s="21">
        <f t="shared" si="43"/>
        <v>-1681.9449242339469</v>
      </c>
    </row>
    <row r="1401" spans="1:10">
      <c r="A1401" t="s">
        <v>223</v>
      </c>
      <c r="B1401" t="s">
        <v>225</v>
      </c>
      <c r="C1401" s="18">
        <v>2042</v>
      </c>
      <c r="D1401" t="s">
        <v>209</v>
      </c>
      <c r="E1401" s="20">
        <v>43285.928698865901</v>
      </c>
      <c r="F1401" s="20">
        <v>7616.8864502725401</v>
      </c>
      <c r="G1401" s="10">
        <v>7616.5928035502902</v>
      </c>
      <c r="H1401" s="21">
        <f t="shared" si="42"/>
        <v>-0.29364672224983224</v>
      </c>
      <c r="I1401" s="10">
        <v>43278.728481607301</v>
      </c>
      <c r="J1401" s="21">
        <f t="shared" si="43"/>
        <v>-7.2002172585998778</v>
      </c>
    </row>
    <row r="1402" spans="1:10">
      <c r="A1402" t="s">
        <v>223</v>
      </c>
      <c r="B1402" t="s">
        <v>225</v>
      </c>
      <c r="C1402" s="18">
        <v>2043</v>
      </c>
      <c r="D1402" t="s">
        <v>187</v>
      </c>
      <c r="E1402" s="20">
        <v>20796.717125988402</v>
      </c>
      <c r="F1402" s="20">
        <v>14603.3017745123</v>
      </c>
      <c r="G1402" s="10">
        <v>14572.883153271399</v>
      </c>
      <c r="H1402" s="21">
        <f t="shared" si="42"/>
        <v>-30.418621240900393</v>
      </c>
      <c r="I1402" s="10">
        <v>20720.548205455299</v>
      </c>
      <c r="J1402" s="21">
        <f t="shared" si="43"/>
        <v>-76.168920533102209</v>
      </c>
    </row>
    <row r="1403" spans="1:10">
      <c r="A1403" t="s">
        <v>223</v>
      </c>
      <c r="B1403" t="s">
        <v>225</v>
      </c>
      <c r="C1403" s="18">
        <v>2043</v>
      </c>
      <c r="D1403" t="s">
        <v>227</v>
      </c>
      <c r="E1403" s="20">
        <v>1213259.47349477</v>
      </c>
      <c r="F1403" s="20">
        <v>246034.824081926</v>
      </c>
      <c r="G1403" s="10">
        <v>272950.43541917799</v>
      </c>
      <c r="H1403" s="21">
        <f t="shared" si="42"/>
        <v>26915.61133725199</v>
      </c>
      <c r="I1403" s="10">
        <v>1213049.26096591</v>
      </c>
      <c r="J1403" s="21">
        <f t="shared" si="43"/>
        <v>-210.21252885996364</v>
      </c>
    </row>
    <row r="1404" spans="1:10">
      <c r="A1404" t="s">
        <v>223</v>
      </c>
      <c r="B1404" t="s">
        <v>225</v>
      </c>
      <c r="C1404" s="18">
        <v>2043</v>
      </c>
      <c r="D1404" t="s">
        <v>163</v>
      </c>
      <c r="E1404" s="20">
        <v>147427.98836842901</v>
      </c>
      <c r="F1404" s="20">
        <v>99430.4990522929</v>
      </c>
      <c r="G1404" s="10">
        <v>99271.391168072907</v>
      </c>
      <c r="H1404" s="21">
        <f t="shared" si="42"/>
        <v>-159.10788421999314</v>
      </c>
      <c r="I1404" s="10">
        <v>146993.81420820701</v>
      </c>
      <c r="J1404" s="21">
        <f t="shared" si="43"/>
        <v>-434.17416022199905</v>
      </c>
    </row>
    <row r="1405" spans="1:10">
      <c r="A1405" t="s">
        <v>223</v>
      </c>
      <c r="B1405" t="s">
        <v>225</v>
      </c>
      <c r="C1405" s="18">
        <v>2043</v>
      </c>
      <c r="D1405" t="s">
        <v>173</v>
      </c>
      <c r="E1405" s="20">
        <v>472166.190027754</v>
      </c>
      <c r="F1405" s="20">
        <v>438435.67070987797</v>
      </c>
      <c r="G1405" s="10">
        <v>437679.98847184202</v>
      </c>
      <c r="H1405" s="21">
        <f t="shared" si="42"/>
        <v>-755.68223803595174</v>
      </c>
      <c r="I1405" s="10">
        <v>471154.83958066901</v>
      </c>
      <c r="J1405" s="21">
        <f t="shared" si="43"/>
        <v>-1011.3504470849875</v>
      </c>
    </row>
    <row r="1406" spans="1:10">
      <c r="A1406" t="s">
        <v>223</v>
      </c>
      <c r="B1406" t="s">
        <v>225</v>
      </c>
      <c r="C1406" s="18">
        <v>2043</v>
      </c>
      <c r="D1406" t="s">
        <v>177</v>
      </c>
      <c r="E1406" s="20">
        <v>811726.26202559797</v>
      </c>
      <c r="F1406" s="20">
        <v>510323.62236488197</v>
      </c>
      <c r="G1406" s="10">
        <v>512610.44917931297</v>
      </c>
      <c r="H1406" s="21">
        <f t="shared" si="42"/>
        <v>2286.8268144309986</v>
      </c>
      <c r="I1406" s="10">
        <v>810014.77283431904</v>
      </c>
      <c r="J1406" s="21">
        <f t="shared" si="43"/>
        <v>-1711.4891912789317</v>
      </c>
    </row>
    <row r="1407" spans="1:10">
      <c r="A1407" t="s">
        <v>223</v>
      </c>
      <c r="B1407" t="s">
        <v>225</v>
      </c>
      <c r="C1407" s="18">
        <v>2043</v>
      </c>
      <c r="D1407" t="s">
        <v>181</v>
      </c>
      <c r="E1407" s="20">
        <v>625863.64846416796</v>
      </c>
      <c r="F1407" s="20">
        <v>368681.32810858497</v>
      </c>
      <c r="G1407" s="10">
        <v>367959.059248153</v>
      </c>
      <c r="H1407" s="21">
        <f t="shared" si="42"/>
        <v>-722.2688604319701</v>
      </c>
      <c r="I1407" s="10">
        <v>623953.35649413895</v>
      </c>
      <c r="J1407" s="21">
        <f t="shared" si="43"/>
        <v>-1910.2919700290076</v>
      </c>
    </row>
    <row r="1408" spans="1:10">
      <c r="A1408" t="s">
        <v>223</v>
      </c>
      <c r="B1408" t="s">
        <v>225</v>
      </c>
      <c r="C1408" s="18">
        <v>2043</v>
      </c>
      <c r="D1408" t="s">
        <v>209</v>
      </c>
      <c r="E1408" s="20">
        <v>43240.268741787302</v>
      </c>
      <c r="F1408" s="20">
        <v>7634.9820201296598</v>
      </c>
      <c r="G1408" s="10">
        <v>7634.6380979097503</v>
      </c>
      <c r="H1408" s="21">
        <f t="shared" si="42"/>
        <v>-0.34392221990947291</v>
      </c>
      <c r="I1408" s="10">
        <v>43232.1385441846</v>
      </c>
      <c r="J1408" s="21">
        <f t="shared" si="43"/>
        <v>-8.1301976027025376</v>
      </c>
    </row>
    <row r="1409" spans="1:10">
      <c r="A1409" t="s">
        <v>223</v>
      </c>
      <c r="B1409" t="s">
        <v>225</v>
      </c>
      <c r="C1409" s="18">
        <v>2044</v>
      </c>
      <c r="D1409" t="s">
        <v>187</v>
      </c>
      <c r="E1409" s="20">
        <v>21307.051829538199</v>
      </c>
      <c r="F1409" s="20">
        <v>14896.688796079699</v>
      </c>
      <c r="G1409" s="10">
        <v>14861.4315691186</v>
      </c>
      <c r="H1409" s="21">
        <f t="shared" si="42"/>
        <v>-35.25722696109915</v>
      </c>
      <c r="I1409" s="10">
        <v>21220.2473713984</v>
      </c>
      <c r="J1409" s="21">
        <f t="shared" si="43"/>
        <v>-86.804458139798953</v>
      </c>
    </row>
    <row r="1410" spans="1:10">
      <c r="A1410" t="s">
        <v>223</v>
      </c>
      <c r="B1410" t="s">
        <v>225</v>
      </c>
      <c r="C1410" s="18">
        <v>2044</v>
      </c>
      <c r="D1410" t="s">
        <v>227</v>
      </c>
      <c r="E1410" s="20">
        <v>1219222.2437197601</v>
      </c>
      <c r="F1410" s="20">
        <v>251513.05222315399</v>
      </c>
      <c r="G1410" s="10">
        <v>280506.44153550803</v>
      </c>
      <c r="H1410" s="21">
        <f t="shared" ref="H1410:H1473" si="44">G1410-F1410</f>
        <v>28993.389312354033</v>
      </c>
      <c r="I1410" s="10">
        <v>1218988.4670045001</v>
      </c>
      <c r="J1410" s="21">
        <f t="shared" ref="J1410:J1473" si="45">I1410-E1410</f>
        <v>-233.77671525999904</v>
      </c>
    </row>
    <row r="1411" spans="1:10">
      <c r="A1411" t="s">
        <v>223</v>
      </c>
      <c r="B1411" t="s">
        <v>225</v>
      </c>
      <c r="C1411" s="18">
        <v>2044</v>
      </c>
      <c r="D1411" t="s">
        <v>163</v>
      </c>
      <c r="E1411" s="20">
        <v>150186.74389480299</v>
      </c>
      <c r="F1411" s="20">
        <v>101295.66082833101</v>
      </c>
      <c r="G1411" s="10">
        <v>101112.290089553</v>
      </c>
      <c r="H1411" s="21">
        <f t="shared" si="44"/>
        <v>-183.3707387780014</v>
      </c>
      <c r="I1411" s="10">
        <v>149696.21396730101</v>
      </c>
      <c r="J1411" s="21">
        <f t="shared" si="45"/>
        <v>-490.52992750197882</v>
      </c>
    </row>
    <row r="1412" spans="1:10">
      <c r="A1412" t="s">
        <v>223</v>
      </c>
      <c r="B1412" t="s">
        <v>225</v>
      </c>
      <c r="C1412" s="18">
        <v>2044</v>
      </c>
      <c r="D1412" t="s">
        <v>173</v>
      </c>
      <c r="E1412" s="20">
        <v>478719.64858762099</v>
      </c>
      <c r="F1412" s="20">
        <v>444658.67709749797</v>
      </c>
      <c r="G1412" s="10">
        <v>443800.63719739497</v>
      </c>
      <c r="H1412" s="21">
        <f t="shared" si="44"/>
        <v>-858.03990010300186</v>
      </c>
      <c r="I1412" s="10">
        <v>477581.31483664498</v>
      </c>
      <c r="J1412" s="21">
        <f t="shared" si="45"/>
        <v>-1138.3337509760167</v>
      </c>
    </row>
    <row r="1413" spans="1:10">
      <c r="A1413" t="s">
        <v>223</v>
      </c>
      <c r="B1413" t="s">
        <v>225</v>
      </c>
      <c r="C1413" s="18">
        <v>2044</v>
      </c>
      <c r="D1413" t="s">
        <v>177</v>
      </c>
      <c r="E1413" s="20">
        <v>822672.46883340401</v>
      </c>
      <c r="F1413" s="20">
        <v>519067.53520434903</v>
      </c>
      <c r="G1413" s="10">
        <v>521420.17033099697</v>
      </c>
      <c r="H1413" s="21">
        <f t="shared" si="44"/>
        <v>2352.6351266479469</v>
      </c>
      <c r="I1413" s="10">
        <v>820742.37012193399</v>
      </c>
      <c r="J1413" s="21">
        <f t="shared" si="45"/>
        <v>-1930.0987114700256</v>
      </c>
    </row>
    <row r="1414" spans="1:10">
      <c r="A1414" t="s">
        <v>223</v>
      </c>
      <c r="B1414" t="s">
        <v>225</v>
      </c>
      <c r="C1414" s="18">
        <v>2044</v>
      </c>
      <c r="D1414" t="s">
        <v>181</v>
      </c>
      <c r="E1414" s="20">
        <v>637180.45666794397</v>
      </c>
      <c r="F1414" s="20">
        <v>378759.62683695799</v>
      </c>
      <c r="G1414" s="10">
        <v>377918.58989895799</v>
      </c>
      <c r="H1414" s="21">
        <f t="shared" si="44"/>
        <v>-841.03693800000474</v>
      </c>
      <c r="I1414" s="10">
        <v>635024.54646764905</v>
      </c>
      <c r="J1414" s="21">
        <f t="shared" si="45"/>
        <v>-2155.9102002949221</v>
      </c>
    </row>
    <row r="1415" spans="1:10">
      <c r="A1415" t="s">
        <v>223</v>
      </c>
      <c r="B1415" t="s">
        <v>225</v>
      </c>
      <c r="C1415" s="18">
        <v>2044</v>
      </c>
      <c r="D1415" t="s">
        <v>209</v>
      </c>
      <c r="E1415" s="20">
        <v>43211.754469643602</v>
      </c>
      <c r="F1415" s="20">
        <v>7653.1215454980602</v>
      </c>
      <c r="G1415" s="10">
        <v>7652.7218257366803</v>
      </c>
      <c r="H1415" s="21">
        <f t="shared" si="44"/>
        <v>-0.39971976137985621</v>
      </c>
      <c r="I1415" s="10">
        <v>43202.630038859497</v>
      </c>
      <c r="J1415" s="21">
        <f t="shared" si="45"/>
        <v>-9.1244307841043337</v>
      </c>
    </row>
    <row r="1416" spans="1:10">
      <c r="A1416" t="s">
        <v>223</v>
      </c>
      <c r="B1416" t="s">
        <v>225</v>
      </c>
      <c r="C1416" s="18">
        <v>2045</v>
      </c>
      <c r="D1416" t="s">
        <v>187</v>
      </c>
      <c r="E1416" s="20">
        <v>21815.983165243801</v>
      </c>
      <c r="F1416" s="20">
        <v>15188.861769639499</v>
      </c>
      <c r="G1416" s="10">
        <v>15148.297956242301</v>
      </c>
      <c r="H1416" s="21">
        <f t="shared" si="44"/>
        <v>-40.563813397198828</v>
      </c>
      <c r="I1416" s="10">
        <v>21717.616521529701</v>
      </c>
      <c r="J1416" s="21">
        <f t="shared" si="45"/>
        <v>-98.366643714100064</v>
      </c>
    </row>
    <row r="1417" spans="1:10">
      <c r="A1417" t="s">
        <v>223</v>
      </c>
      <c r="B1417" t="s">
        <v>225</v>
      </c>
      <c r="C1417" s="18">
        <v>2045</v>
      </c>
      <c r="D1417" t="s">
        <v>227</v>
      </c>
      <c r="E1417" s="20">
        <v>1224927.5825726299</v>
      </c>
      <c r="F1417" s="20">
        <v>256807.31779935001</v>
      </c>
      <c r="G1417" s="10">
        <v>287925.04322278401</v>
      </c>
      <c r="H1417" s="21">
        <f t="shared" si="44"/>
        <v>31117.725423433993</v>
      </c>
      <c r="I1417" s="10">
        <v>1224668.96644768</v>
      </c>
      <c r="J1417" s="21">
        <f t="shared" si="45"/>
        <v>-258.61612494988367</v>
      </c>
    </row>
    <row r="1418" spans="1:10">
      <c r="A1418" t="s">
        <v>223</v>
      </c>
      <c r="B1418" t="s">
        <v>225</v>
      </c>
      <c r="C1418" s="18">
        <v>2045</v>
      </c>
      <c r="D1418" t="s">
        <v>163</v>
      </c>
      <c r="E1418" s="20">
        <v>152889.183426306</v>
      </c>
      <c r="F1418" s="20">
        <v>103145.089450367</v>
      </c>
      <c r="G1418" s="10">
        <v>102935.314985138</v>
      </c>
      <c r="H1418" s="21">
        <f t="shared" si="44"/>
        <v>-209.77446522899845</v>
      </c>
      <c r="I1418" s="10">
        <v>152338.05281588601</v>
      </c>
      <c r="J1418" s="21">
        <f t="shared" si="45"/>
        <v>-551.13061041999026</v>
      </c>
    </row>
    <row r="1419" spans="1:10">
      <c r="A1419" t="s">
        <v>223</v>
      </c>
      <c r="B1419" t="s">
        <v>225</v>
      </c>
      <c r="C1419" s="18">
        <v>2045</v>
      </c>
      <c r="D1419" t="s">
        <v>173</v>
      </c>
      <c r="E1419" s="20">
        <v>484997.23503213702</v>
      </c>
      <c r="F1419" s="20">
        <v>450685.41790170502</v>
      </c>
      <c r="G1419" s="10">
        <v>449717.558047709</v>
      </c>
      <c r="H1419" s="21">
        <f t="shared" si="44"/>
        <v>-967.85985399602214</v>
      </c>
      <c r="I1419" s="10">
        <v>483723.51612219802</v>
      </c>
      <c r="J1419" s="21">
        <f t="shared" si="45"/>
        <v>-1273.7189099389943</v>
      </c>
    </row>
    <row r="1420" spans="1:10">
      <c r="A1420" t="s">
        <v>223</v>
      </c>
      <c r="B1420" t="s">
        <v>225</v>
      </c>
      <c r="C1420" s="18">
        <v>2045</v>
      </c>
      <c r="D1420" t="s">
        <v>177</v>
      </c>
      <c r="E1420" s="20">
        <v>833636.29385449004</v>
      </c>
      <c r="F1420" s="20">
        <v>527584.28743306606</v>
      </c>
      <c r="G1420" s="10">
        <v>529994.22695920803</v>
      </c>
      <c r="H1420" s="21">
        <f t="shared" si="44"/>
        <v>2409.9395261419704</v>
      </c>
      <c r="I1420" s="10">
        <v>831470.21009817696</v>
      </c>
      <c r="J1420" s="21">
        <f t="shared" si="45"/>
        <v>-2166.0837563130772</v>
      </c>
    </row>
    <row r="1421" spans="1:10">
      <c r="A1421" t="s">
        <v>223</v>
      </c>
      <c r="B1421" t="s">
        <v>225</v>
      </c>
      <c r="C1421" s="18">
        <v>2045</v>
      </c>
      <c r="D1421" t="s">
        <v>181</v>
      </c>
      <c r="E1421" s="20">
        <v>648149.20218523801</v>
      </c>
      <c r="F1421" s="20">
        <v>388722.68427362503</v>
      </c>
      <c r="G1421" s="10">
        <v>387750.67878189799</v>
      </c>
      <c r="H1421" s="21">
        <f t="shared" si="44"/>
        <v>-972.00549172703177</v>
      </c>
      <c r="I1421" s="10">
        <v>645730.44769895996</v>
      </c>
      <c r="J1421" s="21">
        <f t="shared" si="45"/>
        <v>-2418.7544862780487</v>
      </c>
    </row>
    <row r="1422" spans="1:10">
      <c r="A1422" t="s">
        <v>223</v>
      </c>
      <c r="B1422" t="s">
        <v>225</v>
      </c>
      <c r="C1422" s="18">
        <v>2045</v>
      </c>
      <c r="D1422" t="s">
        <v>209</v>
      </c>
      <c r="E1422" s="20">
        <v>43200.787394108003</v>
      </c>
      <c r="F1422" s="20">
        <v>7672.5296730877099</v>
      </c>
      <c r="G1422" s="10">
        <v>7672.0682267846396</v>
      </c>
      <c r="H1422" s="21">
        <f t="shared" si="44"/>
        <v>-0.46144630307026091</v>
      </c>
      <c r="I1422" s="10">
        <v>43190.603751316099</v>
      </c>
      <c r="J1422" s="21">
        <f t="shared" si="45"/>
        <v>-10.183642791904276</v>
      </c>
    </row>
    <row r="1423" spans="1:10">
      <c r="A1423" t="s">
        <v>223</v>
      </c>
      <c r="B1423" t="s">
        <v>225</v>
      </c>
      <c r="C1423" s="18">
        <v>2046</v>
      </c>
      <c r="D1423" t="s">
        <v>187</v>
      </c>
      <c r="E1423" s="20">
        <v>22321.857667344801</v>
      </c>
      <c r="F1423" s="20">
        <v>15483.2820840767</v>
      </c>
      <c r="G1423" s="10">
        <v>15436.8918612077</v>
      </c>
      <c r="H1423" s="21">
        <f t="shared" si="44"/>
        <v>-46.390222869000354</v>
      </c>
      <c r="I1423" s="10">
        <v>22210.974521910699</v>
      </c>
      <c r="J1423" s="21">
        <f t="shared" si="45"/>
        <v>-110.88314543410161</v>
      </c>
    </row>
    <row r="1424" spans="1:10">
      <c r="A1424" t="s">
        <v>223</v>
      </c>
      <c r="B1424" t="s">
        <v>225</v>
      </c>
      <c r="C1424" s="18">
        <v>2046</v>
      </c>
      <c r="D1424" t="s">
        <v>227</v>
      </c>
      <c r="E1424" s="20">
        <v>1230409.78290278</v>
      </c>
      <c r="F1424" s="20">
        <v>261884.89419517</v>
      </c>
      <c r="G1424" s="10">
        <v>295165.87720880198</v>
      </c>
      <c r="H1424" s="21">
        <f t="shared" si="44"/>
        <v>33280.98301363198</v>
      </c>
      <c r="I1424" s="10">
        <v>1230125.0687766999</v>
      </c>
      <c r="J1424" s="21">
        <f t="shared" si="45"/>
        <v>-284.71412608004175</v>
      </c>
    </row>
    <row r="1425" spans="1:10">
      <c r="A1425" t="s">
        <v>223</v>
      </c>
      <c r="B1425" t="s">
        <v>225</v>
      </c>
      <c r="C1425" s="18">
        <v>2046</v>
      </c>
      <c r="D1425" t="s">
        <v>163</v>
      </c>
      <c r="E1425" s="20">
        <v>155535.29446403499</v>
      </c>
      <c r="F1425" s="20">
        <v>104969.54091400999</v>
      </c>
      <c r="G1425" s="10">
        <v>104731.13398431199</v>
      </c>
      <c r="H1425" s="21">
        <f t="shared" si="44"/>
        <v>-238.40692969800148</v>
      </c>
      <c r="I1425" s="10">
        <v>154919.18519988199</v>
      </c>
      <c r="J1425" s="21">
        <f t="shared" si="45"/>
        <v>-616.10926415299764</v>
      </c>
    </row>
    <row r="1426" spans="1:10">
      <c r="A1426" t="s">
        <v>223</v>
      </c>
      <c r="B1426" t="s">
        <v>225</v>
      </c>
      <c r="C1426" s="18">
        <v>2046</v>
      </c>
      <c r="D1426" t="s">
        <v>173</v>
      </c>
      <c r="E1426" s="20">
        <v>490977.194439832</v>
      </c>
      <c r="F1426" s="20">
        <v>456395.04882024502</v>
      </c>
      <c r="G1426" s="10">
        <v>455310.080020589</v>
      </c>
      <c r="H1426" s="21">
        <f t="shared" si="44"/>
        <v>-1084.9687996560242</v>
      </c>
      <c r="I1426" s="10">
        <v>489559.56948849699</v>
      </c>
      <c r="J1426" s="21">
        <f t="shared" si="45"/>
        <v>-1417.6249513350194</v>
      </c>
    </row>
    <row r="1427" spans="1:10">
      <c r="A1427" t="s">
        <v>223</v>
      </c>
      <c r="B1427" t="s">
        <v>225</v>
      </c>
      <c r="C1427" s="18">
        <v>2046</v>
      </c>
      <c r="D1427" t="s">
        <v>177</v>
      </c>
      <c r="E1427" s="20">
        <v>844441.594400645</v>
      </c>
      <c r="F1427" s="20">
        <v>535981.845553283</v>
      </c>
      <c r="G1427" s="10">
        <v>538440.16822828504</v>
      </c>
      <c r="H1427" s="21">
        <f t="shared" si="44"/>
        <v>2458.3226750020403</v>
      </c>
      <c r="I1427" s="10">
        <v>842022.211146035</v>
      </c>
      <c r="J1427" s="21">
        <f t="shared" si="45"/>
        <v>-2419.383254610002</v>
      </c>
    </row>
    <row r="1428" spans="1:10">
      <c r="A1428" t="s">
        <v>223</v>
      </c>
      <c r="B1428" t="s">
        <v>225</v>
      </c>
      <c r="C1428" s="18">
        <v>2046</v>
      </c>
      <c r="D1428" t="s">
        <v>181</v>
      </c>
      <c r="E1428" s="20">
        <v>658722.54576870997</v>
      </c>
      <c r="F1428" s="20">
        <v>398547.59417683602</v>
      </c>
      <c r="G1428" s="10">
        <v>397431.95060261199</v>
      </c>
      <c r="H1428" s="21">
        <f t="shared" si="44"/>
        <v>-1115.6435742240283</v>
      </c>
      <c r="I1428" s="10">
        <v>656023.20384824695</v>
      </c>
      <c r="J1428" s="21">
        <f t="shared" si="45"/>
        <v>-2699.3419204630191</v>
      </c>
    </row>
    <row r="1429" spans="1:10">
      <c r="A1429" t="s">
        <v>223</v>
      </c>
      <c r="B1429" t="s">
        <v>225</v>
      </c>
      <c r="C1429" s="18">
        <v>2046</v>
      </c>
      <c r="D1429" t="s">
        <v>209</v>
      </c>
      <c r="E1429" s="20">
        <v>43207.620562873999</v>
      </c>
      <c r="F1429" s="20">
        <v>7694.0864306289604</v>
      </c>
      <c r="G1429" s="10">
        <v>7693.5570486562501</v>
      </c>
      <c r="H1429" s="21">
        <f t="shared" si="44"/>
        <v>-0.5293819727103255</v>
      </c>
      <c r="I1429" s="10">
        <v>43196.310323112302</v>
      </c>
      <c r="J1429" s="21">
        <f t="shared" si="45"/>
        <v>-11.310239761696721</v>
      </c>
    </row>
    <row r="1430" spans="1:10">
      <c r="A1430" t="s">
        <v>223</v>
      </c>
      <c r="B1430" t="s">
        <v>225</v>
      </c>
      <c r="C1430" s="18">
        <v>2047</v>
      </c>
      <c r="D1430" t="s">
        <v>187</v>
      </c>
      <c r="E1430" s="20">
        <v>22824.052541212899</v>
      </c>
      <c r="F1430" s="20">
        <v>15781.264961574499</v>
      </c>
      <c r="G1430" s="10">
        <v>15728.485494730299</v>
      </c>
      <c r="H1430" s="21">
        <f t="shared" si="44"/>
        <v>-52.779466844200215</v>
      </c>
      <c r="I1430" s="10">
        <v>22699.6629629007</v>
      </c>
      <c r="J1430" s="21">
        <f t="shared" si="45"/>
        <v>-124.38957831219886</v>
      </c>
    </row>
    <row r="1431" spans="1:10">
      <c r="A1431" t="s">
        <v>223</v>
      </c>
      <c r="B1431" t="s">
        <v>225</v>
      </c>
      <c r="C1431" s="18">
        <v>2047</v>
      </c>
      <c r="D1431" t="s">
        <v>227</v>
      </c>
      <c r="E1431" s="20">
        <v>1235586.70873212</v>
      </c>
      <c r="F1431" s="20">
        <v>266706.24817029497</v>
      </c>
      <c r="G1431" s="10">
        <v>302180.55031250097</v>
      </c>
      <c r="H1431" s="21">
        <f t="shared" si="44"/>
        <v>35474.302142205997</v>
      </c>
      <c r="I1431" s="10">
        <v>1235274.66521773</v>
      </c>
      <c r="J1431" s="21">
        <f t="shared" si="45"/>
        <v>-312.04351439001039</v>
      </c>
    </row>
    <row r="1432" spans="1:10">
      <c r="A1432" t="s">
        <v>223</v>
      </c>
      <c r="B1432" t="s">
        <v>225</v>
      </c>
      <c r="C1432" s="18">
        <v>2047</v>
      </c>
      <c r="D1432" t="s">
        <v>163</v>
      </c>
      <c r="E1432" s="20">
        <v>158121.483715215</v>
      </c>
      <c r="F1432" s="20">
        <v>106757.033121676</v>
      </c>
      <c r="G1432" s="10">
        <v>106487.67776034201</v>
      </c>
      <c r="H1432" s="21">
        <f t="shared" si="44"/>
        <v>-269.35536133399</v>
      </c>
      <c r="I1432" s="10">
        <v>157435.937342911</v>
      </c>
      <c r="J1432" s="21">
        <f t="shared" si="45"/>
        <v>-685.54637230400112</v>
      </c>
    </row>
    <row r="1433" spans="1:10">
      <c r="A1433" t="s">
        <v>223</v>
      </c>
      <c r="B1433" t="s">
        <v>225</v>
      </c>
      <c r="C1433" s="18">
        <v>2047</v>
      </c>
      <c r="D1433" t="s">
        <v>173</v>
      </c>
      <c r="E1433" s="20">
        <v>496617.36452999798</v>
      </c>
      <c r="F1433" s="20">
        <v>461748.73293378198</v>
      </c>
      <c r="G1433" s="10">
        <v>460539.427749469</v>
      </c>
      <c r="H1433" s="21">
        <f t="shared" si="44"/>
        <v>-1209.3051843129797</v>
      </c>
      <c r="I1433" s="10">
        <v>495047.33168069902</v>
      </c>
      <c r="J1433" s="21">
        <f t="shared" si="45"/>
        <v>-1570.0328492989647</v>
      </c>
    </row>
    <row r="1434" spans="1:10">
      <c r="A1434" t="s">
        <v>223</v>
      </c>
      <c r="B1434" t="s">
        <v>225</v>
      </c>
      <c r="C1434" s="18">
        <v>2047</v>
      </c>
      <c r="D1434" t="s">
        <v>177</v>
      </c>
      <c r="E1434" s="20">
        <v>855046.27936494804</v>
      </c>
      <c r="F1434" s="20">
        <v>544395.44605906599</v>
      </c>
      <c r="G1434" s="10">
        <v>546892.884748123</v>
      </c>
      <c r="H1434" s="21">
        <f t="shared" si="44"/>
        <v>2497.4386890570167</v>
      </c>
      <c r="I1434" s="10">
        <v>852357.03689663101</v>
      </c>
      <c r="J1434" s="21">
        <f t="shared" si="45"/>
        <v>-2689.2424683170393</v>
      </c>
    </row>
    <row r="1435" spans="1:10">
      <c r="A1435" t="s">
        <v>223</v>
      </c>
      <c r="B1435" t="s">
        <v>225</v>
      </c>
      <c r="C1435" s="18">
        <v>2047</v>
      </c>
      <c r="D1435" t="s">
        <v>181</v>
      </c>
      <c r="E1435" s="20">
        <v>668958.79598258506</v>
      </c>
      <c r="F1435" s="20">
        <v>408210.75163667498</v>
      </c>
      <c r="G1435" s="10">
        <v>406938.30985862098</v>
      </c>
      <c r="H1435" s="21">
        <f t="shared" si="44"/>
        <v>-1272.4417780539952</v>
      </c>
      <c r="I1435" s="10">
        <v>665960.53053760703</v>
      </c>
      <c r="J1435" s="21">
        <f t="shared" si="45"/>
        <v>-2998.2654449780239</v>
      </c>
    </row>
    <row r="1436" spans="1:10">
      <c r="A1436" t="s">
        <v>223</v>
      </c>
      <c r="B1436" t="s">
        <v>225</v>
      </c>
      <c r="C1436" s="18">
        <v>2047</v>
      </c>
      <c r="D1436" t="s">
        <v>209</v>
      </c>
      <c r="E1436" s="20">
        <v>43230.141011774598</v>
      </c>
      <c r="F1436" s="20">
        <v>7716.8682396383902</v>
      </c>
      <c r="G1436" s="10">
        <v>7716.2645250788601</v>
      </c>
      <c r="H1436" s="21">
        <f t="shared" si="44"/>
        <v>-0.6037145595300899</v>
      </c>
      <c r="I1436" s="10">
        <v>43217.634192350401</v>
      </c>
      <c r="J1436" s="21">
        <f t="shared" si="45"/>
        <v>-12.506819424197602</v>
      </c>
    </row>
    <row r="1437" spans="1:10">
      <c r="A1437" t="s">
        <v>223</v>
      </c>
      <c r="B1437" t="s">
        <v>225</v>
      </c>
      <c r="C1437" s="18">
        <v>2048</v>
      </c>
      <c r="D1437" t="s">
        <v>187</v>
      </c>
      <c r="E1437" s="20">
        <v>23318.663645181699</v>
      </c>
      <c r="F1437" s="20">
        <v>16084.950816140399</v>
      </c>
      <c r="G1437" s="10">
        <v>16025.2187605858</v>
      </c>
      <c r="H1437" s="21">
        <f t="shared" si="44"/>
        <v>-59.732055554599356</v>
      </c>
      <c r="I1437" s="10">
        <v>23179.777529823201</v>
      </c>
      <c r="J1437" s="21">
        <f t="shared" si="45"/>
        <v>-138.8861153584985</v>
      </c>
    </row>
    <row r="1438" spans="1:10">
      <c r="A1438" t="s">
        <v>223</v>
      </c>
      <c r="B1438" t="s">
        <v>225</v>
      </c>
      <c r="C1438" s="18">
        <v>2048</v>
      </c>
      <c r="D1438" t="s">
        <v>227</v>
      </c>
      <c r="E1438" s="20">
        <v>1240549.70028001</v>
      </c>
      <c r="F1438" s="20">
        <v>271270.12937340501</v>
      </c>
      <c r="G1438" s="10">
        <v>308964.31037728197</v>
      </c>
      <c r="H1438" s="21">
        <f t="shared" si="44"/>
        <v>37694.181003876962</v>
      </c>
      <c r="I1438" s="10">
        <v>1240209.10376068</v>
      </c>
      <c r="J1438" s="21">
        <f t="shared" si="45"/>
        <v>-340.5965193300508</v>
      </c>
    </row>
    <row r="1439" spans="1:10">
      <c r="A1439" t="s">
        <v>223</v>
      </c>
      <c r="B1439" t="s">
        <v>225</v>
      </c>
      <c r="C1439" s="18">
        <v>2048</v>
      </c>
      <c r="D1439" t="s">
        <v>163</v>
      </c>
      <c r="E1439" s="20">
        <v>160636.44971122101</v>
      </c>
      <c r="F1439" s="20">
        <v>108507.983929382</v>
      </c>
      <c r="G1439" s="10">
        <v>108205.309376064</v>
      </c>
      <c r="H1439" s="21">
        <f t="shared" si="44"/>
        <v>-302.67455331799283</v>
      </c>
      <c r="I1439" s="10">
        <v>159877.06955740901</v>
      </c>
      <c r="J1439" s="21">
        <f t="shared" si="45"/>
        <v>-759.38015381200239</v>
      </c>
    </row>
    <row r="1440" spans="1:10">
      <c r="A1440" t="s">
        <v>223</v>
      </c>
      <c r="B1440" t="s">
        <v>225</v>
      </c>
      <c r="C1440" s="18">
        <v>2048</v>
      </c>
      <c r="D1440" t="s">
        <v>173</v>
      </c>
      <c r="E1440" s="20">
        <v>501982.661741691</v>
      </c>
      <c r="F1440" s="20">
        <v>466899.42138735001</v>
      </c>
      <c r="G1440" s="10">
        <v>465558.478994868</v>
      </c>
      <c r="H1440" s="21">
        <f t="shared" si="44"/>
        <v>-1340.9423924820148</v>
      </c>
      <c r="I1440" s="10">
        <v>500251.96367663803</v>
      </c>
      <c r="J1440" s="21">
        <f t="shared" si="45"/>
        <v>-1730.6980650529731</v>
      </c>
    </row>
    <row r="1441" spans="1:10">
      <c r="A1441" t="s">
        <v>223</v>
      </c>
      <c r="B1441" t="s">
        <v>225</v>
      </c>
      <c r="C1441" s="18">
        <v>2048</v>
      </c>
      <c r="D1441" t="s">
        <v>177</v>
      </c>
      <c r="E1441" s="20">
        <v>865396.78475511004</v>
      </c>
      <c r="F1441" s="20">
        <v>552692.95497693506</v>
      </c>
      <c r="G1441" s="10">
        <v>555219.25427407597</v>
      </c>
      <c r="H1441" s="21">
        <f t="shared" si="44"/>
        <v>2526.2992971409112</v>
      </c>
      <c r="I1441" s="10">
        <v>862421.19766606798</v>
      </c>
      <c r="J1441" s="21">
        <f t="shared" si="45"/>
        <v>-2975.5870890420629</v>
      </c>
    </row>
    <row r="1442" spans="1:10">
      <c r="A1442" t="s">
        <v>223</v>
      </c>
      <c r="B1442" t="s">
        <v>225</v>
      </c>
      <c r="C1442" s="18">
        <v>2048</v>
      </c>
      <c r="D1442" t="s">
        <v>181</v>
      </c>
      <c r="E1442" s="20">
        <v>678853.12825754401</v>
      </c>
      <c r="F1442" s="20">
        <v>417663.88565258298</v>
      </c>
      <c r="G1442" s="10">
        <v>416221.14564351598</v>
      </c>
      <c r="H1442" s="21">
        <f t="shared" si="44"/>
        <v>-1442.740009066998</v>
      </c>
      <c r="I1442" s="10">
        <v>675538.06713143899</v>
      </c>
      <c r="J1442" s="21">
        <f t="shared" si="45"/>
        <v>-3315.0611261050217</v>
      </c>
    </row>
    <row r="1443" spans="1:10">
      <c r="A1443" t="s">
        <v>223</v>
      </c>
      <c r="B1443" t="s">
        <v>225</v>
      </c>
      <c r="C1443" s="18">
        <v>2048</v>
      </c>
      <c r="D1443" t="s">
        <v>209</v>
      </c>
      <c r="E1443" s="20">
        <v>43260.888560992098</v>
      </c>
      <c r="F1443" s="20">
        <v>7741.6529930388997</v>
      </c>
      <c r="G1443" s="10">
        <v>7740.9682323091401</v>
      </c>
      <c r="H1443" s="21">
        <f t="shared" si="44"/>
        <v>-0.68476072975954594</v>
      </c>
      <c r="I1443" s="10">
        <v>43247.116568268502</v>
      </c>
      <c r="J1443" s="21">
        <f t="shared" si="45"/>
        <v>-13.771992723595758</v>
      </c>
    </row>
    <row r="1444" spans="1:10">
      <c r="A1444" t="s">
        <v>223</v>
      </c>
      <c r="B1444" t="s">
        <v>225</v>
      </c>
      <c r="C1444" s="18">
        <v>2049</v>
      </c>
      <c r="D1444" t="s">
        <v>187</v>
      </c>
      <c r="E1444" s="20">
        <v>23804.697472319</v>
      </c>
      <c r="F1444" s="20">
        <v>16389.880452905199</v>
      </c>
      <c r="G1444" s="10">
        <v>16322.61151708</v>
      </c>
      <c r="H1444" s="21">
        <f t="shared" si="44"/>
        <v>-67.268935825199151</v>
      </c>
      <c r="I1444" s="10">
        <v>23650.361484044901</v>
      </c>
      <c r="J1444" s="21">
        <f t="shared" si="45"/>
        <v>-154.33598827409878</v>
      </c>
    </row>
    <row r="1445" spans="1:10">
      <c r="A1445" t="s">
        <v>223</v>
      </c>
      <c r="B1445" t="s">
        <v>225</v>
      </c>
      <c r="C1445" s="18">
        <v>2049</v>
      </c>
      <c r="D1445" t="s">
        <v>227</v>
      </c>
      <c r="E1445" s="20">
        <v>1245328.76488209</v>
      </c>
      <c r="F1445" s="20">
        <v>275589.23488293099</v>
      </c>
      <c r="G1445" s="10">
        <v>315528.65457465599</v>
      </c>
      <c r="H1445" s="21">
        <f t="shared" si="44"/>
        <v>39939.419691724994</v>
      </c>
      <c r="I1445" s="10">
        <v>1244958.37630862</v>
      </c>
      <c r="J1445" s="21">
        <f t="shared" si="45"/>
        <v>-370.38857347005978</v>
      </c>
    </row>
    <row r="1446" spans="1:10">
      <c r="A1446" t="s">
        <v>223</v>
      </c>
      <c r="B1446" t="s">
        <v>225</v>
      </c>
      <c r="C1446" s="18">
        <v>2049</v>
      </c>
      <c r="D1446" t="s">
        <v>163</v>
      </c>
      <c r="E1446" s="20">
        <v>163075.533249436</v>
      </c>
      <c r="F1446" s="20">
        <v>110220.743367979</v>
      </c>
      <c r="G1446" s="10">
        <v>109882.371148655</v>
      </c>
      <c r="H1446" s="21">
        <f t="shared" si="44"/>
        <v>-338.37221932399552</v>
      </c>
      <c r="I1446" s="10">
        <v>162238.134685625</v>
      </c>
      <c r="J1446" s="21">
        <f t="shared" si="45"/>
        <v>-837.39856381100253</v>
      </c>
    </row>
    <row r="1447" spans="1:10">
      <c r="A1447" t="s">
        <v>223</v>
      </c>
      <c r="B1447" t="s">
        <v>225</v>
      </c>
      <c r="C1447" s="18">
        <v>2049</v>
      </c>
      <c r="D1447" t="s">
        <v>173</v>
      </c>
      <c r="E1447" s="20">
        <v>507115.373835159</v>
      </c>
      <c r="F1447" s="20">
        <v>471863.399839908</v>
      </c>
      <c r="G1447" s="10">
        <v>470383.880162835</v>
      </c>
      <c r="H1447" s="21">
        <f t="shared" si="44"/>
        <v>-1479.5196770729963</v>
      </c>
      <c r="I1447" s="10">
        <v>505215.90050813899</v>
      </c>
      <c r="J1447" s="21">
        <f t="shared" si="45"/>
        <v>-1899.4733270200086</v>
      </c>
    </row>
    <row r="1448" spans="1:10">
      <c r="A1448" t="s">
        <v>223</v>
      </c>
      <c r="B1448" t="s">
        <v>225</v>
      </c>
      <c r="C1448" s="18">
        <v>2049</v>
      </c>
      <c r="D1448" t="s">
        <v>177</v>
      </c>
      <c r="E1448" s="20">
        <v>875316.77339189802</v>
      </c>
      <c r="F1448" s="20">
        <v>560793.40462034103</v>
      </c>
      <c r="G1448" s="10">
        <v>563337.76559367101</v>
      </c>
      <c r="H1448" s="21">
        <f t="shared" si="44"/>
        <v>2544.3609733299818</v>
      </c>
      <c r="I1448" s="10">
        <v>872039.41256190802</v>
      </c>
      <c r="J1448" s="21">
        <f t="shared" si="45"/>
        <v>-3277.3608299900079</v>
      </c>
    </row>
    <row r="1449" spans="1:10">
      <c r="A1449" t="s">
        <v>223</v>
      </c>
      <c r="B1449" t="s">
        <v>225</v>
      </c>
      <c r="C1449" s="18">
        <v>2049</v>
      </c>
      <c r="D1449" t="s">
        <v>181</v>
      </c>
      <c r="E1449" s="20">
        <v>688448.84669165697</v>
      </c>
      <c r="F1449" s="20">
        <v>426838.15202301898</v>
      </c>
      <c r="G1449" s="10">
        <v>425211.29480666103</v>
      </c>
      <c r="H1449" s="21">
        <f t="shared" si="44"/>
        <v>-1626.857216357952</v>
      </c>
      <c r="I1449" s="10">
        <v>684799.51924341801</v>
      </c>
      <c r="J1449" s="21">
        <f t="shared" si="45"/>
        <v>-3649.3274482389679</v>
      </c>
    </row>
    <row r="1450" spans="1:10">
      <c r="A1450" t="s">
        <v>223</v>
      </c>
      <c r="B1450" t="s">
        <v>225</v>
      </c>
      <c r="C1450" s="18">
        <v>2049</v>
      </c>
      <c r="D1450" t="s">
        <v>209</v>
      </c>
      <c r="E1450" s="20">
        <v>43302.797381218603</v>
      </c>
      <c r="F1450" s="20">
        <v>7765.19780424481</v>
      </c>
      <c r="G1450" s="10">
        <v>7764.4250577338198</v>
      </c>
      <c r="H1450" s="21">
        <f t="shared" si="44"/>
        <v>-0.77274651099014591</v>
      </c>
      <c r="I1450" s="10">
        <v>43287.694118175197</v>
      </c>
      <c r="J1450" s="21">
        <f t="shared" si="45"/>
        <v>-15.103263043405605</v>
      </c>
    </row>
    <row r="1451" spans="1:10">
      <c r="A1451" t="s">
        <v>223</v>
      </c>
      <c r="B1451" t="s">
        <v>225</v>
      </c>
      <c r="C1451" s="18">
        <v>2050</v>
      </c>
      <c r="D1451" t="s">
        <v>187</v>
      </c>
      <c r="E1451" s="20">
        <v>24281.149633789901</v>
      </c>
      <c r="F1451" s="20">
        <v>16694.311663555702</v>
      </c>
      <c r="G1451" s="10">
        <v>16618.923709126098</v>
      </c>
      <c r="H1451" s="21">
        <f t="shared" si="44"/>
        <v>-75.387954429603269</v>
      </c>
      <c r="I1451" s="10">
        <v>24110.4306261692</v>
      </c>
      <c r="J1451" s="21">
        <f t="shared" si="45"/>
        <v>-170.71900762070072</v>
      </c>
    </row>
    <row r="1452" spans="1:10">
      <c r="A1452" t="s">
        <v>223</v>
      </c>
      <c r="B1452" t="s">
        <v>225</v>
      </c>
      <c r="C1452" s="18">
        <v>2050</v>
      </c>
      <c r="D1452" t="s">
        <v>227</v>
      </c>
      <c r="E1452" s="20">
        <v>1249976.40166495</v>
      </c>
      <c r="F1452" s="20">
        <v>279659.56811987498</v>
      </c>
      <c r="G1452" s="10">
        <v>321866.14542390499</v>
      </c>
      <c r="H1452" s="21">
        <f t="shared" si="44"/>
        <v>42206.577304030012</v>
      </c>
      <c r="I1452" s="10">
        <v>1249574.9812984299</v>
      </c>
      <c r="J1452" s="21">
        <f t="shared" si="45"/>
        <v>-401.42036652006209</v>
      </c>
    </row>
    <row r="1453" spans="1:10">
      <c r="A1453" t="s">
        <v>223</v>
      </c>
      <c r="B1453" t="s">
        <v>225</v>
      </c>
      <c r="C1453" s="18">
        <v>2050</v>
      </c>
      <c r="D1453" t="s">
        <v>163</v>
      </c>
      <c r="E1453" s="20">
        <v>165446.45964329201</v>
      </c>
      <c r="F1453" s="20">
        <v>111872.640566872</v>
      </c>
      <c r="G1453" s="10">
        <v>111496.260054028</v>
      </c>
      <c r="H1453" s="21">
        <f t="shared" si="44"/>
        <v>-376.3805128439999</v>
      </c>
      <c r="I1453" s="10">
        <v>164526.94959842</v>
      </c>
      <c r="J1453" s="21">
        <f t="shared" si="45"/>
        <v>-919.51004487200407</v>
      </c>
    </row>
    <row r="1454" spans="1:10">
      <c r="A1454" t="s">
        <v>223</v>
      </c>
      <c r="B1454" t="s">
        <v>225</v>
      </c>
      <c r="C1454" s="18">
        <v>2050</v>
      </c>
      <c r="D1454" t="s">
        <v>173</v>
      </c>
      <c r="E1454" s="20">
        <v>511999.94195504597</v>
      </c>
      <c r="F1454" s="20">
        <v>476517.98779947998</v>
      </c>
      <c r="G1454" s="10">
        <v>474893.25455494301</v>
      </c>
      <c r="H1454" s="21">
        <f t="shared" si="44"/>
        <v>-1624.7332445369684</v>
      </c>
      <c r="I1454" s="10">
        <v>509923.79465326603</v>
      </c>
      <c r="J1454" s="21">
        <f t="shared" si="45"/>
        <v>-2076.1473017799435</v>
      </c>
    </row>
    <row r="1455" spans="1:10">
      <c r="A1455" t="s">
        <v>223</v>
      </c>
      <c r="B1455" t="s">
        <v>225</v>
      </c>
      <c r="C1455" s="18">
        <v>2050</v>
      </c>
      <c r="D1455" t="s">
        <v>177</v>
      </c>
      <c r="E1455" s="20">
        <v>884813.86203101103</v>
      </c>
      <c r="F1455" s="20">
        <v>568753.04188638797</v>
      </c>
      <c r="G1455" s="10">
        <v>571305.13066545594</v>
      </c>
      <c r="H1455" s="21">
        <f t="shared" si="44"/>
        <v>2552.0887790679699</v>
      </c>
      <c r="I1455" s="10">
        <v>881220.21017861494</v>
      </c>
      <c r="J1455" s="21">
        <f t="shared" si="45"/>
        <v>-3593.651852396084</v>
      </c>
    </row>
    <row r="1456" spans="1:10">
      <c r="A1456" t="s">
        <v>223</v>
      </c>
      <c r="B1456" t="s">
        <v>225</v>
      </c>
      <c r="C1456" s="18">
        <v>2050</v>
      </c>
      <c r="D1456" t="s">
        <v>181</v>
      </c>
      <c r="E1456" s="20">
        <v>697834.20285080001</v>
      </c>
      <c r="F1456" s="20">
        <v>435753.04970158398</v>
      </c>
      <c r="G1456" s="10">
        <v>433928.11684243701</v>
      </c>
      <c r="H1456" s="21">
        <f t="shared" si="44"/>
        <v>-1824.9328591469675</v>
      </c>
      <c r="I1456" s="10">
        <v>693833.37581002596</v>
      </c>
      <c r="J1456" s="21">
        <f t="shared" si="45"/>
        <v>-4000.8270407740492</v>
      </c>
    </row>
    <row r="1457" spans="1:10">
      <c r="A1457" t="s">
        <v>223</v>
      </c>
      <c r="B1457" t="s">
        <v>225</v>
      </c>
      <c r="C1457" s="18">
        <v>2050</v>
      </c>
      <c r="D1457" t="s">
        <v>209</v>
      </c>
      <c r="E1457" s="20">
        <v>43353.8326628219</v>
      </c>
      <c r="F1457" s="20">
        <v>7786.4602825657403</v>
      </c>
      <c r="G1457" s="10">
        <v>7785.5925162465101</v>
      </c>
      <c r="H1457" s="21">
        <f t="shared" si="44"/>
        <v>-0.86776631923021341</v>
      </c>
      <c r="I1457" s="10">
        <v>43337.334071848098</v>
      </c>
      <c r="J1457" s="21">
        <f t="shared" si="45"/>
        <v>-16.498590973802493</v>
      </c>
    </row>
    <row r="1458" spans="1:10">
      <c r="A1458" t="s">
        <v>75</v>
      </c>
      <c r="B1458" t="s">
        <v>331</v>
      </c>
      <c r="C1458" s="18">
        <v>2025</v>
      </c>
      <c r="D1458" t="s">
        <v>187</v>
      </c>
      <c r="E1458" s="20">
        <v>12347.3896757033</v>
      </c>
      <c r="F1458" s="20">
        <v>8889.6989445315503</v>
      </c>
      <c r="G1458" s="10">
        <v>8975.3084972287597</v>
      </c>
      <c r="H1458" s="21">
        <f t="shared" si="44"/>
        <v>85.609552697209438</v>
      </c>
      <c r="I1458" s="10">
        <v>12347.3896757033</v>
      </c>
      <c r="J1458" s="21">
        <f t="shared" si="45"/>
        <v>0</v>
      </c>
    </row>
    <row r="1459" spans="1:10">
      <c r="A1459" t="s">
        <v>75</v>
      </c>
      <c r="B1459" t="s">
        <v>331</v>
      </c>
      <c r="C1459" s="18">
        <v>2025</v>
      </c>
      <c r="D1459" t="s">
        <v>227</v>
      </c>
      <c r="E1459" s="20">
        <v>1026043.97207164</v>
      </c>
      <c r="F1459" s="20">
        <v>128655.267905794</v>
      </c>
      <c r="G1459" s="10">
        <v>129403.02283067199</v>
      </c>
      <c r="H1459" s="21">
        <f t="shared" si="44"/>
        <v>747.75492487799784</v>
      </c>
      <c r="I1459" s="10">
        <v>1026043.97207164</v>
      </c>
      <c r="J1459" s="21">
        <f t="shared" si="45"/>
        <v>0</v>
      </c>
    </row>
    <row r="1460" spans="1:10">
      <c r="A1460" t="s">
        <v>75</v>
      </c>
      <c r="B1460" t="s">
        <v>331</v>
      </c>
      <c r="C1460" s="18">
        <v>2025</v>
      </c>
      <c r="D1460" t="s">
        <v>163</v>
      </c>
      <c r="E1460" s="20">
        <v>90875.329080848198</v>
      </c>
      <c r="F1460" s="20">
        <v>62849.180159570897</v>
      </c>
      <c r="G1460" s="10">
        <v>63318.751825202096</v>
      </c>
      <c r="H1460" s="21">
        <f t="shared" si="44"/>
        <v>469.57166563119972</v>
      </c>
      <c r="I1460" s="10">
        <v>91684.509014274605</v>
      </c>
      <c r="J1460" s="21">
        <f t="shared" si="45"/>
        <v>809.17993342640693</v>
      </c>
    </row>
    <row r="1461" spans="1:10">
      <c r="A1461" t="s">
        <v>75</v>
      </c>
      <c r="B1461" t="s">
        <v>331</v>
      </c>
      <c r="C1461" s="18">
        <v>2025</v>
      </c>
      <c r="D1461" t="s">
        <v>173</v>
      </c>
      <c r="E1461" s="20">
        <v>325302.79723372398</v>
      </c>
      <c r="F1461" s="20">
        <v>300132.72734442202</v>
      </c>
      <c r="G1461" s="10">
        <v>300216.82861998002</v>
      </c>
      <c r="H1461" s="21">
        <f t="shared" si="44"/>
        <v>84.101275558001362</v>
      </c>
      <c r="I1461" s="10">
        <v>327817.99211152899</v>
      </c>
      <c r="J1461" s="21">
        <f t="shared" si="45"/>
        <v>2515.1948778050137</v>
      </c>
    </row>
    <row r="1462" spans="1:10">
      <c r="A1462" t="s">
        <v>75</v>
      </c>
      <c r="B1462" t="s">
        <v>331</v>
      </c>
      <c r="C1462" s="18">
        <v>2025</v>
      </c>
      <c r="D1462" t="s">
        <v>177</v>
      </c>
      <c r="E1462" s="20">
        <v>558773.29538939195</v>
      </c>
      <c r="F1462" s="20">
        <v>320171.54384374199</v>
      </c>
      <c r="G1462" s="10">
        <v>321188.16298793198</v>
      </c>
      <c r="H1462" s="21">
        <f t="shared" si="44"/>
        <v>1016.6191441899864</v>
      </c>
      <c r="I1462" s="10">
        <v>563964.12892884796</v>
      </c>
      <c r="J1462" s="21">
        <f t="shared" si="45"/>
        <v>5190.8335394560127</v>
      </c>
    </row>
    <row r="1463" spans="1:10">
      <c r="A1463" t="s">
        <v>75</v>
      </c>
      <c r="B1463" t="s">
        <v>331</v>
      </c>
      <c r="C1463" s="18">
        <v>2025</v>
      </c>
      <c r="D1463" t="s">
        <v>181</v>
      </c>
      <c r="E1463" s="20">
        <v>392950.566948722</v>
      </c>
      <c r="F1463" s="20">
        <v>191832.03807386299</v>
      </c>
      <c r="G1463" s="10">
        <v>191954.71357959701</v>
      </c>
      <c r="H1463" s="21">
        <f t="shared" si="44"/>
        <v>122.67550573401968</v>
      </c>
      <c r="I1463" s="10">
        <v>396205.91279756802</v>
      </c>
      <c r="J1463" s="21">
        <f t="shared" si="45"/>
        <v>3255.3458488460165</v>
      </c>
    </row>
    <row r="1464" spans="1:10">
      <c r="A1464" t="s">
        <v>75</v>
      </c>
      <c r="B1464" t="s">
        <v>331</v>
      </c>
      <c r="C1464" s="18">
        <v>2025</v>
      </c>
      <c r="D1464" t="s">
        <v>209</v>
      </c>
      <c r="E1464" s="20">
        <v>44024.855784556101</v>
      </c>
      <c r="F1464" s="20">
        <v>6918.3661386689701</v>
      </c>
      <c r="G1464" s="10">
        <v>6961.0286695127397</v>
      </c>
      <c r="H1464" s="21">
        <f t="shared" si="44"/>
        <v>42.662530843769673</v>
      </c>
      <c r="I1464" s="10">
        <v>44024.855784556101</v>
      </c>
      <c r="J1464" s="21">
        <f t="shared" si="45"/>
        <v>0</v>
      </c>
    </row>
    <row r="1465" spans="1:10">
      <c r="A1465" t="s">
        <v>75</v>
      </c>
      <c r="B1465" t="s">
        <v>331</v>
      </c>
      <c r="C1465" s="18">
        <v>2026</v>
      </c>
      <c r="D1465" t="s">
        <v>187</v>
      </c>
      <c r="E1465" s="20">
        <v>12813.0065220085</v>
      </c>
      <c r="F1465" s="20">
        <v>9147.7836099385204</v>
      </c>
      <c r="G1465" s="10">
        <v>9308.2642091095495</v>
      </c>
      <c r="H1465" s="21">
        <f t="shared" si="44"/>
        <v>160.4805991710291</v>
      </c>
      <c r="I1465" s="10">
        <v>12812.507871628</v>
      </c>
      <c r="J1465" s="21">
        <f t="shared" si="45"/>
        <v>-0.49865038049938448</v>
      </c>
    </row>
    <row r="1466" spans="1:10">
      <c r="A1466" t="s">
        <v>75</v>
      </c>
      <c r="B1466" t="s">
        <v>331</v>
      </c>
      <c r="C1466" s="18">
        <v>2026</v>
      </c>
      <c r="D1466" t="s">
        <v>227</v>
      </c>
      <c r="E1466" s="20">
        <v>1040971.00340244</v>
      </c>
      <c r="F1466" s="20">
        <v>135619.28269023201</v>
      </c>
      <c r="G1466" s="10">
        <v>137191.89613692299</v>
      </c>
      <c r="H1466" s="21">
        <f t="shared" si="44"/>
        <v>1572.6134466909862</v>
      </c>
      <c r="I1466" s="10">
        <v>1040956.74283153</v>
      </c>
      <c r="J1466" s="21">
        <f t="shared" si="45"/>
        <v>-14.260570909944363</v>
      </c>
    </row>
    <row r="1467" spans="1:10">
      <c r="A1467" t="s">
        <v>75</v>
      </c>
      <c r="B1467" t="s">
        <v>331</v>
      </c>
      <c r="C1467" s="18">
        <v>2026</v>
      </c>
      <c r="D1467" t="s">
        <v>163</v>
      </c>
      <c r="E1467" s="20">
        <v>93414.329915402195</v>
      </c>
      <c r="F1467" s="20">
        <v>64145.290136755</v>
      </c>
      <c r="G1467" s="10">
        <v>65164.470413401701</v>
      </c>
      <c r="H1467" s="21">
        <f t="shared" si="44"/>
        <v>1019.1802766467008</v>
      </c>
      <c r="I1467" s="10">
        <v>95077.183303526501</v>
      </c>
      <c r="J1467" s="21">
        <f t="shared" si="45"/>
        <v>1662.8533881243056</v>
      </c>
    </row>
    <row r="1468" spans="1:10">
      <c r="A1468" t="s">
        <v>75</v>
      </c>
      <c r="B1468" t="s">
        <v>331</v>
      </c>
      <c r="C1468" s="18">
        <v>2026</v>
      </c>
      <c r="D1468" t="s">
        <v>173</v>
      </c>
      <c r="E1468" s="20">
        <v>331740.00169508398</v>
      </c>
      <c r="F1468" s="20">
        <v>307382.75587685098</v>
      </c>
      <c r="G1468" s="10">
        <v>308606.943045308</v>
      </c>
      <c r="H1468" s="21">
        <f t="shared" si="44"/>
        <v>1224.1871684570215</v>
      </c>
      <c r="I1468" s="10">
        <v>336875.42349560501</v>
      </c>
      <c r="J1468" s="21">
        <f t="shared" si="45"/>
        <v>5135.4218005210278</v>
      </c>
    </row>
    <row r="1469" spans="1:10">
      <c r="A1469" t="s">
        <v>75</v>
      </c>
      <c r="B1469" t="s">
        <v>331</v>
      </c>
      <c r="C1469" s="18">
        <v>2026</v>
      </c>
      <c r="D1469" t="s">
        <v>177</v>
      </c>
      <c r="E1469" s="20">
        <v>569515.44683167897</v>
      </c>
      <c r="F1469" s="20">
        <v>330554.01693889598</v>
      </c>
      <c r="G1469" s="10">
        <v>332896.18576831103</v>
      </c>
      <c r="H1469" s="21">
        <f t="shared" si="44"/>
        <v>2342.1688294150517</v>
      </c>
      <c r="I1469" s="10">
        <v>580111.54195764905</v>
      </c>
      <c r="J1469" s="21">
        <f t="shared" si="45"/>
        <v>10596.095125970081</v>
      </c>
    </row>
    <row r="1470" spans="1:10">
      <c r="A1470" t="s">
        <v>75</v>
      </c>
      <c r="B1470" t="s">
        <v>331</v>
      </c>
      <c r="C1470" s="18">
        <v>2026</v>
      </c>
      <c r="D1470" t="s">
        <v>181</v>
      </c>
      <c r="E1470" s="20">
        <v>403168.22318050801</v>
      </c>
      <c r="F1470" s="20">
        <v>201604.95248878101</v>
      </c>
      <c r="G1470" s="10">
        <v>202008.19978323701</v>
      </c>
      <c r="H1470" s="21">
        <f t="shared" si="44"/>
        <v>403.24729445599951</v>
      </c>
      <c r="I1470" s="10">
        <v>409829.87281699001</v>
      </c>
      <c r="J1470" s="21">
        <f t="shared" si="45"/>
        <v>6661.649636482005</v>
      </c>
    </row>
    <row r="1471" spans="1:10">
      <c r="A1471" t="s">
        <v>75</v>
      </c>
      <c r="B1471" t="s">
        <v>331</v>
      </c>
      <c r="C1471" s="18">
        <v>2026</v>
      </c>
      <c r="D1471" t="s">
        <v>209</v>
      </c>
      <c r="E1471" s="20">
        <v>44219.2649666246</v>
      </c>
      <c r="F1471" s="20">
        <v>6939.7515703490999</v>
      </c>
      <c r="G1471" s="10">
        <v>7023.7712687228704</v>
      </c>
      <c r="H1471" s="21">
        <f t="shared" si="44"/>
        <v>84.019698373770552</v>
      </c>
      <c r="I1471" s="10">
        <v>44219.170751765298</v>
      </c>
      <c r="J1471" s="21">
        <f t="shared" si="45"/>
        <v>-9.4214859302155674E-2</v>
      </c>
    </row>
    <row r="1472" spans="1:10">
      <c r="A1472" t="s">
        <v>75</v>
      </c>
      <c r="B1472" t="s">
        <v>331</v>
      </c>
      <c r="C1472" s="18">
        <v>2027</v>
      </c>
      <c r="D1472" t="s">
        <v>187</v>
      </c>
      <c r="E1472" s="20">
        <v>13275.3091785585</v>
      </c>
      <c r="F1472" s="20">
        <v>9412.6388390859502</v>
      </c>
      <c r="G1472" s="10">
        <v>9640.7153077701696</v>
      </c>
      <c r="H1472" s="21">
        <f t="shared" si="44"/>
        <v>228.07646868421944</v>
      </c>
      <c r="I1472" s="10">
        <v>13273.481772584</v>
      </c>
      <c r="J1472" s="21">
        <f t="shared" si="45"/>
        <v>-1.8274059744999249</v>
      </c>
    </row>
    <row r="1473" spans="1:10">
      <c r="A1473" t="s">
        <v>75</v>
      </c>
      <c r="B1473" t="s">
        <v>331</v>
      </c>
      <c r="C1473" s="18">
        <v>2027</v>
      </c>
      <c r="D1473" t="s">
        <v>227</v>
      </c>
      <c r="E1473" s="20">
        <v>1055311.3668219901</v>
      </c>
      <c r="F1473" s="20">
        <v>142612.16042122099</v>
      </c>
      <c r="G1473" s="10">
        <v>145087.13077641799</v>
      </c>
      <c r="H1473" s="21">
        <f t="shared" si="44"/>
        <v>2474.9703551970015</v>
      </c>
      <c r="I1473" s="10">
        <v>1055255.40879996</v>
      </c>
      <c r="J1473" s="21">
        <f t="shared" si="45"/>
        <v>-55.958022030070424</v>
      </c>
    </row>
    <row r="1474" spans="1:10">
      <c r="A1474" t="s">
        <v>75</v>
      </c>
      <c r="B1474" t="s">
        <v>331</v>
      </c>
      <c r="C1474" s="18">
        <v>2027</v>
      </c>
      <c r="D1474" t="s">
        <v>163</v>
      </c>
      <c r="E1474" s="20">
        <v>95890.227488878794</v>
      </c>
      <c r="F1474" s="20">
        <v>65429.227822561697</v>
      </c>
      <c r="G1474" s="10">
        <v>67068.016908610196</v>
      </c>
      <c r="H1474" s="21">
        <f t="shared" ref="H1474:H1537" si="46">G1474-F1474</f>
        <v>1638.7890860484986</v>
      </c>
      <c r="I1474" s="10">
        <v>98448.827883966893</v>
      </c>
      <c r="J1474" s="21">
        <f t="shared" ref="J1474:J1537" si="47">I1474-E1474</f>
        <v>2558.6003950880986</v>
      </c>
    </row>
    <row r="1475" spans="1:10">
      <c r="A1475" t="s">
        <v>75</v>
      </c>
      <c r="B1475" t="s">
        <v>331</v>
      </c>
      <c r="C1475" s="18">
        <v>2027</v>
      </c>
      <c r="D1475" t="s">
        <v>173</v>
      </c>
      <c r="E1475" s="20">
        <v>338076.80304774101</v>
      </c>
      <c r="F1475" s="20">
        <v>314242.26008631499</v>
      </c>
      <c r="G1475" s="10">
        <v>317119.55355255498</v>
      </c>
      <c r="H1475" s="21">
        <f t="shared" si="46"/>
        <v>2877.293466239993</v>
      </c>
      <c r="I1475" s="10">
        <v>345936.70671640302</v>
      </c>
      <c r="J1475" s="21">
        <f t="shared" si="47"/>
        <v>7859.9036686620093</v>
      </c>
    </row>
    <row r="1476" spans="1:10">
      <c r="A1476" t="s">
        <v>75</v>
      </c>
      <c r="B1476" t="s">
        <v>331</v>
      </c>
      <c r="C1476" s="18">
        <v>2027</v>
      </c>
      <c r="D1476" t="s">
        <v>177</v>
      </c>
      <c r="E1476" s="20">
        <v>579945.771574446</v>
      </c>
      <c r="F1476" s="20">
        <v>340548.28206361399</v>
      </c>
      <c r="G1476" s="10">
        <v>344517.274659827</v>
      </c>
      <c r="H1476" s="21">
        <f t="shared" si="46"/>
        <v>3968.9925962130073</v>
      </c>
      <c r="I1476" s="10">
        <v>596148.83233467594</v>
      </c>
      <c r="J1476" s="21">
        <f t="shared" si="47"/>
        <v>16203.060760229942</v>
      </c>
    </row>
    <row r="1477" spans="1:10">
      <c r="A1477" t="s">
        <v>75</v>
      </c>
      <c r="B1477" t="s">
        <v>331</v>
      </c>
      <c r="C1477" s="18">
        <v>2027</v>
      </c>
      <c r="D1477" t="s">
        <v>181</v>
      </c>
      <c r="E1477" s="20">
        <v>413272.85116172099</v>
      </c>
      <c r="F1477" s="20">
        <v>211152.31171360999</v>
      </c>
      <c r="G1477" s="10">
        <v>211995.48802417101</v>
      </c>
      <c r="H1477" s="21">
        <f t="shared" si="46"/>
        <v>843.17631056101527</v>
      </c>
      <c r="I1477" s="10">
        <v>423485.10132199898</v>
      </c>
      <c r="J1477" s="21">
        <f t="shared" si="47"/>
        <v>10212.250160277996</v>
      </c>
    </row>
    <row r="1478" spans="1:10">
      <c r="A1478" t="s">
        <v>75</v>
      </c>
      <c r="B1478" t="s">
        <v>331</v>
      </c>
      <c r="C1478" s="18">
        <v>2027</v>
      </c>
      <c r="D1478" t="s">
        <v>209</v>
      </c>
      <c r="E1478" s="20">
        <v>44384.542932256503</v>
      </c>
      <c r="F1478" s="20">
        <v>6955.8453127458597</v>
      </c>
      <c r="G1478" s="10">
        <v>7080.0570056816796</v>
      </c>
      <c r="H1478" s="21">
        <f t="shared" si="46"/>
        <v>124.21169293581988</v>
      </c>
      <c r="I1478" s="10">
        <v>44384.2018393689</v>
      </c>
      <c r="J1478" s="21">
        <f t="shared" si="47"/>
        <v>-0.34109288760373602</v>
      </c>
    </row>
    <row r="1479" spans="1:10">
      <c r="A1479" t="s">
        <v>75</v>
      </c>
      <c r="B1479" t="s">
        <v>331</v>
      </c>
      <c r="C1479" s="18">
        <v>2028</v>
      </c>
      <c r="D1479" t="s">
        <v>187</v>
      </c>
      <c r="E1479" s="20">
        <v>13733.717856937699</v>
      </c>
      <c r="F1479" s="20">
        <v>9680.8283169739007</v>
      </c>
      <c r="G1479" s="10">
        <v>9971.4547216338906</v>
      </c>
      <c r="H1479" s="21">
        <f t="shared" si="46"/>
        <v>290.62640465998993</v>
      </c>
      <c r="I1479" s="10">
        <v>13729.5005000864</v>
      </c>
      <c r="J1479" s="21">
        <f t="shared" si="47"/>
        <v>-4.2173568512989732</v>
      </c>
    </row>
    <row r="1480" spans="1:10">
      <c r="A1480" t="s">
        <v>75</v>
      </c>
      <c r="B1480" t="s">
        <v>331</v>
      </c>
      <c r="C1480" s="18">
        <v>2028</v>
      </c>
      <c r="D1480" t="s">
        <v>227</v>
      </c>
      <c r="E1480" s="20">
        <v>1069138.1619479</v>
      </c>
      <c r="F1480" s="20">
        <v>149622.97960145699</v>
      </c>
      <c r="G1480" s="10">
        <v>153077.86738724401</v>
      </c>
      <c r="H1480" s="21">
        <f t="shared" si="46"/>
        <v>3454.8877857870248</v>
      </c>
      <c r="I1480" s="10">
        <v>1069005.07088018</v>
      </c>
      <c r="J1480" s="21">
        <f t="shared" si="47"/>
        <v>-133.09106771997176</v>
      </c>
    </row>
    <row r="1481" spans="1:10">
      <c r="A1481" t="s">
        <v>75</v>
      </c>
      <c r="B1481" t="s">
        <v>331</v>
      </c>
      <c r="C1481" s="18">
        <v>2028</v>
      </c>
      <c r="D1481" t="s">
        <v>163</v>
      </c>
      <c r="E1481" s="20">
        <v>98303.370255141301</v>
      </c>
      <c r="F1481" s="20">
        <v>66698.588638399</v>
      </c>
      <c r="G1481" s="10">
        <v>69019.933123164999</v>
      </c>
      <c r="H1481" s="21">
        <f t="shared" si="46"/>
        <v>2321.3444847659994</v>
      </c>
      <c r="I1481" s="10">
        <v>101797.96761407</v>
      </c>
      <c r="J1481" s="21">
        <f t="shared" si="47"/>
        <v>3494.5973589287023</v>
      </c>
    </row>
    <row r="1482" spans="1:10">
      <c r="A1482" t="s">
        <v>75</v>
      </c>
      <c r="B1482" t="s">
        <v>331</v>
      </c>
      <c r="C1482" s="18">
        <v>2028</v>
      </c>
      <c r="D1482" t="s">
        <v>173</v>
      </c>
      <c r="E1482" s="20">
        <v>344279.65405478398</v>
      </c>
      <c r="F1482" s="20">
        <v>320821.29770121502</v>
      </c>
      <c r="G1482" s="10">
        <v>325690.68301689299</v>
      </c>
      <c r="H1482" s="21">
        <f t="shared" si="46"/>
        <v>4869.385315677966</v>
      </c>
      <c r="I1482" s="10">
        <v>354965.53581913299</v>
      </c>
      <c r="J1482" s="21">
        <f t="shared" si="47"/>
        <v>10685.881764349004</v>
      </c>
    </row>
    <row r="1483" spans="1:10">
      <c r="A1483" t="s">
        <v>75</v>
      </c>
      <c r="B1483" t="s">
        <v>331</v>
      </c>
      <c r="C1483" s="18">
        <v>2028</v>
      </c>
      <c r="D1483" t="s">
        <v>177</v>
      </c>
      <c r="E1483" s="20">
        <v>590029.095794686</v>
      </c>
      <c r="F1483" s="20">
        <v>350185.13019342901</v>
      </c>
      <c r="G1483" s="10">
        <v>356073.57143805898</v>
      </c>
      <c r="H1483" s="21">
        <f t="shared" si="46"/>
        <v>5888.4412446299684</v>
      </c>
      <c r="I1483" s="10">
        <v>612031.65944475099</v>
      </c>
      <c r="J1483" s="21">
        <f t="shared" si="47"/>
        <v>22002.563650064985</v>
      </c>
    </row>
    <row r="1484" spans="1:10">
      <c r="A1484" t="s">
        <v>75</v>
      </c>
      <c r="B1484" t="s">
        <v>331</v>
      </c>
      <c r="C1484" s="18">
        <v>2028</v>
      </c>
      <c r="D1484" t="s">
        <v>181</v>
      </c>
      <c r="E1484" s="20">
        <v>423255.55018068</v>
      </c>
      <c r="F1484" s="20">
        <v>220466.74345335501</v>
      </c>
      <c r="G1484" s="10">
        <v>221908.95856330299</v>
      </c>
      <c r="H1484" s="21">
        <f t="shared" si="46"/>
        <v>1442.2151099479815</v>
      </c>
      <c r="I1484" s="10">
        <v>437159.75519195799</v>
      </c>
      <c r="J1484" s="21">
        <f t="shared" si="47"/>
        <v>13904.205011277983</v>
      </c>
    </row>
    <row r="1485" spans="1:10">
      <c r="A1485" t="s">
        <v>75</v>
      </c>
      <c r="B1485" t="s">
        <v>331</v>
      </c>
      <c r="C1485" s="18">
        <v>2028</v>
      </c>
      <c r="D1485" t="s">
        <v>209</v>
      </c>
      <c r="E1485" s="20">
        <v>44510.843770311098</v>
      </c>
      <c r="F1485" s="20">
        <v>6967.73356681515</v>
      </c>
      <c r="G1485" s="10">
        <v>7131.0701635649802</v>
      </c>
      <c r="H1485" s="21">
        <f t="shared" si="46"/>
        <v>163.33659674983028</v>
      </c>
      <c r="I1485" s="10">
        <v>44510.064962992903</v>
      </c>
      <c r="J1485" s="21">
        <f t="shared" si="47"/>
        <v>-0.7788073181945947</v>
      </c>
    </row>
    <row r="1486" spans="1:10">
      <c r="A1486" t="s">
        <v>75</v>
      </c>
      <c r="B1486" t="s">
        <v>331</v>
      </c>
      <c r="C1486" s="18">
        <v>2029</v>
      </c>
      <c r="D1486" t="s">
        <v>187</v>
      </c>
      <c r="E1486" s="20">
        <v>14189.320200059399</v>
      </c>
      <c r="F1486" s="20">
        <v>9951.6413890774802</v>
      </c>
      <c r="G1486" s="10">
        <v>10301.2295792609</v>
      </c>
      <c r="H1486" s="21">
        <f t="shared" si="46"/>
        <v>349.58819018342001</v>
      </c>
      <c r="I1486" s="10">
        <v>14181.423637546701</v>
      </c>
      <c r="J1486" s="21">
        <f t="shared" si="47"/>
        <v>-7.8965625126984378</v>
      </c>
    </row>
    <row r="1487" spans="1:10">
      <c r="A1487" t="s">
        <v>75</v>
      </c>
      <c r="B1487" t="s">
        <v>331</v>
      </c>
      <c r="C1487" s="18">
        <v>2029</v>
      </c>
      <c r="D1487" t="s">
        <v>227</v>
      </c>
      <c r="E1487" s="20">
        <v>1082504.23039565</v>
      </c>
      <c r="F1487" s="20">
        <v>156648.68670528301</v>
      </c>
      <c r="G1487" s="10">
        <v>161161.06213209301</v>
      </c>
      <c r="H1487" s="21">
        <f t="shared" si="46"/>
        <v>4512.375426810002</v>
      </c>
      <c r="I1487" s="10">
        <v>1082252.3942307399</v>
      </c>
      <c r="J1487" s="21">
        <f t="shared" si="47"/>
        <v>-251.83616491011344</v>
      </c>
    </row>
    <row r="1488" spans="1:10">
      <c r="A1488" t="s">
        <v>75</v>
      </c>
      <c r="B1488" t="s">
        <v>331</v>
      </c>
      <c r="C1488" s="18">
        <v>2029</v>
      </c>
      <c r="D1488" t="s">
        <v>163</v>
      </c>
      <c r="E1488" s="20">
        <v>100645.22756566</v>
      </c>
      <c r="F1488" s="20">
        <v>67979.310778022395</v>
      </c>
      <c r="G1488" s="10">
        <v>71042.054429439493</v>
      </c>
      <c r="H1488" s="21">
        <f t="shared" si="46"/>
        <v>3062.7436514170986</v>
      </c>
      <c r="I1488" s="10">
        <v>105114.693344183</v>
      </c>
      <c r="J1488" s="21">
        <f t="shared" si="47"/>
        <v>4469.4657785230083</v>
      </c>
    </row>
    <row r="1489" spans="1:10">
      <c r="A1489" t="s">
        <v>75</v>
      </c>
      <c r="B1489" t="s">
        <v>331</v>
      </c>
      <c r="C1489" s="18">
        <v>2029</v>
      </c>
      <c r="D1489" t="s">
        <v>173</v>
      </c>
      <c r="E1489" s="20">
        <v>350287.61411141802</v>
      </c>
      <c r="F1489" s="20">
        <v>327180.45449302503</v>
      </c>
      <c r="G1489" s="10">
        <v>334292.677138926</v>
      </c>
      <c r="H1489" s="21">
        <f t="shared" si="46"/>
        <v>7112.2226459009689</v>
      </c>
      <c r="I1489" s="10">
        <v>363896.20424716797</v>
      </c>
      <c r="J1489" s="21">
        <f t="shared" si="47"/>
        <v>13608.590135749953</v>
      </c>
    </row>
    <row r="1490" spans="1:10">
      <c r="A1490" t="s">
        <v>75</v>
      </c>
      <c r="B1490" t="s">
        <v>331</v>
      </c>
      <c r="C1490" s="18">
        <v>2029</v>
      </c>
      <c r="D1490" t="s">
        <v>177</v>
      </c>
      <c r="E1490" s="20">
        <v>599739.11241387494</v>
      </c>
      <c r="F1490" s="20">
        <v>359483.90471970697</v>
      </c>
      <c r="G1490" s="10">
        <v>367575.22274735</v>
      </c>
      <c r="H1490" s="21">
        <f t="shared" si="46"/>
        <v>8091.3180276430212</v>
      </c>
      <c r="I1490" s="10">
        <v>627726.33689879405</v>
      </c>
      <c r="J1490" s="21">
        <f t="shared" si="47"/>
        <v>27987.224484919105</v>
      </c>
    </row>
    <row r="1491" spans="1:10">
      <c r="A1491" t="s">
        <v>75</v>
      </c>
      <c r="B1491" t="s">
        <v>331</v>
      </c>
      <c r="C1491" s="18">
        <v>2029</v>
      </c>
      <c r="D1491" t="s">
        <v>181</v>
      </c>
      <c r="E1491" s="20">
        <v>433050.64249150199</v>
      </c>
      <c r="F1491" s="20">
        <v>229509.05437890399</v>
      </c>
      <c r="G1491" s="10">
        <v>231708.01887569</v>
      </c>
      <c r="H1491" s="21">
        <f t="shared" si="46"/>
        <v>2198.9644967860077</v>
      </c>
      <c r="I1491" s="10">
        <v>450786.13401356898</v>
      </c>
      <c r="J1491" s="21">
        <f t="shared" si="47"/>
        <v>17735.491522066994</v>
      </c>
    </row>
    <row r="1492" spans="1:10">
      <c r="A1492" t="s">
        <v>75</v>
      </c>
      <c r="B1492" t="s">
        <v>331</v>
      </c>
      <c r="C1492" s="18">
        <v>2029</v>
      </c>
      <c r="D1492" t="s">
        <v>209</v>
      </c>
      <c r="E1492" s="20">
        <v>44601.700240897197</v>
      </c>
      <c r="F1492" s="20">
        <v>6976.84034730859</v>
      </c>
      <c r="G1492" s="10">
        <v>7178.2193159725202</v>
      </c>
      <c r="H1492" s="21">
        <f t="shared" si="46"/>
        <v>201.37896866393021</v>
      </c>
      <c r="I1492" s="10">
        <v>44600.261443595497</v>
      </c>
      <c r="J1492" s="21">
        <f t="shared" si="47"/>
        <v>-1.4387973017001059</v>
      </c>
    </row>
    <row r="1493" spans="1:10">
      <c r="A1493" t="s">
        <v>75</v>
      </c>
      <c r="B1493" t="s">
        <v>331</v>
      </c>
      <c r="C1493" s="18">
        <v>2030</v>
      </c>
      <c r="D1493" t="s">
        <v>187</v>
      </c>
      <c r="E1493" s="20">
        <v>14644.0251572002</v>
      </c>
      <c r="F1493" s="20">
        <v>10224.1781176927</v>
      </c>
      <c r="G1493" s="10">
        <v>10630.2702680602</v>
      </c>
      <c r="H1493" s="21">
        <f t="shared" si="46"/>
        <v>406.09215036749993</v>
      </c>
      <c r="I1493" s="10">
        <v>14630.9263575645</v>
      </c>
      <c r="J1493" s="21">
        <f t="shared" si="47"/>
        <v>-13.098799635699834</v>
      </c>
    </row>
    <row r="1494" spans="1:10">
      <c r="A1494" t="s">
        <v>75</v>
      </c>
      <c r="B1494" t="s">
        <v>331</v>
      </c>
      <c r="C1494" s="18">
        <v>2030</v>
      </c>
      <c r="D1494" t="s">
        <v>227</v>
      </c>
      <c r="E1494" s="20">
        <v>1095374.2381422101</v>
      </c>
      <c r="F1494" s="20">
        <v>163668.08647192401</v>
      </c>
      <c r="G1494" s="10">
        <v>169314.83403803801</v>
      </c>
      <c r="H1494" s="21">
        <f t="shared" si="46"/>
        <v>5646.7475661140052</v>
      </c>
      <c r="I1494" s="10">
        <v>1094956.8444496701</v>
      </c>
      <c r="J1494" s="21">
        <f t="shared" si="47"/>
        <v>-417.39369254000485</v>
      </c>
    </row>
    <row r="1495" spans="1:10">
      <c r="A1495" t="s">
        <v>75</v>
      </c>
      <c r="B1495" t="s">
        <v>331</v>
      </c>
      <c r="C1495" s="18">
        <v>2030</v>
      </c>
      <c r="D1495" t="s">
        <v>163</v>
      </c>
      <c r="E1495" s="20">
        <v>102911.107053696</v>
      </c>
      <c r="F1495" s="20">
        <v>69261.0022468971</v>
      </c>
      <c r="G1495" s="10">
        <v>73120.8011068864</v>
      </c>
      <c r="H1495" s="21">
        <f t="shared" si="46"/>
        <v>3859.7988599892997</v>
      </c>
      <c r="I1495" s="10">
        <v>108393.77376611999</v>
      </c>
      <c r="J1495" s="21">
        <f t="shared" si="47"/>
        <v>5482.6667124239902</v>
      </c>
    </row>
    <row r="1496" spans="1:10">
      <c r="A1496" t="s">
        <v>75</v>
      </c>
      <c r="B1496" t="s">
        <v>331</v>
      </c>
      <c r="C1496" s="18">
        <v>2030</v>
      </c>
      <c r="D1496" t="s">
        <v>173</v>
      </c>
      <c r="E1496" s="20">
        <v>356115.55989030801</v>
      </c>
      <c r="F1496" s="20">
        <v>333333.902945232</v>
      </c>
      <c r="G1496" s="10">
        <v>342889.63536639401</v>
      </c>
      <c r="H1496" s="21">
        <f t="shared" si="46"/>
        <v>9555.7324211620144</v>
      </c>
      <c r="I1496" s="10">
        <v>372741.79546126397</v>
      </c>
      <c r="J1496" s="21">
        <f t="shared" si="47"/>
        <v>16626.235570955963</v>
      </c>
    </row>
    <row r="1497" spans="1:10">
      <c r="A1497" t="s">
        <v>75</v>
      </c>
      <c r="B1497" t="s">
        <v>331</v>
      </c>
      <c r="C1497" s="18">
        <v>2030</v>
      </c>
      <c r="D1497" t="s">
        <v>177</v>
      </c>
      <c r="E1497" s="20">
        <v>609004.76993152802</v>
      </c>
      <c r="F1497" s="20">
        <v>368376.39077549602</v>
      </c>
      <c r="G1497" s="10">
        <v>378940.23126744502</v>
      </c>
      <c r="H1497" s="21">
        <f t="shared" si="46"/>
        <v>10563.840491948999</v>
      </c>
      <c r="I1497" s="10">
        <v>643154.21130562795</v>
      </c>
      <c r="J1497" s="21">
        <f t="shared" si="47"/>
        <v>34149.44137409993</v>
      </c>
    </row>
    <row r="1498" spans="1:10">
      <c r="A1498" t="s">
        <v>75</v>
      </c>
      <c r="B1498" t="s">
        <v>331</v>
      </c>
      <c r="C1498" s="18">
        <v>2030</v>
      </c>
      <c r="D1498" t="s">
        <v>181</v>
      </c>
      <c r="E1498" s="20">
        <v>442654.63438477903</v>
      </c>
      <c r="F1498" s="20">
        <v>238197.769198747</v>
      </c>
      <c r="G1498" s="10">
        <v>241310.309903655</v>
      </c>
      <c r="H1498" s="21">
        <f t="shared" si="46"/>
        <v>3112.540704907995</v>
      </c>
      <c r="I1498" s="10">
        <v>464360.51810377202</v>
      </c>
      <c r="J1498" s="21">
        <f t="shared" si="47"/>
        <v>21705.883718992991</v>
      </c>
    </row>
    <row r="1499" spans="1:10">
      <c r="A1499" t="s">
        <v>75</v>
      </c>
      <c r="B1499" t="s">
        <v>331</v>
      </c>
      <c r="C1499" s="18">
        <v>2030</v>
      </c>
      <c r="D1499" t="s">
        <v>209</v>
      </c>
      <c r="E1499" s="20">
        <v>44649.617431262501</v>
      </c>
      <c r="F1499" s="20">
        <v>6984.6999429198404</v>
      </c>
      <c r="G1499" s="10">
        <v>7223.1103147423601</v>
      </c>
      <c r="H1499" s="21">
        <f t="shared" si="46"/>
        <v>238.41037182251966</v>
      </c>
      <c r="I1499" s="10">
        <v>44647.268915282999</v>
      </c>
      <c r="J1499" s="21">
        <f t="shared" si="47"/>
        <v>-2.3485159795018262</v>
      </c>
    </row>
    <row r="1500" spans="1:10">
      <c r="A1500" t="s">
        <v>75</v>
      </c>
      <c r="B1500" t="s">
        <v>331</v>
      </c>
      <c r="C1500" s="18">
        <v>2031</v>
      </c>
      <c r="D1500" t="s">
        <v>187</v>
      </c>
      <c r="E1500" s="20">
        <v>15100.4597586738</v>
      </c>
      <c r="F1500" s="20">
        <v>10494.6415854102</v>
      </c>
      <c r="G1500" s="10">
        <v>10955.4255331558</v>
      </c>
      <c r="H1500" s="21">
        <f t="shared" si="46"/>
        <v>460.78394774560002</v>
      </c>
      <c r="I1500" s="10">
        <v>15080.3825495532</v>
      </c>
      <c r="J1500" s="21">
        <f t="shared" si="47"/>
        <v>-20.077209120599946</v>
      </c>
    </row>
    <row r="1501" spans="1:10">
      <c r="A1501" t="s">
        <v>75</v>
      </c>
      <c r="B1501" t="s">
        <v>331</v>
      </c>
      <c r="C1501" s="18">
        <v>2031</v>
      </c>
      <c r="D1501" t="s">
        <v>227</v>
      </c>
      <c r="E1501" s="20">
        <v>1107661.73054427</v>
      </c>
      <c r="F1501" s="20">
        <v>170654.32480716801</v>
      </c>
      <c r="G1501" s="10">
        <v>177510.90619666901</v>
      </c>
      <c r="H1501" s="21">
        <f t="shared" si="46"/>
        <v>6856.5813895009924</v>
      </c>
      <c r="I1501" s="10">
        <v>1107027.6916289399</v>
      </c>
      <c r="J1501" s="21">
        <f t="shared" si="47"/>
        <v>-634.03891533007845</v>
      </c>
    </row>
    <row r="1502" spans="1:10">
      <c r="A1502" t="s">
        <v>75</v>
      </c>
      <c r="B1502" t="s">
        <v>331</v>
      </c>
      <c r="C1502" s="18">
        <v>2031</v>
      </c>
      <c r="D1502" t="s">
        <v>163</v>
      </c>
      <c r="E1502" s="20">
        <v>105098.458048352</v>
      </c>
      <c r="F1502" s="20">
        <v>70521.974071340795</v>
      </c>
      <c r="G1502" s="10">
        <v>75230.219664338001</v>
      </c>
      <c r="H1502" s="21">
        <f t="shared" si="46"/>
        <v>4708.2455929972057</v>
      </c>
      <c r="I1502" s="10">
        <v>111632.94755435199</v>
      </c>
      <c r="J1502" s="21">
        <f t="shared" si="47"/>
        <v>6534.4895059999981</v>
      </c>
    </row>
    <row r="1503" spans="1:10">
      <c r="A1503" t="s">
        <v>75</v>
      </c>
      <c r="B1503" t="s">
        <v>331</v>
      </c>
      <c r="C1503" s="18">
        <v>2031</v>
      </c>
      <c r="D1503" t="s">
        <v>173</v>
      </c>
      <c r="E1503" s="20">
        <v>361734.20747239498</v>
      </c>
      <c r="F1503" s="20">
        <v>339265.38641009899</v>
      </c>
      <c r="G1503" s="10">
        <v>351432.51867295097</v>
      </c>
      <c r="H1503" s="21">
        <f t="shared" si="46"/>
        <v>12167.132262851985</v>
      </c>
      <c r="I1503" s="10">
        <v>381470.26678102103</v>
      </c>
      <c r="J1503" s="21">
        <f t="shared" si="47"/>
        <v>19736.059308626049</v>
      </c>
    </row>
    <row r="1504" spans="1:10">
      <c r="A1504" t="s">
        <v>75</v>
      </c>
      <c r="B1504" t="s">
        <v>331</v>
      </c>
      <c r="C1504" s="18">
        <v>2031</v>
      </c>
      <c r="D1504" t="s">
        <v>177</v>
      </c>
      <c r="E1504" s="20">
        <v>617796.39763301297</v>
      </c>
      <c r="F1504" s="20">
        <v>376881.80116695701</v>
      </c>
      <c r="G1504" s="10">
        <v>390181.00302030199</v>
      </c>
      <c r="H1504" s="21">
        <f t="shared" si="46"/>
        <v>13299.201853344974</v>
      </c>
      <c r="I1504" s="10">
        <v>658282.14926881401</v>
      </c>
      <c r="J1504" s="21">
        <f t="shared" si="47"/>
        <v>40485.751635801047</v>
      </c>
    </row>
    <row r="1505" spans="1:10">
      <c r="A1505" t="s">
        <v>75</v>
      </c>
      <c r="B1505" t="s">
        <v>331</v>
      </c>
      <c r="C1505" s="18">
        <v>2031</v>
      </c>
      <c r="D1505" t="s">
        <v>181</v>
      </c>
      <c r="E1505" s="20">
        <v>451968.02024257998</v>
      </c>
      <c r="F1505" s="20">
        <v>246632.13394402701</v>
      </c>
      <c r="G1505" s="10">
        <v>250815.78266259201</v>
      </c>
      <c r="H1505" s="21">
        <f t="shared" si="46"/>
        <v>4183.6487185650039</v>
      </c>
      <c r="I1505" s="10">
        <v>477778.14604748198</v>
      </c>
      <c r="J1505" s="21">
        <f t="shared" si="47"/>
        <v>25810.125804901996</v>
      </c>
    </row>
    <row r="1506" spans="1:10">
      <c r="A1506" t="s">
        <v>75</v>
      </c>
      <c r="B1506" t="s">
        <v>331</v>
      </c>
      <c r="C1506" s="18">
        <v>2031</v>
      </c>
      <c r="D1506" t="s">
        <v>209</v>
      </c>
      <c r="E1506" s="20">
        <v>44643.879807938698</v>
      </c>
      <c r="F1506" s="20">
        <v>6992.1498095291799</v>
      </c>
      <c r="G1506" s="10">
        <v>7266.7660002075399</v>
      </c>
      <c r="H1506" s="21">
        <f t="shared" si="46"/>
        <v>274.61619067836</v>
      </c>
      <c r="I1506" s="10">
        <v>44640.347295477797</v>
      </c>
      <c r="J1506" s="21">
        <f t="shared" si="47"/>
        <v>-3.5325124609007617</v>
      </c>
    </row>
    <row r="1507" spans="1:10">
      <c r="A1507" t="s">
        <v>75</v>
      </c>
      <c r="B1507" t="s">
        <v>331</v>
      </c>
      <c r="C1507" s="18">
        <v>2032</v>
      </c>
      <c r="D1507" t="s">
        <v>187</v>
      </c>
      <c r="E1507" s="20">
        <v>15560.366962</v>
      </c>
      <c r="F1507" s="20">
        <v>10760.863396167</v>
      </c>
      <c r="G1507" s="10">
        <v>11274.495449735199</v>
      </c>
      <c r="H1507" s="21">
        <f t="shared" si="46"/>
        <v>513.6320535681989</v>
      </c>
      <c r="I1507" s="10">
        <v>15531.2601955666</v>
      </c>
      <c r="J1507" s="21">
        <f t="shared" si="47"/>
        <v>-29.10676643340048</v>
      </c>
    </row>
    <row r="1508" spans="1:10">
      <c r="A1508" t="s">
        <v>75</v>
      </c>
      <c r="B1508" t="s">
        <v>331</v>
      </c>
      <c r="C1508" s="18">
        <v>2032</v>
      </c>
      <c r="D1508" t="s">
        <v>227</v>
      </c>
      <c r="E1508" s="20">
        <v>1119382.68163771</v>
      </c>
      <c r="F1508" s="20">
        <v>177585.872912141</v>
      </c>
      <c r="G1508" s="10">
        <v>185725.99905880101</v>
      </c>
      <c r="H1508" s="21">
        <f t="shared" si="46"/>
        <v>8140.1261466600117</v>
      </c>
      <c r="I1508" s="10">
        <v>1118477.3274982399</v>
      </c>
      <c r="J1508" s="21">
        <f t="shared" si="47"/>
        <v>-905.35413947002962</v>
      </c>
    </row>
    <row r="1509" spans="1:10">
      <c r="A1509" t="s">
        <v>75</v>
      </c>
      <c r="B1509" t="s">
        <v>331</v>
      </c>
      <c r="C1509" s="18">
        <v>2032</v>
      </c>
      <c r="D1509" t="s">
        <v>163</v>
      </c>
      <c r="E1509" s="20">
        <v>107213.961182556</v>
      </c>
      <c r="F1509" s="20">
        <v>71749.712683468897</v>
      </c>
      <c r="G1509" s="10">
        <v>77353.061023932896</v>
      </c>
      <c r="H1509" s="21">
        <f t="shared" si="46"/>
        <v>5603.3483404639992</v>
      </c>
      <c r="I1509" s="10">
        <v>114835.221802653</v>
      </c>
      <c r="J1509" s="21">
        <f t="shared" si="47"/>
        <v>7621.260620097004</v>
      </c>
    </row>
    <row r="1510" spans="1:10">
      <c r="A1510" t="s">
        <v>75</v>
      </c>
      <c r="B1510" t="s">
        <v>331</v>
      </c>
      <c r="C1510" s="18">
        <v>2032</v>
      </c>
      <c r="D1510" t="s">
        <v>173</v>
      </c>
      <c r="E1510" s="20">
        <v>367075.27615895902</v>
      </c>
      <c r="F1510" s="20">
        <v>344910.54300435598</v>
      </c>
      <c r="G1510" s="10">
        <v>359834.54685286601</v>
      </c>
      <c r="H1510" s="21">
        <f t="shared" si="46"/>
        <v>14924.003848510038</v>
      </c>
      <c r="I1510" s="10">
        <v>389998.37668875401</v>
      </c>
      <c r="J1510" s="21">
        <f t="shared" si="47"/>
        <v>22923.100529794989</v>
      </c>
    </row>
    <row r="1511" spans="1:10">
      <c r="A1511" t="s">
        <v>75</v>
      </c>
      <c r="B1511" t="s">
        <v>331</v>
      </c>
      <c r="C1511" s="18">
        <v>2032</v>
      </c>
      <c r="D1511" t="s">
        <v>177</v>
      </c>
      <c r="E1511" s="20">
        <v>626148.49417475599</v>
      </c>
      <c r="F1511" s="20">
        <v>385030.59328397998</v>
      </c>
      <c r="G1511" s="10">
        <v>401318.28619347198</v>
      </c>
      <c r="H1511" s="21">
        <f t="shared" si="46"/>
        <v>16287.692909492005</v>
      </c>
      <c r="I1511" s="10">
        <v>673133.88827326603</v>
      </c>
      <c r="J1511" s="21">
        <f t="shared" si="47"/>
        <v>46985.394098510034</v>
      </c>
    </row>
    <row r="1512" spans="1:10">
      <c r="A1512" t="s">
        <v>75</v>
      </c>
      <c r="B1512" t="s">
        <v>331</v>
      </c>
      <c r="C1512" s="18">
        <v>2032</v>
      </c>
      <c r="D1512" t="s">
        <v>181</v>
      </c>
      <c r="E1512" s="20">
        <v>460881.29251127102</v>
      </c>
      <c r="F1512" s="20">
        <v>254933.665517277</v>
      </c>
      <c r="G1512" s="10">
        <v>260346.937343717</v>
      </c>
      <c r="H1512" s="21">
        <f t="shared" si="46"/>
        <v>5413.2718264400028</v>
      </c>
      <c r="I1512" s="10">
        <v>490904.70344577997</v>
      </c>
      <c r="J1512" s="21">
        <f t="shared" si="47"/>
        <v>30023.410934508953</v>
      </c>
    </row>
    <row r="1513" spans="1:10">
      <c r="A1513" t="s">
        <v>75</v>
      </c>
      <c r="B1513" t="s">
        <v>331</v>
      </c>
      <c r="C1513" s="18">
        <v>2032</v>
      </c>
      <c r="D1513" t="s">
        <v>209</v>
      </c>
      <c r="E1513" s="20">
        <v>44588.259939729098</v>
      </c>
      <c r="F1513" s="20">
        <v>6998.5083700300202</v>
      </c>
      <c r="G1513" s="10">
        <v>7308.6895683399798</v>
      </c>
      <c r="H1513" s="21">
        <f t="shared" si="46"/>
        <v>310.18119830995965</v>
      </c>
      <c r="I1513" s="10">
        <v>44583.245501595899</v>
      </c>
      <c r="J1513" s="21">
        <f t="shared" si="47"/>
        <v>-5.0144381331992918</v>
      </c>
    </row>
    <row r="1514" spans="1:10">
      <c r="A1514" t="s">
        <v>75</v>
      </c>
      <c r="B1514" t="s">
        <v>331</v>
      </c>
      <c r="C1514" s="18">
        <v>2033</v>
      </c>
      <c r="D1514" t="s">
        <v>187</v>
      </c>
      <c r="E1514" s="20">
        <v>16024.204040189299</v>
      </c>
      <c r="F1514" s="20">
        <v>11022.2671203309</v>
      </c>
      <c r="G1514" s="10">
        <v>11586.9335708044</v>
      </c>
      <c r="H1514" s="21">
        <f t="shared" si="46"/>
        <v>564.66645047349994</v>
      </c>
      <c r="I1514" s="10">
        <v>15983.7175379286</v>
      </c>
      <c r="J1514" s="21">
        <f t="shared" si="47"/>
        <v>-40.486502260699126</v>
      </c>
    </row>
    <row r="1515" spans="1:10">
      <c r="A1515" t="s">
        <v>75</v>
      </c>
      <c r="B1515" t="s">
        <v>331</v>
      </c>
      <c r="C1515" s="18">
        <v>2033</v>
      </c>
      <c r="D1515" t="s">
        <v>227</v>
      </c>
      <c r="E1515" s="20">
        <v>1130467.88297581</v>
      </c>
      <c r="F1515" s="20">
        <v>184457.250343049</v>
      </c>
      <c r="G1515" s="10">
        <v>193953.224223645</v>
      </c>
      <c r="H1515" s="21">
        <f t="shared" si="46"/>
        <v>9495.9738805959933</v>
      </c>
      <c r="I1515" s="10">
        <v>1129233.47845058</v>
      </c>
      <c r="J1515" s="21">
        <f t="shared" si="47"/>
        <v>-1234.4045252299402</v>
      </c>
    </row>
    <row r="1516" spans="1:10">
      <c r="A1516" t="s">
        <v>75</v>
      </c>
      <c r="B1516" t="s">
        <v>331</v>
      </c>
      <c r="C1516" s="18">
        <v>2033</v>
      </c>
      <c r="D1516" t="s">
        <v>163</v>
      </c>
      <c r="E1516" s="20">
        <v>109262.82123862499</v>
      </c>
      <c r="F1516" s="20">
        <v>72940.482760947896</v>
      </c>
      <c r="G1516" s="10">
        <v>79480.4761690429</v>
      </c>
      <c r="H1516" s="21">
        <f t="shared" si="46"/>
        <v>6539.9934080950043</v>
      </c>
      <c r="I1516" s="10">
        <v>117998.73843744201</v>
      </c>
      <c r="J1516" s="21">
        <f t="shared" si="47"/>
        <v>8735.9171988170128</v>
      </c>
    </row>
    <row r="1517" spans="1:10">
      <c r="A1517" t="s">
        <v>75</v>
      </c>
      <c r="B1517" t="s">
        <v>331</v>
      </c>
      <c r="C1517" s="18">
        <v>2033</v>
      </c>
      <c r="D1517" t="s">
        <v>173</v>
      </c>
      <c r="E1517" s="20">
        <v>372182.20262052701</v>
      </c>
      <c r="F1517" s="20">
        <v>350248.85579847603</v>
      </c>
      <c r="G1517" s="10">
        <v>368051.62457544298</v>
      </c>
      <c r="H1517" s="21">
        <f t="shared" si="46"/>
        <v>17802.768776966957</v>
      </c>
      <c r="I1517" s="10">
        <v>398354.344992358</v>
      </c>
      <c r="J1517" s="21">
        <f t="shared" si="47"/>
        <v>26172.142371830996</v>
      </c>
    </row>
    <row r="1518" spans="1:10">
      <c r="A1518" t="s">
        <v>75</v>
      </c>
      <c r="B1518" t="s">
        <v>331</v>
      </c>
      <c r="C1518" s="18">
        <v>2033</v>
      </c>
      <c r="D1518" t="s">
        <v>177</v>
      </c>
      <c r="E1518" s="20">
        <v>634012.29567120702</v>
      </c>
      <c r="F1518" s="20">
        <v>392834.24971578398</v>
      </c>
      <c r="G1518" s="10">
        <v>412348.075678578</v>
      </c>
      <c r="H1518" s="21">
        <f t="shared" si="46"/>
        <v>19513.825962794013</v>
      </c>
      <c r="I1518" s="10">
        <v>687634.69954692596</v>
      </c>
      <c r="J1518" s="21">
        <f t="shared" si="47"/>
        <v>53622.403875718941</v>
      </c>
    </row>
    <row r="1519" spans="1:10">
      <c r="A1519" t="s">
        <v>75</v>
      </c>
      <c r="B1519" t="s">
        <v>331</v>
      </c>
      <c r="C1519" s="18">
        <v>2033</v>
      </c>
      <c r="D1519" t="s">
        <v>181</v>
      </c>
      <c r="E1519" s="20">
        <v>469429.40485559998</v>
      </c>
      <c r="F1519" s="20">
        <v>263088.01626009302</v>
      </c>
      <c r="G1519" s="10">
        <v>269883.407599987</v>
      </c>
      <c r="H1519" s="21">
        <f t="shared" si="46"/>
        <v>6795.3913398939767</v>
      </c>
      <c r="I1519" s="10">
        <v>503751.109420694</v>
      </c>
      <c r="J1519" s="21">
        <f t="shared" si="47"/>
        <v>34321.704565094027</v>
      </c>
    </row>
    <row r="1520" spans="1:10">
      <c r="A1520" t="s">
        <v>75</v>
      </c>
      <c r="B1520" t="s">
        <v>331</v>
      </c>
      <c r="C1520" s="18">
        <v>2033</v>
      </c>
      <c r="D1520" t="s">
        <v>209</v>
      </c>
      <c r="E1520" s="20">
        <v>44490.500508068697</v>
      </c>
      <c r="F1520" s="20">
        <v>7002.86472258105</v>
      </c>
      <c r="G1520" s="10">
        <v>7348.0741473220596</v>
      </c>
      <c r="H1520" s="21">
        <f t="shared" si="46"/>
        <v>345.20942474100957</v>
      </c>
      <c r="I1520" s="10">
        <v>44483.683589841297</v>
      </c>
      <c r="J1520" s="21">
        <f t="shared" si="47"/>
        <v>-6.816918227399583</v>
      </c>
    </row>
    <row r="1521" spans="1:10">
      <c r="A1521" t="s">
        <v>75</v>
      </c>
      <c r="B1521" t="s">
        <v>331</v>
      </c>
      <c r="C1521" s="18">
        <v>2034</v>
      </c>
      <c r="D1521" t="s">
        <v>187</v>
      </c>
      <c r="E1521" s="20">
        <v>16491.4633730067</v>
      </c>
      <c r="F1521" s="20">
        <v>11282.058810460399</v>
      </c>
      <c r="G1521" s="10">
        <v>11896.382318738601</v>
      </c>
      <c r="H1521" s="21">
        <f t="shared" si="46"/>
        <v>614.32350827820119</v>
      </c>
      <c r="I1521" s="10">
        <v>16436.9312806497</v>
      </c>
      <c r="J1521" s="21">
        <f t="shared" si="47"/>
        <v>-54.532092356999783</v>
      </c>
    </row>
    <row r="1522" spans="1:10">
      <c r="A1522" t="s">
        <v>75</v>
      </c>
      <c r="B1522" t="s">
        <v>331</v>
      </c>
      <c r="C1522" s="18">
        <v>2034</v>
      </c>
      <c r="D1522" t="s">
        <v>227</v>
      </c>
      <c r="E1522" s="20">
        <v>1140980.7013359701</v>
      </c>
      <c r="F1522" s="20">
        <v>191226.64093114101</v>
      </c>
      <c r="G1522" s="10">
        <v>202147.27044605001</v>
      </c>
      <c r="H1522" s="21">
        <f t="shared" si="46"/>
        <v>10920.629514909</v>
      </c>
      <c r="I1522" s="10">
        <v>1139357.0195160699</v>
      </c>
      <c r="J1522" s="21">
        <f t="shared" si="47"/>
        <v>-1623.6818199001718</v>
      </c>
    </row>
    <row r="1523" spans="1:10">
      <c r="A1523" t="s">
        <v>75</v>
      </c>
      <c r="B1523" t="s">
        <v>331</v>
      </c>
      <c r="C1523" s="18">
        <v>2034</v>
      </c>
      <c r="D1523" t="s">
        <v>163</v>
      </c>
      <c r="E1523" s="20">
        <v>111230.163369341</v>
      </c>
      <c r="F1523" s="20">
        <v>74080.843813555504</v>
      </c>
      <c r="G1523" s="10">
        <v>81594.948233921197</v>
      </c>
      <c r="H1523" s="21">
        <f t="shared" si="46"/>
        <v>7514.1044203656929</v>
      </c>
      <c r="I1523" s="10">
        <v>121105.471839437</v>
      </c>
      <c r="J1523" s="21">
        <f t="shared" si="47"/>
        <v>9875.3084700960026</v>
      </c>
    </row>
    <row r="1524" spans="1:10">
      <c r="A1524" t="s">
        <v>75</v>
      </c>
      <c r="B1524" t="s">
        <v>331</v>
      </c>
      <c r="C1524" s="18">
        <v>2034</v>
      </c>
      <c r="D1524" t="s">
        <v>173</v>
      </c>
      <c r="E1524" s="20">
        <v>377081.57465548901</v>
      </c>
      <c r="F1524" s="20">
        <v>355249.13954021101</v>
      </c>
      <c r="G1524" s="10">
        <v>376028.13227833499</v>
      </c>
      <c r="H1524" s="21">
        <f t="shared" si="46"/>
        <v>20778.992738123983</v>
      </c>
      <c r="I1524" s="10">
        <v>406559.86735378799</v>
      </c>
      <c r="J1524" s="21">
        <f t="shared" si="47"/>
        <v>29478.292698298988</v>
      </c>
    </row>
    <row r="1525" spans="1:10">
      <c r="A1525" t="s">
        <v>75</v>
      </c>
      <c r="B1525" t="s">
        <v>331</v>
      </c>
      <c r="C1525" s="18">
        <v>2034</v>
      </c>
      <c r="D1525" t="s">
        <v>177</v>
      </c>
      <c r="E1525" s="20">
        <v>641312.77247987106</v>
      </c>
      <c r="F1525" s="20">
        <v>400291.17501270998</v>
      </c>
      <c r="G1525" s="10">
        <v>423259.10059080599</v>
      </c>
      <c r="H1525" s="21">
        <f t="shared" si="46"/>
        <v>22967.925578096008</v>
      </c>
      <c r="I1525" s="10">
        <v>701691.67735876795</v>
      </c>
      <c r="J1525" s="21">
        <f t="shared" si="47"/>
        <v>60378.904878896894</v>
      </c>
    </row>
    <row r="1526" spans="1:10">
      <c r="A1526" t="s">
        <v>75</v>
      </c>
      <c r="B1526" t="s">
        <v>331</v>
      </c>
      <c r="C1526" s="18">
        <v>2034</v>
      </c>
      <c r="D1526" t="s">
        <v>181</v>
      </c>
      <c r="E1526" s="20">
        <v>477706.52439402603</v>
      </c>
      <c r="F1526" s="20">
        <v>271161.27399939002</v>
      </c>
      <c r="G1526" s="10">
        <v>279484.98028522899</v>
      </c>
      <c r="H1526" s="21">
        <f t="shared" si="46"/>
        <v>8323.7062858389691</v>
      </c>
      <c r="I1526" s="10">
        <v>516406.53850878001</v>
      </c>
      <c r="J1526" s="21">
        <f t="shared" si="47"/>
        <v>38700.014114753983</v>
      </c>
    </row>
    <row r="1527" spans="1:10">
      <c r="A1527" t="s">
        <v>75</v>
      </c>
      <c r="B1527" t="s">
        <v>331</v>
      </c>
      <c r="C1527" s="18">
        <v>2034</v>
      </c>
      <c r="D1527" t="s">
        <v>209</v>
      </c>
      <c r="E1527" s="20">
        <v>44364.145242827399</v>
      </c>
      <c r="F1527" s="20">
        <v>7005.3065223768699</v>
      </c>
      <c r="G1527" s="10">
        <v>7385.0409467521704</v>
      </c>
      <c r="H1527" s="21">
        <f t="shared" si="46"/>
        <v>379.73442437530048</v>
      </c>
      <c r="I1527" s="10">
        <v>44355.184450178996</v>
      </c>
      <c r="J1527" s="21">
        <f t="shared" si="47"/>
        <v>-8.9607926484022755</v>
      </c>
    </row>
    <row r="1528" spans="1:10">
      <c r="A1528" t="s">
        <v>75</v>
      </c>
      <c r="B1528" t="s">
        <v>331</v>
      </c>
      <c r="C1528" s="18">
        <v>2035</v>
      </c>
      <c r="D1528" t="s">
        <v>187</v>
      </c>
      <c r="E1528" s="20">
        <v>16963.772831468901</v>
      </c>
      <c r="F1528" s="20">
        <v>11540.1622751301</v>
      </c>
      <c r="G1528" s="10">
        <v>12203.057717863399</v>
      </c>
      <c r="H1528" s="21">
        <f t="shared" si="46"/>
        <v>662.89544273329921</v>
      </c>
      <c r="I1528" s="10">
        <v>16892.2141390053</v>
      </c>
      <c r="J1528" s="21">
        <f t="shared" si="47"/>
        <v>-71.558692463600892</v>
      </c>
    </row>
    <row r="1529" spans="1:10">
      <c r="A1529" t="s">
        <v>75</v>
      </c>
      <c r="B1529" t="s">
        <v>331</v>
      </c>
      <c r="C1529" s="18">
        <v>2035</v>
      </c>
      <c r="D1529" t="s">
        <v>227</v>
      </c>
      <c r="E1529" s="20">
        <v>1151047.35883194</v>
      </c>
      <c r="F1529" s="20">
        <v>197879.628923315</v>
      </c>
      <c r="G1529" s="10">
        <v>210290.98052792501</v>
      </c>
      <c r="H1529" s="21">
        <f t="shared" si="46"/>
        <v>12411.351604610012</v>
      </c>
      <c r="I1529" s="10">
        <v>1148972.16574985</v>
      </c>
      <c r="J1529" s="21">
        <f t="shared" si="47"/>
        <v>-2075.1930820900016</v>
      </c>
    </row>
    <row r="1530" spans="1:10">
      <c r="A1530" t="s">
        <v>75</v>
      </c>
      <c r="B1530" t="s">
        <v>331</v>
      </c>
      <c r="C1530" s="18">
        <v>2035</v>
      </c>
      <c r="D1530" t="s">
        <v>163</v>
      </c>
      <c r="E1530" s="20">
        <v>113111.885551518</v>
      </c>
      <c r="F1530" s="20">
        <v>75172.917875809901</v>
      </c>
      <c r="G1530" s="10">
        <v>83695.117872879797</v>
      </c>
      <c r="H1530" s="21">
        <f t="shared" si="46"/>
        <v>8522.1999970698962</v>
      </c>
      <c r="I1530" s="10">
        <v>124148.20719584401</v>
      </c>
      <c r="J1530" s="21">
        <f t="shared" si="47"/>
        <v>11036.321644326003</v>
      </c>
    </row>
    <row r="1531" spans="1:10">
      <c r="A1531" t="s">
        <v>75</v>
      </c>
      <c r="B1531" t="s">
        <v>331</v>
      </c>
      <c r="C1531" s="18">
        <v>2035</v>
      </c>
      <c r="D1531" t="s">
        <v>173</v>
      </c>
      <c r="E1531" s="20">
        <v>381705.974959346</v>
      </c>
      <c r="F1531" s="20">
        <v>359950.95070484298</v>
      </c>
      <c r="G1531" s="10">
        <v>383788.76252667198</v>
      </c>
      <c r="H1531" s="21">
        <f t="shared" si="46"/>
        <v>23837.811821829004</v>
      </c>
      <c r="I1531" s="10">
        <v>414533.16060314502</v>
      </c>
      <c r="J1531" s="21">
        <f t="shared" si="47"/>
        <v>32827.185643799021</v>
      </c>
    </row>
    <row r="1532" spans="1:10">
      <c r="A1532" t="s">
        <v>75</v>
      </c>
      <c r="B1532" t="s">
        <v>331</v>
      </c>
      <c r="C1532" s="18">
        <v>2035</v>
      </c>
      <c r="D1532" t="s">
        <v>177</v>
      </c>
      <c r="E1532" s="20">
        <v>648086.90595242602</v>
      </c>
      <c r="F1532" s="20">
        <v>407439.50279156701</v>
      </c>
      <c r="G1532" s="10">
        <v>434082.03155119502</v>
      </c>
      <c r="H1532" s="21">
        <f t="shared" si="46"/>
        <v>26642.52875962801</v>
      </c>
      <c r="I1532" s="10">
        <v>715331.78882210201</v>
      </c>
      <c r="J1532" s="21">
        <f t="shared" si="47"/>
        <v>67244.882869675988</v>
      </c>
    </row>
    <row r="1533" spans="1:10">
      <c r="A1533" t="s">
        <v>75</v>
      </c>
      <c r="B1533" t="s">
        <v>331</v>
      </c>
      <c r="C1533" s="18">
        <v>2035</v>
      </c>
      <c r="D1533" t="s">
        <v>181</v>
      </c>
      <c r="E1533" s="20">
        <v>485673.42075533199</v>
      </c>
      <c r="F1533" s="20">
        <v>279160.604204626</v>
      </c>
      <c r="G1533" s="10">
        <v>289150.80243598297</v>
      </c>
      <c r="H1533" s="21">
        <f t="shared" si="46"/>
        <v>9990.1982313569752</v>
      </c>
      <c r="I1533" s="10">
        <v>528818.37188395299</v>
      </c>
      <c r="J1533" s="21">
        <f t="shared" si="47"/>
        <v>43144.951128621004</v>
      </c>
    </row>
    <row r="1534" spans="1:10">
      <c r="A1534" t="s">
        <v>75</v>
      </c>
      <c r="B1534" t="s">
        <v>331</v>
      </c>
      <c r="C1534" s="18">
        <v>2035</v>
      </c>
      <c r="D1534" t="s">
        <v>209</v>
      </c>
      <c r="E1534" s="20">
        <v>44218.172365303799</v>
      </c>
      <c r="F1534" s="20">
        <v>7006.3651124882199</v>
      </c>
      <c r="G1534" s="10">
        <v>7419.9788551932097</v>
      </c>
      <c r="H1534" s="21">
        <f t="shared" si="46"/>
        <v>413.61374270498982</v>
      </c>
      <c r="I1534" s="10">
        <v>44206.707306712102</v>
      </c>
      <c r="J1534" s="21">
        <f t="shared" si="47"/>
        <v>-11.465058591697016</v>
      </c>
    </row>
    <row r="1535" spans="1:10">
      <c r="A1535" t="s">
        <v>75</v>
      </c>
      <c r="B1535" t="s">
        <v>331</v>
      </c>
      <c r="C1535" s="18">
        <v>2036</v>
      </c>
      <c r="D1535" t="s">
        <v>187</v>
      </c>
      <c r="E1535" s="20">
        <v>17442.542570766898</v>
      </c>
      <c r="F1535" s="20">
        <v>11796.298475437299</v>
      </c>
      <c r="G1535" s="10">
        <v>12506.9021026876</v>
      </c>
      <c r="H1535" s="21">
        <f t="shared" si="46"/>
        <v>710.60362725030063</v>
      </c>
      <c r="I1535" s="10">
        <v>17350.6546269342</v>
      </c>
      <c r="J1535" s="21">
        <f t="shared" si="47"/>
        <v>-91.887943832698511</v>
      </c>
    </row>
    <row r="1536" spans="1:10">
      <c r="A1536" t="s">
        <v>75</v>
      </c>
      <c r="B1536" t="s">
        <v>331</v>
      </c>
      <c r="C1536" s="18">
        <v>2036</v>
      </c>
      <c r="D1536" t="s">
        <v>227</v>
      </c>
      <c r="E1536" s="20">
        <v>1160856.86425768</v>
      </c>
      <c r="F1536" s="20">
        <v>204405.365318645</v>
      </c>
      <c r="G1536" s="10">
        <v>218370.687575925</v>
      </c>
      <c r="H1536" s="21">
        <f t="shared" si="46"/>
        <v>13965.32225728</v>
      </c>
      <c r="I1536" s="10">
        <v>1158266.1377582899</v>
      </c>
      <c r="J1536" s="21">
        <f t="shared" si="47"/>
        <v>-2590.7264993900899</v>
      </c>
    </row>
    <row r="1537" spans="1:10">
      <c r="A1537" t="s">
        <v>75</v>
      </c>
      <c r="B1537" t="s">
        <v>331</v>
      </c>
      <c r="C1537" s="18">
        <v>2036</v>
      </c>
      <c r="D1537" t="s">
        <v>163</v>
      </c>
      <c r="E1537" s="20">
        <v>114922.62395966399</v>
      </c>
      <c r="F1537" s="20">
        <v>76205.236059613599</v>
      </c>
      <c r="G1537" s="10">
        <v>85765.564735317093</v>
      </c>
      <c r="H1537" s="21">
        <f t="shared" si="46"/>
        <v>9560.3286757034948</v>
      </c>
      <c r="I1537" s="10">
        <v>127138.451085333</v>
      </c>
      <c r="J1537" s="21">
        <f t="shared" si="47"/>
        <v>12215.827125669006</v>
      </c>
    </row>
    <row r="1538" spans="1:10">
      <c r="A1538" t="s">
        <v>75</v>
      </c>
      <c r="B1538" t="s">
        <v>331</v>
      </c>
      <c r="C1538" s="18">
        <v>2036</v>
      </c>
      <c r="D1538" t="s">
        <v>173</v>
      </c>
      <c r="E1538" s="20">
        <v>386025.67383682303</v>
      </c>
      <c r="F1538" s="20">
        <v>364322.42749497102</v>
      </c>
      <c r="G1538" s="10">
        <v>391285.95573958702</v>
      </c>
      <c r="H1538" s="21">
        <f t="shared" ref="H1538:H1601" si="48">G1538-F1538</f>
        <v>26963.528244615998</v>
      </c>
      <c r="I1538" s="10">
        <v>422232.65992213303</v>
      </c>
      <c r="J1538" s="21">
        <f t="shared" ref="J1538:J1601" si="49">I1538-E1538</f>
        <v>36206.986085309996</v>
      </c>
    </row>
    <row r="1539" spans="1:10">
      <c r="A1539" t="s">
        <v>75</v>
      </c>
      <c r="B1539" t="s">
        <v>331</v>
      </c>
      <c r="C1539" s="18">
        <v>2036</v>
      </c>
      <c r="D1539" t="s">
        <v>177</v>
      </c>
      <c r="E1539" s="20">
        <v>654330.14079991204</v>
      </c>
      <c r="F1539" s="20">
        <v>414224.06190356798</v>
      </c>
      <c r="G1539" s="10">
        <v>444747.90756616899</v>
      </c>
      <c r="H1539" s="21">
        <f t="shared" si="48"/>
        <v>30523.845662601001</v>
      </c>
      <c r="I1539" s="10">
        <v>728531.610160843</v>
      </c>
      <c r="J1539" s="21">
        <f t="shared" si="49"/>
        <v>74201.469360930962</v>
      </c>
    </row>
    <row r="1540" spans="1:10">
      <c r="A1540" t="s">
        <v>75</v>
      </c>
      <c r="B1540" t="s">
        <v>331</v>
      </c>
      <c r="C1540" s="18">
        <v>2036</v>
      </c>
      <c r="D1540" t="s">
        <v>181</v>
      </c>
      <c r="E1540" s="20">
        <v>493409.23367849598</v>
      </c>
      <c r="F1540" s="20">
        <v>287092.62167127698</v>
      </c>
      <c r="G1540" s="10">
        <v>298879.61130973301</v>
      </c>
      <c r="H1540" s="21">
        <f t="shared" si="48"/>
        <v>11786.989638456027</v>
      </c>
      <c r="I1540" s="10">
        <v>541052.28077363002</v>
      </c>
      <c r="J1540" s="21">
        <f t="shared" si="49"/>
        <v>47643.047095134039</v>
      </c>
    </row>
    <row r="1541" spans="1:10">
      <c r="A1541" t="s">
        <v>75</v>
      </c>
      <c r="B1541" t="s">
        <v>331</v>
      </c>
      <c r="C1541" s="18">
        <v>2036</v>
      </c>
      <c r="D1541" t="s">
        <v>209</v>
      </c>
      <c r="E1541" s="20">
        <v>44064.3463192407</v>
      </c>
      <c r="F1541" s="20">
        <v>7006.5552334284303</v>
      </c>
      <c r="G1541" s="10">
        <v>7453.3351271514002</v>
      </c>
      <c r="H1541" s="21">
        <f t="shared" si="48"/>
        <v>446.77989372296997</v>
      </c>
      <c r="I1541" s="10">
        <v>44049.998378272197</v>
      </c>
      <c r="J1541" s="21">
        <f t="shared" si="49"/>
        <v>-14.347940968502371</v>
      </c>
    </row>
    <row r="1542" spans="1:10">
      <c r="A1542" t="s">
        <v>75</v>
      </c>
      <c r="B1542" t="s">
        <v>331</v>
      </c>
      <c r="C1542" s="18">
        <v>2037</v>
      </c>
      <c r="D1542" t="s">
        <v>187</v>
      </c>
      <c r="E1542" s="20">
        <v>17928.357062259402</v>
      </c>
      <c r="F1542" s="20">
        <v>12049.7482835786</v>
      </c>
      <c r="G1542" s="10">
        <v>12807.501268399201</v>
      </c>
      <c r="H1542" s="21">
        <f t="shared" si="48"/>
        <v>757.75298482060134</v>
      </c>
      <c r="I1542" s="10">
        <v>17812.5035281772</v>
      </c>
      <c r="J1542" s="21">
        <f t="shared" si="49"/>
        <v>-115.8535340822018</v>
      </c>
    </row>
    <row r="1543" spans="1:10">
      <c r="A1543" t="s">
        <v>75</v>
      </c>
      <c r="B1543" t="s">
        <v>331</v>
      </c>
      <c r="C1543" s="18">
        <v>2037</v>
      </c>
      <c r="D1543" t="s">
        <v>227</v>
      </c>
      <c r="E1543" s="20">
        <v>1170536.58337006</v>
      </c>
      <c r="F1543" s="20">
        <v>210793.72093005001</v>
      </c>
      <c r="G1543" s="10">
        <v>226373.365626062</v>
      </c>
      <c r="H1543" s="21">
        <f t="shared" si="48"/>
        <v>15579.644696011994</v>
      </c>
      <c r="I1543" s="10">
        <v>1167364.6654137501</v>
      </c>
      <c r="J1543" s="21">
        <f t="shared" si="49"/>
        <v>-3171.9179563098587</v>
      </c>
    </row>
    <row r="1544" spans="1:10">
      <c r="A1544" t="s">
        <v>75</v>
      </c>
      <c r="B1544" t="s">
        <v>331</v>
      </c>
      <c r="C1544" s="18">
        <v>2037</v>
      </c>
      <c r="D1544" t="s">
        <v>163</v>
      </c>
      <c r="E1544" s="20">
        <v>116681.40037470299</v>
      </c>
      <c r="F1544" s="20">
        <v>77162.070112479996</v>
      </c>
      <c r="G1544" s="10">
        <v>87785.873914228694</v>
      </c>
      <c r="H1544" s="21">
        <f t="shared" si="48"/>
        <v>10623.803801748698</v>
      </c>
      <c r="I1544" s="10">
        <v>130092.112965313</v>
      </c>
      <c r="J1544" s="21">
        <f t="shared" si="49"/>
        <v>13410.712590610012</v>
      </c>
    </row>
    <row r="1545" spans="1:10">
      <c r="A1545" t="s">
        <v>75</v>
      </c>
      <c r="B1545" t="s">
        <v>331</v>
      </c>
      <c r="C1545" s="18">
        <v>2037</v>
      </c>
      <c r="D1545" t="s">
        <v>173</v>
      </c>
      <c r="E1545" s="20">
        <v>390064.48664964701</v>
      </c>
      <c r="F1545" s="20">
        <v>368332.86929195101</v>
      </c>
      <c r="G1545" s="10">
        <v>398473.81338660797</v>
      </c>
      <c r="H1545" s="21">
        <f t="shared" si="48"/>
        <v>30140.944094656967</v>
      </c>
      <c r="I1545" s="10">
        <v>429674.679324948</v>
      </c>
      <c r="J1545" s="21">
        <f t="shared" si="49"/>
        <v>39610.19267530099</v>
      </c>
    </row>
    <row r="1546" spans="1:10">
      <c r="A1546" t="s">
        <v>75</v>
      </c>
      <c r="B1546" t="s">
        <v>331</v>
      </c>
      <c r="C1546" s="18">
        <v>2037</v>
      </c>
      <c r="D1546" t="s">
        <v>177</v>
      </c>
      <c r="E1546" s="20">
        <v>660040.69168029097</v>
      </c>
      <c r="F1546" s="20">
        <v>420570.88592219597</v>
      </c>
      <c r="G1546" s="10">
        <v>455168.18452875799</v>
      </c>
      <c r="H1546" s="21">
        <f t="shared" si="48"/>
        <v>34597.298606562021</v>
      </c>
      <c r="I1546" s="10">
        <v>741261.42723499297</v>
      </c>
      <c r="J1546" s="21">
        <f t="shared" si="49"/>
        <v>81220.735554701998</v>
      </c>
    </row>
    <row r="1547" spans="1:10">
      <c r="A1547" t="s">
        <v>75</v>
      </c>
      <c r="B1547" t="s">
        <v>331</v>
      </c>
      <c r="C1547" s="18">
        <v>2037</v>
      </c>
      <c r="D1547" t="s">
        <v>181</v>
      </c>
      <c r="E1547" s="20">
        <v>501068.839799029</v>
      </c>
      <c r="F1547" s="20">
        <v>294960.86779649201</v>
      </c>
      <c r="G1547" s="10">
        <v>308666.04356230202</v>
      </c>
      <c r="H1547" s="21">
        <f t="shared" si="48"/>
        <v>13705.17576581001</v>
      </c>
      <c r="I1547" s="10">
        <v>553258.51776135701</v>
      </c>
      <c r="J1547" s="21">
        <f t="shared" si="49"/>
        <v>52189.677962328016</v>
      </c>
    </row>
    <row r="1548" spans="1:10">
      <c r="A1548" t="s">
        <v>75</v>
      </c>
      <c r="B1548" t="s">
        <v>331</v>
      </c>
      <c r="C1548" s="18">
        <v>2037</v>
      </c>
      <c r="D1548" t="s">
        <v>209</v>
      </c>
      <c r="E1548" s="20">
        <v>43904.121035399898</v>
      </c>
      <c r="F1548" s="20">
        <v>7006.1068803282997</v>
      </c>
      <c r="G1548" s="10">
        <v>7485.6394586101196</v>
      </c>
      <c r="H1548" s="21">
        <f t="shared" si="48"/>
        <v>479.53257828181995</v>
      </c>
      <c r="I1548" s="10">
        <v>43886.496639761303</v>
      </c>
      <c r="J1548" s="21">
        <f t="shared" si="49"/>
        <v>-17.624395638595161</v>
      </c>
    </row>
    <row r="1549" spans="1:10">
      <c r="A1549" t="s">
        <v>75</v>
      </c>
      <c r="B1549" t="s">
        <v>331</v>
      </c>
      <c r="C1549" s="18">
        <v>2038</v>
      </c>
      <c r="D1549" t="s">
        <v>187</v>
      </c>
      <c r="E1549" s="20">
        <v>18422.406399879499</v>
      </c>
      <c r="F1549" s="20">
        <v>12303.9934743881</v>
      </c>
      <c r="G1549" s="10">
        <v>13108.258682167399</v>
      </c>
      <c r="H1549" s="21">
        <f t="shared" si="48"/>
        <v>804.26520777929909</v>
      </c>
      <c r="I1549" s="10">
        <v>18278.619531582299</v>
      </c>
      <c r="J1549" s="21">
        <f t="shared" si="49"/>
        <v>-143.78686829720027</v>
      </c>
    </row>
    <row r="1550" spans="1:10">
      <c r="A1550" t="s">
        <v>75</v>
      </c>
      <c r="B1550" t="s">
        <v>331</v>
      </c>
      <c r="C1550" s="18">
        <v>2038</v>
      </c>
      <c r="D1550" t="s">
        <v>227</v>
      </c>
      <c r="E1550" s="20">
        <v>1180105.80818601</v>
      </c>
      <c r="F1550" s="20">
        <v>217035.16726072799</v>
      </c>
      <c r="G1550" s="10">
        <v>234286.30240329501</v>
      </c>
      <c r="H1550" s="21">
        <f t="shared" si="48"/>
        <v>17251.135142567015</v>
      </c>
      <c r="I1550" s="10">
        <v>1176286.23006217</v>
      </c>
      <c r="J1550" s="21">
        <f t="shared" si="49"/>
        <v>-3819.5781238400377</v>
      </c>
    </row>
    <row r="1551" spans="1:10">
      <c r="A1551" t="s">
        <v>75</v>
      </c>
      <c r="B1551" t="s">
        <v>331</v>
      </c>
      <c r="C1551" s="18">
        <v>2038</v>
      </c>
      <c r="D1551" t="s">
        <v>163</v>
      </c>
      <c r="E1551" s="20">
        <v>118386.10526428799</v>
      </c>
      <c r="F1551" s="20">
        <v>78052.730327464393</v>
      </c>
      <c r="G1551" s="10">
        <v>89762.908504627194</v>
      </c>
      <c r="H1551" s="21">
        <f t="shared" si="48"/>
        <v>11710.178177162801</v>
      </c>
      <c r="I1551" s="10">
        <v>133004.77137127001</v>
      </c>
      <c r="J1551" s="21">
        <f t="shared" si="49"/>
        <v>14618.666106982011</v>
      </c>
    </row>
    <row r="1552" spans="1:10">
      <c r="A1552" t="s">
        <v>75</v>
      </c>
      <c r="B1552" t="s">
        <v>331</v>
      </c>
      <c r="C1552" s="18">
        <v>2038</v>
      </c>
      <c r="D1552" t="s">
        <v>173</v>
      </c>
      <c r="E1552" s="20">
        <v>393847.55758029298</v>
      </c>
      <c r="F1552" s="20">
        <v>372025.49191879499</v>
      </c>
      <c r="G1552" s="10">
        <v>405384.95777232101</v>
      </c>
      <c r="H1552" s="21">
        <f t="shared" si="48"/>
        <v>33359.465853526024</v>
      </c>
      <c r="I1552" s="10">
        <v>436878.35953831702</v>
      </c>
      <c r="J1552" s="21">
        <f t="shared" si="49"/>
        <v>43030.801958024036</v>
      </c>
    </row>
    <row r="1553" spans="1:10">
      <c r="A1553" t="s">
        <v>75</v>
      </c>
      <c r="B1553" t="s">
        <v>331</v>
      </c>
      <c r="C1553" s="18">
        <v>2038</v>
      </c>
      <c r="D1553" t="s">
        <v>177</v>
      </c>
      <c r="E1553" s="20">
        <v>665264.81657102704</v>
      </c>
      <c r="F1553" s="20">
        <v>426496.58462786302</v>
      </c>
      <c r="G1553" s="10">
        <v>465342.91786371003</v>
      </c>
      <c r="H1553" s="21">
        <f t="shared" si="48"/>
        <v>38846.333235847007</v>
      </c>
      <c r="I1553" s="10">
        <v>753560.82214679301</v>
      </c>
      <c r="J1553" s="21">
        <f t="shared" si="49"/>
        <v>88296.005575765972</v>
      </c>
    </row>
    <row r="1554" spans="1:10">
      <c r="A1554" t="s">
        <v>75</v>
      </c>
      <c r="B1554" t="s">
        <v>331</v>
      </c>
      <c r="C1554" s="18">
        <v>2038</v>
      </c>
      <c r="D1554" t="s">
        <v>181</v>
      </c>
      <c r="E1554" s="20">
        <v>508630.34665351501</v>
      </c>
      <c r="F1554" s="20">
        <v>302725.97263547598</v>
      </c>
      <c r="G1554" s="10">
        <v>318461.02224812203</v>
      </c>
      <c r="H1554" s="21">
        <f t="shared" si="48"/>
        <v>15735.049612646049</v>
      </c>
      <c r="I1554" s="10">
        <v>565403.75879938505</v>
      </c>
      <c r="J1554" s="21">
        <f t="shared" si="49"/>
        <v>56773.412145870039</v>
      </c>
    </row>
    <row r="1555" spans="1:10">
      <c r="A1555" t="s">
        <v>75</v>
      </c>
      <c r="B1555" t="s">
        <v>331</v>
      </c>
      <c r="C1555" s="18">
        <v>2038</v>
      </c>
      <c r="D1555" t="s">
        <v>209</v>
      </c>
      <c r="E1555" s="20">
        <v>43752.053904454799</v>
      </c>
      <c r="F1555" s="20">
        <v>7005.7244708606204</v>
      </c>
      <c r="G1555" s="10">
        <v>7517.77035327065</v>
      </c>
      <c r="H1555" s="21">
        <f t="shared" si="48"/>
        <v>512.04588241002966</v>
      </c>
      <c r="I1555" s="10">
        <v>43730.744850638199</v>
      </c>
      <c r="J1555" s="21">
        <f t="shared" si="49"/>
        <v>-21.309053816599771</v>
      </c>
    </row>
    <row r="1556" spans="1:10">
      <c r="A1556" t="s">
        <v>75</v>
      </c>
      <c r="B1556" t="s">
        <v>331</v>
      </c>
      <c r="C1556" s="18">
        <v>2039</v>
      </c>
      <c r="D1556" t="s">
        <v>187</v>
      </c>
      <c r="E1556" s="20">
        <v>18928.117147921301</v>
      </c>
      <c r="F1556" s="20">
        <v>12554.6028328307</v>
      </c>
      <c r="G1556" s="10">
        <v>13404.669620275599</v>
      </c>
      <c r="H1556" s="21">
        <f t="shared" si="48"/>
        <v>850.06678744489909</v>
      </c>
      <c r="I1556" s="10">
        <v>18752.090499402999</v>
      </c>
      <c r="J1556" s="21">
        <f t="shared" si="49"/>
        <v>-176.02664851830195</v>
      </c>
    </row>
    <row r="1557" spans="1:10">
      <c r="A1557" t="s">
        <v>75</v>
      </c>
      <c r="B1557" t="s">
        <v>331</v>
      </c>
      <c r="C1557" s="18">
        <v>2039</v>
      </c>
      <c r="D1557" t="s">
        <v>227</v>
      </c>
      <c r="E1557" s="20">
        <v>1189272.3677101701</v>
      </c>
      <c r="F1557" s="20">
        <v>223153.08099232</v>
      </c>
      <c r="G1557" s="10">
        <v>242132.19115316399</v>
      </c>
      <c r="H1557" s="21">
        <f t="shared" si="48"/>
        <v>18979.110160843993</v>
      </c>
      <c r="I1557" s="10">
        <v>1184738.3918449101</v>
      </c>
      <c r="J1557" s="21">
        <f t="shared" si="49"/>
        <v>-4533.9758652599994</v>
      </c>
    </row>
    <row r="1558" spans="1:10">
      <c r="A1558" t="s">
        <v>75</v>
      </c>
      <c r="B1558" t="s">
        <v>331</v>
      </c>
      <c r="C1558" s="18">
        <v>2039</v>
      </c>
      <c r="D1558" t="s">
        <v>163</v>
      </c>
      <c r="E1558" s="20">
        <v>120035.472880797</v>
      </c>
      <c r="F1558" s="20">
        <v>78897.170109200801</v>
      </c>
      <c r="G1558" s="10">
        <v>91716.366353602294</v>
      </c>
      <c r="H1558" s="21">
        <f t="shared" si="48"/>
        <v>12819.196244401493</v>
      </c>
      <c r="I1558" s="10">
        <v>135872.13136763001</v>
      </c>
      <c r="J1558" s="21">
        <f t="shared" si="49"/>
        <v>15836.65848683301</v>
      </c>
    </row>
    <row r="1559" spans="1:10">
      <c r="A1559" t="s">
        <v>75</v>
      </c>
      <c r="B1559" t="s">
        <v>331</v>
      </c>
      <c r="C1559" s="18">
        <v>2039</v>
      </c>
      <c r="D1559" t="s">
        <v>173</v>
      </c>
      <c r="E1559" s="20">
        <v>397436.72206116602</v>
      </c>
      <c r="F1559" s="20">
        <v>375503.39796689799</v>
      </c>
      <c r="G1559" s="10">
        <v>412120.21350488003</v>
      </c>
      <c r="H1559" s="21">
        <f t="shared" si="48"/>
        <v>36616.815537982038</v>
      </c>
      <c r="I1559" s="10">
        <v>443905.980748337</v>
      </c>
      <c r="J1559" s="21">
        <f t="shared" si="49"/>
        <v>46469.258687170979</v>
      </c>
    </row>
    <row r="1560" spans="1:10">
      <c r="A1560" t="s">
        <v>75</v>
      </c>
      <c r="B1560" t="s">
        <v>331</v>
      </c>
      <c r="C1560" s="18">
        <v>2039</v>
      </c>
      <c r="D1560" t="s">
        <v>177</v>
      </c>
      <c r="E1560" s="20">
        <v>670108.12214095495</v>
      </c>
      <c r="F1560" s="20">
        <v>432017.05703234201</v>
      </c>
      <c r="G1560" s="10">
        <v>475269.78752891801</v>
      </c>
      <c r="H1560" s="21">
        <f t="shared" si="48"/>
        <v>43252.730496575998</v>
      </c>
      <c r="I1560" s="10">
        <v>765528.46783885697</v>
      </c>
      <c r="J1560" s="21">
        <f t="shared" si="49"/>
        <v>95420.345697902027</v>
      </c>
    </row>
    <row r="1561" spans="1:10">
      <c r="A1561" t="s">
        <v>75</v>
      </c>
      <c r="B1561" t="s">
        <v>331</v>
      </c>
      <c r="C1561" s="18">
        <v>2039</v>
      </c>
      <c r="D1561" t="s">
        <v>181</v>
      </c>
      <c r="E1561" s="20">
        <v>516037.33139207802</v>
      </c>
      <c r="F1561" s="20">
        <v>310378.26758666302</v>
      </c>
      <c r="G1561" s="10">
        <v>328246.40127636801</v>
      </c>
      <c r="H1561" s="21">
        <f t="shared" si="48"/>
        <v>17868.133689704991</v>
      </c>
      <c r="I1561" s="10">
        <v>577414.514396235</v>
      </c>
      <c r="J1561" s="21">
        <f t="shared" si="49"/>
        <v>61377.183004156977</v>
      </c>
    </row>
    <row r="1562" spans="1:10">
      <c r="A1562" t="s">
        <v>75</v>
      </c>
      <c r="B1562" t="s">
        <v>331</v>
      </c>
      <c r="C1562" s="18">
        <v>2039</v>
      </c>
      <c r="D1562" t="s">
        <v>209</v>
      </c>
      <c r="E1562" s="20">
        <v>43614.263229754302</v>
      </c>
      <c r="F1562" s="20">
        <v>7003.3784152154503</v>
      </c>
      <c r="G1562" s="10">
        <v>7547.5598608641003</v>
      </c>
      <c r="H1562" s="21">
        <f t="shared" si="48"/>
        <v>544.18144564864997</v>
      </c>
      <c r="I1562" s="10">
        <v>43588.845456636998</v>
      </c>
      <c r="J1562" s="21">
        <f t="shared" si="49"/>
        <v>-25.417773117304023</v>
      </c>
    </row>
    <row r="1563" spans="1:10">
      <c r="A1563" t="s">
        <v>75</v>
      </c>
      <c r="B1563" t="s">
        <v>331</v>
      </c>
      <c r="C1563" s="18">
        <v>2040</v>
      </c>
      <c r="D1563" t="s">
        <v>187</v>
      </c>
      <c r="E1563" s="20">
        <v>19448.679500586</v>
      </c>
      <c r="F1563" s="20">
        <v>12803.944484515299</v>
      </c>
      <c r="G1563" s="10">
        <v>13698.9721681132</v>
      </c>
      <c r="H1563" s="21">
        <f t="shared" si="48"/>
        <v>895.02768359790025</v>
      </c>
      <c r="I1563" s="10">
        <v>19235.736542927301</v>
      </c>
      <c r="J1563" s="21">
        <f t="shared" si="49"/>
        <v>-212.94295765869902</v>
      </c>
    </row>
    <row r="1564" spans="1:10">
      <c r="A1564" t="s">
        <v>75</v>
      </c>
      <c r="B1564" t="s">
        <v>331</v>
      </c>
      <c r="C1564" s="18">
        <v>2040</v>
      </c>
      <c r="D1564" t="s">
        <v>227</v>
      </c>
      <c r="E1564" s="20">
        <v>1197949.9753541199</v>
      </c>
      <c r="F1564" s="20">
        <v>229134.35068095001</v>
      </c>
      <c r="G1564" s="10">
        <v>249894.478827588</v>
      </c>
      <c r="H1564" s="21">
        <f t="shared" si="48"/>
        <v>20760.128146637988</v>
      </c>
      <c r="I1564" s="10">
        <v>1192634.43006365</v>
      </c>
      <c r="J1564" s="21">
        <f t="shared" si="49"/>
        <v>-5315.5452904698905</v>
      </c>
    </row>
    <row r="1565" spans="1:10">
      <c r="A1565" t="s">
        <v>75</v>
      </c>
      <c r="B1565" t="s">
        <v>331</v>
      </c>
      <c r="C1565" s="18">
        <v>2040</v>
      </c>
      <c r="D1565" t="s">
        <v>163</v>
      </c>
      <c r="E1565" s="20">
        <v>121630.287286351</v>
      </c>
      <c r="F1565" s="20">
        <v>79690.490110976301</v>
      </c>
      <c r="G1565" s="10">
        <v>93636.896760059302</v>
      </c>
      <c r="H1565" s="21">
        <f t="shared" si="48"/>
        <v>13946.406649083001</v>
      </c>
      <c r="I1565" s="10">
        <v>138689.796610277</v>
      </c>
      <c r="J1565" s="21">
        <f t="shared" si="49"/>
        <v>17059.509323926002</v>
      </c>
    </row>
    <row r="1566" spans="1:10">
      <c r="A1566" t="s">
        <v>75</v>
      </c>
      <c r="B1566" t="s">
        <v>331</v>
      </c>
      <c r="C1566" s="18">
        <v>2040</v>
      </c>
      <c r="D1566" t="s">
        <v>173</v>
      </c>
      <c r="E1566" s="20">
        <v>400913.30785531702</v>
      </c>
      <c r="F1566" s="20">
        <v>378719.021669031</v>
      </c>
      <c r="G1566" s="10">
        <v>418620.90894817398</v>
      </c>
      <c r="H1566" s="21">
        <f t="shared" si="48"/>
        <v>39901.887279142975</v>
      </c>
      <c r="I1566" s="10">
        <v>450841.764596063</v>
      </c>
      <c r="J1566" s="21">
        <f t="shared" si="49"/>
        <v>49928.456740745984</v>
      </c>
    </row>
    <row r="1567" spans="1:10">
      <c r="A1567" t="s">
        <v>75</v>
      </c>
      <c r="B1567" t="s">
        <v>331</v>
      </c>
      <c r="C1567" s="18">
        <v>2040</v>
      </c>
      <c r="D1567" t="s">
        <v>177</v>
      </c>
      <c r="E1567" s="20">
        <v>674529.28150443896</v>
      </c>
      <c r="F1567" s="20">
        <v>437147.31884788198</v>
      </c>
      <c r="G1567" s="10">
        <v>484947.105425179</v>
      </c>
      <c r="H1567" s="21">
        <f t="shared" si="48"/>
        <v>47799.786577297025</v>
      </c>
      <c r="I1567" s="10">
        <v>777088.49670209095</v>
      </c>
      <c r="J1567" s="21">
        <f t="shared" si="49"/>
        <v>102559.215197652</v>
      </c>
    </row>
    <row r="1568" spans="1:10">
      <c r="A1568" t="s">
        <v>75</v>
      </c>
      <c r="B1568" t="s">
        <v>331</v>
      </c>
      <c r="C1568" s="18">
        <v>2040</v>
      </c>
      <c r="D1568" t="s">
        <v>181</v>
      </c>
      <c r="E1568" s="20">
        <v>523366.48727596999</v>
      </c>
      <c r="F1568" s="20">
        <v>317943.35851711303</v>
      </c>
      <c r="G1568" s="10">
        <v>338039.01043044601</v>
      </c>
      <c r="H1568" s="21">
        <f t="shared" si="48"/>
        <v>20095.651913332986</v>
      </c>
      <c r="I1568" s="10">
        <v>589359.73383284197</v>
      </c>
      <c r="J1568" s="21">
        <f t="shared" si="49"/>
        <v>65993.246556871978</v>
      </c>
    </row>
    <row r="1569" spans="1:10">
      <c r="A1569" t="s">
        <v>75</v>
      </c>
      <c r="B1569" t="s">
        <v>331</v>
      </c>
      <c r="C1569" s="18">
        <v>2040</v>
      </c>
      <c r="D1569" t="s">
        <v>209</v>
      </c>
      <c r="E1569" s="20">
        <v>43494.824281526096</v>
      </c>
      <c r="F1569" s="20">
        <v>6997.6681520375296</v>
      </c>
      <c r="G1569" s="10">
        <v>7573.7255608269897</v>
      </c>
      <c r="H1569" s="21">
        <f t="shared" si="48"/>
        <v>576.05740878946017</v>
      </c>
      <c r="I1569" s="10">
        <v>43464.859681883601</v>
      </c>
      <c r="J1569" s="21">
        <f t="shared" si="49"/>
        <v>-29.964599642495159</v>
      </c>
    </row>
    <row r="1570" spans="1:10">
      <c r="A1570" t="s">
        <v>75</v>
      </c>
      <c r="B1570" t="s">
        <v>331</v>
      </c>
      <c r="C1570" s="18">
        <v>2041</v>
      </c>
      <c r="D1570" t="s">
        <v>187</v>
      </c>
      <c r="E1570" s="20">
        <v>19982.1320595129</v>
      </c>
      <c r="F1570" s="20">
        <v>13052.448176587401</v>
      </c>
      <c r="G1570" s="10">
        <v>13991.606690282801</v>
      </c>
      <c r="H1570" s="21">
        <f t="shared" si="48"/>
        <v>939.15851369539996</v>
      </c>
      <c r="I1570" s="10">
        <v>19727.283486384</v>
      </c>
      <c r="J1570" s="21">
        <f t="shared" si="49"/>
        <v>-254.84857312890017</v>
      </c>
    </row>
    <row r="1571" spans="1:10">
      <c r="A1571" t="s">
        <v>75</v>
      </c>
      <c r="B1571" t="s">
        <v>331</v>
      </c>
      <c r="C1571" s="18">
        <v>2041</v>
      </c>
      <c r="D1571" t="s">
        <v>227</v>
      </c>
      <c r="E1571" s="20">
        <v>1206152.38300584</v>
      </c>
      <c r="F1571" s="20">
        <v>235005.12536329601</v>
      </c>
      <c r="G1571" s="10">
        <v>257599.044002988</v>
      </c>
      <c r="H1571" s="21">
        <f t="shared" si="48"/>
        <v>22593.918639691983</v>
      </c>
      <c r="I1571" s="10">
        <v>1199988.17586749</v>
      </c>
      <c r="J1571" s="21">
        <f t="shared" si="49"/>
        <v>-6164.2071383500006</v>
      </c>
    </row>
    <row r="1572" spans="1:10">
      <c r="A1572" t="s">
        <v>75</v>
      </c>
      <c r="B1572" t="s">
        <v>331</v>
      </c>
      <c r="C1572" s="18">
        <v>2041</v>
      </c>
      <c r="D1572" t="s">
        <v>163</v>
      </c>
      <c r="E1572" s="20">
        <v>123191.861548053</v>
      </c>
      <c r="F1572" s="20">
        <v>80438.027121776599</v>
      </c>
      <c r="G1572" s="10">
        <v>95527.0063786807</v>
      </c>
      <c r="H1572" s="21">
        <f t="shared" si="48"/>
        <v>15088.979256904102</v>
      </c>
      <c r="I1572" s="10">
        <v>141475.570851386</v>
      </c>
      <c r="J1572" s="21">
        <f t="shared" si="49"/>
        <v>18283.709303333002</v>
      </c>
    </row>
    <row r="1573" spans="1:10">
      <c r="A1573" t="s">
        <v>75</v>
      </c>
      <c r="B1573" t="s">
        <v>331</v>
      </c>
      <c r="C1573" s="18">
        <v>2041</v>
      </c>
      <c r="D1573" t="s">
        <v>173</v>
      </c>
      <c r="E1573" s="20">
        <v>404294.44341086701</v>
      </c>
      <c r="F1573" s="20">
        <v>381791.43281226902</v>
      </c>
      <c r="G1573" s="10">
        <v>425005.77720965003</v>
      </c>
      <c r="H1573" s="21">
        <f t="shared" si="48"/>
        <v>43214.344397381006</v>
      </c>
      <c r="I1573" s="10">
        <v>457698.12813480198</v>
      </c>
      <c r="J1573" s="21">
        <f t="shared" si="49"/>
        <v>53403.684723934974</v>
      </c>
    </row>
    <row r="1574" spans="1:10">
      <c r="A1574" t="s">
        <v>75</v>
      </c>
      <c r="B1574" t="s">
        <v>331</v>
      </c>
      <c r="C1574" s="18">
        <v>2041</v>
      </c>
      <c r="D1574" t="s">
        <v>177</v>
      </c>
      <c r="E1574" s="20">
        <v>678603.07508709095</v>
      </c>
      <c r="F1574" s="20">
        <v>441921.21142829501</v>
      </c>
      <c r="G1574" s="10">
        <v>494390.87324825901</v>
      </c>
      <c r="H1574" s="21">
        <f t="shared" si="48"/>
        <v>52469.661819964007</v>
      </c>
      <c r="I1574" s="10">
        <v>788293.24275668897</v>
      </c>
      <c r="J1574" s="21">
        <f t="shared" si="49"/>
        <v>109690.16766959801</v>
      </c>
    </row>
    <row r="1575" spans="1:10">
      <c r="A1575" t="s">
        <v>75</v>
      </c>
      <c r="B1575" t="s">
        <v>331</v>
      </c>
      <c r="C1575" s="18">
        <v>2041</v>
      </c>
      <c r="D1575" t="s">
        <v>181</v>
      </c>
      <c r="E1575" s="20">
        <v>530553.37420231802</v>
      </c>
      <c r="F1575" s="20">
        <v>325518.08778096299</v>
      </c>
      <c r="G1575" s="10">
        <v>347924.76632707799</v>
      </c>
      <c r="H1575" s="21">
        <f t="shared" si="48"/>
        <v>22406.678546114999</v>
      </c>
      <c r="I1575" s="10">
        <v>601155.34094696096</v>
      </c>
      <c r="J1575" s="21">
        <f t="shared" si="49"/>
        <v>70601.966744642938</v>
      </c>
    </row>
    <row r="1576" spans="1:10">
      <c r="A1576" t="s">
        <v>75</v>
      </c>
      <c r="B1576" t="s">
        <v>331</v>
      </c>
      <c r="C1576" s="18">
        <v>2041</v>
      </c>
      <c r="D1576" t="s">
        <v>209</v>
      </c>
      <c r="E1576" s="20">
        <v>43395.897499322302</v>
      </c>
      <c r="F1576" s="20">
        <v>6988.4852745015196</v>
      </c>
      <c r="G1576" s="10">
        <v>7595.9953338682099</v>
      </c>
      <c r="H1576" s="21">
        <f t="shared" si="48"/>
        <v>607.51005936669026</v>
      </c>
      <c r="I1576" s="10">
        <v>43360.9356755525</v>
      </c>
      <c r="J1576" s="21">
        <f t="shared" si="49"/>
        <v>-34.961823769801413</v>
      </c>
    </row>
    <row r="1577" spans="1:10">
      <c r="A1577" t="s">
        <v>75</v>
      </c>
      <c r="B1577" t="s">
        <v>331</v>
      </c>
      <c r="C1577" s="18">
        <v>2042</v>
      </c>
      <c r="D1577" t="s">
        <v>187</v>
      </c>
      <c r="E1577" s="20">
        <v>20524.258631574099</v>
      </c>
      <c r="F1577" s="20">
        <v>13301.802747996</v>
      </c>
      <c r="G1577" s="10">
        <v>14284.6169088399</v>
      </c>
      <c r="H1577" s="21">
        <f t="shared" si="48"/>
        <v>982.81416084390003</v>
      </c>
      <c r="I1577" s="10">
        <v>20222.268399164699</v>
      </c>
      <c r="J1577" s="21">
        <f t="shared" si="49"/>
        <v>-301.99023240940005</v>
      </c>
    </row>
    <row r="1578" spans="1:10">
      <c r="A1578" t="s">
        <v>75</v>
      </c>
      <c r="B1578" t="s">
        <v>331</v>
      </c>
      <c r="C1578" s="18">
        <v>2042</v>
      </c>
      <c r="D1578" t="s">
        <v>227</v>
      </c>
      <c r="E1578" s="20">
        <v>1213878.87453183</v>
      </c>
      <c r="F1578" s="20">
        <v>240807.525321883</v>
      </c>
      <c r="G1578" s="10">
        <v>265289.409116733</v>
      </c>
      <c r="H1578" s="21">
        <f t="shared" si="48"/>
        <v>24481.88379485</v>
      </c>
      <c r="I1578" s="10">
        <v>1206799.58929471</v>
      </c>
      <c r="J1578" s="21">
        <f t="shared" si="49"/>
        <v>-7079.2852371199988</v>
      </c>
    </row>
    <row r="1579" spans="1:10">
      <c r="A1579" t="s">
        <v>75</v>
      </c>
      <c r="B1579" t="s">
        <v>331</v>
      </c>
      <c r="C1579" s="18">
        <v>2042</v>
      </c>
      <c r="D1579" t="s">
        <v>163</v>
      </c>
      <c r="E1579" s="20">
        <v>124741.426349969</v>
      </c>
      <c r="F1579" s="20">
        <v>81158.727837103303</v>
      </c>
      <c r="G1579" s="10">
        <v>97406.156977096296</v>
      </c>
      <c r="H1579" s="21">
        <f t="shared" si="48"/>
        <v>16247.429139992993</v>
      </c>
      <c r="I1579" s="10">
        <v>144248.066926011</v>
      </c>
      <c r="J1579" s="21">
        <f t="shared" si="49"/>
        <v>19506.640576042002</v>
      </c>
    </row>
    <row r="1580" spans="1:10">
      <c r="A1580" t="s">
        <v>75</v>
      </c>
      <c r="B1580" t="s">
        <v>331</v>
      </c>
      <c r="C1580" s="18">
        <v>2042</v>
      </c>
      <c r="D1580" t="s">
        <v>173</v>
      </c>
      <c r="E1580" s="20">
        <v>407596.41357980098</v>
      </c>
      <c r="F1580" s="20">
        <v>384841.84692548</v>
      </c>
      <c r="G1580" s="10">
        <v>431397.042999706</v>
      </c>
      <c r="H1580" s="21">
        <f t="shared" si="48"/>
        <v>46555.196074225998</v>
      </c>
      <c r="I1580" s="10">
        <v>464487.03899019101</v>
      </c>
      <c r="J1580" s="21">
        <f t="shared" si="49"/>
        <v>56890.625410390028</v>
      </c>
    </row>
    <row r="1581" spans="1:10">
      <c r="A1581" t="s">
        <v>75</v>
      </c>
      <c r="B1581" t="s">
        <v>331</v>
      </c>
      <c r="C1581" s="18">
        <v>2042</v>
      </c>
      <c r="D1581" t="s">
        <v>177</v>
      </c>
      <c r="E1581" s="20">
        <v>682430.27929101302</v>
      </c>
      <c r="F1581" s="20">
        <v>446366.10542458203</v>
      </c>
      <c r="G1581" s="10">
        <v>503603.80380956898</v>
      </c>
      <c r="H1581" s="21">
        <f t="shared" si="48"/>
        <v>57237.698384986958</v>
      </c>
      <c r="I1581" s="10">
        <v>799225.499121645</v>
      </c>
      <c r="J1581" s="21">
        <f t="shared" si="49"/>
        <v>116795.21983063198</v>
      </c>
    </row>
    <row r="1582" spans="1:10">
      <c r="A1582" t="s">
        <v>75</v>
      </c>
      <c r="B1582" t="s">
        <v>331</v>
      </c>
      <c r="C1582" s="18">
        <v>2042</v>
      </c>
      <c r="D1582" t="s">
        <v>181</v>
      </c>
      <c r="E1582" s="20">
        <v>537488.99379978504</v>
      </c>
      <c r="F1582" s="20">
        <v>333143.70610526798</v>
      </c>
      <c r="G1582" s="10">
        <v>357930.93950443697</v>
      </c>
      <c r="H1582" s="21">
        <f t="shared" si="48"/>
        <v>24787.233399168996</v>
      </c>
      <c r="I1582" s="10">
        <v>612664.177038008</v>
      </c>
      <c r="J1582" s="21">
        <f t="shared" si="49"/>
        <v>75175.183238222962</v>
      </c>
    </row>
    <row r="1583" spans="1:10">
      <c r="A1583" t="s">
        <v>75</v>
      </c>
      <c r="B1583" t="s">
        <v>331</v>
      </c>
      <c r="C1583" s="18">
        <v>2042</v>
      </c>
      <c r="D1583" t="s">
        <v>209</v>
      </c>
      <c r="E1583" s="20">
        <v>43319.149272003197</v>
      </c>
      <c r="F1583" s="20">
        <v>6978.6946066955597</v>
      </c>
      <c r="G1583" s="10">
        <v>7616.5928035502902</v>
      </c>
      <c r="H1583" s="21">
        <f t="shared" si="48"/>
        <v>637.89819685473049</v>
      </c>
      <c r="I1583" s="10">
        <v>43278.728481607301</v>
      </c>
      <c r="J1583" s="21">
        <f t="shared" si="49"/>
        <v>-40.420790395895892</v>
      </c>
    </row>
    <row r="1584" spans="1:10">
      <c r="A1584" t="s">
        <v>75</v>
      </c>
      <c r="B1584" t="s">
        <v>331</v>
      </c>
      <c r="C1584" s="18">
        <v>2043</v>
      </c>
      <c r="D1584" t="s">
        <v>187</v>
      </c>
      <c r="E1584" s="20">
        <v>21075.214233756698</v>
      </c>
      <c r="F1584" s="20">
        <v>13546.848771160599</v>
      </c>
      <c r="G1584" s="10">
        <v>14572.883153271399</v>
      </c>
      <c r="H1584" s="21">
        <f t="shared" si="48"/>
        <v>1026.0343821107999</v>
      </c>
      <c r="I1584" s="10">
        <v>20720.548205455299</v>
      </c>
      <c r="J1584" s="21">
        <f t="shared" si="49"/>
        <v>-354.66602830139891</v>
      </c>
    </row>
    <row r="1585" spans="1:10">
      <c r="A1585" t="s">
        <v>75</v>
      </c>
      <c r="B1585" t="s">
        <v>331</v>
      </c>
      <c r="C1585" s="18">
        <v>2043</v>
      </c>
      <c r="D1585" t="s">
        <v>227</v>
      </c>
      <c r="E1585" s="20">
        <v>1221109.5884161801</v>
      </c>
      <c r="F1585" s="20">
        <v>246529.96417030401</v>
      </c>
      <c r="G1585" s="10">
        <v>272950.43541917799</v>
      </c>
      <c r="H1585" s="21">
        <f t="shared" si="48"/>
        <v>26420.471248873975</v>
      </c>
      <c r="I1585" s="10">
        <v>1213049.26096591</v>
      </c>
      <c r="J1585" s="21">
        <f t="shared" si="49"/>
        <v>-8060.327450270066</v>
      </c>
    </row>
    <row r="1586" spans="1:10">
      <c r="A1586" t="s">
        <v>75</v>
      </c>
      <c r="B1586" t="s">
        <v>331</v>
      </c>
      <c r="C1586" s="18">
        <v>2043</v>
      </c>
      <c r="D1586" t="s">
        <v>163</v>
      </c>
      <c r="E1586" s="20">
        <v>126267.935810303</v>
      </c>
      <c r="F1586" s="20">
        <v>81852.849338698099</v>
      </c>
      <c r="G1586" s="10">
        <v>99271.391168072907</v>
      </c>
      <c r="H1586" s="21">
        <f t="shared" si="48"/>
        <v>17418.541829374808</v>
      </c>
      <c r="I1586" s="10">
        <v>146993.81420820701</v>
      </c>
      <c r="J1586" s="21">
        <f t="shared" si="49"/>
        <v>20725.878397904016</v>
      </c>
    </row>
    <row r="1587" spans="1:10">
      <c r="A1587" t="s">
        <v>75</v>
      </c>
      <c r="B1587" t="s">
        <v>331</v>
      </c>
      <c r="C1587" s="18">
        <v>2043</v>
      </c>
      <c r="D1587" t="s">
        <v>173</v>
      </c>
      <c r="E1587" s="20">
        <v>410770.57597556402</v>
      </c>
      <c r="F1587" s="20">
        <v>387771.06663841201</v>
      </c>
      <c r="G1587" s="10">
        <v>437679.98847184202</v>
      </c>
      <c r="H1587" s="21">
        <f t="shared" si="48"/>
        <v>49908.921833430009</v>
      </c>
      <c r="I1587" s="10">
        <v>471154.83958066901</v>
      </c>
      <c r="J1587" s="21">
        <f t="shared" si="49"/>
        <v>60384.263605104992</v>
      </c>
    </row>
    <row r="1588" spans="1:10">
      <c r="A1588" t="s">
        <v>75</v>
      </c>
      <c r="B1588" t="s">
        <v>331</v>
      </c>
      <c r="C1588" s="18">
        <v>2043</v>
      </c>
      <c r="D1588" t="s">
        <v>177</v>
      </c>
      <c r="E1588" s="20">
        <v>686137.41170034395</v>
      </c>
      <c r="F1588" s="20">
        <v>450519.186650082</v>
      </c>
      <c r="G1588" s="10">
        <v>512610.44917931297</v>
      </c>
      <c r="H1588" s="21">
        <f t="shared" si="48"/>
        <v>62091.262529230968</v>
      </c>
      <c r="I1588" s="10">
        <v>810014.77283431904</v>
      </c>
      <c r="J1588" s="21">
        <f t="shared" si="49"/>
        <v>123877.36113397509</v>
      </c>
    </row>
    <row r="1589" spans="1:10">
      <c r="A1589" t="s">
        <v>75</v>
      </c>
      <c r="B1589" t="s">
        <v>331</v>
      </c>
      <c r="C1589" s="18">
        <v>2043</v>
      </c>
      <c r="D1589" t="s">
        <v>181</v>
      </c>
      <c r="E1589" s="20">
        <v>544234.820030601</v>
      </c>
      <c r="F1589" s="20">
        <v>340733.65005033597</v>
      </c>
      <c r="G1589" s="10">
        <v>367959.059248153</v>
      </c>
      <c r="H1589" s="21">
        <f t="shared" si="48"/>
        <v>27225.409197817033</v>
      </c>
      <c r="I1589" s="10">
        <v>623953.35649413895</v>
      </c>
      <c r="J1589" s="21">
        <f t="shared" si="49"/>
        <v>79718.536463537952</v>
      </c>
    </row>
    <row r="1590" spans="1:10">
      <c r="A1590" t="s">
        <v>75</v>
      </c>
      <c r="B1590" t="s">
        <v>331</v>
      </c>
      <c r="C1590" s="18">
        <v>2043</v>
      </c>
      <c r="D1590" t="s">
        <v>209</v>
      </c>
      <c r="E1590" s="20">
        <v>43278.489012636899</v>
      </c>
      <c r="F1590" s="20">
        <v>6967.8659473095204</v>
      </c>
      <c r="G1590" s="10">
        <v>7634.6380979097503</v>
      </c>
      <c r="H1590" s="21">
        <f t="shared" si="48"/>
        <v>666.77215060022991</v>
      </c>
      <c r="I1590" s="10">
        <v>43232.1385441846</v>
      </c>
      <c r="J1590" s="21">
        <f t="shared" si="49"/>
        <v>-46.350468452299538</v>
      </c>
    </row>
    <row r="1591" spans="1:10">
      <c r="A1591" t="s">
        <v>75</v>
      </c>
      <c r="B1591" t="s">
        <v>331</v>
      </c>
      <c r="C1591" s="18">
        <v>2044</v>
      </c>
      <c r="D1591" t="s">
        <v>187</v>
      </c>
      <c r="E1591" s="20">
        <v>21633.421315698</v>
      </c>
      <c r="F1591" s="20">
        <v>13793.283402593899</v>
      </c>
      <c r="G1591" s="10">
        <v>14861.4315691186</v>
      </c>
      <c r="H1591" s="21">
        <f t="shared" si="48"/>
        <v>1068.1481665247011</v>
      </c>
      <c r="I1591" s="10">
        <v>21220.2473713984</v>
      </c>
      <c r="J1591" s="21">
        <f t="shared" si="49"/>
        <v>-413.17394429960041</v>
      </c>
    </row>
    <row r="1592" spans="1:10">
      <c r="A1592" t="s">
        <v>75</v>
      </c>
      <c r="B1592" t="s">
        <v>331</v>
      </c>
      <c r="C1592" s="18">
        <v>2044</v>
      </c>
      <c r="D1592" t="s">
        <v>227</v>
      </c>
      <c r="E1592" s="20">
        <v>1228095.2914771601</v>
      </c>
      <c r="F1592" s="20">
        <v>252106.399502482</v>
      </c>
      <c r="G1592" s="10">
        <v>280506.44153550803</v>
      </c>
      <c r="H1592" s="21">
        <f t="shared" si="48"/>
        <v>28400.042033026024</v>
      </c>
      <c r="I1592" s="10">
        <v>1218988.4670045001</v>
      </c>
      <c r="J1592" s="21">
        <f t="shared" si="49"/>
        <v>-9106.824472659966</v>
      </c>
    </row>
    <row r="1593" spans="1:10">
      <c r="A1593" t="s">
        <v>75</v>
      </c>
      <c r="B1593" t="s">
        <v>331</v>
      </c>
      <c r="C1593" s="18">
        <v>2044</v>
      </c>
      <c r="D1593" t="s">
        <v>163</v>
      </c>
      <c r="E1593" s="20">
        <v>127758.80122974599</v>
      </c>
      <c r="F1593" s="20">
        <v>82513.499353893902</v>
      </c>
      <c r="G1593" s="10">
        <v>101112.290089553</v>
      </c>
      <c r="H1593" s="21">
        <f t="shared" si="48"/>
        <v>18598.790735659102</v>
      </c>
      <c r="I1593" s="10">
        <v>149696.21396730101</v>
      </c>
      <c r="J1593" s="21">
        <f t="shared" si="49"/>
        <v>21937.412737555016</v>
      </c>
    </row>
    <row r="1594" spans="1:10">
      <c r="A1594" t="s">
        <v>75</v>
      </c>
      <c r="B1594" t="s">
        <v>331</v>
      </c>
      <c r="C1594" s="18">
        <v>2044</v>
      </c>
      <c r="D1594" t="s">
        <v>173</v>
      </c>
      <c r="E1594" s="20">
        <v>413723.73247252498</v>
      </c>
      <c r="F1594" s="20">
        <v>390532.416133027</v>
      </c>
      <c r="G1594" s="10">
        <v>443800.63719739497</v>
      </c>
      <c r="H1594" s="21">
        <f t="shared" si="48"/>
        <v>53268.221064367972</v>
      </c>
      <c r="I1594" s="10">
        <v>477581.31483664498</v>
      </c>
      <c r="J1594" s="21">
        <f t="shared" si="49"/>
        <v>63857.582364119997</v>
      </c>
    </row>
    <row r="1595" spans="1:10">
      <c r="A1595" t="s">
        <v>75</v>
      </c>
      <c r="B1595" t="s">
        <v>331</v>
      </c>
      <c r="C1595" s="18">
        <v>2044</v>
      </c>
      <c r="D1595" t="s">
        <v>177</v>
      </c>
      <c r="E1595" s="20">
        <v>689800.54400999495</v>
      </c>
      <c r="F1595" s="20">
        <v>454400.13477726898</v>
      </c>
      <c r="G1595" s="10">
        <v>521420.17033099697</v>
      </c>
      <c r="H1595" s="21">
        <f t="shared" si="48"/>
        <v>67020.035553727997</v>
      </c>
      <c r="I1595" s="10">
        <v>820742.37012193399</v>
      </c>
      <c r="J1595" s="21">
        <f t="shared" si="49"/>
        <v>130941.82611193904</v>
      </c>
    </row>
    <row r="1596" spans="1:10">
      <c r="A1596" t="s">
        <v>75</v>
      </c>
      <c r="B1596" t="s">
        <v>331</v>
      </c>
      <c r="C1596" s="18">
        <v>2044</v>
      </c>
      <c r="D1596" t="s">
        <v>181</v>
      </c>
      <c r="E1596" s="20">
        <v>550802.23551121796</v>
      </c>
      <c r="F1596" s="20">
        <v>348206.184227616</v>
      </c>
      <c r="G1596" s="10">
        <v>377918.58989895799</v>
      </c>
      <c r="H1596" s="21">
        <f t="shared" si="48"/>
        <v>29712.405671341985</v>
      </c>
      <c r="I1596" s="10">
        <v>635024.54646764905</v>
      </c>
      <c r="J1596" s="21">
        <f t="shared" si="49"/>
        <v>84222.310956431087</v>
      </c>
    </row>
    <row r="1597" spans="1:10">
      <c r="A1597" t="s">
        <v>75</v>
      </c>
      <c r="B1597" t="s">
        <v>331</v>
      </c>
      <c r="C1597" s="18">
        <v>2044</v>
      </c>
      <c r="D1597" t="s">
        <v>209</v>
      </c>
      <c r="E1597" s="20">
        <v>43255.388891174902</v>
      </c>
      <c r="F1597" s="20">
        <v>6958.2193135687603</v>
      </c>
      <c r="G1597" s="10">
        <v>7652.7218257366803</v>
      </c>
      <c r="H1597" s="21">
        <f t="shared" si="48"/>
        <v>694.50251216792003</v>
      </c>
      <c r="I1597" s="10">
        <v>43202.630038859497</v>
      </c>
      <c r="J1597" s="21">
        <f t="shared" si="49"/>
        <v>-52.758852315404511</v>
      </c>
    </row>
    <row r="1598" spans="1:10">
      <c r="A1598" t="s">
        <v>75</v>
      </c>
      <c r="B1598" t="s">
        <v>331</v>
      </c>
      <c r="C1598" s="18">
        <v>2045</v>
      </c>
      <c r="D1598" t="s">
        <v>187</v>
      </c>
      <c r="E1598" s="20">
        <v>22195.325340981199</v>
      </c>
      <c r="F1598" s="20">
        <v>14039.6898027726</v>
      </c>
      <c r="G1598" s="10">
        <v>15148.297956242301</v>
      </c>
      <c r="H1598" s="21">
        <f t="shared" si="48"/>
        <v>1108.6081534697005</v>
      </c>
      <c r="I1598" s="10">
        <v>21717.616521529701</v>
      </c>
      <c r="J1598" s="21">
        <f t="shared" si="49"/>
        <v>-477.70881945149813</v>
      </c>
    </row>
    <row r="1599" spans="1:10">
      <c r="A1599" t="s">
        <v>75</v>
      </c>
      <c r="B1599" t="s">
        <v>331</v>
      </c>
      <c r="C1599" s="18">
        <v>2045</v>
      </c>
      <c r="D1599" t="s">
        <v>227</v>
      </c>
      <c r="E1599" s="20">
        <v>1234885.60240616</v>
      </c>
      <c r="F1599" s="20">
        <v>257510.87579525899</v>
      </c>
      <c r="G1599" s="10">
        <v>287925.04322278401</v>
      </c>
      <c r="H1599" s="21">
        <f t="shared" si="48"/>
        <v>30414.167427525012</v>
      </c>
      <c r="I1599" s="10">
        <v>1224668.96644768</v>
      </c>
      <c r="J1599" s="21">
        <f t="shared" si="49"/>
        <v>-10216.63595847995</v>
      </c>
    </row>
    <row r="1600" spans="1:10">
      <c r="A1600" t="s">
        <v>75</v>
      </c>
      <c r="B1600" t="s">
        <v>331</v>
      </c>
      <c r="C1600" s="18">
        <v>2045</v>
      </c>
      <c r="D1600" t="s">
        <v>163</v>
      </c>
      <c r="E1600" s="20">
        <v>129202.63944469301</v>
      </c>
      <c r="F1600" s="20">
        <v>83147.253901933596</v>
      </c>
      <c r="G1600" s="10">
        <v>102935.314985138</v>
      </c>
      <c r="H1600" s="21">
        <f t="shared" si="48"/>
        <v>19788.061083204404</v>
      </c>
      <c r="I1600" s="10">
        <v>152338.05281588601</v>
      </c>
      <c r="J1600" s="21">
        <f t="shared" si="49"/>
        <v>23135.413371193004</v>
      </c>
    </row>
    <row r="1601" spans="1:10">
      <c r="A1601" t="s">
        <v>75</v>
      </c>
      <c r="B1601" t="s">
        <v>331</v>
      </c>
      <c r="C1601" s="18">
        <v>2045</v>
      </c>
      <c r="D1601" t="s">
        <v>173</v>
      </c>
      <c r="E1601" s="20">
        <v>416429.32865903003</v>
      </c>
      <c r="F1601" s="20">
        <v>393095.21478236298</v>
      </c>
      <c r="G1601" s="10">
        <v>449717.558047709</v>
      </c>
      <c r="H1601" s="21">
        <f t="shared" si="48"/>
        <v>56622.343265346019</v>
      </c>
      <c r="I1601" s="10">
        <v>483723.51612219802</v>
      </c>
      <c r="J1601" s="21">
        <f t="shared" si="49"/>
        <v>67294.187463167997</v>
      </c>
    </row>
    <row r="1602" spans="1:10">
      <c r="A1602" t="s">
        <v>75</v>
      </c>
      <c r="B1602" t="s">
        <v>331</v>
      </c>
      <c r="C1602" s="18">
        <v>2045</v>
      </c>
      <c r="D1602" t="s">
        <v>177</v>
      </c>
      <c r="E1602" s="20">
        <v>693482.91960236698</v>
      </c>
      <c r="F1602" s="20">
        <v>457985.03253706498</v>
      </c>
      <c r="G1602" s="10">
        <v>529994.22695920803</v>
      </c>
      <c r="H1602" s="21">
        <f t="shared" ref="H1602:H1665" si="50">G1602-F1602</f>
        <v>72009.194422143046</v>
      </c>
      <c r="I1602" s="10">
        <v>831470.21009817696</v>
      </c>
      <c r="J1602" s="21">
        <f t="shared" ref="J1602:J1665" si="51">I1602-E1602</f>
        <v>137987.29049580998</v>
      </c>
    </row>
    <row r="1603" spans="1:10">
      <c r="A1603" t="s">
        <v>75</v>
      </c>
      <c r="B1603" t="s">
        <v>331</v>
      </c>
      <c r="C1603" s="18">
        <v>2045</v>
      </c>
      <c r="D1603" t="s">
        <v>181</v>
      </c>
      <c r="E1603" s="20">
        <v>557080.64036544296</v>
      </c>
      <c r="F1603" s="20">
        <v>355513.01782420097</v>
      </c>
      <c r="G1603" s="10">
        <v>387750.67878189799</v>
      </c>
      <c r="H1603" s="21">
        <f t="shared" si="50"/>
        <v>32237.660957697022</v>
      </c>
      <c r="I1603" s="10">
        <v>645730.44769895996</v>
      </c>
      <c r="J1603" s="21">
        <f t="shared" si="51"/>
        <v>88649.807333517005</v>
      </c>
    </row>
    <row r="1604" spans="1:10">
      <c r="A1604" t="s">
        <v>75</v>
      </c>
      <c r="B1604" t="s">
        <v>331</v>
      </c>
      <c r="C1604" s="18">
        <v>2045</v>
      </c>
      <c r="D1604" t="s">
        <v>209</v>
      </c>
      <c r="E1604" s="20">
        <v>43250.257731183097</v>
      </c>
      <c r="F1604" s="20">
        <v>6950.9163512895602</v>
      </c>
      <c r="G1604" s="10">
        <v>7672.0682267846396</v>
      </c>
      <c r="H1604" s="21">
        <f t="shared" si="50"/>
        <v>721.15187549507937</v>
      </c>
      <c r="I1604" s="10">
        <v>43190.603751316099</v>
      </c>
      <c r="J1604" s="21">
        <f t="shared" si="51"/>
        <v>-59.65397986699827</v>
      </c>
    </row>
    <row r="1605" spans="1:10">
      <c r="A1605" t="s">
        <v>75</v>
      </c>
      <c r="B1605" t="s">
        <v>331</v>
      </c>
      <c r="C1605" s="18">
        <v>2046</v>
      </c>
      <c r="D1605" t="s">
        <v>187</v>
      </c>
      <c r="E1605" s="20">
        <v>22759.452263244701</v>
      </c>
      <c r="F1605" s="20">
        <v>14290.2524621637</v>
      </c>
      <c r="G1605" s="10">
        <v>15436.8918612077</v>
      </c>
      <c r="H1605" s="21">
        <f t="shared" si="50"/>
        <v>1146.6393990439992</v>
      </c>
      <c r="I1605" s="10">
        <v>22210.974521910699</v>
      </c>
      <c r="J1605" s="21">
        <f t="shared" si="51"/>
        <v>-548.47774133400162</v>
      </c>
    </row>
    <row r="1606" spans="1:10">
      <c r="A1606" t="s">
        <v>75</v>
      </c>
      <c r="B1606" t="s">
        <v>331</v>
      </c>
      <c r="C1606" s="18">
        <v>2046</v>
      </c>
      <c r="D1606" t="s">
        <v>227</v>
      </c>
      <c r="E1606" s="20">
        <v>1241513.2464725799</v>
      </c>
      <c r="F1606" s="20">
        <v>262711.13363209303</v>
      </c>
      <c r="G1606" s="10">
        <v>295165.87720880198</v>
      </c>
      <c r="H1606" s="21">
        <f t="shared" si="50"/>
        <v>32454.743576708948</v>
      </c>
      <c r="I1606" s="10">
        <v>1230125.0687766999</v>
      </c>
      <c r="J1606" s="21">
        <f t="shared" si="51"/>
        <v>-11388.177695879946</v>
      </c>
    </row>
    <row r="1607" spans="1:10">
      <c r="A1607" t="s">
        <v>75</v>
      </c>
      <c r="B1607" t="s">
        <v>331</v>
      </c>
      <c r="C1607" s="18">
        <v>2046</v>
      </c>
      <c r="D1607" t="s">
        <v>163</v>
      </c>
      <c r="E1607" s="20">
        <v>130602.494483555</v>
      </c>
      <c r="F1607" s="20">
        <v>83750.685076671201</v>
      </c>
      <c r="G1607" s="10">
        <v>104731.13398431199</v>
      </c>
      <c r="H1607" s="21">
        <f t="shared" si="50"/>
        <v>20980.448907640792</v>
      </c>
      <c r="I1607" s="10">
        <v>154919.18519988199</v>
      </c>
      <c r="J1607" s="21">
        <f t="shared" si="51"/>
        <v>24316.690716326993</v>
      </c>
    </row>
    <row r="1608" spans="1:10">
      <c r="A1608" t="s">
        <v>75</v>
      </c>
      <c r="B1608" t="s">
        <v>331</v>
      </c>
      <c r="C1608" s="18">
        <v>2046</v>
      </c>
      <c r="D1608" t="s">
        <v>173</v>
      </c>
      <c r="E1608" s="20">
        <v>418877.92192506097</v>
      </c>
      <c r="F1608" s="20">
        <v>395362.65688034002</v>
      </c>
      <c r="G1608" s="10">
        <v>455310.080020589</v>
      </c>
      <c r="H1608" s="21">
        <f t="shared" si="50"/>
        <v>59947.423140248982</v>
      </c>
      <c r="I1608" s="10">
        <v>489559.56948849699</v>
      </c>
      <c r="J1608" s="21">
        <f t="shared" si="51"/>
        <v>70681.64756343601</v>
      </c>
    </row>
    <row r="1609" spans="1:10">
      <c r="A1609" t="s">
        <v>75</v>
      </c>
      <c r="B1609" t="s">
        <v>331</v>
      </c>
      <c r="C1609" s="18">
        <v>2046</v>
      </c>
      <c r="D1609" t="s">
        <v>177</v>
      </c>
      <c r="E1609" s="20">
        <v>697037.39195725799</v>
      </c>
      <c r="F1609" s="20">
        <v>461393.31955891399</v>
      </c>
      <c r="G1609" s="10">
        <v>538440.16822828504</v>
      </c>
      <c r="H1609" s="21">
        <f t="shared" si="50"/>
        <v>77046.848669371044</v>
      </c>
      <c r="I1609" s="10">
        <v>842022.211146035</v>
      </c>
      <c r="J1609" s="21">
        <f t="shared" si="51"/>
        <v>144984.81918877701</v>
      </c>
    </row>
    <row r="1610" spans="1:10">
      <c r="A1610" t="s">
        <v>75</v>
      </c>
      <c r="B1610" t="s">
        <v>331</v>
      </c>
      <c r="C1610" s="18">
        <v>2046</v>
      </c>
      <c r="D1610" t="s">
        <v>181</v>
      </c>
      <c r="E1610" s="20">
        <v>563049.10033806099</v>
      </c>
      <c r="F1610" s="20">
        <v>362641.74530965398</v>
      </c>
      <c r="G1610" s="10">
        <v>397431.95060261199</v>
      </c>
      <c r="H1610" s="21">
        <f t="shared" si="50"/>
        <v>34790.20529295801</v>
      </c>
      <c r="I1610" s="10">
        <v>656023.20384824695</v>
      </c>
      <c r="J1610" s="21">
        <f t="shared" si="51"/>
        <v>92974.10351018596</v>
      </c>
    </row>
    <row r="1611" spans="1:10">
      <c r="A1611" t="s">
        <v>75</v>
      </c>
      <c r="B1611" t="s">
        <v>331</v>
      </c>
      <c r="C1611" s="18">
        <v>2046</v>
      </c>
      <c r="D1611" t="s">
        <v>209</v>
      </c>
      <c r="E1611" s="20">
        <v>43263.355479534803</v>
      </c>
      <c r="F1611" s="20">
        <v>6946.8373144758198</v>
      </c>
      <c r="G1611" s="10">
        <v>7693.5570486562501</v>
      </c>
      <c r="H1611" s="21">
        <f t="shared" si="50"/>
        <v>746.71973418043035</v>
      </c>
      <c r="I1611" s="10">
        <v>43196.310323112302</v>
      </c>
      <c r="J1611" s="21">
        <f t="shared" si="51"/>
        <v>-67.04515642250044</v>
      </c>
    </row>
    <row r="1612" spans="1:10">
      <c r="A1612" t="s">
        <v>75</v>
      </c>
      <c r="B1612" t="s">
        <v>331</v>
      </c>
      <c r="C1612" s="18">
        <v>2047</v>
      </c>
      <c r="D1612" t="s">
        <v>187</v>
      </c>
      <c r="E1612" s="20">
        <v>23325.382961161598</v>
      </c>
      <c r="F1612" s="20">
        <v>14546.747623499001</v>
      </c>
      <c r="G1612" s="10">
        <v>15728.485494730299</v>
      </c>
      <c r="H1612" s="21">
        <f t="shared" si="50"/>
        <v>1181.7378712312984</v>
      </c>
      <c r="I1612" s="10">
        <v>22699.6629629007</v>
      </c>
      <c r="J1612" s="21">
        <f t="shared" si="51"/>
        <v>-625.71999826089814</v>
      </c>
    </row>
    <row r="1613" spans="1:10">
      <c r="A1613" t="s">
        <v>75</v>
      </c>
      <c r="B1613" t="s">
        <v>331</v>
      </c>
      <c r="C1613" s="18">
        <v>2047</v>
      </c>
      <c r="D1613" t="s">
        <v>227</v>
      </c>
      <c r="E1613" s="20">
        <v>1247894.0767448801</v>
      </c>
      <c r="F1613" s="20">
        <v>267667.996949611</v>
      </c>
      <c r="G1613" s="10">
        <v>302180.55031250097</v>
      </c>
      <c r="H1613" s="21">
        <f t="shared" si="50"/>
        <v>34512.553362889972</v>
      </c>
      <c r="I1613" s="10">
        <v>1235274.66521773</v>
      </c>
      <c r="J1613" s="21">
        <f t="shared" si="51"/>
        <v>-12619.411527150078</v>
      </c>
    </row>
    <row r="1614" spans="1:10">
      <c r="A1614" t="s">
        <v>75</v>
      </c>
      <c r="B1614" t="s">
        <v>331</v>
      </c>
      <c r="C1614" s="18">
        <v>2047</v>
      </c>
      <c r="D1614" t="s">
        <v>163</v>
      </c>
      <c r="E1614" s="20">
        <v>131959.43443699501</v>
      </c>
      <c r="F1614" s="20">
        <v>84318.981696151299</v>
      </c>
      <c r="G1614" s="10">
        <v>106487.67776034201</v>
      </c>
      <c r="H1614" s="21">
        <f t="shared" si="50"/>
        <v>22168.696064190706</v>
      </c>
      <c r="I1614" s="10">
        <v>157435.937342911</v>
      </c>
      <c r="J1614" s="21">
        <f t="shared" si="51"/>
        <v>25476.502905915986</v>
      </c>
    </row>
    <row r="1615" spans="1:10">
      <c r="A1615" t="s">
        <v>75</v>
      </c>
      <c r="B1615" t="s">
        <v>331</v>
      </c>
      <c r="C1615" s="18">
        <v>2047</v>
      </c>
      <c r="D1615" t="s">
        <v>173</v>
      </c>
      <c r="E1615" s="20">
        <v>421048.20762145199</v>
      </c>
      <c r="F1615" s="20">
        <v>397311.31862230902</v>
      </c>
      <c r="G1615" s="10">
        <v>460539.427749469</v>
      </c>
      <c r="H1615" s="21">
        <f t="shared" si="50"/>
        <v>63228.109127159987</v>
      </c>
      <c r="I1615" s="10">
        <v>495047.33168069902</v>
      </c>
      <c r="J1615" s="21">
        <f t="shared" si="51"/>
        <v>73999.124059247028</v>
      </c>
    </row>
    <row r="1616" spans="1:10">
      <c r="A1616" t="s">
        <v>75</v>
      </c>
      <c r="B1616" t="s">
        <v>331</v>
      </c>
      <c r="C1616" s="18">
        <v>2047</v>
      </c>
      <c r="D1616" t="s">
        <v>177</v>
      </c>
      <c r="E1616" s="20">
        <v>700424.38920757303</v>
      </c>
      <c r="F1616" s="20">
        <v>464761.389252124</v>
      </c>
      <c r="G1616" s="10">
        <v>546892.884748123</v>
      </c>
      <c r="H1616" s="21">
        <f t="shared" si="50"/>
        <v>82131.495495998999</v>
      </c>
      <c r="I1616" s="10">
        <v>852357.03689663101</v>
      </c>
      <c r="J1616" s="21">
        <f t="shared" si="51"/>
        <v>151932.64768905798</v>
      </c>
    </row>
    <row r="1617" spans="1:10">
      <c r="A1617" t="s">
        <v>75</v>
      </c>
      <c r="B1617" t="s">
        <v>331</v>
      </c>
      <c r="C1617" s="18">
        <v>2047</v>
      </c>
      <c r="D1617" t="s">
        <v>181</v>
      </c>
      <c r="E1617" s="20">
        <v>568773.12821830204</v>
      </c>
      <c r="F1617" s="20">
        <v>369581.65946630097</v>
      </c>
      <c r="G1617" s="10">
        <v>406938.30985862098</v>
      </c>
      <c r="H1617" s="21">
        <f t="shared" si="50"/>
        <v>37356.650392320007</v>
      </c>
      <c r="I1617" s="10">
        <v>665960.53053760703</v>
      </c>
      <c r="J1617" s="21">
        <f t="shared" si="51"/>
        <v>97187.402319304994</v>
      </c>
    </row>
    <row r="1618" spans="1:10">
      <c r="A1618" t="s">
        <v>75</v>
      </c>
      <c r="B1618" t="s">
        <v>331</v>
      </c>
      <c r="C1618" s="18">
        <v>2047</v>
      </c>
      <c r="D1618" t="s">
        <v>209</v>
      </c>
      <c r="E1618" s="20">
        <v>43292.5733055003</v>
      </c>
      <c r="F1618" s="20">
        <v>6945.3728982624898</v>
      </c>
      <c r="G1618" s="10">
        <v>7716.2645250788601</v>
      </c>
      <c r="H1618" s="21">
        <f t="shared" si="50"/>
        <v>770.89162681637026</v>
      </c>
      <c r="I1618" s="10">
        <v>43217.634192350401</v>
      </c>
      <c r="J1618" s="21">
        <f t="shared" si="51"/>
        <v>-74.93911314989964</v>
      </c>
    </row>
    <row r="1619" spans="1:10">
      <c r="A1619" t="s">
        <v>75</v>
      </c>
      <c r="B1619" t="s">
        <v>331</v>
      </c>
      <c r="C1619" s="18">
        <v>2048</v>
      </c>
      <c r="D1619" t="s">
        <v>187</v>
      </c>
      <c r="E1619" s="20">
        <v>23889.3281193277</v>
      </c>
      <c r="F1619" s="20">
        <v>14813.839642043</v>
      </c>
      <c r="G1619" s="10">
        <v>16025.2187605858</v>
      </c>
      <c r="H1619" s="21">
        <f t="shared" si="50"/>
        <v>1211.3791185427999</v>
      </c>
      <c r="I1619" s="10">
        <v>23179.777529823201</v>
      </c>
      <c r="J1619" s="21">
        <f t="shared" si="51"/>
        <v>-709.55058950449893</v>
      </c>
    </row>
    <row r="1620" spans="1:10">
      <c r="A1620" t="s">
        <v>75</v>
      </c>
      <c r="B1620" t="s">
        <v>331</v>
      </c>
      <c r="C1620" s="18">
        <v>2048</v>
      </c>
      <c r="D1620" t="s">
        <v>227</v>
      </c>
      <c r="E1620" s="20">
        <v>1254117.4678672301</v>
      </c>
      <c r="F1620" s="20">
        <v>272380.52907910198</v>
      </c>
      <c r="G1620" s="10">
        <v>308964.31037728197</v>
      </c>
      <c r="H1620" s="21">
        <f t="shared" si="50"/>
        <v>36583.781298179994</v>
      </c>
      <c r="I1620" s="10">
        <v>1240209.10376068</v>
      </c>
      <c r="J1620" s="21">
        <f t="shared" si="51"/>
        <v>-13908.364106550114</v>
      </c>
    </row>
    <row r="1621" spans="1:10">
      <c r="A1621" t="s">
        <v>75</v>
      </c>
      <c r="B1621" t="s">
        <v>331</v>
      </c>
      <c r="C1621" s="18">
        <v>2048</v>
      </c>
      <c r="D1621" t="s">
        <v>163</v>
      </c>
      <c r="E1621" s="20">
        <v>133267.150187508</v>
      </c>
      <c r="F1621" s="20">
        <v>84853.136364709702</v>
      </c>
      <c r="G1621" s="10">
        <v>108205.309376064</v>
      </c>
      <c r="H1621" s="21">
        <f t="shared" si="50"/>
        <v>23352.173011354302</v>
      </c>
      <c r="I1621" s="10">
        <v>159877.06955740901</v>
      </c>
      <c r="J1621" s="21">
        <f t="shared" si="51"/>
        <v>26609.919369901007</v>
      </c>
    </row>
    <row r="1622" spans="1:10">
      <c r="A1622" t="s">
        <v>75</v>
      </c>
      <c r="B1622" t="s">
        <v>331</v>
      </c>
      <c r="C1622" s="18">
        <v>2048</v>
      </c>
      <c r="D1622" t="s">
        <v>173</v>
      </c>
      <c r="E1622" s="20">
        <v>423012.37827455997</v>
      </c>
      <c r="F1622" s="20">
        <v>399084.07744108699</v>
      </c>
      <c r="G1622" s="10">
        <v>465558.478994868</v>
      </c>
      <c r="H1622" s="21">
        <f t="shared" si="50"/>
        <v>66474.401553781005</v>
      </c>
      <c r="I1622" s="10">
        <v>500251.96367663803</v>
      </c>
      <c r="J1622" s="21">
        <f t="shared" si="51"/>
        <v>77239.585402078053</v>
      </c>
    </row>
    <row r="1623" spans="1:10">
      <c r="A1623" t="s">
        <v>75</v>
      </c>
      <c r="B1623" t="s">
        <v>331</v>
      </c>
      <c r="C1623" s="18">
        <v>2048</v>
      </c>
      <c r="D1623" t="s">
        <v>177</v>
      </c>
      <c r="E1623" s="20">
        <v>703635.190997342</v>
      </c>
      <c r="F1623" s="20">
        <v>467980.33761031198</v>
      </c>
      <c r="G1623" s="10">
        <v>555219.25427407597</v>
      </c>
      <c r="H1623" s="21">
        <f t="shared" si="50"/>
        <v>87238.916663763986</v>
      </c>
      <c r="I1623" s="10">
        <v>862421.19766606798</v>
      </c>
      <c r="J1623" s="21">
        <f t="shared" si="51"/>
        <v>158786.00666872598</v>
      </c>
    </row>
    <row r="1624" spans="1:10">
      <c r="A1624" t="s">
        <v>75</v>
      </c>
      <c r="B1624" t="s">
        <v>331</v>
      </c>
      <c r="C1624" s="18">
        <v>2048</v>
      </c>
      <c r="D1624" t="s">
        <v>181</v>
      </c>
      <c r="E1624" s="20">
        <v>574261.42397316103</v>
      </c>
      <c r="F1624" s="20">
        <v>376300.13144792599</v>
      </c>
      <c r="G1624" s="10">
        <v>416221.14564351598</v>
      </c>
      <c r="H1624" s="21">
        <f t="shared" si="50"/>
        <v>39921.014195589989</v>
      </c>
      <c r="I1624" s="10">
        <v>675538.06713143899</v>
      </c>
      <c r="J1624" s="21">
        <f t="shared" si="51"/>
        <v>101276.64315827796</v>
      </c>
    </row>
    <row r="1625" spans="1:10">
      <c r="A1625" t="s">
        <v>75</v>
      </c>
      <c r="B1625" t="s">
        <v>331</v>
      </c>
      <c r="C1625" s="18">
        <v>2048</v>
      </c>
      <c r="D1625" t="s">
        <v>209</v>
      </c>
      <c r="E1625" s="20">
        <v>43330.449751066597</v>
      </c>
      <c r="F1625" s="20">
        <v>6946.9253883671499</v>
      </c>
      <c r="G1625" s="10">
        <v>7740.9682323091401</v>
      </c>
      <c r="H1625" s="21">
        <f t="shared" si="50"/>
        <v>794.04284394199021</v>
      </c>
      <c r="I1625" s="10">
        <v>43247.116568268502</v>
      </c>
      <c r="J1625" s="21">
        <f t="shared" si="51"/>
        <v>-83.33318279809464</v>
      </c>
    </row>
    <row r="1626" spans="1:10">
      <c r="A1626" t="s">
        <v>75</v>
      </c>
      <c r="B1626" t="s">
        <v>331</v>
      </c>
      <c r="C1626" s="18">
        <v>2049</v>
      </c>
      <c r="D1626" t="s">
        <v>187</v>
      </c>
      <c r="E1626" s="20">
        <v>24450.334184996202</v>
      </c>
      <c r="F1626" s="20">
        <v>15083.5084048156</v>
      </c>
      <c r="G1626" s="10">
        <v>16322.61151708</v>
      </c>
      <c r="H1626" s="21">
        <f t="shared" si="50"/>
        <v>1239.1031122643999</v>
      </c>
      <c r="I1626" s="10">
        <v>23650.361484044901</v>
      </c>
      <c r="J1626" s="21">
        <f t="shared" si="51"/>
        <v>-799.97270095130079</v>
      </c>
    </row>
    <row r="1627" spans="1:10">
      <c r="A1627" t="s">
        <v>75</v>
      </c>
      <c r="B1627" t="s">
        <v>331</v>
      </c>
      <c r="C1627" s="18">
        <v>2049</v>
      </c>
      <c r="D1627" t="s">
        <v>227</v>
      </c>
      <c r="E1627" s="20">
        <v>1260212.85300291</v>
      </c>
      <c r="F1627" s="20">
        <v>276861.55776131101</v>
      </c>
      <c r="G1627" s="10">
        <v>315528.65457465599</v>
      </c>
      <c r="H1627" s="21">
        <f t="shared" si="50"/>
        <v>38667.096813344979</v>
      </c>
      <c r="I1627" s="10">
        <v>1244958.37630862</v>
      </c>
      <c r="J1627" s="21">
        <f t="shared" si="51"/>
        <v>-15254.476694290061</v>
      </c>
    </row>
    <row r="1628" spans="1:10">
      <c r="A1628" t="s">
        <v>75</v>
      </c>
      <c r="B1628" t="s">
        <v>331</v>
      </c>
      <c r="C1628" s="18">
        <v>2049</v>
      </c>
      <c r="D1628" t="s">
        <v>163</v>
      </c>
      <c r="E1628" s="20">
        <v>134519.87877869001</v>
      </c>
      <c r="F1628" s="20">
        <v>85351.273905129201</v>
      </c>
      <c r="G1628" s="10">
        <v>109882.371148655</v>
      </c>
      <c r="H1628" s="21">
        <f t="shared" si="50"/>
        <v>24531.097243525801</v>
      </c>
      <c r="I1628" s="10">
        <v>162238.134685625</v>
      </c>
      <c r="J1628" s="21">
        <f t="shared" si="51"/>
        <v>27718.255906934995</v>
      </c>
    </row>
    <row r="1629" spans="1:10">
      <c r="A1629" t="s">
        <v>75</v>
      </c>
      <c r="B1629" t="s">
        <v>331</v>
      </c>
      <c r="C1629" s="18">
        <v>2049</v>
      </c>
      <c r="D1629" t="s">
        <v>173</v>
      </c>
      <c r="E1629" s="20">
        <v>424793.028838053</v>
      </c>
      <c r="F1629" s="20">
        <v>400699.87793994503</v>
      </c>
      <c r="G1629" s="10">
        <v>470383.880162835</v>
      </c>
      <c r="H1629" s="21">
        <f t="shared" si="50"/>
        <v>69684.002222889976</v>
      </c>
      <c r="I1629" s="10">
        <v>505215.90050813899</v>
      </c>
      <c r="J1629" s="21">
        <f t="shared" si="51"/>
        <v>80422.871670085995</v>
      </c>
    </row>
    <row r="1630" spans="1:10">
      <c r="A1630" t="s">
        <v>75</v>
      </c>
      <c r="B1630" t="s">
        <v>331</v>
      </c>
      <c r="C1630" s="18">
        <v>2049</v>
      </c>
      <c r="D1630" t="s">
        <v>177</v>
      </c>
      <c r="E1630" s="20">
        <v>706518.59390084795</v>
      </c>
      <c r="F1630" s="20">
        <v>470980.82135487598</v>
      </c>
      <c r="G1630" s="10">
        <v>563337.76559367101</v>
      </c>
      <c r="H1630" s="21">
        <f t="shared" si="50"/>
        <v>92356.944238795026</v>
      </c>
      <c r="I1630" s="10">
        <v>872039.41256190802</v>
      </c>
      <c r="J1630" s="21">
        <f t="shared" si="51"/>
        <v>165520.81866106007</v>
      </c>
    </row>
    <row r="1631" spans="1:10">
      <c r="A1631" t="s">
        <v>75</v>
      </c>
      <c r="B1631" t="s">
        <v>331</v>
      </c>
      <c r="C1631" s="18">
        <v>2049</v>
      </c>
      <c r="D1631" t="s">
        <v>181</v>
      </c>
      <c r="E1631" s="20">
        <v>579532.83685536601</v>
      </c>
      <c r="F1631" s="20">
        <v>382744.04890532501</v>
      </c>
      <c r="G1631" s="10">
        <v>425211.29480666103</v>
      </c>
      <c r="H1631" s="21">
        <f t="shared" si="50"/>
        <v>42467.24590133602</v>
      </c>
      <c r="I1631" s="10">
        <v>684799.51924341801</v>
      </c>
      <c r="J1631" s="21">
        <f t="shared" si="51"/>
        <v>105266.682388052</v>
      </c>
    </row>
    <row r="1632" spans="1:10">
      <c r="A1632" t="s">
        <v>75</v>
      </c>
      <c r="B1632" t="s">
        <v>331</v>
      </c>
      <c r="C1632" s="18">
        <v>2049</v>
      </c>
      <c r="D1632" t="s">
        <v>209</v>
      </c>
      <c r="E1632" s="20">
        <v>43379.904535350397</v>
      </c>
      <c r="F1632" s="20">
        <v>6948.3611480351401</v>
      </c>
      <c r="G1632" s="10">
        <v>7764.4250577338198</v>
      </c>
      <c r="H1632" s="21">
        <f t="shared" si="50"/>
        <v>816.06390969867971</v>
      </c>
      <c r="I1632" s="10">
        <v>43287.694118175197</v>
      </c>
      <c r="J1632" s="21">
        <f t="shared" si="51"/>
        <v>-92.210417175199836</v>
      </c>
    </row>
    <row r="1633" spans="1:10">
      <c r="A1633" t="s">
        <v>75</v>
      </c>
      <c r="B1633" t="s">
        <v>331</v>
      </c>
      <c r="C1633" s="18">
        <v>2050</v>
      </c>
      <c r="D1633" t="s">
        <v>187</v>
      </c>
      <c r="E1633" s="20">
        <v>25007.459863453401</v>
      </c>
      <c r="F1633" s="20">
        <v>15353.973634517</v>
      </c>
      <c r="G1633" s="10">
        <v>16618.923709126098</v>
      </c>
      <c r="H1633" s="21">
        <f t="shared" si="50"/>
        <v>1264.950074609098</v>
      </c>
      <c r="I1633" s="10">
        <v>24110.4306261692</v>
      </c>
      <c r="J1633" s="21">
        <f t="shared" si="51"/>
        <v>-897.02923728420137</v>
      </c>
    </row>
    <row r="1634" spans="1:10">
      <c r="A1634" t="s">
        <v>75</v>
      </c>
      <c r="B1634" t="s">
        <v>331</v>
      </c>
      <c r="C1634" s="18">
        <v>2050</v>
      </c>
      <c r="D1634" t="s">
        <v>227</v>
      </c>
      <c r="E1634" s="20">
        <v>1266231.98276512</v>
      </c>
      <c r="F1634" s="20">
        <v>281107.16179241601</v>
      </c>
      <c r="G1634" s="10">
        <v>321866.14542390499</v>
      </c>
      <c r="H1634" s="21">
        <f t="shared" si="50"/>
        <v>40758.983631488984</v>
      </c>
      <c r="I1634" s="10">
        <v>1249574.9812984299</v>
      </c>
      <c r="J1634" s="21">
        <f t="shared" si="51"/>
        <v>-16657.001466690097</v>
      </c>
    </row>
    <row r="1635" spans="1:10">
      <c r="A1635" t="s">
        <v>75</v>
      </c>
      <c r="B1635" t="s">
        <v>331</v>
      </c>
      <c r="C1635" s="18">
        <v>2050</v>
      </c>
      <c r="D1635" t="s">
        <v>163</v>
      </c>
      <c r="E1635" s="20">
        <v>135720.78897941901</v>
      </c>
      <c r="F1635" s="20">
        <v>85797.446669996803</v>
      </c>
      <c r="G1635" s="10">
        <v>111496.260054028</v>
      </c>
      <c r="H1635" s="21">
        <f t="shared" si="50"/>
        <v>25698.813384031193</v>
      </c>
      <c r="I1635" s="10">
        <v>164526.94959842</v>
      </c>
      <c r="J1635" s="21">
        <f t="shared" si="51"/>
        <v>28806.160619000992</v>
      </c>
    </row>
    <row r="1636" spans="1:10">
      <c r="A1636" t="s">
        <v>75</v>
      </c>
      <c r="B1636" t="s">
        <v>331</v>
      </c>
      <c r="C1636" s="18">
        <v>2050</v>
      </c>
      <c r="D1636" t="s">
        <v>173</v>
      </c>
      <c r="E1636" s="20">
        <v>426372.504299958</v>
      </c>
      <c r="F1636" s="20">
        <v>402056.66984038003</v>
      </c>
      <c r="G1636" s="10">
        <v>474893.25455494301</v>
      </c>
      <c r="H1636" s="21">
        <f t="shared" si="50"/>
        <v>72836.584714562981</v>
      </c>
      <c r="I1636" s="10">
        <v>509923.79465326603</v>
      </c>
      <c r="J1636" s="21">
        <f t="shared" si="51"/>
        <v>83551.290353308024</v>
      </c>
    </row>
    <row r="1637" spans="1:10">
      <c r="A1637" t="s">
        <v>75</v>
      </c>
      <c r="B1637" t="s">
        <v>331</v>
      </c>
      <c r="C1637" s="18">
        <v>2050</v>
      </c>
      <c r="D1637" t="s">
        <v>177</v>
      </c>
      <c r="E1637" s="20">
        <v>709073.52613663196</v>
      </c>
      <c r="F1637" s="20">
        <v>473809.329942248</v>
      </c>
      <c r="G1637" s="10">
        <v>571305.13066545594</v>
      </c>
      <c r="H1637" s="21">
        <f t="shared" si="50"/>
        <v>97495.80072320794</v>
      </c>
      <c r="I1637" s="10">
        <v>881220.21017861494</v>
      </c>
      <c r="J1637" s="21">
        <f t="shared" si="51"/>
        <v>172146.68404198298</v>
      </c>
    </row>
    <row r="1638" spans="1:10">
      <c r="A1638" t="s">
        <v>75</v>
      </c>
      <c r="B1638" t="s">
        <v>331</v>
      </c>
      <c r="C1638" s="18">
        <v>2050</v>
      </c>
      <c r="D1638" t="s">
        <v>181</v>
      </c>
      <c r="E1638" s="20">
        <v>584643.92297174898</v>
      </c>
      <c r="F1638" s="20">
        <v>388935.28587680199</v>
      </c>
      <c r="G1638" s="10">
        <v>433928.11684243701</v>
      </c>
      <c r="H1638" s="21">
        <f t="shared" si="50"/>
        <v>44992.830965635017</v>
      </c>
      <c r="I1638" s="10">
        <v>693833.37581002596</v>
      </c>
      <c r="J1638" s="21">
        <f t="shared" si="51"/>
        <v>109189.45283827698</v>
      </c>
    </row>
    <row r="1639" spans="1:10">
      <c r="A1639" t="s">
        <v>75</v>
      </c>
      <c r="B1639" t="s">
        <v>331</v>
      </c>
      <c r="C1639" s="18">
        <v>2050</v>
      </c>
      <c r="D1639" t="s">
        <v>209</v>
      </c>
      <c r="E1639" s="20">
        <v>43438.893858149597</v>
      </c>
      <c r="F1639" s="20">
        <v>6948.4480518167002</v>
      </c>
      <c r="G1639" s="10">
        <v>7785.5925162465101</v>
      </c>
      <c r="H1639" s="21">
        <f t="shared" si="50"/>
        <v>837.14446442980989</v>
      </c>
      <c r="I1639" s="10">
        <v>43337.334071848098</v>
      </c>
      <c r="J1639" s="21">
        <f t="shared" si="51"/>
        <v>-101.55978630149912</v>
      </c>
    </row>
    <row r="1640" spans="1:10">
      <c r="A1640" t="s">
        <v>72</v>
      </c>
      <c r="B1640" t="s">
        <v>332</v>
      </c>
      <c r="C1640" s="18">
        <v>2025</v>
      </c>
      <c r="D1640" t="s">
        <v>187</v>
      </c>
      <c r="E1640" s="20">
        <v>12347.3896757033</v>
      </c>
      <c r="F1640" s="20">
        <v>8975.3084972287597</v>
      </c>
      <c r="G1640" s="10">
        <v>8975.3084972287597</v>
      </c>
      <c r="H1640" s="21">
        <f t="shared" si="50"/>
        <v>0</v>
      </c>
      <c r="I1640" s="10">
        <v>12347.3896757033</v>
      </c>
      <c r="J1640" s="21">
        <f t="shared" si="51"/>
        <v>0</v>
      </c>
    </row>
    <row r="1641" spans="1:10">
      <c r="A1641" t="s">
        <v>72</v>
      </c>
      <c r="B1641" t="s">
        <v>332</v>
      </c>
      <c r="C1641" s="18">
        <v>2025</v>
      </c>
      <c r="D1641" t="s">
        <v>227</v>
      </c>
      <c r="E1641" s="20">
        <v>1026043.97207164</v>
      </c>
      <c r="F1641" s="20">
        <v>129403.02283067199</v>
      </c>
      <c r="G1641" s="10">
        <v>129403.02283067199</v>
      </c>
      <c r="H1641" s="21">
        <f t="shared" si="50"/>
        <v>0</v>
      </c>
      <c r="I1641" s="10">
        <v>1026043.97207164</v>
      </c>
      <c r="J1641" s="21">
        <f t="shared" si="51"/>
        <v>0</v>
      </c>
    </row>
    <row r="1642" spans="1:10">
      <c r="A1642" t="s">
        <v>72</v>
      </c>
      <c r="B1642" t="s">
        <v>332</v>
      </c>
      <c r="C1642" s="18">
        <v>2025</v>
      </c>
      <c r="D1642" t="s">
        <v>163</v>
      </c>
      <c r="E1642" s="20">
        <v>91684.509014274605</v>
      </c>
      <c r="F1642" s="20">
        <v>63318.751825202096</v>
      </c>
      <c r="G1642" s="10">
        <v>63318.751825202096</v>
      </c>
      <c r="H1642" s="21">
        <f t="shared" si="50"/>
        <v>0</v>
      </c>
      <c r="I1642" s="10">
        <v>91684.509014274605</v>
      </c>
      <c r="J1642" s="21">
        <f t="shared" si="51"/>
        <v>0</v>
      </c>
    </row>
    <row r="1643" spans="1:10">
      <c r="A1643" t="s">
        <v>72</v>
      </c>
      <c r="B1643" t="s">
        <v>332</v>
      </c>
      <c r="C1643" s="18">
        <v>2025</v>
      </c>
      <c r="D1643" t="s">
        <v>173</v>
      </c>
      <c r="E1643" s="20">
        <v>327817.99211152899</v>
      </c>
      <c r="F1643" s="20">
        <v>300216.82861998002</v>
      </c>
      <c r="G1643" s="10">
        <v>300216.82861998002</v>
      </c>
      <c r="H1643" s="21">
        <f t="shared" si="50"/>
        <v>0</v>
      </c>
      <c r="I1643" s="10">
        <v>327817.99211152899</v>
      </c>
      <c r="J1643" s="21">
        <f t="shared" si="51"/>
        <v>0</v>
      </c>
    </row>
    <row r="1644" spans="1:10">
      <c r="A1644" t="s">
        <v>72</v>
      </c>
      <c r="B1644" t="s">
        <v>332</v>
      </c>
      <c r="C1644" s="18">
        <v>2025</v>
      </c>
      <c r="D1644" t="s">
        <v>177</v>
      </c>
      <c r="E1644" s="20">
        <v>563964.12892884796</v>
      </c>
      <c r="F1644" s="20">
        <v>321188.16298793198</v>
      </c>
      <c r="G1644" s="10">
        <v>321188.16298793198</v>
      </c>
      <c r="H1644" s="21">
        <f t="shared" si="50"/>
        <v>0</v>
      </c>
      <c r="I1644" s="10">
        <v>563964.12892884796</v>
      </c>
      <c r="J1644" s="21">
        <f t="shared" si="51"/>
        <v>0</v>
      </c>
    </row>
    <row r="1645" spans="1:10">
      <c r="A1645" t="s">
        <v>72</v>
      </c>
      <c r="B1645" t="s">
        <v>332</v>
      </c>
      <c r="C1645" s="18">
        <v>2025</v>
      </c>
      <c r="D1645" t="s">
        <v>181</v>
      </c>
      <c r="E1645" s="20">
        <v>396205.91279756802</v>
      </c>
      <c r="F1645" s="20">
        <v>191954.71357959701</v>
      </c>
      <c r="G1645" s="10">
        <v>191954.71357959701</v>
      </c>
      <c r="H1645" s="21">
        <f t="shared" si="50"/>
        <v>0</v>
      </c>
      <c r="I1645" s="10">
        <v>396205.91279756802</v>
      </c>
      <c r="J1645" s="21">
        <f t="shared" si="51"/>
        <v>0</v>
      </c>
    </row>
    <row r="1646" spans="1:10">
      <c r="A1646" t="s">
        <v>72</v>
      </c>
      <c r="B1646" t="s">
        <v>332</v>
      </c>
      <c r="C1646" s="18">
        <v>2025</v>
      </c>
      <c r="D1646" t="s">
        <v>209</v>
      </c>
      <c r="E1646" s="20">
        <v>44024.855784556101</v>
      </c>
      <c r="F1646" s="20">
        <v>6961.0286695127397</v>
      </c>
      <c r="G1646" s="10">
        <v>6961.0286695127397</v>
      </c>
      <c r="H1646" s="21">
        <f t="shared" si="50"/>
        <v>0</v>
      </c>
      <c r="I1646" s="10">
        <v>44024.855784556101</v>
      </c>
      <c r="J1646" s="21">
        <f t="shared" si="51"/>
        <v>0</v>
      </c>
    </row>
    <row r="1647" spans="1:10">
      <c r="A1647" t="s">
        <v>72</v>
      </c>
      <c r="B1647" t="s">
        <v>332</v>
      </c>
      <c r="C1647" s="18">
        <v>2026</v>
      </c>
      <c r="D1647" t="s">
        <v>187</v>
      </c>
      <c r="E1647" s="20">
        <v>12812.507871628</v>
      </c>
      <c r="F1647" s="20">
        <v>9308.2642091095495</v>
      </c>
      <c r="G1647" s="10">
        <v>9308.2642091095495</v>
      </c>
      <c r="H1647" s="21">
        <f t="shared" si="50"/>
        <v>0</v>
      </c>
      <c r="I1647" s="10">
        <v>12812.507871628</v>
      </c>
      <c r="J1647" s="21">
        <f t="shared" si="51"/>
        <v>0</v>
      </c>
    </row>
    <row r="1648" spans="1:10">
      <c r="A1648" t="s">
        <v>72</v>
      </c>
      <c r="B1648" t="s">
        <v>332</v>
      </c>
      <c r="C1648" s="18">
        <v>2026</v>
      </c>
      <c r="D1648" t="s">
        <v>227</v>
      </c>
      <c r="E1648" s="20">
        <v>1040956.74283153</v>
      </c>
      <c r="F1648" s="20">
        <v>137191.89613692299</v>
      </c>
      <c r="G1648" s="10">
        <v>137191.89613692299</v>
      </c>
      <c r="H1648" s="21">
        <f t="shared" si="50"/>
        <v>0</v>
      </c>
      <c r="I1648" s="10">
        <v>1040956.74283153</v>
      </c>
      <c r="J1648" s="21">
        <f t="shared" si="51"/>
        <v>0</v>
      </c>
    </row>
    <row r="1649" spans="1:10">
      <c r="A1649" t="s">
        <v>72</v>
      </c>
      <c r="B1649" t="s">
        <v>332</v>
      </c>
      <c r="C1649" s="18">
        <v>2026</v>
      </c>
      <c r="D1649" t="s">
        <v>163</v>
      </c>
      <c r="E1649" s="20">
        <v>95077.183303526501</v>
      </c>
      <c r="F1649" s="20">
        <v>65164.470413401701</v>
      </c>
      <c r="G1649" s="10">
        <v>65164.470413401701</v>
      </c>
      <c r="H1649" s="21">
        <f t="shared" si="50"/>
        <v>0</v>
      </c>
      <c r="I1649" s="10">
        <v>95077.183303526501</v>
      </c>
      <c r="J1649" s="21">
        <f t="shared" si="51"/>
        <v>0</v>
      </c>
    </row>
    <row r="1650" spans="1:10">
      <c r="A1650" t="s">
        <v>72</v>
      </c>
      <c r="B1650" t="s">
        <v>332</v>
      </c>
      <c r="C1650" s="18">
        <v>2026</v>
      </c>
      <c r="D1650" t="s">
        <v>173</v>
      </c>
      <c r="E1650" s="20">
        <v>336875.42349560501</v>
      </c>
      <c r="F1650" s="20">
        <v>308606.943045308</v>
      </c>
      <c r="G1650" s="10">
        <v>308606.943045308</v>
      </c>
      <c r="H1650" s="21">
        <f t="shared" si="50"/>
        <v>0</v>
      </c>
      <c r="I1650" s="10">
        <v>336875.42349560501</v>
      </c>
      <c r="J1650" s="21">
        <f t="shared" si="51"/>
        <v>0</v>
      </c>
    </row>
    <row r="1651" spans="1:10">
      <c r="A1651" t="s">
        <v>72</v>
      </c>
      <c r="B1651" t="s">
        <v>332</v>
      </c>
      <c r="C1651" s="18">
        <v>2026</v>
      </c>
      <c r="D1651" t="s">
        <v>177</v>
      </c>
      <c r="E1651" s="20">
        <v>580111.54195764905</v>
      </c>
      <c r="F1651" s="20">
        <v>332896.18576831103</v>
      </c>
      <c r="G1651" s="10">
        <v>332896.18576831103</v>
      </c>
      <c r="H1651" s="21">
        <f t="shared" si="50"/>
        <v>0</v>
      </c>
      <c r="I1651" s="10">
        <v>580111.54195764905</v>
      </c>
      <c r="J1651" s="21">
        <f t="shared" si="51"/>
        <v>0</v>
      </c>
    </row>
    <row r="1652" spans="1:10">
      <c r="A1652" t="s">
        <v>72</v>
      </c>
      <c r="B1652" t="s">
        <v>332</v>
      </c>
      <c r="C1652" s="18">
        <v>2026</v>
      </c>
      <c r="D1652" t="s">
        <v>181</v>
      </c>
      <c r="E1652" s="20">
        <v>409829.87281699001</v>
      </c>
      <c r="F1652" s="20">
        <v>202008.19978323701</v>
      </c>
      <c r="G1652" s="10">
        <v>202008.19978323701</v>
      </c>
      <c r="H1652" s="21">
        <f t="shared" si="50"/>
        <v>0</v>
      </c>
      <c r="I1652" s="10">
        <v>409829.87281699001</v>
      </c>
      <c r="J1652" s="21">
        <f t="shared" si="51"/>
        <v>0</v>
      </c>
    </row>
    <row r="1653" spans="1:10">
      <c r="A1653" t="s">
        <v>72</v>
      </c>
      <c r="B1653" t="s">
        <v>332</v>
      </c>
      <c r="C1653" s="18">
        <v>2026</v>
      </c>
      <c r="D1653" t="s">
        <v>209</v>
      </c>
      <c r="E1653" s="20">
        <v>44219.170751765298</v>
      </c>
      <c r="F1653" s="20">
        <v>7023.7712687228704</v>
      </c>
      <c r="G1653" s="10">
        <v>7023.7712687228704</v>
      </c>
      <c r="H1653" s="21">
        <f t="shared" si="50"/>
        <v>0</v>
      </c>
      <c r="I1653" s="10">
        <v>44219.170751765298</v>
      </c>
      <c r="J1653" s="21">
        <f t="shared" si="51"/>
        <v>0</v>
      </c>
    </row>
    <row r="1654" spans="1:10">
      <c r="A1654" t="s">
        <v>72</v>
      </c>
      <c r="B1654" t="s">
        <v>332</v>
      </c>
      <c r="C1654" s="18">
        <v>2027</v>
      </c>
      <c r="D1654" t="s">
        <v>187</v>
      </c>
      <c r="E1654" s="20">
        <v>13273.481772584</v>
      </c>
      <c r="F1654" s="20">
        <v>9640.7153077701696</v>
      </c>
      <c r="G1654" s="10">
        <v>9640.7153077701696</v>
      </c>
      <c r="H1654" s="21">
        <f t="shared" si="50"/>
        <v>0</v>
      </c>
      <c r="I1654" s="10">
        <v>13273.481772584</v>
      </c>
      <c r="J1654" s="21">
        <f t="shared" si="51"/>
        <v>0</v>
      </c>
    </row>
    <row r="1655" spans="1:10">
      <c r="A1655" t="s">
        <v>72</v>
      </c>
      <c r="B1655" t="s">
        <v>332</v>
      </c>
      <c r="C1655" s="18">
        <v>2027</v>
      </c>
      <c r="D1655" t="s">
        <v>227</v>
      </c>
      <c r="E1655" s="20">
        <v>1055255.40879996</v>
      </c>
      <c r="F1655" s="20">
        <v>145087.13077641799</v>
      </c>
      <c r="G1655" s="10">
        <v>145087.13077641799</v>
      </c>
      <c r="H1655" s="21">
        <f t="shared" si="50"/>
        <v>0</v>
      </c>
      <c r="I1655" s="10">
        <v>1055255.40879996</v>
      </c>
      <c r="J1655" s="21">
        <f t="shared" si="51"/>
        <v>0</v>
      </c>
    </row>
    <row r="1656" spans="1:10">
      <c r="A1656" t="s">
        <v>72</v>
      </c>
      <c r="B1656" t="s">
        <v>332</v>
      </c>
      <c r="C1656" s="18">
        <v>2027</v>
      </c>
      <c r="D1656" t="s">
        <v>163</v>
      </c>
      <c r="E1656" s="20">
        <v>98448.827883966893</v>
      </c>
      <c r="F1656" s="20">
        <v>67068.016908610196</v>
      </c>
      <c r="G1656" s="10">
        <v>67068.016908610196</v>
      </c>
      <c r="H1656" s="21">
        <f t="shared" si="50"/>
        <v>0</v>
      </c>
      <c r="I1656" s="10">
        <v>98448.827883966893</v>
      </c>
      <c r="J1656" s="21">
        <f t="shared" si="51"/>
        <v>0</v>
      </c>
    </row>
    <row r="1657" spans="1:10">
      <c r="A1657" t="s">
        <v>72</v>
      </c>
      <c r="B1657" t="s">
        <v>332</v>
      </c>
      <c r="C1657" s="18">
        <v>2027</v>
      </c>
      <c r="D1657" t="s">
        <v>173</v>
      </c>
      <c r="E1657" s="20">
        <v>345936.70671640302</v>
      </c>
      <c r="F1657" s="20">
        <v>317119.55355255498</v>
      </c>
      <c r="G1657" s="10">
        <v>317119.55355255498</v>
      </c>
      <c r="H1657" s="21">
        <f t="shared" si="50"/>
        <v>0</v>
      </c>
      <c r="I1657" s="10">
        <v>345936.70671640302</v>
      </c>
      <c r="J1657" s="21">
        <f t="shared" si="51"/>
        <v>0</v>
      </c>
    </row>
    <row r="1658" spans="1:10">
      <c r="A1658" t="s">
        <v>72</v>
      </c>
      <c r="B1658" t="s">
        <v>332</v>
      </c>
      <c r="C1658" s="18">
        <v>2027</v>
      </c>
      <c r="D1658" t="s">
        <v>177</v>
      </c>
      <c r="E1658" s="20">
        <v>596148.83233467594</v>
      </c>
      <c r="F1658" s="20">
        <v>344517.274659827</v>
      </c>
      <c r="G1658" s="10">
        <v>344517.274659827</v>
      </c>
      <c r="H1658" s="21">
        <f t="shared" si="50"/>
        <v>0</v>
      </c>
      <c r="I1658" s="10">
        <v>596148.83233467594</v>
      </c>
      <c r="J1658" s="21">
        <f t="shared" si="51"/>
        <v>0</v>
      </c>
    </row>
    <row r="1659" spans="1:10">
      <c r="A1659" t="s">
        <v>72</v>
      </c>
      <c r="B1659" t="s">
        <v>332</v>
      </c>
      <c r="C1659" s="18">
        <v>2027</v>
      </c>
      <c r="D1659" t="s">
        <v>181</v>
      </c>
      <c r="E1659" s="20">
        <v>423485.10132199898</v>
      </c>
      <c r="F1659" s="20">
        <v>211995.48802417101</v>
      </c>
      <c r="G1659" s="10">
        <v>211995.48802417101</v>
      </c>
      <c r="H1659" s="21">
        <f t="shared" si="50"/>
        <v>0</v>
      </c>
      <c r="I1659" s="10">
        <v>423485.10132199898</v>
      </c>
      <c r="J1659" s="21">
        <f t="shared" si="51"/>
        <v>0</v>
      </c>
    </row>
    <row r="1660" spans="1:10">
      <c r="A1660" t="s">
        <v>72</v>
      </c>
      <c r="B1660" t="s">
        <v>332</v>
      </c>
      <c r="C1660" s="18">
        <v>2027</v>
      </c>
      <c r="D1660" t="s">
        <v>209</v>
      </c>
      <c r="E1660" s="20">
        <v>44384.2018393689</v>
      </c>
      <c r="F1660" s="20">
        <v>7080.0570056816796</v>
      </c>
      <c r="G1660" s="10">
        <v>7080.0570056816796</v>
      </c>
      <c r="H1660" s="21">
        <f t="shared" si="50"/>
        <v>0</v>
      </c>
      <c r="I1660" s="10">
        <v>44384.2018393689</v>
      </c>
      <c r="J1660" s="21">
        <f t="shared" si="51"/>
        <v>0</v>
      </c>
    </row>
    <row r="1661" spans="1:10">
      <c r="A1661" t="s">
        <v>72</v>
      </c>
      <c r="B1661" t="s">
        <v>332</v>
      </c>
      <c r="C1661" s="18">
        <v>2028</v>
      </c>
      <c r="D1661" t="s">
        <v>187</v>
      </c>
      <c r="E1661" s="20">
        <v>13729.5005000864</v>
      </c>
      <c r="F1661" s="20">
        <v>9971.4547216338906</v>
      </c>
      <c r="G1661" s="10">
        <v>9971.4547216338906</v>
      </c>
      <c r="H1661" s="21">
        <f t="shared" si="50"/>
        <v>0</v>
      </c>
      <c r="I1661" s="10">
        <v>13729.5005000864</v>
      </c>
      <c r="J1661" s="21">
        <f t="shared" si="51"/>
        <v>0</v>
      </c>
    </row>
    <row r="1662" spans="1:10">
      <c r="A1662" t="s">
        <v>72</v>
      </c>
      <c r="B1662" t="s">
        <v>332</v>
      </c>
      <c r="C1662" s="18">
        <v>2028</v>
      </c>
      <c r="D1662" t="s">
        <v>227</v>
      </c>
      <c r="E1662" s="20">
        <v>1069005.07088018</v>
      </c>
      <c r="F1662" s="20">
        <v>153077.86738724401</v>
      </c>
      <c r="G1662" s="10">
        <v>153077.86738724401</v>
      </c>
      <c r="H1662" s="21">
        <f t="shared" si="50"/>
        <v>0</v>
      </c>
      <c r="I1662" s="10">
        <v>1069005.07088018</v>
      </c>
      <c r="J1662" s="21">
        <f t="shared" si="51"/>
        <v>0</v>
      </c>
    </row>
    <row r="1663" spans="1:10">
      <c r="A1663" t="s">
        <v>72</v>
      </c>
      <c r="B1663" t="s">
        <v>332</v>
      </c>
      <c r="C1663" s="18">
        <v>2028</v>
      </c>
      <c r="D1663" t="s">
        <v>163</v>
      </c>
      <c r="E1663" s="20">
        <v>101797.96761407</v>
      </c>
      <c r="F1663" s="20">
        <v>69019.933123164999</v>
      </c>
      <c r="G1663" s="10">
        <v>69019.933123164999</v>
      </c>
      <c r="H1663" s="21">
        <f t="shared" si="50"/>
        <v>0</v>
      </c>
      <c r="I1663" s="10">
        <v>101797.96761407</v>
      </c>
      <c r="J1663" s="21">
        <f t="shared" si="51"/>
        <v>0</v>
      </c>
    </row>
    <row r="1664" spans="1:10">
      <c r="A1664" t="s">
        <v>72</v>
      </c>
      <c r="B1664" t="s">
        <v>332</v>
      </c>
      <c r="C1664" s="18">
        <v>2028</v>
      </c>
      <c r="D1664" t="s">
        <v>173</v>
      </c>
      <c r="E1664" s="20">
        <v>354965.53581913299</v>
      </c>
      <c r="F1664" s="20">
        <v>325690.68301689299</v>
      </c>
      <c r="G1664" s="10">
        <v>325690.68301689299</v>
      </c>
      <c r="H1664" s="21">
        <f t="shared" si="50"/>
        <v>0</v>
      </c>
      <c r="I1664" s="10">
        <v>354965.53581913299</v>
      </c>
      <c r="J1664" s="21">
        <f t="shared" si="51"/>
        <v>0</v>
      </c>
    </row>
    <row r="1665" spans="1:10">
      <c r="A1665" t="s">
        <v>72</v>
      </c>
      <c r="B1665" t="s">
        <v>332</v>
      </c>
      <c r="C1665" s="18">
        <v>2028</v>
      </c>
      <c r="D1665" t="s">
        <v>177</v>
      </c>
      <c r="E1665" s="20">
        <v>612031.65944475099</v>
      </c>
      <c r="F1665" s="20">
        <v>356073.57143805898</v>
      </c>
      <c r="G1665" s="10">
        <v>356073.57143805898</v>
      </c>
      <c r="H1665" s="21">
        <f t="shared" si="50"/>
        <v>0</v>
      </c>
      <c r="I1665" s="10">
        <v>612031.65944475099</v>
      </c>
      <c r="J1665" s="21">
        <f t="shared" si="51"/>
        <v>0</v>
      </c>
    </row>
    <row r="1666" spans="1:10">
      <c r="A1666" t="s">
        <v>72</v>
      </c>
      <c r="B1666" t="s">
        <v>332</v>
      </c>
      <c r="C1666" s="18">
        <v>2028</v>
      </c>
      <c r="D1666" t="s">
        <v>181</v>
      </c>
      <c r="E1666" s="20">
        <v>437159.75519195799</v>
      </c>
      <c r="F1666" s="20">
        <v>221908.95856330299</v>
      </c>
      <c r="G1666" s="10">
        <v>221908.95856330299</v>
      </c>
      <c r="H1666" s="21">
        <f t="shared" ref="H1666:H1729" si="52">G1666-F1666</f>
        <v>0</v>
      </c>
      <c r="I1666" s="10">
        <v>437159.75519195799</v>
      </c>
      <c r="J1666" s="21">
        <f t="shared" ref="J1666:J1729" si="53">I1666-E1666</f>
        <v>0</v>
      </c>
    </row>
    <row r="1667" spans="1:10">
      <c r="A1667" t="s">
        <v>72</v>
      </c>
      <c r="B1667" t="s">
        <v>332</v>
      </c>
      <c r="C1667" s="18">
        <v>2028</v>
      </c>
      <c r="D1667" t="s">
        <v>209</v>
      </c>
      <c r="E1667" s="20">
        <v>44510.064962992903</v>
      </c>
      <c r="F1667" s="20">
        <v>7131.0701635649802</v>
      </c>
      <c r="G1667" s="10">
        <v>7131.0701635649802</v>
      </c>
      <c r="H1667" s="21">
        <f t="shared" si="52"/>
        <v>0</v>
      </c>
      <c r="I1667" s="10">
        <v>44510.064962992903</v>
      </c>
      <c r="J1667" s="21">
        <f t="shared" si="53"/>
        <v>0</v>
      </c>
    </row>
    <row r="1668" spans="1:10">
      <c r="A1668" t="s">
        <v>72</v>
      </c>
      <c r="B1668" t="s">
        <v>332</v>
      </c>
      <c r="C1668" s="18">
        <v>2029</v>
      </c>
      <c r="D1668" t="s">
        <v>187</v>
      </c>
      <c r="E1668" s="20">
        <v>14181.423637546701</v>
      </c>
      <c r="F1668" s="20">
        <v>10301.2295792609</v>
      </c>
      <c r="G1668" s="10">
        <v>10301.2295792609</v>
      </c>
      <c r="H1668" s="21">
        <f t="shared" si="52"/>
        <v>0</v>
      </c>
      <c r="I1668" s="10">
        <v>14181.423637546701</v>
      </c>
      <c r="J1668" s="21">
        <f t="shared" si="53"/>
        <v>0</v>
      </c>
    </row>
    <row r="1669" spans="1:10">
      <c r="A1669" t="s">
        <v>72</v>
      </c>
      <c r="B1669" t="s">
        <v>332</v>
      </c>
      <c r="C1669" s="18">
        <v>2029</v>
      </c>
      <c r="D1669" t="s">
        <v>227</v>
      </c>
      <c r="E1669" s="20">
        <v>1082252.3942307399</v>
      </c>
      <c r="F1669" s="20">
        <v>161161.06213209301</v>
      </c>
      <c r="G1669" s="10">
        <v>161161.06213209301</v>
      </c>
      <c r="H1669" s="21">
        <f t="shared" si="52"/>
        <v>0</v>
      </c>
      <c r="I1669" s="10">
        <v>1082252.3942307399</v>
      </c>
      <c r="J1669" s="21">
        <f t="shared" si="53"/>
        <v>0</v>
      </c>
    </row>
    <row r="1670" spans="1:10">
      <c r="A1670" t="s">
        <v>72</v>
      </c>
      <c r="B1670" t="s">
        <v>332</v>
      </c>
      <c r="C1670" s="18">
        <v>2029</v>
      </c>
      <c r="D1670" t="s">
        <v>163</v>
      </c>
      <c r="E1670" s="20">
        <v>105114.693344183</v>
      </c>
      <c r="F1670" s="20">
        <v>71042.054429439493</v>
      </c>
      <c r="G1670" s="10">
        <v>71042.054429439493</v>
      </c>
      <c r="H1670" s="21">
        <f t="shared" si="52"/>
        <v>0</v>
      </c>
      <c r="I1670" s="10">
        <v>105114.693344183</v>
      </c>
      <c r="J1670" s="21">
        <f t="shared" si="53"/>
        <v>0</v>
      </c>
    </row>
    <row r="1671" spans="1:10">
      <c r="A1671" t="s">
        <v>72</v>
      </c>
      <c r="B1671" t="s">
        <v>332</v>
      </c>
      <c r="C1671" s="18">
        <v>2029</v>
      </c>
      <c r="D1671" t="s">
        <v>173</v>
      </c>
      <c r="E1671" s="20">
        <v>363896.20424716797</v>
      </c>
      <c r="F1671" s="20">
        <v>334292.677138926</v>
      </c>
      <c r="G1671" s="10">
        <v>334292.677138926</v>
      </c>
      <c r="H1671" s="21">
        <f t="shared" si="52"/>
        <v>0</v>
      </c>
      <c r="I1671" s="10">
        <v>363896.20424716797</v>
      </c>
      <c r="J1671" s="21">
        <f t="shared" si="53"/>
        <v>0</v>
      </c>
    </row>
    <row r="1672" spans="1:10">
      <c r="A1672" t="s">
        <v>72</v>
      </c>
      <c r="B1672" t="s">
        <v>332</v>
      </c>
      <c r="C1672" s="18">
        <v>2029</v>
      </c>
      <c r="D1672" t="s">
        <v>177</v>
      </c>
      <c r="E1672" s="20">
        <v>627726.33689879405</v>
      </c>
      <c r="F1672" s="20">
        <v>367575.22274735</v>
      </c>
      <c r="G1672" s="10">
        <v>367575.22274735</v>
      </c>
      <c r="H1672" s="21">
        <f t="shared" si="52"/>
        <v>0</v>
      </c>
      <c r="I1672" s="10">
        <v>627726.33689879405</v>
      </c>
      <c r="J1672" s="21">
        <f t="shared" si="53"/>
        <v>0</v>
      </c>
    </row>
    <row r="1673" spans="1:10">
      <c r="A1673" t="s">
        <v>72</v>
      </c>
      <c r="B1673" t="s">
        <v>332</v>
      </c>
      <c r="C1673" s="18">
        <v>2029</v>
      </c>
      <c r="D1673" t="s">
        <v>181</v>
      </c>
      <c r="E1673" s="20">
        <v>450786.13401356898</v>
      </c>
      <c r="F1673" s="20">
        <v>231708.01887569</v>
      </c>
      <c r="G1673" s="10">
        <v>231708.01887569</v>
      </c>
      <c r="H1673" s="21">
        <f t="shared" si="52"/>
        <v>0</v>
      </c>
      <c r="I1673" s="10">
        <v>450786.13401356898</v>
      </c>
      <c r="J1673" s="21">
        <f t="shared" si="53"/>
        <v>0</v>
      </c>
    </row>
    <row r="1674" spans="1:10">
      <c r="A1674" t="s">
        <v>72</v>
      </c>
      <c r="B1674" t="s">
        <v>332</v>
      </c>
      <c r="C1674" s="18">
        <v>2029</v>
      </c>
      <c r="D1674" t="s">
        <v>209</v>
      </c>
      <c r="E1674" s="20">
        <v>44600.261443595497</v>
      </c>
      <c r="F1674" s="20">
        <v>7178.2193159725202</v>
      </c>
      <c r="G1674" s="10">
        <v>7178.2193159725202</v>
      </c>
      <c r="H1674" s="21">
        <f t="shared" si="52"/>
        <v>0</v>
      </c>
      <c r="I1674" s="10">
        <v>44600.261443595497</v>
      </c>
      <c r="J1674" s="21">
        <f t="shared" si="53"/>
        <v>0</v>
      </c>
    </row>
    <row r="1675" spans="1:10">
      <c r="A1675" t="s">
        <v>72</v>
      </c>
      <c r="B1675" t="s">
        <v>332</v>
      </c>
      <c r="C1675" s="18">
        <v>2030</v>
      </c>
      <c r="D1675" t="s">
        <v>187</v>
      </c>
      <c r="E1675" s="20">
        <v>14630.9263575645</v>
      </c>
      <c r="F1675" s="20">
        <v>10630.2702680602</v>
      </c>
      <c r="G1675" s="10">
        <v>10630.2702680602</v>
      </c>
      <c r="H1675" s="21">
        <f t="shared" si="52"/>
        <v>0</v>
      </c>
      <c r="I1675" s="10">
        <v>14630.9263575645</v>
      </c>
      <c r="J1675" s="21">
        <f t="shared" si="53"/>
        <v>0</v>
      </c>
    </row>
    <row r="1676" spans="1:10">
      <c r="A1676" t="s">
        <v>72</v>
      </c>
      <c r="B1676" t="s">
        <v>332</v>
      </c>
      <c r="C1676" s="18">
        <v>2030</v>
      </c>
      <c r="D1676" t="s">
        <v>227</v>
      </c>
      <c r="E1676" s="20">
        <v>1094956.8444496701</v>
      </c>
      <c r="F1676" s="20">
        <v>169314.83403803801</v>
      </c>
      <c r="G1676" s="10">
        <v>169314.83403803801</v>
      </c>
      <c r="H1676" s="21">
        <f t="shared" si="52"/>
        <v>0</v>
      </c>
      <c r="I1676" s="10">
        <v>1094956.8444496701</v>
      </c>
      <c r="J1676" s="21">
        <f t="shared" si="53"/>
        <v>0</v>
      </c>
    </row>
    <row r="1677" spans="1:10">
      <c r="A1677" t="s">
        <v>72</v>
      </c>
      <c r="B1677" t="s">
        <v>332</v>
      </c>
      <c r="C1677" s="18">
        <v>2030</v>
      </c>
      <c r="D1677" t="s">
        <v>163</v>
      </c>
      <c r="E1677" s="20">
        <v>108393.77376611999</v>
      </c>
      <c r="F1677" s="20">
        <v>73120.8011068864</v>
      </c>
      <c r="G1677" s="10">
        <v>73120.8011068864</v>
      </c>
      <c r="H1677" s="21">
        <f t="shared" si="52"/>
        <v>0</v>
      </c>
      <c r="I1677" s="10">
        <v>108393.77376611999</v>
      </c>
      <c r="J1677" s="21">
        <f t="shared" si="53"/>
        <v>0</v>
      </c>
    </row>
    <row r="1678" spans="1:10">
      <c r="A1678" t="s">
        <v>72</v>
      </c>
      <c r="B1678" t="s">
        <v>332</v>
      </c>
      <c r="C1678" s="18">
        <v>2030</v>
      </c>
      <c r="D1678" t="s">
        <v>173</v>
      </c>
      <c r="E1678" s="20">
        <v>372741.79546126397</v>
      </c>
      <c r="F1678" s="20">
        <v>342889.63536639401</v>
      </c>
      <c r="G1678" s="10">
        <v>342889.63536639401</v>
      </c>
      <c r="H1678" s="21">
        <f t="shared" si="52"/>
        <v>0</v>
      </c>
      <c r="I1678" s="10">
        <v>372741.79546126397</v>
      </c>
      <c r="J1678" s="21">
        <f t="shared" si="53"/>
        <v>0</v>
      </c>
    </row>
    <row r="1679" spans="1:10">
      <c r="A1679" t="s">
        <v>72</v>
      </c>
      <c r="B1679" t="s">
        <v>332</v>
      </c>
      <c r="C1679" s="18">
        <v>2030</v>
      </c>
      <c r="D1679" t="s">
        <v>177</v>
      </c>
      <c r="E1679" s="20">
        <v>643154.21130562795</v>
      </c>
      <c r="F1679" s="20">
        <v>378940.23126744502</v>
      </c>
      <c r="G1679" s="10">
        <v>378940.23126744502</v>
      </c>
      <c r="H1679" s="21">
        <f t="shared" si="52"/>
        <v>0</v>
      </c>
      <c r="I1679" s="10">
        <v>643154.21130562795</v>
      </c>
      <c r="J1679" s="21">
        <f t="shared" si="53"/>
        <v>0</v>
      </c>
    </row>
    <row r="1680" spans="1:10">
      <c r="A1680" t="s">
        <v>72</v>
      </c>
      <c r="B1680" t="s">
        <v>332</v>
      </c>
      <c r="C1680" s="18">
        <v>2030</v>
      </c>
      <c r="D1680" t="s">
        <v>181</v>
      </c>
      <c r="E1680" s="20">
        <v>464360.51810377202</v>
      </c>
      <c r="F1680" s="20">
        <v>241310.309903655</v>
      </c>
      <c r="G1680" s="10">
        <v>241310.309903655</v>
      </c>
      <c r="H1680" s="21">
        <f t="shared" si="52"/>
        <v>0</v>
      </c>
      <c r="I1680" s="10">
        <v>464360.51810377202</v>
      </c>
      <c r="J1680" s="21">
        <f t="shared" si="53"/>
        <v>0</v>
      </c>
    </row>
    <row r="1681" spans="1:10">
      <c r="A1681" t="s">
        <v>72</v>
      </c>
      <c r="B1681" t="s">
        <v>332</v>
      </c>
      <c r="C1681" s="18">
        <v>2030</v>
      </c>
      <c r="D1681" t="s">
        <v>209</v>
      </c>
      <c r="E1681" s="20">
        <v>44647.268915282999</v>
      </c>
      <c r="F1681" s="20">
        <v>7223.1103147423601</v>
      </c>
      <c r="G1681" s="10">
        <v>7223.1103147423601</v>
      </c>
      <c r="H1681" s="21">
        <f t="shared" si="52"/>
        <v>0</v>
      </c>
      <c r="I1681" s="10">
        <v>44647.268915282999</v>
      </c>
      <c r="J1681" s="21">
        <f t="shared" si="53"/>
        <v>0</v>
      </c>
    </row>
    <row r="1682" spans="1:10">
      <c r="A1682" t="s">
        <v>72</v>
      </c>
      <c r="B1682" t="s">
        <v>332</v>
      </c>
      <c r="C1682" s="18">
        <v>2031</v>
      </c>
      <c r="D1682" t="s">
        <v>187</v>
      </c>
      <c r="E1682" s="20">
        <v>15080.3825495532</v>
      </c>
      <c r="F1682" s="20">
        <v>10955.4255331558</v>
      </c>
      <c r="G1682" s="10">
        <v>10955.4255331558</v>
      </c>
      <c r="H1682" s="21">
        <f t="shared" si="52"/>
        <v>0</v>
      </c>
      <c r="I1682" s="10">
        <v>15080.3825495532</v>
      </c>
      <c r="J1682" s="21">
        <f t="shared" si="53"/>
        <v>0</v>
      </c>
    </row>
    <row r="1683" spans="1:10">
      <c r="A1683" t="s">
        <v>72</v>
      </c>
      <c r="B1683" t="s">
        <v>332</v>
      </c>
      <c r="C1683" s="18">
        <v>2031</v>
      </c>
      <c r="D1683" t="s">
        <v>227</v>
      </c>
      <c r="E1683" s="20">
        <v>1107027.6916289399</v>
      </c>
      <c r="F1683" s="20">
        <v>177510.90619666901</v>
      </c>
      <c r="G1683" s="10">
        <v>177510.90619666901</v>
      </c>
      <c r="H1683" s="21">
        <f t="shared" si="52"/>
        <v>0</v>
      </c>
      <c r="I1683" s="10">
        <v>1107027.6916289399</v>
      </c>
      <c r="J1683" s="21">
        <f t="shared" si="53"/>
        <v>0</v>
      </c>
    </row>
    <row r="1684" spans="1:10">
      <c r="A1684" t="s">
        <v>72</v>
      </c>
      <c r="B1684" t="s">
        <v>332</v>
      </c>
      <c r="C1684" s="18">
        <v>2031</v>
      </c>
      <c r="D1684" t="s">
        <v>163</v>
      </c>
      <c r="E1684" s="20">
        <v>111632.94755435199</v>
      </c>
      <c r="F1684" s="20">
        <v>75230.219664338001</v>
      </c>
      <c r="G1684" s="10">
        <v>75230.219664338001</v>
      </c>
      <c r="H1684" s="21">
        <f t="shared" si="52"/>
        <v>0</v>
      </c>
      <c r="I1684" s="10">
        <v>111632.94755435199</v>
      </c>
      <c r="J1684" s="21">
        <f t="shared" si="53"/>
        <v>0</v>
      </c>
    </row>
    <row r="1685" spans="1:10">
      <c r="A1685" t="s">
        <v>72</v>
      </c>
      <c r="B1685" t="s">
        <v>332</v>
      </c>
      <c r="C1685" s="18">
        <v>2031</v>
      </c>
      <c r="D1685" t="s">
        <v>173</v>
      </c>
      <c r="E1685" s="20">
        <v>381470.26678102103</v>
      </c>
      <c r="F1685" s="20">
        <v>351432.51867295097</v>
      </c>
      <c r="G1685" s="10">
        <v>351432.51867295097</v>
      </c>
      <c r="H1685" s="21">
        <f t="shared" si="52"/>
        <v>0</v>
      </c>
      <c r="I1685" s="10">
        <v>381470.26678102103</v>
      </c>
      <c r="J1685" s="21">
        <f t="shared" si="53"/>
        <v>0</v>
      </c>
    </row>
    <row r="1686" spans="1:10">
      <c r="A1686" t="s">
        <v>72</v>
      </c>
      <c r="B1686" t="s">
        <v>332</v>
      </c>
      <c r="C1686" s="18">
        <v>2031</v>
      </c>
      <c r="D1686" t="s">
        <v>177</v>
      </c>
      <c r="E1686" s="20">
        <v>658282.14926881401</v>
      </c>
      <c r="F1686" s="20">
        <v>390181.00302030199</v>
      </c>
      <c r="G1686" s="10">
        <v>390181.00302030199</v>
      </c>
      <c r="H1686" s="21">
        <f t="shared" si="52"/>
        <v>0</v>
      </c>
      <c r="I1686" s="10">
        <v>658282.14926881401</v>
      </c>
      <c r="J1686" s="21">
        <f t="shared" si="53"/>
        <v>0</v>
      </c>
    </row>
    <row r="1687" spans="1:10">
      <c r="A1687" t="s">
        <v>72</v>
      </c>
      <c r="B1687" t="s">
        <v>332</v>
      </c>
      <c r="C1687" s="18">
        <v>2031</v>
      </c>
      <c r="D1687" t="s">
        <v>181</v>
      </c>
      <c r="E1687" s="20">
        <v>477778.14604748198</v>
      </c>
      <c r="F1687" s="20">
        <v>250815.78266259201</v>
      </c>
      <c r="G1687" s="10">
        <v>250815.78266259201</v>
      </c>
      <c r="H1687" s="21">
        <f t="shared" si="52"/>
        <v>0</v>
      </c>
      <c r="I1687" s="10">
        <v>477778.14604748198</v>
      </c>
      <c r="J1687" s="21">
        <f t="shared" si="53"/>
        <v>0</v>
      </c>
    </row>
    <row r="1688" spans="1:10">
      <c r="A1688" t="s">
        <v>72</v>
      </c>
      <c r="B1688" t="s">
        <v>332</v>
      </c>
      <c r="C1688" s="18">
        <v>2031</v>
      </c>
      <c r="D1688" t="s">
        <v>209</v>
      </c>
      <c r="E1688" s="20">
        <v>44640.347295477797</v>
      </c>
      <c r="F1688" s="20">
        <v>7266.7660002075399</v>
      </c>
      <c r="G1688" s="10">
        <v>7266.7660002075399</v>
      </c>
      <c r="H1688" s="21">
        <f t="shared" si="52"/>
        <v>0</v>
      </c>
      <c r="I1688" s="10">
        <v>44640.347295477797</v>
      </c>
      <c r="J1688" s="21">
        <f t="shared" si="53"/>
        <v>0</v>
      </c>
    </row>
    <row r="1689" spans="1:10">
      <c r="A1689" t="s">
        <v>72</v>
      </c>
      <c r="B1689" t="s">
        <v>332</v>
      </c>
      <c r="C1689" s="18">
        <v>2032</v>
      </c>
      <c r="D1689" t="s">
        <v>187</v>
      </c>
      <c r="E1689" s="20">
        <v>15531.2601955666</v>
      </c>
      <c r="F1689" s="20">
        <v>11274.495449735199</v>
      </c>
      <c r="G1689" s="10">
        <v>11274.495449735199</v>
      </c>
      <c r="H1689" s="21">
        <f t="shared" si="52"/>
        <v>0</v>
      </c>
      <c r="I1689" s="10">
        <v>15531.2601955666</v>
      </c>
      <c r="J1689" s="21">
        <f t="shared" si="53"/>
        <v>0</v>
      </c>
    </row>
    <row r="1690" spans="1:10">
      <c r="A1690" t="s">
        <v>72</v>
      </c>
      <c r="B1690" t="s">
        <v>332</v>
      </c>
      <c r="C1690" s="18">
        <v>2032</v>
      </c>
      <c r="D1690" t="s">
        <v>227</v>
      </c>
      <c r="E1690" s="20">
        <v>1118477.3274982399</v>
      </c>
      <c r="F1690" s="20">
        <v>185725.99905880101</v>
      </c>
      <c r="G1690" s="10">
        <v>185725.99905880101</v>
      </c>
      <c r="H1690" s="21">
        <f t="shared" si="52"/>
        <v>0</v>
      </c>
      <c r="I1690" s="10">
        <v>1118477.3274982399</v>
      </c>
      <c r="J1690" s="21">
        <f t="shared" si="53"/>
        <v>0</v>
      </c>
    </row>
    <row r="1691" spans="1:10">
      <c r="A1691" t="s">
        <v>72</v>
      </c>
      <c r="B1691" t="s">
        <v>332</v>
      </c>
      <c r="C1691" s="18">
        <v>2032</v>
      </c>
      <c r="D1691" t="s">
        <v>163</v>
      </c>
      <c r="E1691" s="20">
        <v>114835.221802653</v>
      </c>
      <c r="F1691" s="20">
        <v>77353.061023932896</v>
      </c>
      <c r="G1691" s="10">
        <v>77353.061023932896</v>
      </c>
      <c r="H1691" s="21">
        <f t="shared" si="52"/>
        <v>0</v>
      </c>
      <c r="I1691" s="10">
        <v>114835.221802653</v>
      </c>
      <c r="J1691" s="21">
        <f t="shared" si="53"/>
        <v>0</v>
      </c>
    </row>
    <row r="1692" spans="1:10">
      <c r="A1692" t="s">
        <v>72</v>
      </c>
      <c r="B1692" t="s">
        <v>332</v>
      </c>
      <c r="C1692" s="18">
        <v>2032</v>
      </c>
      <c r="D1692" t="s">
        <v>173</v>
      </c>
      <c r="E1692" s="20">
        <v>389998.37668875401</v>
      </c>
      <c r="F1692" s="20">
        <v>359834.54685286601</v>
      </c>
      <c r="G1692" s="10">
        <v>359834.54685286601</v>
      </c>
      <c r="H1692" s="21">
        <f t="shared" si="52"/>
        <v>0</v>
      </c>
      <c r="I1692" s="10">
        <v>389998.37668875401</v>
      </c>
      <c r="J1692" s="21">
        <f t="shared" si="53"/>
        <v>0</v>
      </c>
    </row>
    <row r="1693" spans="1:10">
      <c r="A1693" t="s">
        <v>72</v>
      </c>
      <c r="B1693" t="s">
        <v>332</v>
      </c>
      <c r="C1693" s="18">
        <v>2032</v>
      </c>
      <c r="D1693" t="s">
        <v>177</v>
      </c>
      <c r="E1693" s="20">
        <v>673133.88827326603</v>
      </c>
      <c r="F1693" s="20">
        <v>401318.28619347198</v>
      </c>
      <c r="G1693" s="10">
        <v>401318.28619347198</v>
      </c>
      <c r="H1693" s="21">
        <f t="shared" si="52"/>
        <v>0</v>
      </c>
      <c r="I1693" s="10">
        <v>673133.88827326603</v>
      </c>
      <c r="J1693" s="21">
        <f t="shared" si="53"/>
        <v>0</v>
      </c>
    </row>
    <row r="1694" spans="1:10">
      <c r="A1694" t="s">
        <v>72</v>
      </c>
      <c r="B1694" t="s">
        <v>332</v>
      </c>
      <c r="C1694" s="18">
        <v>2032</v>
      </c>
      <c r="D1694" t="s">
        <v>181</v>
      </c>
      <c r="E1694" s="20">
        <v>490904.70344577997</v>
      </c>
      <c r="F1694" s="20">
        <v>260346.937343717</v>
      </c>
      <c r="G1694" s="10">
        <v>260346.937343717</v>
      </c>
      <c r="H1694" s="21">
        <f t="shared" si="52"/>
        <v>0</v>
      </c>
      <c r="I1694" s="10">
        <v>490904.70344577997</v>
      </c>
      <c r="J1694" s="21">
        <f t="shared" si="53"/>
        <v>0</v>
      </c>
    </row>
    <row r="1695" spans="1:10">
      <c r="A1695" t="s">
        <v>72</v>
      </c>
      <c r="B1695" t="s">
        <v>332</v>
      </c>
      <c r="C1695" s="18">
        <v>2032</v>
      </c>
      <c r="D1695" t="s">
        <v>209</v>
      </c>
      <c r="E1695" s="20">
        <v>44583.245501595899</v>
      </c>
      <c r="F1695" s="20">
        <v>7308.6895683399798</v>
      </c>
      <c r="G1695" s="10">
        <v>7308.6895683399798</v>
      </c>
      <c r="H1695" s="21">
        <f t="shared" si="52"/>
        <v>0</v>
      </c>
      <c r="I1695" s="10">
        <v>44583.245501595899</v>
      </c>
      <c r="J1695" s="21">
        <f t="shared" si="53"/>
        <v>0</v>
      </c>
    </row>
    <row r="1696" spans="1:10">
      <c r="A1696" t="s">
        <v>72</v>
      </c>
      <c r="B1696" t="s">
        <v>332</v>
      </c>
      <c r="C1696" s="18">
        <v>2033</v>
      </c>
      <c r="D1696" t="s">
        <v>187</v>
      </c>
      <c r="E1696" s="20">
        <v>15983.7175379286</v>
      </c>
      <c r="F1696" s="20">
        <v>11586.9335708044</v>
      </c>
      <c r="G1696" s="10">
        <v>11586.9335708044</v>
      </c>
      <c r="H1696" s="21">
        <f t="shared" si="52"/>
        <v>0</v>
      </c>
      <c r="I1696" s="10">
        <v>15983.7175379286</v>
      </c>
      <c r="J1696" s="21">
        <f t="shared" si="53"/>
        <v>0</v>
      </c>
    </row>
    <row r="1697" spans="1:10">
      <c r="A1697" t="s">
        <v>72</v>
      </c>
      <c r="B1697" t="s">
        <v>332</v>
      </c>
      <c r="C1697" s="18">
        <v>2033</v>
      </c>
      <c r="D1697" t="s">
        <v>227</v>
      </c>
      <c r="E1697" s="20">
        <v>1129233.47845058</v>
      </c>
      <c r="F1697" s="20">
        <v>193953.224223645</v>
      </c>
      <c r="G1697" s="10">
        <v>193953.224223645</v>
      </c>
      <c r="H1697" s="21">
        <f t="shared" si="52"/>
        <v>0</v>
      </c>
      <c r="I1697" s="10">
        <v>1129233.47845058</v>
      </c>
      <c r="J1697" s="21">
        <f t="shared" si="53"/>
        <v>0</v>
      </c>
    </row>
    <row r="1698" spans="1:10">
      <c r="A1698" t="s">
        <v>72</v>
      </c>
      <c r="B1698" t="s">
        <v>332</v>
      </c>
      <c r="C1698" s="18">
        <v>2033</v>
      </c>
      <c r="D1698" t="s">
        <v>163</v>
      </c>
      <c r="E1698" s="20">
        <v>117998.73843744201</v>
      </c>
      <c r="F1698" s="20">
        <v>79480.4761690429</v>
      </c>
      <c r="G1698" s="10">
        <v>79480.4761690429</v>
      </c>
      <c r="H1698" s="21">
        <f t="shared" si="52"/>
        <v>0</v>
      </c>
      <c r="I1698" s="10">
        <v>117998.73843744201</v>
      </c>
      <c r="J1698" s="21">
        <f t="shared" si="53"/>
        <v>0</v>
      </c>
    </row>
    <row r="1699" spans="1:10">
      <c r="A1699" t="s">
        <v>72</v>
      </c>
      <c r="B1699" t="s">
        <v>332</v>
      </c>
      <c r="C1699" s="18">
        <v>2033</v>
      </c>
      <c r="D1699" t="s">
        <v>173</v>
      </c>
      <c r="E1699" s="20">
        <v>398354.344992358</v>
      </c>
      <c r="F1699" s="20">
        <v>368051.62457544298</v>
      </c>
      <c r="G1699" s="10">
        <v>368051.62457544298</v>
      </c>
      <c r="H1699" s="21">
        <f t="shared" si="52"/>
        <v>0</v>
      </c>
      <c r="I1699" s="10">
        <v>398354.344992358</v>
      </c>
      <c r="J1699" s="21">
        <f t="shared" si="53"/>
        <v>0</v>
      </c>
    </row>
    <row r="1700" spans="1:10">
      <c r="A1700" t="s">
        <v>72</v>
      </c>
      <c r="B1700" t="s">
        <v>332</v>
      </c>
      <c r="C1700" s="18">
        <v>2033</v>
      </c>
      <c r="D1700" t="s">
        <v>177</v>
      </c>
      <c r="E1700" s="20">
        <v>687634.69954692596</v>
      </c>
      <c r="F1700" s="20">
        <v>412348.075678578</v>
      </c>
      <c r="G1700" s="10">
        <v>412348.075678578</v>
      </c>
      <c r="H1700" s="21">
        <f t="shared" si="52"/>
        <v>0</v>
      </c>
      <c r="I1700" s="10">
        <v>687634.69954692596</v>
      </c>
      <c r="J1700" s="21">
        <f t="shared" si="53"/>
        <v>0</v>
      </c>
    </row>
    <row r="1701" spans="1:10">
      <c r="A1701" t="s">
        <v>72</v>
      </c>
      <c r="B1701" t="s">
        <v>332</v>
      </c>
      <c r="C1701" s="18">
        <v>2033</v>
      </c>
      <c r="D1701" t="s">
        <v>181</v>
      </c>
      <c r="E1701" s="20">
        <v>503751.109420694</v>
      </c>
      <c r="F1701" s="20">
        <v>269883.407599987</v>
      </c>
      <c r="G1701" s="10">
        <v>269883.407599987</v>
      </c>
      <c r="H1701" s="21">
        <f t="shared" si="52"/>
        <v>0</v>
      </c>
      <c r="I1701" s="10">
        <v>503751.109420694</v>
      </c>
      <c r="J1701" s="21">
        <f t="shared" si="53"/>
        <v>0</v>
      </c>
    </row>
    <row r="1702" spans="1:10">
      <c r="A1702" t="s">
        <v>72</v>
      </c>
      <c r="B1702" t="s">
        <v>332</v>
      </c>
      <c r="C1702" s="18">
        <v>2033</v>
      </c>
      <c r="D1702" t="s">
        <v>209</v>
      </c>
      <c r="E1702" s="20">
        <v>44483.683589841297</v>
      </c>
      <c r="F1702" s="20">
        <v>7348.0741473220596</v>
      </c>
      <c r="G1702" s="10">
        <v>7348.0741473220596</v>
      </c>
      <c r="H1702" s="21">
        <f t="shared" si="52"/>
        <v>0</v>
      </c>
      <c r="I1702" s="10">
        <v>44483.683589841297</v>
      </c>
      <c r="J1702" s="21">
        <f t="shared" si="53"/>
        <v>0</v>
      </c>
    </row>
    <row r="1703" spans="1:10">
      <c r="A1703" t="s">
        <v>72</v>
      </c>
      <c r="B1703" t="s">
        <v>332</v>
      </c>
      <c r="C1703" s="18">
        <v>2034</v>
      </c>
      <c r="D1703" t="s">
        <v>187</v>
      </c>
      <c r="E1703" s="20">
        <v>16436.9312806497</v>
      </c>
      <c r="F1703" s="20">
        <v>11896.382318738601</v>
      </c>
      <c r="G1703" s="10">
        <v>11896.382318738601</v>
      </c>
      <c r="H1703" s="21">
        <f t="shared" si="52"/>
        <v>0</v>
      </c>
      <c r="I1703" s="10">
        <v>16436.9312806497</v>
      </c>
      <c r="J1703" s="21">
        <f t="shared" si="53"/>
        <v>0</v>
      </c>
    </row>
    <row r="1704" spans="1:10">
      <c r="A1704" t="s">
        <v>72</v>
      </c>
      <c r="B1704" t="s">
        <v>332</v>
      </c>
      <c r="C1704" s="18">
        <v>2034</v>
      </c>
      <c r="D1704" t="s">
        <v>227</v>
      </c>
      <c r="E1704" s="20">
        <v>1139357.0195160699</v>
      </c>
      <c r="F1704" s="20">
        <v>202147.27044605001</v>
      </c>
      <c r="G1704" s="10">
        <v>202147.27044605001</v>
      </c>
      <c r="H1704" s="21">
        <f t="shared" si="52"/>
        <v>0</v>
      </c>
      <c r="I1704" s="10">
        <v>1139357.0195160699</v>
      </c>
      <c r="J1704" s="21">
        <f t="shared" si="53"/>
        <v>0</v>
      </c>
    </row>
    <row r="1705" spans="1:10">
      <c r="A1705" t="s">
        <v>72</v>
      </c>
      <c r="B1705" t="s">
        <v>332</v>
      </c>
      <c r="C1705" s="18">
        <v>2034</v>
      </c>
      <c r="D1705" t="s">
        <v>163</v>
      </c>
      <c r="E1705" s="20">
        <v>121105.471839437</v>
      </c>
      <c r="F1705" s="20">
        <v>81594.948233921197</v>
      </c>
      <c r="G1705" s="10">
        <v>81594.948233921197</v>
      </c>
      <c r="H1705" s="21">
        <f t="shared" si="52"/>
        <v>0</v>
      </c>
      <c r="I1705" s="10">
        <v>121105.471839437</v>
      </c>
      <c r="J1705" s="21">
        <f t="shared" si="53"/>
        <v>0</v>
      </c>
    </row>
    <row r="1706" spans="1:10">
      <c r="A1706" t="s">
        <v>72</v>
      </c>
      <c r="B1706" t="s">
        <v>332</v>
      </c>
      <c r="C1706" s="18">
        <v>2034</v>
      </c>
      <c r="D1706" t="s">
        <v>173</v>
      </c>
      <c r="E1706" s="20">
        <v>406559.86735378799</v>
      </c>
      <c r="F1706" s="20">
        <v>376028.13227833499</v>
      </c>
      <c r="G1706" s="10">
        <v>376028.13227833499</v>
      </c>
      <c r="H1706" s="21">
        <f t="shared" si="52"/>
        <v>0</v>
      </c>
      <c r="I1706" s="10">
        <v>406559.86735378799</v>
      </c>
      <c r="J1706" s="21">
        <f t="shared" si="53"/>
        <v>0</v>
      </c>
    </row>
    <row r="1707" spans="1:10">
      <c r="A1707" t="s">
        <v>72</v>
      </c>
      <c r="B1707" t="s">
        <v>332</v>
      </c>
      <c r="C1707" s="18">
        <v>2034</v>
      </c>
      <c r="D1707" t="s">
        <v>177</v>
      </c>
      <c r="E1707" s="20">
        <v>701691.67735876795</v>
      </c>
      <c r="F1707" s="20">
        <v>423259.10059080599</v>
      </c>
      <c r="G1707" s="10">
        <v>423259.10059080599</v>
      </c>
      <c r="H1707" s="21">
        <f t="shared" si="52"/>
        <v>0</v>
      </c>
      <c r="I1707" s="10">
        <v>701691.67735876795</v>
      </c>
      <c r="J1707" s="21">
        <f t="shared" si="53"/>
        <v>0</v>
      </c>
    </row>
    <row r="1708" spans="1:10">
      <c r="A1708" t="s">
        <v>72</v>
      </c>
      <c r="B1708" t="s">
        <v>332</v>
      </c>
      <c r="C1708" s="18">
        <v>2034</v>
      </c>
      <c r="D1708" t="s">
        <v>181</v>
      </c>
      <c r="E1708" s="20">
        <v>516406.53850878001</v>
      </c>
      <c r="F1708" s="20">
        <v>279484.98028522899</v>
      </c>
      <c r="G1708" s="10">
        <v>279484.98028522899</v>
      </c>
      <c r="H1708" s="21">
        <f t="shared" si="52"/>
        <v>0</v>
      </c>
      <c r="I1708" s="10">
        <v>516406.53850878001</v>
      </c>
      <c r="J1708" s="21">
        <f t="shared" si="53"/>
        <v>0</v>
      </c>
    </row>
    <row r="1709" spans="1:10">
      <c r="A1709" t="s">
        <v>72</v>
      </c>
      <c r="B1709" t="s">
        <v>332</v>
      </c>
      <c r="C1709" s="18">
        <v>2034</v>
      </c>
      <c r="D1709" t="s">
        <v>209</v>
      </c>
      <c r="E1709" s="20">
        <v>44355.184450178996</v>
      </c>
      <c r="F1709" s="20">
        <v>7385.0409467521704</v>
      </c>
      <c r="G1709" s="10">
        <v>7385.0409467521704</v>
      </c>
      <c r="H1709" s="21">
        <f t="shared" si="52"/>
        <v>0</v>
      </c>
      <c r="I1709" s="10">
        <v>44355.184450178996</v>
      </c>
      <c r="J1709" s="21">
        <f t="shared" si="53"/>
        <v>0</v>
      </c>
    </row>
    <row r="1710" spans="1:10">
      <c r="A1710" t="s">
        <v>72</v>
      </c>
      <c r="B1710" t="s">
        <v>332</v>
      </c>
      <c r="C1710" s="18">
        <v>2035</v>
      </c>
      <c r="D1710" t="s">
        <v>187</v>
      </c>
      <c r="E1710" s="20">
        <v>16892.2141390053</v>
      </c>
      <c r="F1710" s="20">
        <v>12203.057717863399</v>
      </c>
      <c r="G1710" s="10">
        <v>12203.057717863399</v>
      </c>
      <c r="H1710" s="21">
        <f t="shared" si="52"/>
        <v>0</v>
      </c>
      <c r="I1710" s="10">
        <v>16892.2141390053</v>
      </c>
      <c r="J1710" s="21">
        <f t="shared" si="53"/>
        <v>0</v>
      </c>
    </row>
    <row r="1711" spans="1:10">
      <c r="A1711" t="s">
        <v>72</v>
      </c>
      <c r="B1711" t="s">
        <v>332</v>
      </c>
      <c r="C1711" s="18">
        <v>2035</v>
      </c>
      <c r="D1711" t="s">
        <v>227</v>
      </c>
      <c r="E1711" s="20">
        <v>1148972.16574985</v>
      </c>
      <c r="F1711" s="20">
        <v>210290.98052792501</v>
      </c>
      <c r="G1711" s="10">
        <v>210290.98052792501</v>
      </c>
      <c r="H1711" s="21">
        <f t="shared" si="52"/>
        <v>0</v>
      </c>
      <c r="I1711" s="10">
        <v>1148972.16574985</v>
      </c>
      <c r="J1711" s="21">
        <f t="shared" si="53"/>
        <v>0</v>
      </c>
    </row>
    <row r="1712" spans="1:10">
      <c r="A1712" t="s">
        <v>72</v>
      </c>
      <c r="B1712" t="s">
        <v>332</v>
      </c>
      <c r="C1712" s="18">
        <v>2035</v>
      </c>
      <c r="D1712" t="s">
        <v>163</v>
      </c>
      <c r="E1712" s="20">
        <v>124148.20719584401</v>
      </c>
      <c r="F1712" s="20">
        <v>83695.117872879797</v>
      </c>
      <c r="G1712" s="10">
        <v>83695.117872879797</v>
      </c>
      <c r="H1712" s="21">
        <f t="shared" si="52"/>
        <v>0</v>
      </c>
      <c r="I1712" s="10">
        <v>124148.20719584401</v>
      </c>
      <c r="J1712" s="21">
        <f t="shared" si="53"/>
        <v>0</v>
      </c>
    </row>
    <row r="1713" spans="1:10">
      <c r="A1713" t="s">
        <v>72</v>
      </c>
      <c r="B1713" t="s">
        <v>332</v>
      </c>
      <c r="C1713" s="18">
        <v>2035</v>
      </c>
      <c r="D1713" t="s">
        <v>173</v>
      </c>
      <c r="E1713" s="20">
        <v>414533.16060314502</v>
      </c>
      <c r="F1713" s="20">
        <v>383788.76252667198</v>
      </c>
      <c r="G1713" s="10">
        <v>383788.76252667198</v>
      </c>
      <c r="H1713" s="21">
        <f t="shared" si="52"/>
        <v>0</v>
      </c>
      <c r="I1713" s="10">
        <v>414533.16060314502</v>
      </c>
      <c r="J1713" s="21">
        <f t="shared" si="53"/>
        <v>0</v>
      </c>
    </row>
    <row r="1714" spans="1:10">
      <c r="A1714" t="s">
        <v>72</v>
      </c>
      <c r="B1714" t="s">
        <v>332</v>
      </c>
      <c r="C1714" s="18">
        <v>2035</v>
      </c>
      <c r="D1714" t="s">
        <v>177</v>
      </c>
      <c r="E1714" s="20">
        <v>715331.78882210201</v>
      </c>
      <c r="F1714" s="20">
        <v>434082.03155119502</v>
      </c>
      <c r="G1714" s="10">
        <v>434082.03155119502</v>
      </c>
      <c r="H1714" s="21">
        <f t="shared" si="52"/>
        <v>0</v>
      </c>
      <c r="I1714" s="10">
        <v>715331.78882210201</v>
      </c>
      <c r="J1714" s="21">
        <f t="shared" si="53"/>
        <v>0</v>
      </c>
    </row>
    <row r="1715" spans="1:10">
      <c r="A1715" t="s">
        <v>72</v>
      </c>
      <c r="B1715" t="s">
        <v>332</v>
      </c>
      <c r="C1715" s="18">
        <v>2035</v>
      </c>
      <c r="D1715" t="s">
        <v>181</v>
      </c>
      <c r="E1715" s="20">
        <v>528818.37188395299</v>
      </c>
      <c r="F1715" s="20">
        <v>289150.80243598297</v>
      </c>
      <c r="G1715" s="10">
        <v>289150.80243598297</v>
      </c>
      <c r="H1715" s="21">
        <f t="shared" si="52"/>
        <v>0</v>
      </c>
      <c r="I1715" s="10">
        <v>528818.37188395299</v>
      </c>
      <c r="J1715" s="21">
        <f t="shared" si="53"/>
        <v>0</v>
      </c>
    </row>
    <row r="1716" spans="1:10">
      <c r="A1716" t="s">
        <v>72</v>
      </c>
      <c r="B1716" t="s">
        <v>332</v>
      </c>
      <c r="C1716" s="18">
        <v>2035</v>
      </c>
      <c r="D1716" t="s">
        <v>209</v>
      </c>
      <c r="E1716" s="20">
        <v>44206.707306712102</v>
      </c>
      <c r="F1716" s="20">
        <v>7419.9788551932097</v>
      </c>
      <c r="G1716" s="10">
        <v>7419.9788551932097</v>
      </c>
      <c r="H1716" s="21">
        <f t="shared" si="52"/>
        <v>0</v>
      </c>
      <c r="I1716" s="10">
        <v>44206.707306712102</v>
      </c>
      <c r="J1716" s="21">
        <f t="shared" si="53"/>
        <v>0</v>
      </c>
    </row>
    <row r="1717" spans="1:10">
      <c r="A1717" t="s">
        <v>72</v>
      </c>
      <c r="B1717" t="s">
        <v>332</v>
      </c>
      <c r="C1717" s="18">
        <v>2036</v>
      </c>
      <c r="D1717" t="s">
        <v>187</v>
      </c>
      <c r="E1717" s="20">
        <v>17350.6546269342</v>
      </c>
      <c r="F1717" s="20">
        <v>12506.9021026876</v>
      </c>
      <c r="G1717" s="10">
        <v>12506.9021026876</v>
      </c>
      <c r="H1717" s="21">
        <f t="shared" si="52"/>
        <v>0</v>
      </c>
      <c r="I1717" s="10">
        <v>17350.6546269342</v>
      </c>
      <c r="J1717" s="21">
        <f t="shared" si="53"/>
        <v>0</v>
      </c>
    </row>
    <row r="1718" spans="1:10">
      <c r="A1718" t="s">
        <v>72</v>
      </c>
      <c r="B1718" t="s">
        <v>332</v>
      </c>
      <c r="C1718" s="18">
        <v>2036</v>
      </c>
      <c r="D1718" t="s">
        <v>227</v>
      </c>
      <c r="E1718" s="20">
        <v>1158266.1377582899</v>
      </c>
      <c r="F1718" s="20">
        <v>218370.687575925</v>
      </c>
      <c r="G1718" s="10">
        <v>218370.687575925</v>
      </c>
      <c r="H1718" s="21">
        <f t="shared" si="52"/>
        <v>0</v>
      </c>
      <c r="I1718" s="10">
        <v>1158266.1377582899</v>
      </c>
      <c r="J1718" s="21">
        <f t="shared" si="53"/>
        <v>0</v>
      </c>
    </row>
    <row r="1719" spans="1:10">
      <c r="A1719" t="s">
        <v>72</v>
      </c>
      <c r="B1719" t="s">
        <v>332</v>
      </c>
      <c r="C1719" s="18">
        <v>2036</v>
      </c>
      <c r="D1719" t="s">
        <v>163</v>
      </c>
      <c r="E1719" s="20">
        <v>127138.451085333</v>
      </c>
      <c r="F1719" s="20">
        <v>85765.564735317093</v>
      </c>
      <c r="G1719" s="10">
        <v>85765.564735317093</v>
      </c>
      <c r="H1719" s="21">
        <f t="shared" si="52"/>
        <v>0</v>
      </c>
      <c r="I1719" s="10">
        <v>127138.451085333</v>
      </c>
      <c r="J1719" s="21">
        <f t="shared" si="53"/>
        <v>0</v>
      </c>
    </row>
    <row r="1720" spans="1:10">
      <c r="A1720" t="s">
        <v>72</v>
      </c>
      <c r="B1720" t="s">
        <v>332</v>
      </c>
      <c r="C1720" s="18">
        <v>2036</v>
      </c>
      <c r="D1720" t="s">
        <v>173</v>
      </c>
      <c r="E1720" s="20">
        <v>422232.65992213303</v>
      </c>
      <c r="F1720" s="20">
        <v>391285.95573958702</v>
      </c>
      <c r="G1720" s="10">
        <v>391285.95573958702</v>
      </c>
      <c r="H1720" s="21">
        <f t="shared" si="52"/>
        <v>0</v>
      </c>
      <c r="I1720" s="10">
        <v>422232.65992213303</v>
      </c>
      <c r="J1720" s="21">
        <f t="shared" si="53"/>
        <v>0</v>
      </c>
    </row>
    <row r="1721" spans="1:10">
      <c r="A1721" t="s">
        <v>72</v>
      </c>
      <c r="B1721" t="s">
        <v>332</v>
      </c>
      <c r="C1721" s="18">
        <v>2036</v>
      </c>
      <c r="D1721" t="s">
        <v>177</v>
      </c>
      <c r="E1721" s="20">
        <v>728531.610160843</v>
      </c>
      <c r="F1721" s="20">
        <v>444747.90756616899</v>
      </c>
      <c r="G1721" s="10">
        <v>444747.90756616899</v>
      </c>
      <c r="H1721" s="21">
        <f t="shared" si="52"/>
        <v>0</v>
      </c>
      <c r="I1721" s="10">
        <v>728531.610160843</v>
      </c>
      <c r="J1721" s="21">
        <f t="shared" si="53"/>
        <v>0</v>
      </c>
    </row>
    <row r="1722" spans="1:10">
      <c r="A1722" t="s">
        <v>72</v>
      </c>
      <c r="B1722" t="s">
        <v>332</v>
      </c>
      <c r="C1722" s="18">
        <v>2036</v>
      </c>
      <c r="D1722" t="s">
        <v>181</v>
      </c>
      <c r="E1722" s="20">
        <v>541052.28077363002</v>
      </c>
      <c r="F1722" s="20">
        <v>298879.61130973301</v>
      </c>
      <c r="G1722" s="10">
        <v>298879.61130973301</v>
      </c>
      <c r="H1722" s="21">
        <f t="shared" si="52"/>
        <v>0</v>
      </c>
      <c r="I1722" s="10">
        <v>541052.28077363002</v>
      </c>
      <c r="J1722" s="21">
        <f t="shared" si="53"/>
        <v>0</v>
      </c>
    </row>
    <row r="1723" spans="1:10">
      <c r="A1723" t="s">
        <v>72</v>
      </c>
      <c r="B1723" t="s">
        <v>332</v>
      </c>
      <c r="C1723" s="18">
        <v>2036</v>
      </c>
      <c r="D1723" t="s">
        <v>209</v>
      </c>
      <c r="E1723" s="20">
        <v>44049.998378272197</v>
      </c>
      <c r="F1723" s="20">
        <v>7453.3351271514002</v>
      </c>
      <c r="G1723" s="10">
        <v>7453.3351271514002</v>
      </c>
      <c r="H1723" s="21">
        <f t="shared" si="52"/>
        <v>0</v>
      </c>
      <c r="I1723" s="10">
        <v>44049.998378272197</v>
      </c>
      <c r="J1723" s="21">
        <f t="shared" si="53"/>
        <v>0</v>
      </c>
    </row>
    <row r="1724" spans="1:10">
      <c r="A1724" t="s">
        <v>72</v>
      </c>
      <c r="B1724" t="s">
        <v>332</v>
      </c>
      <c r="C1724" s="18">
        <v>2037</v>
      </c>
      <c r="D1724" t="s">
        <v>187</v>
      </c>
      <c r="E1724" s="20">
        <v>17812.5035281772</v>
      </c>
      <c r="F1724" s="20">
        <v>12807.501268399201</v>
      </c>
      <c r="G1724" s="10">
        <v>12807.501268399201</v>
      </c>
      <c r="H1724" s="21">
        <f t="shared" si="52"/>
        <v>0</v>
      </c>
      <c r="I1724" s="10">
        <v>17812.5035281772</v>
      </c>
      <c r="J1724" s="21">
        <f t="shared" si="53"/>
        <v>0</v>
      </c>
    </row>
    <row r="1725" spans="1:10">
      <c r="A1725" t="s">
        <v>72</v>
      </c>
      <c r="B1725" t="s">
        <v>332</v>
      </c>
      <c r="C1725" s="18">
        <v>2037</v>
      </c>
      <c r="D1725" t="s">
        <v>227</v>
      </c>
      <c r="E1725" s="20">
        <v>1167364.6654137501</v>
      </c>
      <c r="F1725" s="20">
        <v>226373.365626062</v>
      </c>
      <c r="G1725" s="10">
        <v>226373.365626062</v>
      </c>
      <c r="H1725" s="21">
        <f t="shared" si="52"/>
        <v>0</v>
      </c>
      <c r="I1725" s="10">
        <v>1167364.6654137501</v>
      </c>
      <c r="J1725" s="21">
        <f t="shared" si="53"/>
        <v>0</v>
      </c>
    </row>
    <row r="1726" spans="1:10">
      <c r="A1726" t="s">
        <v>72</v>
      </c>
      <c r="B1726" t="s">
        <v>332</v>
      </c>
      <c r="C1726" s="18">
        <v>2037</v>
      </c>
      <c r="D1726" t="s">
        <v>163</v>
      </c>
      <c r="E1726" s="20">
        <v>130092.112965313</v>
      </c>
      <c r="F1726" s="20">
        <v>87785.873914228694</v>
      </c>
      <c r="G1726" s="10">
        <v>87785.873914228694</v>
      </c>
      <c r="H1726" s="21">
        <f t="shared" si="52"/>
        <v>0</v>
      </c>
      <c r="I1726" s="10">
        <v>130092.112965313</v>
      </c>
      <c r="J1726" s="21">
        <f t="shared" si="53"/>
        <v>0</v>
      </c>
    </row>
    <row r="1727" spans="1:10">
      <c r="A1727" t="s">
        <v>72</v>
      </c>
      <c r="B1727" t="s">
        <v>332</v>
      </c>
      <c r="C1727" s="18">
        <v>2037</v>
      </c>
      <c r="D1727" t="s">
        <v>173</v>
      </c>
      <c r="E1727" s="20">
        <v>429674.679324948</v>
      </c>
      <c r="F1727" s="20">
        <v>398473.81338660797</v>
      </c>
      <c r="G1727" s="10">
        <v>398473.81338660797</v>
      </c>
      <c r="H1727" s="21">
        <f t="shared" si="52"/>
        <v>0</v>
      </c>
      <c r="I1727" s="10">
        <v>429674.679324948</v>
      </c>
      <c r="J1727" s="21">
        <f t="shared" si="53"/>
        <v>0</v>
      </c>
    </row>
    <row r="1728" spans="1:10">
      <c r="A1728" t="s">
        <v>72</v>
      </c>
      <c r="B1728" t="s">
        <v>332</v>
      </c>
      <c r="C1728" s="18">
        <v>2037</v>
      </c>
      <c r="D1728" t="s">
        <v>177</v>
      </c>
      <c r="E1728" s="20">
        <v>741261.42723499297</v>
      </c>
      <c r="F1728" s="20">
        <v>455168.18452875799</v>
      </c>
      <c r="G1728" s="10">
        <v>455168.18452875799</v>
      </c>
      <c r="H1728" s="21">
        <f t="shared" si="52"/>
        <v>0</v>
      </c>
      <c r="I1728" s="10">
        <v>741261.42723499297</v>
      </c>
      <c r="J1728" s="21">
        <f t="shared" si="53"/>
        <v>0</v>
      </c>
    </row>
    <row r="1729" spans="1:10">
      <c r="A1729" t="s">
        <v>72</v>
      </c>
      <c r="B1729" t="s">
        <v>332</v>
      </c>
      <c r="C1729" s="18">
        <v>2037</v>
      </c>
      <c r="D1729" t="s">
        <v>181</v>
      </c>
      <c r="E1729" s="20">
        <v>553258.51776135701</v>
      </c>
      <c r="F1729" s="20">
        <v>308666.04356230202</v>
      </c>
      <c r="G1729" s="10">
        <v>308666.04356230202</v>
      </c>
      <c r="H1729" s="21">
        <f t="shared" si="52"/>
        <v>0</v>
      </c>
      <c r="I1729" s="10">
        <v>553258.51776135701</v>
      </c>
      <c r="J1729" s="21">
        <f t="shared" si="53"/>
        <v>0</v>
      </c>
    </row>
    <row r="1730" spans="1:10">
      <c r="A1730" t="s">
        <v>72</v>
      </c>
      <c r="B1730" t="s">
        <v>332</v>
      </c>
      <c r="C1730" s="18">
        <v>2037</v>
      </c>
      <c r="D1730" t="s">
        <v>209</v>
      </c>
      <c r="E1730" s="20">
        <v>43886.496639761303</v>
      </c>
      <c r="F1730" s="20">
        <v>7485.6394586101196</v>
      </c>
      <c r="G1730" s="10">
        <v>7485.6394586101196</v>
      </c>
      <c r="H1730" s="21">
        <f t="shared" ref="H1730:H1793" si="54">G1730-F1730</f>
        <v>0</v>
      </c>
      <c r="I1730" s="10">
        <v>43886.496639761303</v>
      </c>
      <c r="J1730" s="21">
        <f t="shared" ref="J1730:J1793" si="55">I1730-E1730</f>
        <v>0</v>
      </c>
    </row>
    <row r="1731" spans="1:10">
      <c r="A1731" t="s">
        <v>72</v>
      </c>
      <c r="B1731" t="s">
        <v>332</v>
      </c>
      <c r="C1731" s="18">
        <v>2038</v>
      </c>
      <c r="D1731" t="s">
        <v>187</v>
      </c>
      <c r="E1731" s="20">
        <v>18278.619531582299</v>
      </c>
      <c r="F1731" s="20">
        <v>13108.258682167399</v>
      </c>
      <c r="G1731" s="10">
        <v>13108.258682167399</v>
      </c>
      <c r="H1731" s="21">
        <f t="shared" si="54"/>
        <v>0</v>
      </c>
      <c r="I1731" s="10">
        <v>18278.619531582299</v>
      </c>
      <c r="J1731" s="21">
        <f t="shared" si="55"/>
        <v>0</v>
      </c>
    </row>
    <row r="1732" spans="1:10">
      <c r="A1732" t="s">
        <v>72</v>
      </c>
      <c r="B1732" t="s">
        <v>332</v>
      </c>
      <c r="C1732" s="18">
        <v>2038</v>
      </c>
      <c r="D1732" t="s">
        <v>227</v>
      </c>
      <c r="E1732" s="20">
        <v>1176286.23006217</v>
      </c>
      <c r="F1732" s="20">
        <v>234286.30240329501</v>
      </c>
      <c r="G1732" s="10">
        <v>234286.30240329501</v>
      </c>
      <c r="H1732" s="21">
        <f t="shared" si="54"/>
        <v>0</v>
      </c>
      <c r="I1732" s="10">
        <v>1176286.23006217</v>
      </c>
      <c r="J1732" s="21">
        <f t="shared" si="55"/>
        <v>0</v>
      </c>
    </row>
    <row r="1733" spans="1:10">
      <c r="A1733" t="s">
        <v>72</v>
      </c>
      <c r="B1733" t="s">
        <v>332</v>
      </c>
      <c r="C1733" s="18">
        <v>2038</v>
      </c>
      <c r="D1733" t="s">
        <v>163</v>
      </c>
      <c r="E1733" s="20">
        <v>133004.77137127001</v>
      </c>
      <c r="F1733" s="20">
        <v>89762.908504627194</v>
      </c>
      <c r="G1733" s="10">
        <v>89762.908504627194</v>
      </c>
      <c r="H1733" s="21">
        <f t="shared" si="54"/>
        <v>0</v>
      </c>
      <c r="I1733" s="10">
        <v>133004.77137127001</v>
      </c>
      <c r="J1733" s="21">
        <f t="shared" si="55"/>
        <v>0</v>
      </c>
    </row>
    <row r="1734" spans="1:10">
      <c r="A1734" t="s">
        <v>72</v>
      </c>
      <c r="B1734" t="s">
        <v>332</v>
      </c>
      <c r="C1734" s="18">
        <v>2038</v>
      </c>
      <c r="D1734" t="s">
        <v>173</v>
      </c>
      <c r="E1734" s="20">
        <v>436878.35953831702</v>
      </c>
      <c r="F1734" s="20">
        <v>405384.95777232101</v>
      </c>
      <c r="G1734" s="10">
        <v>405384.95777232101</v>
      </c>
      <c r="H1734" s="21">
        <f t="shared" si="54"/>
        <v>0</v>
      </c>
      <c r="I1734" s="10">
        <v>436878.35953831702</v>
      </c>
      <c r="J1734" s="21">
        <f t="shared" si="55"/>
        <v>0</v>
      </c>
    </row>
    <row r="1735" spans="1:10">
      <c r="A1735" t="s">
        <v>72</v>
      </c>
      <c r="B1735" t="s">
        <v>332</v>
      </c>
      <c r="C1735" s="18">
        <v>2038</v>
      </c>
      <c r="D1735" t="s">
        <v>177</v>
      </c>
      <c r="E1735" s="20">
        <v>753560.82214679301</v>
      </c>
      <c r="F1735" s="20">
        <v>465342.91786371003</v>
      </c>
      <c r="G1735" s="10">
        <v>465342.91786371003</v>
      </c>
      <c r="H1735" s="21">
        <f t="shared" si="54"/>
        <v>0</v>
      </c>
      <c r="I1735" s="10">
        <v>753560.82214679301</v>
      </c>
      <c r="J1735" s="21">
        <f t="shared" si="55"/>
        <v>0</v>
      </c>
    </row>
    <row r="1736" spans="1:10">
      <c r="A1736" t="s">
        <v>72</v>
      </c>
      <c r="B1736" t="s">
        <v>332</v>
      </c>
      <c r="C1736" s="18">
        <v>2038</v>
      </c>
      <c r="D1736" t="s">
        <v>181</v>
      </c>
      <c r="E1736" s="20">
        <v>565403.75879938505</v>
      </c>
      <c r="F1736" s="20">
        <v>318461.02224812203</v>
      </c>
      <c r="G1736" s="10">
        <v>318461.02224812203</v>
      </c>
      <c r="H1736" s="21">
        <f t="shared" si="54"/>
        <v>0</v>
      </c>
      <c r="I1736" s="10">
        <v>565403.75879938505</v>
      </c>
      <c r="J1736" s="21">
        <f t="shared" si="55"/>
        <v>0</v>
      </c>
    </row>
    <row r="1737" spans="1:10">
      <c r="A1737" t="s">
        <v>72</v>
      </c>
      <c r="B1737" t="s">
        <v>332</v>
      </c>
      <c r="C1737" s="18">
        <v>2038</v>
      </c>
      <c r="D1737" t="s">
        <v>209</v>
      </c>
      <c r="E1737" s="20">
        <v>43730.744850638199</v>
      </c>
      <c r="F1737" s="20">
        <v>7517.77035327065</v>
      </c>
      <c r="G1737" s="10">
        <v>7517.77035327065</v>
      </c>
      <c r="H1737" s="21">
        <f t="shared" si="54"/>
        <v>0</v>
      </c>
      <c r="I1737" s="10">
        <v>43730.744850638199</v>
      </c>
      <c r="J1737" s="21">
        <f t="shared" si="55"/>
        <v>0</v>
      </c>
    </row>
    <row r="1738" spans="1:10">
      <c r="A1738" t="s">
        <v>72</v>
      </c>
      <c r="B1738" t="s">
        <v>332</v>
      </c>
      <c r="C1738" s="18">
        <v>2039</v>
      </c>
      <c r="D1738" t="s">
        <v>187</v>
      </c>
      <c r="E1738" s="20">
        <v>18752.090499402999</v>
      </c>
      <c r="F1738" s="20">
        <v>13404.669620275599</v>
      </c>
      <c r="G1738" s="10">
        <v>13404.669620275599</v>
      </c>
      <c r="H1738" s="21">
        <f t="shared" si="54"/>
        <v>0</v>
      </c>
      <c r="I1738" s="10">
        <v>18752.090499402999</v>
      </c>
      <c r="J1738" s="21">
        <f t="shared" si="55"/>
        <v>0</v>
      </c>
    </row>
    <row r="1739" spans="1:10">
      <c r="A1739" t="s">
        <v>72</v>
      </c>
      <c r="B1739" t="s">
        <v>332</v>
      </c>
      <c r="C1739" s="18">
        <v>2039</v>
      </c>
      <c r="D1739" t="s">
        <v>227</v>
      </c>
      <c r="E1739" s="20">
        <v>1184738.3918449101</v>
      </c>
      <c r="F1739" s="20">
        <v>242132.19115316399</v>
      </c>
      <c r="G1739" s="10">
        <v>242132.19115316399</v>
      </c>
      <c r="H1739" s="21">
        <f t="shared" si="54"/>
        <v>0</v>
      </c>
      <c r="I1739" s="10">
        <v>1184738.3918449101</v>
      </c>
      <c r="J1739" s="21">
        <f t="shared" si="55"/>
        <v>0</v>
      </c>
    </row>
    <row r="1740" spans="1:10">
      <c r="A1740" t="s">
        <v>72</v>
      </c>
      <c r="B1740" t="s">
        <v>332</v>
      </c>
      <c r="C1740" s="18">
        <v>2039</v>
      </c>
      <c r="D1740" t="s">
        <v>163</v>
      </c>
      <c r="E1740" s="20">
        <v>135872.13136763001</v>
      </c>
      <c r="F1740" s="20">
        <v>91716.366353602294</v>
      </c>
      <c r="G1740" s="10">
        <v>91716.366353602294</v>
      </c>
      <c r="H1740" s="21">
        <f t="shared" si="54"/>
        <v>0</v>
      </c>
      <c r="I1740" s="10">
        <v>135872.13136763001</v>
      </c>
      <c r="J1740" s="21">
        <f t="shared" si="55"/>
        <v>0</v>
      </c>
    </row>
    <row r="1741" spans="1:10">
      <c r="A1741" t="s">
        <v>72</v>
      </c>
      <c r="B1741" t="s">
        <v>332</v>
      </c>
      <c r="C1741" s="18">
        <v>2039</v>
      </c>
      <c r="D1741" t="s">
        <v>173</v>
      </c>
      <c r="E1741" s="20">
        <v>443905.980748337</v>
      </c>
      <c r="F1741" s="20">
        <v>412120.21350488003</v>
      </c>
      <c r="G1741" s="10">
        <v>412120.21350488003</v>
      </c>
      <c r="H1741" s="21">
        <f t="shared" si="54"/>
        <v>0</v>
      </c>
      <c r="I1741" s="10">
        <v>443905.980748337</v>
      </c>
      <c r="J1741" s="21">
        <f t="shared" si="55"/>
        <v>0</v>
      </c>
    </row>
    <row r="1742" spans="1:10">
      <c r="A1742" t="s">
        <v>72</v>
      </c>
      <c r="B1742" t="s">
        <v>332</v>
      </c>
      <c r="C1742" s="18">
        <v>2039</v>
      </c>
      <c r="D1742" t="s">
        <v>177</v>
      </c>
      <c r="E1742" s="20">
        <v>765528.46783885697</v>
      </c>
      <c r="F1742" s="20">
        <v>475269.78752891801</v>
      </c>
      <c r="G1742" s="10">
        <v>475269.78752891801</v>
      </c>
      <c r="H1742" s="21">
        <f t="shared" si="54"/>
        <v>0</v>
      </c>
      <c r="I1742" s="10">
        <v>765528.46783885697</v>
      </c>
      <c r="J1742" s="21">
        <f t="shared" si="55"/>
        <v>0</v>
      </c>
    </row>
    <row r="1743" spans="1:10">
      <c r="A1743" t="s">
        <v>72</v>
      </c>
      <c r="B1743" t="s">
        <v>332</v>
      </c>
      <c r="C1743" s="18">
        <v>2039</v>
      </c>
      <c r="D1743" t="s">
        <v>181</v>
      </c>
      <c r="E1743" s="20">
        <v>577414.514396235</v>
      </c>
      <c r="F1743" s="20">
        <v>328246.40127636801</v>
      </c>
      <c r="G1743" s="10">
        <v>328246.40127636801</v>
      </c>
      <c r="H1743" s="21">
        <f t="shared" si="54"/>
        <v>0</v>
      </c>
      <c r="I1743" s="10">
        <v>577414.514396235</v>
      </c>
      <c r="J1743" s="21">
        <f t="shared" si="55"/>
        <v>0</v>
      </c>
    </row>
    <row r="1744" spans="1:10">
      <c r="A1744" t="s">
        <v>72</v>
      </c>
      <c r="B1744" t="s">
        <v>332</v>
      </c>
      <c r="C1744" s="18">
        <v>2039</v>
      </c>
      <c r="D1744" t="s">
        <v>209</v>
      </c>
      <c r="E1744" s="20">
        <v>43588.845456636998</v>
      </c>
      <c r="F1744" s="20">
        <v>7547.5598608641003</v>
      </c>
      <c r="G1744" s="10">
        <v>7547.5598608641003</v>
      </c>
      <c r="H1744" s="21">
        <f t="shared" si="54"/>
        <v>0</v>
      </c>
      <c r="I1744" s="10">
        <v>43588.845456636998</v>
      </c>
      <c r="J1744" s="21">
        <f t="shared" si="55"/>
        <v>0</v>
      </c>
    </row>
    <row r="1745" spans="1:10">
      <c r="A1745" t="s">
        <v>72</v>
      </c>
      <c r="B1745" t="s">
        <v>332</v>
      </c>
      <c r="C1745" s="18">
        <v>2040</v>
      </c>
      <c r="D1745" t="s">
        <v>187</v>
      </c>
      <c r="E1745" s="20">
        <v>19235.736542927301</v>
      </c>
      <c r="F1745" s="20">
        <v>13698.9721681132</v>
      </c>
      <c r="G1745" s="10">
        <v>13698.9721681132</v>
      </c>
      <c r="H1745" s="21">
        <f t="shared" si="54"/>
        <v>0</v>
      </c>
      <c r="I1745" s="10">
        <v>19235.736542927301</v>
      </c>
      <c r="J1745" s="21">
        <f t="shared" si="55"/>
        <v>0</v>
      </c>
    </row>
    <row r="1746" spans="1:10">
      <c r="A1746" t="s">
        <v>72</v>
      </c>
      <c r="B1746" t="s">
        <v>332</v>
      </c>
      <c r="C1746" s="18">
        <v>2040</v>
      </c>
      <c r="D1746" t="s">
        <v>227</v>
      </c>
      <c r="E1746" s="20">
        <v>1192634.43006365</v>
      </c>
      <c r="F1746" s="20">
        <v>249894.478827588</v>
      </c>
      <c r="G1746" s="10">
        <v>249894.478827588</v>
      </c>
      <c r="H1746" s="21">
        <f t="shared" si="54"/>
        <v>0</v>
      </c>
      <c r="I1746" s="10">
        <v>1192634.43006365</v>
      </c>
      <c r="J1746" s="21">
        <f t="shared" si="55"/>
        <v>0</v>
      </c>
    </row>
    <row r="1747" spans="1:10">
      <c r="A1747" t="s">
        <v>72</v>
      </c>
      <c r="B1747" t="s">
        <v>332</v>
      </c>
      <c r="C1747" s="18">
        <v>2040</v>
      </c>
      <c r="D1747" t="s">
        <v>163</v>
      </c>
      <c r="E1747" s="20">
        <v>138689.796610277</v>
      </c>
      <c r="F1747" s="20">
        <v>93636.896760059302</v>
      </c>
      <c r="G1747" s="10">
        <v>93636.896760059302</v>
      </c>
      <c r="H1747" s="21">
        <f t="shared" si="54"/>
        <v>0</v>
      </c>
      <c r="I1747" s="10">
        <v>138689.796610277</v>
      </c>
      <c r="J1747" s="21">
        <f t="shared" si="55"/>
        <v>0</v>
      </c>
    </row>
    <row r="1748" spans="1:10">
      <c r="A1748" t="s">
        <v>72</v>
      </c>
      <c r="B1748" t="s">
        <v>332</v>
      </c>
      <c r="C1748" s="18">
        <v>2040</v>
      </c>
      <c r="D1748" t="s">
        <v>173</v>
      </c>
      <c r="E1748" s="20">
        <v>450841.764596063</v>
      </c>
      <c r="F1748" s="20">
        <v>418620.90894817398</v>
      </c>
      <c r="G1748" s="10">
        <v>418620.90894817398</v>
      </c>
      <c r="H1748" s="21">
        <f t="shared" si="54"/>
        <v>0</v>
      </c>
      <c r="I1748" s="10">
        <v>450841.764596063</v>
      </c>
      <c r="J1748" s="21">
        <f t="shared" si="55"/>
        <v>0</v>
      </c>
    </row>
    <row r="1749" spans="1:10">
      <c r="A1749" t="s">
        <v>72</v>
      </c>
      <c r="B1749" t="s">
        <v>332</v>
      </c>
      <c r="C1749" s="18">
        <v>2040</v>
      </c>
      <c r="D1749" t="s">
        <v>177</v>
      </c>
      <c r="E1749" s="20">
        <v>777088.49670209095</v>
      </c>
      <c r="F1749" s="20">
        <v>484947.105425179</v>
      </c>
      <c r="G1749" s="10">
        <v>484947.105425179</v>
      </c>
      <c r="H1749" s="21">
        <f t="shared" si="54"/>
        <v>0</v>
      </c>
      <c r="I1749" s="10">
        <v>777088.49670209095</v>
      </c>
      <c r="J1749" s="21">
        <f t="shared" si="55"/>
        <v>0</v>
      </c>
    </row>
    <row r="1750" spans="1:10">
      <c r="A1750" t="s">
        <v>72</v>
      </c>
      <c r="B1750" t="s">
        <v>332</v>
      </c>
      <c r="C1750" s="18">
        <v>2040</v>
      </c>
      <c r="D1750" t="s">
        <v>181</v>
      </c>
      <c r="E1750" s="20">
        <v>589359.73383284197</v>
      </c>
      <c r="F1750" s="20">
        <v>338039.01043044601</v>
      </c>
      <c r="G1750" s="10">
        <v>338039.01043044601</v>
      </c>
      <c r="H1750" s="21">
        <f t="shared" si="54"/>
        <v>0</v>
      </c>
      <c r="I1750" s="10">
        <v>589359.73383284197</v>
      </c>
      <c r="J1750" s="21">
        <f t="shared" si="55"/>
        <v>0</v>
      </c>
    </row>
    <row r="1751" spans="1:10">
      <c r="A1751" t="s">
        <v>72</v>
      </c>
      <c r="B1751" t="s">
        <v>332</v>
      </c>
      <c r="C1751" s="18">
        <v>2040</v>
      </c>
      <c r="D1751" t="s">
        <v>209</v>
      </c>
      <c r="E1751" s="20">
        <v>43464.859681883601</v>
      </c>
      <c r="F1751" s="20">
        <v>7573.7255608269897</v>
      </c>
      <c r="G1751" s="10">
        <v>7573.7255608269897</v>
      </c>
      <c r="H1751" s="21">
        <f t="shared" si="54"/>
        <v>0</v>
      </c>
      <c r="I1751" s="10">
        <v>43464.859681883601</v>
      </c>
      <c r="J1751" s="21">
        <f t="shared" si="55"/>
        <v>0</v>
      </c>
    </row>
    <row r="1752" spans="1:10">
      <c r="A1752" t="s">
        <v>72</v>
      </c>
      <c r="B1752" t="s">
        <v>332</v>
      </c>
      <c r="C1752" s="18">
        <v>2041</v>
      </c>
      <c r="D1752" t="s">
        <v>187</v>
      </c>
      <c r="E1752" s="20">
        <v>19727.283486384</v>
      </c>
      <c r="F1752" s="20">
        <v>13991.606690282801</v>
      </c>
      <c r="G1752" s="10">
        <v>13991.606690282801</v>
      </c>
      <c r="H1752" s="21">
        <f t="shared" si="54"/>
        <v>0</v>
      </c>
      <c r="I1752" s="10">
        <v>19727.283486384</v>
      </c>
      <c r="J1752" s="21">
        <f t="shared" si="55"/>
        <v>0</v>
      </c>
    </row>
    <row r="1753" spans="1:10">
      <c r="A1753" t="s">
        <v>72</v>
      </c>
      <c r="B1753" t="s">
        <v>332</v>
      </c>
      <c r="C1753" s="18">
        <v>2041</v>
      </c>
      <c r="D1753" t="s">
        <v>227</v>
      </c>
      <c r="E1753" s="20">
        <v>1199988.17586749</v>
      </c>
      <c r="F1753" s="20">
        <v>257599.044002988</v>
      </c>
      <c r="G1753" s="10">
        <v>257599.044002988</v>
      </c>
      <c r="H1753" s="21">
        <f t="shared" si="54"/>
        <v>0</v>
      </c>
      <c r="I1753" s="10">
        <v>1199988.17586749</v>
      </c>
      <c r="J1753" s="21">
        <f t="shared" si="55"/>
        <v>0</v>
      </c>
    </row>
    <row r="1754" spans="1:10">
      <c r="A1754" t="s">
        <v>72</v>
      </c>
      <c r="B1754" t="s">
        <v>332</v>
      </c>
      <c r="C1754" s="18">
        <v>2041</v>
      </c>
      <c r="D1754" t="s">
        <v>163</v>
      </c>
      <c r="E1754" s="20">
        <v>141475.570851386</v>
      </c>
      <c r="F1754" s="20">
        <v>95527.0063786807</v>
      </c>
      <c r="G1754" s="10">
        <v>95527.0063786807</v>
      </c>
      <c r="H1754" s="21">
        <f t="shared" si="54"/>
        <v>0</v>
      </c>
      <c r="I1754" s="10">
        <v>141475.570851386</v>
      </c>
      <c r="J1754" s="21">
        <f t="shared" si="55"/>
        <v>0</v>
      </c>
    </row>
    <row r="1755" spans="1:10">
      <c r="A1755" t="s">
        <v>72</v>
      </c>
      <c r="B1755" t="s">
        <v>332</v>
      </c>
      <c r="C1755" s="18">
        <v>2041</v>
      </c>
      <c r="D1755" t="s">
        <v>173</v>
      </c>
      <c r="E1755" s="20">
        <v>457698.12813480198</v>
      </c>
      <c r="F1755" s="20">
        <v>425005.77720965003</v>
      </c>
      <c r="G1755" s="10">
        <v>425005.77720965003</v>
      </c>
      <c r="H1755" s="21">
        <f t="shared" si="54"/>
        <v>0</v>
      </c>
      <c r="I1755" s="10">
        <v>457698.12813480198</v>
      </c>
      <c r="J1755" s="21">
        <f t="shared" si="55"/>
        <v>0</v>
      </c>
    </row>
    <row r="1756" spans="1:10">
      <c r="A1756" t="s">
        <v>72</v>
      </c>
      <c r="B1756" t="s">
        <v>332</v>
      </c>
      <c r="C1756" s="18">
        <v>2041</v>
      </c>
      <c r="D1756" t="s">
        <v>177</v>
      </c>
      <c r="E1756" s="20">
        <v>788293.24275668897</v>
      </c>
      <c r="F1756" s="20">
        <v>494390.87324825901</v>
      </c>
      <c r="G1756" s="10">
        <v>494390.87324825901</v>
      </c>
      <c r="H1756" s="21">
        <f t="shared" si="54"/>
        <v>0</v>
      </c>
      <c r="I1756" s="10">
        <v>788293.24275668897</v>
      </c>
      <c r="J1756" s="21">
        <f t="shared" si="55"/>
        <v>0</v>
      </c>
    </row>
    <row r="1757" spans="1:10">
      <c r="A1757" t="s">
        <v>72</v>
      </c>
      <c r="B1757" t="s">
        <v>332</v>
      </c>
      <c r="C1757" s="18">
        <v>2041</v>
      </c>
      <c r="D1757" t="s">
        <v>181</v>
      </c>
      <c r="E1757" s="20">
        <v>601155.34094696096</v>
      </c>
      <c r="F1757" s="20">
        <v>347924.76632707799</v>
      </c>
      <c r="G1757" s="10">
        <v>347924.76632707799</v>
      </c>
      <c r="H1757" s="21">
        <f t="shared" si="54"/>
        <v>0</v>
      </c>
      <c r="I1757" s="10">
        <v>601155.34094696096</v>
      </c>
      <c r="J1757" s="21">
        <f t="shared" si="55"/>
        <v>0</v>
      </c>
    </row>
    <row r="1758" spans="1:10">
      <c r="A1758" t="s">
        <v>72</v>
      </c>
      <c r="B1758" t="s">
        <v>332</v>
      </c>
      <c r="C1758" s="18">
        <v>2041</v>
      </c>
      <c r="D1758" t="s">
        <v>209</v>
      </c>
      <c r="E1758" s="20">
        <v>43360.9356755525</v>
      </c>
      <c r="F1758" s="20">
        <v>7595.9953338682099</v>
      </c>
      <c r="G1758" s="10">
        <v>7595.9953338682099</v>
      </c>
      <c r="H1758" s="21">
        <f t="shared" si="54"/>
        <v>0</v>
      </c>
      <c r="I1758" s="10">
        <v>43360.9356755525</v>
      </c>
      <c r="J1758" s="21">
        <f t="shared" si="55"/>
        <v>0</v>
      </c>
    </row>
    <row r="1759" spans="1:10">
      <c r="A1759" t="s">
        <v>72</v>
      </c>
      <c r="B1759" t="s">
        <v>332</v>
      </c>
      <c r="C1759" s="18">
        <v>2042</v>
      </c>
      <c r="D1759" t="s">
        <v>187</v>
      </c>
      <c r="E1759" s="20">
        <v>20222.268399164699</v>
      </c>
      <c r="F1759" s="20">
        <v>14284.6169088399</v>
      </c>
      <c r="G1759" s="10">
        <v>14284.6169088399</v>
      </c>
      <c r="H1759" s="21">
        <f t="shared" si="54"/>
        <v>0</v>
      </c>
      <c r="I1759" s="10">
        <v>20222.268399164699</v>
      </c>
      <c r="J1759" s="21">
        <f t="shared" si="55"/>
        <v>0</v>
      </c>
    </row>
    <row r="1760" spans="1:10">
      <c r="A1760" t="s">
        <v>72</v>
      </c>
      <c r="B1760" t="s">
        <v>332</v>
      </c>
      <c r="C1760" s="18">
        <v>2042</v>
      </c>
      <c r="D1760" t="s">
        <v>227</v>
      </c>
      <c r="E1760" s="20">
        <v>1206799.58929471</v>
      </c>
      <c r="F1760" s="20">
        <v>265289.409116733</v>
      </c>
      <c r="G1760" s="10">
        <v>265289.409116733</v>
      </c>
      <c r="H1760" s="21">
        <f t="shared" si="54"/>
        <v>0</v>
      </c>
      <c r="I1760" s="10">
        <v>1206799.58929471</v>
      </c>
      <c r="J1760" s="21">
        <f t="shared" si="55"/>
        <v>0</v>
      </c>
    </row>
    <row r="1761" spans="1:10">
      <c r="A1761" t="s">
        <v>72</v>
      </c>
      <c r="B1761" t="s">
        <v>332</v>
      </c>
      <c r="C1761" s="18">
        <v>2042</v>
      </c>
      <c r="D1761" t="s">
        <v>163</v>
      </c>
      <c r="E1761" s="20">
        <v>144248.066926011</v>
      </c>
      <c r="F1761" s="20">
        <v>97406.156977096296</v>
      </c>
      <c r="G1761" s="10">
        <v>97406.156977096296</v>
      </c>
      <c r="H1761" s="21">
        <f t="shared" si="54"/>
        <v>0</v>
      </c>
      <c r="I1761" s="10">
        <v>144248.066926011</v>
      </c>
      <c r="J1761" s="21">
        <f t="shared" si="55"/>
        <v>0</v>
      </c>
    </row>
    <row r="1762" spans="1:10">
      <c r="A1762" t="s">
        <v>72</v>
      </c>
      <c r="B1762" t="s">
        <v>332</v>
      </c>
      <c r="C1762" s="18">
        <v>2042</v>
      </c>
      <c r="D1762" t="s">
        <v>173</v>
      </c>
      <c r="E1762" s="20">
        <v>464487.03899019101</v>
      </c>
      <c r="F1762" s="20">
        <v>431397.042999706</v>
      </c>
      <c r="G1762" s="10">
        <v>431397.042999706</v>
      </c>
      <c r="H1762" s="21">
        <f t="shared" si="54"/>
        <v>0</v>
      </c>
      <c r="I1762" s="10">
        <v>464487.03899019101</v>
      </c>
      <c r="J1762" s="21">
        <f t="shared" si="55"/>
        <v>0</v>
      </c>
    </row>
    <row r="1763" spans="1:10">
      <c r="A1763" t="s">
        <v>72</v>
      </c>
      <c r="B1763" t="s">
        <v>332</v>
      </c>
      <c r="C1763" s="18">
        <v>2042</v>
      </c>
      <c r="D1763" t="s">
        <v>177</v>
      </c>
      <c r="E1763" s="20">
        <v>799225.499121645</v>
      </c>
      <c r="F1763" s="20">
        <v>503603.80380956898</v>
      </c>
      <c r="G1763" s="10">
        <v>503603.80380956898</v>
      </c>
      <c r="H1763" s="21">
        <f t="shared" si="54"/>
        <v>0</v>
      </c>
      <c r="I1763" s="10">
        <v>799225.499121645</v>
      </c>
      <c r="J1763" s="21">
        <f t="shared" si="55"/>
        <v>0</v>
      </c>
    </row>
    <row r="1764" spans="1:10">
      <c r="A1764" t="s">
        <v>72</v>
      </c>
      <c r="B1764" t="s">
        <v>332</v>
      </c>
      <c r="C1764" s="18">
        <v>2042</v>
      </c>
      <c r="D1764" t="s">
        <v>181</v>
      </c>
      <c r="E1764" s="20">
        <v>612664.177038008</v>
      </c>
      <c r="F1764" s="20">
        <v>357930.93950443697</v>
      </c>
      <c r="G1764" s="10">
        <v>357930.93950443697</v>
      </c>
      <c r="H1764" s="21">
        <f t="shared" si="54"/>
        <v>0</v>
      </c>
      <c r="I1764" s="10">
        <v>612664.177038008</v>
      </c>
      <c r="J1764" s="21">
        <f t="shared" si="55"/>
        <v>0</v>
      </c>
    </row>
    <row r="1765" spans="1:10">
      <c r="A1765" t="s">
        <v>72</v>
      </c>
      <c r="B1765" t="s">
        <v>332</v>
      </c>
      <c r="C1765" s="18">
        <v>2042</v>
      </c>
      <c r="D1765" t="s">
        <v>209</v>
      </c>
      <c r="E1765" s="20">
        <v>43278.728481607301</v>
      </c>
      <c r="F1765" s="20">
        <v>7616.5928035502902</v>
      </c>
      <c r="G1765" s="10">
        <v>7616.5928035502902</v>
      </c>
      <c r="H1765" s="21">
        <f t="shared" si="54"/>
        <v>0</v>
      </c>
      <c r="I1765" s="10">
        <v>43278.728481607301</v>
      </c>
      <c r="J1765" s="21">
        <f t="shared" si="55"/>
        <v>0</v>
      </c>
    </row>
    <row r="1766" spans="1:10">
      <c r="A1766" t="s">
        <v>72</v>
      </c>
      <c r="B1766" t="s">
        <v>332</v>
      </c>
      <c r="C1766" s="18">
        <v>2043</v>
      </c>
      <c r="D1766" t="s">
        <v>187</v>
      </c>
      <c r="E1766" s="20">
        <v>20720.548205455299</v>
      </c>
      <c r="F1766" s="20">
        <v>14572.883153271399</v>
      </c>
      <c r="G1766" s="10">
        <v>14572.883153271399</v>
      </c>
      <c r="H1766" s="21">
        <f t="shared" si="54"/>
        <v>0</v>
      </c>
      <c r="I1766" s="10">
        <v>20720.548205455299</v>
      </c>
      <c r="J1766" s="21">
        <f t="shared" si="55"/>
        <v>0</v>
      </c>
    </row>
    <row r="1767" spans="1:10">
      <c r="A1767" t="s">
        <v>72</v>
      </c>
      <c r="B1767" t="s">
        <v>332</v>
      </c>
      <c r="C1767" s="18">
        <v>2043</v>
      </c>
      <c r="D1767" t="s">
        <v>227</v>
      </c>
      <c r="E1767" s="20">
        <v>1213049.26096591</v>
      </c>
      <c r="F1767" s="20">
        <v>272950.43541917799</v>
      </c>
      <c r="G1767" s="10">
        <v>272950.43541917799</v>
      </c>
      <c r="H1767" s="21">
        <f t="shared" si="54"/>
        <v>0</v>
      </c>
      <c r="I1767" s="10">
        <v>1213049.26096591</v>
      </c>
      <c r="J1767" s="21">
        <f t="shared" si="55"/>
        <v>0</v>
      </c>
    </row>
    <row r="1768" spans="1:10">
      <c r="A1768" t="s">
        <v>72</v>
      </c>
      <c r="B1768" t="s">
        <v>332</v>
      </c>
      <c r="C1768" s="18">
        <v>2043</v>
      </c>
      <c r="D1768" t="s">
        <v>163</v>
      </c>
      <c r="E1768" s="20">
        <v>146993.81420820701</v>
      </c>
      <c r="F1768" s="20">
        <v>99271.391168072907</v>
      </c>
      <c r="G1768" s="10">
        <v>99271.391168072907</v>
      </c>
      <c r="H1768" s="21">
        <f t="shared" si="54"/>
        <v>0</v>
      </c>
      <c r="I1768" s="10">
        <v>146993.81420820701</v>
      </c>
      <c r="J1768" s="21">
        <f t="shared" si="55"/>
        <v>0</v>
      </c>
    </row>
    <row r="1769" spans="1:10">
      <c r="A1769" t="s">
        <v>72</v>
      </c>
      <c r="B1769" t="s">
        <v>332</v>
      </c>
      <c r="C1769" s="18">
        <v>2043</v>
      </c>
      <c r="D1769" t="s">
        <v>173</v>
      </c>
      <c r="E1769" s="20">
        <v>471154.83958066901</v>
      </c>
      <c r="F1769" s="20">
        <v>437679.98847184202</v>
      </c>
      <c r="G1769" s="10">
        <v>437679.98847184202</v>
      </c>
      <c r="H1769" s="21">
        <f t="shared" si="54"/>
        <v>0</v>
      </c>
      <c r="I1769" s="10">
        <v>471154.83958066901</v>
      </c>
      <c r="J1769" s="21">
        <f t="shared" si="55"/>
        <v>0</v>
      </c>
    </row>
    <row r="1770" spans="1:10">
      <c r="A1770" t="s">
        <v>72</v>
      </c>
      <c r="B1770" t="s">
        <v>332</v>
      </c>
      <c r="C1770" s="18">
        <v>2043</v>
      </c>
      <c r="D1770" t="s">
        <v>177</v>
      </c>
      <c r="E1770" s="20">
        <v>810014.77283431904</v>
      </c>
      <c r="F1770" s="20">
        <v>512610.44917931297</v>
      </c>
      <c r="G1770" s="10">
        <v>512610.44917931297</v>
      </c>
      <c r="H1770" s="21">
        <f t="shared" si="54"/>
        <v>0</v>
      </c>
      <c r="I1770" s="10">
        <v>810014.77283431904</v>
      </c>
      <c r="J1770" s="21">
        <f t="shared" si="55"/>
        <v>0</v>
      </c>
    </row>
    <row r="1771" spans="1:10">
      <c r="A1771" t="s">
        <v>72</v>
      </c>
      <c r="B1771" t="s">
        <v>332</v>
      </c>
      <c r="C1771" s="18">
        <v>2043</v>
      </c>
      <c r="D1771" t="s">
        <v>181</v>
      </c>
      <c r="E1771" s="20">
        <v>623953.35649413895</v>
      </c>
      <c r="F1771" s="20">
        <v>367959.059248153</v>
      </c>
      <c r="G1771" s="10">
        <v>367959.059248153</v>
      </c>
      <c r="H1771" s="21">
        <f t="shared" si="54"/>
        <v>0</v>
      </c>
      <c r="I1771" s="10">
        <v>623953.35649413895</v>
      </c>
      <c r="J1771" s="21">
        <f t="shared" si="55"/>
        <v>0</v>
      </c>
    </row>
    <row r="1772" spans="1:10">
      <c r="A1772" t="s">
        <v>72</v>
      </c>
      <c r="B1772" t="s">
        <v>332</v>
      </c>
      <c r="C1772" s="18">
        <v>2043</v>
      </c>
      <c r="D1772" t="s">
        <v>209</v>
      </c>
      <c r="E1772" s="20">
        <v>43232.1385441846</v>
      </c>
      <c r="F1772" s="20">
        <v>7634.6380979097503</v>
      </c>
      <c r="G1772" s="10">
        <v>7634.6380979097503</v>
      </c>
      <c r="H1772" s="21">
        <f t="shared" si="54"/>
        <v>0</v>
      </c>
      <c r="I1772" s="10">
        <v>43232.1385441846</v>
      </c>
      <c r="J1772" s="21">
        <f t="shared" si="55"/>
        <v>0</v>
      </c>
    </row>
    <row r="1773" spans="1:10">
      <c r="A1773" t="s">
        <v>72</v>
      </c>
      <c r="B1773" t="s">
        <v>332</v>
      </c>
      <c r="C1773" s="18">
        <v>2044</v>
      </c>
      <c r="D1773" t="s">
        <v>187</v>
      </c>
      <c r="E1773" s="20">
        <v>21220.2473713984</v>
      </c>
      <c r="F1773" s="20">
        <v>14861.4315691186</v>
      </c>
      <c r="G1773" s="10">
        <v>14861.4315691186</v>
      </c>
      <c r="H1773" s="21">
        <f t="shared" si="54"/>
        <v>0</v>
      </c>
      <c r="I1773" s="10">
        <v>21220.2473713984</v>
      </c>
      <c r="J1773" s="21">
        <f t="shared" si="55"/>
        <v>0</v>
      </c>
    </row>
    <row r="1774" spans="1:10">
      <c r="A1774" t="s">
        <v>72</v>
      </c>
      <c r="B1774" t="s">
        <v>332</v>
      </c>
      <c r="C1774" s="18">
        <v>2044</v>
      </c>
      <c r="D1774" t="s">
        <v>227</v>
      </c>
      <c r="E1774" s="20">
        <v>1218988.4670045001</v>
      </c>
      <c r="F1774" s="20">
        <v>280506.44153550803</v>
      </c>
      <c r="G1774" s="10">
        <v>280506.44153550803</v>
      </c>
      <c r="H1774" s="21">
        <f t="shared" si="54"/>
        <v>0</v>
      </c>
      <c r="I1774" s="10">
        <v>1218988.4670045001</v>
      </c>
      <c r="J1774" s="21">
        <f t="shared" si="55"/>
        <v>0</v>
      </c>
    </row>
    <row r="1775" spans="1:10">
      <c r="A1775" t="s">
        <v>72</v>
      </c>
      <c r="B1775" t="s">
        <v>332</v>
      </c>
      <c r="C1775" s="18">
        <v>2044</v>
      </c>
      <c r="D1775" t="s">
        <v>163</v>
      </c>
      <c r="E1775" s="20">
        <v>149696.21396730101</v>
      </c>
      <c r="F1775" s="20">
        <v>101112.290089553</v>
      </c>
      <c r="G1775" s="10">
        <v>101112.290089553</v>
      </c>
      <c r="H1775" s="21">
        <f t="shared" si="54"/>
        <v>0</v>
      </c>
      <c r="I1775" s="10">
        <v>149696.21396730101</v>
      </c>
      <c r="J1775" s="21">
        <f t="shared" si="55"/>
        <v>0</v>
      </c>
    </row>
    <row r="1776" spans="1:10">
      <c r="A1776" t="s">
        <v>72</v>
      </c>
      <c r="B1776" t="s">
        <v>332</v>
      </c>
      <c r="C1776" s="18">
        <v>2044</v>
      </c>
      <c r="D1776" t="s">
        <v>173</v>
      </c>
      <c r="E1776" s="20">
        <v>477581.31483664498</v>
      </c>
      <c r="F1776" s="20">
        <v>443800.63719739497</v>
      </c>
      <c r="G1776" s="10">
        <v>443800.63719739497</v>
      </c>
      <c r="H1776" s="21">
        <f t="shared" si="54"/>
        <v>0</v>
      </c>
      <c r="I1776" s="10">
        <v>477581.31483664498</v>
      </c>
      <c r="J1776" s="21">
        <f t="shared" si="55"/>
        <v>0</v>
      </c>
    </row>
    <row r="1777" spans="1:10">
      <c r="A1777" t="s">
        <v>72</v>
      </c>
      <c r="B1777" t="s">
        <v>332</v>
      </c>
      <c r="C1777" s="18">
        <v>2044</v>
      </c>
      <c r="D1777" t="s">
        <v>177</v>
      </c>
      <c r="E1777" s="20">
        <v>820742.37012193399</v>
      </c>
      <c r="F1777" s="20">
        <v>521420.17033099697</v>
      </c>
      <c r="G1777" s="10">
        <v>521420.17033099697</v>
      </c>
      <c r="H1777" s="21">
        <f t="shared" si="54"/>
        <v>0</v>
      </c>
      <c r="I1777" s="10">
        <v>820742.37012193399</v>
      </c>
      <c r="J1777" s="21">
        <f t="shared" si="55"/>
        <v>0</v>
      </c>
    </row>
    <row r="1778" spans="1:10">
      <c r="A1778" t="s">
        <v>72</v>
      </c>
      <c r="B1778" t="s">
        <v>332</v>
      </c>
      <c r="C1778" s="18">
        <v>2044</v>
      </c>
      <c r="D1778" t="s">
        <v>181</v>
      </c>
      <c r="E1778" s="20">
        <v>635024.54646764905</v>
      </c>
      <c r="F1778" s="20">
        <v>377918.58989895799</v>
      </c>
      <c r="G1778" s="10">
        <v>377918.58989895799</v>
      </c>
      <c r="H1778" s="21">
        <f t="shared" si="54"/>
        <v>0</v>
      </c>
      <c r="I1778" s="10">
        <v>635024.54646764905</v>
      </c>
      <c r="J1778" s="21">
        <f t="shared" si="55"/>
        <v>0</v>
      </c>
    </row>
    <row r="1779" spans="1:10">
      <c r="A1779" t="s">
        <v>72</v>
      </c>
      <c r="B1779" t="s">
        <v>332</v>
      </c>
      <c r="C1779" s="18">
        <v>2044</v>
      </c>
      <c r="D1779" t="s">
        <v>209</v>
      </c>
      <c r="E1779" s="20">
        <v>43202.630038859497</v>
      </c>
      <c r="F1779" s="20">
        <v>7652.7218257366803</v>
      </c>
      <c r="G1779" s="10">
        <v>7652.7218257366803</v>
      </c>
      <c r="H1779" s="21">
        <f t="shared" si="54"/>
        <v>0</v>
      </c>
      <c r="I1779" s="10">
        <v>43202.630038859497</v>
      </c>
      <c r="J1779" s="21">
        <f t="shared" si="55"/>
        <v>0</v>
      </c>
    </row>
    <row r="1780" spans="1:10">
      <c r="A1780" t="s">
        <v>72</v>
      </c>
      <c r="B1780" t="s">
        <v>332</v>
      </c>
      <c r="C1780" s="18">
        <v>2045</v>
      </c>
      <c r="D1780" t="s">
        <v>187</v>
      </c>
      <c r="E1780" s="20">
        <v>21717.616521529701</v>
      </c>
      <c r="F1780" s="20">
        <v>15148.297956242301</v>
      </c>
      <c r="G1780" s="10">
        <v>15148.297956242301</v>
      </c>
      <c r="H1780" s="21">
        <f t="shared" si="54"/>
        <v>0</v>
      </c>
      <c r="I1780" s="10">
        <v>21717.616521529701</v>
      </c>
      <c r="J1780" s="21">
        <f t="shared" si="55"/>
        <v>0</v>
      </c>
    </row>
    <row r="1781" spans="1:10">
      <c r="A1781" t="s">
        <v>72</v>
      </c>
      <c r="B1781" t="s">
        <v>332</v>
      </c>
      <c r="C1781" s="18">
        <v>2045</v>
      </c>
      <c r="D1781" t="s">
        <v>227</v>
      </c>
      <c r="E1781" s="20">
        <v>1224668.96644768</v>
      </c>
      <c r="F1781" s="20">
        <v>287925.04322278401</v>
      </c>
      <c r="G1781" s="10">
        <v>287925.04322278401</v>
      </c>
      <c r="H1781" s="21">
        <f t="shared" si="54"/>
        <v>0</v>
      </c>
      <c r="I1781" s="10">
        <v>1224668.96644768</v>
      </c>
      <c r="J1781" s="21">
        <f t="shared" si="55"/>
        <v>0</v>
      </c>
    </row>
    <row r="1782" spans="1:10">
      <c r="A1782" t="s">
        <v>72</v>
      </c>
      <c r="B1782" t="s">
        <v>332</v>
      </c>
      <c r="C1782" s="18">
        <v>2045</v>
      </c>
      <c r="D1782" t="s">
        <v>163</v>
      </c>
      <c r="E1782" s="20">
        <v>152338.05281588601</v>
      </c>
      <c r="F1782" s="20">
        <v>102935.314985138</v>
      </c>
      <c r="G1782" s="10">
        <v>102935.314985138</v>
      </c>
      <c r="H1782" s="21">
        <f t="shared" si="54"/>
        <v>0</v>
      </c>
      <c r="I1782" s="10">
        <v>152338.05281588601</v>
      </c>
      <c r="J1782" s="21">
        <f t="shared" si="55"/>
        <v>0</v>
      </c>
    </row>
    <row r="1783" spans="1:10">
      <c r="A1783" t="s">
        <v>72</v>
      </c>
      <c r="B1783" t="s">
        <v>332</v>
      </c>
      <c r="C1783" s="18">
        <v>2045</v>
      </c>
      <c r="D1783" t="s">
        <v>173</v>
      </c>
      <c r="E1783" s="20">
        <v>483723.51612219802</v>
      </c>
      <c r="F1783" s="20">
        <v>449717.558047709</v>
      </c>
      <c r="G1783" s="10">
        <v>449717.558047709</v>
      </c>
      <c r="H1783" s="21">
        <f t="shared" si="54"/>
        <v>0</v>
      </c>
      <c r="I1783" s="10">
        <v>483723.51612219802</v>
      </c>
      <c r="J1783" s="21">
        <f t="shared" si="55"/>
        <v>0</v>
      </c>
    </row>
    <row r="1784" spans="1:10">
      <c r="A1784" t="s">
        <v>72</v>
      </c>
      <c r="B1784" t="s">
        <v>332</v>
      </c>
      <c r="C1784" s="18">
        <v>2045</v>
      </c>
      <c r="D1784" t="s">
        <v>177</v>
      </c>
      <c r="E1784" s="20">
        <v>831470.21009817696</v>
      </c>
      <c r="F1784" s="20">
        <v>529994.22695920803</v>
      </c>
      <c r="G1784" s="10">
        <v>529994.22695920803</v>
      </c>
      <c r="H1784" s="21">
        <f t="shared" si="54"/>
        <v>0</v>
      </c>
      <c r="I1784" s="10">
        <v>831470.21009817696</v>
      </c>
      <c r="J1784" s="21">
        <f t="shared" si="55"/>
        <v>0</v>
      </c>
    </row>
    <row r="1785" spans="1:10">
      <c r="A1785" t="s">
        <v>72</v>
      </c>
      <c r="B1785" t="s">
        <v>332</v>
      </c>
      <c r="C1785" s="18">
        <v>2045</v>
      </c>
      <c r="D1785" t="s">
        <v>181</v>
      </c>
      <c r="E1785" s="20">
        <v>645730.44769895996</v>
      </c>
      <c r="F1785" s="20">
        <v>387750.67878189799</v>
      </c>
      <c r="G1785" s="10">
        <v>387750.67878189799</v>
      </c>
      <c r="H1785" s="21">
        <f t="shared" si="54"/>
        <v>0</v>
      </c>
      <c r="I1785" s="10">
        <v>645730.44769895996</v>
      </c>
      <c r="J1785" s="21">
        <f t="shared" si="55"/>
        <v>0</v>
      </c>
    </row>
    <row r="1786" spans="1:10">
      <c r="A1786" t="s">
        <v>72</v>
      </c>
      <c r="B1786" t="s">
        <v>332</v>
      </c>
      <c r="C1786" s="18">
        <v>2045</v>
      </c>
      <c r="D1786" t="s">
        <v>209</v>
      </c>
      <c r="E1786" s="20">
        <v>43190.603751316099</v>
      </c>
      <c r="F1786" s="20">
        <v>7672.0682267846396</v>
      </c>
      <c r="G1786" s="10">
        <v>7672.0682267846396</v>
      </c>
      <c r="H1786" s="21">
        <f t="shared" si="54"/>
        <v>0</v>
      </c>
      <c r="I1786" s="10">
        <v>43190.603751316099</v>
      </c>
      <c r="J1786" s="21">
        <f t="shared" si="55"/>
        <v>0</v>
      </c>
    </row>
    <row r="1787" spans="1:10">
      <c r="A1787" t="s">
        <v>72</v>
      </c>
      <c r="B1787" t="s">
        <v>332</v>
      </c>
      <c r="C1787" s="18">
        <v>2046</v>
      </c>
      <c r="D1787" t="s">
        <v>187</v>
      </c>
      <c r="E1787" s="20">
        <v>22210.974521910699</v>
      </c>
      <c r="F1787" s="20">
        <v>15436.8918612077</v>
      </c>
      <c r="G1787" s="10">
        <v>15436.8918612077</v>
      </c>
      <c r="H1787" s="21">
        <f t="shared" si="54"/>
        <v>0</v>
      </c>
      <c r="I1787" s="10">
        <v>22210.974521910699</v>
      </c>
      <c r="J1787" s="21">
        <f t="shared" si="55"/>
        <v>0</v>
      </c>
    </row>
    <row r="1788" spans="1:10">
      <c r="A1788" t="s">
        <v>72</v>
      </c>
      <c r="B1788" t="s">
        <v>332</v>
      </c>
      <c r="C1788" s="18">
        <v>2046</v>
      </c>
      <c r="D1788" t="s">
        <v>227</v>
      </c>
      <c r="E1788" s="20">
        <v>1230125.0687766999</v>
      </c>
      <c r="F1788" s="20">
        <v>295165.87720880198</v>
      </c>
      <c r="G1788" s="10">
        <v>295165.87720880198</v>
      </c>
      <c r="H1788" s="21">
        <f t="shared" si="54"/>
        <v>0</v>
      </c>
      <c r="I1788" s="10">
        <v>1230125.0687766999</v>
      </c>
      <c r="J1788" s="21">
        <f t="shared" si="55"/>
        <v>0</v>
      </c>
    </row>
    <row r="1789" spans="1:10">
      <c r="A1789" t="s">
        <v>72</v>
      </c>
      <c r="B1789" t="s">
        <v>332</v>
      </c>
      <c r="C1789" s="18">
        <v>2046</v>
      </c>
      <c r="D1789" t="s">
        <v>163</v>
      </c>
      <c r="E1789" s="20">
        <v>154919.18519988199</v>
      </c>
      <c r="F1789" s="20">
        <v>104731.13398431199</v>
      </c>
      <c r="G1789" s="10">
        <v>104731.13398431199</v>
      </c>
      <c r="H1789" s="21">
        <f t="shared" si="54"/>
        <v>0</v>
      </c>
      <c r="I1789" s="10">
        <v>154919.18519988199</v>
      </c>
      <c r="J1789" s="21">
        <f t="shared" si="55"/>
        <v>0</v>
      </c>
    </row>
    <row r="1790" spans="1:10">
      <c r="A1790" t="s">
        <v>72</v>
      </c>
      <c r="B1790" t="s">
        <v>332</v>
      </c>
      <c r="C1790" s="18">
        <v>2046</v>
      </c>
      <c r="D1790" t="s">
        <v>173</v>
      </c>
      <c r="E1790" s="20">
        <v>489559.56948849699</v>
      </c>
      <c r="F1790" s="20">
        <v>455310.080020589</v>
      </c>
      <c r="G1790" s="10">
        <v>455310.080020589</v>
      </c>
      <c r="H1790" s="21">
        <f t="shared" si="54"/>
        <v>0</v>
      </c>
      <c r="I1790" s="10">
        <v>489559.56948849699</v>
      </c>
      <c r="J1790" s="21">
        <f t="shared" si="55"/>
        <v>0</v>
      </c>
    </row>
    <row r="1791" spans="1:10">
      <c r="A1791" t="s">
        <v>72</v>
      </c>
      <c r="B1791" t="s">
        <v>332</v>
      </c>
      <c r="C1791" s="18">
        <v>2046</v>
      </c>
      <c r="D1791" t="s">
        <v>177</v>
      </c>
      <c r="E1791" s="20">
        <v>842022.211146035</v>
      </c>
      <c r="F1791" s="20">
        <v>538440.16822828504</v>
      </c>
      <c r="G1791" s="10">
        <v>538440.16822828504</v>
      </c>
      <c r="H1791" s="21">
        <f t="shared" si="54"/>
        <v>0</v>
      </c>
      <c r="I1791" s="10">
        <v>842022.211146035</v>
      </c>
      <c r="J1791" s="21">
        <f t="shared" si="55"/>
        <v>0</v>
      </c>
    </row>
    <row r="1792" spans="1:10">
      <c r="A1792" t="s">
        <v>72</v>
      </c>
      <c r="B1792" t="s">
        <v>332</v>
      </c>
      <c r="C1792" s="18">
        <v>2046</v>
      </c>
      <c r="D1792" t="s">
        <v>181</v>
      </c>
      <c r="E1792" s="20">
        <v>656023.20384824695</v>
      </c>
      <c r="F1792" s="20">
        <v>397431.95060261199</v>
      </c>
      <c r="G1792" s="10">
        <v>397431.95060261199</v>
      </c>
      <c r="H1792" s="21">
        <f t="shared" si="54"/>
        <v>0</v>
      </c>
      <c r="I1792" s="10">
        <v>656023.20384824695</v>
      </c>
      <c r="J1792" s="21">
        <f t="shared" si="55"/>
        <v>0</v>
      </c>
    </row>
    <row r="1793" spans="1:10">
      <c r="A1793" t="s">
        <v>72</v>
      </c>
      <c r="B1793" t="s">
        <v>332</v>
      </c>
      <c r="C1793" s="18">
        <v>2046</v>
      </c>
      <c r="D1793" t="s">
        <v>209</v>
      </c>
      <c r="E1793" s="20">
        <v>43196.310323112302</v>
      </c>
      <c r="F1793" s="20">
        <v>7693.5570486562501</v>
      </c>
      <c r="G1793" s="10">
        <v>7693.5570486562501</v>
      </c>
      <c r="H1793" s="21">
        <f t="shared" si="54"/>
        <v>0</v>
      </c>
      <c r="I1793" s="10">
        <v>43196.310323112302</v>
      </c>
      <c r="J1793" s="21">
        <f t="shared" si="55"/>
        <v>0</v>
      </c>
    </row>
    <row r="1794" spans="1:10">
      <c r="A1794" t="s">
        <v>72</v>
      </c>
      <c r="B1794" t="s">
        <v>332</v>
      </c>
      <c r="C1794" s="18">
        <v>2047</v>
      </c>
      <c r="D1794" t="s">
        <v>187</v>
      </c>
      <c r="E1794" s="20">
        <v>22699.6629629007</v>
      </c>
      <c r="F1794" s="20">
        <v>15728.485494730299</v>
      </c>
      <c r="G1794" s="10">
        <v>15728.485494730299</v>
      </c>
      <c r="H1794" s="21">
        <f t="shared" ref="H1794:H1857" si="56">G1794-F1794</f>
        <v>0</v>
      </c>
      <c r="I1794" s="10">
        <v>22699.6629629007</v>
      </c>
      <c r="J1794" s="21">
        <f t="shared" ref="J1794:J1857" si="57">I1794-E1794</f>
        <v>0</v>
      </c>
    </row>
    <row r="1795" spans="1:10">
      <c r="A1795" t="s">
        <v>72</v>
      </c>
      <c r="B1795" t="s">
        <v>332</v>
      </c>
      <c r="C1795" s="18">
        <v>2047</v>
      </c>
      <c r="D1795" t="s">
        <v>227</v>
      </c>
      <c r="E1795" s="20">
        <v>1235274.66521773</v>
      </c>
      <c r="F1795" s="20">
        <v>302180.55031250097</v>
      </c>
      <c r="G1795" s="10">
        <v>302180.55031250097</v>
      </c>
      <c r="H1795" s="21">
        <f t="shared" si="56"/>
        <v>0</v>
      </c>
      <c r="I1795" s="10">
        <v>1235274.66521773</v>
      </c>
      <c r="J1795" s="21">
        <f t="shared" si="57"/>
        <v>0</v>
      </c>
    </row>
    <row r="1796" spans="1:10">
      <c r="A1796" t="s">
        <v>72</v>
      </c>
      <c r="B1796" t="s">
        <v>332</v>
      </c>
      <c r="C1796" s="18">
        <v>2047</v>
      </c>
      <c r="D1796" t="s">
        <v>163</v>
      </c>
      <c r="E1796" s="20">
        <v>157435.937342911</v>
      </c>
      <c r="F1796" s="20">
        <v>106487.67776034201</v>
      </c>
      <c r="G1796" s="10">
        <v>106487.67776034201</v>
      </c>
      <c r="H1796" s="21">
        <f t="shared" si="56"/>
        <v>0</v>
      </c>
      <c r="I1796" s="10">
        <v>157435.937342911</v>
      </c>
      <c r="J1796" s="21">
        <f t="shared" si="57"/>
        <v>0</v>
      </c>
    </row>
    <row r="1797" spans="1:10">
      <c r="A1797" t="s">
        <v>72</v>
      </c>
      <c r="B1797" t="s">
        <v>332</v>
      </c>
      <c r="C1797" s="18">
        <v>2047</v>
      </c>
      <c r="D1797" t="s">
        <v>173</v>
      </c>
      <c r="E1797" s="20">
        <v>495047.33168069902</v>
      </c>
      <c r="F1797" s="20">
        <v>460539.427749469</v>
      </c>
      <c r="G1797" s="10">
        <v>460539.427749469</v>
      </c>
      <c r="H1797" s="21">
        <f t="shared" si="56"/>
        <v>0</v>
      </c>
      <c r="I1797" s="10">
        <v>495047.33168069902</v>
      </c>
      <c r="J1797" s="21">
        <f t="shared" si="57"/>
        <v>0</v>
      </c>
    </row>
    <row r="1798" spans="1:10">
      <c r="A1798" t="s">
        <v>72</v>
      </c>
      <c r="B1798" t="s">
        <v>332</v>
      </c>
      <c r="C1798" s="18">
        <v>2047</v>
      </c>
      <c r="D1798" t="s">
        <v>177</v>
      </c>
      <c r="E1798" s="20">
        <v>852357.03689663101</v>
      </c>
      <c r="F1798" s="20">
        <v>546892.884748123</v>
      </c>
      <c r="G1798" s="10">
        <v>546892.884748123</v>
      </c>
      <c r="H1798" s="21">
        <f t="shared" si="56"/>
        <v>0</v>
      </c>
      <c r="I1798" s="10">
        <v>852357.03689663101</v>
      </c>
      <c r="J1798" s="21">
        <f t="shared" si="57"/>
        <v>0</v>
      </c>
    </row>
    <row r="1799" spans="1:10">
      <c r="A1799" t="s">
        <v>72</v>
      </c>
      <c r="B1799" t="s">
        <v>332</v>
      </c>
      <c r="C1799" s="18">
        <v>2047</v>
      </c>
      <c r="D1799" t="s">
        <v>181</v>
      </c>
      <c r="E1799" s="20">
        <v>665960.53053760703</v>
      </c>
      <c r="F1799" s="20">
        <v>406938.30985862098</v>
      </c>
      <c r="G1799" s="10">
        <v>406938.30985862098</v>
      </c>
      <c r="H1799" s="21">
        <f t="shared" si="56"/>
        <v>0</v>
      </c>
      <c r="I1799" s="10">
        <v>665960.53053760703</v>
      </c>
      <c r="J1799" s="21">
        <f t="shared" si="57"/>
        <v>0</v>
      </c>
    </row>
    <row r="1800" spans="1:10">
      <c r="A1800" t="s">
        <v>72</v>
      </c>
      <c r="B1800" t="s">
        <v>332</v>
      </c>
      <c r="C1800" s="18">
        <v>2047</v>
      </c>
      <c r="D1800" t="s">
        <v>209</v>
      </c>
      <c r="E1800" s="20">
        <v>43217.634192350401</v>
      </c>
      <c r="F1800" s="20">
        <v>7716.2645250788601</v>
      </c>
      <c r="G1800" s="10">
        <v>7716.2645250788601</v>
      </c>
      <c r="H1800" s="21">
        <f t="shared" si="56"/>
        <v>0</v>
      </c>
      <c r="I1800" s="10">
        <v>43217.634192350401</v>
      </c>
      <c r="J1800" s="21">
        <f t="shared" si="57"/>
        <v>0</v>
      </c>
    </row>
    <row r="1801" spans="1:10">
      <c r="A1801" t="s">
        <v>72</v>
      </c>
      <c r="B1801" t="s">
        <v>332</v>
      </c>
      <c r="C1801" s="18">
        <v>2048</v>
      </c>
      <c r="D1801" t="s">
        <v>187</v>
      </c>
      <c r="E1801" s="20">
        <v>23179.777529823201</v>
      </c>
      <c r="F1801" s="20">
        <v>16025.2187605858</v>
      </c>
      <c r="G1801" s="10">
        <v>16025.2187605858</v>
      </c>
      <c r="H1801" s="21">
        <f t="shared" si="56"/>
        <v>0</v>
      </c>
      <c r="I1801" s="10">
        <v>23179.777529823201</v>
      </c>
      <c r="J1801" s="21">
        <f t="shared" si="57"/>
        <v>0</v>
      </c>
    </row>
    <row r="1802" spans="1:10">
      <c r="A1802" t="s">
        <v>72</v>
      </c>
      <c r="B1802" t="s">
        <v>332</v>
      </c>
      <c r="C1802" s="18">
        <v>2048</v>
      </c>
      <c r="D1802" t="s">
        <v>227</v>
      </c>
      <c r="E1802" s="20">
        <v>1240209.10376068</v>
      </c>
      <c r="F1802" s="20">
        <v>308964.31037728197</v>
      </c>
      <c r="G1802" s="10">
        <v>308964.31037728197</v>
      </c>
      <c r="H1802" s="21">
        <f t="shared" si="56"/>
        <v>0</v>
      </c>
      <c r="I1802" s="10">
        <v>1240209.10376068</v>
      </c>
      <c r="J1802" s="21">
        <f t="shared" si="57"/>
        <v>0</v>
      </c>
    </row>
    <row r="1803" spans="1:10">
      <c r="A1803" t="s">
        <v>72</v>
      </c>
      <c r="B1803" t="s">
        <v>332</v>
      </c>
      <c r="C1803" s="18">
        <v>2048</v>
      </c>
      <c r="D1803" t="s">
        <v>163</v>
      </c>
      <c r="E1803" s="20">
        <v>159877.06955740901</v>
      </c>
      <c r="F1803" s="20">
        <v>108205.309376064</v>
      </c>
      <c r="G1803" s="10">
        <v>108205.309376064</v>
      </c>
      <c r="H1803" s="21">
        <f t="shared" si="56"/>
        <v>0</v>
      </c>
      <c r="I1803" s="10">
        <v>159877.06955740901</v>
      </c>
      <c r="J1803" s="21">
        <f t="shared" si="57"/>
        <v>0</v>
      </c>
    </row>
    <row r="1804" spans="1:10">
      <c r="A1804" t="s">
        <v>72</v>
      </c>
      <c r="B1804" t="s">
        <v>332</v>
      </c>
      <c r="C1804" s="18">
        <v>2048</v>
      </c>
      <c r="D1804" t="s">
        <v>173</v>
      </c>
      <c r="E1804" s="20">
        <v>500251.96367663803</v>
      </c>
      <c r="F1804" s="20">
        <v>465558.478994868</v>
      </c>
      <c r="G1804" s="10">
        <v>465558.478994868</v>
      </c>
      <c r="H1804" s="21">
        <f t="shared" si="56"/>
        <v>0</v>
      </c>
      <c r="I1804" s="10">
        <v>500251.96367663803</v>
      </c>
      <c r="J1804" s="21">
        <f t="shared" si="57"/>
        <v>0</v>
      </c>
    </row>
    <row r="1805" spans="1:10">
      <c r="A1805" t="s">
        <v>72</v>
      </c>
      <c r="B1805" t="s">
        <v>332</v>
      </c>
      <c r="C1805" s="18">
        <v>2048</v>
      </c>
      <c r="D1805" t="s">
        <v>177</v>
      </c>
      <c r="E1805" s="20">
        <v>862421.19766606798</v>
      </c>
      <c r="F1805" s="20">
        <v>555219.25427407597</v>
      </c>
      <c r="G1805" s="10">
        <v>555219.25427407597</v>
      </c>
      <c r="H1805" s="21">
        <f t="shared" si="56"/>
        <v>0</v>
      </c>
      <c r="I1805" s="10">
        <v>862421.19766606798</v>
      </c>
      <c r="J1805" s="21">
        <f t="shared" si="57"/>
        <v>0</v>
      </c>
    </row>
    <row r="1806" spans="1:10">
      <c r="A1806" t="s">
        <v>72</v>
      </c>
      <c r="B1806" t="s">
        <v>332</v>
      </c>
      <c r="C1806" s="18">
        <v>2048</v>
      </c>
      <c r="D1806" t="s">
        <v>181</v>
      </c>
      <c r="E1806" s="20">
        <v>675538.06713143899</v>
      </c>
      <c r="F1806" s="20">
        <v>416221.14564351598</v>
      </c>
      <c r="G1806" s="10">
        <v>416221.14564351598</v>
      </c>
      <c r="H1806" s="21">
        <f t="shared" si="56"/>
        <v>0</v>
      </c>
      <c r="I1806" s="10">
        <v>675538.06713143899</v>
      </c>
      <c r="J1806" s="21">
        <f t="shared" si="57"/>
        <v>0</v>
      </c>
    </row>
    <row r="1807" spans="1:10">
      <c r="A1807" t="s">
        <v>72</v>
      </c>
      <c r="B1807" t="s">
        <v>332</v>
      </c>
      <c r="C1807" s="18">
        <v>2048</v>
      </c>
      <c r="D1807" t="s">
        <v>209</v>
      </c>
      <c r="E1807" s="20">
        <v>43247.116568268502</v>
      </c>
      <c r="F1807" s="20">
        <v>7740.9682323091401</v>
      </c>
      <c r="G1807" s="10">
        <v>7740.9682323091401</v>
      </c>
      <c r="H1807" s="21">
        <f t="shared" si="56"/>
        <v>0</v>
      </c>
      <c r="I1807" s="10">
        <v>43247.116568268502</v>
      </c>
      <c r="J1807" s="21">
        <f t="shared" si="57"/>
        <v>0</v>
      </c>
    </row>
    <row r="1808" spans="1:10">
      <c r="A1808" t="s">
        <v>72</v>
      </c>
      <c r="B1808" t="s">
        <v>332</v>
      </c>
      <c r="C1808" s="18">
        <v>2049</v>
      </c>
      <c r="D1808" t="s">
        <v>187</v>
      </c>
      <c r="E1808" s="20">
        <v>23650.361484044901</v>
      </c>
      <c r="F1808" s="20">
        <v>16322.61151708</v>
      </c>
      <c r="G1808" s="10">
        <v>16322.61151708</v>
      </c>
      <c r="H1808" s="21">
        <f t="shared" si="56"/>
        <v>0</v>
      </c>
      <c r="I1808" s="10">
        <v>23650.361484044901</v>
      </c>
      <c r="J1808" s="21">
        <f t="shared" si="57"/>
        <v>0</v>
      </c>
    </row>
    <row r="1809" spans="1:10">
      <c r="A1809" t="s">
        <v>72</v>
      </c>
      <c r="B1809" t="s">
        <v>332</v>
      </c>
      <c r="C1809" s="18">
        <v>2049</v>
      </c>
      <c r="D1809" t="s">
        <v>227</v>
      </c>
      <c r="E1809" s="20">
        <v>1244958.37630862</v>
      </c>
      <c r="F1809" s="20">
        <v>315528.65457465599</v>
      </c>
      <c r="G1809" s="10">
        <v>315528.65457465599</v>
      </c>
      <c r="H1809" s="21">
        <f t="shared" si="56"/>
        <v>0</v>
      </c>
      <c r="I1809" s="10">
        <v>1244958.37630862</v>
      </c>
      <c r="J1809" s="21">
        <f t="shared" si="57"/>
        <v>0</v>
      </c>
    </row>
    <row r="1810" spans="1:10">
      <c r="A1810" t="s">
        <v>72</v>
      </c>
      <c r="B1810" t="s">
        <v>332</v>
      </c>
      <c r="C1810" s="18">
        <v>2049</v>
      </c>
      <c r="D1810" t="s">
        <v>163</v>
      </c>
      <c r="E1810" s="20">
        <v>162238.134685625</v>
      </c>
      <c r="F1810" s="20">
        <v>109882.371148655</v>
      </c>
      <c r="G1810" s="10">
        <v>109882.371148655</v>
      </c>
      <c r="H1810" s="21">
        <f t="shared" si="56"/>
        <v>0</v>
      </c>
      <c r="I1810" s="10">
        <v>162238.134685625</v>
      </c>
      <c r="J1810" s="21">
        <f t="shared" si="57"/>
        <v>0</v>
      </c>
    </row>
    <row r="1811" spans="1:10">
      <c r="A1811" t="s">
        <v>72</v>
      </c>
      <c r="B1811" t="s">
        <v>332</v>
      </c>
      <c r="C1811" s="18">
        <v>2049</v>
      </c>
      <c r="D1811" t="s">
        <v>173</v>
      </c>
      <c r="E1811" s="20">
        <v>505215.90050813899</v>
      </c>
      <c r="F1811" s="20">
        <v>470383.880162835</v>
      </c>
      <c r="G1811" s="10">
        <v>470383.880162835</v>
      </c>
      <c r="H1811" s="21">
        <f t="shared" si="56"/>
        <v>0</v>
      </c>
      <c r="I1811" s="10">
        <v>505215.90050813899</v>
      </c>
      <c r="J1811" s="21">
        <f t="shared" si="57"/>
        <v>0</v>
      </c>
    </row>
    <row r="1812" spans="1:10">
      <c r="A1812" t="s">
        <v>72</v>
      </c>
      <c r="B1812" t="s">
        <v>332</v>
      </c>
      <c r="C1812" s="18">
        <v>2049</v>
      </c>
      <c r="D1812" t="s">
        <v>177</v>
      </c>
      <c r="E1812" s="20">
        <v>872039.41256190802</v>
      </c>
      <c r="F1812" s="20">
        <v>563337.76559367101</v>
      </c>
      <c r="G1812" s="10">
        <v>563337.76559367101</v>
      </c>
      <c r="H1812" s="21">
        <f t="shared" si="56"/>
        <v>0</v>
      </c>
      <c r="I1812" s="10">
        <v>872039.41256190802</v>
      </c>
      <c r="J1812" s="21">
        <f t="shared" si="57"/>
        <v>0</v>
      </c>
    </row>
    <row r="1813" spans="1:10">
      <c r="A1813" t="s">
        <v>72</v>
      </c>
      <c r="B1813" t="s">
        <v>332</v>
      </c>
      <c r="C1813" s="18">
        <v>2049</v>
      </c>
      <c r="D1813" t="s">
        <v>181</v>
      </c>
      <c r="E1813" s="20">
        <v>684799.51924341801</v>
      </c>
      <c r="F1813" s="20">
        <v>425211.29480666103</v>
      </c>
      <c r="G1813" s="10">
        <v>425211.29480666103</v>
      </c>
      <c r="H1813" s="21">
        <f t="shared" si="56"/>
        <v>0</v>
      </c>
      <c r="I1813" s="10">
        <v>684799.51924341801</v>
      </c>
      <c r="J1813" s="21">
        <f t="shared" si="57"/>
        <v>0</v>
      </c>
    </row>
    <row r="1814" spans="1:10">
      <c r="A1814" t="s">
        <v>72</v>
      </c>
      <c r="B1814" t="s">
        <v>332</v>
      </c>
      <c r="C1814" s="18">
        <v>2049</v>
      </c>
      <c r="D1814" t="s">
        <v>209</v>
      </c>
      <c r="E1814" s="20">
        <v>43287.694118175197</v>
      </c>
      <c r="F1814" s="20">
        <v>7764.4250577338198</v>
      </c>
      <c r="G1814" s="10">
        <v>7764.4250577338198</v>
      </c>
      <c r="H1814" s="21">
        <f t="shared" si="56"/>
        <v>0</v>
      </c>
      <c r="I1814" s="10">
        <v>43287.694118175197</v>
      </c>
      <c r="J1814" s="21">
        <f t="shared" si="57"/>
        <v>0</v>
      </c>
    </row>
    <row r="1815" spans="1:10">
      <c r="A1815" t="s">
        <v>72</v>
      </c>
      <c r="B1815" t="s">
        <v>332</v>
      </c>
      <c r="C1815" s="18">
        <v>2050</v>
      </c>
      <c r="D1815" t="s">
        <v>187</v>
      </c>
      <c r="E1815" s="20">
        <v>24110.4306261692</v>
      </c>
      <c r="F1815" s="20">
        <v>16618.923709126098</v>
      </c>
      <c r="G1815" s="10">
        <v>16618.923709126098</v>
      </c>
      <c r="H1815" s="21">
        <f t="shared" si="56"/>
        <v>0</v>
      </c>
      <c r="I1815" s="10">
        <v>24110.4306261692</v>
      </c>
      <c r="J1815" s="21">
        <f t="shared" si="57"/>
        <v>0</v>
      </c>
    </row>
    <row r="1816" spans="1:10">
      <c r="A1816" t="s">
        <v>72</v>
      </c>
      <c r="B1816" t="s">
        <v>332</v>
      </c>
      <c r="C1816" s="18">
        <v>2050</v>
      </c>
      <c r="D1816" t="s">
        <v>227</v>
      </c>
      <c r="E1816" s="20">
        <v>1249574.9812984299</v>
      </c>
      <c r="F1816" s="20">
        <v>321866.14542390499</v>
      </c>
      <c r="G1816" s="10">
        <v>321866.14542390499</v>
      </c>
      <c r="H1816" s="21">
        <f t="shared" si="56"/>
        <v>0</v>
      </c>
      <c r="I1816" s="10">
        <v>1249574.9812984299</v>
      </c>
      <c r="J1816" s="21">
        <f t="shared" si="57"/>
        <v>0</v>
      </c>
    </row>
    <row r="1817" spans="1:10">
      <c r="A1817" t="s">
        <v>72</v>
      </c>
      <c r="B1817" t="s">
        <v>332</v>
      </c>
      <c r="C1817" s="18">
        <v>2050</v>
      </c>
      <c r="D1817" t="s">
        <v>163</v>
      </c>
      <c r="E1817" s="20">
        <v>164526.94959842</v>
      </c>
      <c r="F1817" s="20">
        <v>111496.260054028</v>
      </c>
      <c r="G1817" s="10">
        <v>111496.260054028</v>
      </c>
      <c r="H1817" s="21">
        <f t="shared" si="56"/>
        <v>0</v>
      </c>
      <c r="I1817" s="10">
        <v>164526.94959842</v>
      </c>
      <c r="J1817" s="21">
        <f t="shared" si="57"/>
        <v>0</v>
      </c>
    </row>
    <row r="1818" spans="1:10">
      <c r="A1818" t="s">
        <v>72</v>
      </c>
      <c r="B1818" t="s">
        <v>332</v>
      </c>
      <c r="C1818" s="18">
        <v>2050</v>
      </c>
      <c r="D1818" t="s">
        <v>173</v>
      </c>
      <c r="E1818" s="20">
        <v>509923.79465326603</v>
      </c>
      <c r="F1818" s="20">
        <v>474893.25455494301</v>
      </c>
      <c r="G1818" s="10">
        <v>474893.25455494301</v>
      </c>
      <c r="H1818" s="21">
        <f t="shared" si="56"/>
        <v>0</v>
      </c>
      <c r="I1818" s="10">
        <v>509923.79465326603</v>
      </c>
      <c r="J1818" s="21">
        <f t="shared" si="57"/>
        <v>0</v>
      </c>
    </row>
    <row r="1819" spans="1:10">
      <c r="A1819" t="s">
        <v>72</v>
      </c>
      <c r="B1819" t="s">
        <v>332</v>
      </c>
      <c r="C1819" s="18">
        <v>2050</v>
      </c>
      <c r="D1819" t="s">
        <v>177</v>
      </c>
      <c r="E1819" s="20">
        <v>881220.21017861494</v>
      </c>
      <c r="F1819" s="20">
        <v>571305.13066545594</v>
      </c>
      <c r="G1819" s="10">
        <v>571305.13066545594</v>
      </c>
      <c r="H1819" s="21">
        <f t="shared" si="56"/>
        <v>0</v>
      </c>
      <c r="I1819" s="10">
        <v>881220.21017861494</v>
      </c>
      <c r="J1819" s="21">
        <f t="shared" si="57"/>
        <v>0</v>
      </c>
    </row>
    <row r="1820" spans="1:10">
      <c r="A1820" t="s">
        <v>72</v>
      </c>
      <c r="B1820" t="s">
        <v>332</v>
      </c>
      <c r="C1820" s="18">
        <v>2050</v>
      </c>
      <c r="D1820" t="s">
        <v>181</v>
      </c>
      <c r="E1820" s="20">
        <v>693833.37581002596</v>
      </c>
      <c r="F1820" s="20">
        <v>433928.11684243701</v>
      </c>
      <c r="G1820" s="10">
        <v>433928.11684243701</v>
      </c>
      <c r="H1820" s="21">
        <f t="shared" si="56"/>
        <v>0</v>
      </c>
      <c r="I1820" s="10">
        <v>693833.37581002596</v>
      </c>
      <c r="J1820" s="21">
        <f t="shared" si="57"/>
        <v>0</v>
      </c>
    </row>
    <row r="1821" spans="1:10">
      <c r="A1821" t="s">
        <v>72</v>
      </c>
      <c r="B1821" t="s">
        <v>332</v>
      </c>
      <c r="C1821" s="18">
        <v>2050</v>
      </c>
      <c r="D1821" t="s">
        <v>209</v>
      </c>
      <c r="E1821" s="20">
        <v>43337.334071848098</v>
      </c>
      <c r="F1821" s="20">
        <v>7785.5925162465101</v>
      </c>
      <c r="G1821" s="10">
        <v>7785.5925162465101</v>
      </c>
      <c r="H1821" s="21">
        <f t="shared" si="56"/>
        <v>0</v>
      </c>
      <c r="I1821" s="10">
        <v>43337.334071848098</v>
      </c>
      <c r="J1821" s="21">
        <f t="shared" si="57"/>
        <v>0</v>
      </c>
    </row>
  </sheetData>
  <autoFilter ref="A1:J1" xr:uid="{00000000-0009-0000-0000-000004000000}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AH1353"/>
  <sheetViews>
    <sheetView workbookViewId="0">
      <pane ySplit="1" topLeftCell="A468" activePane="bottomLeft" state="frozen"/>
      <selection pane="bottomLeft" activeCell="J470" sqref="J470:J495"/>
    </sheetView>
  </sheetViews>
  <sheetFormatPr defaultColWidth="11.19921875" defaultRowHeight="13.8"/>
  <cols>
    <col min="1" max="2" width="11.69921875" customWidth="1"/>
    <col min="3" max="3" width="17.69921875" customWidth="1"/>
    <col min="4" max="4" width="12.69921875" customWidth="1"/>
    <col min="5" max="5" width="16.69921875" customWidth="1"/>
    <col min="6" max="6" width="20.69921875" customWidth="1"/>
    <col min="7" max="7" width="15.69921875" customWidth="1"/>
    <col min="8" max="8" width="12.69921875" customWidth="1"/>
    <col min="9" max="9" width="28.69921875" customWidth="1"/>
    <col min="10" max="10" width="29.69921875" customWidth="1"/>
    <col min="11" max="12" width="19.69921875" customWidth="1"/>
    <col min="13" max="13" width="20.69921875" customWidth="1"/>
    <col min="14" max="14" width="15.69921875" customWidth="1"/>
    <col min="15" max="16" width="14.69921875" customWidth="1"/>
    <col min="17" max="18" width="22.69921875" customWidth="1"/>
    <col min="19" max="20" width="25.69921875" customWidth="1"/>
    <col min="21" max="21" width="12.69921875" customWidth="1"/>
    <col min="22" max="22" width="17.69921875" customWidth="1"/>
    <col min="23" max="24" width="20.69921875" customWidth="1"/>
    <col min="25" max="25" width="23.69921875" customWidth="1"/>
    <col min="26" max="26" width="12.69921875" customWidth="1"/>
    <col min="27" max="27" width="16.69921875" customWidth="1"/>
    <col min="28" max="28" width="17.69921875" customWidth="1"/>
    <col min="29" max="29" width="13.69921875" customWidth="1"/>
    <col min="30" max="30" width="12.69921875" customWidth="1"/>
    <col min="31" max="31" width="11.69921875" customWidth="1"/>
    <col min="32" max="33" width="21.69921875" customWidth="1"/>
    <col min="34" max="34" width="24.69921875" customWidth="1"/>
  </cols>
  <sheetData>
    <row r="1" spans="1:34" ht="28.05" customHeight="1">
      <c r="A1" s="1" t="s">
        <v>322</v>
      </c>
      <c r="B1" s="1" t="s">
        <v>25</v>
      </c>
      <c r="C1" s="1" t="s">
        <v>137</v>
      </c>
      <c r="D1" s="1" t="s">
        <v>141</v>
      </c>
      <c r="E1" s="1" t="s">
        <v>232</v>
      </c>
      <c r="F1" s="1" t="s">
        <v>233</v>
      </c>
      <c r="G1" s="1" t="s">
        <v>153</v>
      </c>
      <c r="H1" s="1" t="s">
        <v>154</v>
      </c>
      <c r="I1" s="1" t="s">
        <v>236</v>
      </c>
      <c r="J1" s="1" t="s">
        <v>237</v>
      </c>
      <c r="K1" s="1" t="s">
        <v>333</v>
      </c>
      <c r="L1" s="1" t="s">
        <v>334</v>
      </c>
      <c r="M1" s="1" t="s">
        <v>238</v>
      </c>
      <c r="N1" s="1" t="s">
        <v>242</v>
      </c>
      <c r="O1" s="1" t="s">
        <v>335</v>
      </c>
      <c r="P1" s="1" t="s">
        <v>336</v>
      </c>
      <c r="Q1" s="1" t="s">
        <v>337</v>
      </c>
      <c r="R1" s="1" t="s">
        <v>338</v>
      </c>
      <c r="S1" s="1" t="s">
        <v>339</v>
      </c>
      <c r="T1" s="1" t="s">
        <v>244</v>
      </c>
      <c r="U1" s="1" t="s">
        <v>243</v>
      </c>
      <c r="V1" s="1" t="s">
        <v>340</v>
      </c>
      <c r="W1" s="1" t="s">
        <v>341</v>
      </c>
      <c r="X1" s="1" t="s">
        <v>342</v>
      </c>
      <c r="Y1" s="1" t="s">
        <v>343</v>
      </c>
      <c r="Z1" s="1" t="s">
        <v>246</v>
      </c>
      <c r="AA1" s="1" t="s">
        <v>247</v>
      </c>
      <c r="AB1" s="1" t="s">
        <v>248</v>
      </c>
      <c r="AC1" s="1" t="s">
        <v>239</v>
      </c>
      <c r="AD1" s="1" t="s">
        <v>240</v>
      </c>
      <c r="AE1" s="1" t="s">
        <v>241</v>
      </c>
      <c r="AF1" s="1" t="s">
        <v>344</v>
      </c>
      <c r="AG1" s="1" t="s">
        <v>345</v>
      </c>
      <c r="AH1" s="1" t="s">
        <v>346</v>
      </c>
    </row>
    <row r="2" spans="1:34" hidden="1">
      <c r="A2" t="s">
        <v>159</v>
      </c>
      <c r="B2" s="18">
        <v>2025</v>
      </c>
      <c r="C2" t="s">
        <v>159</v>
      </c>
      <c r="E2" s="20" t="s">
        <v>257</v>
      </c>
      <c r="F2" s="20" t="s">
        <v>258</v>
      </c>
      <c r="G2" s="20" t="s">
        <v>168</v>
      </c>
      <c r="H2" s="20" t="s">
        <v>169</v>
      </c>
      <c r="I2" s="20" t="s">
        <v>75</v>
      </c>
      <c r="J2" s="15">
        <f>IFERROR(INDEX(Cost_Components!$K$2:$K$27,MATCH(E2,Cost_Components!$A$2:$A$27,0)),"")</f>
        <v>0.2</v>
      </c>
      <c r="K2" s="15">
        <f t="shared" ref="K2:K65" si="0">IF(OR(L2="",Z2="",AA2="",AB2=""),"",IF(B2&lt;AA2,L2,IF(B2&gt;AB2,Z2,L2+(Z2-L2)*MIN(MAX((B2-AA2+1)/MAX(AB2-AA2+1,1),0),1))))</f>
        <v>0.32884615384615384</v>
      </c>
      <c r="L2" s="15">
        <f>IFERROR(INDEX(Cost_Components!$S$2:$S$27,MATCH(E2,Cost_Components!$A$2:$A$27,0)),"")</f>
        <v>0.31</v>
      </c>
      <c r="M2" s="26">
        <f>IFERROR(INDEX(Cost_Components!$L$2:$L$27,MATCH(E2,Cost_Components!$A$2:$A$27,0)),"")</f>
        <v>1</v>
      </c>
      <c r="N2" s="27">
        <f>IFERROR(INDEX(Cost_Components!$P$2:$P$27,MATCH(E2,Cost_Components!$A$2:$A$27,0)),"")</f>
        <v>1.2915840000000001</v>
      </c>
      <c r="O2" s="21">
        <f t="shared" ref="O2:O65" si="1">AF2*J2</f>
        <v>30364899.645414401</v>
      </c>
      <c r="P2" s="21">
        <f t="shared" ref="P2:P65" si="2">AG2*J2</f>
        <v>30364899.645414401</v>
      </c>
      <c r="Q2" s="21">
        <f t="shared" ref="Q2:Q65" si="3">P2*L2*M2*N2</f>
        <v>12157833.748523105</v>
      </c>
      <c r="R2" s="21">
        <f t="shared" ref="R2:R65" si="4">O2*K2*M2*N2</f>
        <v>12896957.636460612</v>
      </c>
      <c r="S2" s="21">
        <f t="shared" ref="S2:S65" si="5">R2-Q2</f>
        <v>739123.88793750666</v>
      </c>
      <c r="T2" s="14">
        <f>IFERROR(INDEX(Cost_Components!$R$2:$R$27,MATCH(E2,Cost_Components!$A$2:$A$27,0)),"")</f>
        <v>1</v>
      </c>
      <c r="U2" s="24">
        <f>IFERROR(INDEX(Cost_Components!$Q$2:$Q$27,MATCH(E2,Cost_Components!$A$2:$A$27,0)),"")</f>
        <v>2023</v>
      </c>
      <c r="V2" s="28">
        <f>1/(1+Calculation_Assumptions!$B$5)^(B2-Calculation_Assumptions!$B$2)</f>
        <v>1</v>
      </c>
      <c r="W2" s="21">
        <f t="shared" ref="W2:W65" si="6">Q2*V2</f>
        <v>12157833.748523105</v>
      </c>
      <c r="X2" s="21">
        <f t="shared" ref="X2:X65" si="7">R2*V2</f>
        <v>12896957.636460612</v>
      </c>
      <c r="Y2" s="21">
        <f t="shared" ref="Y2:Y65" si="8">S2*V2</f>
        <v>739123.88793750666</v>
      </c>
      <c r="Z2" s="15">
        <f>IFERROR(INDEX(Cost_Components!$T$2:$T$27,MATCH(E2,Cost_Components!$A$2:$A$27,0)),"")</f>
        <v>0.8</v>
      </c>
      <c r="AA2" s="24">
        <f>IFERROR(INDEX(Cost_Components!$U$2:$U$27,MATCH(E2,Cost_Components!$A$2:$A$27,0)),"")</f>
        <v>2025</v>
      </c>
      <c r="AB2" s="24">
        <f>IFERROR(INDEX(Cost_Components!$V$2:$V$27,MATCH(E2,Cost_Components!$A$2:$A$27,0)),"")</f>
        <v>2050</v>
      </c>
      <c r="AC2" s="24">
        <f>IFERROR(INDEX(Cost_Components!$M$2:$M$27,MATCH(E2,Cost_Components!$A$2:$A$27,0)),"")</f>
        <v>30</v>
      </c>
      <c r="AD2" s="24">
        <f>IFERROR(INDEX(Cost_Components!$N$2:$N$27,MATCH(E2,Cost_Components!$A$2:$A$27,0)),"")</f>
        <v>95</v>
      </c>
      <c r="AE2" s="14" t="str">
        <f>IFERROR(INDEX(Cost_Components!$O$2:$O$27,MATCH(E2,Cost_Components!$A$2:$A$27,0)),"")</f>
        <v>Both</v>
      </c>
      <c r="AF2" s="11">
        <v>151824498.227072</v>
      </c>
      <c r="AG2" s="11">
        <v>151824498.227072</v>
      </c>
      <c r="AH2" s="21">
        <f t="shared" ref="AH2:AH65" si="9">IF(H2="shared-count-once",COUNTIFS($A$2:$A$1353,A2,$B$2:$B$1353,B2,$E$2:$E$1353,E2),1)</f>
        <v>1</v>
      </c>
    </row>
    <row r="3" spans="1:34" hidden="1">
      <c r="A3" t="s">
        <v>159</v>
      </c>
      <c r="B3" s="18">
        <v>2026</v>
      </c>
      <c r="C3" t="s">
        <v>159</v>
      </c>
      <c r="E3" s="20" t="s">
        <v>257</v>
      </c>
      <c r="F3" s="20" t="s">
        <v>258</v>
      </c>
      <c r="G3" s="20" t="s">
        <v>168</v>
      </c>
      <c r="H3" s="20" t="s">
        <v>169</v>
      </c>
      <c r="I3" s="20" t="s">
        <v>75</v>
      </c>
      <c r="J3" s="15">
        <f>IFERROR(INDEX(Cost_Components!$K$2:$K$27,MATCH(E3,Cost_Components!$A$2:$A$27,0)),"")</f>
        <v>0.2</v>
      </c>
      <c r="K3" s="15">
        <f t="shared" si="0"/>
        <v>0.34769230769230769</v>
      </c>
      <c r="L3" s="15">
        <f>IFERROR(INDEX(Cost_Components!$S$2:$S$27,MATCH(E3,Cost_Components!$A$2:$A$27,0)),"")</f>
        <v>0.31</v>
      </c>
      <c r="M3" s="26">
        <f>IFERROR(INDEX(Cost_Components!$L$2:$L$27,MATCH(E3,Cost_Components!$A$2:$A$27,0)),"")</f>
        <v>1</v>
      </c>
      <c r="N3" s="27">
        <f>IFERROR(INDEX(Cost_Components!$P$2:$P$27,MATCH(E3,Cost_Components!$A$2:$A$27,0)),"")</f>
        <v>1.2915840000000001</v>
      </c>
      <c r="O3" s="21">
        <f t="shared" si="1"/>
        <v>30822448.966642804</v>
      </c>
      <c r="P3" s="21">
        <f t="shared" si="2"/>
        <v>30822448.966642804</v>
      </c>
      <c r="Q3" s="21">
        <f t="shared" si="3"/>
        <v>12341032.397101039</v>
      </c>
      <c r="R3" s="21">
        <f t="shared" si="4"/>
        <v>13841554.94662449</v>
      </c>
      <c r="S3" s="21">
        <f t="shared" si="5"/>
        <v>1500522.5495234504</v>
      </c>
      <c r="T3" s="14">
        <f>IFERROR(INDEX(Cost_Components!$R$2:$R$27,MATCH(E3,Cost_Components!$A$2:$A$27,0)),"")</f>
        <v>1</v>
      </c>
      <c r="U3" s="24">
        <f>IFERROR(INDEX(Cost_Components!$Q$2:$Q$27,MATCH(E3,Cost_Components!$A$2:$A$27,0)),"")</f>
        <v>2023</v>
      </c>
      <c r="V3" s="28">
        <f>1/(1+Calculation_Assumptions!$B$5)^(B3-Calculation_Assumptions!$B$2)</f>
        <v>0.970873786407767</v>
      </c>
      <c r="W3" s="21">
        <f t="shared" si="6"/>
        <v>11981584.851554407</v>
      </c>
      <c r="X3" s="21">
        <f t="shared" si="7"/>
        <v>13438402.860800475</v>
      </c>
      <c r="Y3" s="21">
        <f t="shared" si="8"/>
        <v>1456818.0092460683</v>
      </c>
      <c r="Z3" s="15">
        <f>IFERROR(INDEX(Cost_Components!$T$2:$T$27,MATCH(E3,Cost_Components!$A$2:$A$27,0)),"")</f>
        <v>0.8</v>
      </c>
      <c r="AA3" s="24">
        <f>IFERROR(INDEX(Cost_Components!$U$2:$U$27,MATCH(E3,Cost_Components!$A$2:$A$27,0)),"")</f>
        <v>2025</v>
      </c>
      <c r="AB3" s="24">
        <f>IFERROR(INDEX(Cost_Components!$V$2:$V$27,MATCH(E3,Cost_Components!$A$2:$A$27,0)),"")</f>
        <v>2050</v>
      </c>
      <c r="AC3" s="24">
        <f>IFERROR(INDEX(Cost_Components!$M$2:$M$27,MATCH(E3,Cost_Components!$A$2:$A$27,0)),"")</f>
        <v>30</v>
      </c>
      <c r="AD3" s="24">
        <f>IFERROR(INDEX(Cost_Components!$N$2:$N$27,MATCH(E3,Cost_Components!$A$2:$A$27,0)),"")</f>
        <v>95</v>
      </c>
      <c r="AE3" s="14" t="str">
        <f>IFERROR(INDEX(Cost_Components!$O$2:$O$27,MATCH(E3,Cost_Components!$A$2:$A$27,0)),"")</f>
        <v>Both</v>
      </c>
      <c r="AF3" s="11">
        <v>154112244.83321401</v>
      </c>
      <c r="AG3" s="11">
        <v>154112244.83321401</v>
      </c>
      <c r="AH3" s="21">
        <f t="shared" si="9"/>
        <v>1</v>
      </c>
    </row>
    <row r="4" spans="1:34" hidden="1">
      <c r="A4" t="s">
        <v>159</v>
      </c>
      <c r="B4" s="18">
        <v>2027</v>
      </c>
      <c r="C4" t="s">
        <v>159</v>
      </c>
      <c r="E4" s="20" t="s">
        <v>257</v>
      </c>
      <c r="F4" s="20" t="s">
        <v>258</v>
      </c>
      <c r="G4" s="20" t="s">
        <v>168</v>
      </c>
      <c r="H4" s="20" t="s">
        <v>169</v>
      </c>
      <c r="I4" s="20" t="s">
        <v>75</v>
      </c>
      <c r="J4" s="15">
        <f>IFERROR(INDEX(Cost_Components!$K$2:$K$27,MATCH(E4,Cost_Components!$A$2:$A$27,0)),"")</f>
        <v>0.2</v>
      </c>
      <c r="K4" s="15">
        <f t="shared" si="0"/>
        <v>0.36653846153846154</v>
      </c>
      <c r="L4" s="15">
        <f>IFERROR(INDEX(Cost_Components!$S$2:$S$27,MATCH(E4,Cost_Components!$A$2:$A$27,0)),"")</f>
        <v>0.31</v>
      </c>
      <c r="M4" s="26">
        <f>IFERROR(INDEX(Cost_Components!$L$2:$L$27,MATCH(E4,Cost_Components!$A$2:$A$27,0)),"")</f>
        <v>1</v>
      </c>
      <c r="N4" s="27">
        <f>IFERROR(INDEX(Cost_Components!$P$2:$P$27,MATCH(E4,Cost_Components!$A$2:$A$27,0)),"")</f>
        <v>1.2915840000000001</v>
      </c>
      <c r="O4" s="21">
        <f t="shared" si="1"/>
        <v>31231910.982501205</v>
      </c>
      <c r="P4" s="21">
        <f t="shared" si="2"/>
        <v>31291305.832373202</v>
      </c>
      <c r="Q4" s="21">
        <f t="shared" si="3"/>
        <v>12528758.485181972</v>
      </c>
      <c r="R4" s="21">
        <f t="shared" si="4"/>
        <v>14785661.768555757</v>
      </c>
      <c r="S4" s="21">
        <f t="shared" si="5"/>
        <v>2256903.2833737843</v>
      </c>
      <c r="T4" s="14">
        <f>IFERROR(INDEX(Cost_Components!$R$2:$R$27,MATCH(E4,Cost_Components!$A$2:$A$27,0)),"")</f>
        <v>1</v>
      </c>
      <c r="U4" s="24">
        <f>IFERROR(INDEX(Cost_Components!$Q$2:$Q$27,MATCH(E4,Cost_Components!$A$2:$A$27,0)),"")</f>
        <v>2023</v>
      </c>
      <c r="V4" s="28">
        <f>1/(1+Calculation_Assumptions!$B$5)^(B4-Calculation_Assumptions!$B$2)</f>
        <v>0.94259590913375435</v>
      </c>
      <c r="W4" s="21">
        <f t="shared" si="6"/>
        <v>11809556.49465734</v>
      </c>
      <c r="X4" s="21">
        <f t="shared" si="7"/>
        <v>13936904.296876008</v>
      </c>
      <c r="Y4" s="21">
        <f t="shared" si="8"/>
        <v>2127347.8022186672</v>
      </c>
      <c r="Z4" s="15">
        <f>IFERROR(INDEX(Cost_Components!$T$2:$T$27,MATCH(E4,Cost_Components!$A$2:$A$27,0)),"")</f>
        <v>0.8</v>
      </c>
      <c r="AA4" s="24">
        <f>IFERROR(INDEX(Cost_Components!$U$2:$U$27,MATCH(E4,Cost_Components!$A$2:$A$27,0)),"")</f>
        <v>2025</v>
      </c>
      <c r="AB4" s="24">
        <f>IFERROR(INDEX(Cost_Components!$V$2:$V$27,MATCH(E4,Cost_Components!$A$2:$A$27,0)),"")</f>
        <v>2050</v>
      </c>
      <c r="AC4" s="24">
        <f>IFERROR(INDEX(Cost_Components!$M$2:$M$27,MATCH(E4,Cost_Components!$A$2:$A$27,0)),"")</f>
        <v>30</v>
      </c>
      <c r="AD4" s="24">
        <f>IFERROR(INDEX(Cost_Components!$N$2:$N$27,MATCH(E4,Cost_Components!$A$2:$A$27,0)),"")</f>
        <v>95</v>
      </c>
      <c r="AE4" s="14" t="str">
        <f>IFERROR(INDEX(Cost_Components!$O$2:$O$27,MATCH(E4,Cost_Components!$A$2:$A$27,0)),"")</f>
        <v>Both</v>
      </c>
      <c r="AF4" s="11">
        <v>156159554.91250601</v>
      </c>
      <c r="AG4" s="11">
        <v>156456529.16186601</v>
      </c>
      <c r="AH4" s="21">
        <f t="shared" si="9"/>
        <v>1</v>
      </c>
    </row>
    <row r="5" spans="1:34" hidden="1">
      <c r="A5" t="s">
        <v>159</v>
      </c>
      <c r="B5" s="18">
        <v>2028</v>
      </c>
      <c r="C5" t="s">
        <v>159</v>
      </c>
      <c r="E5" s="20" t="s">
        <v>257</v>
      </c>
      <c r="F5" s="20" t="s">
        <v>258</v>
      </c>
      <c r="G5" s="20" t="s">
        <v>168</v>
      </c>
      <c r="H5" s="20" t="s">
        <v>169</v>
      </c>
      <c r="I5" s="20" t="s">
        <v>75</v>
      </c>
      <c r="J5" s="15">
        <f>IFERROR(INDEX(Cost_Components!$K$2:$K$27,MATCH(E5,Cost_Components!$A$2:$A$27,0)),"")</f>
        <v>0.2</v>
      </c>
      <c r="K5" s="15">
        <f t="shared" si="0"/>
        <v>0.38538461538461538</v>
      </c>
      <c r="L5" s="15">
        <f>IFERROR(INDEX(Cost_Components!$S$2:$S$27,MATCH(E5,Cost_Components!$A$2:$A$27,0)),"")</f>
        <v>0.31</v>
      </c>
      <c r="M5" s="26">
        <f>IFERROR(INDEX(Cost_Components!$L$2:$L$27,MATCH(E5,Cost_Components!$A$2:$A$27,0)),"")</f>
        <v>1</v>
      </c>
      <c r="N5" s="27">
        <f>IFERROR(INDEX(Cost_Components!$P$2:$P$27,MATCH(E5,Cost_Components!$A$2:$A$27,0)),"")</f>
        <v>1.2915840000000001</v>
      </c>
      <c r="O5" s="21">
        <f t="shared" si="1"/>
        <v>31689970.256166603</v>
      </c>
      <c r="P5" s="21">
        <f t="shared" si="2"/>
        <v>31744833.855216004</v>
      </c>
      <c r="Q5" s="21">
        <f t="shared" si="3"/>
        <v>12710347.041917145</v>
      </c>
      <c r="R5" s="21">
        <f t="shared" si="4"/>
        <v>15773891.94631822</v>
      </c>
      <c r="S5" s="21">
        <f t="shared" si="5"/>
        <v>3063544.9044010751</v>
      </c>
      <c r="T5" s="14">
        <f>IFERROR(INDEX(Cost_Components!$R$2:$R$27,MATCH(E5,Cost_Components!$A$2:$A$27,0)),"")</f>
        <v>1</v>
      </c>
      <c r="U5" s="24">
        <f>IFERROR(INDEX(Cost_Components!$Q$2:$Q$27,MATCH(E5,Cost_Components!$A$2:$A$27,0)),"")</f>
        <v>2023</v>
      </c>
      <c r="V5" s="28">
        <f>1/(1+Calculation_Assumptions!$B$5)^(B5-Calculation_Assumptions!$B$2)</f>
        <v>0.91514165935315961</v>
      </c>
      <c r="W5" s="21">
        <f t="shared" si="6"/>
        <v>11631768.08289458</v>
      </c>
      <c r="X5" s="21">
        <f t="shared" si="7"/>
        <v>14435345.650211096</v>
      </c>
      <c r="Y5" s="21">
        <f t="shared" si="8"/>
        <v>2803577.5673165168</v>
      </c>
      <c r="Z5" s="15">
        <f>IFERROR(INDEX(Cost_Components!$T$2:$T$27,MATCH(E5,Cost_Components!$A$2:$A$27,0)),"")</f>
        <v>0.8</v>
      </c>
      <c r="AA5" s="24">
        <f>IFERROR(INDEX(Cost_Components!$U$2:$U$27,MATCH(E5,Cost_Components!$A$2:$A$27,0)),"")</f>
        <v>2025</v>
      </c>
      <c r="AB5" s="24">
        <f>IFERROR(INDEX(Cost_Components!$V$2:$V$27,MATCH(E5,Cost_Components!$A$2:$A$27,0)),"")</f>
        <v>2050</v>
      </c>
      <c r="AC5" s="24">
        <f>IFERROR(INDEX(Cost_Components!$M$2:$M$27,MATCH(E5,Cost_Components!$A$2:$A$27,0)),"")</f>
        <v>30</v>
      </c>
      <c r="AD5" s="24">
        <f>IFERROR(INDEX(Cost_Components!$N$2:$N$27,MATCH(E5,Cost_Components!$A$2:$A$27,0)),"")</f>
        <v>95</v>
      </c>
      <c r="AE5" s="14" t="str">
        <f>IFERROR(INDEX(Cost_Components!$O$2:$O$27,MATCH(E5,Cost_Components!$A$2:$A$27,0)),"")</f>
        <v>Both</v>
      </c>
      <c r="AF5" s="11">
        <v>158449851.28083301</v>
      </c>
      <c r="AG5" s="11">
        <v>158724169.27608001</v>
      </c>
      <c r="AH5" s="21">
        <f t="shared" si="9"/>
        <v>1</v>
      </c>
    </row>
    <row r="6" spans="1:34" hidden="1">
      <c r="A6" t="s">
        <v>159</v>
      </c>
      <c r="B6" s="18">
        <v>2029</v>
      </c>
      <c r="C6" t="s">
        <v>159</v>
      </c>
      <c r="E6" s="20" t="s">
        <v>257</v>
      </c>
      <c r="F6" s="20" t="s">
        <v>258</v>
      </c>
      <c r="G6" s="20" t="s">
        <v>168</v>
      </c>
      <c r="H6" s="20" t="s">
        <v>169</v>
      </c>
      <c r="I6" s="20" t="s">
        <v>75</v>
      </c>
      <c r="J6" s="15">
        <f>IFERROR(INDEX(Cost_Components!$K$2:$K$27,MATCH(E6,Cost_Components!$A$2:$A$27,0)),"")</f>
        <v>0.2</v>
      </c>
      <c r="K6" s="15">
        <f t="shared" si="0"/>
        <v>0.40423076923076923</v>
      </c>
      <c r="L6" s="15">
        <f>IFERROR(INDEX(Cost_Components!$S$2:$S$27,MATCH(E6,Cost_Components!$A$2:$A$27,0)),"")</f>
        <v>0.31</v>
      </c>
      <c r="M6" s="26">
        <f>IFERROR(INDEX(Cost_Components!$L$2:$L$27,MATCH(E6,Cost_Components!$A$2:$A$27,0)),"")</f>
        <v>1</v>
      </c>
      <c r="N6" s="27">
        <f>IFERROR(INDEX(Cost_Components!$P$2:$P$27,MATCH(E6,Cost_Components!$A$2:$A$27,0)),"")</f>
        <v>1.2915840000000001</v>
      </c>
      <c r="O6" s="21">
        <f t="shared" si="1"/>
        <v>32130624.822483201</v>
      </c>
      <c r="P6" s="21">
        <f t="shared" si="2"/>
        <v>32180195.183009401</v>
      </c>
      <c r="Q6" s="21">
        <f t="shared" si="3"/>
        <v>12884661.816728126</v>
      </c>
      <c r="R6" s="21">
        <f t="shared" si="4"/>
        <v>16775334.760841912</v>
      </c>
      <c r="S6" s="21">
        <f t="shared" si="5"/>
        <v>3890672.9441137854</v>
      </c>
      <c r="T6" s="14">
        <f>IFERROR(INDEX(Cost_Components!$R$2:$R$27,MATCH(E6,Cost_Components!$A$2:$A$27,0)),"")</f>
        <v>1</v>
      </c>
      <c r="U6" s="24">
        <f>IFERROR(INDEX(Cost_Components!$Q$2:$Q$27,MATCH(E6,Cost_Components!$A$2:$A$27,0)),"")</f>
        <v>2023</v>
      </c>
      <c r="V6" s="28">
        <f>1/(1+Calculation_Assumptions!$B$5)^(B6-Calculation_Assumptions!$B$2)</f>
        <v>0.888487047915689</v>
      </c>
      <c r="W6" s="21">
        <f t="shared" si="6"/>
        <v>11447855.140936771</v>
      </c>
      <c r="X6" s="21">
        <f t="shared" si="7"/>
        <v>14904667.659457872</v>
      </c>
      <c r="Y6" s="21">
        <f t="shared" si="8"/>
        <v>3456812.5185210998</v>
      </c>
      <c r="Z6" s="15">
        <f>IFERROR(INDEX(Cost_Components!$T$2:$T$27,MATCH(E6,Cost_Components!$A$2:$A$27,0)),"")</f>
        <v>0.8</v>
      </c>
      <c r="AA6" s="24">
        <f>IFERROR(INDEX(Cost_Components!$U$2:$U$27,MATCH(E6,Cost_Components!$A$2:$A$27,0)),"")</f>
        <v>2025</v>
      </c>
      <c r="AB6" s="24">
        <f>IFERROR(INDEX(Cost_Components!$V$2:$V$27,MATCH(E6,Cost_Components!$A$2:$A$27,0)),"")</f>
        <v>2050</v>
      </c>
      <c r="AC6" s="24">
        <f>IFERROR(INDEX(Cost_Components!$M$2:$M$27,MATCH(E6,Cost_Components!$A$2:$A$27,0)),"")</f>
        <v>30</v>
      </c>
      <c r="AD6" s="24">
        <f>IFERROR(INDEX(Cost_Components!$N$2:$N$27,MATCH(E6,Cost_Components!$A$2:$A$27,0)),"")</f>
        <v>95</v>
      </c>
      <c r="AE6" s="14" t="str">
        <f>IFERROR(INDEX(Cost_Components!$O$2:$O$27,MATCH(E6,Cost_Components!$A$2:$A$27,0)),"")</f>
        <v>Both</v>
      </c>
      <c r="AF6" s="11">
        <v>160653124.112416</v>
      </c>
      <c r="AG6" s="11">
        <v>160900975.91504699</v>
      </c>
      <c r="AH6" s="21">
        <f t="shared" si="9"/>
        <v>1</v>
      </c>
    </row>
    <row r="7" spans="1:34" hidden="1">
      <c r="A7" t="s">
        <v>159</v>
      </c>
      <c r="B7" s="18">
        <v>2030</v>
      </c>
      <c r="C7" t="s">
        <v>159</v>
      </c>
      <c r="E7" s="20" t="s">
        <v>257</v>
      </c>
      <c r="F7" s="20" t="s">
        <v>258</v>
      </c>
      <c r="G7" s="20" t="s">
        <v>168</v>
      </c>
      <c r="H7" s="20" t="s">
        <v>169</v>
      </c>
      <c r="I7" s="20" t="s">
        <v>75</v>
      </c>
      <c r="J7" s="15">
        <f>IFERROR(INDEX(Cost_Components!$K$2:$K$27,MATCH(E7,Cost_Components!$A$2:$A$27,0)),"")</f>
        <v>0.2</v>
      </c>
      <c r="K7" s="15">
        <f t="shared" si="0"/>
        <v>0.42307692307692307</v>
      </c>
      <c r="L7" s="15">
        <f>IFERROR(INDEX(Cost_Components!$S$2:$S$27,MATCH(E7,Cost_Components!$A$2:$A$27,0)),"")</f>
        <v>0.31</v>
      </c>
      <c r="M7" s="26">
        <f>IFERROR(INDEX(Cost_Components!$L$2:$L$27,MATCH(E7,Cost_Components!$A$2:$A$27,0)),"")</f>
        <v>1</v>
      </c>
      <c r="N7" s="27">
        <f>IFERROR(INDEX(Cost_Components!$P$2:$P$27,MATCH(E7,Cost_Components!$A$2:$A$27,0)),"")</f>
        <v>1.2915840000000001</v>
      </c>
      <c r="O7" s="21">
        <f t="shared" si="1"/>
        <v>32544547.423926998</v>
      </c>
      <c r="P7" s="21">
        <f t="shared" si="2"/>
        <v>32587893.160495803</v>
      </c>
      <c r="Q7" s="21">
        <f t="shared" si="3"/>
        <v>13047900.433939803</v>
      </c>
      <c r="R7" s="21">
        <f t="shared" si="4"/>
        <v>17783622.46691687</v>
      </c>
      <c r="S7" s="21">
        <f t="shared" si="5"/>
        <v>4735722.0329770669</v>
      </c>
      <c r="T7" s="14">
        <f>IFERROR(INDEX(Cost_Components!$R$2:$R$27,MATCH(E7,Cost_Components!$A$2:$A$27,0)),"")</f>
        <v>1</v>
      </c>
      <c r="U7" s="24">
        <f>IFERROR(INDEX(Cost_Components!$Q$2:$Q$27,MATCH(E7,Cost_Components!$A$2:$A$27,0)),"")</f>
        <v>2023</v>
      </c>
      <c r="V7" s="28">
        <f>1/(1+Calculation_Assumptions!$B$5)^(B7-Calculation_Assumptions!$B$2)</f>
        <v>0.86260878438416411</v>
      </c>
      <c r="W7" s="21">
        <f t="shared" si="6"/>
        <v>11255233.532086421</v>
      </c>
      <c r="X7" s="21">
        <f t="shared" si="7"/>
        <v>15340308.958134072</v>
      </c>
      <c r="Y7" s="21">
        <f t="shared" si="8"/>
        <v>4085075.4260476502</v>
      </c>
      <c r="Z7" s="15">
        <f>IFERROR(INDEX(Cost_Components!$T$2:$T$27,MATCH(E7,Cost_Components!$A$2:$A$27,0)),"")</f>
        <v>0.8</v>
      </c>
      <c r="AA7" s="24">
        <f>IFERROR(INDEX(Cost_Components!$U$2:$U$27,MATCH(E7,Cost_Components!$A$2:$A$27,0)),"")</f>
        <v>2025</v>
      </c>
      <c r="AB7" s="24">
        <f>IFERROR(INDEX(Cost_Components!$V$2:$V$27,MATCH(E7,Cost_Components!$A$2:$A$27,0)),"")</f>
        <v>2050</v>
      </c>
      <c r="AC7" s="24">
        <f>IFERROR(INDEX(Cost_Components!$M$2:$M$27,MATCH(E7,Cost_Components!$A$2:$A$27,0)),"")</f>
        <v>30</v>
      </c>
      <c r="AD7" s="24">
        <f>IFERROR(INDEX(Cost_Components!$N$2:$N$27,MATCH(E7,Cost_Components!$A$2:$A$27,0)),"")</f>
        <v>95</v>
      </c>
      <c r="AE7" s="14" t="str">
        <f>IFERROR(INDEX(Cost_Components!$O$2:$O$27,MATCH(E7,Cost_Components!$A$2:$A$27,0)),"")</f>
        <v>Both</v>
      </c>
      <c r="AF7" s="11">
        <v>162722737.11963499</v>
      </c>
      <c r="AG7" s="11">
        <v>162939465.802479</v>
      </c>
      <c r="AH7" s="21">
        <f t="shared" si="9"/>
        <v>1</v>
      </c>
    </row>
    <row r="8" spans="1:34" hidden="1">
      <c r="A8" t="s">
        <v>159</v>
      </c>
      <c r="B8" s="18">
        <v>2031</v>
      </c>
      <c r="C8" t="s">
        <v>159</v>
      </c>
      <c r="E8" s="20" t="s">
        <v>257</v>
      </c>
      <c r="F8" s="20" t="s">
        <v>258</v>
      </c>
      <c r="G8" s="20" t="s">
        <v>168</v>
      </c>
      <c r="H8" s="20" t="s">
        <v>169</v>
      </c>
      <c r="I8" s="20" t="s">
        <v>75</v>
      </c>
      <c r="J8" s="15">
        <f>IFERROR(INDEX(Cost_Components!$K$2:$K$27,MATCH(E8,Cost_Components!$A$2:$A$27,0)),"")</f>
        <v>0.2</v>
      </c>
      <c r="K8" s="15">
        <f t="shared" si="0"/>
        <v>0.44192307692307692</v>
      </c>
      <c r="L8" s="15">
        <f>IFERROR(INDEX(Cost_Components!$S$2:$S$27,MATCH(E8,Cost_Components!$A$2:$A$27,0)),"")</f>
        <v>0.31</v>
      </c>
      <c r="M8" s="26">
        <f>IFERROR(INDEX(Cost_Components!$L$2:$L$27,MATCH(E8,Cost_Components!$A$2:$A$27,0)),"")</f>
        <v>1</v>
      </c>
      <c r="N8" s="27">
        <f>IFERROR(INDEX(Cost_Components!$P$2:$P$27,MATCH(E8,Cost_Components!$A$2:$A$27,0)),"")</f>
        <v>1.2915840000000001</v>
      </c>
      <c r="O8" s="21">
        <f t="shared" si="1"/>
        <v>32943828.707603004</v>
      </c>
      <c r="P8" s="21">
        <f t="shared" si="2"/>
        <v>32979884.357487202</v>
      </c>
      <c r="Q8" s="21">
        <f t="shared" si="3"/>
        <v>13204850.196974032</v>
      </c>
      <c r="R8" s="21">
        <f t="shared" si="4"/>
        <v>18803704.093863595</v>
      </c>
      <c r="S8" s="21">
        <f t="shared" si="5"/>
        <v>5598853.8968895636</v>
      </c>
      <c r="T8" s="14">
        <f>IFERROR(INDEX(Cost_Components!$R$2:$R$27,MATCH(E8,Cost_Components!$A$2:$A$27,0)),"")</f>
        <v>1</v>
      </c>
      <c r="U8" s="24">
        <f>IFERROR(INDEX(Cost_Components!$Q$2:$Q$27,MATCH(E8,Cost_Components!$A$2:$A$27,0)),"")</f>
        <v>2023</v>
      </c>
      <c r="V8" s="28">
        <f>1/(1+Calculation_Assumptions!$B$5)^(B8-Calculation_Assumptions!$B$2)</f>
        <v>0.83748425668365445</v>
      </c>
      <c r="W8" s="21">
        <f t="shared" si="6"/>
        <v>11058854.151831806</v>
      </c>
      <c r="X8" s="21">
        <f t="shared" si="7"/>
        <v>15747806.145948743</v>
      </c>
      <c r="Y8" s="21">
        <f t="shared" si="8"/>
        <v>4688951.9941169387</v>
      </c>
      <c r="Z8" s="15">
        <f>IFERROR(INDEX(Cost_Components!$T$2:$T$27,MATCH(E8,Cost_Components!$A$2:$A$27,0)),"")</f>
        <v>0.8</v>
      </c>
      <c r="AA8" s="24">
        <f>IFERROR(INDEX(Cost_Components!$U$2:$U$27,MATCH(E8,Cost_Components!$A$2:$A$27,0)),"")</f>
        <v>2025</v>
      </c>
      <c r="AB8" s="24">
        <f>IFERROR(INDEX(Cost_Components!$V$2:$V$27,MATCH(E8,Cost_Components!$A$2:$A$27,0)),"")</f>
        <v>2050</v>
      </c>
      <c r="AC8" s="24">
        <f>IFERROR(INDEX(Cost_Components!$M$2:$M$27,MATCH(E8,Cost_Components!$A$2:$A$27,0)),"")</f>
        <v>30</v>
      </c>
      <c r="AD8" s="24">
        <f>IFERROR(INDEX(Cost_Components!$N$2:$N$27,MATCH(E8,Cost_Components!$A$2:$A$27,0)),"")</f>
        <v>95</v>
      </c>
      <c r="AE8" s="14" t="str">
        <f>IFERROR(INDEX(Cost_Components!$O$2:$O$27,MATCH(E8,Cost_Components!$A$2:$A$27,0)),"")</f>
        <v>Both</v>
      </c>
      <c r="AF8" s="11">
        <v>164719143.53801501</v>
      </c>
      <c r="AG8" s="11">
        <v>164899421.78743601</v>
      </c>
      <c r="AH8" s="21">
        <f t="shared" si="9"/>
        <v>1</v>
      </c>
    </row>
    <row r="9" spans="1:34" hidden="1">
      <c r="A9" t="s">
        <v>159</v>
      </c>
      <c r="B9" s="18">
        <v>2032</v>
      </c>
      <c r="C9" t="s">
        <v>159</v>
      </c>
      <c r="E9" s="20" t="s">
        <v>257</v>
      </c>
      <c r="F9" s="20" t="s">
        <v>258</v>
      </c>
      <c r="G9" s="20" t="s">
        <v>168</v>
      </c>
      <c r="H9" s="20" t="s">
        <v>169</v>
      </c>
      <c r="I9" s="20" t="s">
        <v>75</v>
      </c>
      <c r="J9" s="15">
        <f>IFERROR(INDEX(Cost_Components!$K$2:$K$27,MATCH(E9,Cost_Components!$A$2:$A$27,0)),"")</f>
        <v>0.2</v>
      </c>
      <c r="K9" s="15">
        <f t="shared" si="0"/>
        <v>0.46076923076923082</v>
      </c>
      <c r="L9" s="15">
        <f>IFERROR(INDEX(Cost_Components!$S$2:$S$27,MATCH(E9,Cost_Components!$A$2:$A$27,0)),"")</f>
        <v>0.31</v>
      </c>
      <c r="M9" s="26">
        <f>IFERROR(INDEX(Cost_Components!$L$2:$L$27,MATCH(E9,Cost_Components!$A$2:$A$27,0)),"")</f>
        <v>1</v>
      </c>
      <c r="N9" s="27">
        <f>IFERROR(INDEX(Cost_Components!$P$2:$P$27,MATCH(E9,Cost_Components!$A$2:$A$27,0)),"")</f>
        <v>1.2915840000000001</v>
      </c>
      <c r="O9" s="21">
        <f t="shared" si="1"/>
        <v>33332786.31453</v>
      </c>
      <c r="P9" s="21">
        <f t="shared" si="2"/>
        <v>33360510.2375402</v>
      </c>
      <c r="Q9" s="21">
        <f t="shared" si="3"/>
        <v>13357249.388939369</v>
      </c>
      <c r="R9" s="21">
        <f t="shared" si="4"/>
        <v>19837079.995446377</v>
      </c>
      <c r="S9" s="21">
        <f t="shared" si="5"/>
        <v>6479830.606507007</v>
      </c>
      <c r="T9" s="14">
        <f>IFERROR(INDEX(Cost_Components!$R$2:$R$27,MATCH(E9,Cost_Components!$A$2:$A$27,0)),"")</f>
        <v>1</v>
      </c>
      <c r="U9" s="24">
        <f>IFERROR(INDEX(Cost_Components!$Q$2:$Q$27,MATCH(E9,Cost_Components!$A$2:$A$27,0)),"")</f>
        <v>2023</v>
      </c>
      <c r="V9" s="28">
        <f>1/(1+Calculation_Assumptions!$B$5)^(B9-Calculation_Assumptions!$B$2)</f>
        <v>0.81309151134335378</v>
      </c>
      <c r="W9" s="21">
        <f t="shared" si="6"/>
        <v>10860666.0930428</v>
      </c>
      <c r="X9" s="21">
        <f t="shared" si="7"/>
        <v>16129361.354136504</v>
      </c>
      <c r="Y9" s="21">
        <f t="shared" si="8"/>
        <v>5268695.2610937031</v>
      </c>
      <c r="Z9" s="15">
        <f>IFERROR(INDEX(Cost_Components!$T$2:$T$27,MATCH(E9,Cost_Components!$A$2:$A$27,0)),"")</f>
        <v>0.8</v>
      </c>
      <c r="AA9" s="24">
        <f>IFERROR(INDEX(Cost_Components!$U$2:$U$27,MATCH(E9,Cost_Components!$A$2:$A$27,0)),"")</f>
        <v>2025</v>
      </c>
      <c r="AB9" s="24">
        <f>IFERROR(INDEX(Cost_Components!$V$2:$V$27,MATCH(E9,Cost_Components!$A$2:$A$27,0)),"")</f>
        <v>2050</v>
      </c>
      <c r="AC9" s="24">
        <f>IFERROR(INDEX(Cost_Components!$M$2:$M$27,MATCH(E9,Cost_Components!$A$2:$A$27,0)),"")</f>
        <v>30</v>
      </c>
      <c r="AD9" s="24">
        <f>IFERROR(INDEX(Cost_Components!$N$2:$N$27,MATCH(E9,Cost_Components!$A$2:$A$27,0)),"")</f>
        <v>95</v>
      </c>
      <c r="AE9" s="14" t="str">
        <f>IFERROR(INDEX(Cost_Components!$O$2:$O$27,MATCH(E9,Cost_Components!$A$2:$A$27,0)),"")</f>
        <v>Both</v>
      </c>
      <c r="AF9" s="11">
        <v>166663931.57264999</v>
      </c>
      <c r="AG9" s="11">
        <v>166802551.18770099</v>
      </c>
      <c r="AH9" s="21">
        <f t="shared" si="9"/>
        <v>1</v>
      </c>
    </row>
    <row r="10" spans="1:34" hidden="1">
      <c r="A10" t="s">
        <v>159</v>
      </c>
      <c r="B10" s="18">
        <v>2033</v>
      </c>
      <c r="C10" t="s">
        <v>159</v>
      </c>
      <c r="E10" s="20" t="s">
        <v>257</v>
      </c>
      <c r="F10" s="20" t="s">
        <v>258</v>
      </c>
      <c r="G10" s="20" t="s">
        <v>168</v>
      </c>
      <c r="H10" s="20" t="s">
        <v>169</v>
      </c>
      <c r="I10" s="20" t="s">
        <v>75</v>
      </c>
      <c r="J10" s="15">
        <f>IFERROR(INDEX(Cost_Components!$K$2:$K$27,MATCH(E10,Cost_Components!$A$2:$A$27,0)),"")</f>
        <v>0.2</v>
      </c>
      <c r="K10" s="15">
        <f t="shared" si="0"/>
        <v>0.47961538461538467</v>
      </c>
      <c r="L10" s="15">
        <f>IFERROR(INDEX(Cost_Components!$S$2:$S$27,MATCH(E10,Cost_Components!$A$2:$A$27,0)),"")</f>
        <v>0.31</v>
      </c>
      <c r="M10" s="26">
        <f>IFERROR(INDEX(Cost_Components!$L$2:$L$27,MATCH(E10,Cost_Components!$A$2:$A$27,0)),"")</f>
        <v>1</v>
      </c>
      <c r="N10" s="27">
        <f>IFERROR(INDEX(Cost_Components!$P$2:$P$27,MATCH(E10,Cost_Components!$A$2:$A$27,0)),"")</f>
        <v>1.2915840000000001</v>
      </c>
      <c r="O10" s="21">
        <f t="shared" si="1"/>
        <v>33711767.258406803</v>
      </c>
      <c r="P10" s="21">
        <f t="shared" si="2"/>
        <v>33729989.571725801</v>
      </c>
      <c r="Q10" s="21">
        <f t="shared" si="3"/>
        <v>13505185.603812449</v>
      </c>
      <c r="R10" s="21">
        <f t="shared" si="4"/>
        <v>20883211.256055605</v>
      </c>
      <c r="S10" s="21">
        <f t="shared" si="5"/>
        <v>7378025.652243156</v>
      </c>
      <c r="T10" s="14">
        <f>IFERROR(INDEX(Cost_Components!$R$2:$R$27,MATCH(E10,Cost_Components!$A$2:$A$27,0)),"")</f>
        <v>1</v>
      </c>
      <c r="U10" s="24">
        <f>IFERROR(INDEX(Cost_Components!$Q$2:$Q$27,MATCH(E10,Cost_Components!$A$2:$A$27,0)),"")</f>
        <v>2023</v>
      </c>
      <c r="V10" s="28">
        <f>1/(1+Calculation_Assumptions!$B$5)^(B10-Calculation_Assumptions!$B$2)</f>
        <v>0.78940923431393573</v>
      </c>
      <c r="W10" s="21">
        <f t="shared" si="6"/>
        <v>10661118.226773173</v>
      </c>
      <c r="X10" s="21">
        <f t="shared" si="7"/>
        <v>16485399.807659019</v>
      </c>
      <c r="Y10" s="21">
        <f t="shared" si="8"/>
        <v>5824281.5808858462</v>
      </c>
      <c r="Z10" s="15">
        <f>IFERROR(INDEX(Cost_Components!$T$2:$T$27,MATCH(E10,Cost_Components!$A$2:$A$27,0)),"")</f>
        <v>0.8</v>
      </c>
      <c r="AA10" s="24">
        <f>IFERROR(INDEX(Cost_Components!$U$2:$U$27,MATCH(E10,Cost_Components!$A$2:$A$27,0)),"")</f>
        <v>2025</v>
      </c>
      <c r="AB10" s="24">
        <f>IFERROR(INDEX(Cost_Components!$V$2:$V$27,MATCH(E10,Cost_Components!$A$2:$A$27,0)),"")</f>
        <v>2050</v>
      </c>
      <c r="AC10" s="24">
        <f>IFERROR(INDEX(Cost_Components!$M$2:$M$27,MATCH(E10,Cost_Components!$A$2:$A$27,0)),"")</f>
        <v>30</v>
      </c>
      <c r="AD10" s="24">
        <f>IFERROR(INDEX(Cost_Components!$N$2:$N$27,MATCH(E10,Cost_Components!$A$2:$A$27,0)),"")</f>
        <v>95</v>
      </c>
      <c r="AE10" s="14" t="str">
        <f>IFERROR(INDEX(Cost_Components!$O$2:$O$27,MATCH(E10,Cost_Components!$A$2:$A$27,0)),"")</f>
        <v>Both</v>
      </c>
      <c r="AF10" s="11">
        <v>168558836.292034</v>
      </c>
      <c r="AG10" s="11">
        <v>168649947.85862899</v>
      </c>
      <c r="AH10" s="21">
        <f t="shared" si="9"/>
        <v>1</v>
      </c>
    </row>
    <row r="11" spans="1:34" hidden="1">
      <c r="A11" t="s">
        <v>159</v>
      </c>
      <c r="B11" s="18">
        <v>2034</v>
      </c>
      <c r="C11" t="s">
        <v>159</v>
      </c>
      <c r="E11" s="20" t="s">
        <v>257</v>
      </c>
      <c r="F11" s="20" t="s">
        <v>258</v>
      </c>
      <c r="G11" s="20" t="s">
        <v>168</v>
      </c>
      <c r="H11" s="20" t="s">
        <v>169</v>
      </c>
      <c r="I11" s="20" t="s">
        <v>75</v>
      </c>
      <c r="J11" s="15">
        <f>IFERROR(INDEX(Cost_Components!$K$2:$K$27,MATCH(E11,Cost_Components!$A$2:$A$27,0)),"")</f>
        <v>0.2</v>
      </c>
      <c r="K11" s="15">
        <f t="shared" si="0"/>
        <v>0.49846153846153851</v>
      </c>
      <c r="L11" s="15">
        <f>IFERROR(INDEX(Cost_Components!$S$2:$S$27,MATCH(E11,Cost_Components!$A$2:$A$27,0)),"")</f>
        <v>0.31</v>
      </c>
      <c r="M11" s="26">
        <f>IFERROR(INDEX(Cost_Components!$L$2:$L$27,MATCH(E11,Cost_Components!$A$2:$A$27,0)),"")</f>
        <v>1</v>
      </c>
      <c r="N11" s="27">
        <f>IFERROR(INDEX(Cost_Components!$P$2:$P$27,MATCH(E11,Cost_Components!$A$2:$A$27,0)),"")</f>
        <v>1.2915840000000001</v>
      </c>
      <c r="O11" s="21">
        <f t="shared" si="1"/>
        <v>34085635.282229804</v>
      </c>
      <c r="P11" s="21">
        <f t="shared" si="2"/>
        <v>34093103.480738997</v>
      </c>
      <c r="Q11" s="21">
        <f t="shared" si="3"/>
        <v>13650573.159480708</v>
      </c>
      <c r="R11" s="21">
        <f t="shared" si="4"/>
        <v>21944500.639935039</v>
      </c>
      <c r="S11" s="21">
        <f t="shared" si="5"/>
        <v>8293927.4804543313</v>
      </c>
      <c r="T11" s="14">
        <f>IFERROR(INDEX(Cost_Components!$R$2:$R$27,MATCH(E11,Cost_Components!$A$2:$A$27,0)),"")</f>
        <v>1</v>
      </c>
      <c r="U11" s="24">
        <f>IFERROR(INDEX(Cost_Components!$Q$2:$Q$27,MATCH(E11,Cost_Components!$A$2:$A$27,0)),"")</f>
        <v>2023</v>
      </c>
      <c r="V11" s="28">
        <f>1/(1+Calculation_Assumptions!$B$5)^(B11-Calculation_Assumptions!$B$2)</f>
        <v>0.76641673234362695</v>
      </c>
      <c r="W11" s="21">
        <f t="shared" si="6"/>
        <v>10462027.675506823</v>
      </c>
      <c r="X11" s="21">
        <f t="shared" si="7"/>
        <v>16818632.473371644</v>
      </c>
      <c r="Y11" s="21">
        <f t="shared" si="8"/>
        <v>6356604.7978648199</v>
      </c>
      <c r="Z11" s="15">
        <f>IFERROR(INDEX(Cost_Components!$T$2:$T$27,MATCH(E11,Cost_Components!$A$2:$A$27,0)),"")</f>
        <v>0.8</v>
      </c>
      <c r="AA11" s="24">
        <f>IFERROR(INDEX(Cost_Components!$U$2:$U$27,MATCH(E11,Cost_Components!$A$2:$A$27,0)),"")</f>
        <v>2025</v>
      </c>
      <c r="AB11" s="24">
        <f>IFERROR(INDEX(Cost_Components!$V$2:$V$27,MATCH(E11,Cost_Components!$A$2:$A$27,0)),"")</f>
        <v>2050</v>
      </c>
      <c r="AC11" s="24">
        <f>IFERROR(INDEX(Cost_Components!$M$2:$M$27,MATCH(E11,Cost_Components!$A$2:$A$27,0)),"")</f>
        <v>30</v>
      </c>
      <c r="AD11" s="24">
        <f>IFERROR(INDEX(Cost_Components!$N$2:$N$27,MATCH(E11,Cost_Components!$A$2:$A$27,0)),"")</f>
        <v>95</v>
      </c>
      <c r="AE11" s="14" t="str">
        <f>IFERROR(INDEX(Cost_Components!$O$2:$O$27,MATCH(E11,Cost_Components!$A$2:$A$27,0)),"")</f>
        <v>Both</v>
      </c>
      <c r="AF11" s="11">
        <v>170428176.411149</v>
      </c>
      <c r="AG11" s="11">
        <v>170465517.40369499</v>
      </c>
      <c r="AH11" s="21">
        <f t="shared" si="9"/>
        <v>1</v>
      </c>
    </row>
    <row r="12" spans="1:34" hidden="1">
      <c r="A12" t="s">
        <v>159</v>
      </c>
      <c r="B12" s="18">
        <v>2035</v>
      </c>
      <c r="C12" t="s">
        <v>159</v>
      </c>
      <c r="E12" s="20" t="s">
        <v>257</v>
      </c>
      <c r="F12" s="20" t="s">
        <v>258</v>
      </c>
      <c r="G12" s="20" t="s">
        <v>168</v>
      </c>
      <c r="H12" s="20" t="s">
        <v>169</v>
      </c>
      <c r="I12" s="20" t="s">
        <v>75</v>
      </c>
      <c r="J12" s="15">
        <f>IFERROR(INDEX(Cost_Components!$K$2:$K$27,MATCH(E12,Cost_Components!$A$2:$A$27,0)),"")</f>
        <v>0.2</v>
      </c>
      <c r="K12" s="15">
        <f t="shared" si="0"/>
        <v>0.51730769230769236</v>
      </c>
      <c r="L12" s="15">
        <f>IFERROR(INDEX(Cost_Components!$S$2:$S$27,MATCH(E12,Cost_Components!$A$2:$A$27,0)),"")</f>
        <v>0.31</v>
      </c>
      <c r="M12" s="26">
        <f>IFERROR(INDEX(Cost_Components!$L$2:$L$27,MATCH(E12,Cost_Components!$A$2:$A$27,0)),"")</f>
        <v>1</v>
      </c>
      <c r="N12" s="27">
        <f>IFERROR(INDEX(Cost_Components!$P$2:$P$27,MATCH(E12,Cost_Components!$A$2:$A$27,0)),"")</f>
        <v>1.2915840000000001</v>
      </c>
      <c r="O12" s="21">
        <f t="shared" si="1"/>
        <v>34465646.801694401</v>
      </c>
      <c r="P12" s="21">
        <f t="shared" si="2"/>
        <v>34460709.031140797</v>
      </c>
      <c r="Q12" s="21">
        <f t="shared" si="3"/>
        <v>13797759.128115857</v>
      </c>
      <c r="R12" s="21">
        <f t="shared" si="4"/>
        <v>23028095.713260751</v>
      </c>
      <c r="S12" s="21">
        <f t="shared" si="5"/>
        <v>9230336.5851448942</v>
      </c>
      <c r="T12" s="14">
        <f>IFERROR(INDEX(Cost_Components!$R$2:$R$27,MATCH(E12,Cost_Components!$A$2:$A$27,0)),"")</f>
        <v>1</v>
      </c>
      <c r="U12" s="24">
        <f>IFERROR(INDEX(Cost_Components!$Q$2:$Q$27,MATCH(E12,Cost_Components!$A$2:$A$27,0)),"")</f>
        <v>2023</v>
      </c>
      <c r="V12" s="28">
        <f>1/(1+Calculation_Assumptions!$B$5)^(B12-Calculation_Assumptions!$B$2)</f>
        <v>0.74409391489672516</v>
      </c>
      <c r="W12" s="21">
        <f t="shared" si="6"/>
        <v>10266828.606441753</v>
      </c>
      <c r="X12" s="21">
        <f t="shared" si="7"/>
        <v>17135065.891896687</v>
      </c>
      <c r="Y12" s="21">
        <f t="shared" si="8"/>
        <v>6868237.2854549335</v>
      </c>
      <c r="Z12" s="15">
        <f>IFERROR(INDEX(Cost_Components!$T$2:$T$27,MATCH(E12,Cost_Components!$A$2:$A$27,0)),"")</f>
        <v>0.8</v>
      </c>
      <c r="AA12" s="24">
        <f>IFERROR(INDEX(Cost_Components!$U$2:$U$27,MATCH(E12,Cost_Components!$A$2:$A$27,0)),"")</f>
        <v>2025</v>
      </c>
      <c r="AB12" s="24">
        <f>IFERROR(INDEX(Cost_Components!$V$2:$V$27,MATCH(E12,Cost_Components!$A$2:$A$27,0)),"")</f>
        <v>2050</v>
      </c>
      <c r="AC12" s="24">
        <f>IFERROR(INDEX(Cost_Components!$M$2:$M$27,MATCH(E12,Cost_Components!$A$2:$A$27,0)),"")</f>
        <v>30</v>
      </c>
      <c r="AD12" s="24">
        <f>IFERROR(INDEX(Cost_Components!$N$2:$N$27,MATCH(E12,Cost_Components!$A$2:$A$27,0)),"")</f>
        <v>95</v>
      </c>
      <c r="AE12" s="14" t="str">
        <f>IFERROR(INDEX(Cost_Components!$O$2:$O$27,MATCH(E12,Cost_Components!$A$2:$A$27,0)),"")</f>
        <v>Both</v>
      </c>
      <c r="AF12" s="11">
        <v>172328234.008472</v>
      </c>
      <c r="AG12" s="11">
        <v>172303545.15570399</v>
      </c>
      <c r="AH12" s="21">
        <f t="shared" si="9"/>
        <v>1</v>
      </c>
    </row>
    <row r="13" spans="1:34" hidden="1">
      <c r="A13" t="s">
        <v>159</v>
      </c>
      <c r="B13" s="18">
        <v>2036</v>
      </c>
      <c r="C13" t="s">
        <v>159</v>
      </c>
      <c r="E13" s="20" t="s">
        <v>257</v>
      </c>
      <c r="F13" s="20" t="s">
        <v>258</v>
      </c>
      <c r="G13" s="20" t="s">
        <v>168</v>
      </c>
      <c r="H13" s="20" t="s">
        <v>169</v>
      </c>
      <c r="I13" s="20" t="s">
        <v>75</v>
      </c>
      <c r="J13" s="15">
        <f>IFERROR(INDEX(Cost_Components!$K$2:$K$27,MATCH(E13,Cost_Components!$A$2:$A$27,0)),"")</f>
        <v>0.2</v>
      </c>
      <c r="K13" s="15">
        <f t="shared" si="0"/>
        <v>0.5361538461538462</v>
      </c>
      <c r="L13" s="15">
        <f>IFERROR(INDEX(Cost_Components!$S$2:$S$27,MATCH(E13,Cost_Components!$A$2:$A$27,0)),"")</f>
        <v>0.31</v>
      </c>
      <c r="M13" s="26">
        <f>IFERROR(INDEX(Cost_Components!$L$2:$L$27,MATCH(E13,Cost_Components!$A$2:$A$27,0)),"")</f>
        <v>1</v>
      </c>
      <c r="N13" s="27">
        <f>IFERROR(INDEX(Cost_Components!$P$2:$P$27,MATCH(E13,Cost_Components!$A$2:$A$27,0)),"")</f>
        <v>1.2915840000000001</v>
      </c>
      <c r="O13" s="21">
        <f t="shared" si="1"/>
        <v>34851267.278774604</v>
      </c>
      <c r="P13" s="21">
        <f t="shared" si="2"/>
        <v>34832632.967693597</v>
      </c>
      <c r="Q13" s="21">
        <f t="shared" si="3"/>
        <v>13946674.139873127</v>
      </c>
      <c r="R13" s="21">
        <f t="shared" si="4"/>
        <v>24134074.93869324</v>
      </c>
      <c r="S13" s="21">
        <f t="shared" si="5"/>
        <v>10187400.798820114</v>
      </c>
      <c r="T13" s="14">
        <f>IFERROR(INDEX(Cost_Components!$R$2:$R$27,MATCH(E13,Cost_Components!$A$2:$A$27,0)),"")</f>
        <v>1</v>
      </c>
      <c r="U13" s="24">
        <f>IFERROR(INDEX(Cost_Components!$Q$2:$Q$27,MATCH(E13,Cost_Components!$A$2:$A$27,0)),"")</f>
        <v>2023</v>
      </c>
      <c r="V13" s="28">
        <f>1/(1+Calculation_Assumptions!$B$5)^(B13-Calculation_Assumptions!$B$2)</f>
        <v>0.72242127659876232</v>
      </c>
      <c r="W13" s="21">
        <f t="shared" si="6"/>
        <v>10075374.136434089</v>
      </c>
      <c r="X13" s="21">
        <f t="shared" si="7"/>
        <v>17434969.226740967</v>
      </c>
      <c r="Y13" s="21">
        <f t="shared" si="8"/>
        <v>7359595.0903068772</v>
      </c>
      <c r="Z13" s="15">
        <f>IFERROR(INDEX(Cost_Components!$T$2:$T$27,MATCH(E13,Cost_Components!$A$2:$A$27,0)),"")</f>
        <v>0.8</v>
      </c>
      <c r="AA13" s="24">
        <f>IFERROR(INDEX(Cost_Components!$U$2:$U$27,MATCH(E13,Cost_Components!$A$2:$A$27,0)),"")</f>
        <v>2025</v>
      </c>
      <c r="AB13" s="24">
        <f>IFERROR(INDEX(Cost_Components!$V$2:$V$27,MATCH(E13,Cost_Components!$A$2:$A$27,0)),"")</f>
        <v>2050</v>
      </c>
      <c r="AC13" s="24">
        <f>IFERROR(INDEX(Cost_Components!$M$2:$M$27,MATCH(E13,Cost_Components!$A$2:$A$27,0)),"")</f>
        <v>30</v>
      </c>
      <c r="AD13" s="24">
        <f>IFERROR(INDEX(Cost_Components!$N$2:$N$27,MATCH(E13,Cost_Components!$A$2:$A$27,0)),"")</f>
        <v>95</v>
      </c>
      <c r="AE13" s="14" t="str">
        <f>IFERROR(INDEX(Cost_Components!$O$2:$O$27,MATCH(E13,Cost_Components!$A$2:$A$27,0)),"")</f>
        <v>Both</v>
      </c>
      <c r="AF13" s="11">
        <v>174256336.39387301</v>
      </c>
      <c r="AG13" s="11">
        <v>174163164.83846799</v>
      </c>
      <c r="AH13" s="21">
        <f t="shared" si="9"/>
        <v>1</v>
      </c>
    </row>
    <row r="14" spans="1:34" hidden="1">
      <c r="A14" t="s">
        <v>159</v>
      </c>
      <c r="B14" s="18">
        <v>2037</v>
      </c>
      <c r="C14" t="s">
        <v>159</v>
      </c>
      <c r="E14" s="20" t="s">
        <v>257</v>
      </c>
      <c r="F14" s="20" t="s">
        <v>258</v>
      </c>
      <c r="G14" s="20" t="s">
        <v>168</v>
      </c>
      <c r="H14" s="20" t="s">
        <v>169</v>
      </c>
      <c r="I14" s="20" t="s">
        <v>75</v>
      </c>
      <c r="J14" s="15">
        <f>IFERROR(INDEX(Cost_Components!$K$2:$K$27,MATCH(E14,Cost_Components!$A$2:$A$27,0)),"")</f>
        <v>0.2</v>
      </c>
      <c r="K14" s="15">
        <f t="shared" si="0"/>
        <v>0.55500000000000005</v>
      </c>
      <c r="L14" s="15">
        <f>IFERROR(INDEX(Cost_Components!$S$2:$S$27,MATCH(E14,Cost_Components!$A$2:$A$27,0)),"")</f>
        <v>0.31</v>
      </c>
      <c r="M14" s="26">
        <f>IFERROR(INDEX(Cost_Components!$L$2:$L$27,MATCH(E14,Cost_Components!$A$2:$A$27,0)),"")</f>
        <v>1</v>
      </c>
      <c r="N14" s="27">
        <f>IFERROR(INDEX(Cost_Components!$P$2:$P$27,MATCH(E14,Cost_Components!$A$2:$A$27,0)),"")</f>
        <v>1.2915840000000001</v>
      </c>
      <c r="O14" s="21">
        <f t="shared" si="1"/>
        <v>35238157.800944798</v>
      </c>
      <c r="P14" s="21">
        <f t="shared" si="2"/>
        <v>35204474.329786003</v>
      </c>
      <c r="Q14" s="21">
        <f t="shared" si="3"/>
        <v>14095556.089556322</v>
      </c>
      <c r="R14" s="21">
        <f t="shared" si="4"/>
        <v>25259737.646872398</v>
      </c>
      <c r="S14" s="21">
        <f t="shared" si="5"/>
        <v>11164181.557316076</v>
      </c>
      <c r="T14" s="14">
        <f>IFERROR(INDEX(Cost_Components!$R$2:$R$27,MATCH(E14,Cost_Components!$A$2:$A$27,0)),"")</f>
        <v>1</v>
      </c>
      <c r="U14" s="24">
        <f>IFERROR(INDEX(Cost_Components!$Q$2:$Q$27,MATCH(E14,Cost_Components!$A$2:$A$27,0)),"")</f>
        <v>2023</v>
      </c>
      <c r="V14" s="28">
        <f>1/(1+Calculation_Assumptions!$B$5)^(B14-Calculation_Assumptions!$B$2)</f>
        <v>0.70137988019297326</v>
      </c>
      <c r="W14" s="21">
        <f t="shared" si="6"/>
        <v>9886339.4413463473</v>
      </c>
      <c r="X14" s="21">
        <f t="shared" si="7"/>
        <v>17716671.764469299</v>
      </c>
      <c r="Y14" s="21">
        <f t="shared" si="8"/>
        <v>7830332.3231229512</v>
      </c>
      <c r="Z14" s="15">
        <f>IFERROR(INDEX(Cost_Components!$T$2:$T$27,MATCH(E14,Cost_Components!$A$2:$A$27,0)),"")</f>
        <v>0.8</v>
      </c>
      <c r="AA14" s="24">
        <f>IFERROR(INDEX(Cost_Components!$U$2:$U$27,MATCH(E14,Cost_Components!$A$2:$A$27,0)),"")</f>
        <v>2025</v>
      </c>
      <c r="AB14" s="24">
        <f>IFERROR(INDEX(Cost_Components!$V$2:$V$27,MATCH(E14,Cost_Components!$A$2:$A$27,0)),"")</f>
        <v>2050</v>
      </c>
      <c r="AC14" s="24">
        <f>IFERROR(INDEX(Cost_Components!$M$2:$M$27,MATCH(E14,Cost_Components!$A$2:$A$27,0)),"")</f>
        <v>30</v>
      </c>
      <c r="AD14" s="24">
        <f>IFERROR(INDEX(Cost_Components!$N$2:$N$27,MATCH(E14,Cost_Components!$A$2:$A$27,0)),"")</f>
        <v>95</v>
      </c>
      <c r="AE14" s="14" t="str">
        <f>IFERROR(INDEX(Cost_Components!$O$2:$O$27,MATCH(E14,Cost_Components!$A$2:$A$27,0)),"")</f>
        <v>Both</v>
      </c>
      <c r="AF14" s="11">
        <v>176190789.004724</v>
      </c>
      <c r="AG14" s="11">
        <v>176022371.64893001</v>
      </c>
      <c r="AH14" s="21">
        <f t="shared" si="9"/>
        <v>1</v>
      </c>
    </row>
    <row r="15" spans="1:34" hidden="1">
      <c r="A15" t="s">
        <v>159</v>
      </c>
      <c r="B15" s="18">
        <v>2038</v>
      </c>
      <c r="C15" t="s">
        <v>159</v>
      </c>
      <c r="E15" s="20" t="s">
        <v>257</v>
      </c>
      <c r="F15" s="20" t="s">
        <v>258</v>
      </c>
      <c r="G15" s="20" t="s">
        <v>168</v>
      </c>
      <c r="H15" s="20" t="s">
        <v>169</v>
      </c>
      <c r="I15" s="20" t="s">
        <v>75</v>
      </c>
      <c r="J15" s="15">
        <f>IFERROR(INDEX(Cost_Components!$K$2:$K$27,MATCH(E15,Cost_Components!$A$2:$A$27,0)),"")</f>
        <v>0.2</v>
      </c>
      <c r="K15" s="15">
        <f t="shared" si="0"/>
        <v>0.57384615384615389</v>
      </c>
      <c r="L15" s="15">
        <f>IFERROR(INDEX(Cost_Components!$S$2:$S$27,MATCH(E15,Cost_Components!$A$2:$A$27,0)),"")</f>
        <v>0.31</v>
      </c>
      <c r="M15" s="26">
        <f>IFERROR(INDEX(Cost_Components!$L$2:$L$27,MATCH(E15,Cost_Components!$A$2:$A$27,0)),"")</f>
        <v>1</v>
      </c>
      <c r="N15" s="27">
        <f>IFERROR(INDEX(Cost_Components!$P$2:$P$27,MATCH(E15,Cost_Components!$A$2:$A$27,0)),"")</f>
        <v>1.2915840000000001</v>
      </c>
      <c r="O15" s="21">
        <f t="shared" si="1"/>
        <v>35617732.403006397</v>
      </c>
      <c r="P15" s="21">
        <f t="shared" si="2"/>
        <v>35567420.313994005</v>
      </c>
      <c r="Q15" s="21">
        <f t="shared" si="3"/>
        <v>14240876.409637187</v>
      </c>
      <c r="R15" s="21">
        <f t="shared" si="4"/>
        <v>26398812.917578034</v>
      </c>
      <c r="S15" s="21">
        <f t="shared" si="5"/>
        <v>12157936.507940847</v>
      </c>
      <c r="T15" s="14">
        <f>IFERROR(INDEX(Cost_Components!$R$2:$R$27,MATCH(E15,Cost_Components!$A$2:$A$27,0)),"")</f>
        <v>1</v>
      </c>
      <c r="U15" s="24">
        <f>IFERROR(INDEX(Cost_Components!$Q$2:$Q$27,MATCH(E15,Cost_Components!$A$2:$A$27,0)),"")</f>
        <v>2023</v>
      </c>
      <c r="V15" s="28">
        <f>1/(1+Calculation_Assumptions!$B$5)^(B15-Calculation_Assumptions!$B$2)</f>
        <v>0.68095133999317792</v>
      </c>
      <c r="W15" s="21">
        <f t="shared" si="6"/>
        <v>9697343.873819679</v>
      </c>
      <c r="X15" s="21">
        <f t="shared" si="7"/>
        <v>17976307.030453976</v>
      </c>
      <c r="Y15" s="21">
        <f t="shared" si="8"/>
        <v>8278963.1566342982</v>
      </c>
      <c r="Z15" s="15">
        <f>IFERROR(INDEX(Cost_Components!$T$2:$T$27,MATCH(E15,Cost_Components!$A$2:$A$27,0)),"")</f>
        <v>0.8</v>
      </c>
      <c r="AA15" s="24">
        <f>IFERROR(INDEX(Cost_Components!$U$2:$U$27,MATCH(E15,Cost_Components!$A$2:$A$27,0)),"")</f>
        <v>2025</v>
      </c>
      <c r="AB15" s="24">
        <f>IFERROR(INDEX(Cost_Components!$V$2:$V$27,MATCH(E15,Cost_Components!$A$2:$A$27,0)),"")</f>
        <v>2050</v>
      </c>
      <c r="AC15" s="24">
        <f>IFERROR(INDEX(Cost_Components!$M$2:$M$27,MATCH(E15,Cost_Components!$A$2:$A$27,0)),"")</f>
        <v>30</v>
      </c>
      <c r="AD15" s="24">
        <f>IFERROR(INDEX(Cost_Components!$N$2:$N$27,MATCH(E15,Cost_Components!$A$2:$A$27,0)),"")</f>
        <v>95</v>
      </c>
      <c r="AE15" s="14" t="str">
        <f>IFERROR(INDEX(Cost_Components!$O$2:$O$27,MATCH(E15,Cost_Components!$A$2:$A$27,0)),"")</f>
        <v>Both</v>
      </c>
      <c r="AF15" s="11">
        <v>178088662.01503199</v>
      </c>
      <c r="AG15" s="11">
        <v>177837101.56997001</v>
      </c>
      <c r="AH15" s="21">
        <f t="shared" si="9"/>
        <v>1</v>
      </c>
    </row>
    <row r="16" spans="1:34" hidden="1">
      <c r="A16" t="s">
        <v>159</v>
      </c>
      <c r="B16" s="18">
        <v>2039</v>
      </c>
      <c r="C16" t="s">
        <v>159</v>
      </c>
      <c r="E16" s="20" t="s">
        <v>257</v>
      </c>
      <c r="F16" s="20" t="s">
        <v>258</v>
      </c>
      <c r="G16" s="20" t="s">
        <v>168</v>
      </c>
      <c r="H16" s="20" t="s">
        <v>169</v>
      </c>
      <c r="I16" s="20" t="s">
        <v>75</v>
      </c>
      <c r="J16" s="15">
        <f>IFERROR(INDEX(Cost_Components!$K$2:$K$27,MATCH(E16,Cost_Components!$A$2:$A$27,0)),"")</f>
        <v>0.2</v>
      </c>
      <c r="K16" s="15">
        <f t="shared" si="0"/>
        <v>0.59269230769230763</v>
      </c>
      <c r="L16" s="15">
        <f>IFERROR(INDEX(Cost_Components!$S$2:$S$27,MATCH(E16,Cost_Components!$A$2:$A$27,0)),"")</f>
        <v>0.31</v>
      </c>
      <c r="M16" s="26">
        <f>IFERROR(INDEX(Cost_Components!$L$2:$L$27,MATCH(E16,Cost_Components!$A$2:$A$27,0)),"")</f>
        <v>1</v>
      </c>
      <c r="N16" s="27">
        <f>IFERROR(INDEX(Cost_Components!$P$2:$P$27,MATCH(E16,Cost_Components!$A$2:$A$27,0)),"")</f>
        <v>1.2915840000000001</v>
      </c>
      <c r="O16" s="21">
        <f t="shared" si="1"/>
        <v>35986320.710790202</v>
      </c>
      <c r="P16" s="21">
        <f t="shared" si="2"/>
        <v>35917821.382525198</v>
      </c>
      <c r="Q16" s="21">
        <f t="shared" si="3"/>
        <v>14381173.857883502</v>
      </c>
      <c r="R16" s="21">
        <f t="shared" si="4"/>
        <v>27547956.796689928</v>
      </c>
      <c r="S16" s="21">
        <f t="shared" si="5"/>
        <v>13166782.938806426</v>
      </c>
      <c r="T16" s="14">
        <f>IFERROR(INDEX(Cost_Components!$R$2:$R$27,MATCH(E16,Cost_Components!$A$2:$A$27,0)),"")</f>
        <v>1</v>
      </c>
      <c r="U16" s="24">
        <f>IFERROR(INDEX(Cost_Components!$Q$2:$Q$27,MATCH(E16,Cost_Components!$A$2:$A$27,0)),"")</f>
        <v>2023</v>
      </c>
      <c r="V16" s="28">
        <f>1/(1+Calculation_Assumptions!$B$5)^(B16-Calculation_Assumptions!$B$2)</f>
        <v>0.66111780581861923</v>
      </c>
      <c r="W16" s="21">
        <f t="shared" si="6"/>
        <v>9507650.1060200278</v>
      </c>
      <c r="X16" s="21">
        <f t="shared" si="7"/>
        <v>18212444.752213765</v>
      </c>
      <c r="Y16" s="21">
        <f t="shared" si="8"/>
        <v>8704794.6461937353</v>
      </c>
      <c r="Z16" s="15">
        <f>IFERROR(INDEX(Cost_Components!$T$2:$T$27,MATCH(E16,Cost_Components!$A$2:$A$27,0)),"")</f>
        <v>0.8</v>
      </c>
      <c r="AA16" s="24">
        <f>IFERROR(INDEX(Cost_Components!$U$2:$U$27,MATCH(E16,Cost_Components!$A$2:$A$27,0)),"")</f>
        <v>2025</v>
      </c>
      <c r="AB16" s="24">
        <f>IFERROR(INDEX(Cost_Components!$V$2:$V$27,MATCH(E16,Cost_Components!$A$2:$A$27,0)),"")</f>
        <v>2050</v>
      </c>
      <c r="AC16" s="24">
        <f>IFERROR(INDEX(Cost_Components!$M$2:$M$27,MATCH(E16,Cost_Components!$A$2:$A$27,0)),"")</f>
        <v>30</v>
      </c>
      <c r="AD16" s="24">
        <f>IFERROR(INDEX(Cost_Components!$N$2:$N$27,MATCH(E16,Cost_Components!$A$2:$A$27,0)),"")</f>
        <v>95</v>
      </c>
      <c r="AE16" s="14" t="str">
        <f>IFERROR(INDEX(Cost_Components!$O$2:$O$27,MATCH(E16,Cost_Components!$A$2:$A$27,0)),"")</f>
        <v>Both</v>
      </c>
      <c r="AF16" s="11">
        <v>179931603.553951</v>
      </c>
      <c r="AG16" s="11">
        <v>179589106.912626</v>
      </c>
      <c r="AH16" s="21">
        <f t="shared" si="9"/>
        <v>1</v>
      </c>
    </row>
    <row r="17" spans="1:34" hidden="1">
      <c r="A17" t="s">
        <v>159</v>
      </c>
      <c r="B17" s="18">
        <v>2040</v>
      </c>
      <c r="C17" t="s">
        <v>159</v>
      </c>
      <c r="E17" s="20" t="s">
        <v>257</v>
      </c>
      <c r="F17" s="20" t="s">
        <v>258</v>
      </c>
      <c r="G17" s="20" t="s">
        <v>168</v>
      </c>
      <c r="H17" s="20" t="s">
        <v>169</v>
      </c>
      <c r="I17" s="20" t="s">
        <v>75</v>
      </c>
      <c r="J17" s="15">
        <f>IFERROR(INDEX(Cost_Components!$K$2:$K$27,MATCH(E17,Cost_Components!$A$2:$A$27,0)),"")</f>
        <v>0.2</v>
      </c>
      <c r="K17" s="15">
        <f t="shared" si="0"/>
        <v>0.61153846153846159</v>
      </c>
      <c r="L17" s="15">
        <f>IFERROR(INDEX(Cost_Components!$S$2:$S$27,MATCH(E17,Cost_Components!$A$2:$A$27,0)),"")</f>
        <v>0.31</v>
      </c>
      <c r="M17" s="26">
        <f>IFERROR(INDEX(Cost_Components!$L$2:$L$27,MATCH(E17,Cost_Components!$A$2:$A$27,0)),"")</f>
        <v>1</v>
      </c>
      <c r="N17" s="27">
        <f>IFERROR(INDEX(Cost_Components!$P$2:$P$27,MATCH(E17,Cost_Components!$A$2:$A$27,0)),"")</f>
        <v>1.2915840000000001</v>
      </c>
      <c r="O17" s="21">
        <f t="shared" si="1"/>
        <v>36327678.203146398</v>
      </c>
      <c r="P17" s="21">
        <f t="shared" si="2"/>
        <v>36266010.644383006</v>
      </c>
      <c r="Q17" s="21">
        <f t="shared" si="3"/>
        <v>14520585.718555583</v>
      </c>
      <c r="R17" s="21">
        <f t="shared" si="4"/>
        <v>28693536.230649579</v>
      </c>
      <c r="S17" s="21">
        <f t="shared" si="5"/>
        <v>14172950.512093997</v>
      </c>
      <c r="T17" s="14">
        <f>IFERROR(INDEX(Cost_Components!$R$2:$R$27,MATCH(E17,Cost_Components!$A$2:$A$27,0)),"")</f>
        <v>1</v>
      </c>
      <c r="U17" s="24">
        <f>IFERROR(INDEX(Cost_Components!$Q$2:$Q$27,MATCH(E17,Cost_Components!$A$2:$A$27,0)),"")</f>
        <v>2023</v>
      </c>
      <c r="V17" s="28">
        <f>1/(1+Calculation_Assumptions!$B$5)^(B17-Calculation_Assumptions!$B$2)</f>
        <v>0.64186194739671765</v>
      </c>
      <c r="W17" s="21">
        <f t="shared" si="6"/>
        <v>9320211.4266530536</v>
      </c>
      <c r="X17" s="21">
        <f t="shared" si="7"/>
        <v>18417289.042703014</v>
      </c>
      <c r="Y17" s="21">
        <f t="shared" si="8"/>
        <v>9097077.6160499584</v>
      </c>
      <c r="Z17" s="15">
        <f>IFERROR(INDEX(Cost_Components!$T$2:$T$27,MATCH(E17,Cost_Components!$A$2:$A$27,0)),"")</f>
        <v>0.8</v>
      </c>
      <c r="AA17" s="24">
        <f>IFERROR(INDEX(Cost_Components!$U$2:$U$27,MATCH(E17,Cost_Components!$A$2:$A$27,0)),"")</f>
        <v>2025</v>
      </c>
      <c r="AB17" s="24">
        <f>IFERROR(INDEX(Cost_Components!$V$2:$V$27,MATCH(E17,Cost_Components!$A$2:$A$27,0)),"")</f>
        <v>2050</v>
      </c>
      <c r="AC17" s="24">
        <f>IFERROR(INDEX(Cost_Components!$M$2:$M$27,MATCH(E17,Cost_Components!$A$2:$A$27,0)),"")</f>
        <v>30</v>
      </c>
      <c r="AD17" s="24">
        <f>IFERROR(INDEX(Cost_Components!$N$2:$N$27,MATCH(E17,Cost_Components!$A$2:$A$27,0)),"")</f>
        <v>95</v>
      </c>
      <c r="AE17" s="14" t="str">
        <f>IFERROR(INDEX(Cost_Components!$O$2:$O$27,MATCH(E17,Cost_Components!$A$2:$A$27,0)),"")</f>
        <v>Both</v>
      </c>
      <c r="AF17" s="11">
        <v>181638391.01573199</v>
      </c>
      <c r="AG17" s="11">
        <v>181330053.22191501</v>
      </c>
      <c r="AH17" s="21">
        <f t="shared" si="9"/>
        <v>1</v>
      </c>
    </row>
    <row r="18" spans="1:34" hidden="1">
      <c r="A18" t="s">
        <v>159</v>
      </c>
      <c r="B18" s="18">
        <v>2041</v>
      </c>
      <c r="C18" t="s">
        <v>159</v>
      </c>
      <c r="E18" s="20" t="s">
        <v>257</v>
      </c>
      <c r="F18" s="20" t="s">
        <v>258</v>
      </c>
      <c r="G18" s="20" t="s">
        <v>168</v>
      </c>
      <c r="H18" s="20" t="s">
        <v>169</v>
      </c>
      <c r="I18" s="20" t="s">
        <v>75</v>
      </c>
      <c r="J18" s="15">
        <f>IFERROR(INDEX(Cost_Components!$K$2:$K$27,MATCH(E18,Cost_Components!$A$2:$A$27,0)),"")</f>
        <v>0.2</v>
      </c>
      <c r="K18" s="15">
        <f t="shared" si="0"/>
        <v>0.63038461538461543</v>
      </c>
      <c r="L18" s="15">
        <f>IFERROR(INDEX(Cost_Components!$S$2:$S$27,MATCH(E18,Cost_Components!$A$2:$A$27,0)),"")</f>
        <v>0.31</v>
      </c>
      <c r="M18" s="26">
        <f>IFERROR(INDEX(Cost_Components!$L$2:$L$27,MATCH(E18,Cost_Components!$A$2:$A$27,0)),"")</f>
        <v>1</v>
      </c>
      <c r="N18" s="27">
        <f>IFERROR(INDEX(Cost_Components!$P$2:$P$27,MATCH(E18,Cost_Components!$A$2:$A$27,0)),"")</f>
        <v>1.2915840000000001</v>
      </c>
      <c r="O18" s="21">
        <f t="shared" si="1"/>
        <v>36729828.0506166</v>
      </c>
      <c r="P18" s="21">
        <f t="shared" si="2"/>
        <v>36620755.349436007</v>
      </c>
      <c r="Q18" s="21">
        <f t="shared" si="3"/>
        <v>14662622.319946246</v>
      </c>
      <c r="R18" s="21">
        <f t="shared" si="4"/>
        <v>29905230.709141668</v>
      </c>
      <c r="S18" s="21">
        <f t="shared" si="5"/>
        <v>15242608.389195422</v>
      </c>
      <c r="T18" s="14">
        <f>IFERROR(INDEX(Cost_Components!$R$2:$R$27,MATCH(E18,Cost_Components!$A$2:$A$27,0)),"")</f>
        <v>1</v>
      </c>
      <c r="U18" s="24">
        <f>IFERROR(INDEX(Cost_Components!$Q$2:$Q$27,MATCH(E18,Cost_Components!$A$2:$A$27,0)),"")</f>
        <v>2023</v>
      </c>
      <c r="V18" s="28">
        <f>1/(1+Calculation_Assumptions!$B$5)^(B18-Calculation_Assumptions!$B$2)</f>
        <v>0.62316693922011435</v>
      </c>
      <c r="W18" s="21">
        <f t="shared" si="6"/>
        <v>9137261.4720614348</v>
      </c>
      <c r="X18" s="21">
        <f t="shared" si="7"/>
        <v>18635951.087687183</v>
      </c>
      <c r="Y18" s="21">
        <f t="shared" si="8"/>
        <v>9498689.6156257484</v>
      </c>
      <c r="Z18" s="15">
        <f>IFERROR(INDEX(Cost_Components!$T$2:$T$27,MATCH(E18,Cost_Components!$A$2:$A$27,0)),"")</f>
        <v>0.8</v>
      </c>
      <c r="AA18" s="24">
        <f>IFERROR(INDEX(Cost_Components!$U$2:$U$27,MATCH(E18,Cost_Components!$A$2:$A$27,0)),"")</f>
        <v>2025</v>
      </c>
      <c r="AB18" s="24">
        <f>IFERROR(INDEX(Cost_Components!$V$2:$V$27,MATCH(E18,Cost_Components!$A$2:$A$27,0)),"")</f>
        <v>2050</v>
      </c>
      <c r="AC18" s="24">
        <f>IFERROR(INDEX(Cost_Components!$M$2:$M$27,MATCH(E18,Cost_Components!$A$2:$A$27,0)),"")</f>
        <v>30</v>
      </c>
      <c r="AD18" s="24">
        <f>IFERROR(INDEX(Cost_Components!$N$2:$N$27,MATCH(E18,Cost_Components!$A$2:$A$27,0)),"")</f>
        <v>95</v>
      </c>
      <c r="AE18" s="14" t="str">
        <f>IFERROR(INDEX(Cost_Components!$O$2:$O$27,MATCH(E18,Cost_Components!$A$2:$A$27,0)),"")</f>
        <v>Both</v>
      </c>
      <c r="AF18" s="11">
        <v>183649140.25308299</v>
      </c>
      <c r="AG18" s="11">
        <v>183103776.74718001</v>
      </c>
      <c r="AH18" s="21">
        <f t="shared" si="9"/>
        <v>1</v>
      </c>
    </row>
    <row r="19" spans="1:34" hidden="1">
      <c r="A19" t="s">
        <v>159</v>
      </c>
      <c r="B19" s="18">
        <v>2042</v>
      </c>
      <c r="C19" t="s">
        <v>159</v>
      </c>
      <c r="E19" s="20" t="s">
        <v>257</v>
      </c>
      <c r="F19" s="20" t="s">
        <v>258</v>
      </c>
      <c r="G19" s="20" t="s">
        <v>168</v>
      </c>
      <c r="H19" s="20" t="s">
        <v>169</v>
      </c>
      <c r="I19" s="20" t="s">
        <v>75</v>
      </c>
      <c r="J19" s="15">
        <f>IFERROR(INDEX(Cost_Components!$K$2:$K$27,MATCH(E19,Cost_Components!$A$2:$A$27,0)),"")</f>
        <v>0.2</v>
      </c>
      <c r="K19" s="15">
        <f t="shared" si="0"/>
        <v>0.64923076923076928</v>
      </c>
      <c r="L19" s="15">
        <f>IFERROR(INDEX(Cost_Components!$S$2:$S$27,MATCH(E19,Cost_Components!$A$2:$A$27,0)),"")</f>
        <v>0.31</v>
      </c>
      <c r="M19" s="26">
        <f>IFERROR(INDEX(Cost_Components!$L$2:$L$27,MATCH(E19,Cost_Components!$A$2:$A$27,0)),"")</f>
        <v>1</v>
      </c>
      <c r="N19" s="27">
        <f>IFERROR(INDEX(Cost_Components!$P$2:$P$27,MATCH(E19,Cost_Components!$A$2:$A$27,0)),"")</f>
        <v>1.2915840000000001</v>
      </c>
      <c r="O19" s="21">
        <f t="shared" si="1"/>
        <v>37109700.834807999</v>
      </c>
      <c r="P19" s="21">
        <f t="shared" si="2"/>
        <v>36949709.515839398</v>
      </c>
      <c r="Q19" s="21">
        <f t="shared" si="3"/>
        <v>14794332.620744836</v>
      </c>
      <c r="R19" s="21">
        <f t="shared" si="4"/>
        <v>31117822.839625239</v>
      </c>
      <c r="S19" s="21">
        <f t="shared" si="5"/>
        <v>16323490.218880404</v>
      </c>
      <c r="T19" s="14">
        <f>IFERROR(INDEX(Cost_Components!$R$2:$R$27,MATCH(E19,Cost_Components!$A$2:$A$27,0)),"")</f>
        <v>1</v>
      </c>
      <c r="U19" s="24">
        <f>IFERROR(INDEX(Cost_Components!$Q$2:$Q$27,MATCH(E19,Cost_Components!$A$2:$A$27,0)),"")</f>
        <v>2023</v>
      </c>
      <c r="V19" s="28">
        <f>1/(1+Calculation_Assumptions!$B$5)^(B19-Calculation_Assumptions!$B$2)</f>
        <v>0.60501644584477121</v>
      </c>
      <c r="W19" s="21">
        <f t="shared" si="6"/>
        <v>8950814.5408484004</v>
      </c>
      <c r="X19" s="21">
        <f t="shared" si="7"/>
        <v>18826794.57685731</v>
      </c>
      <c r="Y19" s="21">
        <f t="shared" si="8"/>
        <v>9875980.0360089075</v>
      </c>
      <c r="Z19" s="15">
        <f>IFERROR(INDEX(Cost_Components!$T$2:$T$27,MATCH(E19,Cost_Components!$A$2:$A$27,0)),"")</f>
        <v>0.8</v>
      </c>
      <c r="AA19" s="24">
        <f>IFERROR(INDEX(Cost_Components!$U$2:$U$27,MATCH(E19,Cost_Components!$A$2:$A$27,0)),"")</f>
        <v>2025</v>
      </c>
      <c r="AB19" s="24">
        <f>IFERROR(INDEX(Cost_Components!$V$2:$V$27,MATCH(E19,Cost_Components!$A$2:$A$27,0)),"")</f>
        <v>2050</v>
      </c>
      <c r="AC19" s="24">
        <f>IFERROR(INDEX(Cost_Components!$M$2:$M$27,MATCH(E19,Cost_Components!$A$2:$A$27,0)),"")</f>
        <v>30</v>
      </c>
      <c r="AD19" s="24">
        <f>IFERROR(INDEX(Cost_Components!$N$2:$N$27,MATCH(E19,Cost_Components!$A$2:$A$27,0)),"")</f>
        <v>95</v>
      </c>
      <c r="AE19" s="14" t="str">
        <f>IFERROR(INDEX(Cost_Components!$O$2:$O$27,MATCH(E19,Cost_Components!$A$2:$A$27,0)),"")</f>
        <v>Both</v>
      </c>
      <c r="AF19" s="11">
        <v>185548504.17403999</v>
      </c>
      <c r="AG19" s="11">
        <v>184748547.57919699</v>
      </c>
      <c r="AH19" s="21">
        <f t="shared" si="9"/>
        <v>1</v>
      </c>
    </row>
    <row r="20" spans="1:34" hidden="1">
      <c r="A20" t="s">
        <v>159</v>
      </c>
      <c r="B20" s="18">
        <v>2043</v>
      </c>
      <c r="C20" t="s">
        <v>159</v>
      </c>
      <c r="E20" s="20" t="s">
        <v>257</v>
      </c>
      <c r="F20" s="20" t="s">
        <v>258</v>
      </c>
      <c r="G20" s="20" t="s">
        <v>168</v>
      </c>
      <c r="H20" s="20" t="s">
        <v>169</v>
      </c>
      <c r="I20" s="20" t="s">
        <v>75</v>
      </c>
      <c r="J20" s="15">
        <f>IFERROR(INDEX(Cost_Components!$K$2:$K$27,MATCH(E20,Cost_Components!$A$2:$A$27,0)),"")</f>
        <v>0.2</v>
      </c>
      <c r="K20" s="15">
        <f t="shared" si="0"/>
        <v>0.66807692307692301</v>
      </c>
      <c r="L20" s="15">
        <f>IFERROR(INDEX(Cost_Components!$S$2:$S$27,MATCH(E20,Cost_Components!$A$2:$A$27,0)),"")</f>
        <v>0.31</v>
      </c>
      <c r="M20" s="26">
        <f>IFERROR(INDEX(Cost_Components!$L$2:$L$27,MATCH(E20,Cost_Components!$A$2:$A$27,0)),"")</f>
        <v>1</v>
      </c>
      <c r="N20" s="27">
        <f>IFERROR(INDEX(Cost_Components!$P$2:$P$27,MATCH(E20,Cost_Components!$A$2:$A$27,0)),"")</f>
        <v>1.2915840000000001</v>
      </c>
      <c r="O20" s="21">
        <f t="shared" si="1"/>
        <v>37469045.234376401</v>
      </c>
      <c r="P20" s="21">
        <f t="shared" si="2"/>
        <v>37304470.412037402</v>
      </c>
      <c r="Q20" s="21">
        <f t="shared" si="3"/>
        <v>14936375.704924885</v>
      </c>
      <c r="R20" s="21">
        <f t="shared" si="4"/>
        <v>32331194.753397867</v>
      </c>
      <c r="S20" s="21">
        <f t="shared" si="5"/>
        <v>17394819.048472982</v>
      </c>
      <c r="T20" s="14">
        <f>IFERROR(INDEX(Cost_Components!$R$2:$R$27,MATCH(E20,Cost_Components!$A$2:$A$27,0)),"")</f>
        <v>1</v>
      </c>
      <c r="U20" s="24">
        <f>IFERROR(INDEX(Cost_Components!$Q$2:$Q$27,MATCH(E20,Cost_Components!$A$2:$A$27,0)),"")</f>
        <v>2023</v>
      </c>
      <c r="V20" s="28">
        <f>1/(1+Calculation_Assumptions!$B$5)^(B20-Calculation_Assumptions!$B$2)</f>
        <v>0.5873946076162827</v>
      </c>
      <c r="W20" s="21">
        <f t="shared" si="6"/>
        <v>8773546.5464037303</v>
      </c>
      <c r="X20" s="21">
        <f t="shared" si="7"/>
        <v>18991169.455937758</v>
      </c>
      <c r="Y20" s="21">
        <f t="shared" si="8"/>
        <v>10217622.909534028</v>
      </c>
      <c r="Z20" s="15">
        <f>IFERROR(INDEX(Cost_Components!$T$2:$T$27,MATCH(E20,Cost_Components!$A$2:$A$27,0)),"")</f>
        <v>0.8</v>
      </c>
      <c r="AA20" s="24">
        <f>IFERROR(INDEX(Cost_Components!$U$2:$U$27,MATCH(E20,Cost_Components!$A$2:$A$27,0)),"")</f>
        <v>2025</v>
      </c>
      <c r="AB20" s="24">
        <f>IFERROR(INDEX(Cost_Components!$V$2:$V$27,MATCH(E20,Cost_Components!$A$2:$A$27,0)),"")</f>
        <v>2050</v>
      </c>
      <c r="AC20" s="24">
        <f>IFERROR(INDEX(Cost_Components!$M$2:$M$27,MATCH(E20,Cost_Components!$A$2:$A$27,0)),"")</f>
        <v>30</v>
      </c>
      <c r="AD20" s="24">
        <f>IFERROR(INDEX(Cost_Components!$N$2:$N$27,MATCH(E20,Cost_Components!$A$2:$A$27,0)),"")</f>
        <v>95</v>
      </c>
      <c r="AE20" s="14" t="str">
        <f>IFERROR(INDEX(Cost_Components!$O$2:$O$27,MATCH(E20,Cost_Components!$A$2:$A$27,0)),"")</f>
        <v>Both</v>
      </c>
      <c r="AF20" s="11">
        <v>187345226.171882</v>
      </c>
      <c r="AG20" s="11">
        <v>186522352.06018701</v>
      </c>
      <c r="AH20" s="21">
        <f t="shared" si="9"/>
        <v>1</v>
      </c>
    </row>
    <row r="21" spans="1:34" hidden="1">
      <c r="A21" t="s">
        <v>159</v>
      </c>
      <c r="B21" s="18">
        <v>2044</v>
      </c>
      <c r="C21" t="s">
        <v>159</v>
      </c>
      <c r="E21" s="20" t="s">
        <v>257</v>
      </c>
      <c r="F21" s="20" t="s">
        <v>258</v>
      </c>
      <c r="G21" s="20" t="s">
        <v>168</v>
      </c>
      <c r="H21" s="20" t="s">
        <v>169</v>
      </c>
      <c r="I21" s="20" t="s">
        <v>75</v>
      </c>
      <c r="J21" s="15">
        <f>IFERROR(INDEX(Cost_Components!$K$2:$K$27,MATCH(E21,Cost_Components!$A$2:$A$27,0)),"")</f>
        <v>0.2</v>
      </c>
      <c r="K21" s="15">
        <f t="shared" si="0"/>
        <v>0.68692307692307697</v>
      </c>
      <c r="L21" s="15">
        <f>IFERROR(INDEX(Cost_Components!$S$2:$S$27,MATCH(E21,Cost_Components!$A$2:$A$27,0)),"")</f>
        <v>0.31</v>
      </c>
      <c r="M21" s="26">
        <f>IFERROR(INDEX(Cost_Components!$L$2:$L$27,MATCH(E21,Cost_Components!$A$2:$A$27,0)),"")</f>
        <v>1</v>
      </c>
      <c r="N21" s="27">
        <f>IFERROR(INDEX(Cost_Components!$P$2:$P$27,MATCH(E21,Cost_Components!$A$2:$A$27,0)),"")</f>
        <v>1.2915840000000001</v>
      </c>
      <c r="O21" s="21">
        <f t="shared" si="1"/>
        <v>37798502.257822804</v>
      </c>
      <c r="P21" s="21">
        <f t="shared" si="2"/>
        <v>37609903.0599932</v>
      </c>
      <c r="Q21" s="21">
        <f t="shared" si="3"/>
        <v>15058668.20048986</v>
      </c>
      <c r="R21" s="21">
        <f t="shared" si="4"/>
        <v>33535543.908438355</v>
      </c>
      <c r="S21" s="21">
        <f t="shared" si="5"/>
        <v>18476875.707948495</v>
      </c>
      <c r="T21" s="14">
        <f>IFERROR(INDEX(Cost_Components!$R$2:$R$27,MATCH(E21,Cost_Components!$A$2:$A$27,0)),"")</f>
        <v>1</v>
      </c>
      <c r="U21" s="24">
        <f>IFERROR(INDEX(Cost_Components!$Q$2:$Q$27,MATCH(E21,Cost_Components!$A$2:$A$27,0)),"")</f>
        <v>2023</v>
      </c>
      <c r="V21" s="28">
        <f>1/(1+Calculation_Assumptions!$B$5)^(B21-Calculation_Assumptions!$B$2)</f>
        <v>0.57028602681192497</v>
      </c>
      <c r="W21" s="21">
        <f t="shared" si="6"/>
        <v>8587748.0571364425</v>
      </c>
      <c r="X21" s="21">
        <f t="shared" si="7"/>
        <v>19124852.092520162</v>
      </c>
      <c r="Y21" s="21">
        <f t="shared" si="8"/>
        <v>10537104.03538372</v>
      </c>
      <c r="Z21" s="15">
        <f>IFERROR(INDEX(Cost_Components!$T$2:$T$27,MATCH(E21,Cost_Components!$A$2:$A$27,0)),"")</f>
        <v>0.8</v>
      </c>
      <c r="AA21" s="24">
        <f>IFERROR(INDEX(Cost_Components!$U$2:$U$27,MATCH(E21,Cost_Components!$A$2:$A$27,0)),"")</f>
        <v>2025</v>
      </c>
      <c r="AB21" s="24">
        <f>IFERROR(INDEX(Cost_Components!$V$2:$V$27,MATCH(E21,Cost_Components!$A$2:$A$27,0)),"")</f>
        <v>2050</v>
      </c>
      <c r="AC21" s="24">
        <f>IFERROR(INDEX(Cost_Components!$M$2:$M$27,MATCH(E21,Cost_Components!$A$2:$A$27,0)),"")</f>
        <v>30</v>
      </c>
      <c r="AD21" s="24">
        <f>IFERROR(INDEX(Cost_Components!$N$2:$N$27,MATCH(E21,Cost_Components!$A$2:$A$27,0)),"")</f>
        <v>95</v>
      </c>
      <c r="AE21" s="14" t="str">
        <f>IFERROR(INDEX(Cost_Components!$O$2:$O$27,MATCH(E21,Cost_Components!$A$2:$A$27,0)),"")</f>
        <v>Both</v>
      </c>
      <c r="AF21" s="11">
        <v>188992511.289114</v>
      </c>
      <c r="AG21" s="11">
        <v>188049515.29996601</v>
      </c>
      <c r="AH21" s="21">
        <f t="shared" si="9"/>
        <v>1</v>
      </c>
    </row>
    <row r="22" spans="1:34" hidden="1">
      <c r="A22" t="s">
        <v>159</v>
      </c>
      <c r="B22" s="18">
        <v>2045</v>
      </c>
      <c r="C22" t="s">
        <v>159</v>
      </c>
      <c r="E22" s="20" t="s">
        <v>257</v>
      </c>
      <c r="F22" s="20" t="s">
        <v>258</v>
      </c>
      <c r="G22" s="20" t="s">
        <v>168</v>
      </c>
      <c r="H22" s="20" t="s">
        <v>169</v>
      </c>
      <c r="I22" s="20" t="s">
        <v>75</v>
      </c>
      <c r="J22" s="15">
        <f>IFERROR(INDEX(Cost_Components!$K$2:$K$27,MATCH(E22,Cost_Components!$A$2:$A$27,0)),"")</f>
        <v>0.2</v>
      </c>
      <c r="K22" s="15">
        <f t="shared" si="0"/>
        <v>0.70576923076923082</v>
      </c>
      <c r="L22" s="15">
        <f>IFERROR(INDEX(Cost_Components!$S$2:$S$27,MATCH(E22,Cost_Components!$A$2:$A$27,0)),"")</f>
        <v>0.31</v>
      </c>
      <c r="M22" s="26">
        <f>IFERROR(INDEX(Cost_Components!$L$2:$L$27,MATCH(E22,Cost_Components!$A$2:$A$27,0)),"")</f>
        <v>1</v>
      </c>
      <c r="N22" s="27">
        <f>IFERROR(INDEX(Cost_Components!$P$2:$P$27,MATCH(E22,Cost_Components!$A$2:$A$27,0)),"")</f>
        <v>1.2915840000000001</v>
      </c>
      <c r="O22" s="21">
        <f t="shared" si="1"/>
        <v>38102472.355255999</v>
      </c>
      <c r="P22" s="21">
        <f t="shared" si="2"/>
        <v>37888070.581573002</v>
      </c>
      <c r="Q22" s="21">
        <f t="shared" si="3"/>
        <v>15170043.983749419</v>
      </c>
      <c r="R22" s="21">
        <f t="shared" si="4"/>
        <v>34732699.079227276</v>
      </c>
      <c r="S22" s="21">
        <f t="shared" si="5"/>
        <v>19562655.095477857</v>
      </c>
      <c r="T22" s="14">
        <f>IFERROR(INDEX(Cost_Components!$R$2:$R$27,MATCH(E22,Cost_Components!$A$2:$A$27,0)),"")</f>
        <v>1</v>
      </c>
      <c r="U22" s="24">
        <f>IFERROR(INDEX(Cost_Components!$Q$2:$Q$27,MATCH(E22,Cost_Components!$A$2:$A$27,0)),"")</f>
        <v>2023</v>
      </c>
      <c r="V22" s="28">
        <f>1/(1+Calculation_Assumptions!$B$5)^(B22-Calculation_Assumptions!$B$2)</f>
        <v>0.55367575418633497</v>
      </c>
      <c r="W22" s="21">
        <f t="shared" si="6"/>
        <v>8399285.5437423326</v>
      </c>
      <c r="X22" s="21">
        <f t="shared" si="7"/>
        <v>19230653.357618183</v>
      </c>
      <c r="Y22" s="21">
        <f t="shared" si="8"/>
        <v>10831367.81387585</v>
      </c>
      <c r="Z22" s="15">
        <f>IFERROR(INDEX(Cost_Components!$T$2:$T$27,MATCH(E22,Cost_Components!$A$2:$A$27,0)),"")</f>
        <v>0.8</v>
      </c>
      <c r="AA22" s="24">
        <f>IFERROR(INDEX(Cost_Components!$U$2:$U$27,MATCH(E22,Cost_Components!$A$2:$A$27,0)),"")</f>
        <v>2025</v>
      </c>
      <c r="AB22" s="24">
        <f>IFERROR(INDEX(Cost_Components!$V$2:$V$27,MATCH(E22,Cost_Components!$A$2:$A$27,0)),"")</f>
        <v>2050</v>
      </c>
      <c r="AC22" s="24">
        <f>IFERROR(INDEX(Cost_Components!$M$2:$M$27,MATCH(E22,Cost_Components!$A$2:$A$27,0)),"")</f>
        <v>30</v>
      </c>
      <c r="AD22" s="24">
        <f>IFERROR(INDEX(Cost_Components!$N$2:$N$27,MATCH(E22,Cost_Components!$A$2:$A$27,0)),"")</f>
        <v>95</v>
      </c>
      <c r="AE22" s="14" t="str">
        <f>IFERROR(INDEX(Cost_Components!$O$2:$O$27,MATCH(E22,Cost_Components!$A$2:$A$27,0)),"")</f>
        <v>Both</v>
      </c>
      <c r="AF22" s="11">
        <v>190512361.77627999</v>
      </c>
      <c r="AG22" s="11">
        <v>189440352.90786499</v>
      </c>
      <c r="AH22" s="21">
        <f t="shared" si="9"/>
        <v>1</v>
      </c>
    </row>
    <row r="23" spans="1:34" hidden="1">
      <c r="A23" t="s">
        <v>159</v>
      </c>
      <c r="B23" s="18">
        <v>2046</v>
      </c>
      <c r="C23" t="s">
        <v>159</v>
      </c>
      <c r="E23" s="20" t="s">
        <v>257</v>
      </c>
      <c r="F23" s="20" t="s">
        <v>258</v>
      </c>
      <c r="G23" s="20" t="s">
        <v>168</v>
      </c>
      <c r="H23" s="20" t="s">
        <v>169</v>
      </c>
      <c r="I23" s="20" t="s">
        <v>75</v>
      </c>
      <c r="J23" s="15">
        <f>IFERROR(INDEX(Cost_Components!$K$2:$K$27,MATCH(E23,Cost_Components!$A$2:$A$27,0)),"")</f>
        <v>0.2</v>
      </c>
      <c r="K23" s="15">
        <f t="shared" si="0"/>
        <v>0.72461538461538466</v>
      </c>
      <c r="L23" s="15">
        <f>IFERROR(INDEX(Cost_Components!$S$2:$S$27,MATCH(E23,Cost_Components!$A$2:$A$27,0)),"")</f>
        <v>0.31</v>
      </c>
      <c r="M23" s="26">
        <f>IFERROR(INDEX(Cost_Components!$L$2:$L$27,MATCH(E23,Cost_Components!$A$2:$A$27,0)),"")</f>
        <v>1</v>
      </c>
      <c r="N23" s="27">
        <f>IFERROR(INDEX(Cost_Components!$P$2:$P$27,MATCH(E23,Cost_Components!$A$2:$A$27,0)),"")</f>
        <v>1.2915840000000001</v>
      </c>
      <c r="O23" s="21">
        <f t="shared" si="1"/>
        <v>38350553.2374174</v>
      </c>
      <c r="P23" s="21">
        <f t="shared" si="2"/>
        <v>38141095.642006598</v>
      </c>
      <c r="Q23" s="21">
        <f t="shared" si="3"/>
        <v>15271352.950842489</v>
      </c>
      <c r="R23" s="21">
        <f t="shared" si="4"/>
        <v>35892345.55180455</v>
      </c>
      <c r="S23" s="21">
        <f t="shared" si="5"/>
        <v>20620992.600962061</v>
      </c>
      <c r="T23" s="14">
        <f>IFERROR(INDEX(Cost_Components!$R$2:$R$27,MATCH(E23,Cost_Components!$A$2:$A$27,0)),"")</f>
        <v>1</v>
      </c>
      <c r="U23" s="24">
        <f>IFERROR(INDEX(Cost_Components!$Q$2:$Q$27,MATCH(E23,Cost_Components!$A$2:$A$27,0)),"")</f>
        <v>2023</v>
      </c>
      <c r="V23" s="28">
        <f>1/(1+Calculation_Assumptions!$B$5)^(B23-Calculation_Assumptions!$B$2)</f>
        <v>0.5375492759090631</v>
      </c>
      <c r="W23" s="21">
        <f t="shared" si="6"/>
        <v>8209104.7208771138</v>
      </c>
      <c r="X23" s="21">
        <f t="shared" si="7"/>
        <v>19293904.362050418</v>
      </c>
      <c r="Y23" s="21">
        <f t="shared" si="8"/>
        <v>11084799.641173303</v>
      </c>
      <c r="Z23" s="15">
        <f>IFERROR(INDEX(Cost_Components!$T$2:$T$27,MATCH(E23,Cost_Components!$A$2:$A$27,0)),"")</f>
        <v>0.8</v>
      </c>
      <c r="AA23" s="24">
        <f>IFERROR(INDEX(Cost_Components!$U$2:$U$27,MATCH(E23,Cost_Components!$A$2:$A$27,0)),"")</f>
        <v>2025</v>
      </c>
      <c r="AB23" s="24">
        <f>IFERROR(INDEX(Cost_Components!$V$2:$V$27,MATCH(E23,Cost_Components!$A$2:$A$27,0)),"")</f>
        <v>2050</v>
      </c>
      <c r="AC23" s="24">
        <f>IFERROR(INDEX(Cost_Components!$M$2:$M$27,MATCH(E23,Cost_Components!$A$2:$A$27,0)),"")</f>
        <v>30</v>
      </c>
      <c r="AD23" s="24">
        <f>IFERROR(INDEX(Cost_Components!$N$2:$N$27,MATCH(E23,Cost_Components!$A$2:$A$27,0)),"")</f>
        <v>95</v>
      </c>
      <c r="AE23" s="14" t="str">
        <f>IFERROR(INDEX(Cost_Components!$O$2:$O$27,MATCH(E23,Cost_Components!$A$2:$A$27,0)),"")</f>
        <v>Both</v>
      </c>
      <c r="AF23" s="11">
        <v>191752766.187087</v>
      </c>
      <c r="AG23" s="11">
        <v>190705478.210033</v>
      </c>
      <c r="AH23" s="21">
        <f t="shared" si="9"/>
        <v>1</v>
      </c>
    </row>
    <row r="24" spans="1:34" hidden="1">
      <c r="A24" t="s">
        <v>159</v>
      </c>
      <c r="B24" s="18">
        <v>2047</v>
      </c>
      <c r="C24" t="s">
        <v>159</v>
      </c>
      <c r="E24" s="20" t="s">
        <v>257</v>
      </c>
      <c r="F24" s="20" t="s">
        <v>258</v>
      </c>
      <c r="G24" s="20" t="s">
        <v>168</v>
      </c>
      <c r="H24" s="20" t="s">
        <v>169</v>
      </c>
      <c r="I24" s="20" t="s">
        <v>75</v>
      </c>
      <c r="J24" s="15">
        <f>IFERROR(INDEX(Cost_Components!$K$2:$K$27,MATCH(E24,Cost_Components!$A$2:$A$27,0)),"")</f>
        <v>0.2</v>
      </c>
      <c r="K24" s="15">
        <f t="shared" si="0"/>
        <v>0.74346153846153851</v>
      </c>
      <c r="L24" s="15">
        <f>IFERROR(INDEX(Cost_Components!$S$2:$S$27,MATCH(E24,Cost_Components!$A$2:$A$27,0)),"")</f>
        <v>0.31</v>
      </c>
      <c r="M24" s="26">
        <f>IFERROR(INDEX(Cost_Components!$L$2:$L$27,MATCH(E24,Cost_Components!$A$2:$A$27,0)),"")</f>
        <v>1</v>
      </c>
      <c r="N24" s="27">
        <f>IFERROR(INDEX(Cost_Components!$P$2:$P$27,MATCH(E24,Cost_Components!$A$2:$A$27,0)),"")</f>
        <v>1.2915840000000001</v>
      </c>
      <c r="O24" s="21">
        <f t="shared" si="1"/>
        <v>38571610.291917197</v>
      </c>
      <c r="P24" s="21">
        <f t="shared" si="2"/>
        <v>38334590.370484002</v>
      </c>
      <c r="Q24" s="21">
        <f t="shared" si="3"/>
        <v>15348826.506412076</v>
      </c>
      <c r="R24" s="21">
        <f t="shared" si="4"/>
        <v>37038119.849678345</v>
      </c>
      <c r="S24" s="21">
        <f t="shared" si="5"/>
        <v>21689293.343266271</v>
      </c>
      <c r="T24" s="14">
        <f>IFERROR(INDEX(Cost_Components!$R$2:$R$27,MATCH(E24,Cost_Components!$A$2:$A$27,0)),"")</f>
        <v>1</v>
      </c>
      <c r="U24" s="24">
        <f>IFERROR(INDEX(Cost_Components!$Q$2:$Q$27,MATCH(E24,Cost_Components!$A$2:$A$27,0)),"")</f>
        <v>2023</v>
      </c>
      <c r="V24" s="28">
        <f>1/(1+Calculation_Assumptions!$B$5)^(B24-Calculation_Assumptions!$B$2)</f>
        <v>0.52189250088258554</v>
      </c>
      <c r="W24" s="21">
        <f t="shared" si="6"/>
        <v>8010437.4510443164</v>
      </c>
      <c r="X24" s="21">
        <f t="shared" si="7"/>
        <v>19329916.996337567</v>
      </c>
      <c r="Y24" s="21">
        <f t="shared" si="8"/>
        <v>11319479.545293249</v>
      </c>
      <c r="Z24" s="15">
        <f>IFERROR(INDEX(Cost_Components!$T$2:$T$27,MATCH(E24,Cost_Components!$A$2:$A$27,0)),"")</f>
        <v>0.8</v>
      </c>
      <c r="AA24" s="24">
        <f>IFERROR(INDEX(Cost_Components!$U$2:$U$27,MATCH(E24,Cost_Components!$A$2:$A$27,0)),"")</f>
        <v>2025</v>
      </c>
      <c r="AB24" s="24">
        <f>IFERROR(INDEX(Cost_Components!$V$2:$V$27,MATCH(E24,Cost_Components!$A$2:$A$27,0)),"")</f>
        <v>2050</v>
      </c>
      <c r="AC24" s="24">
        <f>IFERROR(INDEX(Cost_Components!$M$2:$M$27,MATCH(E24,Cost_Components!$A$2:$A$27,0)),"")</f>
        <v>30</v>
      </c>
      <c r="AD24" s="24">
        <f>IFERROR(INDEX(Cost_Components!$N$2:$N$27,MATCH(E24,Cost_Components!$A$2:$A$27,0)),"")</f>
        <v>95</v>
      </c>
      <c r="AE24" s="14" t="str">
        <f>IFERROR(INDEX(Cost_Components!$O$2:$O$27,MATCH(E24,Cost_Components!$A$2:$A$27,0)),"")</f>
        <v>Both</v>
      </c>
      <c r="AF24" s="11">
        <v>192858051.45958599</v>
      </c>
      <c r="AG24" s="11">
        <v>191672951.85242</v>
      </c>
      <c r="AH24" s="21">
        <f t="shared" si="9"/>
        <v>1</v>
      </c>
    </row>
    <row r="25" spans="1:34" hidden="1">
      <c r="A25" t="s">
        <v>159</v>
      </c>
      <c r="B25" s="18">
        <v>2048</v>
      </c>
      <c r="C25" t="s">
        <v>159</v>
      </c>
      <c r="E25" s="20" t="s">
        <v>257</v>
      </c>
      <c r="F25" s="20" t="s">
        <v>258</v>
      </c>
      <c r="G25" s="20" t="s">
        <v>168</v>
      </c>
      <c r="H25" s="20" t="s">
        <v>169</v>
      </c>
      <c r="I25" s="20" t="s">
        <v>75</v>
      </c>
      <c r="J25" s="15">
        <f>IFERROR(INDEX(Cost_Components!$K$2:$K$27,MATCH(E25,Cost_Components!$A$2:$A$27,0)),"")</f>
        <v>0.2</v>
      </c>
      <c r="K25" s="15">
        <f t="shared" si="0"/>
        <v>0.76230769230769235</v>
      </c>
      <c r="L25" s="15">
        <f>IFERROR(INDEX(Cost_Components!$S$2:$S$27,MATCH(E25,Cost_Components!$A$2:$A$27,0)),"")</f>
        <v>0.31</v>
      </c>
      <c r="M25" s="26">
        <f>IFERROR(INDEX(Cost_Components!$L$2:$L$27,MATCH(E25,Cost_Components!$A$2:$A$27,0)),"")</f>
        <v>1</v>
      </c>
      <c r="N25" s="27">
        <f>IFERROR(INDEX(Cost_Components!$P$2:$P$27,MATCH(E25,Cost_Components!$A$2:$A$27,0)),"")</f>
        <v>1.2915840000000001</v>
      </c>
      <c r="O25" s="21">
        <f t="shared" si="1"/>
        <v>38768993.483810805</v>
      </c>
      <c r="P25" s="21">
        <f t="shared" si="2"/>
        <v>38502938.7125744</v>
      </c>
      <c r="Q25" s="21">
        <f t="shared" si="3"/>
        <v>15416231.674183926</v>
      </c>
      <c r="R25" s="21">
        <f t="shared" si="4"/>
        <v>38171346.903597042</v>
      </c>
      <c r="S25" s="21">
        <f t="shared" si="5"/>
        <v>22755115.229413114</v>
      </c>
      <c r="T25" s="14">
        <f>IFERROR(INDEX(Cost_Components!$R$2:$R$27,MATCH(E25,Cost_Components!$A$2:$A$27,0)),"")</f>
        <v>1</v>
      </c>
      <c r="U25" s="24">
        <f>IFERROR(INDEX(Cost_Components!$Q$2:$Q$27,MATCH(E25,Cost_Components!$A$2:$A$27,0)),"")</f>
        <v>2023</v>
      </c>
      <c r="V25" s="28">
        <f>1/(1+Calculation_Assumptions!$B$5)^(B25-Calculation_Assumptions!$B$2)</f>
        <v>0.50669174842969467</v>
      </c>
      <c r="W25" s="21">
        <f t="shared" si="6"/>
        <v>7811277.3811894925</v>
      </c>
      <c r="X25" s="21">
        <f t="shared" si="7"/>
        <v>19341106.502499998</v>
      </c>
      <c r="Y25" s="21">
        <f t="shared" si="8"/>
        <v>11529829.121310504</v>
      </c>
      <c r="Z25" s="15">
        <f>IFERROR(INDEX(Cost_Components!$T$2:$T$27,MATCH(E25,Cost_Components!$A$2:$A$27,0)),"")</f>
        <v>0.8</v>
      </c>
      <c r="AA25" s="24">
        <f>IFERROR(INDEX(Cost_Components!$U$2:$U$27,MATCH(E25,Cost_Components!$A$2:$A$27,0)),"")</f>
        <v>2025</v>
      </c>
      <c r="AB25" s="24">
        <f>IFERROR(INDEX(Cost_Components!$V$2:$V$27,MATCH(E25,Cost_Components!$A$2:$A$27,0)),"")</f>
        <v>2050</v>
      </c>
      <c r="AC25" s="24">
        <f>IFERROR(INDEX(Cost_Components!$M$2:$M$27,MATCH(E25,Cost_Components!$A$2:$A$27,0)),"")</f>
        <v>30</v>
      </c>
      <c r="AD25" s="24">
        <f>IFERROR(INDEX(Cost_Components!$N$2:$N$27,MATCH(E25,Cost_Components!$A$2:$A$27,0)),"")</f>
        <v>95</v>
      </c>
      <c r="AE25" s="14" t="str">
        <f>IFERROR(INDEX(Cost_Components!$O$2:$O$27,MATCH(E25,Cost_Components!$A$2:$A$27,0)),"")</f>
        <v>Both</v>
      </c>
      <c r="AF25" s="11">
        <v>193844967.419054</v>
      </c>
      <c r="AG25" s="11">
        <v>192514693.56287199</v>
      </c>
      <c r="AH25" s="21">
        <f t="shared" si="9"/>
        <v>1</v>
      </c>
    </row>
    <row r="26" spans="1:34" hidden="1">
      <c r="A26" t="s">
        <v>159</v>
      </c>
      <c r="B26" s="18">
        <v>2049</v>
      </c>
      <c r="C26" t="s">
        <v>159</v>
      </c>
      <c r="E26" s="20" t="s">
        <v>257</v>
      </c>
      <c r="F26" s="20" t="s">
        <v>258</v>
      </c>
      <c r="G26" s="20" t="s">
        <v>168</v>
      </c>
      <c r="H26" s="20" t="s">
        <v>169</v>
      </c>
      <c r="I26" s="20" t="s">
        <v>75</v>
      </c>
      <c r="J26" s="15">
        <f>IFERROR(INDEX(Cost_Components!$K$2:$K$27,MATCH(E26,Cost_Components!$A$2:$A$27,0)),"")</f>
        <v>0.2</v>
      </c>
      <c r="K26" s="15">
        <f t="shared" si="0"/>
        <v>0.7811538461538462</v>
      </c>
      <c r="L26" s="15">
        <f>IFERROR(INDEX(Cost_Components!$S$2:$S$27,MATCH(E26,Cost_Components!$A$2:$A$27,0)),"")</f>
        <v>0.31</v>
      </c>
      <c r="M26" s="26">
        <f>IFERROR(INDEX(Cost_Components!$L$2:$L$27,MATCH(E26,Cost_Components!$A$2:$A$27,0)),"")</f>
        <v>1</v>
      </c>
      <c r="N26" s="27">
        <f>IFERROR(INDEX(Cost_Components!$P$2:$P$27,MATCH(E26,Cost_Components!$A$2:$A$27,0)),"")</f>
        <v>1.2915840000000001</v>
      </c>
      <c r="O26" s="21">
        <f t="shared" si="1"/>
        <v>38948983.260996804</v>
      </c>
      <c r="P26" s="21">
        <f t="shared" si="2"/>
        <v>38652443.984225601</v>
      </c>
      <c r="Q26" s="21">
        <f t="shared" si="3"/>
        <v>15476092.245385833</v>
      </c>
      <c r="R26" s="21">
        <f t="shared" si="4"/>
        <v>39296634.455316886</v>
      </c>
      <c r="S26" s="21">
        <f t="shared" si="5"/>
        <v>23820542.209931053</v>
      </c>
      <c r="T26" s="14">
        <f>IFERROR(INDEX(Cost_Components!$R$2:$R$27,MATCH(E26,Cost_Components!$A$2:$A$27,0)),"")</f>
        <v>1</v>
      </c>
      <c r="U26" s="24">
        <f>IFERROR(INDEX(Cost_Components!$Q$2:$Q$27,MATCH(E26,Cost_Components!$A$2:$A$27,0)),"")</f>
        <v>2023</v>
      </c>
      <c r="V26" s="28">
        <f>1/(1+Calculation_Assumptions!$B$5)^(B26-Calculation_Assumptions!$B$2)</f>
        <v>0.49193373633950943</v>
      </c>
      <c r="W26" s="21">
        <f t="shared" si="6"/>
        <v>7613211.8822075613</v>
      </c>
      <c r="X26" s="21">
        <f t="shared" si="7"/>
        <v>19331340.21317194</v>
      </c>
      <c r="Y26" s="21">
        <f t="shared" si="8"/>
        <v>11718128.330964377</v>
      </c>
      <c r="Z26" s="15">
        <f>IFERROR(INDEX(Cost_Components!$T$2:$T$27,MATCH(E26,Cost_Components!$A$2:$A$27,0)),"")</f>
        <v>0.8</v>
      </c>
      <c r="AA26" s="24">
        <f>IFERROR(INDEX(Cost_Components!$U$2:$U$27,MATCH(E26,Cost_Components!$A$2:$A$27,0)),"")</f>
        <v>2025</v>
      </c>
      <c r="AB26" s="24">
        <f>IFERROR(INDEX(Cost_Components!$V$2:$V$27,MATCH(E26,Cost_Components!$A$2:$A$27,0)),"")</f>
        <v>2050</v>
      </c>
      <c r="AC26" s="24">
        <f>IFERROR(INDEX(Cost_Components!$M$2:$M$27,MATCH(E26,Cost_Components!$A$2:$A$27,0)),"")</f>
        <v>30</v>
      </c>
      <c r="AD26" s="24">
        <f>IFERROR(INDEX(Cost_Components!$N$2:$N$27,MATCH(E26,Cost_Components!$A$2:$A$27,0)),"")</f>
        <v>95</v>
      </c>
      <c r="AE26" s="14" t="str">
        <f>IFERROR(INDEX(Cost_Components!$O$2:$O$27,MATCH(E26,Cost_Components!$A$2:$A$27,0)),"")</f>
        <v>Both</v>
      </c>
      <c r="AF26" s="11">
        <v>194744916.304984</v>
      </c>
      <c r="AG26" s="11">
        <v>193262219.921128</v>
      </c>
      <c r="AH26" s="21">
        <f t="shared" si="9"/>
        <v>1</v>
      </c>
    </row>
    <row r="27" spans="1:34" hidden="1">
      <c r="A27" t="s">
        <v>159</v>
      </c>
      <c r="B27" s="18">
        <v>2050</v>
      </c>
      <c r="C27" t="s">
        <v>159</v>
      </c>
      <c r="E27" s="20" t="s">
        <v>257</v>
      </c>
      <c r="F27" s="20" t="s">
        <v>258</v>
      </c>
      <c r="G27" s="20" t="s">
        <v>168</v>
      </c>
      <c r="H27" s="20" t="s">
        <v>169</v>
      </c>
      <c r="I27" s="20" t="s">
        <v>75</v>
      </c>
      <c r="J27" s="15">
        <f>IFERROR(INDEX(Cost_Components!$K$2:$K$27,MATCH(E27,Cost_Components!$A$2:$A$27,0)),"")</f>
        <v>0.2</v>
      </c>
      <c r="K27" s="15">
        <f t="shared" si="0"/>
        <v>0.8</v>
      </c>
      <c r="L27" s="15">
        <f>IFERROR(INDEX(Cost_Components!$S$2:$S$27,MATCH(E27,Cost_Components!$A$2:$A$27,0)),"")</f>
        <v>0.31</v>
      </c>
      <c r="M27" s="26">
        <f>IFERROR(INDEX(Cost_Components!$L$2:$L$27,MATCH(E27,Cost_Components!$A$2:$A$27,0)),"")</f>
        <v>1</v>
      </c>
      <c r="N27" s="27">
        <f>IFERROR(INDEX(Cost_Components!$P$2:$P$27,MATCH(E27,Cost_Components!$A$2:$A$27,0)),"")</f>
        <v>1.2915840000000001</v>
      </c>
      <c r="O27" s="21">
        <f t="shared" si="1"/>
        <v>39120643.4098152</v>
      </c>
      <c r="P27" s="21">
        <f t="shared" si="2"/>
        <v>38792200.4647898</v>
      </c>
      <c r="Q27" s="21">
        <f t="shared" si="3"/>
        <v>15532049.487985671</v>
      </c>
      <c r="R27" s="21">
        <f t="shared" si="4"/>
        <v>40422077.67825821</v>
      </c>
      <c r="S27" s="21">
        <f t="shared" si="5"/>
        <v>24890028.19027254</v>
      </c>
      <c r="T27" s="14">
        <f>IFERROR(INDEX(Cost_Components!$R$2:$R$27,MATCH(E27,Cost_Components!$A$2:$A$27,0)),"")</f>
        <v>1</v>
      </c>
      <c r="U27" s="24">
        <f>IFERROR(INDEX(Cost_Components!$Q$2:$Q$27,MATCH(E27,Cost_Components!$A$2:$A$27,0)),"")</f>
        <v>2023</v>
      </c>
      <c r="V27" s="28">
        <f>1/(1+Calculation_Assumptions!$B$5)^(B27-Calculation_Assumptions!$B$2)</f>
        <v>0.47760556926165965</v>
      </c>
      <c r="W27" s="21">
        <f t="shared" si="6"/>
        <v>7418193.3375096656</v>
      </c>
      <c r="X27" s="21">
        <f t="shared" si="7"/>
        <v>19305809.420263536</v>
      </c>
      <c r="Y27" s="21">
        <f t="shared" si="8"/>
        <v>11887616.082753872</v>
      </c>
      <c r="Z27" s="15">
        <f>IFERROR(INDEX(Cost_Components!$T$2:$T$27,MATCH(E27,Cost_Components!$A$2:$A$27,0)),"")</f>
        <v>0.8</v>
      </c>
      <c r="AA27" s="24">
        <f>IFERROR(INDEX(Cost_Components!$U$2:$U$27,MATCH(E27,Cost_Components!$A$2:$A$27,0)),"")</f>
        <v>2025</v>
      </c>
      <c r="AB27" s="24">
        <f>IFERROR(INDEX(Cost_Components!$V$2:$V$27,MATCH(E27,Cost_Components!$A$2:$A$27,0)),"")</f>
        <v>2050</v>
      </c>
      <c r="AC27" s="24">
        <f>IFERROR(INDEX(Cost_Components!$M$2:$M$27,MATCH(E27,Cost_Components!$A$2:$A$27,0)),"")</f>
        <v>30</v>
      </c>
      <c r="AD27" s="24">
        <f>IFERROR(INDEX(Cost_Components!$N$2:$N$27,MATCH(E27,Cost_Components!$A$2:$A$27,0)),"")</f>
        <v>95</v>
      </c>
      <c r="AE27" s="14" t="str">
        <f>IFERROR(INDEX(Cost_Components!$O$2:$O$27,MATCH(E27,Cost_Components!$A$2:$A$27,0)),"")</f>
        <v>Both</v>
      </c>
      <c r="AF27" s="11">
        <v>195603217.04907599</v>
      </c>
      <c r="AG27" s="11">
        <v>193961002.32394901</v>
      </c>
      <c r="AH27" s="21">
        <f t="shared" si="9"/>
        <v>1</v>
      </c>
    </row>
    <row r="28" spans="1:34" hidden="1">
      <c r="A28" t="s">
        <v>159</v>
      </c>
      <c r="B28" s="18">
        <v>2025</v>
      </c>
      <c r="C28" t="s">
        <v>159</v>
      </c>
      <c r="E28" s="20" t="s">
        <v>251</v>
      </c>
      <c r="F28" s="20" t="s">
        <v>252</v>
      </c>
      <c r="G28" s="20" t="s">
        <v>168</v>
      </c>
      <c r="H28" s="20" t="s">
        <v>169</v>
      </c>
      <c r="I28" s="20" t="s">
        <v>75</v>
      </c>
      <c r="J28" s="15">
        <f>IFERROR(INDEX(Cost_Components!$K$2:$K$27,MATCH(E28,Cost_Components!$A$2:$A$27,0)),"")</f>
        <v>0.06</v>
      </c>
      <c r="K28" s="15">
        <f t="shared" si="0"/>
        <v>0.32884615384615384</v>
      </c>
      <c r="L28" s="15">
        <f>IFERROR(INDEX(Cost_Components!$S$2:$S$27,MATCH(E28,Cost_Components!$A$2:$A$27,0)),"")</f>
        <v>0.31</v>
      </c>
      <c r="M28" s="26">
        <f>IFERROR(INDEX(Cost_Components!$L$2:$L$27,MATCH(E28,Cost_Components!$A$2:$A$27,0)),"")</f>
        <v>1</v>
      </c>
      <c r="N28" s="27">
        <f>IFERROR(INDEX(Cost_Components!$P$2:$P$27,MATCH(E28,Cost_Components!$A$2:$A$27,0)),"")</f>
        <v>22.229600000000001</v>
      </c>
      <c r="O28" s="21">
        <f t="shared" si="1"/>
        <v>9109469.8936243188</v>
      </c>
      <c r="P28" s="21">
        <f t="shared" si="2"/>
        <v>9109469.8936243188</v>
      </c>
      <c r="Q28" s="21">
        <f t="shared" si="3"/>
        <v>62774960.303666458</v>
      </c>
      <c r="R28" s="21">
        <f t="shared" si="4"/>
        <v>66591304.044211946</v>
      </c>
      <c r="S28" s="21">
        <f t="shared" si="5"/>
        <v>3816343.7405454889</v>
      </c>
      <c r="T28" s="14">
        <f>IFERROR(INDEX(Cost_Components!$R$2:$R$27,MATCH(E28,Cost_Components!$A$2:$A$27,0)),"")</f>
        <v>1</v>
      </c>
      <c r="U28" s="24">
        <f>IFERROR(INDEX(Cost_Components!$Q$2:$Q$27,MATCH(E28,Cost_Components!$A$2:$A$27,0)),"")</f>
        <v>2023</v>
      </c>
      <c r="V28" s="28">
        <f>1/(1+Calculation_Assumptions!$B$5)^(B28-Calculation_Assumptions!$B$2)</f>
        <v>1</v>
      </c>
      <c r="W28" s="21">
        <f t="shared" si="6"/>
        <v>62774960.303666458</v>
      </c>
      <c r="X28" s="21">
        <f t="shared" si="7"/>
        <v>66591304.044211946</v>
      </c>
      <c r="Y28" s="21">
        <f t="shared" si="8"/>
        <v>3816343.7405454889</v>
      </c>
      <c r="Z28" s="15">
        <f>IFERROR(INDEX(Cost_Components!$T$2:$T$27,MATCH(E28,Cost_Components!$A$2:$A$27,0)),"")</f>
        <v>0.8</v>
      </c>
      <c r="AA28" s="24">
        <f>IFERROR(INDEX(Cost_Components!$U$2:$U$27,MATCH(E28,Cost_Components!$A$2:$A$27,0)),"")</f>
        <v>2025</v>
      </c>
      <c r="AB28" s="24">
        <f>IFERROR(INDEX(Cost_Components!$V$2:$V$27,MATCH(E28,Cost_Components!$A$2:$A$27,0)),"")</f>
        <v>2050</v>
      </c>
      <c r="AC28" s="24">
        <f>IFERROR(INDEX(Cost_Components!$M$2:$M$27,MATCH(E28,Cost_Components!$A$2:$A$27,0)),"")</f>
        <v>30</v>
      </c>
      <c r="AD28" s="24">
        <f>IFERROR(INDEX(Cost_Components!$N$2:$N$27,MATCH(E28,Cost_Components!$A$2:$A$27,0)),"")</f>
        <v>95</v>
      </c>
      <c r="AE28" s="14" t="str">
        <f>IFERROR(INDEX(Cost_Components!$O$2:$O$27,MATCH(E28,Cost_Components!$A$2:$A$27,0)),"")</f>
        <v>Both</v>
      </c>
      <c r="AF28" s="11">
        <v>151824498.227072</v>
      </c>
      <c r="AG28" s="11">
        <v>151824498.227072</v>
      </c>
      <c r="AH28" s="21">
        <f t="shared" si="9"/>
        <v>1</v>
      </c>
    </row>
    <row r="29" spans="1:34" hidden="1">
      <c r="A29" t="s">
        <v>159</v>
      </c>
      <c r="B29" s="18">
        <v>2026</v>
      </c>
      <c r="C29" t="s">
        <v>159</v>
      </c>
      <c r="E29" s="20" t="s">
        <v>251</v>
      </c>
      <c r="F29" s="20" t="s">
        <v>252</v>
      </c>
      <c r="G29" s="20" t="s">
        <v>168</v>
      </c>
      <c r="H29" s="20" t="s">
        <v>169</v>
      </c>
      <c r="I29" s="20" t="s">
        <v>75</v>
      </c>
      <c r="J29" s="15">
        <f>IFERROR(INDEX(Cost_Components!$K$2:$K$27,MATCH(E29,Cost_Components!$A$2:$A$27,0)),"")</f>
        <v>0.06</v>
      </c>
      <c r="K29" s="15">
        <f t="shared" si="0"/>
        <v>0.34769230769230769</v>
      </c>
      <c r="L29" s="15">
        <f>IFERROR(INDEX(Cost_Components!$S$2:$S$27,MATCH(E29,Cost_Components!$A$2:$A$27,0)),"")</f>
        <v>0.31</v>
      </c>
      <c r="M29" s="26">
        <f>IFERROR(INDEX(Cost_Components!$L$2:$L$27,MATCH(E29,Cost_Components!$A$2:$A$27,0)),"")</f>
        <v>1</v>
      </c>
      <c r="N29" s="27">
        <f>IFERROR(INDEX(Cost_Components!$P$2:$P$27,MATCH(E29,Cost_Components!$A$2:$A$27,0)),"")</f>
        <v>22.229600000000001</v>
      </c>
      <c r="O29" s="21">
        <f t="shared" si="1"/>
        <v>9246734.6899928413</v>
      </c>
      <c r="P29" s="21">
        <f t="shared" si="2"/>
        <v>9246734.6899928413</v>
      </c>
      <c r="Q29" s="21">
        <f t="shared" si="3"/>
        <v>63720876.174046114</v>
      </c>
      <c r="R29" s="21">
        <f t="shared" si="4"/>
        <v>71468575.758483484</v>
      </c>
      <c r="S29" s="21">
        <f t="shared" si="5"/>
        <v>7747699.5844373703</v>
      </c>
      <c r="T29" s="14">
        <f>IFERROR(INDEX(Cost_Components!$R$2:$R$27,MATCH(E29,Cost_Components!$A$2:$A$27,0)),"")</f>
        <v>1</v>
      </c>
      <c r="U29" s="24">
        <f>IFERROR(INDEX(Cost_Components!$Q$2:$Q$27,MATCH(E29,Cost_Components!$A$2:$A$27,0)),"")</f>
        <v>2023</v>
      </c>
      <c r="V29" s="28">
        <f>1/(1+Calculation_Assumptions!$B$5)^(B29-Calculation_Assumptions!$B$2)</f>
        <v>0.970873786407767</v>
      </c>
      <c r="W29" s="21">
        <f t="shared" si="6"/>
        <v>61864928.324316613</v>
      </c>
      <c r="X29" s="21">
        <f t="shared" si="7"/>
        <v>69386966.755809203</v>
      </c>
      <c r="Y29" s="21">
        <f t="shared" si="8"/>
        <v>7522038.4314925922</v>
      </c>
      <c r="Z29" s="15">
        <f>IFERROR(INDEX(Cost_Components!$T$2:$T$27,MATCH(E29,Cost_Components!$A$2:$A$27,0)),"")</f>
        <v>0.8</v>
      </c>
      <c r="AA29" s="24">
        <f>IFERROR(INDEX(Cost_Components!$U$2:$U$27,MATCH(E29,Cost_Components!$A$2:$A$27,0)),"")</f>
        <v>2025</v>
      </c>
      <c r="AB29" s="24">
        <f>IFERROR(INDEX(Cost_Components!$V$2:$V$27,MATCH(E29,Cost_Components!$A$2:$A$27,0)),"")</f>
        <v>2050</v>
      </c>
      <c r="AC29" s="24">
        <f>IFERROR(INDEX(Cost_Components!$M$2:$M$27,MATCH(E29,Cost_Components!$A$2:$A$27,0)),"")</f>
        <v>30</v>
      </c>
      <c r="AD29" s="24">
        <f>IFERROR(INDEX(Cost_Components!$N$2:$N$27,MATCH(E29,Cost_Components!$A$2:$A$27,0)),"")</f>
        <v>95</v>
      </c>
      <c r="AE29" s="14" t="str">
        <f>IFERROR(INDEX(Cost_Components!$O$2:$O$27,MATCH(E29,Cost_Components!$A$2:$A$27,0)),"")</f>
        <v>Both</v>
      </c>
      <c r="AF29" s="11">
        <v>154112244.83321401</v>
      </c>
      <c r="AG29" s="11">
        <v>154112244.83321401</v>
      </c>
      <c r="AH29" s="21">
        <f t="shared" si="9"/>
        <v>1</v>
      </c>
    </row>
    <row r="30" spans="1:34" hidden="1">
      <c r="A30" t="s">
        <v>159</v>
      </c>
      <c r="B30" s="18">
        <v>2027</v>
      </c>
      <c r="C30" t="s">
        <v>159</v>
      </c>
      <c r="E30" s="20" t="s">
        <v>251</v>
      </c>
      <c r="F30" s="20" t="s">
        <v>252</v>
      </c>
      <c r="G30" s="20" t="s">
        <v>168</v>
      </c>
      <c r="H30" s="20" t="s">
        <v>169</v>
      </c>
      <c r="I30" s="20" t="s">
        <v>75</v>
      </c>
      <c r="J30" s="15">
        <f>IFERROR(INDEX(Cost_Components!$K$2:$K$27,MATCH(E30,Cost_Components!$A$2:$A$27,0)),"")</f>
        <v>0.06</v>
      </c>
      <c r="K30" s="15">
        <f t="shared" si="0"/>
        <v>0.36653846153846154</v>
      </c>
      <c r="L30" s="15">
        <f>IFERROR(INDEX(Cost_Components!$S$2:$S$27,MATCH(E30,Cost_Components!$A$2:$A$27,0)),"")</f>
        <v>0.31</v>
      </c>
      <c r="M30" s="26">
        <f>IFERROR(INDEX(Cost_Components!$L$2:$L$27,MATCH(E30,Cost_Components!$A$2:$A$27,0)),"")</f>
        <v>1</v>
      </c>
      <c r="N30" s="27">
        <f>IFERROR(INDEX(Cost_Components!$P$2:$P$27,MATCH(E30,Cost_Components!$A$2:$A$27,0)),"")</f>
        <v>22.229600000000001</v>
      </c>
      <c r="O30" s="21">
        <f t="shared" si="1"/>
        <v>9369573.2947503608</v>
      </c>
      <c r="P30" s="21">
        <f t="shared" si="2"/>
        <v>9387391.7497119606</v>
      </c>
      <c r="Q30" s="21">
        <f t="shared" si="3"/>
        <v>64690168.728213079</v>
      </c>
      <c r="R30" s="21">
        <f t="shared" si="4"/>
        <v>76343314.918027863</v>
      </c>
      <c r="S30" s="21">
        <f t="shared" si="5"/>
        <v>11653146.189814784</v>
      </c>
      <c r="T30" s="14">
        <f>IFERROR(INDEX(Cost_Components!$R$2:$R$27,MATCH(E30,Cost_Components!$A$2:$A$27,0)),"")</f>
        <v>1</v>
      </c>
      <c r="U30" s="24">
        <f>IFERROR(INDEX(Cost_Components!$Q$2:$Q$27,MATCH(E30,Cost_Components!$A$2:$A$27,0)),"")</f>
        <v>2023</v>
      </c>
      <c r="V30" s="28">
        <f>1/(1+Calculation_Assumptions!$B$5)^(B30-Calculation_Assumptions!$B$2)</f>
        <v>0.94259590913375435</v>
      </c>
      <c r="W30" s="21">
        <f t="shared" si="6"/>
        <v>60976688.404385976</v>
      </c>
      <c r="X30" s="21">
        <f t="shared" si="7"/>
        <v>71960896.331442982</v>
      </c>
      <c r="Y30" s="21">
        <f t="shared" si="8"/>
        <v>10984207.927057011</v>
      </c>
      <c r="Z30" s="15">
        <f>IFERROR(INDEX(Cost_Components!$T$2:$T$27,MATCH(E30,Cost_Components!$A$2:$A$27,0)),"")</f>
        <v>0.8</v>
      </c>
      <c r="AA30" s="24">
        <f>IFERROR(INDEX(Cost_Components!$U$2:$U$27,MATCH(E30,Cost_Components!$A$2:$A$27,0)),"")</f>
        <v>2025</v>
      </c>
      <c r="AB30" s="24">
        <f>IFERROR(INDEX(Cost_Components!$V$2:$V$27,MATCH(E30,Cost_Components!$A$2:$A$27,0)),"")</f>
        <v>2050</v>
      </c>
      <c r="AC30" s="24">
        <f>IFERROR(INDEX(Cost_Components!$M$2:$M$27,MATCH(E30,Cost_Components!$A$2:$A$27,0)),"")</f>
        <v>30</v>
      </c>
      <c r="AD30" s="24">
        <f>IFERROR(INDEX(Cost_Components!$N$2:$N$27,MATCH(E30,Cost_Components!$A$2:$A$27,0)),"")</f>
        <v>95</v>
      </c>
      <c r="AE30" s="14" t="str">
        <f>IFERROR(INDEX(Cost_Components!$O$2:$O$27,MATCH(E30,Cost_Components!$A$2:$A$27,0)),"")</f>
        <v>Both</v>
      </c>
      <c r="AF30" s="11">
        <v>156159554.91250601</v>
      </c>
      <c r="AG30" s="11">
        <v>156456529.16186601</v>
      </c>
      <c r="AH30" s="21">
        <f t="shared" si="9"/>
        <v>1</v>
      </c>
    </row>
    <row r="31" spans="1:34" hidden="1">
      <c r="A31" t="s">
        <v>159</v>
      </c>
      <c r="B31" s="18">
        <v>2028</v>
      </c>
      <c r="C31" t="s">
        <v>159</v>
      </c>
      <c r="E31" s="20" t="s">
        <v>251</v>
      </c>
      <c r="F31" s="20" t="s">
        <v>252</v>
      </c>
      <c r="G31" s="20" t="s">
        <v>168</v>
      </c>
      <c r="H31" s="20" t="s">
        <v>169</v>
      </c>
      <c r="I31" s="20" t="s">
        <v>75</v>
      </c>
      <c r="J31" s="15">
        <f>IFERROR(INDEX(Cost_Components!$K$2:$K$27,MATCH(E31,Cost_Components!$A$2:$A$27,0)),"")</f>
        <v>0.06</v>
      </c>
      <c r="K31" s="15">
        <f t="shared" si="0"/>
        <v>0.38538461538461538</v>
      </c>
      <c r="L31" s="15">
        <f>IFERROR(INDEX(Cost_Components!$S$2:$S$27,MATCH(E31,Cost_Components!$A$2:$A$27,0)),"")</f>
        <v>0.31</v>
      </c>
      <c r="M31" s="26">
        <f>IFERROR(INDEX(Cost_Components!$L$2:$L$27,MATCH(E31,Cost_Components!$A$2:$A$27,0)),"")</f>
        <v>1</v>
      </c>
      <c r="N31" s="27">
        <f>IFERROR(INDEX(Cost_Components!$P$2:$P$27,MATCH(E31,Cost_Components!$A$2:$A$27,0)),"")</f>
        <v>22.229600000000001</v>
      </c>
      <c r="O31" s="21">
        <f t="shared" si="1"/>
        <v>9506991.0768499803</v>
      </c>
      <c r="P31" s="21">
        <f t="shared" si="2"/>
        <v>9523450.1565648001</v>
      </c>
      <c r="Q31" s="21">
        <f t="shared" si="3"/>
        <v>65627771.156115599</v>
      </c>
      <c r="R31" s="21">
        <f t="shared" si="4"/>
        <v>81445877.715241626</v>
      </c>
      <c r="S31" s="21">
        <f t="shared" si="5"/>
        <v>15818106.559126027</v>
      </c>
      <c r="T31" s="14">
        <f>IFERROR(INDEX(Cost_Components!$R$2:$R$27,MATCH(E31,Cost_Components!$A$2:$A$27,0)),"")</f>
        <v>1</v>
      </c>
      <c r="U31" s="24">
        <f>IFERROR(INDEX(Cost_Components!$Q$2:$Q$27,MATCH(E31,Cost_Components!$A$2:$A$27,0)),"")</f>
        <v>2023</v>
      </c>
      <c r="V31" s="28">
        <f>1/(1+Calculation_Assumptions!$B$5)^(B31-Calculation_Assumptions!$B$2)</f>
        <v>0.91514165935315961</v>
      </c>
      <c r="W31" s="21">
        <f t="shared" si="6"/>
        <v>60058707.395457052</v>
      </c>
      <c r="X31" s="21">
        <f t="shared" si="7"/>
        <v>74534515.679800749</v>
      </c>
      <c r="Y31" s="21">
        <f t="shared" si="8"/>
        <v>14475808.28434369</v>
      </c>
      <c r="Z31" s="15">
        <f>IFERROR(INDEX(Cost_Components!$T$2:$T$27,MATCH(E31,Cost_Components!$A$2:$A$27,0)),"")</f>
        <v>0.8</v>
      </c>
      <c r="AA31" s="24">
        <f>IFERROR(INDEX(Cost_Components!$U$2:$U$27,MATCH(E31,Cost_Components!$A$2:$A$27,0)),"")</f>
        <v>2025</v>
      </c>
      <c r="AB31" s="24">
        <f>IFERROR(INDEX(Cost_Components!$V$2:$V$27,MATCH(E31,Cost_Components!$A$2:$A$27,0)),"")</f>
        <v>2050</v>
      </c>
      <c r="AC31" s="24">
        <f>IFERROR(INDEX(Cost_Components!$M$2:$M$27,MATCH(E31,Cost_Components!$A$2:$A$27,0)),"")</f>
        <v>30</v>
      </c>
      <c r="AD31" s="24">
        <f>IFERROR(INDEX(Cost_Components!$N$2:$N$27,MATCH(E31,Cost_Components!$A$2:$A$27,0)),"")</f>
        <v>95</v>
      </c>
      <c r="AE31" s="14" t="str">
        <f>IFERROR(INDEX(Cost_Components!$O$2:$O$27,MATCH(E31,Cost_Components!$A$2:$A$27,0)),"")</f>
        <v>Both</v>
      </c>
      <c r="AF31" s="11">
        <v>158449851.28083301</v>
      </c>
      <c r="AG31" s="11">
        <v>158724169.27608001</v>
      </c>
      <c r="AH31" s="21">
        <f t="shared" si="9"/>
        <v>1</v>
      </c>
    </row>
    <row r="32" spans="1:34" hidden="1">
      <c r="A32" t="s">
        <v>159</v>
      </c>
      <c r="B32" s="18">
        <v>2029</v>
      </c>
      <c r="C32" t="s">
        <v>159</v>
      </c>
      <c r="E32" s="20" t="s">
        <v>251</v>
      </c>
      <c r="F32" s="20" t="s">
        <v>252</v>
      </c>
      <c r="G32" s="20" t="s">
        <v>168</v>
      </c>
      <c r="H32" s="20" t="s">
        <v>169</v>
      </c>
      <c r="I32" s="20" t="s">
        <v>75</v>
      </c>
      <c r="J32" s="15">
        <f>IFERROR(INDEX(Cost_Components!$K$2:$K$27,MATCH(E32,Cost_Components!$A$2:$A$27,0)),"")</f>
        <v>0.06</v>
      </c>
      <c r="K32" s="15">
        <f t="shared" si="0"/>
        <v>0.40423076923076923</v>
      </c>
      <c r="L32" s="15">
        <f>IFERROR(INDEX(Cost_Components!$S$2:$S$27,MATCH(E32,Cost_Components!$A$2:$A$27,0)),"")</f>
        <v>0.31</v>
      </c>
      <c r="M32" s="26">
        <f>IFERROR(INDEX(Cost_Components!$L$2:$L$27,MATCH(E32,Cost_Components!$A$2:$A$27,0)),"")</f>
        <v>1</v>
      </c>
      <c r="N32" s="27">
        <f>IFERROR(INDEX(Cost_Components!$P$2:$P$27,MATCH(E32,Cost_Components!$A$2:$A$27,0)),"")</f>
        <v>22.229600000000001</v>
      </c>
      <c r="O32" s="21">
        <f t="shared" si="1"/>
        <v>9639187.4467449598</v>
      </c>
      <c r="P32" s="21">
        <f t="shared" si="2"/>
        <v>9654058.5549028199</v>
      </c>
      <c r="Q32" s="21">
        <f t="shared" si="3"/>
        <v>66527816.616140999</v>
      </c>
      <c r="R32" s="21">
        <f t="shared" si="4"/>
        <v>86616661.773359999</v>
      </c>
      <c r="S32" s="21">
        <f t="shared" si="5"/>
        <v>20088845.157219</v>
      </c>
      <c r="T32" s="14">
        <f>IFERROR(INDEX(Cost_Components!$R$2:$R$27,MATCH(E32,Cost_Components!$A$2:$A$27,0)),"")</f>
        <v>1</v>
      </c>
      <c r="U32" s="24">
        <f>IFERROR(INDEX(Cost_Components!$Q$2:$Q$27,MATCH(E32,Cost_Components!$A$2:$A$27,0)),"")</f>
        <v>2023</v>
      </c>
      <c r="V32" s="28">
        <f>1/(1+Calculation_Assumptions!$B$5)^(B32-Calculation_Assumptions!$B$2)</f>
        <v>0.888487047915689</v>
      </c>
      <c r="W32" s="21">
        <f t="shared" si="6"/>
        <v>59109103.389551438</v>
      </c>
      <c r="X32" s="21">
        <f t="shared" si="7"/>
        <v>76957782.119324327</v>
      </c>
      <c r="Y32" s="21">
        <f t="shared" si="8"/>
        <v>17848678.729772896</v>
      </c>
      <c r="Z32" s="15">
        <f>IFERROR(INDEX(Cost_Components!$T$2:$T$27,MATCH(E32,Cost_Components!$A$2:$A$27,0)),"")</f>
        <v>0.8</v>
      </c>
      <c r="AA32" s="24">
        <f>IFERROR(INDEX(Cost_Components!$U$2:$U$27,MATCH(E32,Cost_Components!$A$2:$A$27,0)),"")</f>
        <v>2025</v>
      </c>
      <c r="AB32" s="24">
        <f>IFERROR(INDEX(Cost_Components!$V$2:$V$27,MATCH(E32,Cost_Components!$A$2:$A$27,0)),"")</f>
        <v>2050</v>
      </c>
      <c r="AC32" s="24">
        <f>IFERROR(INDEX(Cost_Components!$M$2:$M$27,MATCH(E32,Cost_Components!$A$2:$A$27,0)),"")</f>
        <v>30</v>
      </c>
      <c r="AD32" s="24">
        <f>IFERROR(INDEX(Cost_Components!$N$2:$N$27,MATCH(E32,Cost_Components!$A$2:$A$27,0)),"")</f>
        <v>95</v>
      </c>
      <c r="AE32" s="14" t="str">
        <f>IFERROR(INDEX(Cost_Components!$O$2:$O$27,MATCH(E32,Cost_Components!$A$2:$A$27,0)),"")</f>
        <v>Both</v>
      </c>
      <c r="AF32" s="11">
        <v>160653124.112416</v>
      </c>
      <c r="AG32" s="11">
        <v>160900975.91504699</v>
      </c>
      <c r="AH32" s="21">
        <f t="shared" si="9"/>
        <v>1</v>
      </c>
    </row>
    <row r="33" spans="1:34" hidden="1">
      <c r="A33" t="s">
        <v>159</v>
      </c>
      <c r="B33" s="18">
        <v>2030</v>
      </c>
      <c r="C33" t="s">
        <v>159</v>
      </c>
      <c r="E33" s="20" t="s">
        <v>251</v>
      </c>
      <c r="F33" s="20" t="s">
        <v>252</v>
      </c>
      <c r="G33" s="20" t="s">
        <v>168</v>
      </c>
      <c r="H33" s="20" t="s">
        <v>169</v>
      </c>
      <c r="I33" s="20" t="s">
        <v>75</v>
      </c>
      <c r="J33" s="15">
        <f>IFERROR(INDEX(Cost_Components!$K$2:$K$27,MATCH(E33,Cost_Components!$A$2:$A$27,0)),"")</f>
        <v>0.06</v>
      </c>
      <c r="K33" s="15">
        <f t="shared" si="0"/>
        <v>0.42307692307692307</v>
      </c>
      <c r="L33" s="15">
        <f>IFERROR(INDEX(Cost_Components!$S$2:$S$27,MATCH(E33,Cost_Components!$A$2:$A$27,0)),"")</f>
        <v>0.31</v>
      </c>
      <c r="M33" s="26">
        <f>IFERROR(INDEX(Cost_Components!$L$2:$L$27,MATCH(E33,Cost_Components!$A$2:$A$27,0)),"")</f>
        <v>1</v>
      </c>
      <c r="N33" s="27">
        <f>IFERROR(INDEX(Cost_Components!$P$2:$P$27,MATCH(E33,Cost_Components!$A$2:$A$27,0)),"")</f>
        <v>22.229600000000001</v>
      </c>
      <c r="O33" s="21">
        <f t="shared" si="1"/>
        <v>9763364.2271780986</v>
      </c>
      <c r="P33" s="21">
        <f t="shared" si="2"/>
        <v>9776367.9481487405</v>
      </c>
      <c r="Q33" s="21">
        <f t="shared" si="3"/>
        <v>67370672.171451852</v>
      </c>
      <c r="R33" s="21">
        <f t="shared" si="4"/>
        <v>91822788.29497157</v>
      </c>
      <c r="S33" s="21">
        <f t="shared" si="5"/>
        <v>24452116.123519719</v>
      </c>
      <c r="T33" s="14">
        <f>IFERROR(INDEX(Cost_Components!$R$2:$R$27,MATCH(E33,Cost_Components!$A$2:$A$27,0)),"")</f>
        <v>1</v>
      </c>
      <c r="U33" s="24">
        <f>IFERROR(INDEX(Cost_Components!$Q$2:$Q$27,MATCH(E33,Cost_Components!$A$2:$A$27,0)),"")</f>
        <v>2023</v>
      </c>
      <c r="V33" s="28">
        <f>1/(1+Calculation_Assumptions!$B$5)^(B33-Calculation_Assumptions!$B$2)</f>
        <v>0.86260878438416411</v>
      </c>
      <c r="W33" s="21">
        <f t="shared" si="6"/>
        <v>58114533.624960117</v>
      </c>
      <c r="X33" s="21">
        <f t="shared" si="7"/>
        <v>79207143.789889872</v>
      </c>
      <c r="Y33" s="21">
        <f t="shared" si="8"/>
        <v>21092610.164929762</v>
      </c>
      <c r="Z33" s="15">
        <f>IFERROR(INDEX(Cost_Components!$T$2:$T$27,MATCH(E33,Cost_Components!$A$2:$A$27,0)),"")</f>
        <v>0.8</v>
      </c>
      <c r="AA33" s="24">
        <f>IFERROR(INDEX(Cost_Components!$U$2:$U$27,MATCH(E33,Cost_Components!$A$2:$A$27,0)),"")</f>
        <v>2025</v>
      </c>
      <c r="AB33" s="24">
        <f>IFERROR(INDEX(Cost_Components!$V$2:$V$27,MATCH(E33,Cost_Components!$A$2:$A$27,0)),"")</f>
        <v>2050</v>
      </c>
      <c r="AC33" s="24">
        <f>IFERROR(INDEX(Cost_Components!$M$2:$M$27,MATCH(E33,Cost_Components!$A$2:$A$27,0)),"")</f>
        <v>30</v>
      </c>
      <c r="AD33" s="24">
        <f>IFERROR(INDEX(Cost_Components!$N$2:$N$27,MATCH(E33,Cost_Components!$A$2:$A$27,0)),"")</f>
        <v>95</v>
      </c>
      <c r="AE33" s="14" t="str">
        <f>IFERROR(INDEX(Cost_Components!$O$2:$O$27,MATCH(E33,Cost_Components!$A$2:$A$27,0)),"")</f>
        <v>Both</v>
      </c>
      <c r="AF33" s="11">
        <v>162722737.11963499</v>
      </c>
      <c r="AG33" s="11">
        <v>162939465.802479</v>
      </c>
      <c r="AH33" s="21">
        <f t="shared" si="9"/>
        <v>1</v>
      </c>
    </row>
    <row r="34" spans="1:34" hidden="1">
      <c r="A34" t="s">
        <v>159</v>
      </c>
      <c r="B34" s="18">
        <v>2031</v>
      </c>
      <c r="C34" t="s">
        <v>159</v>
      </c>
      <c r="E34" s="20" t="s">
        <v>251</v>
      </c>
      <c r="F34" s="20" t="s">
        <v>252</v>
      </c>
      <c r="G34" s="20" t="s">
        <v>168</v>
      </c>
      <c r="H34" s="20" t="s">
        <v>169</v>
      </c>
      <c r="I34" s="20" t="s">
        <v>75</v>
      </c>
      <c r="J34" s="15">
        <f>IFERROR(INDEX(Cost_Components!$K$2:$K$27,MATCH(E34,Cost_Components!$A$2:$A$27,0)),"")</f>
        <v>0.06</v>
      </c>
      <c r="K34" s="15">
        <f t="shared" si="0"/>
        <v>0.44192307692307692</v>
      </c>
      <c r="L34" s="15">
        <f>IFERROR(INDEX(Cost_Components!$S$2:$S$27,MATCH(E34,Cost_Components!$A$2:$A$27,0)),"")</f>
        <v>0.31</v>
      </c>
      <c r="M34" s="26">
        <f>IFERROR(INDEX(Cost_Components!$L$2:$L$27,MATCH(E34,Cost_Components!$A$2:$A$27,0)),"")</f>
        <v>1</v>
      </c>
      <c r="N34" s="27">
        <f>IFERROR(INDEX(Cost_Components!$P$2:$P$27,MATCH(E34,Cost_Components!$A$2:$A$27,0)),"")</f>
        <v>22.229600000000001</v>
      </c>
      <c r="O34" s="21">
        <f t="shared" si="1"/>
        <v>9883148.6122808997</v>
      </c>
      <c r="P34" s="21">
        <f t="shared" si="2"/>
        <v>9893965.3072461598</v>
      </c>
      <c r="Q34" s="21">
        <f t="shared" si="3"/>
        <v>68181056.270127356</v>
      </c>
      <c r="R34" s="21">
        <f t="shared" si="4"/>
        <v>97089810.773039177</v>
      </c>
      <c r="S34" s="21">
        <f t="shared" si="5"/>
        <v>28908754.502911821</v>
      </c>
      <c r="T34" s="14">
        <f>IFERROR(INDEX(Cost_Components!$R$2:$R$27,MATCH(E34,Cost_Components!$A$2:$A$27,0)),"")</f>
        <v>1</v>
      </c>
      <c r="U34" s="24">
        <f>IFERROR(INDEX(Cost_Components!$Q$2:$Q$27,MATCH(E34,Cost_Components!$A$2:$A$27,0)),"")</f>
        <v>2023</v>
      </c>
      <c r="V34" s="28">
        <f>1/(1+Calculation_Assumptions!$B$5)^(B34-Calculation_Assumptions!$B$2)</f>
        <v>0.83748425668365445</v>
      </c>
      <c r="W34" s="21">
        <f t="shared" si="6"/>
        <v>57100561.230294026</v>
      </c>
      <c r="X34" s="21">
        <f t="shared" si="7"/>
        <v>81311188.006815374</v>
      </c>
      <c r="Y34" s="21">
        <f t="shared" si="8"/>
        <v>24210626.776521355</v>
      </c>
      <c r="Z34" s="15">
        <f>IFERROR(INDEX(Cost_Components!$T$2:$T$27,MATCH(E34,Cost_Components!$A$2:$A$27,0)),"")</f>
        <v>0.8</v>
      </c>
      <c r="AA34" s="24">
        <f>IFERROR(INDEX(Cost_Components!$U$2:$U$27,MATCH(E34,Cost_Components!$A$2:$A$27,0)),"")</f>
        <v>2025</v>
      </c>
      <c r="AB34" s="24">
        <f>IFERROR(INDEX(Cost_Components!$V$2:$V$27,MATCH(E34,Cost_Components!$A$2:$A$27,0)),"")</f>
        <v>2050</v>
      </c>
      <c r="AC34" s="24">
        <f>IFERROR(INDEX(Cost_Components!$M$2:$M$27,MATCH(E34,Cost_Components!$A$2:$A$27,0)),"")</f>
        <v>30</v>
      </c>
      <c r="AD34" s="24">
        <f>IFERROR(INDEX(Cost_Components!$N$2:$N$27,MATCH(E34,Cost_Components!$A$2:$A$27,0)),"")</f>
        <v>95</v>
      </c>
      <c r="AE34" s="14" t="str">
        <f>IFERROR(INDEX(Cost_Components!$O$2:$O$27,MATCH(E34,Cost_Components!$A$2:$A$27,0)),"")</f>
        <v>Both</v>
      </c>
      <c r="AF34" s="11">
        <v>164719143.53801501</v>
      </c>
      <c r="AG34" s="11">
        <v>164899421.78743601</v>
      </c>
      <c r="AH34" s="21">
        <f t="shared" si="9"/>
        <v>1</v>
      </c>
    </row>
    <row r="35" spans="1:34" hidden="1">
      <c r="A35" t="s">
        <v>159</v>
      </c>
      <c r="B35" s="18">
        <v>2032</v>
      </c>
      <c r="C35" t="s">
        <v>159</v>
      </c>
      <c r="E35" s="20" t="s">
        <v>251</v>
      </c>
      <c r="F35" s="20" t="s">
        <v>252</v>
      </c>
      <c r="G35" s="20" t="s">
        <v>168</v>
      </c>
      <c r="H35" s="20" t="s">
        <v>169</v>
      </c>
      <c r="I35" s="20" t="s">
        <v>75</v>
      </c>
      <c r="J35" s="15">
        <f>IFERROR(INDEX(Cost_Components!$K$2:$K$27,MATCH(E35,Cost_Components!$A$2:$A$27,0)),"")</f>
        <v>0.06</v>
      </c>
      <c r="K35" s="15">
        <f t="shared" si="0"/>
        <v>0.46076923076923082</v>
      </c>
      <c r="L35" s="15">
        <f>IFERROR(INDEX(Cost_Components!$S$2:$S$27,MATCH(E35,Cost_Components!$A$2:$A$27,0)),"")</f>
        <v>0.31</v>
      </c>
      <c r="M35" s="26">
        <f>IFERROR(INDEX(Cost_Components!$L$2:$L$27,MATCH(E35,Cost_Components!$A$2:$A$27,0)),"")</f>
        <v>1</v>
      </c>
      <c r="N35" s="27">
        <f>IFERROR(INDEX(Cost_Components!$P$2:$P$27,MATCH(E35,Cost_Components!$A$2:$A$27,0)),"")</f>
        <v>22.229600000000001</v>
      </c>
      <c r="O35" s="21">
        <f t="shared" si="1"/>
        <v>9999835.8943589982</v>
      </c>
      <c r="P35" s="21">
        <f t="shared" si="2"/>
        <v>10008153.07126206</v>
      </c>
      <c r="Q35" s="21">
        <f t="shared" si="3"/>
        <v>68967944.249007404</v>
      </c>
      <c r="R35" s="21">
        <f t="shared" si="4"/>
        <v>102425476.03565267</v>
      </c>
      <c r="S35" s="21">
        <f t="shared" si="5"/>
        <v>33457531.786645263</v>
      </c>
      <c r="T35" s="14">
        <f>IFERROR(INDEX(Cost_Components!$R$2:$R$27,MATCH(E35,Cost_Components!$A$2:$A$27,0)),"")</f>
        <v>1</v>
      </c>
      <c r="U35" s="24">
        <f>IFERROR(INDEX(Cost_Components!$Q$2:$Q$27,MATCH(E35,Cost_Components!$A$2:$A$27,0)),"")</f>
        <v>2023</v>
      </c>
      <c r="V35" s="28">
        <f>1/(1+Calculation_Assumptions!$B$5)^(B35-Calculation_Assumptions!$B$2)</f>
        <v>0.81309151134335378</v>
      </c>
      <c r="W35" s="21">
        <f t="shared" si="6"/>
        <v>56077250.023669593</v>
      </c>
      <c r="X35" s="21">
        <f t="shared" si="7"/>
        <v>83281285.109891295</v>
      </c>
      <c r="Y35" s="21">
        <f t="shared" si="8"/>
        <v>27204035.086221699</v>
      </c>
      <c r="Z35" s="15">
        <f>IFERROR(INDEX(Cost_Components!$T$2:$T$27,MATCH(E35,Cost_Components!$A$2:$A$27,0)),"")</f>
        <v>0.8</v>
      </c>
      <c r="AA35" s="24">
        <f>IFERROR(INDEX(Cost_Components!$U$2:$U$27,MATCH(E35,Cost_Components!$A$2:$A$27,0)),"")</f>
        <v>2025</v>
      </c>
      <c r="AB35" s="24">
        <f>IFERROR(INDEX(Cost_Components!$V$2:$V$27,MATCH(E35,Cost_Components!$A$2:$A$27,0)),"")</f>
        <v>2050</v>
      </c>
      <c r="AC35" s="24">
        <f>IFERROR(INDEX(Cost_Components!$M$2:$M$27,MATCH(E35,Cost_Components!$A$2:$A$27,0)),"")</f>
        <v>30</v>
      </c>
      <c r="AD35" s="24">
        <f>IFERROR(INDEX(Cost_Components!$N$2:$N$27,MATCH(E35,Cost_Components!$A$2:$A$27,0)),"")</f>
        <v>95</v>
      </c>
      <c r="AE35" s="14" t="str">
        <f>IFERROR(INDEX(Cost_Components!$O$2:$O$27,MATCH(E35,Cost_Components!$A$2:$A$27,0)),"")</f>
        <v>Both</v>
      </c>
      <c r="AF35" s="11">
        <v>166663931.57264999</v>
      </c>
      <c r="AG35" s="11">
        <v>166802551.18770099</v>
      </c>
      <c r="AH35" s="21">
        <f t="shared" si="9"/>
        <v>1</v>
      </c>
    </row>
    <row r="36" spans="1:34" hidden="1">
      <c r="A36" t="s">
        <v>159</v>
      </c>
      <c r="B36" s="18">
        <v>2033</v>
      </c>
      <c r="C36" t="s">
        <v>159</v>
      </c>
      <c r="E36" s="20" t="s">
        <v>251</v>
      </c>
      <c r="F36" s="20" t="s">
        <v>252</v>
      </c>
      <c r="G36" s="20" t="s">
        <v>168</v>
      </c>
      <c r="H36" s="20" t="s">
        <v>169</v>
      </c>
      <c r="I36" s="20" t="s">
        <v>75</v>
      </c>
      <c r="J36" s="15">
        <f>IFERROR(INDEX(Cost_Components!$K$2:$K$27,MATCH(E36,Cost_Components!$A$2:$A$27,0)),"")</f>
        <v>0.06</v>
      </c>
      <c r="K36" s="15">
        <f t="shared" si="0"/>
        <v>0.47961538461538467</v>
      </c>
      <c r="L36" s="15">
        <f>IFERROR(INDEX(Cost_Components!$S$2:$S$27,MATCH(E36,Cost_Components!$A$2:$A$27,0)),"")</f>
        <v>0.31</v>
      </c>
      <c r="M36" s="26">
        <f>IFERROR(INDEX(Cost_Components!$L$2:$L$27,MATCH(E36,Cost_Components!$A$2:$A$27,0)),"")</f>
        <v>1</v>
      </c>
      <c r="N36" s="27">
        <f>IFERROR(INDEX(Cost_Components!$P$2:$P$27,MATCH(E36,Cost_Components!$A$2:$A$27,0)),"")</f>
        <v>22.229600000000001</v>
      </c>
      <c r="O36" s="21">
        <f t="shared" si="1"/>
        <v>10113530.177522039</v>
      </c>
      <c r="P36" s="21">
        <f t="shared" si="2"/>
        <v>10118996.871517738</v>
      </c>
      <c r="Q36" s="21">
        <f t="shared" si="3"/>
        <v>69731788.385078132</v>
      </c>
      <c r="R36" s="21">
        <f t="shared" si="4"/>
        <v>107827001.48134699</v>
      </c>
      <c r="S36" s="21">
        <f t="shared" si="5"/>
        <v>38095213.096268862</v>
      </c>
      <c r="T36" s="14">
        <f>IFERROR(INDEX(Cost_Components!$R$2:$R$27,MATCH(E36,Cost_Components!$A$2:$A$27,0)),"")</f>
        <v>1</v>
      </c>
      <c r="U36" s="24">
        <f>IFERROR(INDEX(Cost_Components!$Q$2:$Q$27,MATCH(E36,Cost_Components!$A$2:$A$27,0)),"")</f>
        <v>2023</v>
      </c>
      <c r="V36" s="28">
        <f>1/(1+Calculation_Assumptions!$B$5)^(B36-Calculation_Assumptions!$B$2)</f>
        <v>0.78940923431393573</v>
      </c>
      <c r="W36" s="21">
        <f t="shared" si="6"/>
        <v>55046917.676405922</v>
      </c>
      <c r="X36" s="21">
        <f t="shared" si="7"/>
        <v>85119630.67775774</v>
      </c>
      <c r="Y36" s="21">
        <f t="shared" si="8"/>
        <v>30072713.001351818</v>
      </c>
      <c r="Z36" s="15">
        <f>IFERROR(INDEX(Cost_Components!$T$2:$T$27,MATCH(E36,Cost_Components!$A$2:$A$27,0)),"")</f>
        <v>0.8</v>
      </c>
      <c r="AA36" s="24">
        <f>IFERROR(INDEX(Cost_Components!$U$2:$U$27,MATCH(E36,Cost_Components!$A$2:$A$27,0)),"")</f>
        <v>2025</v>
      </c>
      <c r="AB36" s="24">
        <f>IFERROR(INDEX(Cost_Components!$V$2:$V$27,MATCH(E36,Cost_Components!$A$2:$A$27,0)),"")</f>
        <v>2050</v>
      </c>
      <c r="AC36" s="24">
        <f>IFERROR(INDEX(Cost_Components!$M$2:$M$27,MATCH(E36,Cost_Components!$A$2:$A$27,0)),"")</f>
        <v>30</v>
      </c>
      <c r="AD36" s="24">
        <f>IFERROR(INDEX(Cost_Components!$N$2:$N$27,MATCH(E36,Cost_Components!$A$2:$A$27,0)),"")</f>
        <v>95</v>
      </c>
      <c r="AE36" s="14" t="str">
        <f>IFERROR(INDEX(Cost_Components!$O$2:$O$27,MATCH(E36,Cost_Components!$A$2:$A$27,0)),"")</f>
        <v>Both</v>
      </c>
      <c r="AF36" s="11">
        <v>168558836.292034</v>
      </c>
      <c r="AG36" s="11">
        <v>168649947.85862899</v>
      </c>
      <c r="AH36" s="21">
        <f t="shared" si="9"/>
        <v>1</v>
      </c>
    </row>
    <row r="37" spans="1:34" hidden="1">
      <c r="A37" t="s">
        <v>159</v>
      </c>
      <c r="B37" s="18">
        <v>2034</v>
      </c>
      <c r="C37" t="s">
        <v>159</v>
      </c>
      <c r="E37" s="20" t="s">
        <v>251</v>
      </c>
      <c r="F37" s="20" t="s">
        <v>252</v>
      </c>
      <c r="G37" s="20" t="s">
        <v>168</v>
      </c>
      <c r="H37" s="20" t="s">
        <v>169</v>
      </c>
      <c r="I37" s="20" t="s">
        <v>75</v>
      </c>
      <c r="J37" s="15">
        <f>IFERROR(INDEX(Cost_Components!$K$2:$K$27,MATCH(E37,Cost_Components!$A$2:$A$27,0)),"")</f>
        <v>0.06</v>
      </c>
      <c r="K37" s="15">
        <f t="shared" si="0"/>
        <v>0.49846153846153851</v>
      </c>
      <c r="L37" s="15">
        <f>IFERROR(INDEX(Cost_Components!$S$2:$S$27,MATCH(E37,Cost_Components!$A$2:$A$27,0)),"")</f>
        <v>0.31</v>
      </c>
      <c r="M37" s="26">
        <f>IFERROR(INDEX(Cost_Components!$L$2:$L$27,MATCH(E37,Cost_Components!$A$2:$A$27,0)),"")</f>
        <v>1</v>
      </c>
      <c r="N37" s="27">
        <f>IFERROR(INDEX(Cost_Components!$P$2:$P$27,MATCH(E37,Cost_Components!$A$2:$A$27,0)),"")</f>
        <v>22.229600000000001</v>
      </c>
      <c r="O37" s="21">
        <f t="shared" si="1"/>
        <v>10225690.58466894</v>
      </c>
      <c r="P37" s="21">
        <f t="shared" si="2"/>
        <v>10227931.044221699</v>
      </c>
      <c r="Q37" s="21">
        <f t="shared" si="3"/>
        <v>70482472.941595525</v>
      </c>
      <c r="R37" s="21">
        <f t="shared" si="4"/>
        <v>113306793.38521534</v>
      </c>
      <c r="S37" s="21">
        <f t="shared" si="5"/>
        <v>42824320.443619817</v>
      </c>
      <c r="T37" s="14">
        <f>IFERROR(INDEX(Cost_Components!$R$2:$R$27,MATCH(E37,Cost_Components!$A$2:$A$27,0)),"")</f>
        <v>1</v>
      </c>
      <c r="U37" s="24">
        <f>IFERROR(INDEX(Cost_Components!$Q$2:$Q$27,MATCH(E37,Cost_Components!$A$2:$A$27,0)),"")</f>
        <v>2023</v>
      </c>
      <c r="V37" s="28">
        <f>1/(1+Calculation_Assumptions!$B$5)^(B37-Calculation_Assumptions!$B$2)</f>
        <v>0.76641673234362695</v>
      </c>
      <c r="W37" s="21">
        <f t="shared" si="6"/>
        <v>54018946.599395745</v>
      </c>
      <c r="X37" s="21">
        <f t="shared" si="7"/>
        <v>86840222.338631228</v>
      </c>
      <c r="Y37" s="21">
        <f t="shared" si="8"/>
        <v>32821275.739235483</v>
      </c>
      <c r="Z37" s="15">
        <f>IFERROR(INDEX(Cost_Components!$T$2:$T$27,MATCH(E37,Cost_Components!$A$2:$A$27,0)),"")</f>
        <v>0.8</v>
      </c>
      <c r="AA37" s="24">
        <f>IFERROR(INDEX(Cost_Components!$U$2:$U$27,MATCH(E37,Cost_Components!$A$2:$A$27,0)),"")</f>
        <v>2025</v>
      </c>
      <c r="AB37" s="24">
        <f>IFERROR(INDEX(Cost_Components!$V$2:$V$27,MATCH(E37,Cost_Components!$A$2:$A$27,0)),"")</f>
        <v>2050</v>
      </c>
      <c r="AC37" s="24">
        <f>IFERROR(INDEX(Cost_Components!$M$2:$M$27,MATCH(E37,Cost_Components!$A$2:$A$27,0)),"")</f>
        <v>30</v>
      </c>
      <c r="AD37" s="24">
        <f>IFERROR(INDEX(Cost_Components!$N$2:$N$27,MATCH(E37,Cost_Components!$A$2:$A$27,0)),"")</f>
        <v>95</v>
      </c>
      <c r="AE37" s="14" t="str">
        <f>IFERROR(INDEX(Cost_Components!$O$2:$O$27,MATCH(E37,Cost_Components!$A$2:$A$27,0)),"")</f>
        <v>Both</v>
      </c>
      <c r="AF37" s="11">
        <v>170428176.411149</v>
      </c>
      <c r="AG37" s="11">
        <v>170465517.40369499</v>
      </c>
      <c r="AH37" s="21">
        <f t="shared" si="9"/>
        <v>1</v>
      </c>
    </row>
    <row r="38" spans="1:34" hidden="1">
      <c r="A38" t="s">
        <v>159</v>
      </c>
      <c r="B38" s="18">
        <v>2035</v>
      </c>
      <c r="C38" t="s">
        <v>159</v>
      </c>
      <c r="E38" s="20" t="s">
        <v>251</v>
      </c>
      <c r="F38" s="20" t="s">
        <v>252</v>
      </c>
      <c r="G38" s="20" t="s">
        <v>168</v>
      </c>
      <c r="H38" s="20" t="s">
        <v>169</v>
      </c>
      <c r="I38" s="20" t="s">
        <v>75</v>
      </c>
      <c r="J38" s="15">
        <f>IFERROR(INDEX(Cost_Components!$K$2:$K$27,MATCH(E38,Cost_Components!$A$2:$A$27,0)),"")</f>
        <v>0.06</v>
      </c>
      <c r="K38" s="15">
        <f t="shared" si="0"/>
        <v>0.51730769230769236</v>
      </c>
      <c r="L38" s="15">
        <f>IFERROR(INDEX(Cost_Components!$S$2:$S$27,MATCH(E38,Cost_Components!$A$2:$A$27,0)),"")</f>
        <v>0.31</v>
      </c>
      <c r="M38" s="26">
        <f>IFERROR(INDEX(Cost_Components!$L$2:$L$27,MATCH(E38,Cost_Components!$A$2:$A$27,0)),"")</f>
        <v>1</v>
      </c>
      <c r="N38" s="27">
        <f>IFERROR(INDEX(Cost_Components!$P$2:$P$27,MATCH(E38,Cost_Components!$A$2:$A$27,0)),"")</f>
        <v>22.229600000000001</v>
      </c>
      <c r="O38" s="21">
        <f t="shared" si="1"/>
        <v>10339694.040508319</v>
      </c>
      <c r="P38" s="21">
        <f t="shared" si="2"/>
        <v>10338212.709342239</v>
      </c>
      <c r="Q38" s="21">
        <f t="shared" si="3"/>
        <v>71242443.305514216</v>
      </c>
      <c r="R38" s="21">
        <f t="shared" si="4"/>
        <v>118901757.02103025</v>
      </c>
      <c r="S38" s="21">
        <f t="shared" si="5"/>
        <v>47659313.715516031</v>
      </c>
      <c r="T38" s="14">
        <f>IFERROR(INDEX(Cost_Components!$R$2:$R$27,MATCH(E38,Cost_Components!$A$2:$A$27,0)),"")</f>
        <v>1</v>
      </c>
      <c r="U38" s="24">
        <f>IFERROR(INDEX(Cost_Components!$Q$2:$Q$27,MATCH(E38,Cost_Components!$A$2:$A$27,0)),"")</f>
        <v>2023</v>
      </c>
      <c r="V38" s="28">
        <f>1/(1+Calculation_Assumptions!$B$5)^(B38-Calculation_Assumptions!$B$2)</f>
        <v>0.74409391489672516</v>
      </c>
      <c r="W38" s="21">
        <f t="shared" si="6"/>
        <v>53011068.546008065</v>
      </c>
      <c r="X38" s="21">
        <f t="shared" si="7"/>
        <v>88474073.869877577</v>
      </c>
      <c r="Y38" s="21">
        <f t="shared" si="8"/>
        <v>35463005.323869511</v>
      </c>
      <c r="Z38" s="15">
        <f>IFERROR(INDEX(Cost_Components!$T$2:$T$27,MATCH(E38,Cost_Components!$A$2:$A$27,0)),"")</f>
        <v>0.8</v>
      </c>
      <c r="AA38" s="24">
        <f>IFERROR(INDEX(Cost_Components!$U$2:$U$27,MATCH(E38,Cost_Components!$A$2:$A$27,0)),"")</f>
        <v>2025</v>
      </c>
      <c r="AB38" s="24">
        <f>IFERROR(INDEX(Cost_Components!$V$2:$V$27,MATCH(E38,Cost_Components!$A$2:$A$27,0)),"")</f>
        <v>2050</v>
      </c>
      <c r="AC38" s="24">
        <f>IFERROR(INDEX(Cost_Components!$M$2:$M$27,MATCH(E38,Cost_Components!$A$2:$A$27,0)),"")</f>
        <v>30</v>
      </c>
      <c r="AD38" s="24">
        <f>IFERROR(INDEX(Cost_Components!$N$2:$N$27,MATCH(E38,Cost_Components!$A$2:$A$27,0)),"")</f>
        <v>95</v>
      </c>
      <c r="AE38" s="14" t="str">
        <f>IFERROR(INDEX(Cost_Components!$O$2:$O$27,MATCH(E38,Cost_Components!$A$2:$A$27,0)),"")</f>
        <v>Both</v>
      </c>
      <c r="AF38" s="11">
        <v>172328234.008472</v>
      </c>
      <c r="AG38" s="11">
        <v>172303545.15570399</v>
      </c>
      <c r="AH38" s="21">
        <f t="shared" si="9"/>
        <v>1</v>
      </c>
    </row>
    <row r="39" spans="1:34" hidden="1">
      <c r="A39" t="s">
        <v>159</v>
      </c>
      <c r="B39" s="18">
        <v>2036</v>
      </c>
      <c r="C39" t="s">
        <v>159</v>
      </c>
      <c r="E39" s="20" t="s">
        <v>251</v>
      </c>
      <c r="F39" s="20" t="s">
        <v>252</v>
      </c>
      <c r="G39" s="20" t="s">
        <v>168</v>
      </c>
      <c r="H39" s="20" t="s">
        <v>169</v>
      </c>
      <c r="I39" s="20" t="s">
        <v>75</v>
      </c>
      <c r="J39" s="15">
        <f>IFERROR(INDEX(Cost_Components!$K$2:$K$27,MATCH(E39,Cost_Components!$A$2:$A$27,0)),"")</f>
        <v>0.06</v>
      </c>
      <c r="K39" s="15">
        <f t="shared" si="0"/>
        <v>0.5361538461538462</v>
      </c>
      <c r="L39" s="15">
        <f>IFERROR(INDEX(Cost_Components!$S$2:$S$27,MATCH(E39,Cost_Components!$A$2:$A$27,0)),"")</f>
        <v>0.31</v>
      </c>
      <c r="M39" s="26">
        <f>IFERROR(INDEX(Cost_Components!$L$2:$L$27,MATCH(E39,Cost_Components!$A$2:$A$27,0)),"")</f>
        <v>1</v>
      </c>
      <c r="N39" s="27">
        <f>IFERROR(INDEX(Cost_Components!$P$2:$P$27,MATCH(E39,Cost_Components!$A$2:$A$27,0)),"")</f>
        <v>22.229600000000001</v>
      </c>
      <c r="O39" s="21">
        <f t="shared" si="1"/>
        <v>10455380.183632379</v>
      </c>
      <c r="P39" s="21">
        <f t="shared" si="2"/>
        <v>10449789.890308078</v>
      </c>
      <c r="Q39" s="21">
        <f t="shared" si="3"/>
        <v>72011341.297133669</v>
      </c>
      <c r="R39" s="21">
        <f t="shared" si="4"/>
        <v>124612297.51773988</v>
      </c>
      <c r="S39" s="21">
        <f t="shared" si="5"/>
        <v>52600956.220606208</v>
      </c>
      <c r="T39" s="14">
        <f>IFERROR(INDEX(Cost_Components!$R$2:$R$27,MATCH(E39,Cost_Components!$A$2:$A$27,0)),"")</f>
        <v>1</v>
      </c>
      <c r="U39" s="24">
        <f>IFERROR(INDEX(Cost_Components!$Q$2:$Q$27,MATCH(E39,Cost_Components!$A$2:$A$27,0)),"")</f>
        <v>2023</v>
      </c>
      <c r="V39" s="28">
        <f>1/(1+Calculation_Assumptions!$B$5)^(B39-Calculation_Assumptions!$B$2)</f>
        <v>0.72242127659876232</v>
      </c>
      <c r="W39" s="21">
        <f t="shared" si="6"/>
        <v>52022525.109464481</v>
      </c>
      <c r="X39" s="21">
        <f t="shared" si="7"/>
        <v>90022575.052670419</v>
      </c>
      <c r="Y39" s="21">
        <f t="shared" si="8"/>
        <v>38000049.943205945</v>
      </c>
      <c r="Z39" s="15">
        <f>IFERROR(INDEX(Cost_Components!$T$2:$T$27,MATCH(E39,Cost_Components!$A$2:$A$27,0)),"")</f>
        <v>0.8</v>
      </c>
      <c r="AA39" s="24">
        <f>IFERROR(INDEX(Cost_Components!$U$2:$U$27,MATCH(E39,Cost_Components!$A$2:$A$27,0)),"")</f>
        <v>2025</v>
      </c>
      <c r="AB39" s="24">
        <f>IFERROR(INDEX(Cost_Components!$V$2:$V$27,MATCH(E39,Cost_Components!$A$2:$A$27,0)),"")</f>
        <v>2050</v>
      </c>
      <c r="AC39" s="24">
        <f>IFERROR(INDEX(Cost_Components!$M$2:$M$27,MATCH(E39,Cost_Components!$A$2:$A$27,0)),"")</f>
        <v>30</v>
      </c>
      <c r="AD39" s="24">
        <f>IFERROR(INDEX(Cost_Components!$N$2:$N$27,MATCH(E39,Cost_Components!$A$2:$A$27,0)),"")</f>
        <v>95</v>
      </c>
      <c r="AE39" s="14" t="str">
        <f>IFERROR(INDEX(Cost_Components!$O$2:$O$27,MATCH(E39,Cost_Components!$A$2:$A$27,0)),"")</f>
        <v>Both</v>
      </c>
      <c r="AF39" s="11">
        <v>174256336.39387301</v>
      </c>
      <c r="AG39" s="11">
        <v>174163164.83846799</v>
      </c>
      <c r="AH39" s="21">
        <f t="shared" si="9"/>
        <v>1</v>
      </c>
    </row>
    <row r="40" spans="1:34" hidden="1">
      <c r="A40" t="s">
        <v>159</v>
      </c>
      <c r="B40" s="18">
        <v>2037</v>
      </c>
      <c r="C40" t="s">
        <v>159</v>
      </c>
      <c r="E40" s="20" t="s">
        <v>251</v>
      </c>
      <c r="F40" s="20" t="s">
        <v>252</v>
      </c>
      <c r="G40" s="20" t="s">
        <v>168</v>
      </c>
      <c r="H40" s="20" t="s">
        <v>169</v>
      </c>
      <c r="I40" s="20" t="s">
        <v>75</v>
      </c>
      <c r="J40" s="15">
        <f>IFERROR(INDEX(Cost_Components!$K$2:$K$27,MATCH(E40,Cost_Components!$A$2:$A$27,0)),"")</f>
        <v>0.06</v>
      </c>
      <c r="K40" s="15">
        <f t="shared" si="0"/>
        <v>0.55500000000000005</v>
      </c>
      <c r="L40" s="15">
        <f>IFERROR(INDEX(Cost_Components!$S$2:$S$27,MATCH(E40,Cost_Components!$A$2:$A$27,0)),"")</f>
        <v>0.31</v>
      </c>
      <c r="M40" s="26">
        <f>IFERROR(INDEX(Cost_Components!$L$2:$L$27,MATCH(E40,Cost_Components!$A$2:$A$27,0)),"")</f>
        <v>1</v>
      </c>
      <c r="N40" s="27">
        <f>IFERROR(INDEX(Cost_Components!$P$2:$P$27,MATCH(E40,Cost_Components!$A$2:$A$27,0)),"")</f>
        <v>22.229600000000001</v>
      </c>
      <c r="O40" s="21">
        <f t="shared" si="1"/>
        <v>10571447.340283439</v>
      </c>
      <c r="P40" s="21">
        <f t="shared" si="2"/>
        <v>10561342.298935801</v>
      </c>
      <c r="Q40" s="21">
        <f t="shared" si="3"/>
        <v>72780068.578211218</v>
      </c>
      <c r="R40" s="21">
        <f t="shared" si="4"/>
        <v>130424470.41653843</v>
      </c>
      <c r="S40" s="21">
        <f t="shared" si="5"/>
        <v>57644401.838327214</v>
      </c>
      <c r="T40" s="14">
        <f>IFERROR(INDEX(Cost_Components!$R$2:$R$27,MATCH(E40,Cost_Components!$A$2:$A$27,0)),"")</f>
        <v>1</v>
      </c>
      <c r="U40" s="24">
        <f>IFERROR(INDEX(Cost_Components!$Q$2:$Q$27,MATCH(E40,Cost_Components!$A$2:$A$27,0)),"")</f>
        <v>2023</v>
      </c>
      <c r="V40" s="28">
        <f>1/(1+Calculation_Assumptions!$B$5)^(B40-Calculation_Assumptions!$B$2)</f>
        <v>0.70137988019297326</v>
      </c>
      <c r="W40" s="21">
        <f t="shared" si="6"/>
        <v>51046475.779822163</v>
      </c>
      <c r="X40" s="21">
        <f t="shared" si="7"/>
        <v>91477099.434983715</v>
      </c>
      <c r="Y40" s="21">
        <f t="shared" si="8"/>
        <v>40430623.655161552</v>
      </c>
      <c r="Z40" s="15">
        <f>IFERROR(INDEX(Cost_Components!$T$2:$T$27,MATCH(E40,Cost_Components!$A$2:$A$27,0)),"")</f>
        <v>0.8</v>
      </c>
      <c r="AA40" s="24">
        <f>IFERROR(INDEX(Cost_Components!$U$2:$U$27,MATCH(E40,Cost_Components!$A$2:$A$27,0)),"")</f>
        <v>2025</v>
      </c>
      <c r="AB40" s="24">
        <f>IFERROR(INDEX(Cost_Components!$V$2:$V$27,MATCH(E40,Cost_Components!$A$2:$A$27,0)),"")</f>
        <v>2050</v>
      </c>
      <c r="AC40" s="24">
        <f>IFERROR(INDEX(Cost_Components!$M$2:$M$27,MATCH(E40,Cost_Components!$A$2:$A$27,0)),"")</f>
        <v>30</v>
      </c>
      <c r="AD40" s="24">
        <f>IFERROR(INDEX(Cost_Components!$N$2:$N$27,MATCH(E40,Cost_Components!$A$2:$A$27,0)),"")</f>
        <v>95</v>
      </c>
      <c r="AE40" s="14" t="str">
        <f>IFERROR(INDEX(Cost_Components!$O$2:$O$27,MATCH(E40,Cost_Components!$A$2:$A$27,0)),"")</f>
        <v>Both</v>
      </c>
      <c r="AF40" s="11">
        <v>176190789.004724</v>
      </c>
      <c r="AG40" s="11">
        <v>176022371.64893001</v>
      </c>
      <c r="AH40" s="21">
        <f t="shared" si="9"/>
        <v>1</v>
      </c>
    </row>
    <row r="41" spans="1:34" hidden="1">
      <c r="A41" t="s">
        <v>159</v>
      </c>
      <c r="B41" s="18">
        <v>2038</v>
      </c>
      <c r="C41" t="s">
        <v>159</v>
      </c>
      <c r="E41" s="20" t="s">
        <v>251</v>
      </c>
      <c r="F41" s="20" t="s">
        <v>252</v>
      </c>
      <c r="G41" s="20" t="s">
        <v>168</v>
      </c>
      <c r="H41" s="20" t="s">
        <v>169</v>
      </c>
      <c r="I41" s="20" t="s">
        <v>75</v>
      </c>
      <c r="J41" s="15">
        <f>IFERROR(INDEX(Cost_Components!$K$2:$K$27,MATCH(E41,Cost_Components!$A$2:$A$27,0)),"")</f>
        <v>0.06</v>
      </c>
      <c r="K41" s="15">
        <f t="shared" si="0"/>
        <v>0.57384615384615389</v>
      </c>
      <c r="L41" s="15">
        <f>IFERROR(INDEX(Cost_Components!$S$2:$S$27,MATCH(E41,Cost_Components!$A$2:$A$27,0)),"")</f>
        <v>0.31</v>
      </c>
      <c r="M41" s="26">
        <f>IFERROR(INDEX(Cost_Components!$L$2:$L$27,MATCH(E41,Cost_Components!$A$2:$A$27,0)),"")</f>
        <v>1</v>
      </c>
      <c r="N41" s="27">
        <f>IFERROR(INDEX(Cost_Components!$P$2:$P$27,MATCH(E41,Cost_Components!$A$2:$A$27,0)),"")</f>
        <v>22.229600000000001</v>
      </c>
      <c r="O41" s="21">
        <f t="shared" si="1"/>
        <v>10685319.72090192</v>
      </c>
      <c r="P41" s="21">
        <f t="shared" si="2"/>
        <v>10670226.094198201</v>
      </c>
      <c r="Q41" s="21">
        <f t="shared" si="3"/>
        <v>73530405.97491239</v>
      </c>
      <c r="R41" s="21">
        <f t="shared" si="4"/>
        <v>136305896.85980767</v>
      </c>
      <c r="S41" s="21">
        <f t="shared" si="5"/>
        <v>62775490.88489528</v>
      </c>
      <c r="T41" s="14">
        <f>IFERROR(INDEX(Cost_Components!$R$2:$R$27,MATCH(E41,Cost_Components!$A$2:$A$27,0)),"")</f>
        <v>1</v>
      </c>
      <c r="U41" s="24">
        <f>IFERROR(INDEX(Cost_Components!$Q$2:$Q$27,MATCH(E41,Cost_Components!$A$2:$A$27,0)),"")</f>
        <v>2023</v>
      </c>
      <c r="V41" s="28">
        <f>1/(1+Calculation_Assumptions!$B$5)^(B41-Calculation_Assumptions!$B$2)</f>
        <v>0.68095133999317792</v>
      </c>
      <c r="W41" s="21">
        <f t="shared" si="6"/>
        <v>50070628.47885897</v>
      </c>
      <c r="X41" s="21">
        <f t="shared" si="7"/>
        <v>92817683.115657941</v>
      </c>
      <c r="Y41" s="21">
        <f t="shared" si="8"/>
        <v>42747054.63679897</v>
      </c>
      <c r="Z41" s="15">
        <f>IFERROR(INDEX(Cost_Components!$T$2:$T$27,MATCH(E41,Cost_Components!$A$2:$A$27,0)),"")</f>
        <v>0.8</v>
      </c>
      <c r="AA41" s="24">
        <f>IFERROR(INDEX(Cost_Components!$U$2:$U$27,MATCH(E41,Cost_Components!$A$2:$A$27,0)),"")</f>
        <v>2025</v>
      </c>
      <c r="AB41" s="24">
        <f>IFERROR(INDEX(Cost_Components!$V$2:$V$27,MATCH(E41,Cost_Components!$A$2:$A$27,0)),"")</f>
        <v>2050</v>
      </c>
      <c r="AC41" s="24">
        <f>IFERROR(INDEX(Cost_Components!$M$2:$M$27,MATCH(E41,Cost_Components!$A$2:$A$27,0)),"")</f>
        <v>30</v>
      </c>
      <c r="AD41" s="24">
        <f>IFERROR(INDEX(Cost_Components!$N$2:$N$27,MATCH(E41,Cost_Components!$A$2:$A$27,0)),"")</f>
        <v>95</v>
      </c>
      <c r="AE41" s="14" t="str">
        <f>IFERROR(INDEX(Cost_Components!$O$2:$O$27,MATCH(E41,Cost_Components!$A$2:$A$27,0)),"")</f>
        <v>Both</v>
      </c>
      <c r="AF41" s="11">
        <v>178088662.01503199</v>
      </c>
      <c r="AG41" s="11">
        <v>177837101.56997001</v>
      </c>
      <c r="AH41" s="21">
        <f t="shared" si="9"/>
        <v>1</v>
      </c>
    </row>
    <row r="42" spans="1:34" hidden="1">
      <c r="A42" t="s">
        <v>159</v>
      </c>
      <c r="B42" s="18">
        <v>2039</v>
      </c>
      <c r="C42" t="s">
        <v>159</v>
      </c>
      <c r="E42" s="20" t="s">
        <v>251</v>
      </c>
      <c r="F42" s="20" t="s">
        <v>252</v>
      </c>
      <c r="G42" s="20" t="s">
        <v>168</v>
      </c>
      <c r="H42" s="20" t="s">
        <v>169</v>
      </c>
      <c r="I42" s="20" t="s">
        <v>75</v>
      </c>
      <c r="J42" s="15">
        <f>IFERROR(INDEX(Cost_Components!$K$2:$K$27,MATCH(E42,Cost_Components!$A$2:$A$27,0)),"")</f>
        <v>0.06</v>
      </c>
      <c r="K42" s="15">
        <f t="shared" si="0"/>
        <v>0.59269230769230763</v>
      </c>
      <c r="L42" s="15">
        <f>IFERROR(INDEX(Cost_Components!$S$2:$S$27,MATCH(E42,Cost_Components!$A$2:$A$27,0)),"")</f>
        <v>0.31</v>
      </c>
      <c r="M42" s="26">
        <f>IFERROR(INDEX(Cost_Components!$L$2:$L$27,MATCH(E42,Cost_Components!$A$2:$A$27,0)),"")</f>
        <v>1</v>
      </c>
      <c r="N42" s="27">
        <f>IFERROR(INDEX(Cost_Components!$P$2:$P$27,MATCH(E42,Cost_Components!$A$2:$A$27,0)),"")</f>
        <v>22.229600000000001</v>
      </c>
      <c r="O42" s="21">
        <f t="shared" si="1"/>
        <v>10795896.21323706</v>
      </c>
      <c r="P42" s="21">
        <f t="shared" si="2"/>
        <v>10775346.414757559</v>
      </c>
      <c r="Q42" s="21">
        <f t="shared" si="3"/>
        <v>74254808.605063334</v>
      </c>
      <c r="R42" s="21">
        <f t="shared" si="4"/>
        <v>142239310.89445946</v>
      </c>
      <c r="S42" s="21">
        <f t="shared" si="5"/>
        <v>67984502.289396122</v>
      </c>
      <c r="T42" s="14">
        <f>IFERROR(INDEX(Cost_Components!$R$2:$R$27,MATCH(E42,Cost_Components!$A$2:$A$27,0)),"")</f>
        <v>1</v>
      </c>
      <c r="U42" s="24">
        <f>IFERROR(INDEX(Cost_Components!$Q$2:$Q$27,MATCH(E42,Cost_Components!$A$2:$A$27,0)),"")</f>
        <v>2023</v>
      </c>
      <c r="V42" s="28">
        <f>1/(1+Calculation_Assumptions!$B$5)^(B42-Calculation_Assumptions!$B$2)</f>
        <v>0.66111780581861923</v>
      </c>
      <c r="W42" s="21">
        <f t="shared" si="6"/>
        <v>49091176.136460997</v>
      </c>
      <c r="X42" s="21">
        <f t="shared" si="7"/>
        <v>94036941.119697452</v>
      </c>
      <c r="Y42" s="21">
        <f t="shared" si="8"/>
        <v>44945764.983236462</v>
      </c>
      <c r="Z42" s="15">
        <f>IFERROR(INDEX(Cost_Components!$T$2:$T$27,MATCH(E42,Cost_Components!$A$2:$A$27,0)),"")</f>
        <v>0.8</v>
      </c>
      <c r="AA42" s="24">
        <f>IFERROR(INDEX(Cost_Components!$U$2:$U$27,MATCH(E42,Cost_Components!$A$2:$A$27,0)),"")</f>
        <v>2025</v>
      </c>
      <c r="AB42" s="24">
        <f>IFERROR(INDEX(Cost_Components!$V$2:$V$27,MATCH(E42,Cost_Components!$A$2:$A$27,0)),"")</f>
        <v>2050</v>
      </c>
      <c r="AC42" s="24">
        <f>IFERROR(INDEX(Cost_Components!$M$2:$M$27,MATCH(E42,Cost_Components!$A$2:$A$27,0)),"")</f>
        <v>30</v>
      </c>
      <c r="AD42" s="24">
        <f>IFERROR(INDEX(Cost_Components!$N$2:$N$27,MATCH(E42,Cost_Components!$A$2:$A$27,0)),"")</f>
        <v>95</v>
      </c>
      <c r="AE42" s="14" t="str">
        <f>IFERROR(INDEX(Cost_Components!$O$2:$O$27,MATCH(E42,Cost_Components!$A$2:$A$27,0)),"")</f>
        <v>Both</v>
      </c>
      <c r="AF42" s="11">
        <v>179931603.553951</v>
      </c>
      <c r="AG42" s="11">
        <v>179589106.912626</v>
      </c>
      <c r="AH42" s="21">
        <f t="shared" si="9"/>
        <v>1</v>
      </c>
    </row>
    <row r="43" spans="1:34" hidden="1">
      <c r="A43" t="s">
        <v>159</v>
      </c>
      <c r="B43" s="18">
        <v>2040</v>
      </c>
      <c r="C43" t="s">
        <v>159</v>
      </c>
      <c r="E43" s="20" t="s">
        <v>251</v>
      </c>
      <c r="F43" s="20" t="s">
        <v>252</v>
      </c>
      <c r="G43" s="20" t="s">
        <v>168</v>
      </c>
      <c r="H43" s="20" t="s">
        <v>169</v>
      </c>
      <c r="I43" s="20" t="s">
        <v>75</v>
      </c>
      <c r="J43" s="15">
        <f>IFERROR(INDEX(Cost_Components!$K$2:$K$27,MATCH(E43,Cost_Components!$A$2:$A$27,0)),"")</f>
        <v>0.06</v>
      </c>
      <c r="K43" s="15">
        <f t="shared" si="0"/>
        <v>0.61153846153846159</v>
      </c>
      <c r="L43" s="15">
        <f>IFERROR(INDEX(Cost_Components!$S$2:$S$27,MATCH(E43,Cost_Components!$A$2:$A$27,0)),"")</f>
        <v>0.31</v>
      </c>
      <c r="M43" s="26">
        <f>IFERROR(INDEX(Cost_Components!$L$2:$L$27,MATCH(E43,Cost_Components!$A$2:$A$27,0)),"")</f>
        <v>1</v>
      </c>
      <c r="N43" s="27">
        <f>IFERROR(INDEX(Cost_Components!$P$2:$P$27,MATCH(E43,Cost_Components!$A$2:$A$27,0)),"")</f>
        <v>22.229600000000001</v>
      </c>
      <c r="O43" s="21">
        <f t="shared" si="1"/>
        <v>10898303.460943919</v>
      </c>
      <c r="P43" s="21">
        <f t="shared" si="2"/>
        <v>10879803.193314901</v>
      </c>
      <c r="Q43" s="21">
        <f t="shared" si="3"/>
        <v>74974638.650495008</v>
      </c>
      <c r="R43" s="21">
        <f t="shared" si="4"/>
        <v>148154320.50710934</v>
      </c>
      <c r="S43" s="21">
        <f t="shared" si="5"/>
        <v>73179681.856614336</v>
      </c>
      <c r="T43" s="14">
        <f>IFERROR(INDEX(Cost_Components!$R$2:$R$27,MATCH(E43,Cost_Components!$A$2:$A$27,0)),"")</f>
        <v>1</v>
      </c>
      <c r="U43" s="24">
        <f>IFERROR(INDEX(Cost_Components!$Q$2:$Q$27,MATCH(E43,Cost_Components!$A$2:$A$27,0)),"")</f>
        <v>2023</v>
      </c>
      <c r="V43" s="28">
        <f>1/(1+Calculation_Assumptions!$B$5)^(B43-Calculation_Assumptions!$B$2)</f>
        <v>0.64186194739671765</v>
      </c>
      <c r="W43" s="21">
        <f t="shared" si="6"/>
        <v>48123367.569571942</v>
      </c>
      <c r="X43" s="21">
        <f t="shared" si="7"/>
        <v>95094620.675930664</v>
      </c>
      <c r="Y43" s="21">
        <f t="shared" si="8"/>
        <v>46971253.106358722</v>
      </c>
      <c r="Z43" s="15">
        <f>IFERROR(INDEX(Cost_Components!$T$2:$T$27,MATCH(E43,Cost_Components!$A$2:$A$27,0)),"")</f>
        <v>0.8</v>
      </c>
      <c r="AA43" s="24">
        <f>IFERROR(INDEX(Cost_Components!$U$2:$U$27,MATCH(E43,Cost_Components!$A$2:$A$27,0)),"")</f>
        <v>2025</v>
      </c>
      <c r="AB43" s="24">
        <f>IFERROR(INDEX(Cost_Components!$V$2:$V$27,MATCH(E43,Cost_Components!$A$2:$A$27,0)),"")</f>
        <v>2050</v>
      </c>
      <c r="AC43" s="24">
        <f>IFERROR(INDEX(Cost_Components!$M$2:$M$27,MATCH(E43,Cost_Components!$A$2:$A$27,0)),"")</f>
        <v>30</v>
      </c>
      <c r="AD43" s="24">
        <f>IFERROR(INDEX(Cost_Components!$N$2:$N$27,MATCH(E43,Cost_Components!$A$2:$A$27,0)),"")</f>
        <v>95</v>
      </c>
      <c r="AE43" s="14" t="str">
        <f>IFERROR(INDEX(Cost_Components!$O$2:$O$27,MATCH(E43,Cost_Components!$A$2:$A$27,0)),"")</f>
        <v>Both</v>
      </c>
      <c r="AF43" s="11">
        <v>181638391.01573199</v>
      </c>
      <c r="AG43" s="11">
        <v>181330053.22191501</v>
      </c>
      <c r="AH43" s="21">
        <f t="shared" si="9"/>
        <v>1</v>
      </c>
    </row>
    <row r="44" spans="1:34" hidden="1">
      <c r="A44" t="s">
        <v>159</v>
      </c>
      <c r="B44" s="18">
        <v>2041</v>
      </c>
      <c r="C44" t="s">
        <v>159</v>
      </c>
      <c r="E44" s="20" t="s">
        <v>251</v>
      </c>
      <c r="F44" s="20" t="s">
        <v>252</v>
      </c>
      <c r="G44" s="20" t="s">
        <v>168</v>
      </c>
      <c r="H44" s="20" t="s">
        <v>169</v>
      </c>
      <c r="I44" s="20" t="s">
        <v>75</v>
      </c>
      <c r="J44" s="15">
        <f>IFERROR(INDEX(Cost_Components!$K$2:$K$27,MATCH(E44,Cost_Components!$A$2:$A$27,0)),"")</f>
        <v>0.06</v>
      </c>
      <c r="K44" s="15">
        <f t="shared" si="0"/>
        <v>0.63038461538461543</v>
      </c>
      <c r="L44" s="15">
        <f>IFERROR(INDEX(Cost_Components!$S$2:$S$27,MATCH(E44,Cost_Components!$A$2:$A$27,0)),"")</f>
        <v>0.31</v>
      </c>
      <c r="M44" s="26">
        <f>IFERROR(INDEX(Cost_Components!$L$2:$L$27,MATCH(E44,Cost_Components!$A$2:$A$27,0)),"")</f>
        <v>1</v>
      </c>
      <c r="N44" s="27">
        <f>IFERROR(INDEX(Cost_Components!$P$2:$P$27,MATCH(E44,Cost_Components!$A$2:$A$27,0)),"")</f>
        <v>22.229600000000001</v>
      </c>
      <c r="O44" s="21">
        <f t="shared" si="1"/>
        <v>11018948.415184978</v>
      </c>
      <c r="P44" s="21">
        <f t="shared" si="2"/>
        <v>10986226.6048308</v>
      </c>
      <c r="Q44" s="21">
        <f t="shared" si="3"/>
        <v>75708021.10977149</v>
      </c>
      <c r="R44" s="21">
        <f t="shared" si="4"/>
        <v>154410704.19855049</v>
      </c>
      <c r="S44" s="21">
        <f t="shared" si="5"/>
        <v>78702683.088779002</v>
      </c>
      <c r="T44" s="14">
        <f>IFERROR(INDEX(Cost_Components!$R$2:$R$27,MATCH(E44,Cost_Components!$A$2:$A$27,0)),"")</f>
        <v>1</v>
      </c>
      <c r="U44" s="24">
        <f>IFERROR(INDEX(Cost_Components!$Q$2:$Q$27,MATCH(E44,Cost_Components!$A$2:$A$27,0)),"")</f>
        <v>2023</v>
      </c>
      <c r="V44" s="28">
        <f>1/(1+Calculation_Assumptions!$B$5)^(B44-Calculation_Assumptions!$B$2)</f>
        <v>0.62316693922011435</v>
      </c>
      <c r="W44" s="21">
        <f t="shared" si="6"/>
        <v>47178735.789388105</v>
      </c>
      <c r="X44" s="21">
        <f t="shared" si="7"/>
        <v>96223645.918233171</v>
      </c>
      <c r="Y44" s="21">
        <f t="shared" si="8"/>
        <v>49044910.128845066</v>
      </c>
      <c r="Z44" s="15">
        <f>IFERROR(INDEX(Cost_Components!$T$2:$T$27,MATCH(E44,Cost_Components!$A$2:$A$27,0)),"")</f>
        <v>0.8</v>
      </c>
      <c r="AA44" s="24">
        <f>IFERROR(INDEX(Cost_Components!$U$2:$U$27,MATCH(E44,Cost_Components!$A$2:$A$27,0)),"")</f>
        <v>2025</v>
      </c>
      <c r="AB44" s="24">
        <f>IFERROR(INDEX(Cost_Components!$V$2:$V$27,MATCH(E44,Cost_Components!$A$2:$A$27,0)),"")</f>
        <v>2050</v>
      </c>
      <c r="AC44" s="24">
        <f>IFERROR(INDEX(Cost_Components!$M$2:$M$27,MATCH(E44,Cost_Components!$A$2:$A$27,0)),"")</f>
        <v>30</v>
      </c>
      <c r="AD44" s="24">
        <f>IFERROR(INDEX(Cost_Components!$N$2:$N$27,MATCH(E44,Cost_Components!$A$2:$A$27,0)),"")</f>
        <v>95</v>
      </c>
      <c r="AE44" s="14" t="str">
        <f>IFERROR(INDEX(Cost_Components!$O$2:$O$27,MATCH(E44,Cost_Components!$A$2:$A$27,0)),"")</f>
        <v>Both</v>
      </c>
      <c r="AF44" s="11">
        <v>183649140.25308299</v>
      </c>
      <c r="AG44" s="11">
        <v>183103776.74718001</v>
      </c>
      <c r="AH44" s="21">
        <f t="shared" si="9"/>
        <v>1</v>
      </c>
    </row>
    <row r="45" spans="1:34" hidden="1">
      <c r="A45" t="s">
        <v>159</v>
      </c>
      <c r="B45" s="18">
        <v>2042</v>
      </c>
      <c r="C45" t="s">
        <v>159</v>
      </c>
      <c r="E45" s="20" t="s">
        <v>251</v>
      </c>
      <c r="F45" s="20" t="s">
        <v>252</v>
      </c>
      <c r="G45" s="20" t="s">
        <v>168</v>
      </c>
      <c r="H45" s="20" t="s">
        <v>169</v>
      </c>
      <c r="I45" s="20" t="s">
        <v>75</v>
      </c>
      <c r="J45" s="15">
        <f>IFERROR(INDEX(Cost_Components!$K$2:$K$27,MATCH(E45,Cost_Components!$A$2:$A$27,0)),"")</f>
        <v>0.06</v>
      </c>
      <c r="K45" s="15">
        <f t="shared" si="0"/>
        <v>0.64923076923076928</v>
      </c>
      <c r="L45" s="15">
        <f>IFERROR(INDEX(Cost_Components!$S$2:$S$27,MATCH(E45,Cost_Components!$A$2:$A$27,0)),"")</f>
        <v>0.31</v>
      </c>
      <c r="M45" s="26">
        <f>IFERROR(INDEX(Cost_Components!$L$2:$L$27,MATCH(E45,Cost_Components!$A$2:$A$27,0)),"")</f>
        <v>1</v>
      </c>
      <c r="N45" s="27">
        <f>IFERROR(INDEX(Cost_Components!$P$2:$P$27,MATCH(E45,Cost_Components!$A$2:$A$27,0)),"")</f>
        <v>22.229600000000001</v>
      </c>
      <c r="O45" s="21">
        <f t="shared" si="1"/>
        <v>11132910.250442399</v>
      </c>
      <c r="P45" s="21">
        <f t="shared" si="2"/>
        <v>11084912.85475182</v>
      </c>
      <c r="Q45" s="21">
        <f t="shared" si="3"/>
        <v>76388085.426757231</v>
      </c>
      <c r="R45" s="21">
        <f t="shared" si="4"/>
        <v>160671722.76733062</v>
      </c>
      <c r="S45" s="21">
        <f t="shared" si="5"/>
        <v>84283637.340573385</v>
      </c>
      <c r="T45" s="14">
        <f>IFERROR(INDEX(Cost_Components!$R$2:$R$27,MATCH(E45,Cost_Components!$A$2:$A$27,0)),"")</f>
        <v>1</v>
      </c>
      <c r="U45" s="24">
        <f>IFERROR(INDEX(Cost_Components!$Q$2:$Q$27,MATCH(E45,Cost_Components!$A$2:$A$27,0)),"")</f>
        <v>2023</v>
      </c>
      <c r="V45" s="28">
        <f>1/(1+Calculation_Assumptions!$B$5)^(B45-Calculation_Assumptions!$B$2)</f>
        <v>0.60501644584477121</v>
      </c>
      <c r="W45" s="21">
        <f t="shared" si="6"/>
        <v>46216047.949783422</v>
      </c>
      <c r="X45" s="21">
        <f t="shared" si="7"/>
        <v>97209034.656446785</v>
      </c>
      <c r="Y45" s="21">
        <f t="shared" si="8"/>
        <v>50992986.706663355</v>
      </c>
      <c r="Z45" s="15">
        <f>IFERROR(INDEX(Cost_Components!$T$2:$T$27,MATCH(E45,Cost_Components!$A$2:$A$27,0)),"")</f>
        <v>0.8</v>
      </c>
      <c r="AA45" s="24">
        <f>IFERROR(INDEX(Cost_Components!$U$2:$U$27,MATCH(E45,Cost_Components!$A$2:$A$27,0)),"")</f>
        <v>2025</v>
      </c>
      <c r="AB45" s="24">
        <f>IFERROR(INDEX(Cost_Components!$V$2:$V$27,MATCH(E45,Cost_Components!$A$2:$A$27,0)),"")</f>
        <v>2050</v>
      </c>
      <c r="AC45" s="24">
        <f>IFERROR(INDEX(Cost_Components!$M$2:$M$27,MATCH(E45,Cost_Components!$A$2:$A$27,0)),"")</f>
        <v>30</v>
      </c>
      <c r="AD45" s="24">
        <f>IFERROR(INDEX(Cost_Components!$N$2:$N$27,MATCH(E45,Cost_Components!$A$2:$A$27,0)),"")</f>
        <v>95</v>
      </c>
      <c r="AE45" s="14" t="str">
        <f>IFERROR(INDEX(Cost_Components!$O$2:$O$27,MATCH(E45,Cost_Components!$A$2:$A$27,0)),"")</f>
        <v>Both</v>
      </c>
      <c r="AF45" s="11">
        <v>185548504.17403999</v>
      </c>
      <c r="AG45" s="11">
        <v>184748547.57919699</v>
      </c>
      <c r="AH45" s="21">
        <f t="shared" si="9"/>
        <v>1</v>
      </c>
    </row>
    <row r="46" spans="1:34" hidden="1">
      <c r="A46" t="s">
        <v>159</v>
      </c>
      <c r="B46" s="18">
        <v>2043</v>
      </c>
      <c r="C46" t="s">
        <v>159</v>
      </c>
      <c r="E46" s="20" t="s">
        <v>251</v>
      </c>
      <c r="F46" s="20" t="s">
        <v>252</v>
      </c>
      <c r="G46" s="20" t="s">
        <v>168</v>
      </c>
      <c r="H46" s="20" t="s">
        <v>169</v>
      </c>
      <c r="I46" s="20" t="s">
        <v>75</v>
      </c>
      <c r="J46" s="15">
        <f>IFERROR(INDEX(Cost_Components!$K$2:$K$27,MATCH(E46,Cost_Components!$A$2:$A$27,0)),"")</f>
        <v>0.06</v>
      </c>
      <c r="K46" s="15">
        <f t="shared" si="0"/>
        <v>0.66807692307692301</v>
      </c>
      <c r="L46" s="15">
        <f>IFERROR(INDEX(Cost_Components!$S$2:$S$27,MATCH(E46,Cost_Components!$A$2:$A$27,0)),"")</f>
        <v>0.31</v>
      </c>
      <c r="M46" s="26">
        <f>IFERROR(INDEX(Cost_Components!$L$2:$L$27,MATCH(E46,Cost_Components!$A$2:$A$27,0)),"")</f>
        <v>1</v>
      </c>
      <c r="N46" s="27">
        <f>IFERROR(INDEX(Cost_Components!$P$2:$P$27,MATCH(E46,Cost_Components!$A$2:$A$27,0)),"")</f>
        <v>22.229600000000001</v>
      </c>
      <c r="O46" s="21">
        <f t="shared" si="1"/>
        <v>11240713.570312919</v>
      </c>
      <c r="P46" s="21">
        <f t="shared" si="2"/>
        <v>11191341.123611221</v>
      </c>
      <c r="Q46" s="21">
        <f t="shared" si="3"/>
        <v>77121501.358842686</v>
      </c>
      <c r="R46" s="21">
        <f t="shared" si="4"/>
        <v>166936767.61793265</v>
      </c>
      <c r="S46" s="21">
        <f t="shared" si="5"/>
        <v>89815266.259089962</v>
      </c>
      <c r="T46" s="14">
        <f>IFERROR(INDEX(Cost_Components!$R$2:$R$27,MATCH(E46,Cost_Components!$A$2:$A$27,0)),"")</f>
        <v>1</v>
      </c>
      <c r="U46" s="24">
        <f>IFERROR(INDEX(Cost_Components!$Q$2:$Q$27,MATCH(E46,Cost_Components!$A$2:$A$27,0)),"")</f>
        <v>2023</v>
      </c>
      <c r="V46" s="28">
        <f>1/(1+Calculation_Assumptions!$B$5)^(B46-Calculation_Assumptions!$B$2)</f>
        <v>0.5873946076162827</v>
      </c>
      <c r="W46" s="21">
        <f t="shared" si="6"/>
        <v>45300754.029456012</v>
      </c>
      <c r="X46" s="21">
        <f t="shared" si="7"/>
        <v>98057757.111666113</v>
      </c>
      <c r="Y46" s="21">
        <f t="shared" si="8"/>
        <v>52757003.082210101</v>
      </c>
      <c r="Z46" s="15">
        <f>IFERROR(INDEX(Cost_Components!$T$2:$T$27,MATCH(E46,Cost_Components!$A$2:$A$27,0)),"")</f>
        <v>0.8</v>
      </c>
      <c r="AA46" s="24">
        <f>IFERROR(INDEX(Cost_Components!$U$2:$U$27,MATCH(E46,Cost_Components!$A$2:$A$27,0)),"")</f>
        <v>2025</v>
      </c>
      <c r="AB46" s="24">
        <f>IFERROR(INDEX(Cost_Components!$V$2:$V$27,MATCH(E46,Cost_Components!$A$2:$A$27,0)),"")</f>
        <v>2050</v>
      </c>
      <c r="AC46" s="24">
        <f>IFERROR(INDEX(Cost_Components!$M$2:$M$27,MATCH(E46,Cost_Components!$A$2:$A$27,0)),"")</f>
        <v>30</v>
      </c>
      <c r="AD46" s="24">
        <f>IFERROR(INDEX(Cost_Components!$N$2:$N$27,MATCH(E46,Cost_Components!$A$2:$A$27,0)),"")</f>
        <v>95</v>
      </c>
      <c r="AE46" s="14" t="str">
        <f>IFERROR(INDEX(Cost_Components!$O$2:$O$27,MATCH(E46,Cost_Components!$A$2:$A$27,0)),"")</f>
        <v>Both</v>
      </c>
      <c r="AF46" s="11">
        <v>187345226.171882</v>
      </c>
      <c r="AG46" s="11">
        <v>186522352.06018701</v>
      </c>
      <c r="AH46" s="21">
        <f t="shared" si="9"/>
        <v>1</v>
      </c>
    </row>
    <row r="47" spans="1:34" hidden="1">
      <c r="A47" t="s">
        <v>159</v>
      </c>
      <c r="B47" s="18">
        <v>2044</v>
      </c>
      <c r="C47" t="s">
        <v>159</v>
      </c>
      <c r="E47" s="20" t="s">
        <v>251</v>
      </c>
      <c r="F47" s="20" t="s">
        <v>252</v>
      </c>
      <c r="G47" s="20" t="s">
        <v>168</v>
      </c>
      <c r="H47" s="20" t="s">
        <v>169</v>
      </c>
      <c r="I47" s="20" t="s">
        <v>75</v>
      </c>
      <c r="J47" s="15">
        <f>IFERROR(INDEX(Cost_Components!$K$2:$K$27,MATCH(E47,Cost_Components!$A$2:$A$27,0)),"")</f>
        <v>0.06</v>
      </c>
      <c r="K47" s="15">
        <f t="shared" si="0"/>
        <v>0.68692307692307697</v>
      </c>
      <c r="L47" s="15">
        <f>IFERROR(INDEX(Cost_Components!$S$2:$S$27,MATCH(E47,Cost_Components!$A$2:$A$27,0)),"")</f>
        <v>0.31</v>
      </c>
      <c r="M47" s="26">
        <f>IFERROR(INDEX(Cost_Components!$L$2:$L$27,MATCH(E47,Cost_Components!$A$2:$A$27,0)),"")</f>
        <v>1</v>
      </c>
      <c r="N47" s="27">
        <f>IFERROR(INDEX(Cost_Components!$P$2:$P$27,MATCH(E47,Cost_Components!$A$2:$A$27,0)),"")</f>
        <v>22.229600000000001</v>
      </c>
      <c r="O47" s="21">
        <f t="shared" si="1"/>
        <v>11339550.677346839</v>
      </c>
      <c r="P47" s="21">
        <f t="shared" si="2"/>
        <v>11282970.91799796</v>
      </c>
      <c r="Q47" s="21">
        <f t="shared" si="3"/>
        <v>77752938.398805514</v>
      </c>
      <c r="R47" s="21">
        <f t="shared" si="4"/>
        <v>173155224.94867256</v>
      </c>
      <c r="S47" s="21">
        <f t="shared" si="5"/>
        <v>95402286.549867049</v>
      </c>
      <c r="T47" s="14">
        <f>IFERROR(INDEX(Cost_Components!$R$2:$R$27,MATCH(E47,Cost_Components!$A$2:$A$27,0)),"")</f>
        <v>1</v>
      </c>
      <c r="U47" s="24">
        <f>IFERROR(INDEX(Cost_Components!$Q$2:$Q$27,MATCH(E47,Cost_Components!$A$2:$A$27,0)),"")</f>
        <v>2023</v>
      </c>
      <c r="V47" s="28">
        <f>1/(1+Calculation_Assumptions!$B$5)^(B47-Calculation_Assumptions!$B$2)</f>
        <v>0.57028602681192497</v>
      </c>
      <c r="W47" s="21">
        <f t="shared" si="6"/>
        <v>44341414.312407151</v>
      </c>
      <c r="X47" s="21">
        <f t="shared" si="7"/>
        <v>98748005.257703587</v>
      </c>
      <c r="Y47" s="21">
        <f t="shared" si="8"/>
        <v>54406590.945296429</v>
      </c>
      <c r="Z47" s="15">
        <f>IFERROR(INDEX(Cost_Components!$T$2:$T$27,MATCH(E47,Cost_Components!$A$2:$A$27,0)),"")</f>
        <v>0.8</v>
      </c>
      <c r="AA47" s="24">
        <f>IFERROR(INDEX(Cost_Components!$U$2:$U$27,MATCH(E47,Cost_Components!$A$2:$A$27,0)),"")</f>
        <v>2025</v>
      </c>
      <c r="AB47" s="24">
        <f>IFERROR(INDEX(Cost_Components!$V$2:$V$27,MATCH(E47,Cost_Components!$A$2:$A$27,0)),"")</f>
        <v>2050</v>
      </c>
      <c r="AC47" s="24">
        <f>IFERROR(INDEX(Cost_Components!$M$2:$M$27,MATCH(E47,Cost_Components!$A$2:$A$27,0)),"")</f>
        <v>30</v>
      </c>
      <c r="AD47" s="24">
        <f>IFERROR(INDEX(Cost_Components!$N$2:$N$27,MATCH(E47,Cost_Components!$A$2:$A$27,0)),"")</f>
        <v>95</v>
      </c>
      <c r="AE47" s="14" t="str">
        <f>IFERROR(INDEX(Cost_Components!$O$2:$O$27,MATCH(E47,Cost_Components!$A$2:$A$27,0)),"")</f>
        <v>Both</v>
      </c>
      <c r="AF47" s="11">
        <v>188992511.289114</v>
      </c>
      <c r="AG47" s="11">
        <v>188049515.29996601</v>
      </c>
      <c r="AH47" s="21">
        <f t="shared" si="9"/>
        <v>1</v>
      </c>
    </row>
    <row r="48" spans="1:34" hidden="1">
      <c r="A48" t="s">
        <v>159</v>
      </c>
      <c r="B48" s="18">
        <v>2045</v>
      </c>
      <c r="C48" t="s">
        <v>159</v>
      </c>
      <c r="E48" s="20" t="s">
        <v>251</v>
      </c>
      <c r="F48" s="20" t="s">
        <v>252</v>
      </c>
      <c r="G48" s="20" t="s">
        <v>168</v>
      </c>
      <c r="H48" s="20" t="s">
        <v>169</v>
      </c>
      <c r="I48" s="20" t="s">
        <v>75</v>
      </c>
      <c r="J48" s="15">
        <f>IFERROR(INDEX(Cost_Components!$K$2:$K$27,MATCH(E48,Cost_Components!$A$2:$A$27,0)),"")</f>
        <v>0.06</v>
      </c>
      <c r="K48" s="15">
        <f t="shared" si="0"/>
        <v>0.70576923076923082</v>
      </c>
      <c r="L48" s="15">
        <f>IFERROR(INDEX(Cost_Components!$S$2:$S$27,MATCH(E48,Cost_Components!$A$2:$A$27,0)),"")</f>
        <v>0.31</v>
      </c>
      <c r="M48" s="26">
        <f>IFERROR(INDEX(Cost_Components!$L$2:$L$27,MATCH(E48,Cost_Components!$A$2:$A$27,0)),"")</f>
        <v>1</v>
      </c>
      <c r="N48" s="27">
        <f>IFERROR(INDEX(Cost_Components!$P$2:$P$27,MATCH(E48,Cost_Components!$A$2:$A$27,0)),"")</f>
        <v>22.229600000000001</v>
      </c>
      <c r="O48" s="21">
        <f t="shared" si="1"/>
        <v>11430741.706576798</v>
      </c>
      <c r="P48" s="21">
        <f t="shared" si="2"/>
        <v>11366421.174471898</v>
      </c>
      <c r="Q48" s="21">
        <f t="shared" si="3"/>
        <v>78328008.803412557</v>
      </c>
      <c r="R48" s="21">
        <f t="shared" si="4"/>
        <v>179336537.33359751</v>
      </c>
      <c r="S48" s="21">
        <f t="shared" si="5"/>
        <v>101008528.53018495</v>
      </c>
      <c r="T48" s="14">
        <f>IFERROR(INDEX(Cost_Components!$R$2:$R$27,MATCH(E48,Cost_Components!$A$2:$A$27,0)),"")</f>
        <v>1</v>
      </c>
      <c r="U48" s="24">
        <f>IFERROR(INDEX(Cost_Components!$Q$2:$Q$27,MATCH(E48,Cost_Components!$A$2:$A$27,0)),"")</f>
        <v>2023</v>
      </c>
      <c r="V48" s="28">
        <f>1/(1+Calculation_Assumptions!$B$5)^(B48-Calculation_Assumptions!$B$2)</f>
        <v>0.55367575418633497</v>
      </c>
      <c r="W48" s="21">
        <f t="shared" si="6"/>
        <v>43368319.348143332</v>
      </c>
      <c r="X48" s="21">
        <f t="shared" si="7"/>
        <v>99294292.561345413</v>
      </c>
      <c r="Y48" s="21">
        <f t="shared" si="8"/>
        <v>55925973.213202089</v>
      </c>
      <c r="Z48" s="15">
        <f>IFERROR(INDEX(Cost_Components!$T$2:$T$27,MATCH(E48,Cost_Components!$A$2:$A$27,0)),"")</f>
        <v>0.8</v>
      </c>
      <c r="AA48" s="24">
        <f>IFERROR(INDEX(Cost_Components!$U$2:$U$27,MATCH(E48,Cost_Components!$A$2:$A$27,0)),"")</f>
        <v>2025</v>
      </c>
      <c r="AB48" s="24">
        <f>IFERROR(INDEX(Cost_Components!$V$2:$V$27,MATCH(E48,Cost_Components!$A$2:$A$27,0)),"")</f>
        <v>2050</v>
      </c>
      <c r="AC48" s="24">
        <f>IFERROR(INDEX(Cost_Components!$M$2:$M$27,MATCH(E48,Cost_Components!$A$2:$A$27,0)),"")</f>
        <v>30</v>
      </c>
      <c r="AD48" s="24">
        <f>IFERROR(INDEX(Cost_Components!$N$2:$N$27,MATCH(E48,Cost_Components!$A$2:$A$27,0)),"")</f>
        <v>95</v>
      </c>
      <c r="AE48" s="14" t="str">
        <f>IFERROR(INDEX(Cost_Components!$O$2:$O$27,MATCH(E48,Cost_Components!$A$2:$A$27,0)),"")</f>
        <v>Both</v>
      </c>
      <c r="AF48" s="11">
        <v>190512361.77627999</v>
      </c>
      <c r="AG48" s="11">
        <v>189440352.90786499</v>
      </c>
      <c r="AH48" s="21">
        <f t="shared" si="9"/>
        <v>1</v>
      </c>
    </row>
    <row r="49" spans="1:34" hidden="1">
      <c r="A49" t="s">
        <v>159</v>
      </c>
      <c r="B49" s="18">
        <v>2046</v>
      </c>
      <c r="C49" t="s">
        <v>159</v>
      </c>
      <c r="E49" s="20" t="s">
        <v>251</v>
      </c>
      <c r="F49" s="20" t="s">
        <v>252</v>
      </c>
      <c r="G49" s="20" t="s">
        <v>168</v>
      </c>
      <c r="H49" s="20" t="s">
        <v>169</v>
      </c>
      <c r="I49" s="20" t="s">
        <v>75</v>
      </c>
      <c r="J49" s="15">
        <f>IFERROR(INDEX(Cost_Components!$K$2:$K$27,MATCH(E49,Cost_Components!$A$2:$A$27,0)),"")</f>
        <v>0.06</v>
      </c>
      <c r="K49" s="15">
        <f t="shared" si="0"/>
        <v>0.72461538461538466</v>
      </c>
      <c r="L49" s="15">
        <f>IFERROR(INDEX(Cost_Components!$S$2:$S$27,MATCH(E49,Cost_Components!$A$2:$A$27,0)),"")</f>
        <v>0.31</v>
      </c>
      <c r="M49" s="26">
        <f>IFERROR(INDEX(Cost_Components!$L$2:$L$27,MATCH(E49,Cost_Components!$A$2:$A$27,0)),"")</f>
        <v>1</v>
      </c>
      <c r="N49" s="27">
        <f>IFERROR(INDEX(Cost_Components!$P$2:$P$27,MATCH(E49,Cost_Components!$A$2:$A$27,0)),"")</f>
        <v>22.229600000000001</v>
      </c>
      <c r="O49" s="21">
        <f t="shared" si="1"/>
        <v>11505165.971225219</v>
      </c>
      <c r="P49" s="21">
        <f t="shared" si="2"/>
        <v>11442328.692601979</v>
      </c>
      <c r="Q49" s="21">
        <f t="shared" si="3"/>
        <v>78851100.870570138</v>
      </c>
      <c r="R49" s="21">
        <f t="shared" si="4"/>
        <v>185324179.76958397</v>
      </c>
      <c r="S49" s="21">
        <f t="shared" si="5"/>
        <v>106473078.89901383</v>
      </c>
      <c r="T49" s="14">
        <f>IFERROR(INDEX(Cost_Components!$R$2:$R$27,MATCH(E49,Cost_Components!$A$2:$A$27,0)),"")</f>
        <v>1</v>
      </c>
      <c r="U49" s="24">
        <f>IFERROR(INDEX(Cost_Components!$Q$2:$Q$27,MATCH(E49,Cost_Components!$A$2:$A$27,0)),"")</f>
        <v>2023</v>
      </c>
      <c r="V49" s="28">
        <f>1/(1+Calculation_Assumptions!$B$5)^(B49-Calculation_Assumptions!$B$2)</f>
        <v>0.5375492759090631</v>
      </c>
      <c r="W49" s="21">
        <f t="shared" si="6"/>
        <v>42386352.177607469</v>
      </c>
      <c r="X49" s="21">
        <f t="shared" si="7"/>
        <v>99620878.643580899</v>
      </c>
      <c r="Y49" s="21">
        <f t="shared" si="8"/>
        <v>57234526.465973429</v>
      </c>
      <c r="Z49" s="15">
        <f>IFERROR(INDEX(Cost_Components!$T$2:$T$27,MATCH(E49,Cost_Components!$A$2:$A$27,0)),"")</f>
        <v>0.8</v>
      </c>
      <c r="AA49" s="24">
        <f>IFERROR(INDEX(Cost_Components!$U$2:$U$27,MATCH(E49,Cost_Components!$A$2:$A$27,0)),"")</f>
        <v>2025</v>
      </c>
      <c r="AB49" s="24">
        <f>IFERROR(INDEX(Cost_Components!$V$2:$V$27,MATCH(E49,Cost_Components!$A$2:$A$27,0)),"")</f>
        <v>2050</v>
      </c>
      <c r="AC49" s="24">
        <f>IFERROR(INDEX(Cost_Components!$M$2:$M$27,MATCH(E49,Cost_Components!$A$2:$A$27,0)),"")</f>
        <v>30</v>
      </c>
      <c r="AD49" s="24">
        <f>IFERROR(INDEX(Cost_Components!$N$2:$N$27,MATCH(E49,Cost_Components!$A$2:$A$27,0)),"")</f>
        <v>95</v>
      </c>
      <c r="AE49" s="14" t="str">
        <f>IFERROR(INDEX(Cost_Components!$O$2:$O$27,MATCH(E49,Cost_Components!$A$2:$A$27,0)),"")</f>
        <v>Both</v>
      </c>
      <c r="AF49" s="11">
        <v>191752766.187087</v>
      </c>
      <c r="AG49" s="11">
        <v>190705478.210033</v>
      </c>
      <c r="AH49" s="21">
        <f t="shared" si="9"/>
        <v>1</v>
      </c>
    </row>
    <row r="50" spans="1:34" hidden="1">
      <c r="A50" t="s">
        <v>159</v>
      </c>
      <c r="B50" s="18">
        <v>2047</v>
      </c>
      <c r="C50" t="s">
        <v>159</v>
      </c>
      <c r="E50" s="20" t="s">
        <v>251</v>
      </c>
      <c r="F50" s="20" t="s">
        <v>252</v>
      </c>
      <c r="G50" s="20" t="s">
        <v>168</v>
      </c>
      <c r="H50" s="20" t="s">
        <v>169</v>
      </c>
      <c r="I50" s="20" t="s">
        <v>75</v>
      </c>
      <c r="J50" s="15">
        <f>IFERROR(INDEX(Cost_Components!$K$2:$K$27,MATCH(E50,Cost_Components!$A$2:$A$27,0)),"")</f>
        <v>0.06</v>
      </c>
      <c r="K50" s="15">
        <f t="shared" si="0"/>
        <v>0.74346153846153851</v>
      </c>
      <c r="L50" s="15">
        <f>IFERROR(INDEX(Cost_Components!$S$2:$S$27,MATCH(E50,Cost_Components!$A$2:$A$27,0)),"")</f>
        <v>0.31</v>
      </c>
      <c r="M50" s="26">
        <f>IFERROR(INDEX(Cost_Components!$L$2:$L$27,MATCH(E50,Cost_Components!$A$2:$A$27,0)),"")</f>
        <v>1</v>
      </c>
      <c r="N50" s="27">
        <f>IFERROR(INDEX(Cost_Components!$P$2:$P$27,MATCH(E50,Cost_Components!$A$2:$A$27,0)),"")</f>
        <v>22.229600000000001</v>
      </c>
      <c r="O50" s="21">
        <f t="shared" si="1"/>
        <v>11571483.08757516</v>
      </c>
      <c r="P50" s="21">
        <f t="shared" si="2"/>
        <v>11500377.1111452</v>
      </c>
      <c r="Q50" s="21">
        <f t="shared" si="3"/>
        <v>79251122.739273146</v>
      </c>
      <c r="R50" s="21">
        <f t="shared" si="4"/>
        <v>191240195.5297704</v>
      </c>
      <c r="S50" s="21">
        <f t="shared" si="5"/>
        <v>111989072.79049726</v>
      </c>
      <c r="T50" s="14">
        <f>IFERROR(INDEX(Cost_Components!$R$2:$R$27,MATCH(E50,Cost_Components!$A$2:$A$27,0)),"")</f>
        <v>1</v>
      </c>
      <c r="U50" s="24">
        <f>IFERROR(INDEX(Cost_Components!$Q$2:$Q$27,MATCH(E50,Cost_Components!$A$2:$A$27,0)),"")</f>
        <v>2023</v>
      </c>
      <c r="V50" s="28">
        <f>1/(1+Calculation_Assumptions!$B$5)^(B50-Calculation_Assumptions!$B$2)</f>
        <v>0.52189250088258554</v>
      </c>
      <c r="W50" s="21">
        <f t="shared" si="6"/>
        <v>41360566.644152008</v>
      </c>
      <c r="X50" s="21">
        <f t="shared" si="7"/>
        <v>99806823.914306536</v>
      </c>
      <c r="Y50" s="21">
        <f t="shared" si="8"/>
        <v>58446257.270154528</v>
      </c>
      <c r="Z50" s="15">
        <f>IFERROR(INDEX(Cost_Components!$T$2:$T$27,MATCH(E50,Cost_Components!$A$2:$A$27,0)),"")</f>
        <v>0.8</v>
      </c>
      <c r="AA50" s="24">
        <f>IFERROR(INDEX(Cost_Components!$U$2:$U$27,MATCH(E50,Cost_Components!$A$2:$A$27,0)),"")</f>
        <v>2025</v>
      </c>
      <c r="AB50" s="24">
        <f>IFERROR(INDEX(Cost_Components!$V$2:$V$27,MATCH(E50,Cost_Components!$A$2:$A$27,0)),"")</f>
        <v>2050</v>
      </c>
      <c r="AC50" s="24">
        <f>IFERROR(INDEX(Cost_Components!$M$2:$M$27,MATCH(E50,Cost_Components!$A$2:$A$27,0)),"")</f>
        <v>30</v>
      </c>
      <c r="AD50" s="24">
        <f>IFERROR(INDEX(Cost_Components!$N$2:$N$27,MATCH(E50,Cost_Components!$A$2:$A$27,0)),"")</f>
        <v>95</v>
      </c>
      <c r="AE50" s="14" t="str">
        <f>IFERROR(INDEX(Cost_Components!$O$2:$O$27,MATCH(E50,Cost_Components!$A$2:$A$27,0)),"")</f>
        <v>Both</v>
      </c>
      <c r="AF50" s="11">
        <v>192858051.45958599</v>
      </c>
      <c r="AG50" s="11">
        <v>191672951.85242</v>
      </c>
      <c r="AH50" s="21">
        <f t="shared" si="9"/>
        <v>1</v>
      </c>
    </row>
    <row r="51" spans="1:34" hidden="1">
      <c r="A51" t="s">
        <v>159</v>
      </c>
      <c r="B51" s="18">
        <v>2048</v>
      </c>
      <c r="C51" t="s">
        <v>159</v>
      </c>
      <c r="E51" s="20" t="s">
        <v>251</v>
      </c>
      <c r="F51" s="20" t="s">
        <v>252</v>
      </c>
      <c r="G51" s="20" t="s">
        <v>168</v>
      </c>
      <c r="H51" s="20" t="s">
        <v>169</v>
      </c>
      <c r="I51" s="20" t="s">
        <v>75</v>
      </c>
      <c r="J51" s="15">
        <f>IFERROR(INDEX(Cost_Components!$K$2:$K$27,MATCH(E51,Cost_Components!$A$2:$A$27,0)),"")</f>
        <v>0.06</v>
      </c>
      <c r="K51" s="15">
        <f t="shared" si="0"/>
        <v>0.76230769230769235</v>
      </c>
      <c r="L51" s="15">
        <f>IFERROR(INDEX(Cost_Components!$S$2:$S$27,MATCH(E51,Cost_Components!$A$2:$A$27,0)),"")</f>
        <v>0.31</v>
      </c>
      <c r="M51" s="26">
        <f>IFERROR(INDEX(Cost_Components!$L$2:$L$27,MATCH(E51,Cost_Components!$A$2:$A$27,0)),"")</f>
        <v>1</v>
      </c>
      <c r="N51" s="27">
        <f>IFERROR(INDEX(Cost_Components!$P$2:$P$27,MATCH(E51,Cost_Components!$A$2:$A$27,0)),"")</f>
        <v>22.229600000000001</v>
      </c>
      <c r="O51" s="21">
        <f t="shared" si="1"/>
        <v>11630698.045143239</v>
      </c>
      <c r="P51" s="21">
        <f t="shared" si="2"/>
        <v>11550881.61377232</v>
      </c>
      <c r="Q51" s="21">
        <f t="shared" si="3"/>
        <v>79599158.155669078</v>
      </c>
      <c r="R51" s="21">
        <f t="shared" si="4"/>
        <v>197091425.67456716</v>
      </c>
      <c r="S51" s="21">
        <f t="shared" si="5"/>
        <v>117492267.51889808</v>
      </c>
      <c r="T51" s="14">
        <f>IFERROR(INDEX(Cost_Components!$R$2:$R$27,MATCH(E51,Cost_Components!$A$2:$A$27,0)),"")</f>
        <v>1</v>
      </c>
      <c r="U51" s="24">
        <f>IFERROR(INDEX(Cost_Components!$Q$2:$Q$27,MATCH(E51,Cost_Components!$A$2:$A$27,0)),"")</f>
        <v>2023</v>
      </c>
      <c r="V51" s="28">
        <f>1/(1+Calculation_Assumptions!$B$5)^(B51-Calculation_Assumptions!$B$2)</f>
        <v>0.50669174842969467</v>
      </c>
      <c r="W51" s="21">
        <f t="shared" si="6"/>
        <v>40332236.619427755</v>
      </c>
      <c r="X51" s="21">
        <f t="shared" si="7"/>
        <v>99864599.07554765</v>
      </c>
      <c r="Y51" s="21">
        <f t="shared" si="8"/>
        <v>59532362.456119895</v>
      </c>
      <c r="Z51" s="15">
        <f>IFERROR(INDEX(Cost_Components!$T$2:$T$27,MATCH(E51,Cost_Components!$A$2:$A$27,0)),"")</f>
        <v>0.8</v>
      </c>
      <c r="AA51" s="24">
        <f>IFERROR(INDEX(Cost_Components!$U$2:$U$27,MATCH(E51,Cost_Components!$A$2:$A$27,0)),"")</f>
        <v>2025</v>
      </c>
      <c r="AB51" s="24">
        <f>IFERROR(INDEX(Cost_Components!$V$2:$V$27,MATCH(E51,Cost_Components!$A$2:$A$27,0)),"")</f>
        <v>2050</v>
      </c>
      <c r="AC51" s="24">
        <f>IFERROR(INDEX(Cost_Components!$M$2:$M$27,MATCH(E51,Cost_Components!$A$2:$A$27,0)),"")</f>
        <v>30</v>
      </c>
      <c r="AD51" s="24">
        <f>IFERROR(INDEX(Cost_Components!$N$2:$N$27,MATCH(E51,Cost_Components!$A$2:$A$27,0)),"")</f>
        <v>95</v>
      </c>
      <c r="AE51" s="14" t="str">
        <f>IFERROR(INDEX(Cost_Components!$O$2:$O$27,MATCH(E51,Cost_Components!$A$2:$A$27,0)),"")</f>
        <v>Both</v>
      </c>
      <c r="AF51" s="11">
        <v>193844967.419054</v>
      </c>
      <c r="AG51" s="11">
        <v>192514693.56287199</v>
      </c>
      <c r="AH51" s="21">
        <f t="shared" si="9"/>
        <v>1</v>
      </c>
    </row>
    <row r="52" spans="1:34" hidden="1">
      <c r="A52" t="s">
        <v>159</v>
      </c>
      <c r="B52" s="18">
        <v>2049</v>
      </c>
      <c r="C52" t="s">
        <v>159</v>
      </c>
      <c r="E52" s="20" t="s">
        <v>251</v>
      </c>
      <c r="F52" s="20" t="s">
        <v>252</v>
      </c>
      <c r="G52" s="20" t="s">
        <v>168</v>
      </c>
      <c r="H52" s="20" t="s">
        <v>169</v>
      </c>
      <c r="I52" s="20" t="s">
        <v>75</v>
      </c>
      <c r="J52" s="15">
        <f>IFERROR(INDEX(Cost_Components!$K$2:$K$27,MATCH(E52,Cost_Components!$A$2:$A$27,0)),"")</f>
        <v>0.06</v>
      </c>
      <c r="K52" s="15">
        <f t="shared" si="0"/>
        <v>0.7811538461538462</v>
      </c>
      <c r="L52" s="15">
        <f>IFERROR(INDEX(Cost_Components!$S$2:$S$27,MATCH(E52,Cost_Components!$A$2:$A$27,0)),"")</f>
        <v>0.31</v>
      </c>
      <c r="M52" s="26">
        <f>IFERROR(INDEX(Cost_Components!$L$2:$L$27,MATCH(E52,Cost_Components!$A$2:$A$27,0)),"")</f>
        <v>1</v>
      </c>
      <c r="N52" s="27">
        <f>IFERROR(INDEX(Cost_Components!$P$2:$P$27,MATCH(E52,Cost_Components!$A$2:$A$27,0)),"")</f>
        <v>22.229600000000001</v>
      </c>
      <c r="O52" s="21">
        <f t="shared" si="1"/>
        <v>11684694.97829904</v>
      </c>
      <c r="P52" s="21">
        <f t="shared" si="2"/>
        <v>11595733.195267679</v>
      </c>
      <c r="Q52" s="21">
        <f t="shared" si="3"/>
        <v>79908238.297631949</v>
      </c>
      <c r="R52" s="21">
        <f t="shared" si="4"/>
        <v>202901661.51514238</v>
      </c>
      <c r="S52" s="21">
        <f t="shared" si="5"/>
        <v>122993423.21751043</v>
      </c>
      <c r="T52" s="14">
        <f>IFERROR(INDEX(Cost_Components!$R$2:$R$27,MATCH(E52,Cost_Components!$A$2:$A$27,0)),"")</f>
        <v>1</v>
      </c>
      <c r="U52" s="24">
        <f>IFERROR(INDEX(Cost_Components!$Q$2:$Q$27,MATCH(E52,Cost_Components!$A$2:$A$27,0)),"")</f>
        <v>2023</v>
      </c>
      <c r="V52" s="28">
        <f>1/(1+Calculation_Assumptions!$B$5)^(B52-Calculation_Assumptions!$B$2)</f>
        <v>0.49193373633950943</v>
      </c>
      <c r="W52" s="21">
        <f t="shared" si="6"/>
        <v>39309558.230061963</v>
      </c>
      <c r="X52" s="21">
        <f t="shared" si="7"/>
        <v>99814172.458638445</v>
      </c>
      <c r="Y52" s="21">
        <f t="shared" si="8"/>
        <v>60504614.228576474</v>
      </c>
      <c r="Z52" s="15">
        <f>IFERROR(INDEX(Cost_Components!$T$2:$T$27,MATCH(E52,Cost_Components!$A$2:$A$27,0)),"")</f>
        <v>0.8</v>
      </c>
      <c r="AA52" s="24">
        <f>IFERROR(INDEX(Cost_Components!$U$2:$U$27,MATCH(E52,Cost_Components!$A$2:$A$27,0)),"")</f>
        <v>2025</v>
      </c>
      <c r="AB52" s="24">
        <f>IFERROR(INDEX(Cost_Components!$V$2:$V$27,MATCH(E52,Cost_Components!$A$2:$A$27,0)),"")</f>
        <v>2050</v>
      </c>
      <c r="AC52" s="24">
        <f>IFERROR(INDEX(Cost_Components!$M$2:$M$27,MATCH(E52,Cost_Components!$A$2:$A$27,0)),"")</f>
        <v>30</v>
      </c>
      <c r="AD52" s="24">
        <f>IFERROR(INDEX(Cost_Components!$N$2:$N$27,MATCH(E52,Cost_Components!$A$2:$A$27,0)),"")</f>
        <v>95</v>
      </c>
      <c r="AE52" s="14" t="str">
        <f>IFERROR(INDEX(Cost_Components!$O$2:$O$27,MATCH(E52,Cost_Components!$A$2:$A$27,0)),"")</f>
        <v>Both</v>
      </c>
      <c r="AF52" s="11">
        <v>194744916.304984</v>
      </c>
      <c r="AG52" s="11">
        <v>193262219.921128</v>
      </c>
      <c r="AH52" s="21">
        <f t="shared" si="9"/>
        <v>1</v>
      </c>
    </row>
    <row r="53" spans="1:34" hidden="1">
      <c r="A53" t="s">
        <v>159</v>
      </c>
      <c r="B53" s="18">
        <v>2050</v>
      </c>
      <c r="C53" t="s">
        <v>159</v>
      </c>
      <c r="E53" s="20" t="s">
        <v>251</v>
      </c>
      <c r="F53" s="20" t="s">
        <v>252</v>
      </c>
      <c r="G53" s="20" t="s">
        <v>168</v>
      </c>
      <c r="H53" s="20" t="s">
        <v>169</v>
      </c>
      <c r="I53" s="20" t="s">
        <v>75</v>
      </c>
      <c r="J53" s="15">
        <f>IFERROR(INDEX(Cost_Components!$K$2:$K$27,MATCH(E53,Cost_Components!$A$2:$A$27,0)),"")</f>
        <v>0.06</v>
      </c>
      <c r="K53" s="15">
        <f t="shared" si="0"/>
        <v>0.8</v>
      </c>
      <c r="L53" s="15">
        <f>IFERROR(INDEX(Cost_Components!$S$2:$S$27,MATCH(E53,Cost_Components!$A$2:$A$27,0)),"")</f>
        <v>0.31</v>
      </c>
      <c r="M53" s="26">
        <f>IFERROR(INDEX(Cost_Components!$L$2:$L$27,MATCH(E53,Cost_Components!$A$2:$A$27,0)),"")</f>
        <v>1</v>
      </c>
      <c r="N53" s="27">
        <f>IFERROR(INDEX(Cost_Components!$P$2:$P$27,MATCH(E53,Cost_Components!$A$2:$A$27,0)),"")</f>
        <v>22.229600000000001</v>
      </c>
      <c r="O53" s="21">
        <f t="shared" si="1"/>
        <v>11736193.022944558</v>
      </c>
      <c r="P53" s="21">
        <f t="shared" si="2"/>
        <v>11637660.13943694</v>
      </c>
      <c r="Q53" s="21">
        <f t="shared" si="3"/>
        <v>80197164.249044508</v>
      </c>
      <c r="R53" s="21">
        <f t="shared" si="4"/>
        <v>208712701.13827872</v>
      </c>
      <c r="S53" s="21">
        <f t="shared" si="5"/>
        <v>128515536.88923422</v>
      </c>
      <c r="T53" s="14">
        <f>IFERROR(INDEX(Cost_Components!$R$2:$R$27,MATCH(E53,Cost_Components!$A$2:$A$27,0)),"")</f>
        <v>1</v>
      </c>
      <c r="U53" s="24">
        <f>IFERROR(INDEX(Cost_Components!$Q$2:$Q$27,MATCH(E53,Cost_Components!$A$2:$A$27,0)),"")</f>
        <v>2023</v>
      </c>
      <c r="V53" s="28">
        <f>1/(1+Calculation_Assumptions!$B$5)^(B53-Calculation_Assumptions!$B$2)</f>
        <v>0.47760556926165965</v>
      </c>
      <c r="W53" s="21">
        <f t="shared" si="6"/>
        <v>38302612.284335725</v>
      </c>
      <c r="X53" s="21">
        <f t="shared" si="7"/>
        <v>99682348.439286247</v>
      </c>
      <c r="Y53" s="21">
        <f t="shared" si="8"/>
        <v>61379736.154950529</v>
      </c>
      <c r="Z53" s="15">
        <f>IFERROR(INDEX(Cost_Components!$T$2:$T$27,MATCH(E53,Cost_Components!$A$2:$A$27,0)),"")</f>
        <v>0.8</v>
      </c>
      <c r="AA53" s="24">
        <f>IFERROR(INDEX(Cost_Components!$U$2:$U$27,MATCH(E53,Cost_Components!$A$2:$A$27,0)),"")</f>
        <v>2025</v>
      </c>
      <c r="AB53" s="24">
        <f>IFERROR(INDEX(Cost_Components!$V$2:$V$27,MATCH(E53,Cost_Components!$A$2:$A$27,0)),"")</f>
        <v>2050</v>
      </c>
      <c r="AC53" s="24">
        <f>IFERROR(INDEX(Cost_Components!$M$2:$M$27,MATCH(E53,Cost_Components!$A$2:$A$27,0)),"")</f>
        <v>30</v>
      </c>
      <c r="AD53" s="24">
        <f>IFERROR(INDEX(Cost_Components!$N$2:$N$27,MATCH(E53,Cost_Components!$A$2:$A$27,0)),"")</f>
        <v>95</v>
      </c>
      <c r="AE53" s="14" t="str">
        <f>IFERROR(INDEX(Cost_Components!$O$2:$O$27,MATCH(E53,Cost_Components!$A$2:$A$27,0)),"")</f>
        <v>Both</v>
      </c>
      <c r="AF53" s="11">
        <v>195603217.04907599</v>
      </c>
      <c r="AG53" s="11">
        <v>193961002.32394901</v>
      </c>
      <c r="AH53" s="21">
        <f t="shared" si="9"/>
        <v>1</v>
      </c>
    </row>
    <row r="54" spans="1:34" hidden="1">
      <c r="A54" t="s">
        <v>183</v>
      </c>
      <c r="B54" s="18">
        <v>2025</v>
      </c>
      <c r="C54" t="s">
        <v>183</v>
      </c>
      <c r="D54" t="s">
        <v>187</v>
      </c>
      <c r="E54" s="20" t="s">
        <v>260</v>
      </c>
      <c r="F54" s="20" t="s">
        <v>261</v>
      </c>
      <c r="G54" s="20" t="s">
        <v>184</v>
      </c>
      <c r="H54" s="20" t="s">
        <v>192</v>
      </c>
      <c r="I54" s="20" t="s">
        <v>264</v>
      </c>
      <c r="J54" s="15">
        <f>IFERROR(INDEX(Cost_Components!$K$2:$K$27,MATCH(E54,Cost_Components!$A$2:$A$27,0)),"")</f>
        <v>0.5</v>
      </c>
      <c r="K54" s="15">
        <f t="shared" si="0"/>
        <v>0.32884615384615384</v>
      </c>
      <c r="L54" s="15">
        <f>IFERROR(INDEX(Cost_Components!$S$2:$S$27,MATCH(E54,Cost_Components!$A$2:$A$27,0)),"")</f>
        <v>0.31</v>
      </c>
      <c r="M54" s="26">
        <f>IFERROR(INDEX(Cost_Components!$L$2:$L$27,MATCH(E54,Cost_Components!$A$2:$A$27,0)),"")</f>
        <v>1</v>
      </c>
      <c r="N54" s="27">
        <f>IFERROR(INDEX(Cost_Components!$P$2:$P$27,MATCH(E54,Cost_Components!$A$2:$A$27,0)),"")</f>
        <v>282.51283599999999</v>
      </c>
      <c r="O54" s="21">
        <f t="shared" si="1"/>
        <v>26783.513972580899</v>
      </c>
      <c r="P54" s="21">
        <f t="shared" si="2"/>
        <v>26769.299265264752</v>
      </c>
      <c r="Q54" s="21">
        <f t="shared" si="3"/>
        <v>2344427.9024804248</v>
      </c>
      <c r="R54" s="21">
        <f t="shared" si="4"/>
        <v>2488275.7497406667</v>
      </c>
      <c r="S54" s="21">
        <f t="shared" si="5"/>
        <v>143847.84726024186</v>
      </c>
      <c r="T54" s="14">
        <f>IFERROR(INDEX(Cost_Components!$R$2:$R$27,MATCH(E54,Cost_Components!$A$2:$A$27,0)),"")</f>
        <v>1</v>
      </c>
      <c r="U54" s="24">
        <f>IFERROR(INDEX(Cost_Components!$Q$2:$Q$27,MATCH(E54,Cost_Components!$A$2:$A$27,0)),"")</f>
        <v>2023</v>
      </c>
      <c r="V54" s="28">
        <f>1/(1+Calculation_Assumptions!$B$5)^(B54-Calculation_Assumptions!$B$2)</f>
        <v>1</v>
      </c>
      <c r="W54" s="21">
        <f t="shared" si="6"/>
        <v>2344427.9024804248</v>
      </c>
      <c r="X54" s="21">
        <f t="shared" si="7"/>
        <v>2488275.7497406667</v>
      </c>
      <c r="Y54" s="21">
        <f t="shared" si="8"/>
        <v>143847.84726024186</v>
      </c>
      <c r="Z54" s="15">
        <f>IFERROR(INDEX(Cost_Components!$T$2:$T$27,MATCH(E54,Cost_Components!$A$2:$A$27,0)),"")</f>
        <v>0.8</v>
      </c>
      <c r="AA54" s="24">
        <f>IFERROR(INDEX(Cost_Components!$U$2:$U$27,MATCH(E54,Cost_Components!$A$2:$A$27,0)),"")</f>
        <v>2025</v>
      </c>
      <c r="AB54" s="24">
        <f>IFERROR(INDEX(Cost_Components!$V$2:$V$27,MATCH(E54,Cost_Components!$A$2:$A$27,0)),"")</f>
        <v>2050</v>
      </c>
      <c r="AC54" s="24">
        <f>IFERROR(INDEX(Cost_Components!$M$2:$M$27,MATCH(E54,Cost_Components!$A$2:$A$27,0)),"")</f>
        <v>30</v>
      </c>
      <c r="AD54" s="24">
        <f>IFERROR(INDEX(Cost_Components!$N$2:$N$27,MATCH(E54,Cost_Components!$A$2:$A$27,0)),"")</f>
        <v>95</v>
      </c>
      <c r="AE54" s="14" t="str">
        <f>IFERROR(INDEX(Cost_Components!$O$2:$O$27,MATCH(E54,Cost_Components!$A$2:$A$27,0)),"")</f>
        <v>Both</v>
      </c>
      <c r="AF54" s="11">
        <v>53567.027945161797</v>
      </c>
      <c r="AG54" s="11">
        <v>53538.598530529503</v>
      </c>
      <c r="AH54" s="21">
        <f t="shared" si="9"/>
        <v>1</v>
      </c>
    </row>
    <row r="55" spans="1:34" hidden="1">
      <c r="A55" t="s">
        <v>183</v>
      </c>
      <c r="B55" s="18">
        <v>2026</v>
      </c>
      <c r="C55" t="s">
        <v>183</v>
      </c>
      <c r="D55" t="s">
        <v>187</v>
      </c>
      <c r="E55" s="20" t="s">
        <v>260</v>
      </c>
      <c r="F55" s="20" t="s">
        <v>261</v>
      </c>
      <c r="G55" s="20" t="s">
        <v>184</v>
      </c>
      <c r="H55" s="20" t="s">
        <v>192</v>
      </c>
      <c r="I55" s="20" t="s">
        <v>264</v>
      </c>
      <c r="J55" s="15">
        <f>IFERROR(INDEX(Cost_Components!$K$2:$K$27,MATCH(E55,Cost_Components!$A$2:$A$27,0)),"")</f>
        <v>0.5</v>
      </c>
      <c r="K55" s="15">
        <f t="shared" si="0"/>
        <v>0.34769230769230769</v>
      </c>
      <c r="L55" s="15">
        <f>IFERROR(INDEX(Cost_Components!$S$2:$S$27,MATCH(E55,Cost_Components!$A$2:$A$27,0)),"")</f>
        <v>0.31</v>
      </c>
      <c r="M55" s="26">
        <f>IFERROR(INDEX(Cost_Components!$L$2:$L$27,MATCH(E55,Cost_Components!$A$2:$A$27,0)),"")</f>
        <v>1</v>
      </c>
      <c r="N55" s="27">
        <f>IFERROR(INDEX(Cost_Components!$P$2:$P$27,MATCH(E55,Cost_Components!$A$2:$A$27,0)),"")</f>
        <v>282.51283599999999</v>
      </c>
      <c r="O55" s="21">
        <f t="shared" si="1"/>
        <v>27823.179991440051</v>
      </c>
      <c r="P55" s="21">
        <f t="shared" si="2"/>
        <v>27782.591484029748</v>
      </c>
      <c r="Q55" s="21">
        <f t="shared" si="3"/>
        <v>2433171.0005906345</v>
      </c>
      <c r="R55" s="21">
        <f t="shared" si="4"/>
        <v>2733002.5227968642</v>
      </c>
      <c r="S55" s="21">
        <f t="shared" si="5"/>
        <v>299831.52220622962</v>
      </c>
      <c r="T55" s="14">
        <f>IFERROR(INDEX(Cost_Components!$R$2:$R$27,MATCH(E55,Cost_Components!$A$2:$A$27,0)),"")</f>
        <v>1</v>
      </c>
      <c r="U55" s="24">
        <f>IFERROR(INDEX(Cost_Components!$Q$2:$Q$27,MATCH(E55,Cost_Components!$A$2:$A$27,0)),"")</f>
        <v>2023</v>
      </c>
      <c r="V55" s="28">
        <f>1/(1+Calculation_Assumptions!$B$5)^(B55-Calculation_Assumptions!$B$2)</f>
        <v>0.970873786407767</v>
      </c>
      <c r="W55" s="21">
        <f t="shared" si="6"/>
        <v>2362301.9423210043</v>
      </c>
      <c r="X55" s="21">
        <f t="shared" si="7"/>
        <v>2653400.5075697713</v>
      </c>
      <c r="Y55" s="21">
        <f t="shared" si="8"/>
        <v>291098.56524876662</v>
      </c>
      <c r="Z55" s="15">
        <f>IFERROR(INDEX(Cost_Components!$T$2:$T$27,MATCH(E55,Cost_Components!$A$2:$A$27,0)),"")</f>
        <v>0.8</v>
      </c>
      <c r="AA55" s="24">
        <f>IFERROR(INDEX(Cost_Components!$U$2:$U$27,MATCH(E55,Cost_Components!$A$2:$A$27,0)),"")</f>
        <v>2025</v>
      </c>
      <c r="AB55" s="24">
        <f>IFERROR(INDEX(Cost_Components!$V$2:$V$27,MATCH(E55,Cost_Components!$A$2:$A$27,0)),"")</f>
        <v>2050</v>
      </c>
      <c r="AC55" s="24">
        <f>IFERROR(INDEX(Cost_Components!$M$2:$M$27,MATCH(E55,Cost_Components!$A$2:$A$27,0)),"")</f>
        <v>30</v>
      </c>
      <c r="AD55" s="24">
        <f>IFERROR(INDEX(Cost_Components!$N$2:$N$27,MATCH(E55,Cost_Components!$A$2:$A$27,0)),"")</f>
        <v>95</v>
      </c>
      <c r="AE55" s="14" t="str">
        <f>IFERROR(INDEX(Cost_Components!$O$2:$O$27,MATCH(E55,Cost_Components!$A$2:$A$27,0)),"")</f>
        <v>Both</v>
      </c>
      <c r="AF55" s="11">
        <v>55646.359982880102</v>
      </c>
      <c r="AG55" s="11">
        <v>55565.182968059496</v>
      </c>
      <c r="AH55" s="21">
        <f t="shared" si="9"/>
        <v>1</v>
      </c>
    </row>
    <row r="56" spans="1:34" hidden="1">
      <c r="A56" t="s">
        <v>183</v>
      </c>
      <c r="B56" s="18">
        <v>2027</v>
      </c>
      <c r="C56" t="s">
        <v>183</v>
      </c>
      <c r="D56" t="s">
        <v>187</v>
      </c>
      <c r="E56" s="20" t="s">
        <v>260</v>
      </c>
      <c r="F56" s="20" t="s">
        <v>261</v>
      </c>
      <c r="G56" s="20" t="s">
        <v>184</v>
      </c>
      <c r="H56" s="20" t="s">
        <v>192</v>
      </c>
      <c r="I56" s="20" t="s">
        <v>264</v>
      </c>
      <c r="J56" s="15">
        <f>IFERROR(INDEX(Cost_Components!$K$2:$K$27,MATCH(E56,Cost_Components!$A$2:$A$27,0)),"")</f>
        <v>0.5</v>
      </c>
      <c r="K56" s="15">
        <f t="shared" si="0"/>
        <v>0.36653846153846154</v>
      </c>
      <c r="L56" s="15">
        <f>IFERROR(INDEX(Cost_Components!$S$2:$S$27,MATCH(E56,Cost_Components!$A$2:$A$27,0)),"")</f>
        <v>0.31</v>
      </c>
      <c r="M56" s="26">
        <f>IFERROR(INDEX(Cost_Components!$L$2:$L$27,MATCH(E56,Cost_Components!$A$2:$A$27,0)),"")</f>
        <v>1</v>
      </c>
      <c r="N56" s="27">
        <f>IFERROR(INDEX(Cost_Components!$P$2:$P$27,MATCH(E56,Cost_Components!$A$2:$A$27,0)),"")</f>
        <v>282.51283599999999</v>
      </c>
      <c r="O56" s="21">
        <f t="shared" si="1"/>
        <v>28863.126869578351</v>
      </c>
      <c r="P56" s="21">
        <f t="shared" si="2"/>
        <v>28785.514741586601</v>
      </c>
      <c r="Q56" s="21">
        <f t="shared" si="3"/>
        <v>2521005.9956632857</v>
      </c>
      <c r="R56" s="21">
        <f t="shared" si="4"/>
        <v>2988829.3260953925</v>
      </c>
      <c r="S56" s="21">
        <f t="shared" si="5"/>
        <v>467823.33043210674</v>
      </c>
      <c r="T56" s="14">
        <f>IFERROR(INDEX(Cost_Components!$R$2:$R$27,MATCH(E56,Cost_Components!$A$2:$A$27,0)),"")</f>
        <v>1</v>
      </c>
      <c r="U56" s="24">
        <f>IFERROR(INDEX(Cost_Components!$Q$2:$Q$27,MATCH(E56,Cost_Components!$A$2:$A$27,0)),"")</f>
        <v>2023</v>
      </c>
      <c r="V56" s="28">
        <f>1/(1+Calculation_Assumptions!$B$5)^(B56-Calculation_Assumptions!$B$2)</f>
        <v>0.94259590913375435</v>
      </c>
      <c r="W56" s="21">
        <f t="shared" si="6"/>
        <v>2376289.9384138803</v>
      </c>
      <c r="X56" s="21">
        <f t="shared" si="7"/>
        <v>2817258.2958765128</v>
      </c>
      <c r="Y56" s="21">
        <f t="shared" si="8"/>
        <v>440968.35746263241</v>
      </c>
      <c r="Z56" s="15">
        <f>IFERROR(INDEX(Cost_Components!$T$2:$T$27,MATCH(E56,Cost_Components!$A$2:$A$27,0)),"")</f>
        <v>0.8</v>
      </c>
      <c r="AA56" s="24">
        <f>IFERROR(INDEX(Cost_Components!$U$2:$U$27,MATCH(E56,Cost_Components!$A$2:$A$27,0)),"")</f>
        <v>2025</v>
      </c>
      <c r="AB56" s="24">
        <f>IFERROR(INDEX(Cost_Components!$V$2:$V$27,MATCH(E56,Cost_Components!$A$2:$A$27,0)),"")</f>
        <v>2050</v>
      </c>
      <c r="AC56" s="24">
        <f>IFERROR(INDEX(Cost_Components!$M$2:$M$27,MATCH(E56,Cost_Components!$A$2:$A$27,0)),"")</f>
        <v>30</v>
      </c>
      <c r="AD56" s="24">
        <f>IFERROR(INDEX(Cost_Components!$N$2:$N$27,MATCH(E56,Cost_Components!$A$2:$A$27,0)),"")</f>
        <v>95</v>
      </c>
      <c r="AE56" s="14" t="str">
        <f>IFERROR(INDEX(Cost_Components!$O$2:$O$27,MATCH(E56,Cost_Components!$A$2:$A$27,0)),"")</f>
        <v>Both</v>
      </c>
      <c r="AF56" s="11">
        <v>57726.253739156702</v>
      </c>
      <c r="AG56" s="11">
        <v>57571.029483173203</v>
      </c>
      <c r="AH56" s="21">
        <f t="shared" si="9"/>
        <v>1</v>
      </c>
    </row>
    <row r="57" spans="1:34" hidden="1">
      <c r="A57" t="s">
        <v>183</v>
      </c>
      <c r="B57" s="18">
        <v>2028</v>
      </c>
      <c r="C57" t="s">
        <v>183</v>
      </c>
      <c r="D57" t="s">
        <v>187</v>
      </c>
      <c r="E57" s="20" t="s">
        <v>260</v>
      </c>
      <c r="F57" s="20" t="s">
        <v>261</v>
      </c>
      <c r="G57" s="20" t="s">
        <v>184</v>
      </c>
      <c r="H57" s="20" t="s">
        <v>192</v>
      </c>
      <c r="I57" s="20" t="s">
        <v>264</v>
      </c>
      <c r="J57" s="15">
        <f>IFERROR(INDEX(Cost_Components!$K$2:$K$27,MATCH(E57,Cost_Components!$A$2:$A$27,0)),"")</f>
        <v>0.5</v>
      </c>
      <c r="K57" s="15">
        <f t="shared" si="0"/>
        <v>0.38538461538461538</v>
      </c>
      <c r="L57" s="15">
        <f>IFERROR(INDEX(Cost_Components!$S$2:$S$27,MATCH(E57,Cost_Components!$A$2:$A$27,0)),"")</f>
        <v>0.31</v>
      </c>
      <c r="M57" s="26">
        <f>IFERROR(INDEX(Cost_Components!$L$2:$L$27,MATCH(E57,Cost_Components!$A$2:$A$27,0)),"")</f>
        <v>1</v>
      </c>
      <c r="N57" s="27">
        <f>IFERROR(INDEX(Cost_Components!$P$2:$P$27,MATCH(E57,Cost_Components!$A$2:$A$27,0)),"")</f>
        <v>282.51283599999999</v>
      </c>
      <c r="O57" s="21">
        <f t="shared" si="1"/>
        <v>29889.1421731505</v>
      </c>
      <c r="P57" s="21">
        <f t="shared" si="2"/>
        <v>29765.000522030052</v>
      </c>
      <c r="Q57" s="21">
        <f t="shared" si="3"/>
        <v>2606788.3604162592</v>
      </c>
      <c r="R57" s="21">
        <f t="shared" si="4"/>
        <v>3254213.2513791686</v>
      </c>
      <c r="S57" s="21">
        <f t="shared" si="5"/>
        <v>647424.89096290944</v>
      </c>
      <c r="T57" s="14">
        <f>IFERROR(INDEX(Cost_Components!$R$2:$R$27,MATCH(E57,Cost_Components!$A$2:$A$27,0)),"")</f>
        <v>1</v>
      </c>
      <c r="U57" s="24">
        <f>IFERROR(INDEX(Cost_Components!$Q$2:$Q$27,MATCH(E57,Cost_Components!$A$2:$A$27,0)),"")</f>
        <v>2023</v>
      </c>
      <c r="V57" s="28">
        <f>1/(1+Calculation_Assumptions!$B$5)^(B57-Calculation_Assumptions!$B$2)</f>
        <v>0.91514165935315961</v>
      </c>
      <c r="W57" s="21">
        <f t="shared" si="6"/>
        <v>2385580.6257338375</v>
      </c>
      <c r="X57" s="21">
        <f t="shared" si="7"/>
        <v>2978066.114756173</v>
      </c>
      <c r="Y57" s="21">
        <f t="shared" si="8"/>
        <v>592485.48902233539</v>
      </c>
      <c r="Z57" s="15">
        <f>IFERROR(INDEX(Cost_Components!$T$2:$T$27,MATCH(E57,Cost_Components!$A$2:$A$27,0)),"")</f>
        <v>0.8</v>
      </c>
      <c r="AA57" s="24">
        <f>IFERROR(INDEX(Cost_Components!$U$2:$U$27,MATCH(E57,Cost_Components!$A$2:$A$27,0)),"")</f>
        <v>2025</v>
      </c>
      <c r="AB57" s="24">
        <f>IFERROR(INDEX(Cost_Components!$V$2:$V$27,MATCH(E57,Cost_Components!$A$2:$A$27,0)),"")</f>
        <v>2050</v>
      </c>
      <c r="AC57" s="24">
        <f>IFERROR(INDEX(Cost_Components!$M$2:$M$27,MATCH(E57,Cost_Components!$A$2:$A$27,0)),"")</f>
        <v>30</v>
      </c>
      <c r="AD57" s="24">
        <f>IFERROR(INDEX(Cost_Components!$N$2:$N$27,MATCH(E57,Cost_Components!$A$2:$A$27,0)),"")</f>
        <v>95</v>
      </c>
      <c r="AE57" s="14" t="str">
        <f>IFERROR(INDEX(Cost_Components!$O$2:$O$27,MATCH(E57,Cost_Components!$A$2:$A$27,0)),"")</f>
        <v>Both</v>
      </c>
      <c r="AF57" s="11">
        <v>59778.284346300999</v>
      </c>
      <c r="AG57" s="11">
        <v>59530.001044060104</v>
      </c>
      <c r="AH57" s="21">
        <f t="shared" si="9"/>
        <v>1</v>
      </c>
    </row>
    <row r="58" spans="1:34" hidden="1">
      <c r="A58" t="s">
        <v>183</v>
      </c>
      <c r="B58" s="18">
        <v>2029</v>
      </c>
      <c r="C58" t="s">
        <v>183</v>
      </c>
      <c r="D58" t="s">
        <v>187</v>
      </c>
      <c r="E58" s="20" t="s">
        <v>260</v>
      </c>
      <c r="F58" s="20" t="s">
        <v>261</v>
      </c>
      <c r="G58" s="20" t="s">
        <v>184</v>
      </c>
      <c r="H58" s="20" t="s">
        <v>192</v>
      </c>
      <c r="I58" s="20" t="s">
        <v>264</v>
      </c>
      <c r="J58" s="15">
        <f>IFERROR(INDEX(Cost_Components!$K$2:$K$27,MATCH(E58,Cost_Components!$A$2:$A$27,0)),"")</f>
        <v>0.5</v>
      </c>
      <c r="K58" s="15">
        <f t="shared" si="0"/>
        <v>0.40423076923076923</v>
      </c>
      <c r="L58" s="15">
        <f>IFERROR(INDEX(Cost_Components!$S$2:$S$27,MATCH(E58,Cost_Components!$A$2:$A$27,0)),"")</f>
        <v>0.31</v>
      </c>
      <c r="M58" s="26">
        <f>IFERROR(INDEX(Cost_Components!$L$2:$L$27,MATCH(E58,Cost_Components!$A$2:$A$27,0)),"")</f>
        <v>1</v>
      </c>
      <c r="N58" s="27">
        <f>IFERROR(INDEX(Cost_Components!$P$2:$P$27,MATCH(E58,Cost_Components!$A$2:$A$27,0)),"")</f>
        <v>282.51283599999999</v>
      </c>
      <c r="O58" s="21">
        <f t="shared" si="1"/>
        <v>30895.916539763552</v>
      </c>
      <c r="P58" s="21">
        <f t="shared" si="2"/>
        <v>30716.654114041401</v>
      </c>
      <c r="Q58" s="21">
        <f t="shared" si="3"/>
        <v>2690133.2105185599</v>
      </c>
      <c r="R58" s="21">
        <f t="shared" si="4"/>
        <v>3528325.4406129885</v>
      </c>
      <c r="S58" s="21">
        <f t="shared" si="5"/>
        <v>838192.23009442864</v>
      </c>
      <c r="T58" s="14">
        <f>IFERROR(INDEX(Cost_Components!$R$2:$R$27,MATCH(E58,Cost_Components!$A$2:$A$27,0)),"")</f>
        <v>1</v>
      </c>
      <c r="U58" s="24">
        <f>IFERROR(INDEX(Cost_Components!$Q$2:$Q$27,MATCH(E58,Cost_Components!$A$2:$A$27,0)),"")</f>
        <v>2023</v>
      </c>
      <c r="V58" s="28">
        <f>1/(1+Calculation_Assumptions!$B$5)^(B58-Calculation_Assumptions!$B$2)</f>
        <v>0.888487047915689</v>
      </c>
      <c r="W58" s="21">
        <f t="shared" si="6"/>
        <v>2390148.51471359</v>
      </c>
      <c r="X58" s="21">
        <f t="shared" si="7"/>
        <v>3134871.4548160569</v>
      </c>
      <c r="Y58" s="21">
        <f t="shared" si="8"/>
        <v>744722.94010246685</v>
      </c>
      <c r="Z58" s="15">
        <f>IFERROR(INDEX(Cost_Components!$T$2:$T$27,MATCH(E58,Cost_Components!$A$2:$A$27,0)),"")</f>
        <v>0.8</v>
      </c>
      <c r="AA58" s="24">
        <f>IFERROR(INDEX(Cost_Components!$U$2:$U$27,MATCH(E58,Cost_Components!$A$2:$A$27,0)),"")</f>
        <v>2025</v>
      </c>
      <c r="AB58" s="24">
        <f>IFERROR(INDEX(Cost_Components!$V$2:$V$27,MATCH(E58,Cost_Components!$A$2:$A$27,0)),"")</f>
        <v>2050</v>
      </c>
      <c r="AC58" s="24">
        <f>IFERROR(INDEX(Cost_Components!$M$2:$M$27,MATCH(E58,Cost_Components!$A$2:$A$27,0)),"")</f>
        <v>30</v>
      </c>
      <c r="AD58" s="24">
        <f>IFERROR(INDEX(Cost_Components!$N$2:$N$27,MATCH(E58,Cost_Components!$A$2:$A$27,0)),"")</f>
        <v>95</v>
      </c>
      <c r="AE58" s="14" t="str">
        <f>IFERROR(INDEX(Cost_Components!$O$2:$O$27,MATCH(E58,Cost_Components!$A$2:$A$27,0)),"")</f>
        <v>Both</v>
      </c>
      <c r="AF58" s="11">
        <v>61791.833079527103</v>
      </c>
      <c r="AG58" s="11">
        <v>61433.308228082802</v>
      </c>
      <c r="AH58" s="21">
        <f t="shared" si="9"/>
        <v>1</v>
      </c>
    </row>
    <row r="59" spans="1:34" hidden="1">
      <c r="A59" t="s">
        <v>183</v>
      </c>
      <c r="B59" s="18">
        <v>2030</v>
      </c>
      <c r="C59" t="s">
        <v>183</v>
      </c>
      <c r="D59" t="s">
        <v>187</v>
      </c>
      <c r="E59" s="20" t="s">
        <v>260</v>
      </c>
      <c r="F59" s="20" t="s">
        <v>261</v>
      </c>
      <c r="G59" s="20" t="s">
        <v>184</v>
      </c>
      <c r="H59" s="20" t="s">
        <v>192</v>
      </c>
      <c r="I59" s="20" t="s">
        <v>264</v>
      </c>
      <c r="J59" s="15">
        <f>IFERROR(INDEX(Cost_Components!$K$2:$K$27,MATCH(E59,Cost_Components!$A$2:$A$27,0)),"")</f>
        <v>0.5</v>
      </c>
      <c r="K59" s="15">
        <f t="shared" si="0"/>
        <v>0.42307692307692307</v>
      </c>
      <c r="L59" s="15">
        <f>IFERROR(INDEX(Cost_Components!$S$2:$S$27,MATCH(E59,Cost_Components!$A$2:$A$27,0)),"")</f>
        <v>0.31</v>
      </c>
      <c r="M59" s="26">
        <f>IFERROR(INDEX(Cost_Components!$L$2:$L$27,MATCH(E59,Cost_Components!$A$2:$A$27,0)),"")</f>
        <v>1</v>
      </c>
      <c r="N59" s="27">
        <f>IFERROR(INDEX(Cost_Components!$P$2:$P$27,MATCH(E59,Cost_Components!$A$2:$A$27,0)),"")</f>
        <v>282.51283599999999</v>
      </c>
      <c r="O59" s="21">
        <f t="shared" si="1"/>
        <v>31882.91963037035</v>
      </c>
      <c r="P59" s="21">
        <f t="shared" si="2"/>
        <v>31640.689659035452</v>
      </c>
      <c r="Q59" s="21">
        <f t="shared" si="3"/>
        <v>2771059.3002566933</v>
      </c>
      <c r="R59" s="21">
        <f t="shared" si="4"/>
        <v>3810795.1727729226</v>
      </c>
      <c r="S59" s="21">
        <f t="shared" si="5"/>
        <v>1039735.8725162293</v>
      </c>
      <c r="T59" s="14">
        <f>IFERROR(INDEX(Cost_Components!$R$2:$R$27,MATCH(E59,Cost_Components!$A$2:$A$27,0)),"")</f>
        <v>1</v>
      </c>
      <c r="U59" s="24">
        <f>IFERROR(INDEX(Cost_Components!$Q$2:$Q$27,MATCH(E59,Cost_Components!$A$2:$A$27,0)),"")</f>
        <v>2023</v>
      </c>
      <c r="V59" s="28">
        <f>1/(1+Calculation_Assumptions!$B$5)^(B59-Calculation_Assumptions!$B$2)</f>
        <v>0.86260878438416411</v>
      </c>
      <c r="W59" s="21">
        <f t="shared" si="6"/>
        <v>2390340.0944508584</v>
      </c>
      <c r="X59" s="21">
        <f t="shared" si="7"/>
        <v>3287225.3915226916</v>
      </c>
      <c r="Y59" s="21">
        <f t="shared" si="8"/>
        <v>896885.29707183281</v>
      </c>
      <c r="Z59" s="15">
        <f>IFERROR(INDEX(Cost_Components!$T$2:$T$27,MATCH(E59,Cost_Components!$A$2:$A$27,0)),"")</f>
        <v>0.8</v>
      </c>
      <c r="AA59" s="24">
        <f>IFERROR(INDEX(Cost_Components!$U$2:$U$27,MATCH(E59,Cost_Components!$A$2:$A$27,0)),"")</f>
        <v>2025</v>
      </c>
      <c r="AB59" s="24">
        <f>IFERROR(INDEX(Cost_Components!$V$2:$V$27,MATCH(E59,Cost_Components!$A$2:$A$27,0)),"")</f>
        <v>2050</v>
      </c>
      <c r="AC59" s="24">
        <f>IFERROR(INDEX(Cost_Components!$M$2:$M$27,MATCH(E59,Cost_Components!$A$2:$A$27,0)),"")</f>
        <v>30</v>
      </c>
      <c r="AD59" s="24">
        <f>IFERROR(INDEX(Cost_Components!$N$2:$N$27,MATCH(E59,Cost_Components!$A$2:$A$27,0)),"")</f>
        <v>95</v>
      </c>
      <c r="AE59" s="14" t="str">
        <f>IFERROR(INDEX(Cost_Components!$O$2:$O$27,MATCH(E59,Cost_Components!$A$2:$A$27,0)),"")</f>
        <v>Both</v>
      </c>
      <c r="AF59" s="11">
        <v>63765.8392607407</v>
      </c>
      <c r="AG59" s="11">
        <v>63281.379318070904</v>
      </c>
      <c r="AH59" s="21">
        <f t="shared" si="9"/>
        <v>1</v>
      </c>
    </row>
    <row r="60" spans="1:34" hidden="1">
      <c r="A60" t="s">
        <v>183</v>
      </c>
      <c r="B60" s="18">
        <v>2031</v>
      </c>
      <c r="C60" t="s">
        <v>183</v>
      </c>
      <c r="D60" t="s">
        <v>187</v>
      </c>
      <c r="E60" s="20" t="s">
        <v>260</v>
      </c>
      <c r="F60" s="20" t="s">
        <v>261</v>
      </c>
      <c r="G60" s="20" t="s">
        <v>184</v>
      </c>
      <c r="H60" s="20" t="s">
        <v>192</v>
      </c>
      <c r="I60" s="20" t="s">
        <v>264</v>
      </c>
      <c r="J60" s="15">
        <f>IFERROR(INDEX(Cost_Components!$K$2:$K$27,MATCH(E60,Cost_Components!$A$2:$A$27,0)),"")</f>
        <v>0.5</v>
      </c>
      <c r="K60" s="15">
        <f t="shared" si="0"/>
        <v>0.44192307692307692</v>
      </c>
      <c r="L60" s="15">
        <f>IFERROR(INDEX(Cost_Components!$S$2:$S$27,MATCH(E60,Cost_Components!$A$2:$A$27,0)),"")</f>
        <v>0.31</v>
      </c>
      <c r="M60" s="26">
        <f>IFERROR(INDEX(Cost_Components!$L$2:$L$27,MATCH(E60,Cost_Components!$A$2:$A$27,0)),"")</f>
        <v>1</v>
      </c>
      <c r="N60" s="27">
        <f>IFERROR(INDEX(Cost_Components!$P$2:$P$27,MATCH(E60,Cost_Components!$A$2:$A$27,0)),"")</f>
        <v>282.51283599999999</v>
      </c>
      <c r="O60" s="21">
        <f t="shared" si="1"/>
        <v>32847.712759016147</v>
      </c>
      <c r="P60" s="21">
        <f t="shared" si="2"/>
        <v>32535.316408072998</v>
      </c>
      <c r="Q60" s="21">
        <f t="shared" si="3"/>
        <v>2849409.7976666312</v>
      </c>
      <c r="R60" s="21">
        <f t="shared" si="4"/>
        <v>4101002.1770480108</v>
      </c>
      <c r="S60" s="21">
        <f t="shared" si="5"/>
        <v>1251592.3793813796</v>
      </c>
      <c r="T60" s="14">
        <f>IFERROR(INDEX(Cost_Components!$R$2:$R$27,MATCH(E60,Cost_Components!$A$2:$A$27,0)),"")</f>
        <v>1</v>
      </c>
      <c r="U60" s="24">
        <f>IFERROR(INDEX(Cost_Components!$Q$2:$Q$27,MATCH(E60,Cost_Components!$A$2:$A$27,0)),"")</f>
        <v>2023</v>
      </c>
      <c r="V60" s="28">
        <f>1/(1+Calculation_Assumptions!$B$5)^(B60-Calculation_Assumptions!$B$2)</f>
        <v>0.83748425668365445</v>
      </c>
      <c r="W60" s="21">
        <f t="shared" si="6"/>
        <v>2386335.8463859609</v>
      </c>
      <c r="X60" s="21">
        <f t="shared" si="7"/>
        <v>3434524.7599031017</v>
      </c>
      <c r="Y60" s="21">
        <f t="shared" si="8"/>
        <v>1048188.9135171411</v>
      </c>
      <c r="Z60" s="15">
        <f>IFERROR(INDEX(Cost_Components!$T$2:$T$27,MATCH(E60,Cost_Components!$A$2:$A$27,0)),"")</f>
        <v>0.8</v>
      </c>
      <c r="AA60" s="24">
        <f>IFERROR(INDEX(Cost_Components!$U$2:$U$27,MATCH(E60,Cost_Components!$A$2:$A$27,0)),"")</f>
        <v>2025</v>
      </c>
      <c r="AB60" s="24">
        <f>IFERROR(INDEX(Cost_Components!$V$2:$V$27,MATCH(E60,Cost_Components!$A$2:$A$27,0)),"")</f>
        <v>2050</v>
      </c>
      <c r="AC60" s="24">
        <f>IFERROR(INDEX(Cost_Components!$M$2:$M$27,MATCH(E60,Cost_Components!$A$2:$A$27,0)),"")</f>
        <v>30</v>
      </c>
      <c r="AD60" s="24">
        <f>IFERROR(INDEX(Cost_Components!$N$2:$N$27,MATCH(E60,Cost_Components!$A$2:$A$27,0)),"")</f>
        <v>95</v>
      </c>
      <c r="AE60" s="14" t="str">
        <f>IFERROR(INDEX(Cost_Components!$O$2:$O$27,MATCH(E60,Cost_Components!$A$2:$A$27,0)),"")</f>
        <v>Both</v>
      </c>
      <c r="AF60" s="11">
        <v>65695.425518032294</v>
      </c>
      <c r="AG60" s="11">
        <v>65070.632816145997</v>
      </c>
      <c r="AH60" s="21">
        <f t="shared" si="9"/>
        <v>1</v>
      </c>
    </row>
    <row r="61" spans="1:34" hidden="1">
      <c r="A61" t="s">
        <v>183</v>
      </c>
      <c r="B61" s="18">
        <v>2032</v>
      </c>
      <c r="C61" t="s">
        <v>183</v>
      </c>
      <c r="D61" t="s">
        <v>187</v>
      </c>
      <c r="E61" s="20" t="s">
        <v>260</v>
      </c>
      <c r="F61" s="20" t="s">
        <v>261</v>
      </c>
      <c r="G61" s="20" t="s">
        <v>184</v>
      </c>
      <c r="H61" s="20" t="s">
        <v>192</v>
      </c>
      <c r="I61" s="20" t="s">
        <v>264</v>
      </c>
      <c r="J61" s="15">
        <f>IFERROR(INDEX(Cost_Components!$K$2:$K$27,MATCH(E61,Cost_Components!$A$2:$A$27,0)),"")</f>
        <v>0.5</v>
      </c>
      <c r="K61" s="15">
        <f t="shared" si="0"/>
        <v>0.46076923076923082</v>
      </c>
      <c r="L61" s="15">
        <f>IFERROR(INDEX(Cost_Components!$S$2:$S$27,MATCH(E61,Cost_Components!$A$2:$A$27,0)),"")</f>
        <v>0.31</v>
      </c>
      <c r="M61" s="26">
        <f>IFERROR(INDEX(Cost_Components!$L$2:$L$27,MATCH(E61,Cost_Components!$A$2:$A$27,0)),"")</f>
        <v>1</v>
      </c>
      <c r="N61" s="27">
        <f>IFERROR(INDEX(Cost_Components!$P$2:$P$27,MATCH(E61,Cost_Components!$A$2:$A$27,0)),"")</f>
        <v>282.51283599999999</v>
      </c>
      <c r="O61" s="21">
        <f t="shared" si="1"/>
        <v>33799.404153531301</v>
      </c>
      <c r="P61" s="21">
        <f t="shared" si="2"/>
        <v>33410.232373914347</v>
      </c>
      <c r="Q61" s="21">
        <f t="shared" si="3"/>
        <v>2926034.0448058015</v>
      </c>
      <c r="R61" s="21">
        <f t="shared" si="4"/>
        <v>4399777.3446092773</v>
      </c>
      <c r="S61" s="21">
        <f t="shared" si="5"/>
        <v>1473743.2998034758</v>
      </c>
      <c r="T61" s="14">
        <f>IFERROR(INDEX(Cost_Components!$R$2:$R$27,MATCH(E61,Cost_Components!$A$2:$A$27,0)),"")</f>
        <v>1</v>
      </c>
      <c r="U61" s="24">
        <f>IFERROR(INDEX(Cost_Components!$Q$2:$Q$27,MATCH(E61,Cost_Components!$A$2:$A$27,0)),"")</f>
        <v>2023</v>
      </c>
      <c r="V61" s="28">
        <f>1/(1+Calculation_Assumptions!$B$5)^(B61-Calculation_Assumptions!$B$2)</f>
        <v>0.81309151134335378</v>
      </c>
      <c r="W61" s="21">
        <f t="shared" si="6"/>
        <v>2379133.4437332558</v>
      </c>
      <c r="X61" s="21">
        <f t="shared" si="7"/>
        <v>3577421.610702605</v>
      </c>
      <c r="Y61" s="21">
        <f t="shared" si="8"/>
        <v>1198288.1669693496</v>
      </c>
      <c r="Z61" s="15">
        <f>IFERROR(INDEX(Cost_Components!$T$2:$T$27,MATCH(E61,Cost_Components!$A$2:$A$27,0)),"")</f>
        <v>0.8</v>
      </c>
      <c r="AA61" s="24">
        <f>IFERROR(INDEX(Cost_Components!$U$2:$U$27,MATCH(E61,Cost_Components!$A$2:$A$27,0)),"")</f>
        <v>2025</v>
      </c>
      <c r="AB61" s="24">
        <f>IFERROR(INDEX(Cost_Components!$V$2:$V$27,MATCH(E61,Cost_Components!$A$2:$A$27,0)),"")</f>
        <v>2050</v>
      </c>
      <c r="AC61" s="24">
        <f>IFERROR(INDEX(Cost_Components!$M$2:$M$27,MATCH(E61,Cost_Components!$A$2:$A$27,0)),"")</f>
        <v>30</v>
      </c>
      <c r="AD61" s="24">
        <f>IFERROR(INDEX(Cost_Components!$N$2:$N$27,MATCH(E61,Cost_Components!$A$2:$A$27,0)),"")</f>
        <v>95</v>
      </c>
      <c r="AE61" s="14" t="str">
        <f>IFERROR(INDEX(Cost_Components!$O$2:$O$27,MATCH(E61,Cost_Components!$A$2:$A$27,0)),"")</f>
        <v>Both</v>
      </c>
      <c r="AF61" s="11">
        <v>67598.808307062602</v>
      </c>
      <c r="AG61" s="11">
        <v>66820.464747828693</v>
      </c>
      <c r="AH61" s="21">
        <f t="shared" si="9"/>
        <v>1</v>
      </c>
    </row>
    <row r="62" spans="1:34" hidden="1">
      <c r="A62" t="s">
        <v>183</v>
      </c>
      <c r="B62" s="18">
        <v>2033</v>
      </c>
      <c r="C62" t="s">
        <v>183</v>
      </c>
      <c r="D62" t="s">
        <v>187</v>
      </c>
      <c r="E62" s="20" t="s">
        <v>260</v>
      </c>
      <c r="F62" s="20" t="s">
        <v>261</v>
      </c>
      <c r="G62" s="20" t="s">
        <v>184</v>
      </c>
      <c r="H62" s="20" t="s">
        <v>192</v>
      </c>
      <c r="I62" s="20" t="s">
        <v>264</v>
      </c>
      <c r="J62" s="15">
        <f>IFERROR(INDEX(Cost_Components!$K$2:$K$27,MATCH(E62,Cost_Components!$A$2:$A$27,0)),"")</f>
        <v>0.5</v>
      </c>
      <c r="K62" s="15">
        <f t="shared" si="0"/>
        <v>0.47961538461538467</v>
      </c>
      <c r="L62" s="15">
        <f>IFERROR(INDEX(Cost_Components!$S$2:$S$27,MATCH(E62,Cost_Components!$A$2:$A$27,0)),"")</f>
        <v>0.31</v>
      </c>
      <c r="M62" s="26">
        <f>IFERROR(INDEX(Cost_Components!$L$2:$L$27,MATCH(E62,Cost_Components!$A$2:$A$27,0)),"")</f>
        <v>1</v>
      </c>
      <c r="N62" s="27">
        <f>IFERROR(INDEX(Cost_Components!$P$2:$P$27,MATCH(E62,Cost_Components!$A$2:$A$27,0)),"")</f>
        <v>282.51283599999999</v>
      </c>
      <c r="O62" s="21">
        <f t="shared" si="1"/>
        <v>34745.8046908959</v>
      </c>
      <c r="P62" s="21">
        <f t="shared" si="2"/>
        <v>34273.720594578648</v>
      </c>
      <c r="Q62" s="21">
        <f t="shared" si="3"/>
        <v>3001657.4616882657</v>
      </c>
      <c r="R62" s="21">
        <f t="shared" si="4"/>
        <v>4707969.7578622689</v>
      </c>
      <c r="S62" s="21">
        <f t="shared" si="5"/>
        <v>1706312.2961740033</v>
      </c>
      <c r="T62" s="14">
        <f>IFERROR(INDEX(Cost_Components!$R$2:$R$27,MATCH(E62,Cost_Components!$A$2:$A$27,0)),"")</f>
        <v>1</v>
      </c>
      <c r="U62" s="24">
        <f>IFERROR(INDEX(Cost_Components!$Q$2:$Q$27,MATCH(E62,Cost_Components!$A$2:$A$27,0)),"")</f>
        <v>2023</v>
      </c>
      <c r="V62" s="28">
        <f>1/(1+Calculation_Assumptions!$B$5)^(B62-Calculation_Assumptions!$B$2)</f>
        <v>0.78940923431393573</v>
      </c>
      <c r="W62" s="21">
        <f t="shared" si="6"/>
        <v>2369536.1185040455</v>
      </c>
      <c r="X62" s="21">
        <f t="shared" si="7"/>
        <v>3716514.801727219</v>
      </c>
      <c r="Y62" s="21">
        <f t="shared" si="8"/>
        <v>1346978.6832231735</v>
      </c>
      <c r="Z62" s="15">
        <f>IFERROR(INDEX(Cost_Components!$T$2:$T$27,MATCH(E62,Cost_Components!$A$2:$A$27,0)),"")</f>
        <v>0.8</v>
      </c>
      <c r="AA62" s="24">
        <f>IFERROR(INDEX(Cost_Components!$U$2:$U$27,MATCH(E62,Cost_Components!$A$2:$A$27,0)),"")</f>
        <v>2025</v>
      </c>
      <c r="AB62" s="24">
        <f>IFERROR(INDEX(Cost_Components!$V$2:$V$27,MATCH(E62,Cost_Components!$A$2:$A$27,0)),"")</f>
        <v>2050</v>
      </c>
      <c r="AC62" s="24">
        <f>IFERROR(INDEX(Cost_Components!$M$2:$M$27,MATCH(E62,Cost_Components!$A$2:$A$27,0)),"")</f>
        <v>30</v>
      </c>
      <c r="AD62" s="24">
        <f>IFERROR(INDEX(Cost_Components!$N$2:$N$27,MATCH(E62,Cost_Components!$A$2:$A$27,0)),"")</f>
        <v>95</v>
      </c>
      <c r="AE62" s="14" t="str">
        <f>IFERROR(INDEX(Cost_Components!$O$2:$O$27,MATCH(E62,Cost_Components!$A$2:$A$27,0)),"")</f>
        <v>Both</v>
      </c>
      <c r="AF62" s="11">
        <v>69491.609381791801</v>
      </c>
      <c r="AG62" s="11">
        <v>68547.441189157296</v>
      </c>
      <c r="AH62" s="21">
        <f t="shared" si="9"/>
        <v>1</v>
      </c>
    </row>
    <row r="63" spans="1:34" hidden="1">
      <c r="A63" t="s">
        <v>183</v>
      </c>
      <c r="B63" s="18">
        <v>2034</v>
      </c>
      <c r="C63" t="s">
        <v>183</v>
      </c>
      <c r="D63" t="s">
        <v>187</v>
      </c>
      <c r="E63" s="20" t="s">
        <v>260</v>
      </c>
      <c r="F63" s="20" t="s">
        <v>261</v>
      </c>
      <c r="G63" s="20" t="s">
        <v>184</v>
      </c>
      <c r="H63" s="20" t="s">
        <v>192</v>
      </c>
      <c r="I63" s="20" t="s">
        <v>264</v>
      </c>
      <c r="J63" s="15">
        <f>IFERROR(INDEX(Cost_Components!$K$2:$K$27,MATCH(E63,Cost_Components!$A$2:$A$27,0)),"")</f>
        <v>0.5</v>
      </c>
      <c r="K63" s="15">
        <f t="shared" si="0"/>
        <v>0.49846153846153851</v>
      </c>
      <c r="L63" s="15">
        <f>IFERROR(INDEX(Cost_Components!$S$2:$S$27,MATCH(E63,Cost_Components!$A$2:$A$27,0)),"")</f>
        <v>0.31</v>
      </c>
      <c r="M63" s="26">
        <f>IFERROR(INDEX(Cost_Components!$L$2:$L$27,MATCH(E63,Cost_Components!$A$2:$A$27,0)),"")</f>
        <v>1</v>
      </c>
      <c r="N63" s="27">
        <f>IFERROR(INDEX(Cost_Components!$P$2:$P$27,MATCH(E63,Cost_Components!$A$2:$A$27,0)),"")</f>
        <v>282.51283599999999</v>
      </c>
      <c r="O63" s="21">
        <f t="shared" si="1"/>
        <v>35693.202309798602</v>
      </c>
      <c r="P63" s="21">
        <f t="shared" si="2"/>
        <v>35132.435635888301</v>
      </c>
      <c r="Q63" s="21">
        <f t="shared" si="3"/>
        <v>3076862.8483955027</v>
      </c>
      <c r="R63" s="21">
        <f t="shared" si="4"/>
        <v>5026380.3855230724</v>
      </c>
      <c r="S63" s="21">
        <f t="shared" si="5"/>
        <v>1949517.5371275698</v>
      </c>
      <c r="T63" s="14">
        <f>IFERROR(INDEX(Cost_Components!$R$2:$R$27,MATCH(E63,Cost_Components!$A$2:$A$27,0)),"")</f>
        <v>1</v>
      </c>
      <c r="U63" s="24">
        <f>IFERROR(INDEX(Cost_Components!$Q$2:$Q$27,MATCH(E63,Cost_Components!$A$2:$A$27,0)),"")</f>
        <v>2023</v>
      </c>
      <c r="V63" s="28">
        <f>1/(1+Calculation_Assumptions!$B$5)^(B63-Calculation_Assumptions!$B$2)</f>
        <v>0.76641673234362695</v>
      </c>
      <c r="W63" s="21">
        <f t="shared" si="6"/>
        <v>2358159.1701367856</v>
      </c>
      <c r="X63" s="21">
        <f t="shared" si="7"/>
        <v>3852302.030588693</v>
      </c>
      <c r="Y63" s="21">
        <f t="shared" si="8"/>
        <v>1494142.8604519074</v>
      </c>
      <c r="Z63" s="15">
        <f>IFERROR(INDEX(Cost_Components!$T$2:$T$27,MATCH(E63,Cost_Components!$A$2:$A$27,0)),"")</f>
        <v>0.8</v>
      </c>
      <c r="AA63" s="24">
        <f>IFERROR(INDEX(Cost_Components!$U$2:$U$27,MATCH(E63,Cost_Components!$A$2:$A$27,0)),"")</f>
        <v>2025</v>
      </c>
      <c r="AB63" s="24">
        <f>IFERROR(INDEX(Cost_Components!$V$2:$V$27,MATCH(E63,Cost_Components!$A$2:$A$27,0)),"")</f>
        <v>2050</v>
      </c>
      <c r="AC63" s="24">
        <f>IFERROR(INDEX(Cost_Components!$M$2:$M$27,MATCH(E63,Cost_Components!$A$2:$A$27,0)),"")</f>
        <v>30</v>
      </c>
      <c r="AD63" s="24">
        <f>IFERROR(INDEX(Cost_Components!$N$2:$N$27,MATCH(E63,Cost_Components!$A$2:$A$27,0)),"")</f>
        <v>95</v>
      </c>
      <c r="AE63" s="14" t="str">
        <f>IFERROR(INDEX(Cost_Components!$O$2:$O$27,MATCH(E63,Cost_Components!$A$2:$A$27,0)),"")</f>
        <v>Both</v>
      </c>
      <c r="AF63" s="11">
        <v>71386.404619597204</v>
      </c>
      <c r="AG63" s="11">
        <v>70264.871271776603</v>
      </c>
      <c r="AH63" s="21">
        <f t="shared" si="9"/>
        <v>1</v>
      </c>
    </row>
    <row r="64" spans="1:34" hidden="1">
      <c r="A64" t="s">
        <v>183</v>
      </c>
      <c r="B64" s="18">
        <v>2035</v>
      </c>
      <c r="C64" t="s">
        <v>183</v>
      </c>
      <c r="D64" t="s">
        <v>187</v>
      </c>
      <c r="E64" s="20" t="s">
        <v>260</v>
      </c>
      <c r="F64" s="20" t="s">
        <v>261</v>
      </c>
      <c r="G64" s="20" t="s">
        <v>184</v>
      </c>
      <c r="H64" s="20" t="s">
        <v>192</v>
      </c>
      <c r="I64" s="20" t="s">
        <v>264</v>
      </c>
      <c r="J64" s="15">
        <f>IFERROR(INDEX(Cost_Components!$K$2:$K$27,MATCH(E64,Cost_Components!$A$2:$A$27,0)),"")</f>
        <v>0.5</v>
      </c>
      <c r="K64" s="15">
        <f t="shared" si="0"/>
        <v>0.51730769230769236</v>
      </c>
      <c r="L64" s="15">
        <f>IFERROR(INDEX(Cost_Components!$S$2:$S$27,MATCH(E64,Cost_Components!$A$2:$A$27,0)),"")</f>
        <v>0.31</v>
      </c>
      <c r="M64" s="26">
        <f>IFERROR(INDEX(Cost_Components!$L$2:$L$27,MATCH(E64,Cost_Components!$A$2:$A$27,0)),"")</f>
        <v>1</v>
      </c>
      <c r="N64" s="27">
        <f>IFERROR(INDEX(Cost_Components!$P$2:$P$27,MATCH(E64,Cost_Components!$A$2:$A$27,0)),"")</f>
        <v>282.51283599999999</v>
      </c>
      <c r="O64" s="21">
        <f t="shared" si="1"/>
        <v>36650.786239042747</v>
      </c>
      <c r="P64" s="21">
        <f t="shared" si="2"/>
        <v>35995.837508590746</v>
      </c>
      <c r="Q64" s="21">
        <f t="shared" si="3"/>
        <v>3152478.7030116152</v>
      </c>
      <c r="R64" s="21">
        <f t="shared" si="4"/>
        <v>5356368.1234304775</v>
      </c>
      <c r="S64" s="21">
        <f t="shared" si="5"/>
        <v>2203889.4204188623</v>
      </c>
      <c r="T64" s="14">
        <f>IFERROR(INDEX(Cost_Components!$R$2:$R$27,MATCH(E64,Cost_Components!$A$2:$A$27,0)),"")</f>
        <v>1</v>
      </c>
      <c r="U64" s="24">
        <f>IFERROR(INDEX(Cost_Components!$Q$2:$Q$27,MATCH(E64,Cost_Components!$A$2:$A$27,0)),"")</f>
        <v>2023</v>
      </c>
      <c r="V64" s="28">
        <f>1/(1+Calculation_Assumptions!$B$5)^(B64-Calculation_Assumptions!$B$2)</f>
        <v>0.74409391489672516</v>
      </c>
      <c r="W64" s="21">
        <f t="shared" si="6"/>
        <v>2345740.2197524635</v>
      </c>
      <c r="X64" s="21">
        <f t="shared" si="7"/>
        <v>3985640.9265914094</v>
      </c>
      <c r="Y64" s="21">
        <f t="shared" si="8"/>
        <v>1639900.7068389459</v>
      </c>
      <c r="Z64" s="15">
        <f>IFERROR(INDEX(Cost_Components!$T$2:$T$27,MATCH(E64,Cost_Components!$A$2:$A$27,0)),"")</f>
        <v>0.8</v>
      </c>
      <c r="AA64" s="24">
        <f>IFERROR(INDEX(Cost_Components!$U$2:$U$27,MATCH(E64,Cost_Components!$A$2:$A$27,0)),"")</f>
        <v>2025</v>
      </c>
      <c r="AB64" s="24">
        <f>IFERROR(INDEX(Cost_Components!$V$2:$V$27,MATCH(E64,Cost_Components!$A$2:$A$27,0)),"")</f>
        <v>2050</v>
      </c>
      <c r="AC64" s="24">
        <f>IFERROR(INDEX(Cost_Components!$M$2:$M$27,MATCH(E64,Cost_Components!$A$2:$A$27,0)),"")</f>
        <v>30</v>
      </c>
      <c r="AD64" s="24">
        <f>IFERROR(INDEX(Cost_Components!$N$2:$N$27,MATCH(E64,Cost_Components!$A$2:$A$27,0)),"")</f>
        <v>95</v>
      </c>
      <c r="AE64" s="14" t="str">
        <f>IFERROR(INDEX(Cost_Components!$O$2:$O$27,MATCH(E64,Cost_Components!$A$2:$A$27,0)),"")</f>
        <v>Both</v>
      </c>
      <c r="AF64" s="11">
        <v>73301.572478085494</v>
      </c>
      <c r="AG64" s="11">
        <v>71991.675017181493</v>
      </c>
      <c r="AH64" s="21">
        <f t="shared" si="9"/>
        <v>1</v>
      </c>
    </row>
    <row r="65" spans="1:34" hidden="1">
      <c r="A65" t="s">
        <v>183</v>
      </c>
      <c r="B65" s="18">
        <v>2036</v>
      </c>
      <c r="C65" t="s">
        <v>183</v>
      </c>
      <c r="D65" t="s">
        <v>187</v>
      </c>
      <c r="E65" s="20" t="s">
        <v>260</v>
      </c>
      <c r="F65" s="20" t="s">
        <v>261</v>
      </c>
      <c r="G65" s="20" t="s">
        <v>184</v>
      </c>
      <c r="H65" s="20" t="s">
        <v>192</v>
      </c>
      <c r="I65" s="20" t="s">
        <v>264</v>
      </c>
      <c r="J65" s="15">
        <f>IFERROR(INDEX(Cost_Components!$K$2:$K$27,MATCH(E65,Cost_Components!$A$2:$A$27,0)),"")</f>
        <v>0.5</v>
      </c>
      <c r="K65" s="15">
        <f t="shared" si="0"/>
        <v>0.5361538461538462</v>
      </c>
      <c r="L65" s="15">
        <f>IFERROR(INDEX(Cost_Components!$S$2:$S$27,MATCH(E65,Cost_Components!$A$2:$A$27,0)),"")</f>
        <v>0.31</v>
      </c>
      <c r="M65" s="26">
        <f>IFERROR(INDEX(Cost_Components!$L$2:$L$27,MATCH(E65,Cost_Components!$A$2:$A$27,0)),"")</f>
        <v>1</v>
      </c>
      <c r="N65" s="27">
        <f>IFERROR(INDEX(Cost_Components!$P$2:$P$27,MATCH(E65,Cost_Components!$A$2:$A$27,0)),"")</f>
        <v>282.51283599999999</v>
      </c>
      <c r="O65" s="21">
        <f t="shared" si="1"/>
        <v>37628.927559506403</v>
      </c>
      <c r="P65" s="21">
        <f t="shared" si="2"/>
        <v>36874.486732977202</v>
      </c>
      <c r="Q65" s="21">
        <f t="shared" si="3"/>
        <v>3229429.9051231067</v>
      </c>
      <c r="R65" s="21">
        <f t="shared" si="4"/>
        <v>5699666.5870852889</v>
      </c>
      <c r="S65" s="21">
        <f t="shared" si="5"/>
        <v>2470236.6819621823</v>
      </c>
      <c r="T65" s="14">
        <f>IFERROR(INDEX(Cost_Components!$R$2:$R$27,MATCH(E65,Cost_Components!$A$2:$A$27,0)),"")</f>
        <v>1</v>
      </c>
      <c r="U65" s="24">
        <f>IFERROR(INDEX(Cost_Components!$Q$2:$Q$27,MATCH(E65,Cost_Components!$A$2:$A$27,0)),"")</f>
        <v>2023</v>
      </c>
      <c r="V65" s="28">
        <f>1/(1+Calculation_Assumptions!$B$5)^(B65-Calculation_Assumptions!$B$2)</f>
        <v>0.72242127659876232</v>
      </c>
      <c r="W65" s="21">
        <f t="shared" si="6"/>
        <v>2333008.8747452544</v>
      </c>
      <c r="X65" s="21">
        <f t="shared" si="7"/>
        <v>4117560.4120294652</v>
      </c>
      <c r="Y65" s="21">
        <f t="shared" si="8"/>
        <v>1784551.5372842106</v>
      </c>
      <c r="Z65" s="15">
        <f>IFERROR(INDEX(Cost_Components!$T$2:$T$27,MATCH(E65,Cost_Components!$A$2:$A$27,0)),"")</f>
        <v>0.8</v>
      </c>
      <c r="AA65" s="24">
        <f>IFERROR(INDEX(Cost_Components!$U$2:$U$27,MATCH(E65,Cost_Components!$A$2:$A$27,0)),"")</f>
        <v>2025</v>
      </c>
      <c r="AB65" s="24">
        <f>IFERROR(INDEX(Cost_Components!$V$2:$V$27,MATCH(E65,Cost_Components!$A$2:$A$27,0)),"")</f>
        <v>2050</v>
      </c>
      <c r="AC65" s="24">
        <f>IFERROR(INDEX(Cost_Components!$M$2:$M$27,MATCH(E65,Cost_Components!$A$2:$A$27,0)),"")</f>
        <v>30</v>
      </c>
      <c r="AD65" s="24">
        <f>IFERROR(INDEX(Cost_Components!$N$2:$N$27,MATCH(E65,Cost_Components!$A$2:$A$27,0)),"")</f>
        <v>95</v>
      </c>
      <c r="AE65" s="14" t="str">
        <f>IFERROR(INDEX(Cost_Components!$O$2:$O$27,MATCH(E65,Cost_Components!$A$2:$A$27,0)),"")</f>
        <v>Both</v>
      </c>
      <c r="AF65" s="11">
        <v>75257.855119012806</v>
      </c>
      <c r="AG65" s="11">
        <v>73748.973465954405</v>
      </c>
      <c r="AH65" s="21">
        <f t="shared" si="9"/>
        <v>1</v>
      </c>
    </row>
    <row r="66" spans="1:34" hidden="1">
      <c r="A66" t="s">
        <v>183</v>
      </c>
      <c r="B66" s="18">
        <v>2037</v>
      </c>
      <c r="C66" t="s">
        <v>183</v>
      </c>
      <c r="D66" t="s">
        <v>187</v>
      </c>
      <c r="E66" s="20" t="s">
        <v>260</v>
      </c>
      <c r="F66" s="20" t="s">
        <v>261</v>
      </c>
      <c r="G66" s="20" t="s">
        <v>184</v>
      </c>
      <c r="H66" s="20" t="s">
        <v>192</v>
      </c>
      <c r="I66" s="20" t="s">
        <v>264</v>
      </c>
      <c r="J66" s="15">
        <f>IFERROR(INDEX(Cost_Components!$K$2:$K$27,MATCH(E66,Cost_Components!$A$2:$A$27,0)),"")</f>
        <v>0.5</v>
      </c>
      <c r="K66" s="15">
        <f t="shared" ref="K66:K129" si="10">IF(OR(L66="",Z66="",AA66="",AB66=""),"",IF(B66&lt;AA66,L66,IF(B66&gt;AB66,Z66,L66+(Z66-L66)*MIN(MAX((B66-AA66+1)/MAX(AB66-AA66+1,1),0),1))))</f>
        <v>0.55500000000000005</v>
      </c>
      <c r="L66" s="15">
        <f>IFERROR(INDEX(Cost_Components!$S$2:$S$27,MATCH(E66,Cost_Components!$A$2:$A$27,0)),"")</f>
        <v>0.31</v>
      </c>
      <c r="M66" s="26">
        <f>IFERROR(INDEX(Cost_Components!$L$2:$L$27,MATCH(E66,Cost_Components!$A$2:$A$27,0)),"")</f>
        <v>1</v>
      </c>
      <c r="N66" s="27">
        <f>IFERROR(INDEX(Cost_Components!$P$2:$P$27,MATCH(E66,Cost_Components!$A$2:$A$27,0)),"")</f>
        <v>282.51283599999999</v>
      </c>
      <c r="O66" s="21">
        <f t="shared" ref="O66:O129" si="11">AF66*J66</f>
        <v>38628.13870291935</v>
      </c>
      <c r="P66" s="21">
        <f t="shared" ref="P66:P129" si="12">AG66*J66</f>
        <v>37769.006346309601</v>
      </c>
      <c r="Q66" s="21">
        <f t="shared" ref="Q66:Q129" si="13">P66*L66*M66*N66</f>
        <v>3307771.019697356</v>
      </c>
      <c r="R66" s="21">
        <f t="shared" ref="R66:R129" si="14">O66*K66*M66*N66</f>
        <v>6056684.4829715248</v>
      </c>
      <c r="S66" s="21">
        <f t="shared" ref="S66:S129" si="15">R66-Q66</f>
        <v>2748913.4632741688</v>
      </c>
      <c r="T66" s="14">
        <f>IFERROR(INDEX(Cost_Components!$R$2:$R$27,MATCH(E66,Cost_Components!$A$2:$A$27,0)),"")</f>
        <v>1</v>
      </c>
      <c r="U66" s="24">
        <f>IFERROR(INDEX(Cost_Components!$Q$2:$Q$27,MATCH(E66,Cost_Components!$A$2:$A$27,0)),"")</f>
        <v>2023</v>
      </c>
      <c r="V66" s="28">
        <f>1/(1+Calculation_Assumptions!$B$5)^(B66-Calculation_Assumptions!$B$2)</f>
        <v>0.70137988019297326</v>
      </c>
      <c r="W66" s="21">
        <f t="shared" ref="W66:W129" si="16">Q66*V66</f>
        <v>2320004.0415011207</v>
      </c>
      <c r="X66" s="21">
        <f t="shared" ref="X66:X129" si="17">R66*V66</f>
        <v>4248036.6370332083</v>
      </c>
      <c r="Y66" s="21">
        <f t="shared" ref="Y66:Y129" si="18">S66*V66</f>
        <v>1928032.5955320876</v>
      </c>
      <c r="Z66" s="15">
        <f>IFERROR(INDEX(Cost_Components!$T$2:$T$27,MATCH(E66,Cost_Components!$A$2:$A$27,0)),"")</f>
        <v>0.8</v>
      </c>
      <c r="AA66" s="24">
        <f>IFERROR(INDEX(Cost_Components!$U$2:$U$27,MATCH(E66,Cost_Components!$A$2:$A$27,0)),"")</f>
        <v>2025</v>
      </c>
      <c r="AB66" s="24">
        <f>IFERROR(INDEX(Cost_Components!$V$2:$V$27,MATCH(E66,Cost_Components!$A$2:$A$27,0)),"")</f>
        <v>2050</v>
      </c>
      <c r="AC66" s="24">
        <f>IFERROR(INDEX(Cost_Components!$M$2:$M$27,MATCH(E66,Cost_Components!$A$2:$A$27,0)),"")</f>
        <v>30</v>
      </c>
      <c r="AD66" s="24">
        <f>IFERROR(INDEX(Cost_Components!$N$2:$N$27,MATCH(E66,Cost_Components!$A$2:$A$27,0)),"")</f>
        <v>95</v>
      </c>
      <c r="AE66" s="14" t="str">
        <f>IFERROR(INDEX(Cost_Components!$O$2:$O$27,MATCH(E66,Cost_Components!$A$2:$A$27,0)),"")</f>
        <v>Both</v>
      </c>
      <c r="AF66" s="11">
        <v>77256.2774058387</v>
      </c>
      <c r="AG66" s="11">
        <v>75538.012692619202</v>
      </c>
      <c r="AH66" s="21">
        <f t="shared" ref="AH66:AH129" si="19">IF(H66="shared-count-once",COUNTIFS($A$2:$A$1353,A66,$B$2:$B$1353,B66,$E$2:$E$1353,E66),1)</f>
        <v>1</v>
      </c>
    </row>
    <row r="67" spans="1:34" hidden="1">
      <c r="A67" t="s">
        <v>183</v>
      </c>
      <c r="B67" s="18">
        <v>2038</v>
      </c>
      <c r="C67" t="s">
        <v>183</v>
      </c>
      <c r="D67" t="s">
        <v>187</v>
      </c>
      <c r="E67" s="20" t="s">
        <v>260</v>
      </c>
      <c r="F67" s="20" t="s">
        <v>261</v>
      </c>
      <c r="G67" s="20" t="s">
        <v>184</v>
      </c>
      <c r="H67" s="20" t="s">
        <v>192</v>
      </c>
      <c r="I67" s="20" t="s">
        <v>264</v>
      </c>
      <c r="J67" s="15">
        <f>IFERROR(INDEX(Cost_Components!$K$2:$K$27,MATCH(E67,Cost_Components!$A$2:$A$27,0)),"")</f>
        <v>0.5</v>
      </c>
      <c r="K67" s="15">
        <f t="shared" si="10"/>
        <v>0.57384615384615389</v>
      </c>
      <c r="L67" s="15">
        <f>IFERROR(INDEX(Cost_Components!$S$2:$S$27,MATCH(E67,Cost_Components!$A$2:$A$27,0)),"")</f>
        <v>0.31</v>
      </c>
      <c r="M67" s="26">
        <f>IFERROR(INDEX(Cost_Components!$L$2:$L$27,MATCH(E67,Cost_Components!$A$2:$A$27,0)),"")</f>
        <v>1</v>
      </c>
      <c r="N67" s="27">
        <f>IFERROR(INDEX(Cost_Components!$P$2:$P$27,MATCH(E67,Cost_Components!$A$2:$A$27,0)),"")</f>
        <v>282.51283599999999</v>
      </c>
      <c r="O67" s="21">
        <f t="shared" si="11"/>
        <v>39648.633879079847</v>
      </c>
      <c r="P67" s="21">
        <f t="shared" si="12"/>
        <v>38679.678321009451</v>
      </c>
      <c r="Q67" s="21">
        <f t="shared" si="13"/>
        <v>3387526.7415911905</v>
      </c>
      <c r="R67" s="21">
        <f t="shared" si="14"/>
        <v>6427793.083481214</v>
      </c>
      <c r="S67" s="21">
        <f t="shared" si="15"/>
        <v>3040266.3418900236</v>
      </c>
      <c r="T67" s="14">
        <f>IFERROR(INDEX(Cost_Components!$R$2:$R$27,MATCH(E67,Cost_Components!$A$2:$A$27,0)),"")</f>
        <v>1</v>
      </c>
      <c r="U67" s="24">
        <f>IFERROR(INDEX(Cost_Components!$Q$2:$Q$27,MATCH(E67,Cost_Components!$A$2:$A$27,0)),"")</f>
        <v>2023</v>
      </c>
      <c r="V67" s="28">
        <f>1/(1+Calculation_Assumptions!$B$5)^(B67-Calculation_Assumptions!$B$2)</f>
        <v>0.68095133999317792</v>
      </c>
      <c r="W67" s="21">
        <f t="shared" si="16"/>
        <v>2306740.8739492451</v>
      </c>
      <c r="X67" s="21">
        <f t="shared" si="17"/>
        <v>4377014.3133954136</v>
      </c>
      <c r="Y67" s="21">
        <f t="shared" si="18"/>
        <v>2070273.4394461687</v>
      </c>
      <c r="Z67" s="15">
        <f>IFERROR(INDEX(Cost_Components!$T$2:$T$27,MATCH(E67,Cost_Components!$A$2:$A$27,0)),"")</f>
        <v>0.8</v>
      </c>
      <c r="AA67" s="24">
        <f>IFERROR(INDEX(Cost_Components!$U$2:$U$27,MATCH(E67,Cost_Components!$A$2:$A$27,0)),"")</f>
        <v>2025</v>
      </c>
      <c r="AB67" s="24">
        <f>IFERROR(INDEX(Cost_Components!$V$2:$V$27,MATCH(E67,Cost_Components!$A$2:$A$27,0)),"")</f>
        <v>2050</v>
      </c>
      <c r="AC67" s="24">
        <f>IFERROR(INDEX(Cost_Components!$M$2:$M$27,MATCH(E67,Cost_Components!$A$2:$A$27,0)),"")</f>
        <v>30</v>
      </c>
      <c r="AD67" s="24">
        <f>IFERROR(INDEX(Cost_Components!$N$2:$N$27,MATCH(E67,Cost_Components!$A$2:$A$27,0)),"")</f>
        <v>95</v>
      </c>
      <c r="AE67" s="14" t="str">
        <f>IFERROR(INDEX(Cost_Components!$O$2:$O$27,MATCH(E67,Cost_Components!$A$2:$A$27,0)),"")</f>
        <v>Both</v>
      </c>
      <c r="AF67" s="11">
        <v>79297.267758159694</v>
      </c>
      <c r="AG67" s="11">
        <v>77359.356642018902</v>
      </c>
      <c r="AH67" s="21">
        <f t="shared" si="19"/>
        <v>1</v>
      </c>
    </row>
    <row r="68" spans="1:34" hidden="1">
      <c r="A68" t="s">
        <v>183</v>
      </c>
      <c r="B68" s="18">
        <v>2039</v>
      </c>
      <c r="C68" t="s">
        <v>183</v>
      </c>
      <c r="D68" t="s">
        <v>187</v>
      </c>
      <c r="E68" s="20" t="s">
        <v>260</v>
      </c>
      <c r="F68" s="20" t="s">
        <v>261</v>
      </c>
      <c r="G68" s="20" t="s">
        <v>184</v>
      </c>
      <c r="H68" s="20" t="s">
        <v>192</v>
      </c>
      <c r="I68" s="20" t="s">
        <v>264</v>
      </c>
      <c r="J68" s="15">
        <f>IFERROR(INDEX(Cost_Components!$K$2:$K$27,MATCH(E68,Cost_Components!$A$2:$A$27,0)),"")</f>
        <v>0.5</v>
      </c>
      <c r="K68" s="15">
        <f t="shared" si="10"/>
        <v>0.59269230769230763</v>
      </c>
      <c r="L68" s="15">
        <f>IFERROR(INDEX(Cost_Components!$S$2:$S$27,MATCH(E68,Cost_Components!$A$2:$A$27,0)),"")</f>
        <v>0.31</v>
      </c>
      <c r="M68" s="26">
        <f>IFERROR(INDEX(Cost_Components!$L$2:$L$27,MATCH(E68,Cost_Components!$A$2:$A$27,0)),"")</f>
        <v>1</v>
      </c>
      <c r="N68" s="27">
        <f>IFERROR(INDEX(Cost_Components!$P$2:$P$27,MATCH(E68,Cost_Components!$A$2:$A$27,0)),"")</f>
        <v>282.51283599999999</v>
      </c>
      <c r="O68" s="21">
        <f t="shared" si="11"/>
        <v>40691.664920911448</v>
      </c>
      <c r="P68" s="21">
        <f t="shared" si="12"/>
        <v>39607.791205618101</v>
      </c>
      <c r="Q68" s="21">
        <f t="shared" si="13"/>
        <v>3468809.9205704588</v>
      </c>
      <c r="R68" s="21">
        <f t="shared" si="14"/>
        <v>6813541.9659791216</v>
      </c>
      <c r="S68" s="21">
        <f t="shared" si="15"/>
        <v>3344732.0454086629</v>
      </c>
      <c r="T68" s="14">
        <f>IFERROR(INDEX(Cost_Components!$R$2:$R$27,MATCH(E68,Cost_Components!$A$2:$A$27,0)),"")</f>
        <v>1</v>
      </c>
      <c r="U68" s="24">
        <f>IFERROR(INDEX(Cost_Components!$Q$2:$Q$27,MATCH(E68,Cost_Components!$A$2:$A$27,0)),"")</f>
        <v>2023</v>
      </c>
      <c r="V68" s="28">
        <f>1/(1+Calculation_Assumptions!$B$5)^(B68-Calculation_Assumptions!$B$2)</f>
        <v>0.66111780581861923</v>
      </c>
      <c r="W68" s="21">
        <f t="shared" si="16"/>
        <v>2293292.0034894007</v>
      </c>
      <c r="X68" s="21">
        <f t="shared" si="17"/>
        <v>4504553.9144011978</v>
      </c>
      <c r="Y68" s="21">
        <f t="shared" si="18"/>
        <v>2211261.9109117975</v>
      </c>
      <c r="Z68" s="15">
        <f>IFERROR(INDEX(Cost_Components!$T$2:$T$27,MATCH(E68,Cost_Components!$A$2:$A$27,0)),"")</f>
        <v>0.8</v>
      </c>
      <c r="AA68" s="24">
        <f>IFERROR(INDEX(Cost_Components!$U$2:$U$27,MATCH(E68,Cost_Components!$A$2:$A$27,0)),"")</f>
        <v>2025</v>
      </c>
      <c r="AB68" s="24">
        <f>IFERROR(INDEX(Cost_Components!$V$2:$V$27,MATCH(E68,Cost_Components!$A$2:$A$27,0)),"")</f>
        <v>2050</v>
      </c>
      <c r="AC68" s="24">
        <f>IFERROR(INDEX(Cost_Components!$M$2:$M$27,MATCH(E68,Cost_Components!$A$2:$A$27,0)),"")</f>
        <v>30</v>
      </c>
      <c r="AD68" s="24">
        <f>IFERROR(INDEX(Cost_Components!$N$2:$N$27,MATCH(E68,Cost_Components!$A$2:$A$27,0)),"")</f>
        <v>95</v>
      </c>
      <c r="AE68" s="14" t="str">
        <f>IFERROR(INDEX(Cost_Components!$O$2:$O$27,MATCH(E68,Cost_Components!$A$2:$A$27,0)),"")</f>
        <v>Both</v>
      </c>
      <c r="AF68" s="11">
        <v>81383.329841822895</v>
      </c>
      <c r="AG68" s="11">
        <v>79215.582411236202</v>
      </c>
      <c r="AH68" s="21">
        <f t="shared" si="19"/>
        <v>1</v>
      </c>
    </row>
    <row r="69" spans="1:34" hidden="1">
      <c r="A69" t="s">
        <v>183</v>
      </c>
      <c r="B69" s="18">
        <v>2040</v>
      </c>
      <c r="C69" t="s">
        <v>183</v>
      </c>
      <c r="D69" t="s">
        <v>187</v>
      </c>
      <c r="E69" s="20" t="s">
        <v>260</v>
      </c>
      <c r="F69" s="20" t="s">
        <v>261</v>
      </c>
      <c r="G69" s="20" t="s">
        <v>184</v>
      </c>
      <c r="H69" s="20" t="s">
        <v>192</v>
      </c>
      <c r="I69" s="20" t="s">
        <v>264</v>
      </c>
      <c r="J69" s="15">
        <f>IFERROR(INDEX(Cost_Components!$K$2:$K$27,MATCH(E69,Cost_Components!$A$2:$A$27,0)),"")</f>
        <v>0.5</v>
      </c>
      <c r="K69" s="15">
        <f t="shared" si="10"/>
        <v>0.61153846153846159</v>
      </c>
      <c r="L69" s="15">
        <f>IFERROR(INDEX(Cost_Components!$S$2:$S$27,MATCH(E69,Cost_Components!$A$2:$A$27,0)),"")</f>
        <v>0.31</v>
      </c>
      <c r="M69" s="26">
        <f>IFERROR(INDEX(Cost_Components!$L$2:$L$27,MATCH(E69,Cost_Components!$A$2:$A$27,0)),"")</f>
        <v>1</v>
      </c>
      <c r="N69" s="27">
        <f>IFERROR(INDEX(Cost_Components!$P$2:$P$27,MATCH(E69,Cost_Components!$A$2:$A$27,0)),"")</f>
        <v>282.51283599999999</v>
      </c>
      <c r="O69" s="21">
        <f t="shared" si="11"/>
        <v>41762.912579414449</v>
      </c>
      <c r="P69" s="21">
        <f t="shared" si="12"/>
        <v>40559.006359578649</v>
      </c>
      <c r="Q69" s="21">
        <f t="shared" si="13"/>
        <v>3552116.3727158462</v>
      </c>
      <c r="R69" s="21">
        <f t="shared" si="14"/>
        <v>7215272.541217084</v>
      </c>
      <c r="S69" s="21">
        <f t="shared" si="15"/>
        <v>3663156.1685012379</v>
      </c>
      <c r="T69" s="14">
        <f>IFERROR(INDEX(Cost_Components!$R$2:$R$27,MATCH(E69,Cost_Components!$A$2:$A$27,0)),"")</f>
        <v>1</v>
      </c>
      <c r="U69" s="24">
        <f>IFERROR(INDEX(Cost_Components!$Q$2:$Q$27,MATCH(E69,Cost_Components!$A$2:$A$27,0)),"")</f>
        <v>2023</v>
      </c>
      <c r="V69" s="28">
        <f>1/(1+Calculation_Assumptions!$B$5)^(B69-Calculation_Assumptions!$B$2)</f>
        <v>0.64186194739671765</v>
      </c>
      <c r="W69" s="21">
        <f t="shared" si="16"/>
        <v>2279968.3323711581</v>
      </c>
      <c r="X69" s="21">
        <f t="shared" si="17"/>
        <v>4631208.8843036611</v>
      </c>
      <c r="Y69" s="21">
        <f t="shared" si="18"/>
        <v>2351240.5519325035</v>
      </c>
      <c r="Z69" s="15">
        <f>IFERROR(INDEX(Cost_Components!$T$2:$T$27,MATCH(E69,Cost_Components!$A$2:$A$27,0)),"")</f>
        <v>0.8</v>
      </c>
      <c r="AA69" s="24">
        <f>IFERROR(INDEX(Cost_Components!$U$2:$U$27,MATCH(E69,Cost_Components!$A$2:$A$27,0)),"")</f>
        <v>2025</v>
      </c>
      <c r="AB69" s="24">
        <f>IFERROR(INDEX(Cost_Components!$V$2:$V$27,MATCH(E69,Cost_Components!$A$2:$A$27,0)),"")</f>
        <v>2050</v>
      </c>
      <c r="AC69" s="24">
        <f>IFERROR(INDEX(Cost_Components!$M$2:$M$27,MATCH(E69,Cost_Components!$A$2:$A$27,0)),"")</f>
        <v>30</v>
      </c>
      <c r="AD69" s="24">
        <f>IFERROR(INDEX(Cost_Components!$N$2:$N$27,MATCH(E69,Cost_Components!$A$2:$A$27,0)),"")</f>
        <v>95</v>
      </c>
      <c r="AE69" s="14" t="str">
        <f>IFERROR(INDEX(Cost_Components!$O$2:$O$27,MATCH(E69,Cost_Components!$A$2:$A$27,0)),"")</f>
        <v>Both</v>
      </c>
      <c r="AF69" s="11">
        <v>83525.825158828899</v>
      </c>
      <c r="AG69" s="11">
        <v>81118.012719157297</v>
      </c>
      <c r="AH69" s="21">
        <f t="shared" si="19"/>
        <v>1</v>
      </c>
    </row>
    <row r="70" spans="1:34" hidden="1">
      <c r="A70" t="s">
        <v>183</v>
      </c>
      <c r="B70" s="18">
        <v>2041</v>
      </c>
      <c r="C70" t="s">
        <v>183</v>
      </c>
      <c r="D70" t="s">
        <v>187</v>
      </c>
      <c r="E70" s="20" t="s">
        <v>260</v>
      </c>
      <c r="F70" s="20" t="s">
        <v>261</v>
      </c>
      <c r="G70" s="20" t="s">
        <v>184</v>
      </c>
      <c r="H70" s="20" t="s">
        <v>192</v>
      </c>
      <c r="I70" s="20" t="s">
        <v>264</v>
      </c>
      <c r="J70" s="15">
        <f>IFERROR(INDEX(Cost_Components!$K$2:$K$27,MATCH(E70,Cost_Components!$A$2:$A$27,0)),"")</f>
        <v>0.5</v>
      </c>
      <c r="K70" s="15">
        <f t="shared" si="10"/>
        <v>0.63038461538461543</v>
      </c>
      <c r="L70" s="15">
        <f>IFERROR(INDEX(Cost_Components!$S$2:$S$27,MATCH(E70,Cost_Components!$A$2:$A$27,0)),"")</f>
        <v>0.31</v>
      </c>
      <c r="M70" s="26">
        <f>IFERROR(INDEX(Cost_Components!$L$2:$L$27,MATCH(E70,Cost_Components!$A$2:$A$27,0)),"")</f>
        <v>1</v>
      </c>
      <c r="N70" s="27">
        <f>IFERROR(INDEX(Cost_Components!$P$2:$P$27,MATCH(E70,Cost_Components!$A$2:$A$27,0)),"")</f>
        <v>282.51283599999999</v>
      </c>
      <c r="O70" s="21">
        <f t="shared" si="11"/>
        <v>42871.782734404653</v>
      </c>
      <c r="P70" s="21">
        <f t="shared" si="12"/>
        <v>41542.642022338652</v>
      </c>
      <c r="Q70" s="21">
        <f t="shared" si="13"/>
        <v>3638262.179925737</v>
      </c>
      <c r="R70" s="21">
        <f t="shared" si="14"/>
        <v>7635110.6182839302</v>
      </c>
      <c r="S70" s="21">
        <f t="shared" si="15"/>
        <v>3996848.4383581933</v>
      </c>
      <c r="T70" s="14">
        <f>IFERROR(INDEX(Cost_Components!$R$2:$R$27,MATCH(E70,Cost_Components!$A$2:$A$27,0)),"")</f>
        <v>1</v>
      </c>
      <c r="U70" s="24">
        <f>IFERROR(INDEX(Cost_Components!$Q$2:$Q$27,MATCH(E70,Cost_Components!$A$2:$A$27,0)),"")</f>
        <v>2023</v>
      </c>
      <c r="V70" s="28">
        <f>1/(1+Calculation_Assumptions!$B$5)^(B70-Calculation_Assumptions!$B$2)</f>
        <v>0.62316693922011435</v>
      </c>
      <c r="W70" s="21">
        <f t="shared" si="16"/>
        <v>2267244.7067446224</v>
      </c>
      <c r="X70" s="21">
        <f t="shared" si="17"/>
        <v>4757948.5146029918</v>
      </c>
      <c r="Y70" s="21">
        <f t="shared" si="18"/>
        <v>2490703.8078583693</v>
      </c>
      <c r="Z70" s="15">
        <f>IFERROR(INDEX(Cost_Components!$T$2:$T$27,MATCH(E70,Cost_Components!$A$2:$A$27,0)),"")</f>
        <v>0.8</v>
      </c>
      <c r="AA70" s="24">
        <f>IFERROR(INDEX(Cost_Components!$U$2:$U$27,MATCH(E70,Cost_Components!$A$2:$A$27,0)),"")</f>
        <v>2025</v>
      </c>
      <c r="AB70" s="24">
        <f>IFERROR(INDEX(Cost_Components!$V$2:$V$27,MATCH(E70,Cost_Components!$A$2:$A$27,0)),"")</f>
        <v>2050</v>
      </c>
      <c r="AC70" s="24">
        <f>IFERROR(INDEX(Cost_Components!$M$2:$M$27,MATCH(E70,Cost_Components!$A$2:$A$27,0)),"")</f>
        <v>30</v>
      </c>
      <c r="AD70" s="24">
        <f>IFERROR(INDEX(Cost_Components!$N$2:$N$27,MATCH(E70,Cost_Components!$A$2:$A$27,0)),"")</f>
        <v>95</v>
      </c>
      <c r="AE70" s="14" t="str">
        <f>IFERROR(INDEX(Cost_Components!$O$2:$O$27,MATCH(E70,Cost_Components!$A$2:$A$27,0)),"")</f>
        <v>Both</v>
      </c>
      <c r="AF70" s="11">
        <v>85743.565468809305</v>
      </c>
      <c r="AG70" s="11">
        <v>83085.284044677304</v>
      </c>
      <c r="AH70" s="21">
        <f t="shared" si="19"/>
        <v>1</v>
      </c>
    </row>
    <row r="71" spans="1:34" hidden="1">
      <c r="A71" t="s">
        <v>183</v>
      </c>
      <c r="B71" s="18">
        <v>2042</v>
      </c>
      <c r="C71" t="s">
        <v>183</v>
      </c>
      <c r="D71" t="s">
        <v>187</v>
      </c>
      <c r="E71" s="20" t="s">
        <v>260</v>
      </c>
      <c r="F71" s="20" t="s">
        <v>261</v>
      </c>
      <c r="G71" s="20" t="s">
        <v>184</v>
      </c>
      <c r="H71" s="20" t="s">
        <v>192</v>
      </c>
      <c r="I71" s="20" t="s">
        <v>264</v>
      </c>
      <c r="J71" s="15">
        <f>IFERROR(INDEX(Cost_Components!$K$2:$K$27,MATCH(E71,Cost_Components!$A$2:$A$27,0)),"")</f>
        <v>0.5</v>
      </c>
      <c r="K71" s="15">
        <f t="shared" si="10"/>
        <v>0.64923076923076928</v>
      </c>
      <c r="L71" s="15">
        <f>IFERROR(INDEX(Cost_Components!$S$2:$S$27,MATCH(E71,Cost_Components!$A$2:$A$27,0)),"")</f>
        <v>0.31</v>
      </c>
      <c r="M71" s="26">
        <f>IFERROR(INDEX(Cost_Components!$L$2:$L$27,MATCH(E71,Cost_Components!$A$2:$A$27,0)),"")</f>
        <v>1</v>
      </c>
      <c r="N71" s="27">
        <f>IFERROR(INDEX(Cost_Components!$P$2:$P$27,MATCH(E71,Cost_Components!$A$2:$A$27,0)),"")</f>
        <v>282.51283599999999</v>
      </c>
      <c r="O71" s="21">
        <f t="shared" si="11"/>
        <v>44012.747940448047</v>
      </c>
      <c r="P71" s="21">
        <f t="shared" si="12"/>
        <v>42552.962940689853</v>
      </c>
      <c r="Q71" s="21">
        <f t="shared" si="13"/>
        <v>3726745.0545789287</v>
      </c>
      <c r="R71" s="21">
        <f t="shared" si="14"/>
        <v>8072643.3132637786</v>
      </c>
      <c r="S71" s="21">
        <f t="shared" si="15"/>
        <v>4345898.2586848494</v>
      </c>
      <c r="T71" s="14">
        <f>IFERROR(INDEX(Cost_Components!$R$2:$R$27,MATCH(E71,Cost_Components!$A$2:$A$27,0)),"")</f>
        <v>1</v>
      </c>
      <c r="U71" s="24">
        <f>IFERROR(INDEX(Cost_Components!$Q$2:$Q$27,MATCH(E71,Cost_Components!$A$2:$A$27,0)),"")</f>
        <v>2023</v>
      </c>
      <c r="V71" s="28">
        <f>1/(1+Calculation_Assumptions!$B$5)^(B71-Calculation_Assumptions!$B$2)</f>
        <v>0.60501644584477121</v>
      </c>
      <c r="W71" s="21">
        <f t="shared" si="16"/>
        <v>2254742.0474909213</v>
      </c>
      <c r="X71" s="21">
        <f t="shared" si="17"/>
        <v>4884081.9659634093</v>
      </c>
      <c r="Y71" s="21">
        <f t="shared" si="18"/>
        <v>2629339.9184724875</v>
      </c>
      <c r="Z71" s="15">
        <f>IFERROR(INDEX(Cost_Components!$T$2:$T$27,MATCH(E71,Cost_Components!$A$2:$A$27,0)),"")</f>
        <v>0.8</v>
      </c>
      <c r="AA71" s="24">
        <f>IFERROR(INDEX(Cost_Components!$U$2:$U$27,MATCH(E71,Cost_Components!$A$2:$A$27,0)),"")</f>
        <v>2025</v>
      </c>
      <c r="AB71" s="24">
        <f>IFERROR(INDEX(Cost_Components!$V$2:$V$27,MATCH(E71,Cost_Components!$A$2:$A$27,0)),"")</f>
        <v>2050</v>
      </c>
      <c r="AC71" s="24">
        <f>IFERROR(INDEX(Cost_Components!$M$2:$M$27,MATCH(E71,Cost_Components!$A$2:$A$27,0)),"")</f>
        <v>30</v>
      </c>
      <c r="AD71" s="24">
        <f>IFERROR(INDEX(Cost_Components!$N$2:$N$27,MATCH(E71,Cost_Components!$A$2:$A$27,0)),"")</f>
        <v>95</v>
      </c>
      <c r="AE71" s="14" t="str">
        <f>IFERROR(INDEX(Cost_Components!$O$2:$O$27,MATCH(E71,Cost_Components!$A$2:$A$27,0)),"")</f>
        <v>Both</v>
      </c>
      <c r="AF71" s="11">
        <v>88025.495880896095</v>
      </c>
      <c r="AG71" s="11">
        <v>85105.925881379706</v>
      </c>
      <c r="AH71" s="21">
        <f t="shared" si="19"/>
        <v>1</v>
      </c>
    </row>
    <row r="72" spans="1:34" hidden="1">
      <c r="A72" t="s">
        <v>183</v>
      </c>
      <c r="B72" s="18">
        <v>2043</v>
      </c>
      <c r="C72" t="s">
        <v>183</v>
      </c>
      <c r="D72" t="s">
        <v>187</v>
      </c>
      <c r="E72" s="20" t="s">
        <v>260</v>
      </c>
      <c r="F72" s="20" t="s">
        <v>261</v>
      </c>
      <c r="G72" s="20" t="s">
        <v>184</v>
      </c>
      <c r="H72" s="20" t="s">
        <v>192</v>
      </c>
      <c r="I72" s="20" t="s">
        <v>264</v>
      </c>
      <c r="J72" s="15">
        <f>IFERROR(INDEX(Cost_Components!$K$2:$K$27,MATCH(E72,Cost_Components!$A$2:$A$27,0)),"")</f>
        <v>0.5</v>
      </c>
      <c r="K72" s="15">
        <f t="shared" si="10"/>
        <v>0.66807692307692301</v>
      </c>
      <c r="L72" s="15">
        <f>IFERROR(INDEX(Cost_Components!$S$2:$S$27,MATCH(E72,Cost_Components!$A$2:$A$27,0)),"")</f>
        <v>0.31</v>
      </c>
      <c r="M72" s="26">
        <f>IFERROR(INDEX(Cost_Components!$L$2:$L$27,MATCH(E72,Cost_Components!$A$2:$A$27,0)),"")</f>
        <v>1</v>
      </c>
      <c r="N72" s="27">
        <f>IFERROR(INDEX(Cost_Components!$P$2:$P$27,MATCH(E72,Cost_Components!$A$2:$A$27,0)),"")</f>
        <v>282.51283599999999</v>
      </c>
      <c r="O72" s="21">
        <f t="shared" si="11"/>
        <v>45171.793696449298</v>
      </c>
      <c r="P72" s="21">
        <f t="shared" si="12"/>
        <v>43575.767059434402</v>
      </c>
      <c r="Q72" s="21">
        <f t="shared" si="13"/>
        <v>3816321.1951792203</v>
      </c>
      <c r="R72" s="21">
        <f t="shared" si="14"/>
        <v>8525738.1740795542</v>
      </c>
      <c r="S72" s="21">
        <f t="shared" si="15"/>
        <v>4709416.9789003339</v>
      </c>
      <c r="T72" s="14">
        <f>IFERROR(INDEX(Cost_Components!$R$2:$R$27,MATCH(E72,Cost_Components!$A$2:$A$27,0)),"")</f>
        <v>1</v>
      </c>
      <c r="U72" s="24">
        <f>IFERROR(INDEX(Cost_Components!$Q$2:$Q$27,MATCH(E72,Cost_Components!$A$2:$A$27,0)),"")</f>
        <v>2023</v>
      </c>
      <c r="V72" s="28">
        <f>1/(1+Calculation_Assumptions!$B$5)^(B72-Calculation_Assumptions!$B$2)</f>
        <v>0.5873946076162827</v>
      </c>
      <c r="W72" s="21">
        <f t="shared" si="16"/>
        <v>2241686.4909800012</v>
      </c>
      <c r="X72" s="21">
        <f t="shared" si="17"/>
        <v>5007972.6294026226</v>
      </c>
      <c r="Y72" s="21">
        <f t="shared" si="18"/>
        <v>2766286.1384226209</v>
      </c>
      <c r="Z72" s="15">
        <f>IFERROR(INDEX(Cost_Components!$T$2:$T$27,MATCH(E72,Cost_Components!$A$2:$A$27,0)),"")</f>
        <v>0.8</v>
      </c>
      <c r="AA72" s="24">
        <f>IFERROR(INDEX(Cost_Components!$U$2:$U$27,MATCH(E72,Cost_Components!$A$2:$A$27,0)),"")</f>
        <v>2025</v>
      </c>
      <c r="AB72" s="24">
        <f>IFERROR(INDEX(Cost_Components!$V$2:$V$27,MATCH(E72,Cost_Components!$A$2:$A$27,0)),"")</f>
        <v>2050</v>
      </c>
      <c r="AC72" s="24">
        <f>IFERROR(INDEX(Cost_Components!$M$2:$M$27,MATCH(E72,Cost_Components!$A$2:$A$27,0)),"")</f>
        <v>30</v>
      </c>
      <c r="AD72" s="24">
        <f>IFERROR(INDEX(Cost_Components!$N$2:$N$27,MATCH(E72,Cost_Components!$A$2:$A$27,0)),"")</f>
        <v>95</v>
      </c>
      <c r="AE72" s="14" t="str">
        <f>IFERROR(INDEX(Cost_Components!$O$2:$O$27,MATCH(E72,Cost_Components!$A$2:$A$27,0)),"")</f>
        <v>Both</v>
      </c>
      <c r="AF72" s="11">
        <v>90343.587392898597</v>
      </c>
      <c r="AG72" s="11">
        <v>87151.534118868803</v>
      </c>
      <c r="AH72" s="21">
        <f t="shared" si="19"/>
        <v>1</v>
      </c>
    </row>
    <row r="73" spans="1:34" hidden="1">
      <c r="A73" t="s">
        <v>183</v>
      </c>
      <c r="B73" s="18">
        <v>2044</v>
      </c>
      <c r="C73" t="s">
        <v>183</v>
      </c>
      <c r="D73" t="s">
        <v>187</v>
      </c>
      <c r="E73" s="20" t="s">
        <v>260</v>
      </c>
      <c r="F73" s="20" t="s">
        <v>261</v>
      </c>
      <c r="G73" s="20" t="s">
        <v>184</v>
      </c>
      <c r="H73" s="20" t="s">
        <v>192</v>
      </c>
      <c r="I73" s="20" t="s">
        <v>264</v>
      </c>
      <c r="J73" s="15">
        <f>IFERROR(INDEX(Cost_Components!$K$2:$K$27,MATCH(E73,Cost_Components!$A$2:$A$27,0)),"")</f>
        <v>0.5</v>
      </c>
      <c r="K73" s="15">
        <f t="shared" si="10"/>
        <v>0.68692307692307697</v>
      </c>
      <c r="L73" s="15">
        <f>IFERROR(INDEX(Cost_Components!$S$2:$S$27,MATCH(E73,Cost_Components!$A$2:$A$27,0)),"")</f>
        <v>0.31</v>
      </c>
      <c r="M73" s="26">
        <f>IFERROR(INDEX(Cost_Components!$L$2:$L$27,MATCH(E73,Cost_Components!$A$2:$A$27,0)),"")</f>
        <v>1</v>
      </c>
      <c r="N73" s="27">
        <f>IFERROR(INDEX(Cost_Components!$P$2:$P$27,MATCH(E73,Cost_Components!$A$2:$A$27,0)),"")</f>
        <v>282.51283599999999</v>
      </c>
      <c r="O73" s="21">
        <f t="shared" si="11"/>
        <v>46341.626094734049</v>
      </c>
      <c r="P73" s="21">
        <f t="shared" si="12"/>
        <v>44603.723236372301</v>
      </c>
      <c r="Q73" s="21">
        <f t="shared" si="13"/>
        <v>3906348.5477766572</v>
      </c>
      <c r="R73" s="21">
        <f t="shared" si="14"/>
        <v>8993268.5093056187</v>
      </c>
      <c r="S73" s="21">
        <f t="shared" si="15"/>
        <v>5086919.9615289615</v>
      </c>
      <c r="T73" s="14">
        <f>IFERROR(INDEX(Cost_Components!$R$2:$R$27,MATCH(E73,Cost_Components!$A$2:$A$27,0)),"")</f>
        <v>1</v>
      </c>
      <c r="U73" s="24">
        <f>IFERROR(INDEX(Cost_Components!$Q$2:$Q$27,MATCH(E73,Cost_Components!$A$2:$A$27,0)),"")</f>
        <v>2023</v>
      </c>
      <c r="V73" s="28">
        <f>1/(1+Calculation_Assumptions!$B$5)^(B73-Calculation_Assumptions!$B$2)</f>
        <v>0.57028602681192497</v>
      </c>
      <c r="W73" s="21">
        <f t="shared" si="16"/>
        <v>2227735.9926540828</v>
      </c>
      <c r="X73" s="21">
        <f t="shared" si="17"/>
        <v>5128735.3662247043</v>
      </c>
      <c r="Y73" s="21">
        <f t="shared" si="18"/>
        <v>2900999.3735706219</v>
      </c>
      <c r="Z73" s="15">
        <f>IFERROR(INDEX(Cost_Components!$T$2:$T$27,MATCH(E73,Cost_Components!$A$2:$A$27,0)),"")</f>
        <v>0.8</v>
      </c>
      <c r="AA73" s="24">
        <f>IFERROR(INDEX(Cost_Components!$U$2:$U$27,MATCH(E73,Cost_Components!$A$2:$A$27,0)),"")</f>
        <v>2025</v>
      </c>
      <c r="AB73" s="24">
        <f>IFERROR(INDEX(Cost_Components!$V$2:$V$27,MATCH(E73,Cost_Components!$A$2:$A$27,0)),"")</f>
        <v>2050</v>
      </c>
      <c r="AC73" s="24">
        <f>IFERROR(INDEX(Cost_Components!$M$2:$M$27,MATCH(E73,Cost_Components!$A$2:$A$27,0)),"")</f>
        <v>30</v>
      </c>
      <c r="AD73" s="24">
        <f>IFERROR(INDEX(Cost_Components!$N$2:$N$27,MATCH(E73,Cost_Components!$A$2:$A$27,0)),"")</f>
        <v>95</v>
      </c>
      <c r="AE73" s="14" t="str">
        <f>IFERROR(INDEX(Cost_Components!$O$2:$O$27,MATCH(E73,Cost_Components!$A$2:$A$27,0)),"")</f>
        <v>Both</v>
      </c>
      <c r="AF73" s="11">
        <v>92683.252189468098</v>
      </c>
      <c r="AG73" s="11">
        <v>89207.446472744603</v>
      </c>
      <c r="AH73" s="21">
        <f t="shared" si="19"/>
        <v>1</v>
      </c>
    </row>
    <row r="74" spans="1:34" hidden="1">
      <c r="A74" t="s">
        <v>183</v>
      </c>
      <c r="B74" s="18">
        <v>2045</v>
      </c>
      <c r="C74" t="s">
        <v>183</v>
      </c>
      <c r="D74" t="s">
        <v>187</v>
      </c>
      <c r="E74" s="20" t="s">
        <v>260</v>
      </c>
      <c r="F74" s="20" t="s">
        <v>261</v>
      </c>
      <c r="G74" s="20" t="s">
        <v>184</v>
      </c>
      <c r="H74" s="20" t="s">
        <v>192</v>
      </c>
      <c r="I74" s="20" t="s">
        <v>264</v>
      </c>
      <c r="J74" s="15">
        <f>IFERROR(INDEX(Cost_Components!$K$2:$K$27,MATCH(E74,Cost_Components!$A$2:$A$27,0)),"")</f>
        <v>0.5</v>
      </c>
      <c r="K74" s="15">
        <f t="shared" si="10"/>
        <v>0.70576923076923082</v>
      </c>
      <c r="L74" s="15">
        <f>IFERROR(INDEX(Cost_Components!$S$2:$S$27,MATCH(E74,Cost_Components!$A$2:$A$27,0)),"")</f>
        <v>0.31</v>
      </c>
      <c r="M74" s="26">
        <f>IFERROR(INDEX(Cost_Components!$L$2:$L$27,MATCH(E74,Cost_Components!$A$2:$A$27,0)),"")</f>
        <v>1</v>
      </c>
      <c r="N74" s="27">
        <f>IFERROR(INDEX(Cost_Components!$P$2:$P$27,MATCH(E74,Cost_Components!$A$2:$A$27,0)),"")</f>
        <v>282.51283599999999</v>
      </c>
      <c r="O74" s="21">
        <f t="shared" si="11"/>
        <v>47507.733035679303</v>
      </c>
      <c r="P74" s="21">
        <f t="shared" si="12"/>
        <v>45622.42008483495</v>
      </c>
      <c r="Q74" s="21">
        <f t="shared" si="13"/>
        <v>3995564.9778385255</v>
      </c>
      <c r="R74" s="21">
        <f t="shared" si="14"/>
        <v>9472513.0611644574</v>
      </c>
      <c r="S74" s="21">
        <f t="shared" si="15"/>
        <v>5476948.0833259318</v>
      </c>
      <c r="T74" s="14">
        <f>IFERROR(INDEX(Cost_Components!$R$2:$R$27,MATCH(E74,Cost_Components!$A$2:$A$27,0)),"")</f>
        <v>1</v>
      </c>
      <c r="U74" s="24">
        <f>IFERROR(INDEX(Cost_Components!$Q$2:$Q$27,MATCH(E74,Cost_Components!$A$2:$A$27,0)),"")</f>
        <v>2023</v>
      </c>
      <c r="V74" s="28">
        <f>1/(1+Calculation_Assumptions!$B$5)^(B74-Calculation_Assumptions!$B$2)</f>
        <v>0.55367575418633497</v>
      </c>
      <c r="W74" s="21">
        <f t="shared" si="16"/>
        <v>2212247.4525052523</v>
      </c>
      <c r="X74" s="21">
        <f t="shared" si="17"/>
        <v>5244700.8131801393</v>
      </c>
      <c r="Y74" s="21">
        <f t="shared" si="18"/>
        <v>3032453.360674887</v>
      </c>
      <c r="Z74" s="15">
        <f>IFERROR(INDEX(Cost_Components!$T$2:$T$27,MATCH(E74,Cost_Components!$A$2:$A$27,0)),"")</f>
        <v>0.8</v>
      </c>
      <c r="AA74" s="24">
        <f>IFERROR(INDEX(Cost_Components!$U$2:$U$27,MATCH(E74,Cost_Components!$A$2:$A$27,0)),"")</f>
        <v>2025</v>
      </c>
      <c r="AB74" s="24">
        <f>IFERROR(INDEX(Cost_Components!$V$2:$V$27,MATCH(E74,Cost_Components!$A$2:$A$27,0)),"")</f>
        <v>2050</v>
      </c>
      <c r="AC74" s="24">
        <f>IFERROR(INDEX(Cost_Components!$M$2:$M$27,MATCH(E74,Cost_Components!$A$2:$A$27,0)),"")</f>
        <v>30</v>
      </c>
      <c r="AD74" s="24">
        <f>IFERROR(INDEX(Cost_Components!$N$2:$N$27,MATCH(E74,Cost_Components!$A$2:$A$27,0)),"")</f>
        <v>95</v>
      </c>
      <c r="AE74" s="14" t="str">
        <f>IFERROR(INDEX(Cost_Components!$O$2:$O$27,MATCH(E74,Cost_Components!$A$2:$A$27,0)),"")</f>
        <v>Both</v>
      </c>
      <c r="AF74" s="11">
        <v>95015.466071358605</v>
      </c>
      <c r="AG74" s="11">
        <v>91244.8401696699</v>
      </c>
      <c r="AH74" s="21">
        <f t="shared" si="19"/>
        <v>1</v>
      </c>
    </row>
    <row r="75" spans="1:34" hidden="1">
      <c r="A75" t="s">
        <v>183</v>
      </c>
      <c r="B75" s="18">
        <v>2046</v>
      </c>
      <c r="C75" t="s">
        <v>183</v>
      </c>
      <c r="D75" t="s">
        <v>187</v>
      </c>
      <c r="E75" s="20" t="s">
        <v>260</v>
      </c>
      <c r="F75" s="20" t="s">
        <v>261</v>
      </c>
      <c r="G75" s="20" t="s">
        <v>184</v>
      </c>
      <c r="H75" s="20" t="s">
        <v>192</v>
      </c>
      <c r="I75" s="20" t="s">
        <v>264</v>
      </c>
      <c r="J75" s="15">
        <f>IFERROR(INDEX(Cost_Components!$K$2:$K$27,MATCH(E75,Cost_Components!$A$2:$A$27,0)),"")</f>
        <v>0.5</v>
      </c>
      <c r="K75" s="15">
        <f t="shared" si="10"/>
        <v>0.72461538461538466</v>
      </c>
      <c r="L75" s="15">
        <f>IFERROR(INDEX(Cost_Components!$S$2:$S$27,MATCH(E75,Cost_Components!$A$2:$A$27,0)),"")</f>
        <v>0.31</v>
      </c>
      <c r="M75" s="26">
        <f>IFERROR(INDEX(Cost_Components!$L$2:$L$27,MATCH(E75,Cost_Components!$A$2:$A$27,0)),"")</f>
        <v>1</v>
      </c>
      <c r="N75" s="27">
        <f>IFERROR(INDEX(Cost_Components!$P$2:$P$27,MATCH(E75,Cost_Components!$A$2:$A$27,0)),"")</f>
        <v>282.51283599999999</v>
      </c>
      <c r="O75" s="21">
        <f t="shared" si="11"/>
        <v>48664.788704476501</v>
      </c>
      <c r="P75" s="21">
        <f t="shared" si="12"/>
        <v>46626.731999751049</v>
      </c>
      <c r="Q75" s="21">
        <f t="shared" si="13"/>
        <v>4083521.5901051019</v>
      </c>
      <c r="R75" s="21">
        <f t="shared" si="14"/>
        <v>9962322.0592064336</v>
      </c>
      <c r="S75" s="21">
        <f t="shared" si="15"/>
        <v>5878800.4691013321</v>
      </c>
      <c r="T75" s="14">
        <f>IFERROR(INDEX(Cost_Components!$R$2:$R$27,MATCH(E75,Cost_Components!$A$2:$A$27,0)),"")</f>
        <v>1</v>
      </c>
      <c r="U75" s="24">
        <f>IFERROR(INDEX(Cost_Components!$Q$2:$Q$27,MATCH(E75,Cost_Components!$A$2:$A$27,0)),"")</f>
        <v>2023</v>
      </c>
      <c r="V75" s="28">
        <f>1/(1+Calculation_Assumptions!$B$5)^(B75-Calculation_Assumptions!$B$2)</f>
        <v>0.5375492759090631</v>
      </c>
      <c r="W75" s="21">
        <f t="shared" si="16"/>
        <v>2195094.0739200236</v>
      </c>
      <c r="X75" s="21">
        <f t="shared" si="17"/>
        <v>5355239.0092993043</v>
      </c>
      <c r="Y75" s="21">
        <f t="shared" si="18"/>
        <v>3160144.9353792816</v>
      </c>
      <c r="Z75" s="15">
        <f>IFERROR(INDEX(Cost_Components!$T$2:$T$27,MATCH(E75,Cost_Components!$A$2:$A$27,0)),"")</f>
        <v>0.8</v>
      </c>
      <c r="AA75" s="24">
        <f>IFERROR(INDEX(Cost_Components!$U$2:$U$27,MATCH(E75,Cost_Components!$A$2:$A$27,0)),"")</f>
        <v>2025</v>
      </c>
      <c r="AB75" s="24">
        <f>IFERROR(INDEX(Cost_Components!$V$2:$V$27,MATCH(E75,Cost_Components!$A$2:$A$27,0)),"")</f>
        <v>2050</v>
      </c>
      <c r="AC75" s="24">
        <f>IFERROR(INDEX(Cost_Components!$M$2:$M$27,MATCH(E75,Cost_Components!$A$2:$A$27,0)),"")</f>
        <v>30</v>
      </c>
      <c r="AD75" s="24">
        <f>IFERROR(INDEX(Cost_Components!$N$2:$N$27,MATCH(E75,Cost_Components!$A$2:$A$27,0)),"")</f>
        <v>95</v>
      </c>
      <c r="AE75" s="14" t="str">
        <f>IFERROR(INDEX(Cost_Components!$O$2:$O$27,MATCH(E75,Cost_Components!$A$2:$A$27,0)),"")</f>
        <v>Both</v>
      </c>
      <c r="AF75" s="11">
        <v>97329.577408953002</v>
      </c>
      <c r="AG75" s="11">
        <v>93253.463999502099</v>
      </c>
      <c r="AH75" s="21">
        <f t="shared" si="19"/>
        <v>1</v>
      </c>
    </row>
    <row r="76" spans="1:34" hidden="1">
      <c r="A76" t="s">
        <v>183</v>
      </c>
      <c r="B76" s="18">
        <v>2047</v>
      </c>
      <c r="C76" t="s">
        <v>183</v>
      </c>
      <c r="D76" t="s">
        <v>187</v>
      </c>
      <c r="E76" s="20" t="s">
        <v>260</v>
      </c>
      <c r="F76" s="20" t="s">
        <v>261</v>
      </c>
      <c r="G76" s="20" t="s">
        <v>184</v>
      </c>
      <c r="H76" s="20" t="s">
        <v>192</v>
      </c>
      <c r="I76" s="20" t="s">
        <v>264</v>
      </c>
      <c r="J76" s="15">
        <f>IFERROR(INDEX(Cost_Components!$K$2:$K$27,MATCH(E76,Cost_Components!$A$2:$A$27,0)),"")</f>
        <v>0.5</v>
      </c>
      <c r="K76" s="15">
        <f t="shared" si="10"/>
        <v>0.74346153846153851</v>
      </c>
      <c r="L76" s="15">
        <f>IFERROR(INDEX(Cost_Components!$S$2:$S$27,MATCH(E76,Cost_Components!$A$2:$A$27,0)),"")</f>
        <v>0.31</v>
      </c>
      <c r="M76" s="26">
        <f>IFERROR(INDEX(Cost_Components!$L$2:$L$27,MATCH(E76,Cost_Components!$A$2:$A$27,0)),"")</f>
        <v>1</v>
      </c>
      <c r="N76" s="27">
        <f>IFERROR(INDEX(Cost_Components!$P$2:$P$27,MATCH(E76,Cost_Components!$A$2:$A$27,0)),"")</f>
        <v>282.51283599999999</v>
      </c>
      <c r="O76" s="21">
        <f t="shared" si="11"/>
        <v>49756.26820501675</v>
      </c>
      <c r="P76" s="21">
        <f t="shared" si="12"/>
        <v>47560.391211322501</v>
      </c>
      <c r="Q76" s="21">
        <f t="shared" si="13"/>
        <v>4165290.5107378606</v>
      </c>
      <c r="R76" s="21">
        <f t="shared" si="14"/>
        <v>10450678.58512063</v>
      </c>
      <c r="S76" s="21">
        <f t="shared" si="15"/>
        <v>6285388.0743827689</v>
      </c>
      <c r="T76" s="14">
        <f>IFERROR(INDEX(Cost_Components!$R$2:$R$27,MATCH(E76,Cost_Components!$A$2:$A$27,0)),"")</f>
        <v>1</v>
      </c>
      <c r="U76" s="24">
        <f>IFERROR(INDEX(Cost_Components!$Q$2:$Q$27,MATCH(E76,Cost_Components!$A$2:$A$27,0)),"")</f>
        <v>2023</v>
      </c>
      <c r="V76" s="28">
        <f>1/(1+Calculation_Assumptions!$B$5)^(B76-Calculation_Assumptions!$B$2)</f>
        <v>0.52189250088258554</v>
      </c>
      <c r="W76" s="21">
        <f t="shared" si="16"/>
        <v>2173833.8815514841</v>
      </c>
      <c r="X76" s="21">
        <f t="shared" si="17"/>
        <v>5454130.7827086858</v>
      </c>
      <c r="Y76" s="21">
        <f t="shared" si="18"/>
        <v>3280296.9011572017</v>
      </c>
      <c r="Z76" s="15">
        <f>IFERROR(INDEX(Cost_Components!$T$2:$T$27,MATCH(E76,Cost_Components!$A$2:$A$27,0)),"")</f>
        <v>0.8</v>
      </c>
      <c r="AA76" s="24">
        <f>IFERROR(INDEX(Cost_Components!$U$2:$U$27,MATCH(E76,Cost_Components!$A$2:$A$27,0)),"")</f>
        <v>2025</v>
      </c>
      <c r="AB76" s="24">
        <f>IFERROR(INDEX(Cost_Components!$V$2:$V$27,MATCH(E76,Cost_Components!$A$2:$A$27,0)),"")</f>
        <v>2050</v>
      </c>
      <c r="AC76" s="24">
        <f>IFERROR(INDEX(Cost_Components!$M$2:$M$27,MATCH(E76,Cost_Components!$A$2:$A$27,0)),"")</f>
        <v>30</v>
      </c>
      <c r="AD76" s="24">
        <f>IFERROR(INDEX(Cost_Components!$N$2:$N$27,MATCH(E76,Cost_Components!$A$2:$A$27,0)),"")</f>
        <v>95</v>
      </c>
      <c r="AE76" s="14" t="str">
        <f>IFERROR(INDEX(Cost_Components!$O$2:$O$27,MATCH(E76,Cost_Components!$A$2:$A$27,0)),"")</f>
        <v>Both</v>
      </c>
      <c r="AF76" s="11">
        <v>99512.536410033499</v>
      </c>
      <c r="AG76" s="11">
        <v>95120.782422645003</v>
      </c>
      <c r="AH76" s="21">
        <f t="shared" si="19"/>
        <v>1</v>
      </c>
    </row>
    <row r="77" spans="1:34" hidden="1">
      <c r="A77" t="s">
        <v>183</v>
      </c>
      <c r="B77" s="18">
        <v>2048</v>
      </c>
      <c r="C77" t="s">
        <v>183</v>
      </c>
      <c r="D77" t="s">
        <v>187</v>
      </c>
      <c r="E77" s="20" t="s">
        <v>260</v>
      </c>
      <c r="F77" s="20" t="s">
        <v>261</v>
      </c>
      <c r="G77" s="20" t="s">
        <v>184</v>
      </c>
      <c r="H77" s="20" t="s">
        <v>192</v>
      </c>
      <c r="I77" s="20" t="s">
        <v>264</v>
      </c>
      <c r="J77" s="15">
        <f>IFERROR(INDEX(Cost_Components!$K$2:$K$27,MATCH(E77,Cost_Components!$A$2:$A$27,0)),"")</f>
        <v>0.5</v>
      </c>
      <c r="K77" s="15">
        <f t="shared" si="10"/>
        <v>0.76230769230769235</v>
      </c>
      <c r="L77" s="15">
        <f>IFERROR(INDEX(Cost_Components!$S$2:$S$27,MATCH(E77,Cost_Components!$A$2:$A$27,0)),"")</f>
        <v>0.31</v>
      </c>
      <c r="M77" s="26">
        <f>IFERROR(INDEX(Cost_Components!$L$2:$L$27,MATCH(E77,Cost_Components!$A$2:$A$27,0)),"")</f>
        <v>1</v>
      </c>
      <c r="N77" s="27">
        <f>IFERROR(INDEX(Cost_Components!$P$2:$P$27,MATCH(E77,Cost_Components!$A$2:$A$27,0)),"")</f>
        <v>282.51283599999999</v>
      </c>
      <c r="O77" s="21">
        <f t="shared" si="11"/>
        <v>50839.828076223501</v>
      </c>
      <c r="P77" s="21">
        <f t="shared" si="12"/>
        <v>48481.739718816149</v>
      </c>
      <c r="Q77" s="21">
        <f t="shared" si="13"/>
        <v>4245981.2724747434</v>
      </c>
      <c r="R77" s="21">
        <f t="shared" si="14"/>
        <v>10948952.211894022</v>
      </c>
      <c r="S77" s="21">
        <f t="shared" si="15"/>
        <v>6702970.9394192789</v>
      </c>
      <c r="T77" s="14">
        <f>IFERROR(INDEX(Cost_Components!$R$2:$R$27,MATCH(E77,Cost_Components!$A$2:$A$27,0)),"")</f>
        <v>1</v>
      </c>
      <c r="U77" s="24">
        <f>IFERROR(INDEX(Cost_Components!$Q$2:$Q$27,MATCH(E77,Cost_Components!$A$2:$A$27,0)),"")</f>
        <v>2023</v>
      </c>
      <c r="V77" s="28">
        <f>1/(1+Calculation_Assumptions!$B$5)^(B77-Calculation_Assumptions!$B$2)</f>
        <v>0.50669174842969467</v>
      </c>
      <c r="W77" s="21">
        <f t="shared" si="16"/>
        <v>2151403.6747499676</v>
      </c>
      <c r="X77" s="21">
        <f t="shared" si="17"/>
        <v>5547743.7397177545</v>
      </c>
      <c r="Y77" s="21">
        <f t="shared" si="18"/>
        <v>3396340.0649677874</v>
      </c>
      <c r="Z77" s="15">
        <f>IFERROR(INDEX(Cost_Components!$T$2:$T$27,MATCH(E77,Cost_Components!$A$2:$A$27,0)),"")</f>
        <v>0.8</v>
      </c>
      <c r="AA77" s="24">
        <f>IFERROR(INDEX(Cost_Components!$U$2:$U$27,MATCH(E77,Cost_Components!$A$2:$A$27,0)),"")</f>
        <v>2025</v>
      </c>
      <c r="AB77" s="24">
        <f>IFERROR(INDEX(Cost_Components!$V$2:$V$27,MATCH(E77,Cost_Components!$A$2:$A$27,0)),"")</f>
        <v>2050</v>
      </c>
      <c r="AC77" s="24">
        <f>IFERROR(INDEX(Cost_Components!$M$2:$M$27,MATCH(E77,Cost_Components!$A$2:$A$27,0)),"")</f>
        <v>30</v>
      </c>
      <c r="AD77" s="24">
        <f>IFERROR(INDEX(Cost_Components!$N$2:$N$27,MATCH(E77,Cost_Components!$A$2:$A$27,0)),"")</f>
        <v>95</v>
      </c>
      <c r="AE77" s="14" t="str">
        <f>IFERROR(INDEX(Cost_Components!$O$2:$O$27,MATCH(E77,Cost_Components!$A$2:$A$27,0)),"")</f>
        <v>Both</v>
      </c>
      <c r="AF77" s="11">
        <v>101679.656152447</v>
      </c>
      <c r="AG77" s="11">
        <v>96963.479437632297</v>
      </c>
      <c r="AH77" s="21">
        <f t="shared" si="19"/>
        <v>1</v>
      </c>
    </row>
    <row r="78" spans="1:34" hidden="1">
      <c r="A78" t="s">
        <v>183</v>
      </c>
      <c r="B78" s="18">
        <v>2049</v>
      </c>
      <c r="C78" t="s">
        <v>183</v>
      </c>
      <c r="D78" t="s">
        <v>187</v>
      </c>
      <c r="E78" s="20" t="s">
        <v>260</v>
      </c>
      <c r="F78" s="20" t="s">
        <v>261</v>
      </c>
      <c r="G78" s="20" t="s">
        <v>184</v>
      </c>
      <c r="H78" s="20" t="s">
        <v>192</v>
      </c>
      <c r="I78" s="20" t="s">
        <v>264</v>
      </c>
      <c r="J78" s="15">
        <f>IFERROR(INDEX(Cost_Components!$K$2:$K$27,MATCH(E78,Cost_Components!$A$2:$A$27,0)),"")</f>
        <v>0.5</v>
      </c>
      <c r="K78" s="15">
        <f t="shared" si="10"/>
        <v>0.7811538461538462</v>
      </c>
      <c r="L78" s="15">
        <f>IFERROR(INDEX(Cost_Components!$S$2:$S$27,MATCH(E78,Cost_Components!$A$2:$A$27,0)),"")</f>
        <v>0.31</v>
      </c>
      <c r="M78" s="26">
        <f>IFERROR(INDEX(Cost_Components!$L$2:$L$27,MATCH(E78,Cost_Components!$A$2:$A$27,0)),"")</f>
        <v>1</v>
      </c>
      <c r="N78" s="27">
        <f>IFERROR(INDEX(Cost_Components!$P$2:$P$27,MATCH(E78,Cost_Components!$A$2:$A$27,0)),"")</f>
        <v>282.51283599999999</v>
      </c>
      <c r="O78" s="21">
        <f t="shared" si="11"/>
        <v>51912.082786078499</v>
      </c>
      <c r="P78" s="21">
        <f t="shared" si="12"/>
        <v>49387.579257664947</v>
      </c>
      <c r="Q78" s="21">
        <f t="shared" si="13"/>
        <v>4325313.7745698867</v>
      </c>
      <c r="R78" s="21">
        <f t="shared" si="14"/>
        <v>11456269.301065791</v>
      </c>
      <c r="S78" s="21">
        <f t="shared" si="15"/>
        <v>7130955.5264959047</v>
      </c>
      <c r="T78" s="14">
        <f>IFERROR(INDEX(Cost_Components!$R$2:$R$27,MATCH(E78,Cost_Components!$A$2:$A$27,0)),"")</f>
        <v>1</v>
      </c>
      <c r="U78" s="24">
        <f>IFERROR(INDEX(Cost_Components!$Q$2:$Q$27,MATCH(E78,Cost_Components!$A$2:$A$27,0)),"")</f>
        <v>2023</v>
      </c>
      <c r="V78" s="28">
        <f>1/(1+Calculation_Assumptions!$B$5)^(B78-Calculation_Assumptions!$B$2)</f>
        <v>0.49193373633950943</v>
      </c>
      <c r="W78" s="21">
        <f t="shared" si="16"/>
        <v>2127767.7659649109</v>
      </c>
      <c r="X78" s="21">
        <f t="shared" si="17"/>
        <v>5635725.3617849154</v>
      </c>
      <c r="Y78" s="21">
        <f t="shared" si="18"/>
        <v>3507957.5958200041</v>
      </c>
      <c r="Z78" s="15">
        <f>IFERROR(INDEX(Cost_Components!$T$2:$T$27,MATCH(E78,Cost_Components!$A$2:$A$27,0)),"")</f>
        <v>0.8</v>
      </c>
      <c r="AA78" s="24">
        <f>IFERROR(INDEX(Cost_Components!$U$2:$U$27,MATCH(E78,Cost_Components!$A$2:$A$27,0)),"")</f>
        <v>2025</v>
      </c>
      <c r="AB78" s="24">
        <f>IFERROR(INDEX(Cost_Components!$V$2:$V$27,MATCH(E78,Cost_Components!$A$2:$A$27,0)),"")</f>
        <v>2050</v>
      </c>
      <c r="AC78" s="24">
        <f>IFERROR(INDEX(Cost_Components!$M$2:$M$27,MATCH(E78,Cost_Components!$A$2:$A$27,0)),"")</f>
        <v>30</v>
      </c>
      <c r="AD78" s="24">
        <f>IFERROR(INDEX(Cost_Components!$N$2:$N$27,MATCH(E78,Cost_Components!$A$2:$A$27,0)),"")</f>
        <v>95</v>
      </c>
      <c r="AE78" s="14" t="str">
        <f>IFERROR(INDEX(Cost_Components!$O$2:$O$27,MATCH(E78,Cost_Components!$A$2:$A$27,0)),"")</f>
        <v>Both</v>
      </c>
      <c r="AF78" s="11">
        <v>103824.165572157</v>
      </c>
      <c r="AG78" s="11">
        <v>98775.158515329895</v>
      </c>
      <c r="AH78" s="21">
        <f t="shared" si="19"/>
        <v>1</v>
      </c>
    </row>
    <row r="79" spans="1:34" hidden="1">
      <c r="A79" t="s">
        <v>183</v>
      </c>
      <c r="B79" s="18">
        <v>2050</v>
      </c>
      <c r="C79" t="s">
        <v>183</v>
      </c>
      <c r="D79" t="s">
        <v>187</v>
      </c>
      <c r="E79" s="20" t="s">
        <v>260</v>
      </c>
      <c r="F79" s="20" t="s">
        <v>261</v>
      </c>
      <c r="G79" s="20" t="s">
        <v>184</v>
      </c>
      <c r="H79" s="20" t="s">
        <v>192</v>
      </c>
      <c r="I79" s="20" t="s">
        <v>264</v>
      </c>
      <c r="J79" s="15">
        <f>IFERROR(INDEX(Cost_Components!$K$2:$K$27,MATCH(E79,Cost_Components!$A$2:$A$27,0)),"")</f>
        <v>0.5</v>
      </c>
      <c r="K79" s="15">
        <f t="shared" si="10"/>
        <v>0.8</v>
      </c>
      <c r="L79" s="15">
        <f>IFERROR(INDEX(Cost_Components!$S$2:$S$27,MATCH(E79,Cost_Components!$A$2:$A$27,0)),"")</f>
        <v>0.31</v>
      </c>
      <c r="M79" s="26">
        <f>IFERROR(INDEX(Cost_Components!$L$2:$L$27,MATCH(E79,Cost_Components!$A$2:$A$27,0)),"")</f>
        <v>1</v>
      </c>
      <c r="N79" s="27">
        <f>IFERROR(INDEX(Cost_Components!$P$2:$P$27,MATCH(E79,Cost_Components!$A$2:$A$27,0)),"")</f>
        <v>282.51283599999999</v>
      </c>
      <c r="O79" s="21">
        <f t="shared" si="11"/>
        <v>52970.5003438965</v>
      </c>
      <c r="P79" s="21">
        <f t="shared" si="12"/>
        <v>50275.59590565</v>
      </c>
      <c r="Q79" s="21">
        <f t="shared" si="13"/>
        <v>4403085.3660775023</v>
      </c>
      <c r="R79" s="21">
        <f t="shared" si="14"/>
        <v>11971877.02119454</v>
      </c>
      <c r="S79" s="21">
        <f t="shared" si="15"/>
        <v>7568791.6551170377</v>
      </c>
      <c r="T79" s="14">
        <f>IFERROR(INDEX(Cost_Components!$R$2:$R$27,MATCH(E79,Cost_Components!$A$2:$A$27,0)),"")</f>
        <v>1</v>
      </c>
      <c r="U79" s="24">
        <f>IFERROR(INDEX(Cost_Components!$Q$2:$Q$27,MATCH(E79,Cost_Components!$A$2:$A$27,0)),"")</f>
        <v>2023</v>
      </c>
      <c r="V79" s="28">
        <f>1/(1+Calculation_Assumptions!$B$5)^(B79-Calculation_Assumptions!$B$2)</f>
        <v>0.47760556926165965</v>
      </c>
      <c r="W79" s="21">
        <f t="shared" si="16"/>
        <v>2102938.0927731283</v>
      </c>
      <c r="X79" s="21">
        <f t="shared" si="17"/>
        <v>5717835.1398382001</v>
      </c>
      <c r="Y79" s="21">
        <f t="shared" si="18"/>
        <v>3614897.0470650718</v>
      </c>
      <c r="Z79" s="15">
        <f>IFERROR(INDEX(Cost_Components!$T$2:$T$27,MATCH(E79,Cost_Components!$A$2:$A$27,0)),"")</f>
        <v>0.8</v>
      </c>
      <c r="AA79" s="24">
        <f>IFERROR(INDEX(Cost_Components!$U$2:$U$27,MATCH(E79,Cost_Components!$A$2:$A$27,0)),"")</f>
        <v>2025</v>
      </c>
      <c r="AB79" s="24">
        <f>IFERROR(INDEX(Cost_Components!$V$2:$V$27,MATCH(E79,Cost_Components!$A$2:$A$27,0)),"")</f>
        <v>2050</v>
      </c>
      <c r="AC79" s="24">
        <f>IFERROR(INDEX(Cost_Components!$M$2:$M$27,MATCH(E79,Cost_Components!$A$2:$A$27,0)),"")</f>
        <v>30</v>
      </c>
      <c r="AD79" s="24">
        <f>IFERROR(INDEX(Cost_Components!$N$2:$N$27,MATCH(E79,Cost_Components!$A$2:$A$27,0)),"")</f>
        <v>95</v>
      </c>
      <c r="AE79" s="14" t="str">
        <f>IFERROR(INDEX(Cost_Components!$O$2:$O$27,MATCH(E79,Cost_Components!$A$2:$A$27,0)),"")</f>
        <v>Both</v>
      </c>
      <c r="AF79" s="11">
        <v>105941.000687793</v>
      </c>
      <c r="AG79" s="11">
        <v>100551.1918113</v>
      </c>
      <c r="AH79" s="21">
        <f t="shared" si="19"/>
        <v>1</v>
      </c>
    </row>
    <row r="80" spans="1:34" hidden="1">
      <c r="A80" t="s">
        <v>183</v>
      </c>
      <c r="B80" s="18">
        <v>2025</v>
      </c>
      <c r="C80" t="s">
        <v>183</v>
      </c>
      <c r="D80" t="s">
        <v>163</v>
      </c>
      <c r="E80" s="20" t="s">
        <v>265</v>
      </c>
      <c r="F80" s="20" t="s">
        <v>266</v>
      </c>
      <c r="G80" s="20" t="s">
        <v>193</v>
      </c>
      <c r="H80" s="20" t="s">
        <v>192</v>
      </c>
      <c r="I80" s="20" t="s">
        <v>264</v>
      </c>
      <c r="J80" s="15">
        <f>IFERROR(INDEX(Cost_Components!$K$2:$K$27,MATCH(E80,Cost_Components!$A$2:$A$27,0)),"")</f>
        <v>0.5</v>
      </c>
      <c r="K80" s="15">
        <f t="shared" si="10"/>
        <v>0.32884615384615384</v>
      </c>
      <c r="L80" s="15">
        <f>IFERROR(INDEX(Cost_Components!$S$2:$S$27,MATCH(E80,Cost_Components!$A$2:$A$27,0)),"")</f>
        <v>0.31</v>
      </c>
      <c r="M80" s="26">
        <f>IFERROR(INDEX(Cost_Components!$L$2:$L$27,MATCH(E80,Cost_Components!$A$2:$A$27,0)),"")</f>
        <v>1</v>
      </c>
      <c r="N80" s="27">
        <f>IFERROR(INDEX(Cost_Components!$P$2:$P$27,MATCH(E80,Cost_Components!$A$2:$A$27,0)),"")</f>
        <v>282.51283599999999</v>
      </c>
      <c r="O80" s="21">
        <f t="shared" si="11"/>
        <v>214756.33238013749</v>
      </c>
      <c r="P80" s="21">
        <f t="shared" si="12"/>
        <v>214642.28890673001</v>
      </c>
      <c r="Q80" s="21">
        <f t="shared" si="13"/>
        <v>18798152.547017206</v>
      </c>
      <c r="R80" s="21">
        <f t="shared" si="14"/>
        <v>19951563.282988053</v>
      </c>
      <c r="S80" s="21">
        <f t="shared" si="15"/>
        <v>1153410.7359708473</v>
      </c>
      <c r="T80" s="14">
        <f>IFERROR(INDEX(Cost_Components!$R$2:$R$27,MATCH(E80,Cost_Components!$A$2:$A$27,0)),"")</f>
        <v>1</v>
      </c>
      <c r="U80" s="24">
        <f>IFERROR(INDEX(Cost_Components!$Q$2:$Q$27,MATCH(E80,Cost_Components!$A$2:$A$27,0)),"")</f>
        <v>2023</v>
      </c>
      <c r="V80" s="28">
        <f>1/(1+Calculation_Assumptions!$B$5)^(B80-Calculation_Assumptions!$B$2)</f>
        <v>1</v>
      </c>
      <c r="W80" s="21">
        <f t="shared" si="16"/>
        <v>18798152.547017206</v>
      </c>
      <c r="X80" s="21">
        <f t="shared" si="17"/>
        <v>19951563.282988053</v>
      </c>
      <c r="Y80" s="21">
        <f t="shared" si="18"/>
        <v>1153410.7359708473</v>
      </c>
      <c r="Z80" s="15">
        <f>IFERROR(INDEX(Cost_Components!$T$2:$T$27,MATCH(E80,Cost_Components!$A$2:$A$27,0)),"")</f>
        <v>0.8</v>
      </c>
      <c r="AA80" s="24">
        <f>IFERROR(INDEX(Cost_Components!$U$2:$U$27,MATCH(E80,Cost_Components!$A$2:$A$27,0)),"")</f>
        <v>2025</v>
      </c>
      <c r="AB80" s="24">
        <f>IFERROR(INDEX(Cost_Components!$V$2:$V$27,MATCH(E80,Cost_Components!$A$2:$A$27,0)),"")</f>
        <v>2050</v>
      </c>
      <c r="AC80" s="24">
        <f>IFERROR(INDEX(Cost_Components!$M$2:$M$27,MATCH(E80,Cost_Components!$A$2:$A$27,0)),"")</f>
        <v>30</v>
      </c>
      <c r="AD80" s="24">
        <f>IFERROR(INDEX(Cost_Components!$N$2:$N$27,MATCH(E80,Cost_Components!$A$2:$A$27,0)),"")</f>
        <v>95</v>
      </c>
      <c r="AE80" s="14" t="str">
        <f>IFERROR(INDEX(Cost_Components!$O$2:$O$27,MATCH(E80,Cost_Components!$A$2:$A$27,0)),"")</f>
        <v>Both</v>
      </c>
      <c r="AF80" s="11">
        <v>429512.66476027499</v>
      </c>
      <c r="AG80" s="11">
        <v>429284.57781346003</v>
      </c>
      <c r="AH80" s="21">
        <f t="shared" si="19"/>
        <v>1</v>
      </c>
    </row>
    <row r="81" spans="1:34" hidden="1">
      <c r="A81" t="s">
        <v>183</v>
      </c>
      <c r="B81" s="18">
        <v>2026</v>
      </c>
      <c r="C81" t="s">
        <v>183</v>
      </c>
      <c r="D81" t="s">
        <v>163</v>
      </c>
      <c r="E81" s="20" t="s">
        <v>265</v>
      </c>
      <c r="F81" s="20" t="s">
        <v>266</v>
      </c>
      <c r="G81" s="20" t="s">
        <v>193</v>
      </c>
      <c r="H81" s="20" t="s">
        <v>192</v>
      </c>
      <c r="I81" s="20" t="s">
        <v>264</v>
      </c>
      <c r="J81" s="15">
        <f>IFERROR(INDEX(Cost_Components!$K$2:$K$27,MATCH(E81,Cost_Components!$A$2:$A$27,0)),"")</f>
        <v>0.5</v>
      </c>
      <c r="K81" s="15">
        <f t="shared" si="10"/>
        <v>0.34769230769230769</v>
      </c>
      <c r="L81" s="15">
        <f>IFERROR(INDEX(Cost_Components!$S$2:$S$27,MATCH(E81,Cost_Components!$A$2:$A$27,0)),"")</f>
        <v>0.31</v>
      </c>
      <c r="M81" s="26">
        <f>IFERROR(INDEX(Cost_Components!$L$2:$L$27,MATCH(E81,Cost_Components!$A$2:$A$27,0)),"")</f>
        <v>1</v>
      </c>
      <c r="N81" s="27">
        <f>IFERROR(INDEX(Cost_Components!$P$2:$P$27,MATCH(E81,Cost_Components!$A$2:$A$27,0)),"")</f>
        <v>282.51283599999999</v>
      </c>
      <c r="O81" s="21">
        <f t="shared" si="11"/>
        <v>221463.71559374651</v>
      </c>
      <c r="P81" s="21">
        <f t="shared" si="12"/>
        <v>221139.565596459</v>
      </c>
      <c r="Q81" s="21">
        <f t="shared" si="13"/>
        <v>19367177.406823736</v>
      </c>
      <c r="R81" s="21">
        <f t="shared" si="14"/>
        <v>21753835.960227702</v>
      </c>
      <c r="S81" s="21">
        <f t="shared" si="15"/>
        <v>2386658.5534039661</v>
      </c>
      <c r="T81" s="14">
        <f>IFERROR(INDEX(Cost_Components!$R$2:$R$27,MATCH(E81,Cost_Components!$A$2:$A$27,0)),"")</f>
        <v>1</v>
      </c>
      <c r="U81" s="24">
        <f>IFERROR(INDEX(Cost_Components!$Q$2:$Q$27,MATCH(E81,Cost_Components!$A$2:$A$27,0)),"")</f>
        <v>2023</v>
      </c>
      <c r="V81" s="28">
        <f>1/(1+Calculation_Assumptions!$B$5)^(B81-Calculation_Assumptions!$B$2)</f>
        <v>0.970873786407767</v>
      </c>
      <c r="W81" s="21">
        <f t="shared" si="16"/>
        <v>18803084.860993918</v>
      </c>
      <c r="X81" s="21">
        <f t="shared" si="17"/>
        <v>21120229.08759971</v>
      </c>
      <c r="Y81" s="21">
        <f t="shared" si="18"/>
        <v>2317144.2266057925</v>
      </c>
      <c r="Z81" s="15">
        <f>IFERROR(INDEX(Cost_Components!$T$2:$T$27,MATCH(E81,Cost_Components!$A$2:$A$27,0)),"")</f>
        <v>0.8</v>
      </c>
      <c r="AA81" s="24">
        <f>IFERROR(INDEX(Cost_Components!$U$2:$U$27,MATCH(E81,Cost_Components!$A$2:$A$27,0)),"")</f>
        <v>2025</v>
      </c>
      <c r="AB81" s="24">
        <f>IFERROR(INDEX(Cost_Components!$V$2:$V$27,MATCH(E81,Cost_Components!$A$2:$A$27,0)),"")</f>
        <v>2050</v>
      </c>
      <c r="AC81" s="24">
        <f>IFERROR(INDEX(Cost_Components!$M$2:$M$27,MATCH(E81,Cost_Components!$A$2:$A$27,0)),"")</f>
        <v>30</v>
      </c>
      <c r="AD81" s="24">
        <f>IFERROR(INDEX(Cost_Components!$N$2:$N$27,MATCH(E81,Cost_Components!$A$2:$A$27,0)),"")</f>
        <v>95</v>
      </c>
      <c r="AE81" s="14" t="str">
        <f>IFERROR(INDEX(Cost_Components!$O$2:$O$27,MATCH(E81,Cost_Components!$A$2:$A$27,0)),"")</f>
        <v>Both</v>
      </c>
      <c r="AF81" s="11">
        <v>442927.43118749303</v>
      </c>
      <c r="AG81" s="11">
        <v>442279.13119291799</v>
      </c>
      <c r="AH81" s="21">
        <f t="shared" si="19"/>
        <v>1</v>
      </c>
    </row>
    <row r="82" spans="1:34" hidden="1">
      <c r="A82" t="s">
        <v>183</v>
      </c>
      <c r="B82" s="18">
        <v>2027</v>
      </c>
      <c r="C82" t="s">
        <v>183</v>
      </c>
      <c r="D82" t="s">
        <v>163</v>
      </c>
      <c r="E82" s="20" t="s">
        <v>265</v>
      </c>
      <c r="F82" s="20" t="s">
        <v>266</v>
      </c>
      <c r="G82" s="20" t="s">
        <v>193</v>
      </c>
      <c r="H82" s="20" t="s">
        <v>192</v>
      </c>
      <c r="I82" s="20" t="s">
        <v>264</v>
      </c>
      <c r="J82" s="15">
        <f>IFERROR(INDEX(Cost_Components!$K$2:$K$27,MATCH(E82,Cost_Components!$A$2:$A$27,0)),"")</f>
        <v>0.5</v>
      </c>
      <c r="K82" s="15">
        <f t="shared" si="10"/>
        <v>0.36653846153846154</v>
      </c>
      <c r="L82" s="15">
        <f>IFERROR(INDEX(Cost_Components!$S$2:$S$27,MATCH(E82,Cost_Components!$A$2:$A$27,0)),"")</f>
        <v>0.31</v>
      </c>
      <c r="M82" s="26">
        <f>IFERROR(INDEX(Cost_Components!$L$2:$L$27,MATCH(E82,Cost_Components!$A$2:$A$27,0)),"")</f>
        <v>1</v>
      </c>
      <c r="N82" s="27">
        <f>IFERROR(INDEX(Cost_Components!$P$2:$P$27,MATCH(E82,Cost_Components!$A$2:$A$27,0)),"")</f>
        <v>282.51283599999999</v>
      </c>
      <c r="O82" s="21">
        <f t="shared" si="11"/>
        <v>228582.22653544901</v>
      </c>
      <c r="P82" s="21">
        <f t="shared" si="12"/>
        <v>227964.95324208349</v>
      </c>
      <c r="Q82" s="21">
        <f t="shared" si="13"/>
        <v>19964937.889198802</v>
      </c>
      <c r="R82" s="21">
        <f t="shared" si="14"/>
        <v>23670105.639642734</v>
      </c>
      <c r="S82" s="21">
        <f t="shared" si="15"/>
        <v>3705167.7504439317</v>
      </c>
      <c r="T82" s="14">
        <f>IFERROR(INDEX(Cost_Components!$R$2:$R$27,MATCH(E82,Cost_Components!$A$2:$A$27,0)),"")</f>
        <v>1</v>
      </c>
      <c r="U82" s="24">
        <f>IFERROR(INDEX(Cost_Components!$Q$2:$Q$27,MATCH(E82,Cost_Components!$A$2:$A$27,0)),"")</f>
        <v>2023</v>
      </c>
      <c r="V82" s="28">
        <f>1/(1+Calculation_Assumptions!$B$5)^(B82-Calculation_Assumptions!$B$2)</f>
        <v>0.94259590913375435</v>
      </c>
      <c r="W82" s="21">
        <f t="shared" si="16"/>
        <v>18818868.780468285</v>
      </c>
      <c r="X82" s="21">
        <f t="shared" si="17"/>
        <v>22311344.744691048</v>
      </c>
      <c r="Y82" s="21">
        <f t="shared" si="18"/>
        <v>3492475.9642227651</v>
      </c>
      <c r="Z82" s="15">
        <f>IFERROR(INDEX(Cost_Components!$T$2:$T$27,MATCH(E82,Cost_Components!$A$2:$A$27,0)),"")</f>
        <v>0.8</v>
      </c>
      <c r="AA82" s="24">
        <f>IFERROR(INDEX(Cost_Components!$U$2:$U$27,MATCH(E82,Cost_Components!$A$2:$A$27,0)),"")</f>
        <v>2025</v>
      </c>
      <c r="AB82" s="24">
        <f>IFERROR(INDEX(Cost_Components!$V$2:$V$27,MATCH(E82,Cost_Components!$A$2:$A$27,0)),"")</f>
        <v>2050</v>
      </c>
      <c r="AC82" s="24">
        <f>IFERROR(INDEX(Cost_Components!$M$2:$M$27,MATCH(E82,Cost_Components!$A$2:$A$27,0)),"")</f>
        <v>30</v>
      </c>
      <c r="AD82" s="24">
        <f>IFERROR(INDEX(Cost_Components!$N$2:$N$27,MATCH(E82,Cost_Components!$A$2:$A$27,0)),"")</f>
        <v>95</v>
      </c>
      <c r="AE82" s="14" t="str">
        <f>IFERROR(INDEX(Cost_Components!$O$2:$O$27,MATCH(E82,Cost_Components!$A$2:$A$27,0)),"")</f>
        <v>Both</v>
      </c>
      <c r="AF82" s="11">
        <v>457164.45307089802</v>
      </c>
      <c r="AG82" s="11">
        <v>455929.90648416698</v>
      </c>
      <c r="AH82" s="21">
        <f t="shared" si="19"/>
        <v>1</v>
      </c>
    </row>
    <row r="83" spans="1:34" hidden="1">
      <c r="A83" t="s">
        <v>183</v>
      </c>
      <c r="B83" s="18">
        <v>2028</v>
      </c>
      <c r="C83" t="s">
        <v>183</v>
      </c>
      <c r="D83" t="s">
        <v>163</v>
      </c>
      <c r="E83" s="20" t="s">
        <v>265</v>
      </c>
      <c r="F83" s="20" t="s">
        <v>266</v>
      </c>
      <c r="G83" s="20" t="s">
        <v>193</v>
      </c>
      <c r="H83" s="20" t="s">
        <v>192</v>
      </c>
      <c r="I83" s="20" t="s">
        <v>264</v>
      </c>
      <c r="J83" s="15">
        <f>IFERROR(INDEX(Cost_Components!$K$2:$K$27,MATCH(E83,Cost_Components!$A$2:$A$27,0)),"")</f>
        <v>0.5</v>
      </c>
      <c r="K83" s="15">
        <f t="shared" si="10"/>
        <v>0.38538461538461538</v>
      </c>
      <c r="L83" s="15">
        <f>IFERROR(INDEX(Cost_Components!$S$2:$S$27,MATCH(E83,Cost_Components!$A$2:$A$27,0)),"")</f>
        <v>0.31</v>
      </c>
      <c r="M83" s="26">
        <f>IFERROR(INDEX(Cost_Components!$L$2:$L$27,MATCH(E83,Cost_Components!$A$2:$A$27,0)),"")</f>
        <v>1</v>
      </c>
      <c r="N83" s="27">
        <f>IFERROR(INDEX(Cost_Components!$P$2:$P$27,MATCH(E83,Cost_Components!$A$2:$A$27,0)),"")</f>
        <v>282.51283599999999</v>
      </c>
      <c r="O83" s="21">
        <f t="shared" si="11"/>
        <v>236035.8230159255</v>
      </c>
      <c r="P83" s="21">
        <f t="shared" si="12"/>
        <v>235051.937499622</v>
      </c>
      <c r="Q83" s="21">
        <f t="shared" si="13"/>
        <v>20585608.735797018</v>
      </c>
      <c r="R83" s="21">
        <f t="shared" si="14"/>
        <v>25698660.022053398</v>
      </c>
      <c r="S83" s="21">
        <f t="shared" si="15"/>
        <v>5113051.2862563804</v>
      </c>
      <c r="T83" s="14">
        <f>IFERROR(INDEX(Cost_Components!$R$2:$R$27,MATCH(E83,Cost_Components!$A$2:$A$27,0)),"")</f>
        <v>1</v>
      </c>
      <c r="U83" s="24">
        <f>IFERROR(INDEX(Cost_Components!$Q$2:$Q$27,MATCH(E83,Cost_Components!$A$2:$A$27,0)),"")</f>
        <v>2023</v>
      </c>
      <c r="V83" s="28">
        <f>1/(1+Calculation_Assumptions!$B$5)^(B83-Calculation_Assumptions!$B$2)</f>
        <v>0.91514165935315961</v>
      </c>
      <c r="W83" s="21">
        <f t="shared" si="16"/>
        <v>18838748.137272183</v>
      </c>
      <c r="X83" s="21">
        <f t="shared" si="17"/>
        <v>23517914.375734653</v>
      </c>
      <c r="Y83" s="21">
        <f t="shared" si="18"/>
        <v>4679166.2384624714</v>
      </c>
      <c r="Z83" s="15">
        <f>IFERROR(INDEX(Cost_Components!$T$2:$T$27,MATCH(E83,Cost_Components!$A$2:$A$27,0)),"")</f>
        <v>0.8</v>
      </c>
      <c r="AA83" s="24">
        <f>IFERROR(INDEX(Cost_Components!$U$2:$U$27,MATCH(E83,Cost_Components!$A$2:$A$27,0)),"")</f>
        <v>2025</v>
      </c>
      <c r="AB83" s="24">
        <f>IFERROR(INDEX(Cost_Components!$V$2:$V$27,MATCH(E83,Cost_Components!$A$2:$A$27,0)),"")</f>
        <v>2050</v>
      </c>
      <c r="AC83" s="24">
        <f>IFERROR(INDEX(Cost_Components!$M$2:$M$27,MATCH(E83,Cost_Components!$A$2:$A$27,0)),"")</f>
        <v>30</v>
      </c>
      <c r="AD83" s="24">
        <f>IFERROR(INDEX(Cost_Components!$N$2:$N$27,MATCH(E83,Cost_Components!$A$2:$A$27,0)),"")</f>
        <v>95</v>
      </c>
      <c r="AE83" s="14" t="str">
        <f>IFERROR(INDEX(Cost_Components!$O$2:$O$27,MATCH(E83,Cost_Components!$A$2:$A$27,0)),"")</f>
        <v>Both</v>
      </c>
      <c r="AF83" s="11">
        <v>472071.64603185101</v>
      </c>
      <c r="AG83" s="11">
        <v>470103.874999244</v>
      </c>
      <c r="AH83" s="21">
        <f t="shared" si="19"/>
        <v>1</v>
      </c>
    </row>
    <row r="84" spans="1:34" hidden="1">
      <c r="A84" t="s">
        <v>183</v>
      </c>
      <c r="B84" s="18">
        <v>2029</v>
      </c>
      <c r="C84" t="s">
        <v>183</v>
      </c>
      <c r="D84" t="s">
        <v>163</v>
      </c>
      <c r="E84" s="20" t="s">
        <v>265</v>
      </c>
      <c r="F84" s="20" t="s">
        <v>266</v>
      </c>
      <c r="G84" s="20" t="s">
        <v>193</v>
      </c>
      <c r="H84" s="20" t="s">
        <v>192</v>
      </c>
      <c r="I84" s="20" t="s">
        <v>264</v>
      </c>
      <c r="J84" s="15">
        <f>IFERROR(INDEX(Cost_Components!$K$2:$K$27,MATCH(E84,Cost_Components!$A$2:$A$27,0)),"")</f>
        <v>0.5</v>
      </c>
      <c r="K84" s="15">
        <f t="shared" si="10"/>
        <v>0.40423076923076923</v>
      </c>
      <c r="L84" s="15">
        <f>IFERROR(INDEX(Cost_Components!$S$2:$S$27,MATCH(E84,Cost_Components!$A$2:$A$27,0)),"")</f>
        <v>0.31</v>
      </c>
      <c r="M84" s="26">
        <f>IFERROR(INDEX(Cost_Components!$L$2:$L$27,MATCH(E84,Cost_Components!$A$2:$A$27,0)),"")</f>
        <v>1</v>
      </c>
      <c r="N84" s="27">
        <f>IFERROR(INDEX(Cost_Components!$P$2:$P$27,MATCH(E84,Cost_Components!$A$2:$A$27,0)),"")</f>
        <v>282.51283599999999</v>
      </c>
      <c r="O84" s="21">
        <f t="shared" si="11"/>
        <v>243747.365674275</v>
      </c>
      <c r="P84" s="21">
        <f t="shared" si="12"/>
        <v>242330.13621177099</v>
      </c>
      <c r="Q84" s="21">
        <f t="shared" si="13"/>
        <v>21223025.949130651</v>
      </c>
      <c r="R84" s="21">
        <f t="shared" si="14"/>
        <v>27836042.031123489</v>
      </c>
      <c r="S84" s="21">
        <f t="shared" si="15"/>
        <v>6613016.0819928385</v>
      </c>
      <c r="T84" s="14">
        <f>IFERROR(INDEX(Cost_Components!$R$2:$R$27,MATCH(E84,Cost_Components!$A$2:$A$27,0)),"")</f>
        <v>1</v>
      </c>
      <c r="U84" s="24">
        <f>IFERROR(INDEX(Cost_Components!$Q$2:$Q$27,MATCH(E84,Cost_Components!$A$2:$A$27,0)),"")</f>
        <v>2023</v>
      </c>
      <c r="V84" s="28">
        <f>1/(1+Calculation_Assumptions!$B$5)^(B84-Calculation_Assumptions!$B$2)</f>
        <v>0.888487047915689</v>
      </c>
      <c r="W84" s="21">
        <f t="shared" si="16"/>
        <v>18856383.673381157</v>
      </c>
      <c r="X84" s="21">
        <f t="shared" si="17"/>
        <v>24731962.80988995</v>
      </c>
      <c r="Y84" s="21">
        <f t="shared" si="18"/>
        <v>5875579.1365087926</v>
      </c>
      <c r="Z84" s="15">
        <f>IFERROR(INDEX(Cost_Components!$T$2:$T$27,MATCH(E84,Cost_Components!$A$2:$A$27,0)),"")</f>
        <v>0.8</v>
      </c>
      <c r="AA84" s="24">
        <f>IFERROR(INDEX(Cost_Components!$U$2:$U$27,MATCH(E84,Cost_Components!$A$2:$A$27,0)),"")</f>
        <v>2025</v>
      </c>
      <c r="AB84" s="24">
        <f>IFERROR(INDEX(Cost_Components!$V$2:$V$27,MATCH(E84,Cost_Components!$A$2:$A$27,0)),"")</f>
        <v>2050</v>
      </c>
      <c r="AC84" s="24">
        <f>IFERROR(INDEX(Cost_Components!$M$2:$M$27,MATCH(E84,Cost_Components!$A$2:$A$27,0)),"")</f>
        <v>30</v>
      </c>
      <c r="AD84" s="24">
        <f>IFERROR(INDEX(Cost_Components!$N$2:$N$27,MATCH(E84,Cost_Components!$A$2:$A$27,0)),"")</f>
        <v>95</v>
      </c>
      <c r="AE84" s="14" t="str">
        <f>IFERROR(INDEX(Cost_Components!$O$2:$O$27,MATCH(E84,Cost_Components!$A$2:$A$27,0)),"")</f>
        <v>Both</v>
      </c>
      <c r="AF84" s="11">
        <v>487494.73134855001</v>
      </c>
      <c r="AG84" s="11">
        <v>484660.27242354199</v>
      </c>
      <c r="AH84" s="21">
        <f t="shared" si="19"/>
        <v>1</v>
      </c>
    </row>
    <row r="85" spans="1:34" hidden="1">
      <c r="A85" t="s">
        <v>183</v>
      </c>
      <c r="B85" s="18">
        <v>2030</v>
      </c>
      <c r="C85" t="s">
        <v>183</v>
      </c>
      <c r="D85" t="s">
        <v>163</v>
      </c>
      <c r="E85" s="20" t="s">
        <v>265</v>
      </c>
      <c r="F85" s="20" t="s">
        <v>266</v>
      </c>
      <c r="G85" s="20" t="s">
        <v>193</v>
      </c>
      <c r="H85" s="20" t="s">
        <v>192</v>
      </c>
      <c r="I85" s="20" t="s">
        <v>264</v>
      </c>
      <c r="J85" s="15">
        <f>IFERROR(INDEX(Cost_Components!$K$2:$K$27,MATCH(E85,Cost_Components!$A$2:$A$27,0)),"")</f>
        <v>0.5</v>
      </c>
      <c r="K85" s="15">
        <f t="shared" si="10"/>
        <v>0.42307692307692307</v>
      </c>
      <c r="L85" s="15">
        <f>IFERROR(INDEX(Cost_Components!$S$2:$S$27,MATCH(E85,Cost_Components!$A$2:$A$27,0)),"")</f>
        <v>0.31</v>
      </c>
      <c r="M85" s="26">
        <f>IFERROR(INDEX(Cost_Components!$L$2:$L$27,MATCH(E85,Cost_Components!$A$2:$A$27,0)),"")</f>
        <v>1</v>
      </c>
      <c r="N85" s="27">
        <f>IFERROR(INDEX(Cost_Components!$P$2:$P$27,MATCH(E85,Cost_Components!$A$2:$A$27,0)),"")</f>
        <v>282.51283599999999</v>
      </c>
      <c r="O85" s="21">
        <f t="shared" si="11"/>
        <v>251653.230283443</v>
      </c>
      <c r="P85" s="21">
        <f t="shared" si="12"/>
        <v>249740.82167650899</v>
      </c>
      <c r="Q85" s="21">
        <f t="shared" si="13"/>
        <v>21872046.217008255</v>
      </c>
      <c r="R85" s="21">
        <f t="shared" si="14"/>
        <v>30078767.135973159</v>
      </c>
      <c r="S85" s="21">
        <f t="shared" si="15"/>
        <v>8206720.9189649038</v>
      </c>
      <c r="T85" s="14">
        <f>IFERROR(INDEX(Cost_Components!$R$2:$R$27,MATCH(E85,Cost_Components!$A$2:$A$27,0)),"")</f>
        <v>1</v>
      </c>
      <c r="U85" s="24">
        <f>IFERROR(INDEX(Cost_Components!$Q$2:$Q$27,MATCH(E85,Cost_Components!$A$2:$A$27,0)),"")</f>
        <v>2023</v>
      </c>
      <c r="V85" s="28">
        <f>1/(1+Calculation_Assumptions!$B$5)^(B85-Calculation_Assumptions!$B$2)</f>
        <v>0.86260878438416411</v>
      </c>
      <c r="W85" s="21">
        <f t="shared" si="16"/>
        <v>18867019.199247748</v>
      </c>
      <c r="X85" s="21">
        <f t="shared" si="17"/>
        <v>25946208.754936151</v>
      </c>
      <c r="Y85" s="21">
        <f t="shared" si="18"/>
        <v>7079189.5556884054</v>
      </c>
      <c r="Z85" s="15">
        <f>IFERROR(INDEX(Cost_Components!$T$2:$T$27,MATCH(E85,Cost_Components!$A$2:$A$27,0)),"")</f>
        <v>0.8</v>
      </c>
      <c r="AA85" s="24">
        <f>IFERROR(INDEX(Cost_Components!$U$2:$U$27,MATCH(E85,Cost_Components!$A$2:$A$27,0)),"")</f>
        <v>2025</v>
      </c>
      <c r="AB85" s="24">
        <f>IFERROR(INDEX(Cost_Components!$V$2:$V$27,MATCH(E85,Cost_Components!$A$2:$A$27,0)),"")</f>
        <v>2050</v>
      </c>
      <c r="AC85" s="24">
        <f>IFERROR(INDEX(Cost_Components!$M$2:$M$27,MATCH(E85,Cost_Components!$A$2:$A$27,0)),"")</f>
        <v>30</v>
      </c>
      <c r="AD85" s="24">
        <f>IFERROR(INDEX(Cost_Components!$N$2:$N$27,MATCH(E85,Cost_Components!$A$2:$A$27,0)),"")</f>
        <v>95</v>
      </c>
      <c r="AE85" s="14" t="str">
        <f>IFERROR(INDEX(Cost_Components!$O$2:$O$27,MATCH(E85,Cost_Components!$A$2:$A$27,0)),"")</f>
        <v>Both</v>
      </c>
      <c r="AF85" s="11">
        <v>503306.460566886</v>
      </c>
      <c r="AG85" s="11">
        <v>499481.64335301798</v>
      </c>
      <c r="AH85" s="21">
        <f t="shared" si="19"/>
        <v>1</v>
      </c>
    </row>
    <row r="86" spans="1:34" hidden="1">
      <c r="A86" t="s">
        <v>183</v>
      </c>
      <c r="B86" s="18">
        <v>2031</v>
      </c>
      <c r="C86" t="s">
        <v>183</v>
      </c>
      <c r="D86" t="s">
        <v>163</v>
      </c>
      <c r="E86" s="20" t="s">
        <v>265</v>
      </c>
      <c r="F86" s="20" t="s">
        <v>266</v>
      </c>
      <c r="G86" s="20" t="s">
        <v>193</v>
      </c>
      <c r="H86" s="20" t="s">
        <v>192</v>
      </c>
      <c r="I86" s="20" t="s">
        <v>264</v>
      </c>
      <c r="J86" s="15">
        <f>IFERROR(INDEX(Cost_Components!$K$2:$K$27,MATCH(E86,Cost_Components!$A$2:$A$27,0)),"")</f>
        <v>0.5</v>
      </c>
      <c r="K86" s="15">
        <f t="shared" si="10"/>
        <v>0.44192307692307692</v>
      </c>
      <c r="L86" s="15">
        <f>IFERROR(INDEX(Cost_Components!$S$2:$S$27,MATCH(E86,Cost_Components!$A$2:$A$27,0)),"")</f>
        <v>0.31</v>
      </c>
      <c r="M86" s="26">
        <f>IFERROR(INDEX(Cost_Components!$L$2:$L$27,MATCH(E86,Cost_Components!$A$2:$A$27,0)),"")</f>
        <v>1</v>
      </c>
      <c r="N86" s="27">
        <f>IFERROR(INDEX(Cost_Components!$P$2:$P$27,MATCH(E86,Cost_Components!$A$2:$A$27,0)),"")</f>
        <v>282.51283599999999</v>
      </c>
      <c r="O86" s="21">
        <f t="shared" si="11"/>
        <v>259712.08561361849</v>
      </c>
      <c r="P86" s="21">
        <f t="shared" si="12"/>
        <v>257246.51294702551</v>
      </c>
      <c r="Q86" s="21">
        <f t="shared" si="13"/>
        <v>22529386.996370215</v>
      </c>
      <c r="R86" s="21">
        <f t="shared" si="14"/>
        <v>32424779.049944114</v>
      </c>
      <c r="S86" s="21">
        <f t="shared" si="15"/>
        <v>9895392.053573899</v>
      </c>
      <c r="T86" s="14">
        <f>IFERROR(INDEX(Cost_Components!$R$2:$R$27,MATCH(E86,Cost_Components!$A$2:$A$27,0)),"")</f>
        <v>1</v>
      </c>
      <c r="U86" s="24">
        <f>IFERROR(INDEX(Cost_Components!$Q$2:$Q$27,MATCH(E86,Cost_Components!$A$2:$A$27,0)),"")</f>
        <v>2023</v>
      </c>
      <c r="V86" s="28">
        <f>1/(1+Calculation_Assumptions!$B$5)^(B86-Calculation_Assumptions!$B$2)</f>
        <v>0.83748425668365445</v>
      </c>
      <c r="W86" s="21">
        <f t="shared" si="16"/>
        <v>18868006.922193501</v>
      </c>
      <c r="X86" s="21">
        <f t="shared" si="17"/>
        <v>27155241.980774179</v>
      </c>
      <c r="Y86" s="21">
        <f t="shared" si="18"/>
        <v>8287235.058580678</v>
      </c>
      <c r="Z86" s="15">
        <f>IFERROR(INDEX(Cost_Components!$T$2:$T$27,MATCH(E86,Cost_Components!$A$2:$A$27,0)),"")</f>
        <v>0.8</v>
      </c>
      <c r="AA86" s="24">
        <f>IFERROR(INDEX(Cost_Components!$U$2:$U$27,MATCH(E86,Cost_Components!$A$2:$A$27,0)),"")</f>
        <v>2025</v>
      </c>
      <c r="AB86" s="24">
        <f>IFERROR(INDEX(Cost_Components!$V$2:$V$27,MATCH(E86,Cost_Components!$A$2:$A$27,0)),"")</f>
        <v>2050</v>
      </c>
      <c r="AC86" s="24">
        <f>IFERROR(INDEX(Cost_Components!$M$2:$M$27,MATCH(E86,Cost_Components!$A$2:$A$27,0)),"")</f>
        <v>30</v>
      </c>
      <c r="AD86" s="24">
        <f>IFERROR(INDEX(Cost_Components!$N$2:$N$27,MATCH(E86,Cost_Components!$A$2:$A$27,0)),"")</f>
        <v>95</v>
      </c>
      <c r="AE86" s="14" t="str">
        <f>IFERROR(INDEX(Cost_Components!$O$2:$O$27,MATCH(E86,Cost_Components!$A$2:$A$27,0)),"")</f>
        <v>Both</v>
      </c>
      <c r="AF86" s="11">
        <v>519424.17122723698</v>
      </c>
      <c r="AG86" s="11">
        <v>514493.02589405101</v>
      </c>
      <c r="AH86" s="21">
        <f t="shared" si="19"/>
        <v>1</v>
      </c>
    </row>
    <row r="87" spans="1:34" hidden="1">
      <c r="A87" t="s">
        <v>183</v>
      </c>
      <c r="B87" s="18">
        <v>2032</v>
      </c>
      <c r="C87" t="s">
        <v>183</v>
      </c>
      <c r="D87" t="s">
        <v>163</v>
      </c>
      <c r="E87" s="20" t="s">
        <v>265</v>
      </c>
      <c r="F87" s="20" t="s">
        <v>266</v>
      </c>
      <c r="G87" s="20" t="s">
        <v>193</v>
      </c>
      <c r="H87" s="20" t="s">
        <v>192</v>
      </c>
      <c r="I87" s="20" t="s">
        <v>264</v>
      </c>
      <c r="J87" s="15">
        <f>IFERROR(INDEX(Cost_Components!$K$2:$K$27,MATCH(E87,Cost_Components!$A$2:$A$27,0)),"")</f>
        <v>0.5</v>
      </c>
      <c r="K87" s="15">
        <f t="shared" si="10"/>
        <v>0.46076923076923082</v>
      </c>
      <c r="L87" s="15">
        <f>IFERROR(INDEX(Cost_Components!$S$2:$S$27,MATCH(E87,Cost_Components!$A$2:$A$27,0)),"")</f>
        <v>0.31</v>
      </c>
      <c r="M87" s="26">
        <f>IFERROR(INDEX(Cost_Components!$L$2:$L$27,MATCH(E87,Cost_Components!$A$2:$A$27,0)),"")</f>
        <v>1</v>
      </c>
      <c r="N87" s="27">
        <f>IFERROR(INDEX(Cost_Components!$P$2:$P$27,MATCH(E87,Cost_Components!$A$2:$A$27,0)),"")</f>
        <v>282.51283599999999</v>
      </c>
      <c r="O87" s="21">
        <f t="shared" si="11"/>
        <v>267889.45052185201</v>
      </c>
      <c r="P87" s="21">
        <f t="shared" si="12"/>
        <v>264815.77077415952</v>
      </c>
      <c r="Q87" s="21">
        <f t="shared" si="13"/>
        <v>23192294.869869456</v>
      </c>
      <c r="R87" s="21">
        <f t="shared" si="14"/>
        <v>34872032.948034346</v>
      </c>
      <c r="S87" s="21">
        <f t="shared" si="15"/>
        <v>11679738.07816489</v>
      </c>
      <c r="T87" s="14">
        <f>IFERROR(INDEX(Cost_Components!$R$2:$R$27,MATCH(E87,Cost_Components!$A$2:$A$27,0)),"")</f>
        <v>1</v>
      </c>
      <c r="U87" s="24">
        <f>IFERROR(INDEX(Cost_Components!$Q$2:$Q$27,MATCH(E87,Cost_Components!$A$2:$A$27,0)),"")</f>
        <v>2023</v>
      </c>
      <c r="V87" s="28">
        <f>1/(1+Calculation_Assumptions!$B$5)^(B87-Calculation_Assumptions!$B$2)</f>
        <v>0.81309151134335378</v>
      </c>
      <c r="W87" s="21">
        <f t="shared" si="16"/>
        <v>18857458.087262865</v>
      </c>
      <c r="X87" s="21">
        <f t="shared" si="17"/>
        <v>28354153.973332476</v>
      </c>
      <c r="Y87" s="21">
        <f t="shared" si="18"/>
        <v>9496695.8860696089</v>
      </c>
      <c r="Z87" s="15">
        <f>IFERROR(INDEX(Cost_Components!$T$2:$T$27,MATCH(E87,Cost_Components!$A$2:$A$27,0)),"")</f>
        <v>0.8</v>
      </c>
      <c r="AA87" s="24">
        <f>IFERROR(INDEX(Cost_Components!$U$2:$U$27,MATCH(E87,Cost_Components!$A$2:$A$27,0)),"")</f>
        <v>2025</v>
      </c>
      <c r="AB87" s="24">
        <f>IFERROR(INDEX(Cost_Components!$V$2:$V$27,MATCH(E87,Cost_Components!$A$2:$A$27,0)),"")</f>
        <v>2050</v>
      </c>
      <c r="AC87" s="24">
        <f>IFERROR(INDEX(Cost_Components!$M$2:$M$27,MATCH(E87,Cost_Components!$A$2:$A$27,0)),"")</f>
        <v>30</v>
      </c>
      <c r="AD87" s="24">
        <f>IFERROR(INDEX(Cost_Components!$N$2:$N$27,MATCH(E87,Cost_Components!$A$2:$A$27,0)),"")</f>
        <v>95</v>
      </c>
      <c r="AE87" s="14" t="str">
        <f>IFERROR(INDEX(Cost_Components!$O$2:$O$27,MATCH(E87,Cost_Components!$A$2:$A$27,0)),"")</f>
        <v>Both</v>
      </c>
      <c r="AF87" s="11">
        <v>535778.90104370401</v>
      </c>
      <c r="AG87" s="11">
        <v>529631.54154831904</v>
      </c>
      <c r="AH87" s="21">
        <f t="shared" si="19"/>
        <v>1</v>
      </c>
    </row>
    <row r="88" spans="1:34" hidden="1">
      <c r="A88" t="s">
        <v>183</v>
      </c>
      <c r="B88" s="18">
        <v>2033</v>
      </c>
      <c r="C88" t="s">
        <v>183</v>
      </c>
      <c r="D88" t="s">
        <v>163</v>
      </c>
      <c r="E88" s="20" t="s">
        <v>265</v>
      </c>
      <c r="F88" s="20" t="s">
        <v>266</v>
      </c>
      <c r="G88" s="20" t="s">
        <v>193</v>
      </c>
      <c r="H88" s="20" t="s">
        <v>192</v>
      </c>
      <c r="I88" s="20" t="s">
        <v>264</v>
      </c>
      <c r="J88" s="15">
        <f>IFERROR(INDEX(Cost_Components!$K$2:$K$27,MATCH(E88,Cost_Components!$A$2:$A$27,0)),"")</f>
        <v>0.5</v>
      </c>
      <c r="K88" s="15">
        <f t="shared" si="10"/>
        <v>0.47961538461538467</v>
      </c>
      <c r="L88" s="15">
        <f>IFERROR(INDEX(Cost_Components!$S$2:$S$27,MATCH(E88,Cost_Components!$A$2:$A$27,0)),"")</f>
        <v>0.31</v>
      </c>
      <c r="M88" s="26">
        <f>IFERROR(INDEX(Cost_Components!$L$2:$L$27,MATCH(E88,Cost_Components!$A$2:$A$27,0)),"")</f>
        <v>1</v>
      </c>
      <c r="N88" s="27">
        <f>IFERROR(INDEX(Cost_Components!$P$2:$P$27,MATCH(E88,Cost_Components!$A$2:$A$27,0)),"")</f>
        <v>282.51283599999999</v>
      </c>
      <c r="O88" s="21">
        <f t="shared" si="11"/>
        <v>276155.63193403999</v>
      </c>
      <c r="P88" s="21">
        <f t="shared" si="12"/>
        <v>272421.37313135847</v>
      </c>
      <c r="Q88" s="21">
        <f t="shared" si="13"/>
        <v>23858385.760209829</v>
      </c>
      <c r="R88" s="21">
        <f t="shared" si="14"/>
        <v>37418398.427521959</v>
      </c>
      <c r="S88" s="21">
        <f t="shared" si="15"/>
        <v>13560012.66731213</v>
      </c>
      <c r="T88" s="14">
        <f>IFERROR(INDEX(Cost_Components!$R$2:$R$27,MATCH(E88,Cost_Components!$A$2:$A$27,0)),"")</f>
        <v>1</v>
      </c>
      <c r="U88" s="24">
        <f>IFERROR(INDEX(Cost_Components!$Q$2:$Q$27,MATCH(E88,Cost_Components!$A$2:$A$27,0)),"")</f>
        <v>2023</v>
      </c>
      <c r="V88" s="28">
        <f>1/(1+Calculation_Assumptions!$B$5)^(B88-Calculation_Assumptions!$B$2)</f>
        <v>0.78940923431393573</v>
      </c>
      <c r="W88" s="21">
        <f t="shared" si="16"/>
        <v>18834030.03493375</v>
      </c>
      <c r="X88" s="21">
        <f t="shared" si="17"/>
        <v>29538429.251923885</v>
      </c>
      <c r="Y88" s="21">
        <f t="shared" si="18"/>
        <v>10704399.216990137</v>
      </c>
      <c r="Z88" s="15">
        <f>IFERROR(INDEX(Cost_Components!$T$2:$T$27,MATCH(E88,Cost_Components!$A$2:$A$27,0)),"")</f>
        <v>0.8</v>
      </c>
      <c r="AA88" s="24">
        <f>IFERROR(INDEX(Cost_Components!$U$2:$U$27,MATCH(E88,Cost_Components!$A$2:$A$27,0)),"")</f>
        <v>2025</v>
      </c>
      <c r="AB88" s="24">
        <f>IFERROR(INDEX(Cost_Components!$V$2:$V$27,MATCH(E88,Cost_Components!$A$2:$A$27,0)),"")</f>
        <v>2050</v>
      </c>
      <c r="AC88" s="24">
        <f>IFERROR(INDEX(Cost_Components!$M$2:$M$27,MATCH(E88,Cost_Components!$A$2:$A$27,0)),"")</f>
        <v>30</v>
      </c>
      <c r="AD88" s="24">
        <f>IFERROR(INDEX(Cost_Components!$N$2:$N$27,MATCH(E88,Cost_Components!$A$2:$A$27,0)),"")</f>
        <v>95</v>
      </c>
      <c r="AE88" s="14" t="str">
        <f>IFERROR(INDEX(Cost_Components!$O$2:$O$27,MATCH(E88,Cost_Components!$A$2:$A$27,0)),"")</f>
        <v>Both</v>
      </c>
      <c r="AF88" s="11">
        <v>552311.26386807999</v>
      </c>
      <c r="AG88" s="11">
        <v>544842.74626271694</v>
      </c>
      <c r="AH88" s="21">
        <f t="shared" si="19"/>
        <v>1</v>
      </c>
    </row>
    <row r="89" spans="1:34" hidden="1">
      <c r="A89" t="s">
        <v>183</v>
      </c>
      <c r="B89" s="18">
        <v>2034</v>
      </c>
      <c r="C89" t="s">
        <v>183</v>
      </c>
      <c r="D89" t="s">
        <v>163</v>
      </c>
      <c r="E89" s="20" t="s">
        <v>265</v>
      </c>
      <c r="F89" s="20" t="s">
        <v>266</v>
      </c>
      <c r="G89" s="20" t="s">
        <v>193</v>
      </c>
      <c r="H89" s="20" t="s">
        <v>192</v>
      </c>
      <c r="I89" s="20" t="s">
        <v>264</v>
      </c>
      <c r="J89" s="15">
        <f>IFERROR(INDEX(Cost_Components!$K$2:$K$27,MATCH(E89,Cost_Components!$A$2:$A$27,0)),"")</f>
        <v>0.5</v>
      </c>
      <c r="K89" s="15">
        <f t="shared" si="10"/>
        <v>0.49846153846153851</v>
      </c>
      <c r="L89" s="15">
        <f>IFERROR(INDEX(Cost_Components!$S$2:$S$27,MATCH(E89,Cost_Components!$A$2:$A$27,0)),"")</f>
        <v>0.31</v>
      </c>
      <c r="M89" s="26">
        <f>IFERROR(INDEX(Cost_Components!$L$2:$L$27,MATCH(E89,Cost_Components!$A$2:$A$27,0)),"")</f>
        <v>1</v>
      </c>
      <c r="N89" s="27">
        <f>IFERROR(INDEX(Cost_Components!$P$2:$P$27,MATCH(E89,Cost_Components!$A$2:$A$27,0)),"")</f>
        <v>282.51283599999999</v>
      </c>
      <c r="O89" s="21">
        <f t="shared" si="11"/>
        <v>284485.1659016615</v>
      </c>
      <c r="P89" s="21">
        <f t="shared" si="12"/>
        <v>280039.99332398502</v>
      </c>
      <c r="Q89" s="21">
        <f t="shared" si="13"/>
        <v>24525616.739287823</v>
      </c>
      <c r="R89" s="21">
        <f t="shared" si="14"/>
        <v>40061708.261683203</v>
      </c>
      <c r="S89" s="21">
        <f t="shared" si="15"/>
        <v>15536091.52239538</v>
      </c>
      <c r="T89" s="14">
        <f>IFERROR(INDEX(Cost_Components!$R$2:$R$27,MATCH(E89,Cost_Components!$A$2:$A$27,0)),"")</f>
        <v>1</v>
      </c>
      <c r="U89" s="24">
        <f>IFERROR(INDEX(Cost_Components!$Q$2:$Q$27,MATCH(E89,Cost_Components!$A$2:$A$27,0)),"")</f>
        <v>2023</v>
      </c>
      <c r="V89" s="28">
        <f>1/(1+Calculation_Assumptions!$B$5)^(B89-Calculation_Assumptions!$B$2)</f>
        <v>0.76641673234362695</v>
      </c>
      <c r="W89" s="21">
        <f t="shared" si="16"/>
        <v>18796843.040037133</v>
      </c>
      <c r="X89" s="21">
        <f t="shared" si="17"/>
        <v>30703963.538022924</v>
      </c>
      <c r="Y89" s="21">
        <f t="shared" si="18"/>
        <v>11907120.497985791</v>
      </c>
      <c r="Z89" s="15">
        <f>IFERROR(INDEX(Cost_Components!$T$2:$T$27,MATCH(E89,Cost_Components!$A$2:$A$27,0)),"")</f>
        <v>0.8</v>
      </c>
      <c r="AA89" s="24">
        <f>IFERROR(INDEX(Cost_Components!$U$2:$U$27,MATCH(E89,Cost_Components!$A$2:$A$27,0)),"")</f>
        <v>2025</v>
      </c>
      <c r="AB89" s="24">
        <f>IFERROR(INDEX(Cost_Components!$V$2:$V$27,MATCH(E89,Cost_Components!$A$2:$A$27,0)),"")</f>
        <v>2050</v>
      </c>
      <c r="AC89" s="24">
        <f>IFERROR(INDEX(Cost_Components!$M$2:$M$27,MATCH(E89,Cost_Components!$A$2:$A$27,0)),"")</f>
        <v>30</v>
      </c>
      <c r="AD89" s="24">
        <f>IFERROR(INDEX(Cost_Components!$N$2:$N$27,MATCH(E89,Cost_Components!$A$2:$A$27,0)),"")</f>
        <v>95</v>
      </c>
      <c r="AE89" s="14" t="str">
        <f>IFERROR(INDEX(Cost_Components!$O$2:$O$27,MATCH(E89,Cost_Components!$A$2:$A$27,0)),"")</f>
        <v>Both</v>
      </c>
      <c r="AF89" s="11">
        <v>568970.331803323</v>
      </c>
      <c r="AG89" s="11">
        <v>560079.98664797004</v>
      </c>
      <c r="AH89" s="21">
        <f t="shared" si="19"/>
        <v>1</v>
      </c>
    </row>
    <row r="90" spans="1:34" hidden="1">
      <c r="A90" t="s">
        <v>183</v>
      </c>
      <c r="B90" s="18">
        <v>2035</v>
      </c>
      <c r="C90" t="s">
        <v>183</v>
      </c>
      <c r="D90" t="s">
        <v>163</v>
      </c>
      <c r="E90" s="20" t="s">
        <v>265</v>
      </c>
      <c r="F90" s="20" t="s">
        <v>266</v>
      </c>
      <c r="G90" s="20" t="s">
        <v>193</v>
      </c>
      <c r="H90" s="20" t="s">
        <v>192</v>
      </c>
      <c r="I90" s="20" t="s">
        <v>264</v>
      </c>
      <c r="J90" s="15">
        <f>IFERROR(INDEX(Cost_Components!$K$2:$K$27,MATCH(E90,Cost_Components!$A$2:$A$27,0)),"")</f>
        <v>0.5</v>
      </c>
      <c r="K90" s="15">
        <f t="shared" si="10"/>
        <v>0.51730769230769236</v>
      </c>
      <c r="L90" s="15">
        <f>IFERROR(INDEX(Cost_Components!$S$2:$S$27,MATCH(E90,Cost_Components!$A$2:$A$27,0)),"")</f>
        <v>0.31</v>
      </c>
      <c r="M90" s="26">
        <f>IFERROR(INDEX(Cost_Components!$L$2:$L$27,MATCH(E90,Cost_Components!$A$2:$A$27,0)),"")</f>
        <v>1</v>
      </c>
      <c r="N90" s="27">
        <f>IFERROR(INDEX(Cost_Components!$P$2:$P$27,MATCH(E90,Cost_Components!$A$2:$A$27,0)),"")</f>
        <v>282.51283599999999</v>
      </c>
      <c r="O90" s="21">
        <f t="shared" si="11"/>
        <v>292854.44110901549</v>
      </c>
      <c r="P90" s="21">
        <f t="shared" si="12"/>
        <v>287649.78874705499</v>
      </c>
      <c r="Q90" s="21">
        <f t="shared" si="13"/>
        <v>25192074.854056731</v>
      </c>
      <c r="R90" s="21">
        <f t="shared" si="14"/>
        <v>42799523.669982485</v>
      </c>
      <c r="S90" s="21">
        <f t="shared" si="15"/>
        <v>17607448.815925755</v>
      </c>
      <c r="T90" s="14">
        <f>IFERROR(INDEX(Cost_Components!$R$2:$R$27,MATCH(E90,Cost_Components!$A$2:$A$27,0)),"")</f>
        <v>1</v>
      </c>
      <c r="U90" s="24">
        <f>IFERROR(INDEX(Cost_Components!$Q$2:$Q$27,MATCH(E90,Cost_Components!$A$2:$A$27,0)),"")</f>
        <v>2023</v>
      </c>
      <c r="V90" s="28">
        <f>1/(1+Calculation_Assumptions!$B$5)^(B90-Calculation_Assumptions!$B$2)</f>
        <v>0.74409391489672516</v>
      </c>
      <c r="W90" s="21">
        <f t="shared" si="16"/>
        <v>18745269.602526419</v>
      </c>
      <c r="X90" s="21">
        <f t="shared" si="17"/>
        <v>31846865.123312321</v>
      </c>
      <c r="Y90" s="21">
        <f t="shared" si="18"/>
        <v>13101595.520785904</v>
      </c>
      <c r="Z90" s="15">
        <f>IFERROR(INDEX(Cost_Components!$T$2:$T$27,MATCH(E90,Cost_Components!$A$2:$A$27,0)),"")</f>
        <v>0.8</v>
      </c>
      <c r="AA90" s="24">
        <f>IFERROR(INDEX(Cost_Components!$U$2:$U$27,MATCH(E90,Cost_Components!$A$2:$A$27,0)),"")</f>
        <v>2025</v>
      </c>
      <c r="AB90" s="24">
        <f>IFERROR(INDEX(Cost_Components!$V$2:$V$27,MATCH(E90,Cost_Components!$A$2:$A$27,0)),"")</f>
        <v>2050</v>
      </c>
      <c r="AC90" s="24">
        <f>IFERROR(INDEX(Cost_Components!$M$2:$M$27,MATCH(E90,Cost_Components!$A$2:$A$27,0)),"")</f>
        <v>30</v>
      </c>
      <c r="AD90" s="24">
        <f>IFERROR(INDEX(Cost_Components!$N$2:$N$27,MATCH(E90,Cost_Components!$A$2:$A$27,0)),"")</f>
        <v>95</v>
      </c>
      <c r="AE90" s="14" t="str">
        <f>IFERROR(INDEX(Cost_Components!$O$2:$O$27,MATCH(E90,Cost_Components!$A$2:$A$27,0)),"")</f>
        <v>Both</v>
      </c>
      <c r="AF90" s="11">
        <v>585708.88221803098</v>
      </c>
      <c r="AG90" s="11">
        <v>575299.57749410998</v>
      </c>
      <c r="AH90" s="21">
        <f t="shared" si="19"/>
        <v>1</v>
      </c>
    </row>
    <row r="91" spans="1:34" hidden="1">
      <c r="A91" t="s">
        <v>183</v>
      </c>
      <c r="B91" s="18">
        <v>2036</v>
      </c>
      <c r="C91" t="s">
        <v>183</v>
      </c>
      <c r="D91" t="s">
        <v>163</v>
      </c>
      <c r="E91" s="20" t="s">
        <v>265</v>
      </c>
      <c r="F91" s="20" t="s">
        <v>266</v>
      </c>
      <c r="G91" s="20" t="s">
        <v>193</v>
      </c>
      <c r="H91" s="20" t="s">
        <v>192</v>
      </c>
      <c r="I91" s="20" t="s">
        <v>264</v>
      </c>
      <c r="J91" s="15">
        <f>IFERROR(INDEX(Cost_Components!$K$2:$K$27,MATCH(E91,Cost_Components!$A$2:$A$27,0)),"")</f>
        <v>0.5</v>
      </c>
      <c r="K91" s="15">
        <f t="shared" si="10"/>
        <v>0.5361538461538462</v>
      </c>
      <c r="L91" s="15">
        <f>IFERROR(INDEX(Cost_Components!$S$2:$S$27,MATCH(E91,Cost_Components!$A$2:$A$27,0)),"")</f>
        <v>0.31</v>
      </c>
      <c r="M91" s="26">
        <f>IFERROR(INDEX(Cost_Components!$L$2:$L$27,MATCH(E91,Cost_Components!$A$2:$A$27,0)),"")</f>
        <v>1</v>
      </c>
      <c r="N91" s="27">
        <f>IFERROR(INDEX(Cost_Components!$P$2:$P$27,MATCH(E91,Cost_Components!$A$2:$A$27,0)),"")</f>
        <v>282.51283599999999</v>
      </c>
      <c r="O91" s="21">
        <f t="shared" si="11"/>
        <v>301256.6169812</v>
      </c>
      <c r="P91" s="21">
        <f t="shared" si="12"/>
        <v>295245.540540702</v>
      </c>
      <c r="Q91" s="21">
        <f t="shared" si="13"/>
        <v>25857303.042097077</v>
      </c>
      <c r="R91" s="21">
        <f t="shared" si="14"/>
        <v>45631443.288696788</v>
      </c>
      <c r="S91" s="21">
        <f t="shared" si="15"/>
        <v>19774140.246599711</v>
      </c>
      <c r="T91" s="14">
        <f>IFERROR(INDEX(Cost_Components!$R$2:$R$27,MATCH(E91,Cost_Components!$A$2:$A$27,0)),"")</f>
        <v>1</v>
      </c>
      <c r="U91" s="24">
        <f>IFERROR(INDEX(Cost_Components!$Q$2:$Q$27,MATCH(E91,Cost_Components!$A$2:$A$27,0)),"")</f>
        <v>2023</v>
      </c>
      <c r="V91" s="28">
        <f>1/(1+Calculation_Assumptions!$B$5)^(B91-Calculation_Assumptions!$B$2)</f>
        <v>0.72242127659876232</v>
      </c>
      <c r="W91" s="21">
        <f t="shared" si="16"/>
        <v>18679865.873072829</v>
      </c>
      <c r="X91" s="21">
        <f t="shared" si="17"/>
        <v>32965125.513664357</v>
      </c>
      <c r="Y91" s="21">
        <f t="shared" si="18"/>
        <v>14285259.640591528</v>
      </c>
      <c r="Z91" s="15">
        <f>IFERROR(INDEX(Cost_Components!$T$2:$T$27,MATCH(E91,Cost_Components!$A$2:$A$27,0)),"")</f>
        <v>0.8</v>
      </c>
      <c r="AA91" s="24">
        <f>IFERROR(INDEX(Cost_Components!$U$2:$U$27,MATCH(E91,Cost_Components!$A$2:$A$27,0)),"")</f>
        <v>2025</v>
      </c>
      <c r="AB91" s="24">
        <f>IFERROR(INDEX(Cost_Components!$V$2:$V$27,MATCH(E91,Cost_Components!$A$2:$A$27,0)),"")</f>
        <v>2050</v>
      </c>
      <c r="AC91" s="24">
        <f>IFERROR(INDEX(Cost_Components!$M$2:$M$27,MATCH(E91,Cost_Components!$A$2:$A$27,0)),"")</f>
        <v>30</v>
      </c>
      <c r="AD91" s="24">
        <f>IFERROR(INDEX(Cost_Components!$N$2:$N$27,MATCH(E91,Cost_Components!$A$2:$A$27,0)),"")</f>
        <v>95</v>
      </c>
      <c r="AE91" s="14" t="str">
        <f>IFERROR(INDEX(Cost_Components!$O$2:$O$27,MATCH(E91,Cost_Components!$A$2:$A$27,0)),"")</f>
        <v>Both</v>
      </c>
      <c r="AF91" s="11">
        <v>602513.2339624</v>
      </c>
      <c r="AG91" s="11">
        <v>590491.081081404</v>
      </c>
      <c r="AH91" s="21">
        <f t="shared" si="19"/>
        <v>1</v>
      </c>
    </row>
    <row r="92" spans="1:34" hidden="1">
      <c r="A92" t="s">
        <v>183</v>
      </c>
      <c r="B92" s="18">
        <v>2037</v>
      </c>
      <c r="C92" t="s">
        <v>183</v>
      </c>
      <c r="D92" t="s">
        <v>163</v>
      </c>
      <c r="E92" s="20" t="s">
        <v>265</v>
      </c>
      <c r="F92" s="20" t="s">
        <v>266</v>
      </c>
      <c r="G92" s="20" t="s">
        <v>193</v>
      </c>
      <c r="H92" s="20" t="s">
        <v>192</v>
      </c>
      <c r="I92" s="20" t="s">
        <v>264</v>
      </c>
      <c r="J92" s="15">
        <f>IFERROR(INDEX(Cost_Components!$K$2:$K$27,MATCH(E92,Cost_Components!$A$2:$A$27,0)),"")</f>
        <v>0.5</v>
      </c>
      <c r="K92" s="15">
        <f t="shared" si="10"/>
        <v>0.55500000000000005</v>
      </c>
      <c r="L92" s="15">
        <f>IFERROR(INDEX(Cost_Components!$S$2:$S$27,MATCH(E92,Cost_Components!$A$2:$A$27,0)),"")</f>
        <v>0.31</v>
      </c>
      <c r="M92" s="26">
        <f>IFERROR(INDEX(Cost_Components!$L$2:$L$27,MATCH(E92,Cost_Components!$A$2:$A$27,0)),"")</f>
        <v>1</v>
      </c>
      <c r="N92" s="27">
        <f>IFERROR(INDEX(Cost_Components!$P$2:$P$27,MATCH(E92,Cost_Components!$A$2:$A$27,0)),"")</f>
        <v>282.51283599999999</v>
      </c>
      <c r="O92" s="21">
        <f t="shared" si="11"/>
        <v>309696.91260968649</v>
      </c>
      <c r="P92" s="21">
        <f t="shared" si="12"/>
        <v>302834.04862484051</v>
      </c>
      <c r="Q92" s="21">
        <f t="shared" si="13"/>
        <v>26521896.833453331</v>
      </c>
      <c r="R92" s="21">
        <f t="shared" si="14"/>
        <v>48558810.96040272</v>
      </c>
      <c r="S92" s="21">
        <f t="shared" si="15"/>
        <v>22036914.126949389</v>
      </c>
      <c r="T92" s="14">
        <f>IFERROR(INDEX(Cost_Components!$R$2:$R$27,MATCH(E92,Cost_Components!$A$2:$A$27,0)),"")</f>
        <v>1</v>
      </c>
      <c r="U92" s="24">
        <f>IFERROR(INDEX(Cost_Components!$Q$2:$Q$27,MATCH(E92,Cost_Components!$A$2:$A$27,0)),"")</f>
        <v>2023</v>
      </c>
      <c r="V92" s="28">
        <f>1/(1+Calculation_Assumptions!$B$5)^(B92-Calculation_Assumptions!$B$2)</f>
        <v>0.70137988019297326</v>
      </c>
      <c r="W92" s="21">
        <f t="shared" si="16"/>
        <v>18601924.823537894</v>
      </c>
      <c r="X92" s="21">
        <f t="shared" si="17"/>
        <v>34058173.013720497</v>
      </c>
      <c r="Y92" s="21">
        <f t="shared" si="18"/>
        <v>15456248.190182602</v>
      </c>
      <c r="Z92" s="15">
        <f>IFERROR(INDEX(Cost_Components!$T$2:$T$27,MATCH(E92,Cost_Components!$A$2:$A$27,0)),"")</f>
        <v>0.8</v>
      </c>
      <c r="AA92" s="24">
        <f>IFERROR(INDEX(Cost_Components!$U$2:$U$27,MATCH(E92,Cost_Components!$A$2:$A$27,0)),"")</f>
        <v>2025</v>
      </c>
      <c r="AB92" s="24">
        <f>IFERROR(INDEX(Cost_Components!$V$2:$V$27,MATCH(E92,Cost_Components!$A$2:$A$27,0)),"")</f>
        <v>2050</v>
      </c>
      <c r="AC92" s="24">
        <f>IFERROR(INDEX(Cost_Components!$M$2:$M$27,MATCH(E92,Cost_Components!$A$2:$A$27,0)),"")</f>
        <v>30</v>
      </c>
      <c r="AD92" s="24">
        <f>IFERROR(INDEX(Cost_Components!$N$2:$N$27,MATCH(E92,Cost_Components!$A$2:$A$27,0)),"")</f>
        <v>95</v>
      </c>
      <c r="AE92" s="14" t="str">
        <f>IFERROR(INDEX(Cost_Components!$O$2:$O$27,MATCH(E92,Cost_Components!$A$2:$A$27,0)),"")</f>
        <v>Both</v>
      </c>
      <c r="AF92" s="11">
        <v>619393.82521937299</v>
      </c>
      <c r="AG92" s="11">
        <v>605668.09724968101</v>
      </c>
      <c r="AH92" s="21">
        <f t="shared" si="19"/>
        <v>1</v>
      </c>
    </row>
    <row r="93" spans="1:34" hidden="1">
      <c r="A93" t="s">
        <v>183</v>
      </c>
      <c r="B93" s="18">
        <v>2038</v>
      </c>
      <c r="C93" t="s">
        <v>183</v>
      </c>
      <c r="D93" t="s">
        <v>163</v>
      </c>
      <c r="E93" s="20" t="s">
        <v>265</v>
      </c>
      <c r="F93" s="20" t="s">
        <v>266</v>
      </c>
      <c r="G93" s="20" t="s">
        <v>193</v>
      </c>
      <c r="H93" s="20" t="s">
        <v>192</v>
      </c>
      <c r="I93" s="20" t="s">
        <v>264</v>
      </c>
      <c r="J93" s="15">
        <f>IFERROR(INDEX(Cost_Components!$K$2:$K$27,MATCH(E93,Cost_Components!$A$2:$A$27,0)),"")</f>
        <v>0.5</v>
      </c>
      <c r="K93" s="15">
        <f t="shared" si="10"/>
        <v>0.57384615384615389</v>
      </c>
      <c r="L93" s="15">
        <f>IFERROR(INDEX(Cost_Components!$S$2:$S$27,MATCH(E93,Cost_Components!$A$2:$A$27,0)),"")</f>
        <v>0.31</v>
      </c>
      <c r="M93" s="26">
        <f>IFERROR(INDEX(Cost_Components!$L$2:$L$27,MATCH(E93,Cost_Components!$A$2:$A$27,0)),"")</f>
        <v>1</v>
      </c>
      <c r="N93" s="27">
        <f>IFERROR(INDEX(Cost_Components!$P$2:$P$27,MATCH(E93,Cost_Components!$A$2:$A$27,0)),"")</f>
        <v>282.51283599999999</v>
      </c>
      <c r="O93" s="21">
        <f t="shared" si="11"/>
        <v>318172.70175799599</v>
      </c>
      <c r="P93" s="21">
        <f t="shared" si="12"/>
        <v>310413.93621875747</v>
      </c>
      <c r="Q93" s="21">
        <f t="shared" si="13"/>
        <v>27185735.651076127</v>
      </c>
      <c r="R93" s="21">
        <f t="shared" si="14"/>
        <v>51581809.803330377</v>
      </c>
      <c r="S93" s="21">
        <f t="shared" si="15"/>
        <v>24396074.15225425</v>
      </c>
      <c r="T93" s="14">
        <f>IFERROR(INDEX(Cost_Components!$R$2:$R$27,MATCH(E93,Cost_Components!$A$2:$A$27,0)),"")</f>
        <v>1</v>
      </c>
      <c r="U93" s="24">
        <f>IFERROR(INDEX(Cost_Components!$Q$2:$Q$27,MATCH(E93,Cost_Components!$A$2:$A$27,0)),"")</f>
        <v>2023</v>
      </c>
      <c r="V93" s="28">
        <f>1/(1+Calculation_Assumptions!$B$5)^(B93-Calculation_Assumptions!$B$2)</f>
        <v>0.68095133999317792</v>
      </c>
      <c r="W93" s="21">
        <f t="shared" si="16"/>
        <v>18512163.120300598</v>
      </c>
      <c r="X93" s="21">
        <f t="shared" si="17"/>
        <v>35124702.504851058</v>
      </c>
      <c r="Y93" s="21">
        <f t="shared" si="18"/>
        <v>16612539.384550463</v>
      </c>
      <c r="Z93" s="15">
        <f>IFERROR(INDEX(Cost_Components!$T$2:$T$27,MATCH(E93,Cost_Components!$A$2:$A$27,0)),"")</f>
        <v>0.8</v>
      </c>
      <c r="AA93" s="24">
        <f>IFERROR(INDEX(Cost_Components!$U$2:$U$27,MATCH(E93,Cost_Components!$A$2:$A$27,0)),"")</f>
        <v>2025</v>
      </c>
      <c r="AB93" s="24">
        <f>IFERROR(INDEX(Cost_Components!$V$2:$V$27,MATCH(E93,Cost_Components!$A$2:$A$27,0)),"")</f>
        <v>2050</v>
      </c>
      <c r="AC93" s="24">
        <f>IFERROR(INDEX(Cost_Components!$M$2:$M$27,MATCH(E93,Cost_Components!$A$2:$A$27,0)),"")</f>
        <v>30</v>
      </c>
      <c r="AD93" s="24">
        <f>IFERROR(INDEX(Cost_Components!$N$2:$N$27,MATCH(E93,Cost_Components!$A$2:$A$27,0)),"")</f>
        <v>95</v>
      </c>
      <c r="AE93" s="14" t="str">
        <f>IFERROR(INDEX(Cost_Components!$O$2:$O$27,MATCH(E93,Cost_Components!$A$2:$A$27,0)),"")</f>
        <v>Both</v>
      </c>
      <c r="AF93" s="11">
        <v>636345.40351599199</v>
      </c>
      <c r="AG93" s="11">
        <v>620827.87243751495</v>
      </c>
      <c r="AH93" s="21">
        <f t="shared" si="19"/>
        <v>1</v>
      </c>
    </row>
    <row r="94" spans="1:34" hidden="1">
      <c r="A94" t="s">
        <v>183</v>
      </c>
      <c r="B94" s="18">
        <v>2039</v>
      </c>
      <c r="C94" t="s">
        <v>183</v>
      </c>
      <c r="D94" t="s">
        <v>163</v>
      </c>
      <c r="E94" s="20" t="s">
        <v>265</v>
      </c>
      <c r="F94" s="20" t="s">
        <v>266</v>
      </c>
      <c r="G94" s="20" t="s">
        <v>193</v>
      </c>
      <c r="H94" s="20" t="s">
        <v>192</v>
      </c>
      <c r="I94" s="20" t="s">
        <v>264</v>
      </c>
      <c r="J94" s="15">
        <f>IFERROR(INDEX(Cost_Components!$K$2:$K$27,MATCH(E94,Cost_Components!$A$2:$A$27,0)),"")</f>
        <v>0.5</v>
      </c>
      <c r="K94" s="15">
        <f t="shared" si="10"/>
        <v>0.59269230769230763</v>
      </c>
      <c r="L94" s="15">
        <f>IFERROR(INDEX(Cost_Components!$S$2:$S$27,MATCH(E94,Cost_Components!$A$2:$A$27,0)),"")</f>
        <v>0.31</v>
      </c>
      <c r="M94" s="26">
        <f>IFERROR(INDEX(Cost_Components!$L$2:$L$27,MATCH(E94,Cost_Components!$A$2:$A$27,0)),"")</f>
        <v>1</v>
      </c>
      <c r="N94" s="27">
        <f>IFERROR(INDEX(Cost_Components!$P$2:$P$27,MATCH(E94,Cost_Components!$A$2:$A$27,0)),"")</f>
        <v>282.51283599999999</v>
      </c>
      <c r="O94" s="21">
        <f t="shared" si="11"/>
        <v>326669.16794352297</v>
      </c>
      <c r="P94" s="21">
        <f t="shared" si="12"/>
        <v>317971.21847883897</v>
      </c>
      <c r="Q94" s="21">
        <f t="shared" si="13"/>
        <v>27847594.716638044</v>
      </c>
      <c r="R94" s="21">
        <f t="shared" si="14"/>
        <v>54698525.830798581</v>
      </c>
      <c r="S94" s="21">
        <f t="shared" si="15"/>
        <v>26850931.114160538</v>
      </c>
      <c r="T94" s="14">
        <f>IFERROR(INDEX(Cost_Components!$R$2:$R$27,MATCH(E94,Cost_Components!$A$2:$A$27,0)),"")</f>
        <v>1</v>
      </c>
      <c r="U94" s="24">
        <f>IFERROR(INDEX(Cost_Components!$Q$2:$Q$27,MATCH(E94,Cost_Components!$A$2:$A$27,0)),"")</f>
        <v>2023</v>
      </c>
      <c r="V94" s="28">
        <f>1/(1+Calculation_Assumptions!$B$5)^(B94-Calculation_Assumptions!$B$2)</f>
        <v>0.66111780581861923</v>
      </c>
      <c r="W94" s="21">
        <f t="shared" si="16"/>
        <v>18410540.716389917</v>
      </c>
      <c r="X94" s="21">
        <f t="shared" si="17"/>
        <v>36162169.378770627</v>
      </c>
      <c r="Y94" s="21">
        <f t="shared" si="18"/>
        <v>17751628.662380707</v>
      </c>
      <c r="Z94" s="15">
        <f>IFERROR(INDEX(Cost_Components!$T$2:$T$27,MATCH(E94,Cost_Components!$A$2:$A$27,0)),"")</f>
        <v>0.8</v>
      </c>
      <c r="AA94" s="24">
        <f>IFERROR(INDEX(Cost_Components!$U$2:$U$27,MATCH(E94,Cost_Components!$A$2:$A$27,0)),"")</f>
        <v>2025</v>
      </c>
      <c r="AB94" s="24">
        <f>IFERROR(INDEX(Cost_Components!$V$2:$V$27,MATCH(E94,Cost_Components!$A$2:$A$27,0)),"")</f>
        <v>2050</v>
      </c>
      <c r="AC94" s="24">
        <f>IFERROR(INDEX(Cost_Components!$M$2:$M$27,MATCH(E94,Cost_Components!$A$2:$A$27,0)),"")</f>
        <v>30</v>
      </c>
      <c r="AD94" s="24">
        <f>IFERROR(INDEX(Cost_Components!$N$2:$N$27,MATCH(E94,Cost_Components!$A$2:$A$27,0)),"")</f>
        <v>95</v>
      </c>
      <c r="AE94" s="14" t="str">
        <f>IFERROR(INDEX(Cost_Components!$O$2:$O$27,MATCH(E94,Cost_Components!$A$2:$A$27,0)),"")</f>
        <v>Both</v>
      </c>
      <c r="AF94" s="11">
        <v>653338.33588704595</v>
      </c>
      <c r="AG94" s="11">
        <v>635942.43695767794</v>
      </c>
      <c r="AH94" s="21">
        <f t="shared" si="19"/>
        <v>1</v>
      </c>
    </row>
    <row r="95" spans="1:34" hidden="1">
      <c r="A95" t="s">
        <v>183</v>
      </c>
      <c r="B95" s="18">
        <v>2040</v>
      </c>
      <c r="C95" t="s">
        <v>183</v>
      </c>
      <c r="D95" t="s">
        <v>163</v>
      </c>
      <c r="E95" s="20" t="s">
        <v>265</v>
      </c>
      <c r="F95" s="20" t="s">
        <v>266</v>
      </c>
      <c r="G95" s="20" t="s">
        <v>193</v>
      </c>
      <c r="H95" s="20" t="s">
        <v>192</v>
      </c>
      <c r="I95" s="20" t="s">
        <v>264</v>
      </c>
      <c r="J95" s="15">
        <f>IFERROR(INDEX(Cost_Components!$K$2:$K$27,MATCH(E95,Cost_Components!$A$2:$A$27,0)),"")</f>
        <v>0.5</v>
      </c>
      <c r="K95" s="15">
        <f t="shared" si="10"/>
        <v>0.61153846153846159</v>
      </c>
      <c r="L95" s="15">
        <f>IFERROR(INDEX(Cost_Components!$S$2:$S$27,MATCH(E95,Cost_Components!$A$2:$A$27,0)),"")</f>
        <v>0.31</v>
      </c>
      <c r="M95" s="26">
        <f>IFERROR(INDEX(Cost_Components!$L$2:$L$27,MATCH(E95,Cost_Components!$A$2:$A$27,0)),"")</f>
        <v>1</v>
      </c>
      <c r="N95" s="27">
        <f>IFERROR(INDEX(Cost_Components!$P$2:$P$27,MATCH(E95,Cost_Components!$A$2:$A$27,0)),"")</f>
        <v>282.51283599999999</v>
      </c>
      <c r="O95" s="21">
        <f t="shared" si="11"/>
        <v>335177.54235201998</v>
      </c>
      <c r="P95" s="21">
        <f t="shared" si="12"/>
        <v>325498.07812450948</v>
      </c>
      <c r="Q95" s="21">
        <f t="shared" si="13"/>
        <v>28506789.400686465</v>
      </c>
      <c r="R95" s="21">
        <f t="shared" si="14"/>
        <v>57907774.348028094</v>
      </c>
      <c r="S95" s="21">
        <f t="shared" si="15"/>
        <v>29400984.947341628</v>
      </c>
      <c r="T95" s="14">
        <f>IFERROR(INDEX(Cost_Components!$R$2:$R$27,MATCH(E95,Cost_Components!$A$2:$A$27,0)),"")</f>
        <v>1</v>
      </c>
      <c r="U95" s="24">
        <f>IFERROR(INDEX(Cost_Components!$Q$2:$Q$27,MATCH(E95,Cost_Components!$A$2:$A$27,0)),"")</f>
        <v>2023</v>
      </c>
      <c r="V95" s="28">
        <f>1/(1+Calculation_Assumptions!$B$5)^(B95-Calculation_Assumptions!$B$2)</f>
        <v>0.64186194739671765</v>
      </c>
      <c r="W95" s="21">
        <f t="shared" si="16"/>
        <v>18297423.358752724</v>
      </c>
      <c r="X95" s="21">
        <f t="shared" si="17"/>
        <v>37168796.812435001</v>
      </c>
      <c r="Y95" s="21">
        <f t="shared" si="18"/>
        <v>18871373.453682281</v>
      </c>
      <c r="Z95" s="15">
        <f>IFERROR(INDEX(Cost_Components!$T$2:$T$27,MATCH(E95,Cost_Components!$A$2:$A$27,0)),"")</f>
        <v>0.8</v>
      </c>
      <c r="AA95" s="24">
        <f>IFERROR(INDEX(Cost_Components!$U$2:$U$27,MATCH(E95,Cost_Components!$A$2:$A$27,0)),"")</f>
        <v>2025</v>
      </c>
      <c r="AB95" s="24">
        <f>IFERROR(INDEX(Cost_Components!$V$2:$V$27,MATCH(E95,Cost_Components!$A$2:$A$27,0)),"")</f>
        <v>2050</v>
      </c>
      <c r="AC95" s="24">
        <f>IFERROR(INDEX(Cost_Components!$M$2:$M$27,MATCH(E95,Cost_Components!$A$2:$A$27,0)),"")</f>
        <v>30</v>
      </c>
      <c r="AD95" s="24">
        <f>IFERROR(INDEX(Cost_Components!$N$2:$N$27,MATCH(E95,Cost_Components!$A$2:$A$27,0)),"")</f>
        <v>95</v>
      </c>
      <c r="AE95" s="14" t="str">
        <f>IFERROR(INDEX(Cost_Components!$O$2:$O$27,MATCH(E95,Cost_Components!$A$2:$A$27,0)),"")</f>
        <v>Both</v>
      </c>
      <c r="AF95" s="11">
        <v>670355.08470403997</v>
      </c>
      <c r="AG95" s="11">
        <v>650996.15624901897</v>
      </c>
      <c r="AH95" s="21">
        <f t="shared" si="19"/>
        <v>1</v>
      </c>
    </row>
    <row r="96" spans="1:34" hidden="1">
      <c r="A96" t="s">
        <v>183</v>
      </c>
      <c r="B96" s="18">
        <v>2041</v>
      </c>
      <c r="C96" t="s">
        <v>183</v>
      </c>
      <c r="D96" t="s">
        <v>163</v>
      </c>
      <c r="E96" s="20" t="s">
        <v>265</v>
      </c>
      <c r="F96" s="20" t="s">
        <v>266</v>
      </c>
      <c r="G96" s="20" t="s">
        <v>193</v>
      </c>
      <c r="H96" s="20" t="s">
        <v>192</v>
      </c>
      <c r="I96" s="20" t="s">
        <v>264</v>
      </c>
      <c r="J96" s="15">
        <f>IFERROR(INDEX(Cost_Components!$K$2:$K$27,MATCH(E96,Cost_Components!$A$2:$A$27,0)),"")</f>
        <v>0.5</v>
      </c>
      <c r="K96" s="15">
        <f t="shared" si="10"/>
        <v>0.63038461538461543</v>
      </c>
      <c r="L96" s="15">
        <f>IFERROR(INDEX(Cost_Components!$S$2:$S$27,MATCH(E96,Cost_Components!$A$2:$A$27,0)),"")</f>
        <v>0.31</v>
      </c>
      <c r="M96" s="26">
        <f>IFERROR(INDEX(Cost_Components!$L$2:$L$27,MATCH(E96,Cost_Components!$A$2:$A$27,0)),"")</f>
        <v>1</v>
      </c>
      <c r="N96" s="27">
        <f>IFERROR(INDEX(Cost_Components!$P$2:$P$27,MATCH(E96,Cost_Components!$A$2:$A$27,0)),"")</f>
        <v>282.51283599999999</v>
      </c>
      <c r="O96" s="21">
        <f t="shared" si="11"/>
        <v>343695.55549710098</v>
      </c>
      <c r="P96" s="21">
        <f t="shared" si="12"/>
        <v>332993.11127286247</v>
      </c>
      <c r="Q96" s="21">
        <f t="shared" si="13"/>
        <v>29163196.752589583</v>
      </c>
      <c r="R96" s="21">
        <f t="shared" si="14"/>
        <v>61209341.386380538</v>
      </c>
      <c r="S96" s="21">
        <f t="shared" si="15"/>
        <v>32046144.633790955</v>
      </c>
      <c r="T96" s="14">
        <f>IFERROR(INDEX(Cost_Components!$R$2:$R$27,MATCH(E96,Cost_Components!$A$2:$A$27,0)),"")</f>
        <v>1</v>
      </c>
      <c r="U96" s="24">
        <f>IFERROR(INDEX(Cost_Components!$Q$2:$Q$27,MATCH(E96,Cost_Components!$A$2:$A$27,0)),"")</f>
        <v>2023</v>
      </c>
      <c r="V96" s="28">
        <f>1/(1+Calculation_Assumptions!$B$5)^(B96-Calculation_Assumptions!$B$2)</f>
        <v>0.62316693922011435</v>
      </c>
      <c r="W96" s="21">
        <f t="shared" si="16"/>
        <v>18173540.058185227</v>
      </c>
      <c r="X96" s="21">
        <f t="shared" si="17"/>
        <v>38143637.923429832</v>
      </c>
      <c r="Y96" s="21">
        <f t="shared" si="18"/>
        <v>19970097.865244601</v>
      </c>
      <c r="Z96" s="15">
        <f>IFERROR(INDEX(Cost_Components!$T$2:$T$27,MATCH(E96,Cost_Components!$A$2:$A$27,0)),"")</f>
        <v>0.8</v>
      </c>
      <c r="AA96" s="24">
        <f>IFERROR(INDEX(Cost_Components!$U$2:$U$27,MATCH(E96,Cost_Components!$A$2:$A$27,0)),"")</f>
        <v>2025</v>
      </c>
      <c r="AB96" s="24">
        <f>IFERROR(INDEX(Cost_Components!$V$2:$V$27,MATCH(E96,Cost_Components!$A$2:$A$27,0)),"")</f>
        <v>2050</v>
      </c>
      <c r="AC96" s="24">
        <f>IFERROR(INDEX(Cost_Components!$M$2:$M$27,MATCH(E96,Cost_Components!$A$2:$A$27,0)),"")</f>
        <v>30</v>
      </c>
      <c r="AD96" s="24">
        <f>IFERROR(INDEX(Cost_Components!$N$2:$N$27,MATCH(E96,Cost_Components!$A$2:$A$27,0)),"")</f>
        <v>95</v>
      </c>
      <c r="AE96" s="14" t="str">
        <f>IFERROR(INDEX(Cost_Components!$O$2:$O$27,MATCH(E96,Cost_Components!$A$2:$A$27,0)),"")</f>
        <v>Both</v>
      </c>
      <c r="AF96" s="11">
        <v>687391.11099420197</v>
      </c>
      <c r="AG96" s="11">
        <v>665986.22254572494</v>
      </c>
      <c r="AH96" s="21">
        <f t="shared" si="19"/>
        <v>1</v>
      </c>
    </row>
    <row r="97" spans="1:34" hidden="1">
      <c r="A97" t="s">
        <v>183</v>
      </c>
      <c r="B97" s="18">
        <v>2042</v>
      </c>
      <c r="C97" t="s">
        <v>183</v>
      </c>
      <c r="D97" t="s">
        <v>163</v>
      </c>
      <c r="E97" s="20" t="s">
        <v>265</v>
      </c>
      <c r="F97" s="20" t="s">
        <v>266</v>
      </c>
      <c r="G97" s="20" t="s">
        <v>193</v>
      </c>
      <c r="H97" s="20" t="s">
        <v>192</v>
      </c>
      <c r="I97" s="20" t="s">
        <v>264</v>
      </c>
      <c r="J97" s="15">
        <f>IFERROR(INDEX(Cost_Components!$K$2:$K$27,MATCH(E97,Cost_Components!$A$2:$A$27,0)),"")</f>
        <v>0.5</v>
      </c>
      <c r="K97" s="15">
        <f t="shared" si="10"/>
        <v>0.64923076923076928</v>
      </c>
      <c r="L97" s="15">
        <f>IFERROR(INDEX(Cost_Components!$S$2:$S$27,MATCH(E97,Cost_Components!$A$2:$A$27,0)),"")</f>
        <v>0.31</v>
      </c>
      <c r="M97" s="26">
        <f>IFERROR(INDEX(Cost_Components!$L$2:$L$27,MATCH(E97,Cost_Components!$A$2:$A$27,0)),"")</f>
        <v>1</v>
      </c>
      <c r="N97" s="27">
        <f>IFERROR(INDEX(Cost_Components!$P$2:$P$27,MATCH(E97,Cost_Components!$A$2:$A$27,0)),"")</f>
        <v>282.51283599999999</v>
      </c>
      <c r="O97" s="21">
        <f t="shared" si="11"/>
        <v>352214.69625946903</v>
      </c>
      <c r="P97" s="21">
        <f t="shared" si="12"/>
        <v>340448.21489986451</v>
      </c>
      <c r="Q97" s="21">
        <f t="shared" si="13"/>
        <v>29816107.117774434</v>
      </c>
      <c r="R97" s="21">
        <f t="shared" si="14"/>
        <v>64601819.828187048</v>
      </c>
      <c r="S97" s="21">
        <f t="shared" si="15"/>
        <v>34785712.710412614</v>
      </c>
      <c r="T97" s="14">
        <f>IFERROR(INDEX(Cost_Components!$R$2:$R$27,MATCH(E97,Cost_Components!$A$2:$A$27,0)),"")</f>
        <v>1</v>
      </c>
      <c r="U97" s="24">
        <f>IFERROR(INDEX(Cost_Components!$Q$2:$Q$27,MATCH(E97,Cost_Components!$A$2:$A$27,0)),"")</f>
        <v>2023</v>
      </c>
      <c r="V97" s="28">
        <f>1/(1+Calculation_Assumptions!$B$5)^(B97-Calculation_Assumptions!$B$2)</f>
        <v>0.60501644584477121</v>
      </c>
      <c r="W97" s="21">
        <f t="shared" si="16"/>
        <v>18039235.157322872</v>
      </c>
      <c r="X97" s="21">
        <f t="shared" si="17"/>
        <v>39085163.427553996</v>
      </c>
      <c r="Y97" s="21">
        <f t="shared" si="18"/>
        <v>21045928.270231124</v>
      </c>
      <c r="Z97" s="15">
        <f>IFERROR(INDEX(Cost_Components!$T$2:$T$27,MATCH(E97,Cost_Components!$A$2:$A$27,0)),"")</f>
        <v>0.8</v>
      </c>
      <c r="AA97" s="24">
        <f>IFERROR(INDEX(Cost_Components!$U$2:$U$27,MATCH(E97,Cost_Components!$A$2:$A$27,0)),"")</f>
        <v>2025</v>
      </c>
      <c r="AB97" s="24">
        <f>IFERROR(INDEX(Cost_Components!$V$2:$V$27,MATCH(E97,Cost_Components!$A$2:$A$27,0)),"")</f>
        <v>2050</v>
      </c>
      <c r="AC97" s="24">
        <f>IFERROR(INDEX(Cost_Components!$M$2:$M$27,MATCH(E97,Cost_Components!$A$2:$A$27,0)),"")</f>
        <v>30</v>
      </c>
      <c r="AD97" s="24">
        <f>IFERROR(INDEX(Cost_Components!$N$2:$N$27,MATCH(E97,Cost_Components!$A$2:$A$27,0)),"")</f>
        <v>95</v>
      </c>
      <c r="AE97" s="14" t="str">
        <f>IFERROR(INDEX(Cost_Components!$O$2:$O$27,MATCH(E97,Cost_Components!$A$2:$A$27,0)),"")</f>
        <v>Both</v>
      </c>
      <c r="AF97" s="11">
        <v>704429.39251893805</v>
      </c>
      <c r="AG97" s="11">
        <v>680896.42979972903</v>
      </c>
      <c r="AH97" s="21">
        <f t="shared" si="19"/>
        <v>1</v>
      </c>
    </row>
    <row r="98" spans="1:34" hidden="1">
      <c r="A98" t="s">
        <v>183</v>
      </c>
      <c r="B98" s="18">
        <v>2043</v>
      </c>
      <c r="C98" t="s">
        <v>183</v>
      </c>
      <c r="D98" t="s">
        <v>163</v>
      </c>
      <c r="E98" s="20" t="s">
        <v>265</v>
      </c>
      <c r="F98" s="20" t="s">
        <v>266</v>
      </c>
      <c r="G98" s="20" t="s">
        <v>193</v>
      </c>
      <c r="H98" s="20" t="s">
        <v>192</v>
      </c>
      <c r="I98" s="20" t="s">
        <v>264</v>
      </c>
      <c r="J98" s="15">
        <f>IFERROR(INDEX(Cost_Components!$K$2:$K$27,MATCH(E98,Cost_Components!$A$2:$A$27,0)),"")</f>
        <v>0.5</v>
      </c>
      <c r="K98" s="15">
        <f t="shared" si="10"/>
        <v>0.66807692307692301</v>
      </c>
      <c r="L98" s="15">
        <f>IFERROR(INDEX(Cost_Components!$S$2:$S$27,MATCH(E98,Cost_Components!$A$2:$A$27,0)),"")</f>
        <v>0.31</v>
      </c>
      <c r="M98" s="26">
        <f>IFERROR(INDEX(Cost_Components!$L$2:$L$27,MATCH(E98,Cost_Components!$A$2:$A$27,0)),"")</f>
        <v>1</v>
      </c>
      <c r="N98" s="27">
        <f>IFERROR(INDEX(Cost_Components!$P$2:$P$27,MATCH(E98,Cost_Components!$A$2:$A$27,0)),"")</f>
        <v>282.51283599999999</v>
      </c>
      <c r="O98" s="21">
        <f t="shared" si="11"/>
        <v>360711.32862641651</v>
      </c>
      <c r="P98" s="21">
        <f t="shared" si="12"/>
        <v>347840.14026709151</v>
      </c>
      <c r="Q98" s="21">
        <f t="shared" si="13"/>
        <v>30463484.395463083</v>
      </c>
      <c r="R98" s="21">
        <f t="shared" si="14"/>
        <v>68080766.616423488</v>
      </c>
      <c r="S98" s="21">
        <f t="shared" si="15"/>
        <v>37617282.220960408</v>
      </c>
      <c r="T98" s="14">
        <f>IFERROR(INDEX(Cost_Components!$R$2:$R$27,MATCH(E98,Cost_Components!$A$2:$A$27,0)),"")</f>
        <v>1</v>
      </c>
      <c r="U98" s="24">
        <f>IFERROR(INDEX(Cost_Components!$Q$2:$Q$27,MATCH(E98,Cost_Components!$A$2:$A$27,0)),"")</f>
        <v>2023</v>
      </c>
      <c r="V98" s="28">
        <f>1/(1+Calculation_Assumptions!$B$5)^(B98-Calculation_Assumptions!$B$2)</f>
        <v>0.5873946076162827</v>
      </c>
      <c r="W98" s="21">
        <f t="shared" si="16"/>
        <v>17894086.463097788</v>
      </c>
      <c r="X98" s="21">
        <f t="shared" si="17"/>
        <v>39990275.19286979</v>
      </c>
      <c r="Y98" s="21">
        <f t="shared" si="18"/>
        <v>22096188.729772005</v>
      </c>
      <c r="Z98" s="15">
        <f>IFERROR(INDEX(Cost_Components!$T$2:$T$27,MATCH(E98,Cost_Components!$A$2:$A$27,0)),"")</f>
        <v>0.8</v>
      </c>
      <c r="AA98" s="24">
        <f>IFERROR(INDEX(Cost_Components!$U$2:$U$27,MATCH(E98,Cost_Components!$A$2:$A$27,0)),"")</f>
        <v>2025</v>
      </c>
      <c r="AB98" s="24">
        <f>IFERROR(INDEX(Cost_Components!$V$2:$V$27,MATCH(E98,Cost_Components!$A$2:$A$27,0)),"")</f>
        <v>2050</v>
      </c>
      <c r="AC98" s="24">
        <f>IFERROR(INDEX(Cost_Components!$M$2:$M$27,MATCH(E98,Cost_Components!$A$2:$A$27,0)),"")</f>
        <v>30</v>
      </c>
      <c r="AD98" s="24">
        <f>IFERROR(INDEX(Cost_Components!$N$2:$N$27,MATCH(E98,Cost_Components!$A$2:$A$27,0)),"")</f>
        <v>95</v>
      </c>
      <c r="AE98" s="14" t="str">
        <f>IFERROR(INDEX(Cost_Components!$O$2:$O$27,MATCH(E98,Cost_Components!$A$2:$A$27,0)),"")</f>
        <v>Both</v>
      </c>
      <c r="AF98" s="11">
        <v>721422.65725283301</v>
      </c>
      <c r="AG98" s="11">
        <v>695680.28053418302</v>
      </c>
      <c r="AH98" s="21">
        <f t="shared" si="19"/>
        <v>1</v>
      </c>
    </row>
    <row r="99" spans="1:34" hidden="1">
      <c r="A99" t="s">
        <v>183</v>
      </c>
      <c r="B99" s="18">
        <v>2044</v>
      </c>
      <c r="C99" t="s">
        <v>183</v>
      </c>
      <c r="D99" t="s">
        <v>163</v>
      </c>
      <c r="E99" s="20" t="s">
        <v>265</v>
      </c>
      <c r="F99" s="20" t="s">
        <v>266</v>
      </c>
      <c r="G99" s="20" t="s">
        <v>193</v>
      </c>
      <c r="H99" s="20" t="s">
        <v>192</v>
      </c>
      <c r="I99" s="20" t="s">
        <v>264</v>
      </c>
      <c r="J99" s="15">
        <f>IFERROR(INDEX(Cost_Components!$K$2:$K$27,MATCH(E99,Cost_Components!$A$2:$A$27,0)),"")</f>
        <v>0.5</v>
      </c>
      <c r="K99" s="15">
        <f t="shared" si="10"/>
        <v>0.68692307692307697</v>
      </c>
      <c r="L99" s="15">
        <f>IFERROR(INDEX(Cost_Components!$S$2:$S$27,MATCH(E99,Cost_Components!$A$2:$A$27,0)),"")</f>
        <v>0.31</v>
      </c>
      <c r="M99" s="26">
        <f>IFERROR(INDEX(Cost_Components!$L$2:$L$27,MATCH(E99,Cost_Components!$A$2:$A$27,0)),"")</f>
        <v>1</v>
      </c>
      <c r="N99" s="27">
        <f>IFERROR(INDEX(Cost_Components!$P$2:$P$27,MATCH(E99,Cost_Components!$A$2:$A$27,0)),"")</f>
        <v>282.51283599999999</v>
      </c>
      <c r="O99" s="21">
        <f t="shared" si="11"/>
        <v>369161.56452636549</v>
      </c>
      <c r="P99" s="21">
        <f t="shared" si="12"/>
        <v>355145.713894021</v>
      </c>
      <c r="Q99" s="21">
        <f t="shared" si="13"/>
        <v>31103299.075887784</v>
      </c>
      <c r="R99" s="21">
        <f t="shared" si="14"/>
        <v>71641186.399331301</v>
      </c>
      <c r="S99" s="21">
        <f t="shared" si="15"/>
        <v>40537887.323443517</v>
      </c>
      <c r="T99" s="14">
        <f>IFERROR(INDEX(Cost_Components!$R$2:$R$27,MATCH(E99,Cost_Components!$A$2:$A$27,0)),"")</f>
        <v>1</v>
      </c>
      <c r="U99" s="24">
        <f>IFERROR(INDEX(Cost_Components!$Q$2:$Q$27,MATCH(E99,Cost_Components!$A$2:$A$27,0)),"")</f>
        <v>2023</v>
      </c>
      <c r="V99" s="28">
        <f>1/(1+Calculation_Assumptions!$B$5)^(B99-Calculation_Assumptions!$B$2)</f>
        <v>0.57028602681192497</v>
      </c>
      <c r="W99" s="21">
        <f t="shared" si="16"/>
        <v>17737776.850731064</v>
      </c>
      <c r="X99" s="21">
        <f t="shared" si="17"/>
        <v>40855967.547767162</v>
      </c>
      <c r="Y99" s="21">
        <f t="shared" si="18"/>
        <v>23118190.697036102</v>
      </c>
      <c r="Z99" s="15">
        <f>IFERROR(INDEX(Cost_Components!$T$2:$T$27,MATCH(E99,Cost_Components!$A$2:$A$27,0)),"")</f>
        <v>0.8</v>
      </c>
      <c r="AA99" s="24">
        <f>IFERROR(INDEX(Cost_Components!$U$2:$U$27,MATCH(E99,Cost_Components!$A$2:$A$27,0)),"")</f>
        <v>2025</v>
      </c>
      <c r="AB99" s="24">
        <f>IFERROR(INDEX(Cost_Components!$V$2:$V$27,MATCH(E99,Cost_Components!$A$2:$A$27,0)),"")</f>
        <v>2050</v>
      </c>
      <c r="AC99" s="24">
        <f>IFERROR(INDEX(Cost_Components!$M$2:$M$27,MATCH(E99,Cost_Components!$A$2:$A$27,0)),"")</f>
        <v>30</v>
      </c>
      <c r="AD99" s="24">
        <f>IFERROR(INDEX(Cost_Components!$N$2:$N$27,MATCH(E99,Cost_Components!$A$2:$A$27,0)),"")</f>
        <v>95</v>
      </c>
      <c r="AE99" s="14" t="str">
        <f>IFERROR(INDEX(Cost_Components!$O$2:$O$27,MATCH(E99,Cost_Components!$A$2:$A$27,0)),"")</f>
        <v>Both</v>
      </c>
      <c r="AF99" s="11">
        <v>738323.12905273098</v>
      </c>
      <c r="AG99" s="11">
        <v>710291.427788042</v>
      </c>
      <c r="AH99" s="21">
        <f t="shared" si="19"/>
        <v>1</v>
      </c>
    </row>
    <row r="100" spans="1:34" hidden="1">
      <c r="A100" t="s">
        <v>183</v>
      </c>
      <c r="B100" s="18">
        <v>2045</v>
      </c>
      <c r="C100" t="s">
        <v>183</v>
      </c>
      <c r="D100" t="s">
        <v>163</v>
      </c>
      <c r="E100" s="20" t="s">
        <v>265</v>
      </c>
      <c r="F100" s="20" t="s">
        <v>266</v>
      </c>
      <c r="G100" s="20" t="s">
        <v>193</v>
      </c>
      <c r="H100" s="20" t="s">
        <v>192</v>
      </c>
      <c r="I100" s="20" t="s">
        <v>264</v>
      </c>
      <c r="J100" s="15">
        <f>IFERROR(INDEX(Cost_Components!$K$2:$K$27,MATCH(E100,Cost_Components!$A$2:$A$27,0)),"")</f>
        <v>0.5</v>
      </c>
      <c r="K100" s="15">
        <f t="shared" si="10"/>
        <v>0.70576923076923082</v>
      </c>
      <c r="L100" s="15">
        <f>IFERROR(INDEX(Cost_Components!$S$2:$S$27,MATCH(E100,Cost_Components!$A$2:$A$27,0)),"")</f>
        <v>0.31</v>
      </c>
      <c r="M100" s="26">
        <f>IFERROR(INDEX(Cost_Components!$L$2:$L$27,MATCH(E100,Cost_Components!$A$2:$A$27,0)),"")</f>
        <v>1</v>
      </c>
      <c r="N100" s="27">
        <f>IFERROR(INDEX(Cost_Components!$P$2:$P$27,MATCH(E100,Cost_Components!$A$2:$A$27,0)),"")</f>
        <v>282.51283599999999</v>
      </c>
      <c r="O100" s="21">
        <f t="shared" si="11"/>
        <v>377530.1559411785</v>
      </c>
      <c r="P100" s="21">
        <f t="shared" si="12"/>
        <v>362330.70241745852</v>
      </c>
      <c r="Q100" s="21">
        <f t="shared" si="13"/>
        <v>31732553.036046762</v>
      </c>
      <c r="R100" s="21">
        <f t="shared" si="14"/>
        <v>75275310.031116351</v>
      </c>
      <c r="S100" s="21">
        <f t="shared" si="15"/>
        <v>43542756.995069593</v>
      </c>
      <c r="T100" s="14">
        <f>IFERROR(INDEX(Cost_Components!$R$2:$R$27,MATCH(E100,Cost_Components!$A$2:$A$27,0)),"")</f>
        <v>1</v>
      </c>
      <c r="U100" s="24">
        <f>IFERROR(INDEX(Cost_Components!$Q$2:$Q$27,MATCH(E100,Cost_Components!$A$2:$A$27,0)),"")</f>
        <v>2023</v>
      </c>
      <c r="V100" s="28">
        <f>1/(1+Calculation_Assumptions!$B$5)^(B100-Calculation_Assumptions!$B$2)</f>
        <v>0.55367575418633497</v>
      </c>
      <c r="W100" s="21">
        <f t="shared" si="16"/>
        <v>17569545.234491065</v>
      </c>
      <c r="X100" s="21">
        <f t="shared" si="17"/>
        <v>41678114.053088531</v>
      </c>
      <c r="Y100" s="21">
        <f t="shared" si="18"/>
        <v>24108568.818597469</v>
      </c>
      <c r="Z100" s="15">
        <f>IFERROR(INDEX(Cost_Components!$T$2:$T$27,MATCH(E100,Cost_Components!$A$2:$A$27,0)),"")</f>
        <v>0.8</v>
      </c>
      <c r="AA100" s="24">
        <f>IFERROR(INDEX(Cost_Components!$U$2:$U$27,MATCH(E100,Cost_Components!$A$2:$A$27,0)),"")</f>
        <v>2025</v>
      </c>
      <c r="AB100" s="24">
        <f>IFERROR(INDEX(Cost_Components!$V$2:$V$27,MATCH(E100,Cost_Components!$A$2:$A$27,0)),"")</f>
        <v>2050</v>
      </c>
      <c r="AC100" s="24">
        <f>IFERROR(INDEX(Cost_Components!$M$2:$M$27,MATCH(E100,Cost_Components!$A$2:$A$27,0)),"")</f>
        <v>30</v>
      </c>
      <c r="AD100" s="24">
        <f>IFERROR(INDEX(Cost_Components!$N$2:$N$27,MATCH(E100,Cost_Components!$A$2:$A$27,0)),"")</f>
        <v>95</v>
      </c>
      <c r="AE100" s="14" t="str">
        <f>IFERROR(INDEX(Cost_Components!$O$2:$O$27,MATCH(E100,Cost_Components!$A$2:$A$27,0)),"")</f>
        <v>Both</v>
      </c>
      <c r="AF100" s="11">
        <v>755060.311882357</v>
      </c>
      <c r="AG100" s="11">
        <v>724661.40483491705</v>
      </c>
      <c r="AH100" s="21">
        <f t="shared" si="19"/>
        <v>1</v>
      </c>
    </row>
    <row r="101" spans="1:34" hidden="1">
      <c r="A101" t="s">
        <v>183</v>
      </c>
      <c r="B101" s="18">
        <v>2046</v>
      </c>
      <c r="C101" t="s">
        <v>183</v>
      </c>
      <c r="D101" t="s">
        <v>163</v>
      </c>
      <c r="E101" s="20" t="s">
        <v>265</v>
      </c>
      <c r="F101" s="20" t="s">
        <v>266</v>
      </c>
      <c r="G101" s="20" t="s">
        <v>193</v>
      </c>
      <c r="H101" s="20" t="s">
        <v>192</v>
      </c>
      <c r="I101" s="20" t="s">
        <v>264</v>
      </c>
      <c r="J101" s="15">
        <f>IFERROR(INDEX(Cost_Components!$K$2:$K$27,MATCH(E101,Cost_Components!$A$2:$A$27,0)),"")</f>
        <v>0.5</v>
      </c>
      <c r="K101" s="15">
        <f t="shared" si="10"/>
        <v>0.72461538461538466</v>
      </c>
      <c r="L101" s="15">
        <f>IFERROR(INDEX(Cost_Components!$S$2:$S$27,MATCH(E101,Cost_Components!$A$2:$A$27,0)),"")</f>
        <v>0.31</v>
      </c>
      <c r="M101" s="26">
        <f>IFERROR(INDEX(Cost_Components!$L$2:$L$27,MATCH(E101,Cost_Components!$A$2:$A$27,0)),"")</f>
        <v>1</v>
      </c>
      <c r="N101" s="27">
        <f>IFERROR(INDEX(Cost_Components!$P$2:$P$27,MATCH(E101,Cost_Components!$A$2:$A$27,0)),"")</f>
        <v>282.51283599999999</v>
      </c>
      <c r="O101" s="21">
        <f t="shared" si="11"/>
        <v>385783.6334299125</v>
      </c>
      <c r="P101" s="21">
        <f t="shared" si="12"/>
        <v>369363.33305871551</v>
      </c>
      <c r="Q101" s="21">
        <f t="shared" si="13"/>
        <v>32348463.648417383</v>
      </c>
      <c r="R101" s="21">
        <f t="shared" si="14"/>
        <v>78974981.782795534</v>
      </c>
      <c r="S101" s="21">
        <f t="shared" si="15"/>
        <v>46626518.13437815</v>
      </c>
      <c r="T101" s="14">
        <f>IFERROR(INDEX(Cost_Components!$R$2:$R$27,MATCH(E101,Cost_Components!$A$2:$A$27,0)),"")</f>
        <v>1</v>
      </c>
      <c r="U101" s="24">
        <f>IFERROR(INDEX(Cost_Components!$Q$2:$Q$27,MATCH(E101,Cost_Components!$A$2:$A$27,0)),"")</f>
        <v>2023</v>
      </c>
      <c r="V101" s="28">
        <f>1/(1+Calculation_Assumptions!$B$5)^(B101-Calculation_Assumptions!$B$2)</f>
        <v>0.5375492759090631</v>
      </c>
      <c r="W101" s="21">
        <f t="shared" si="16"/>
        <v>17388893.210977413</v>
      </c>
      <c r="X101" s="21">
        <f t="shared" si="17"/>
        <v>42452944.27227319</v>
      </c>
      <c r="Y101" s="21">
        <f t="shared" si="18"/>
        <v>25064051.061295774</v>
      </c>
      <c r="Z101" s="15">
        <f>IFERROR(INDEX(Cost_Components!$T$2:$T$27,MATCH(E101,Cost_Components!$A$2:$A$27,0)),"")</f>
        <v>0.8</v>
      </c>
      <c r="AA101" s="24">
        <f>IFERROR(INDEX(Cost_Components!$U$2:$U$27,MATCH(E101,Cost_Components!$A$2:$A$27,0)),"")</f>
        <v>2025</v>
      </c>
      <c r="AB101" s="24">
        <f>IFERROR(INDEX(Cost_Components!$V$2:$V$27,MATCH(E101,Cost_Components!$A$2:$A$27,0)),"")</f>
        <v>2050</v>
      </c>
      <c r="AC101" s="24">
        <f>IFERROR(INDEX(Cost_Components!$M$2:$M$27,MATCH(E101,Cost_Components!$A$2:$A$27,0)),"")</f>
        <v>30</v>
      </c>
      <c r="AD101" s="24">
        <f>IFERROR(INDEX(Cost_Components!$N$2:$N$27,MATCH(E101,Cost_Components!$A$2:$A$27,0)),"")</f>
        <v>95</v>
      </c>
      <c r="AE101" s="14" t="str">
        <f>IFERROR(INDEX(Cost_Components!$O$2:$O$27,MATCH(E101,Cost_Components!$A$2:$A$27,0)),"")</f>
        <v>Both</v>
      </c>
      <c r="AF101" s="11">
        <v>771567.266859825</v>
      </c>
      <c r="AG101" s="11">
        <v>738726.66611743101</v>
      </c>
      <c r="AH101" s="21">
        <f t="shared" si="19"/>
        <v>1</v>
      </c>
    </row>
    <row r="102" spans="1:34" hidden="1">
      <c r="A102" t="s">
        <v>183</v>
      </c>
      <c r="B102" s="18">
        <v>2047</v>
      </c>
      <c r="C102" t="s">
        <v>183</v>
      </c>
      <c r="D102" t="s">
        <v>163</v>
      </c>
      <c r="E102" s="20" t="s">
        <v>265</v>
      </c>
      <c r="F102" s="20" t="s">
        <v>266</v>
      </c>
      <c r="G102" s="20" t="s">
        <v>193</v>
      </c>
      <c r="H102" s="20" t="s">
        <v>192</v>
      </c>
      <c r="I102" s="20" t="s">
        <v>264</v>
      </c>
      <c r="J102" s="15">
        <f>IFERROR(INDEX(Cost_Components!$K$2:$K$27,MATCH(E102,Cost_Components!$A$2:$A$27,0)),"")</f>
        <v>0.5</v>
      </c>
      <c r="K102" s="15">
        <f t="shared" si="10"/>
        <v>0.74346153846153851</v>
      </c>
      <c r="L102" s="15">
        <f>IFERROR(INDEX(Cost_Components!$S$2:$S$27,MATCH(E102,Cost_Components!$A$2:$A$27,0)),"")</f>
        <v>0.31</v>
      </c>
      <c r="M102" s="26">
        <f>IFERROR(INDEX(Cost_Components!$L$2:$L$27,MATCH(E102,Cost_Components!$A$2:$A$27,0)),"")</f>
        <v>1</v>
      </c>
      <c r="N102" s="27">
        <f>IFERROR(INDEX(Cost_Components!$P$2:$P$27,MATCH(E102,Cost_Components!$A$2:$A$27,0)),"")</f>
        <v>282.51283599999999</v>
      </c>
      <c r="O102" s="21">
        <f t="shared" si="11"/>
        <v>393879.44195971749</v>
      </c>
      <c r="P102" s="21">
        <f t="shared" si="12"/>
        <v>376203.27920933848</v>
      </c>
      <c r="Q102" s="21">
        <f t="shared" si="13"/>
        <v>32947499.149798315</v>
      </c>
      <c r="R102" s="21">
        <f t="shared" si="14"/>
        <v>82729424.808282763</v>
      </c>
      <c r="S102" s="21">
        <f t="shared" si="15"/>
        <v>49781925.658484444</v>
      </c>
      <c r="T102" s="14">
        <f>IFERROR(INDEX(Cost_Components!$R$2:$R$27,MATCH(E102,Cost_Components!$A$2:$A$27,0)),"")</f>
        <v>1</v>
      </c>
      <c r="U102" s="24">
        <f>IFERROR(INDEX(Cost_Components!$Q$2:$Q$27,MATCH(E102,Cost_Components!$A$2:$A$27,0)),"")</f>
        <v>2023</v>
      </c>
      <c r="V102" s="28">
        <f>1/(1+Calculation_Assumptions!$B$5)^(B102-Calculation_Assumptions!$B$2)</f>
        <v>0.52189250088258554</v>
      </c>
      <c r="W102" s="21">
        <f t="shared" si="16"/>
        <v>17195052.729115102</v>
      </c>
      <c r="X102" s="21">
        <f t="shared" si="17"/>
        <v>43175866.409772508</v>
      </c>
      <c r="Y102" s="21">
        <f t="shared" si="18"/>
        <v>25980813.680657402</v>
      </c>
      <c r="Z102" s="15">
        <f>IFERROR(INDEX(Cost_Components!$T$2:$T$27,MATCH(E102,Cost_Components!$A$2:$A$27,0)),"")</f>
        <v>0.8</v>
      </c>
      <c r="AA102" s="24">
        <f>IFERROR(INDEX(Cost_Components!$U$2:$U$27,MATCH(E102,Cost_Components!$A$2:$A$27,0)),"")</f>
        <v>2025</v>
      </c>
      <c r="AB102" s="24">
        <f>IFERROR(INDEX(Cost_Components!$V$2:$V$27,MATCH(E102,Cost_Components!$A$2:$A$27,0)),"")</f>
        <v>2050</v>
      </c>
      <c r="AC102" s="24">
        <f>IFERROR(INDEX(Cost_Components!$M$2:$M$27,MATCH(E102,Cost_Components!$A$2:$A$27,0)),"")</f>
        <v>30</v>
      </c>
      <c r="AD102" s="24">
        <f>IFERROR(INDEX(Cost_Components!$N$2:$N$27,MATCH(E102,Cost_Components!$A$2:$A$27,0)),"")</f>
        <v>95</v>
      </c>
      <c r="AE102" s="14" t="str">
        <f>IFERROR(INDEX(Cost_Components!$O$2:$O$27,MATCH(E102,Cost_Components!$A$2:$A$27,0)),"")</f>
        <v>Both</v>
      </c>
      <c r="AF102" s="11">
        <v>787758.88391943497</v>
      </c>
      <c r="AG102" s="11">
        <v>752406.55841867696</v>
      </c>
      <c r="AH102" s="21">
        <f t="shared" si="19"/>
        <v>1</v>
      </c>
    </row>
    <row r="103" spans="1:34" hidden="1">
      <c r="A103" t="s">
        <v>183</v>
      </c>
      <c r="B103" s="18">
        <v>2048</v>
      </c>
      <c r="C103" t="s">
        <v>183</v>
      </c>
      <c r="D103" t="s">
        <v>163</v>
      </c>
      <c r="E103" s="20" t="s">
        <v>265</v>
      </c>
      <c r="F103" s="20" t="s">
        <v>266</v>
      </c>
      <c r="G103" s="20" t="s">
        <v>193</v>
      </c>
      <c r="H103" s="20" t="s">
        <v>192</v>
      </c>
      <c r="I103" s="20" t="s">
        <v>264</v>
      </c>
      <c r="J103" s="15">
        <f>IFERROR(INDEX(Cost_Components!$K$2:$K$27,MATCH(E103,Cost_Components!$A$2:$A$27,0)),"")</f>
        <v>0.5</v>
      </c>
      <c r="K103" s="15">
        <f t="shared" si="10"/>
        <v>0.76230769230769235</v>
      </c>
      <c r="L103" s="15">
        <f>IFERROR(INDEX(Cost_Components!$S$2:$S$27,MATCH(E103,Cost_Components!$A$2:$A$27,0)),"")</f>
        <v>0.31</v>
      </c>
      <c r="M103" s="26">
        <f>IFERROR(INDEX(Cost_Components!$L$2:$L$27,MATCH(E103,Cost_Components!$A$2:$A$27,0)),"")</f>
        <v>1</v>
      </c>
      <c r="N103" s="27">
        <f>IFERROR(INDEX(Cost_Components!$P$2:$P$27,MATCH(E103,Cost_Components!$A$2:$A$27,0)),"")</f>
        <v>282.51283599999999</v>
      </c>
      <c r="O103" s="21">
        <f t="shared" si="11"/>
        <v>401802.83164856199</v>
      </c>
      <c r="P103" s="21">
        <f t="shared" si="12"/>
        <v>382838.14610254503</v>
      </c>
      <c r="Q103" s="21">
        <f t="shared" si="13"/>
        <v>33528574.019167826</v>
      </c>
      <c r="R103" s="21">
        <f t="shared" si="14"/>
        <v>86532944.126560792</v>
      </c>
      <c r="S103" s="21">
        <f t="shared" si="15"/>
        <v>53004370.107392967</v>
      </c>
      <c r="T103" s="14">
        <f>IFERROR(INDEX(Cost_Components!$R$2:$R$27,MATCH(E103,Cost_Components!$A$2:$A$27,0)),"")</f>
        <v>1</v>
      </c>
      <c r="U103" s="24">
        <f>IFERROR(INDEX(Cost_Components!$Q$2:$Q$27,MATCH(E103,Cost_Components!$A$2:$A$27,0)),"")</f>
        <v>2023</v>
      </c>
      <c r="V103" s="28">
        <f>1/(1+Calculation_Assumptions!$B$5)^(B103-Calculation_Assumptions!$B$2)</f>
        <v>0.50669174842969467</v>
      </c>
      <c r="W103" s="21">
        <f t="shared" si="16"/>
        <v>16988651.792126581</v>
      </c>
      <c r="X103" s="21">
        <f t="shared" si="17"/>
        <v>43845528.756256163</v>
      </c>
      <c r="Y103" s="21">
        <f t="shared" si="18"/>
        <v>26856876.964129586</v>
      </c>
      <c r="Z103" s="15">
        <f>IFERROR(INDEX(Cost_Components!$T$2:$T$27,MATCH(E103,Cost_Components!$A$2:$A$27,0)),"")</f>
        <v>0.8</v>
      </c>
      <c r="AA103" s="24">
        <f>IFERROR(INDEX(Cost_Components!$U$2:$U$27,MATCH(E103,Cost_Components!$A$2:$A$27,0)),"")</f>
        <v>2025</v>
      </c>
      <c r="AB103" s="24">
        <f>IFERROR(INDEX(Cost_Components!$V$2:$V$27,MATCH(E103,Cost_Components!$A$2:$A$27,0)),"")</f>
        <v>2050</v>
      </c>
      <c r="AC103" s="24">
        <f>IFERROR(INDEX(Cost_Components!$M$2:$M$27,MATCH(E103,Cost_Components!$A$2:$A$27,0)),"")</f>
        <v>30</v>
      </c>
      <c r="AD103" s="24">
        <f>IFERROR(INDEX(Cost_Components!$N$2:$N$27,MATCH(E103,Cost_Components!$A$2:$A$27,0)),"")</f>
        <v>95</v>
      </c>
      <c r="AE103" s="14" t="str">
        <f>IFERROR(INDEX(Cost_Components!$O$2:$O$27,MATCH(E103,Cost_Components!$A$2:$A$27,0)),"")</f>
        <v>Both</v>
      </c>
      <c r="AF103" s="11">
        <v>803605.66329712397</v>
      </c>
      <c r="AG103" s="11">
        <v>765676.29220509005</v>
      </c>
      <c r="AH103" s="21">
        <f t="shared" si="19"/>
        <v>1</v>
      </c>
    </row>
    <row r="104" spans="1:34" hidden="1">
      <c r="A104" t="s">
        <v>183</v>
      </c>
      <c r="B104" s="18">
        <v>2049</v>
      </c>
      <c r="C104" t="s">
        <v>183</v>
      </c>
      <c r="D104" t="s">
        <v>163</v>
      </c>
      <c r="E104" s="20" t="s">
        <v>265</v>
      </c>
      <c r="F104" s="20" t="s">
        <v>266</v>
      </c>
      <c r="G104" s="20" t="s">
        <v>193</v>
      </c>
      <c r="H104" s="20" t="s">
        <v>192</v>
      </c>
      <c r="I104" s="20" t="s">
        <v>264</v>
      </c>
      <c r="J104" s="15">
        <f>IFERROR(INDEX(Cost_Components!$K$2:$K$27,MATCH(E104,Cost_Components!$A$2:$A$27,0)),"")</f>
        <v>0.5</v>
      </c>
      <c r="K104" s="15">
        <f t="shared" si="10"/>
        <v>0.7811538461538462</v>
      </c>
      <c r="L104" s="15">
        <f>IFERROR(INDEX(Cost_Components!$S$2:$S$27,MATCH(E104,Cost_Components!$A$2:$A$27,0)),"")</f>
        <v>0.31</v>
      </c>
      <c r="M104" s="26">
        <f>IFERROR(INDEX(Cost_Components!$L$2:$L$27,MATCH(E104,Cost_Components!$A$2:$A$27,0)),"")</f>
        <v>1</v>
      </c>
      <c r="N104" s="27">
        <f>IFERROR(INDEX(Cost_Components!$P$2:$P$27,MATCH(E104,Cost_Components!$A$2:$A$27,0)),"")</f>
        <v>282.51283599999999</v>
      </c>
      <c r="O104" s="21">
        <f t="shared" si="11"/>
        <v>409531.45229053602</v>
      </c>
      <c r="P104" s="21">
        <f t="shared" si="12"/>
        <v>389247.77406814299</v>
      </c>
      <c r="Q104" s="21">
        <f t="shared" si="13"/>
        <v>34089922.693190284</v>
      </c>
      <c r="R104" s="21">
        <f t="shared" si="14"/>
        <v>90377853.341595307</v>
      </c>
      <c r="S104" s="21">
        <f t="shared" si="15"/>
        <v>56287930.648405023</v>
      </c>
      <c r="T104" s="14">
        <f>IFERROR(INDEX(Cost_Components!$R$2:$R$27,MATCH(E104,Cost_Components!$A$2:$A$27,0)),"")</f>
        <v>1</v>
      </c>
      <c r="U104" s="24">
        <f>IFERROR(INDEX(Cost_Components!$Q$2:$Q$27,MATCH(E104,Cost_Components!$A$2:$A$27,0)),"")</f>
        <v>2023</v>
      </c>
      <c r="V104" s="28">
        <f>1/(1+Calculation_Assumptions!$B$5)^(B104-Calculation_Assumptions!$B$2)</f>
        <v>0.49193373633950943</v>
      </c>
      <c r="W104" s="21">
        <f t="shared" si="16"/>
        <v>16769983.041986128</v>
      </c>
      <c r="X104" s="21">
        <f t="shared" si="17"/>
        <v>44459915.076675199</v>
      </c>
      <c r="Y104" s="21">
        <f t="shared" si="18"/>
        <v>27689932.034689069</v>
      </c>
      <c r="Z104" s="15">
        <f>IFERROR(INDEX(Cost_Components!$T$2:$T$27,MATCH(E104,Cost_Components!$A$2:$A$27,0)),"")</f>
        <v>0.8</v>
      </c>
      <c r="AA104" s="24">
        <f>IFERROR(INDEX(Cost_Components!$U$2:$U$27,MATCH(E104,Cost_Components!$A$2:$A$27,0)),"")</f>
        <v>2025</v>
      </c>
      <c r="AB104" s="24">
        <f>IFERROR(INDEX(Cost_Components!$V$2:$V$27,MATCH(E104,Cost_Components!$A$2:$A$27,0)),"")</f>
        <v>2050</v>
      </c>
      <c r="AC104" s="24">
        <f>IFERROR(INDEX(Cost_Components!$M$2:$M$27,MATCH(E104,Cost_Components!$A$2:$A$27,0)),"")</f>
        <v>30</v>
      </c>
      <c r="AD104" s="24">
        <f>IFERROR(INDEX(Cost_Components!$N$2:$N$27,MATCH(E104,Cost_Components!$A$2:$A$27,0)),"")</f>
        <v>95</v>
      </c>
      <c r="AE104" s="14" t="str">
        <f>IFERROR(INDEX(Cost_Components!$O$2:$O$27,MATCH(E104,Cost_Components!$A$2:$A$27,0)),"")</f>
        <v>Both</v>
      </c>
      <c r="AF104" s="11">
        <v>819062.90458107204</v>
      </c>
      <c r="AG104" s="11">
        <v>778495.54813628597</v>
      </c>
      <c r="AH104" s="21">
        <f t="shared" si="19"/>
        <v>1</v>
      </c>
    </row>
    <row r="105" spans="1:34" hidden="1">
      <c r="A105" t="s">
        <v>183</v>
      </c>
      <c r="B105" s="18">
        <v>2050</v>
      </c>
      <c r="C105" t="s">
        <v>183</v>
      </c>
      <c r="D105" t="s">
        <v>163</v>
      </c>
      <c r="E105" s="20" t="s">
        <v>265</v>
      </c>
      <c r="F105" s="20" t="s">
        <v>266</v>
      </c>
      <c r="G105" s="20" t="s">
        <v>193</v>
      </c>
      <c r="H105" s="20" t="s">
        <v>192</v>
      </c>
      <c r="I105" s="20" t="s">
        <v>264</v>
      </c>
      <c r="J105" s="15">
        <f>IFERROR(INDEX(Cost_Components!$K$2:$K$27,MATCH(E105,Cost_Components!$A$2:$A$27,0)),"")</f>
        <v>0.5</v>
      </c>
      <c r="K105" s="15">
        <f t="shared" si="10"/>
        <v>0.8</v>
      </c>
      <c r="L105" s="15">
        <f>IFERROR(INDEX(Cost_Components!$S$2:$S$27,MATCH(E105,Cost_Components!$A$2:$A$27,0)),"")</f>
        <v>0.31</v>
      </c>
      <c r="M105" s="26">
        <f>IFERROR(INDEX(Cost_Components!$L$2:$L$27,MATCH(E105,Cost_Components!$A$2:$A$27,0)),"")</f>
        <v>1</v>
      </c>
      <c r="N105" s="27">
        <f>IFERROR(INDEX(Cost_Components!$P$2:$P$27,MATCH(E105,Cost_Components!$A$2:$A$27,0)),"")</f>
        <v>282.51283599999999</v>
      </c>
      <c r="O105" s="21">
        <f t="shared" si="11"/>
        <v>417063.22737946501</v>
      </c>
      <c r="P105" s="21">
        <f t="shared" si="12"/>
        <v>395432.77812202153</v>
      </c>
      <c r="Q105" s="21">
        <f t="shared" si="13"/>
        <v>34631599.034329422</v>
      </c>
      <c r="R105" s="21">
        <f t="shared" si="14"/>
        <v>94260572.126628414</v>
      </c>
      <c r="S105" s="21">
        <f t="shared" si="15"/>
        <v>59628973.092298992</v>
      </c>
      <c r="T105" s="14">
        <f>IFERROR(INDEX(Cost_Components!$R$2:$R$27,MATCH(E105,Cost_Components!$A$2:$A$27,0)),"")</f>
        <v>1</v>
      </c>
      <c r="U105" s="24">
        <f>IFERROR(INDEX(Cost_Components!$Q$2:$Q$27,MATCH(E105,Cost_Components!$A$2:$A$27,0)),"")</f>
        <v>2023</v>
      </c>
      <c r="V105" s="28">
        <f>1/(1+Calculation_Assumptions!$B$5)^(B105-Calculation_Assumptions!$B$2)</f>
        <v>0.47760556926165965</v>
      </c>
      <c r="W105" s="21">
        <f t="shared" si="16"/>
        <v>16540244.571232446</v>
      </c>
      <c r="X105" s="21">
        <f t="shared" si="17"/>
        <v>45019374.209468089</v>
      </c>
      <c r="Y105" s="21">
        <f t="shared" si="18"/>
        <v>28479129.638235647</v>
      </c>
      <c r="Z105" s="15">
        <f>IFERROR(INDEX(Cost_Components!$T$2:$T$27,MATCH(E105,Cost_Components!$A$2:$A$27,0)),"")</f>
        <v>0.8</v>
      </c>
      <c r="AA105" s="24">
        <f>IFERROR(INDEX(Cost_Components!$U$2:$U$27,MATCH(E105,Cost_Components!$A$2:$A$27,0)),"")</f>
        <v>2025</v>
      </c>
      <c r="AB105" s="24">
        <f>IFERROR(INDEX(Cost_Components!$V$2:$V$27,MATCH(E105,Cost_Components!$A$2:$A$27,0)),"")</f>
        <v>2050</v>
      </c>
      <c r="AC105" s="24">
        <f>IFERROR(INDEX(Cost_Components!$M$2:$M$27,MATCH(E105,Cost_Components!$A$2:$A$27,0)),"")</f>
        <v>30</v>
      </c>
      <c r="AD105" s="24">
        <f>IFERROR(INDEX(Cost_Components!$N$2:$N$27,MATCH(E105,Cost_Components!$A$2:$A$27,0)),"")</f>
        <v>95</v>
      </c>
      <c r="AE105" s="14" t="str">
        <f>IFERROR(INDEX(Cost_Components!$O$2:$O$27,MATCH(E105,Cost_Components!$A$2:$A$27,0)),"")</f>
        <v>Both</v>
      </c>
      <c r="AF105" s="11">
        <v>834126.45475893002</v>
      </c>
      <c r="AG105" s="11">
        <v>790865.55624404305</v>
      </c>
      <c r="AH105" s="21">
        <f t="shared" si="19"/>
        <v>1</v>
      </c>
    </row>
    <row r="106" spans="1:34" hidden="1">
      <c r="A106" t="s">
        <v>183</v>
      </c>
      <c r="B106" s="18">
        <v>2025</v>
      </c>
      <c r="C106" t="s">
        <v>183</v>
      </c>
      <c r="D106" t="s">
        <v>177</v>
      </c>
      <c r="E106" s="20" t="s">
        <v>267</v>
      </c>
      <c r="F106" s="20" t="s">
        <v>268</v>
      </c>
      <c r="G106" s="20" t="s">
        <v>195</v>
      </c>
      <c r="H106" s="20" t="s">
        <v>192</v>
      </c>
      <c r="I106" s="20" t="s">
        <v>264</v>
      </c>
      <c r="J106" s="15">
        <f>IFERROR(INDEX(Cost_Components!$K$2:$K$27,MATCH(E106,Cost_Components!$A$2:$A$27,0)),"")</f>
        <v>0.1</v>
      </c>
      <c r="K106" s="15">
        <f t="shared" si="10"/>
        <v>0.32884615384615384</v>
      </c>
      <c r="L106" s="15">
        <f>IFERROR(INDEX(Cost_Components!$S$2:$S$27,MATCH(E106,Cost_Components!$A$2:$A$27,0)),"")</f>
        <v>0.31</v>
      </c>
      <c r="M106" s="26">
        <f>IFERROR(INDEX(Cost_Components!$L$2:$L$27,MATCH(E106,Cost_Components!$A$2:$A$27,0)),"")</f>
        <v>1</v>
      </c>
      <c r="N106" s="27">
        <f>IFERROR(INDEX(Cost_Components!$P$2:$P$27,MATCH(E106,Cost_Components!$A$2:$A$27,0)),"")</f>
        <v>282.51283599999999</v>
      </c>
      <c r="O106" s="21">
        <f t="shared" si="11"/>
        <v>520693.13281470205</v>
      </c>
      <c r="P106" s="21">
        <f t="shared" si="12"/>
        <v>520687.51682247699</v>
      </c>
      <c r="Q106" s="21">
        <f t="shared" si="13"/>
        <v>45601281.184667856</v>
      </c>
      <c r="R106" s="21">
        <f t="shared" si="14"/>
        <v>48374089.253773555</v>
      </c>
      <c r="S106" s="21">
        <f t="shared" si="15"/>
        <v>2772808.0691056997</v>
      </c>
      <c r="T106" s="14">
        <f>IFERROR(INDEX(Cost_Components!$R$2:$R$27,MATCH(E106,Cost_Components!$A$2:$A$27,0)),"")</f>
        <v>1</v>
      </c>
      <c r="U106" s="24">
        <f>IFERROR(INDEX(Cost_Components!$Q$2:$Q$27,MATCH(E106,Cost_Components!$A$2:$A$27,0)),"")</f>
        <v>2023</v>
      </c>
      <c r="V106" s="28">
        <f>1/(1+Calculation_Assumptions!$B$5)^(B106-Calculation_Assumptions!$B$2)</f>
        <v>1</v>
      </c>
      <c r="W106" s="21">
        <f t="shared" si="16"/>
        <v>45601281.184667856</v>
      </c>
      <c r="X106" s="21">
        <f t="shared" si="17"/>
        <v>48374089.253773555</v>
      </c>
      <c r="Y106" s="21">
        <f t="shared" si="18"/>
        <v>2772808.0691056997</v>
      </c>
      <c r="Z106" s="15">
        <f>IFERROR(INDEX(Cost_Components!$T$2:$T$27,MATCH(E106,Cost_Components!$A$2:$A$27,0)),"")</f>
        <v>0.8</v>
      </c>
      <c r="AA106" s="24">
        <f>IFERROR(INDEX(Cost_Components!$U$2:$U$27,MATCH(E106,Cost_Components!$A$2:$A$27,0)),"")</f>
        <v>2025</v>
      </c>
      <c r="AB106" s="24">
        <f>IFERROR(INDEX(Cost_Components!$V$2:$V$27,MATCH(E106,Cost_Components!$A$2:$A$27,0)),"")</f>
        <v>2050</v>
      </c>
      <c r="AC106" s="24">
        <f>IFERROR(INDEX(Cost_Components!$M$2:$M$27,MATCH(E106,Cost_Components!$A$2:$A$27,0)),"")</f>
        <v>30</v>
      </c>
      <c r="AD106" s="24">
        <f>IFERROR(INDEX(Cost_Components!$N$2:$N$27,MATCH(E106,Cost_Components!$A$2:$A$27,0)),"")</f>
        <v>95</v>
      </c>
      <c r="AE106" s="14" t="str">
        <f>IFERROR(INDEX(Cost_Components!$O$2:$O$27,MATCH(E106,Cost_Components!$A$2:$A$27,0)),"")</f>
        <v>Both</v>
      </c>
      <c r="AF106" s="11">
        <v>5206931.3281470202</v>
      </c>
      <c r="AG106" s="11">
        <v>5206875.1682247696</v>
      </c>
      <c r="AH106" s="21">
        <f t="shared" si="19"/>
        <v>1</v>
      </c>
    </row>
    <row r="107" spans="1:34" hidden="1">
      <c r="A107" t="s">
        <v>183</v>
      </c>
      <c r="B107" s="18">
        <v>2026</v>
      </c>
      <c r="C107" t="s">
        <v>183</v>
      </c>
      <c r="D107" t="s">
        <v>177</v>
      </c>
      <c r="E107" s="20" t="s">
        <v>267</v>
      </c>
      <c r="F107" s="20" t="s">
        <v>268</v>
      </c>
      <c r="G107" s="20" t="s">
        <v>195</v>
      </c>
      <c r="H107" s="20" t="s">
        <v>192</v>
      </c>
      <c r="I107" s="20" t="s">
        <v>264</v>
      </c>
      <c r="J107" s="15">
        <f>IFERROR(INDEX(Cost_Components!$K$2:$K$27,MATCH(E107,Cost_Components!$A$2:$A$27,0)),"")</f>
        <v>0.1</v>
      </c>
      <c r="K107" s="15">
        <f t="shared" si="10"/>
        <v>0.34769230769230769</v>
      </c>
      <c r="L107" s="15">
        <f>IFERROR(INDEX(Cost_Components!$S$2:$S$27,MATCH(E107,Cost_Components!$A$2:$A$27,0)),"")</f>
        <v>0.31</v>
      </c>
      <c r="M107" s="26">
        <f>IFERROR(INDEX(Cost_Components!$L$2:$L$27,MATCH(E107,Cost_Components!$A$2:$A$27,0)),"")</f>
        <v>1</v>
      </c>
      <c r="N107" s="27">
        <f>IFERROR(INDEX(Cost_Components!$P$2:$P$27,MATCH(E107,Cost_Components!$A$2:$A$27,0)),"")</f>
        <v>282.51283599999999</v>
      </c>
      <c r="O107" s="21">
        <f t="shared" si="11"/>
        <v>533452.46049805707</v>
      </c>
      <c r="P107" s="21">
        <f t="shared" si="12"/>
        <v>533435.528503604</v>
      </c>
      <c r="Q107" s="21">
        <f t="shared" si="13"/>
        <v>46717739.034020714</v>
      </c>
      <c r="R107" s="21">
        <f t="shared" si="14"/>
        <v>52399722.849146768</v>
      </c>
      <c r="S107" s="21">
        <f t="shared" si="15"/>
        <v>5681983.815126054</v>
      </c>
      <c r="T107" s="14">
        <f>IFERROR(INDEX(Cost_Components!$R$2:$R$27,MATCH(E107,Cost_Components!$A$2:$A$27,0)),"")</f>
        <v>1</v>
      </c>
      <c r="U107" s="24">
        <f>IFERROR(INDEX(Cost_Components!$Q$2:$Q$27,MATCH(E107,Cost_Components!$A$2:$A$27,0)),"")</f>
        <v>2023</v>
      </c>
      <c r="V107" s="28">
        <f>1/(1+Calculation_Assumptions!$B$5)^(B107-Calculation_Assumptions!$B$2)</f>
        <v>0.970873786407767</v>
      </c>
      <c r="W107" s="21">
        <f t="shared" si="16"/>
        <v>45357028.188369624</v>
      </c>
      <c r="X107" s="21">
        <f t="shared" si="17"/>
        <v>50873517.329268709</v>
      </c>
      <c r="Y107" s="21">
        <f t="shared" si="18"/>
        <v>5516489.1408990817</v>
      </c>
      <c r="Z107" s="15">
        <f>IFERROR(INDEX(Cost_Components!$T$2:$T$27,MATCH(E107,Cost_Components!$A$2:$A$27,0)),"")</f>
        <v>0.8</v>
      </c>
      <c r="AA107" s="24">
        <f>IFERROR(INDEX(Cost_Components!$U$2:$U$27,MATCH(E107,Cost_Components!$A$2:$A$27,0)),"")</f>
        <v>2025</v>
      </c>
      <c r="AB107" s="24">
        <f>IFERROR(INDEX(Cost_Components!$V$2:$V$27,MATCH(E107,Cost_Components!$A$2:$A$27,0)),"")</f>
        <v>2050</v>
      </c>
      <c r="AC107" s="24">
        <f>IFERROR(INDEX(Cost_Components!$M$2:$M$27,MATCH(E107,Cost_Components!$A$2:$A$27,0)),"")</f>
        <v>30</v>
      </c>
      <c r="AD107" s="24">
        <f>IFERROR(INDEX(Cost_Components!$N$2:$N$27,MATCH(E107,Cost_Components!$A$2:$A$27,0)),"")</f>
        <v>95</v>
      </c>
      <c r="AE107" s="14" t="str">
        <f>IFERROR(INDEX(Cost_Components!$O$2:$O$27,MATCH(E107,Cost_Components!$A$2:$A$27,0)),"")</f>
        <v>Both</v>
      </c>
      <c r="AF107" s="11">
        <v>5334524.6049805703</v>
      </c>
      <c r="AG107" s="11">
        <v>5334355.2850360395</v>
      </c>
      <c r="AH107" s="21">
        <f t="shared" si="19"/>
        <v>1</v>
      </c>
    </row>
    <row r="108" spans="1:34" hidden="1">
      <c r="A108" t="s">
        <v>183</v>
      </c>
      <c r="B108" s="18">
        <v>2027</v>
      </c>
      <c r="C108" t="s">
        <v>183</v>
      </c>
      <c r="D108" t="s">
        <v>177</v>
      </c>
      <c r="E108" s="20" t="s">
        <v>267</v>
      </c>
      <c r="F108" s="20" t="s">
        <v>268</v>
      </c>
      <c r="G108" s="20" t="s">
        <v>195</v>
      </c>
      <c r="H108" s="20" t="s">
        <v>192</v>
      </c>
      <c r="I108" s="20" t="s">
        <v>264</v>
      </c>
      <c r="J108" s="15">
        <f>IFERROR(INDEX(Cost_Components!$K$2:$K$27,MATCH(E108,Cost_Components!$A$2:$A$27,0)),"")</f>
        <v>0.1</v>
      </c>
      <c r="K108" s="15">
        <f t="shared" si="10"/>
        <v>0.36653846153846154</v>
      </c>
      <c r="L108" s="15">
        <f>IFERROR(INDEX(Cost_Components!$S$2:$S$27,MATCH(E108,Cost_Components!$A$2:$A$27,0)),"")</f>
        <v>0.31</v>
      </c>
      <c r="M108" s="26">
        <f>IFERROR(INDEX(Cost_Components!$L$2:$L$27,MATCH(E108,Cost_Components!$A$2:$A$27,0)),"")</f>
        <v>1</v>
      </c>
      <c r="N108" s="27">
        <f>IFERROR(INDEX(Cost_Components!$P$2:$P$27,MATCH(E108,Cost_Components!$A$2:$A$27,0)),"")</f>
        <v>282.51283599999999</v>
      </c>
      <c r="O108" s="21">
        <f t="shared" si="11"/>
        <v>546172.20684736304</v>
      </c>
      <c r="P108" s="21">
        <f t="shared" si="12"/>
        <v>546138.2330752461</v>
      </c>
      <c r="Q108" s="21">
        <f t="shared" si="13"/>
        <v>47830228.932976201</v>
      </c>
      <c r="R108" s="21">
        <f t="shared" si="14"/>
        <v>56557126.201187797</v>
      </c>
      <c r="S108" s="21">
        <f t="shared" si="15"/>
        <v>8726897.2682115957</v>
      </c>
      <c r="T108" s="14">
        <f>IFERROR(INDEX(Cost_Components!$R$2:$R$27,MATCH(E108,Cost_Components!$A$2:$A$27,0)),"")</f>
        <v>1</v>
      </c>
      <c r="U108" s="24">
        <f>IFERROR(INDEX(Cost_Components!$Q$2:$Q$27,MATCH(E108,Cost_Components!$A$2:$A$27,0)),"")</f>
        <v>2023</v>
      </c>
      <c r="V108" s="28">
        <f>1/(1+Calculation_Assumptions!$B$5)^(B108-Calculation_Assumptions!$B$2)</f>
        <v>0.94259590913375435</v>
      </c>
      <c r="W108" s="21">
        <f t="shared" si="16"/>
        <v>45084578.125154302</v>
      </c>
      <c r="X108" s="21">
        <f t="shared" si="17"/>
        <v>53310515.789601088</v>
      </c>
      <c r="Y108" s="21">
        <f t="shared" si="18"/>
        <v>8225937.664446786</v>
      </c>
      <c r="Z108" s="15">
        <f>IFERROR(INDEX(Cost_Components!$T$2:$T$27,MATCH(E108,Cost_Components!$A$2:$A$27,0)),"")</f>
        <v>0.8</v>
      </c>
      <c r="AA108" s="24">
        <f>IFERROR(INDEX(Cost_Components!$U$2:$U$27,MATCH(E108,Cost_Components!$A$2:$A$27,0)),"")</f>
        <v>2025</v>
      </c>
      <c r="AB108" s="24">
        <f>IFERROR(INDEX(Cost_Components!$V$2:$V$27,MATCH(E108,Cost_Components!$A$2:$A$27,0)),"")</f>
        <v>2050</v>
      </c>
      <c r="AC108" s="24">
        <f>IFERROR(INDEX(Cost_Components!$M$2:$M$27,MATCH(E108,Cost_Components!$A$2:$A$27,0)),"")</f>
        <v>30</v>
      </c>
      <c r="AD108" s="24">
        <f>IFERROR(INDEX(Cost_Components!$N$2:$N$27,MATCH(E108,Cost_Components!$A$2:$A$27,0)),"")</f>
        <v>95</v>
      </c>
      <c r="AE108" s="14" t="str">
        <f>IFERROR(INDEX(Cost_Components!$O$2:$O$27,MATCH(E108,Cost_Components!$A$2:$A$27,0)),"")</f>
        <v>Both</v>
      </c>
      <c r="AF108" s="11">
        <v>5461722.0684736297</v>
      </c>
      <c r="AG108" s="11">
        <v>5461382.3307524603</v>
      </c>
      <c r="AH108" s="21">
        <f t="shared" si="19"/>
        <v>1</v>
      </c>
    </row>
    <row r="109" spans="1:34" hidden="1">
      <c r="A109" t="s">
        <v>183</v>
      </c>
      <c r="B109" s="18">
        <v>2028</v>
      </c>
      <c r="C109" t="s">
        <v>183</v>
      </c>
      <c r="D109" t="s">
        <v>177</v>
      </c>
      <c r="E109" s="20" t="s">
        <v>267</v>
      </c>
      <c r="F109" s="20" t="s">
        <v>268</v>
      </c>
      <c r="G109" s="20" t="s">
        <v>195</v>
      </c>
      <c r="H109" s="20" t="s">
        <v>192</v>
      </c>
      <c r="I109" s="20" t="s">
        <v>264</v>
      </c>
      <c r="J109" s="15">
        <f>IFERROR(INDEX(Cost_Components!$K$2:$K$27,MATCH(E109,Cost_Components!$A$2:$A$27,0)),"")</f>
        <v>0.1</v>
      </c>
      <c r="K109" s="15">
        <f t="shared" si="10"/>
        <v>0.38538461538461538</v>
      </c>
      <c r="L109" s="15">
        <f>IFERROR(INDEX(Cost_Components!$S$2:$S$27,MATCH(E109,Cost_Components!$A$2:$A$27,0)),"")</f>
        <v>0.31</v>
      </c>
      <c r="M109" s="26">
        <f>IFERROR(INDEX(Cost_Components!$L$2:$L$27,MATCH(E109,Cost_Components!$A$2:$A$27,0)),"")</f>
        <v>1</v>
      </c>
      <c r="N109" s="27">
        <f>IFERROR(INDEX(Cost_Components!$P$2:$P$27,MATCH(E109,Cost_Components!$A$2:$A$27,0)),"")</f>
        <v>282.51283599999999</v>
      </c>
      <c r="O109" s="21">
        <f t="shared" si="11"/>
        <v>558751.69481111201</v>
      </c>
      <c r="P109" s="21">
        <f t="shared" si="12"/>
        <v>558694.9730225181</v>
      </c>
      <c r="Q109" s="21">
        <f t="shared" si="13"/>
        <v>48929935.399135873</v>
      </c>
      <c r="R109" s="21">
        <f t="shared" si="14"/>
        <v>60834705.758744434</v>
      </c>
      <c r="S109" s="21">
        <f t="shared" si="15"/>
        <v>11904770.359608561</v>
      </c>
      <c r="T109" s="14">
        <f>IFERROR(INDEX(Cost_Components!$R$2:$R$27,MATCH(E109,Cost_Components!$A$2:$A$27,0)),"")</f>
        <v>1</v>
      </c>
      <c r="U109" s="24">
        <f>IFERROR(INDEX(Cost_Components!$Q$2:$Q$27,MATCH(E109,Cost_Components!$A$2:$A$27,0)),"")</f>
        <v>2023</v>
      </c>
      <c r="V109" s="28">
        <f>1/(1+Calculation_Assumptions!$B$5)^(B109-Calculation_Assumptions!$B$2)</f>
        <v>0.91514165935315961</v>
      </c>
      <c r="W109" s="21">
        <f t="shared" si="16"/>
        <v>44777822.273208104</v>
      </c>
      <c r="X109" s="21">
        <f t="shared" si="17"/>
        <v>55672373.574318595</v>
      </c>
      <c r="Y109" s="21">
        <f t="shared" si="18"/>
        <v>10894551.301110489</v>
      </c>
      <c r="Z109" s="15">
        <f>IFERROR(INDEX(Cost_Components!$T$2:$T$27,MATCH(E109,Cost_Components!$A$2:$A$27,0)),"")</f>
        <v>0.8</v>
      </c>
      <c r="AA109" s="24">
        <f>IFERROR(INDEX(Cost_Components!$U$2:$U$27,MATCH(E109,Cost_Components!$A$2:$A$27,0)),"")</f>
        <v>2025</v>
      </c>
      <c r="AB109" s="24">
        <f>IFERROR(INDEX(Cost_Components!$V$2:$V$27,MATCH(E109,Cost_Components!$A$2:$A$27,0)),"")</f>
        <v>2050</v>
      </c>
      <c r="AC109" s="24">
        <f>IFERROR(INDEX(Cost_Components!$M$2:$M$27,MATCH(E109,Cost_Components!$A$2:$A$27,0)),"")</f>
        <v>30</v>
      </c>
      <c r="AD109" s="24">
        <f>IFERROR(INDEX(Cost_Components!$N$2:$N$27,MATCH(E109,Cost_Components!$A$2:$A$27,0)),"")</f>
        <v>95</v>
      </c>
      <c r="AE109" s="14" t="str">
        <f>IFERROR(INDEX(Cost_Components!$O$2:$O$27,MATCH(E109,Cost_Components!$A$2:$A$27,0)),"")</f>
        <v>Both</v>
      </c>
      <c r="AF109" s="11">
        <v>5587516.9481111197</v>
      </c>
      <c r="AG109" s="11">
        <v>5586949.7302251803</v>
      </c>
      <c r="AH109" s="21">
        <f t="shared" si="19"/>
        <v>1</v>
      </c>
    </row>
    <row r="110" spans="1:34" hidden="1">
      <c r="A110" t="s">
        <v>183</v>
      </c>
      <c r="B110" s="18">
        <v>2029</v>
      </c>
      <c r="C110" t="s">
        <v>183</v>
      </c>
      <c r="D110" t="s">
        <v>177</v>
      </c>
      <c r="E110" s="20" t="s">
        <v>267</v>
      </c>
      <c r="F110" s="20" t="s">
        <v>268</v>
      </c>
      <c r="G110" s="20" t="s">
        <v>195</v>
      </c>
      <c r="H110" s="20" t="s">
        <v>192</v>
      </c>
      <c r="I110" s="20" t="s">
        <v>264</v>
      </c>
      <c r="J110" s="15">
        <f>IFERROR(INDEX(Cost_Components!$K$2:$K$27,MATCH(E110,Cost_Components!$A$2:$A$27,0)),"")</f>
        <v>0.1</v>
      </c>
      <c r="K110" s="15">
        <f t="shared" si="10"/>
        <v>0.40423076923076923</v>
      </c>
      <c r="L110" s="15">
        <f>IFERROR(INDEX(Cost_Components!$S$2:$S$27,MATCH(E110,Cost_Components!$A$2:$A$27,0)),"")</f>
        <v>0.31</v>
      </c>
      <c r="M110" s="26">
        <f>IFERROR(INDEX(Cost_Components!$L$2:$L$27,MATCH(E110,Cost_Components!$A$2:$A$27,0)),"")</f>
        <v>1</v>
      </c>
      <c r="N110" s="27">
        <f>IFERROR(INDEX(Cost_Components!$P$2:$P$27,MATCH(E110,Cost_Components!$A$2:$A$27,0)),"")</f>
        <v>282.51283599999999</v>
      </c>
      <c r="O110" s="21">
        <f t="shared" si="11"/>
        <v>571139.11687690299</v>
      </c>
      <c r="P110" s="21">
        <f t="shared" si="12"/>
        <v>571053.99685696198</v>
      </c>
      <c r="Q110" s="21">
        <f t="shared" si="13"/>
        <v>50012326.089970574</v>
      </c>
      <c r="R110" s="21">
        <f t="shared" si="14"/>
        <v>65224304.759253934</v>
      </c>
      <c r="S110" s="21">
        <f t="shared" si="15"/>
        <v>15211978.66928336</v>
      </c>
      <c r="T110" s="14">
        <f>IFERROR(INDEX(Cost_Components!$R$2:$R$27,MATCH(E110,Cost_Components!$A$2:$A$27,0)),"")</f>
        <v>1</v>
      </c>
      <c r="U110" s="24">
        <f>IFERROR(INDEX(Cost_Components!$Q$2:$Q$27,MATCH(E110,Cost_Components!$A$2:$A$27,0)),"")</f>
        <v>2023</v>
      </c>
      <c r="V110" s="28">
        <f>1/(1+Calculation_Assumptions!$B$5)^(B110-Calculation_Assumptions!$B$2)</f>
        <v>0.888487047915689</v>
      </c>
      <c r="W110" s="21">
        <f t="shared" si="16"/>
        <v>44435303.967074752</v>
      </c>
      <c r="X110" s="21">
        <f t="shared" si="17"/>
        <v>57950949.987902753</v>
      </c>
      <c r="Y110" s="21">
        <f t="shared" si="18"/>
        <v>13515646.020828003</v>
      </c>
      <c r="Z110" s="15">
        <f>IFERROR(INDEX(Cost_Components!$T$2:$T$27,MATCH(E110,Cost_Components!$A$2:$A$27,0)),"")</f>
        <v>0.8</v>
      </c>
      <c r="AA110" s="24">
        <f>IFERROR(INDEX(Cost_Components!$U$2:$U$27,MATCH(E110,Cost_Components!$A$2:$A$27,0)),"")</f>
        <v>2025</v>
      </c>
      <c r="AB110" s="24">
        <f>IFERROR(INDEX(Cost_Components!$V$2:$V$27,MATCH(E110,Cost_Components!$A$2:$A$27,0)),"")</f>
        <v>2050</v>
      </c>
      <c r="AC110" s="24">
        <f>IFERROR(INDEX(Cost_Components!$M$2:$M$27,MATCH(E110,Cost_Components!$A$2:$A$27,0)),"")</f>
        <v>30</v>
      </c>
      <c r="AD110" s="24">
        <f>IFERROR(INDEX(Cost_Components!$N$2:$N$27,MATCH(E110,Cost_Components!$A$2:$A$27,0)),"")</f>
        <v>95</v>
      </c>
      <c r="AE110" s="14" t="str">
        <f>IFERROR(INDEX(Cost_Components!$O$2:$O$27,MATCH(E110,Cost_Components!$A$2:$A$27,0)),"")</f>
        <v>Both</v>
      </c>
      <c r="AF110" s="11">
        <v>5711391.1687690299</v>
      </c>
      <c r="AG110" s="11">
        <v>5710539.9685696196</v>
      </c>
      <c r="AH110" s="21">
        <f t="shared" si="19"/>
        <v>1</v>
      </c>
    </row>
    <row r="111" spans="1:34" hidden="1">
      <c r="A111" t="s">
        <v>183</v>
      </c>
      <c r="B111" s="18">
        <v>2030</v>
      </c>
      <c r="C111" t="s">
        <v>183</v>
      </c>
      <c r="D111" t="s">
        <v>177</v>
      </c>
      <c r="E111" s="20" t="s">
        <v>267</v>
      </c>
      <c r="F111" s="20" t="s">
        <v>268</v>
      </c>
      <c r="G111" s="20" t="s">
        <v>195</v>
      </c>
      <c r="H111" s="20" t="s">
        <v>192</v>
      </c>
      <c r="I111" s="20" t="s">
        <v>264</v>
      </c>
      <c r="J111" s="15">
        <f>IFERROR(INDEX(Cost_Components!$K$2:$K$27,MATCH(E111,Cost_Components!$A$2:$A$27,0)),"")</f>
        <v>0.1</v>
      </c>
      <c r="K111" s="15">
        <f t="shared" si="10"/>
        <v>0.42307692307692307</v>
      </c>
      <c r="L111" s="15">
        <f>IFERROR(INDEX(Cost_Components!$S$2:$S$27,MATCH(E111,Cost_Components!$A$2:$A$27,0)),"")</f>
        <v>0.31</v>
      </c>
      <c r="M111" s="26">
        <f>IFERROR(INDEX(Cost_Components!$L$2:$L$27,MATCH(E111,Cost_Components!$A$2:$A$27,0)),"")</f>
        <v>1</v>
      </c>
      <c r="N111" s="27">
        <f>IFERROR(INDEX(Cost_Components!$P$2:$P$27,MATCH(E111,Cost_Components!$A$2:$A$27,0)),"")</f>
        <v>282.51283599999999</v>
      </c>
      <c r="O111" s="21">
        <f t="shared" si="11"/>
        <v>583315.67606567708</v>
      </c>
      <c r="P111" s="21">
        <f t="shared" si="12"/>
        <v>583196.59874699102</v>
      </c>
      <c r="Q111" s="21">
        <f t="shared" si="13"/>
        <v>51075762.767845608</v>
      </c>
      <c r="R111" s="21">
        <f t="shared" si="14"/>
        <v>69720608.662088051</v>
      </c>
      <c r="S111" s="21">
        <f t="shared" si="15"/>
        <v>18644845.894242443</v>
      </c>
      <c r="T111" s="14">
        <f>IFERROR(INDEX(Cost_Components!$R$2:$R$27,MATCH(E111,Cost_Components!$A$2:$A$27,0)),"")</f>
        <v>1</v>
      </c>
      <c r="U111" s="24">
        <f>IFERROR(INDEX(Cost_Components!$Q$2:$Q$27,MATCH(E111,Cost_Components!$A$2:$A$27,0)),"")</f>
        <v>2023</v>
      </c>
      <c r="V111" s="28">
        <f>1/(1+Calculation_Assumptions!$B$5)^(B111-Calculation_Assumptions!$B$2)</f>
        <v>0.86260878438416411</v>
      </c>
      <c r="W111" s="21">
        <f t="shared" si="16"/>
        <v>44058401.632665247</v>
      </c>
      <c r="X111" s="21">
        <f t="shared" si="17"/>
        <v>60141609.484527797</v>
      </c>
      <c r="Y111" s="21">
        <f t="shared" si="18"/>
        <v>16083207.851862548</v>
      </c>
      <c r="Z111" s="15">
        <f>IFERROR(INDEX(Cost_Components!$T$2:$T$27,MATCH(E111,Cost_Components!$A$2:$A$27,0)),"")</f>
        <v>0.8</v>
      </c>
      <c r="AA111" s="24">
        <f>IFERROR(INDEX(Cost_Components!$U$2:$U$27,MATCH(E111,Cost_Components!$A$2:$A$27,0)),"")</f>
        <v>2025</v>
      </c>
      <c r="AB111" s="24">
        <f>IFERROR(INDEX(Cost_Components!$V$2:$V$27,MATCH(E111,Cost_Components!$A$2:$A$27,0)),"")</f>
        <v>2050</v>
      </c>
      <c r="AC111" s="24">
        <f>IFERROR(INDEX(Cost_Components!$M$2:$M$27,MATCH(E111,Cost_Components!$A$2:$A$27,0)),"")</f>
        <v>30</v>
      </c>
      <c r="AD111" s="24">
        <f>IFERROR(INDEX(Cost_Components!$N$2:$N$27,MATCH(E111,Cost_Components!$A$2:$A$27,0)),"")</f>
        <v>95</v>
      </c>
      <c r="AE111" s="14" t="str">
        <f>IFERROR(INDEX(Cost_Components!$O$2:$O$27,MATCH(E111,Cost_Components!$A$2:$A$27,0)),"")</f>
        <v>Both</v>
      </c>
      <c r="AF111" s="11">
        <v>5833156.7606567703</v>
      </c>
      <c r="AG111" s="11">
        <v>5831965.9874699097</v>
      </c>
      <c r="AH111" s="21">
        <f t="shared" si="19"/>
        <v>1</v>
      </c>
    </row>
    <row r="112" spans="1:34" hidden="1">
      <c r="A112" t="s">
        <v>183</v>
      </c>
      <c r="B112" s="18">
        <v>2031</v>
      </c>
      <c r="C112" t="s">
        <v>183</v>
      </c>
      <c r="D112" t="s">
        <v>177</v>
      </c>
      <c r="E112" s="20" t="s">
        <v>267</v>
      </c>
      <c r="F112" s="20" t="s">
        <v>268</v>
      </c>
      <c r="G112" s="20" t="s">
        <v>195</v>
      </c>
      <c r="H112" s="20" t="s">
        <v>192</v>
      </c>
      <c r="I112" s="20" t="s">
        <v>264</v>
      </c>
      <c r="J112" s="15">
        <f>IFERROR(INDEX(Cost_Components!$K$2:$K$27,MATCH(E112,Cost_Components!$A$2:$A$27,0)),"")</f>
        <v>0.1</v>
      </c>
      <c r="K112" s="15">
        <f t="shared" si="10"/>
        <v>0.44192307692307692</v>
      </c>
      <c r="L112" s="15">
        <f>IFERROR(INDEX(Cost_Components!$S$2:$S$27,MATCH(E112,Cost_Components!$A$2:$A$27,0)),"")</f>
        <v>0.31</v>
      </c>
      <c r="M112" s="26">
        <f>IFERROR(INDEX(Cost_Components!$L$2:$L$27,MATCH(E112,Cost_Components!$A$2:$A$27,0)),"")</f>
        <v>1</v>
      </c>
      <c r="N112" s="27">
        <f>IFERROR(INDEX(Cost_Components!$P$2:$P$27,MATCH(E112,Cost_Components!$A$2:$A$27,0)),"")</f>
        <v>282.51283599999999</v>
      </c>
      <c r="O112" s="21">
        <f t="shared" si="11"/>
        <v>595304.63238319103</v>
      </c>
      <c r="P112" s="21">
        <f t="shared" si="12"/>
        <v>595146.15629147307</v>
      </c>
      <c r="Q112" s="21">
        <f t="shared" si="13"/>
        <v>52122292.81900502</v>
      </c>
      <c r="R112" s="21">
        <f t="shared" si="14"/>
        <v>74323153.375119671</v>
      </c>
      <c r="S112" s="21">
        <f t="shared" si="15"/>
        <v>22200860.556114651</v>
      </c>
      <c r="T112" s="14">
        <f>IFERROR(INDEX(Cost_Components!$R$2:$R$27,MATCH(E112,Cost_Components!$A$2:$A$27,0)),"")</f>
        <v>1</v>
      </c>
      <c r="U112" s="24">
        <f>IFERROR(INDEX(Cost_Components!$Q$2:$Q$27,MATCH(E112,Cost_Components!$A$2:$A$27,0)),"")</f>
        <v>2023</v>
      </c>
      <c r="V112" s="28">
        <f>1/(1+Calculation_Assumptions!$B$5)^(B112-Calculation_Assumptions!$B$2)</f>
        <v>0.83748425668365445</v>
      </c>
      <c r="W112" s="21">
        <f t="shared" si="16"/>
        <v>43651599.658172198</v>
      </c>
      <c r="X112" s="21">
        <f t="shared" si="17"/>
        <v>62244470.858747341</v>
      </c>
      <c r="Y112" s="21">
        <f t="shared" si="18"/>
        <v>18592871.200575143</v>
      </c>
      <c r="Z112" s="15">
        <f>IFERROR(INDEX(Cost_Components!$T$2:$T$27,MATCH(E112,Cost_Components!$A$2:$A$27,0)),"")</f>
        <v>0.8</v>
      </c>
      <c r="AA112" s="24">
        <f>IFERROR(INDEX(Cost_Components!$U$2:$U$27,MATCH(E112,Cost_Components!$A$2:$A$27,0)),"")</f>
        <v>2025</v>
      </c>
      <c r="AB112" s="24">
        <f>IFERROR(INDEX(Cost_Components!$V$2:$V$27,MATCH(E112,Cost_Components!$A$2:$A$27,0)),"")</f>
        <v>2050</v>
      </c>
      <c r="AC112" s="24">
        <f>IFERROR(INDEX(Cost_Components!$M$2:$M$27,MATCH(E112,Cost_Components!$A$2:$A$27,0)),"")</f>
        <v>30</v>
      </c>
      <c r="AD112" s="24">
        <f>IFERROR(INDEX(Cost_Components!$N$2:$N$27,MATCH(E112,Cost_Components!$A$2:$A$27,0)),"")</f>
        <v>95</v>
      </c>
      <c r="AE112" s="14" t="str">
        <f>IFERROR(INDEX(Cost_Components!$O$2:$O$27,MATCH(E112,Cost_Components!$A$2:$A$27,0)),"")</f>
        <v>Both</v>
      </c>
      <c r="AF112" s="11">
        <v>5953046.3238319103</v>
      </c>
      <c r="AG112" s="11">
        <v>5951461.56291473</v>
      </c>
      <c r="AH112" s="21">
        <f t="shared" si="19"/>
        <v>1</v>
      </c>
    </row>
    <row r="113" spans="1:34" hidden="1">
      <c r="A113" t="s">
        <v>183</v>
      </c>
      <c r="B113" s="18">
        <v>2032</v>
      </c>
      <c r="C113" t="s">
        <v>183</v>
      </c>
      <c r="D113" t="s">
        <v>177</v>
      </c>
      <c r="E113" s="20" t="s">
        <v>267</v>
      </c>
      <c r="F113" s="20" t="s">
        <v>268</v>
      </c>
      <c r="G113" s="20" t="s">
        <v>195</v>
      </c>
      <c r="H113" s="20" t="s">
        <v>192</v>
      </c>
      <c r="I113" s="20" t="s">
        <v>264</v>
      </c>
      <c r="J113" s="15">
        <f>IFERROR(INDEX(Cost_Components!$K$2:$K$27,MATCH(E113,Cost_Components!$A$2:$A$27,0)),"")</f>
        <v>0.1</v>
      </c>
      <c r="K113" s="15">
        <f t="shared" si="10"/>
        <v>0.46076923076923082</v>
      </c>
      <c r="L113" s="15">
        <f>IFERROR(INDEX(Cost_Components!$S$2:$S$27,MATCH(E113,Cost_Components!$A$2:$A$27,0)),"")</f>
        <v>0.31</v>
      </c>
      <c r="M113" s="26">
        <f>IFERROR(INDEX(Cost_Components!$L$2:$L$27,MATCH(E113,Cost_Components!$A$2:$A$27,0)),"")</f>
        <v>1</v>
      </c>
      <c r="N113" s="27">
        <f>IFERROR(INDEX(Cost_Components!$P$2:$P$27,MATCH(E113,Cost_Components!$A$2:$A$27,0)),"")</f>
        <v>282.51283599999999</v>
      </c>
      <c r="O113" s="21">
        <f t="shared" si="11"/>
        <v>607092.40122249804</v>
      </c>
      <c r="P113" s="21">
        <f t="shared" si="12"/>
        <v>606889.218082921</v>
      </c>
      <c r="Q113" s="21">
        <f t="shared" si="13"/>
        <v>53150738.182912834</v>
      </c>
      <c r="R113" s="21">
        <f t="shared" si="14"/>
        <v>79027173.99543637</v>
      </c>
      <c r="S113" s="21">
        <f t="shared" si="15"/>
        <v>25876435.812523536</v>
      </c>
      <c r="T113" s="14">
        <f>IFERROR(INDEX(Cost_Components!$R$2:$R$27,MATCH(E113,Cost_Components!$A$2:$A$27,0)),"")</f>
        <v>1</v>
      </c>
      <c r="U113" s="24">
        <f>IFERROR(INDEX(Cost_Components!$Q$2:$Q$27,MATCH(E113,Cost_Components!$A$2:$A$27,0)),"")</f>
        <v>2023</v>
      </c>
      <c r="V113" s="28">
        <f>1/(1+Calculation_Assumptions!$B$5)^(B113-Calculation_Assumptions!$B$2)</f>
        <v>0.81309151134335378</v>
      </c>
      <c r="W113" s="21">
        <f t="shared" si="16"/>
        <v>43216414.038159497</v>
      </c>
      <c r="X113" s="21">
        <f t="shared" si="17"/>
        <v>64256324.341143541</v>
      </c>
      <c r="Y113" s="21">
        <f t="shared" si="18"/>
        <v>21039910.302984048</v>
      </c>
      <c r="Z113" s="15">
        <f>IFERROR(INDEX(Cost_Components!$T$2:$T$27,MATCH(E113,Cost_Components!$A$2:$A$27,0)),"")</f>
        <v>0.8</v>
      </c>
      <c r="AA113" s="24">
        <f>IFERROR(INDEX(Cost_Components!$U$2:$U$27,MATCH(E113,Cost_Components!$A$2:$A$27,0)),"")</f>
        <v>2025</v>
      </c>
      <c r="AB113" s="24">
        <f>IFERROR(INDEX(Cost_Components!$V$2:$V$27,MATCH(E113,Cost_Components!$A$2:$A$27,0)),"")</f>
        <v>2050</v>
      </c>
      <c r="AC113" s="24">
        <f>IFERROR(INDEX(Cost_Components!$M$2:$M$27,MATCH(E113,Cost_Components!$A$2:$A$27,0)),"")</f>
        <v>30</v>
      </c>
      <c r="AD113" s="24">
        <f>IFERROR(INDEX(Cost_Components!$N$2:$N$27,MATCH(E113,Cost_Components!$A$2:$A$27,0)),"")</f>
        <v>95</v>
      </c>
      <c r="AE113" s="14" t="str">
        <f>IFERROR(INDEX(Cost_Components!$O$2:$O$27,MATCH(E113,Cost_Components!$A$2:$A$27,0)),"")</f>
        <v>Both</v>
      </c>
      <c r="AF113" s="11">
        <v>6070924.0122249797</v>
      </c>
      <c r="AG113" s="11">
        <v>6068892.1808292102</v>
      </c>
      <c r="AH113" s="21">
        <f t="shared" si="19"/>
        <v>1</v>
      </c>
    </row>
    <row r="114" spans="1:34" hidden="1">
      <c r="A114" t="s">
        <v>183</v>
      </c>
      <c r="B114" s="18">
        <v>2033</v>
      </c>
      <c r="C114" t="s">
        <v>183</v>
      </c>
      <c r="D114" t="s">
        <v>177</v>
      </c>
      <c r="E114" s="20" t="s">
        <v>267</v>
      </c>
      <c r="F114" s="20" t="s">
        <v>268</v>
      </c>
      <c r="G114" s="20" t="s">
        <v>195</v>
      </c>
      <c r="H114" s="20" t="s">
        <v>192</v>
      </c>
      <c r="I114" s="20" t="s">
        <v>264</v>
      </c>
      <c r="J114" s="15">
        <f>IFERROR(INDEX(Cost_Components!$K$2:$K$27,MATCH(E114,Cost_Components!$A$2:$A$27,0)),"")</f>
        <v>0.1</v>
      </c>
      <c r="K114" s="15">
        <f t="shared" si="10"/>
        <v>0.47961538461538467</v>
      </c>
      <c r="L114" s="15">
        <f>IFERROR(INDEX(Cost_Components!$S$2:$S$27,MATCH(E114,Cost_Components!$A$2:$A$27,0)),"")</f>
        <v>0.31</v>
      </c>
      <c r="M114" s="26">
        <f>IFERROR(INDEX(Cost_Components!$L$2:$L$27,MATCH(E114,Cost_Components!$A$2:$A$27,0)),"")</f>
        <v>1</v>
      </c>
      <c r="N114" s="27">
        <f>IFERROR(INDEX(Cost_Components!$P$2:$P$27,MATCH(E114,Cost_Components!$A$2:$A$27,0)),"")</f>
        <v>282.51283599999999</v>
      </c>
      <c r="O114" s="21">
        <f t="shared" si="11"/>
        <v>618647.67449487804</v>
      </c>
      <c r="P114" s="21">
        <f t="shared" si="12"/>
        <v>618394.62388939504</v>
      </c>
      <c r="Q114" s="21">
        <f t="shared" si="13"/>
        <v>54158369.878265366</v>
      </c>
      <c r="R114" s="21">
        <f t="shared" si="14"/>
        <v>83825214.819585413</v>
      </c>
      <c r="S114" s="21">
        <f t="shared" si="15"/>
        <v>29666844.941320047</v>
      </c>
      <c r="T114" s="14">
        <f>IFERROR(INDEX(Cost_Components!$R$2:$R$27,MATCH(E114,Cost_Components!$A$2:$A$27,0)),"")</f>
        <v>1</v>
      </c>
      <c r="U114" s="24">
        <f>IFERROR(INDEX(Cost_Components!$Q$2:$Q$27,MATCH(E114,Cost_Components!$A$2:$A$27,0)),"")</f>
        <v>2023</v>
      </c>
      <c r="V114" s="28">
        <f>1/(1+Calculation_Assumptions!$B$5)^(B114-Calculation_Assumptions!$B$2)</f>
        <v>0.78940923431393573</v>
      </c>
      <c r="W114" s="21">
        <f t="shared" si="16"/>
        <v>42753117.297292382</v>
      </c>
      <c r="X114" s="21">
        <f t="shared" si="17"/>
        <v>66172398.646930099</v>
      </c>
      <c r="Y114" s="21">
        <f t="shared" si="18"/>
        <v>23419281.349637717</v>
      </c>
      <c r="Z114" s="15">
        <f>IFERROR(INDEX(Cost_Components!$T$2:$T$27,MATCH(E114,Cost_Components!$A$2:$A$27,0)),"")</f>
        <v>0.8</v>
      </c>
      <c r="AA114" s="24">
        <f>IFERROR(INDEX(Cost_Components!$U$2:$U$27,MATCH(E114,Cost_Components!$A$2:$A$27,0)),"")</f>
        <v>2025</v>
      </c>
      <c r="AB114" s="24">
        <f>IFERROR(INDEX(Cost_Components!$V$2:$V$27,MATCH(E114,Cost_Components!$A$2:$A$27,0)),"")</f>
        <v>2050</v>
      </c>
      <c r="AC114" s="24">
        <f>IFERROR(INDEX(Cost_Components!$M$2:$M$27,MATCH(E114,Cost_Components!$A$2:$A$27,0)),"")</f>
        <v>30</v>
      </c>
      <c r="AD114" s="24">
        <f>IFERROR(INDEX(Cost_Components!$N$2:$N$27,MATCH(E114,Cost_Components!$A$2:$A$27,0)),"")</f>
        <v>95</v>
      </c>
      <c r="AE114" s="14" t="str">
        <f>IFERROR(INDEX(Cost_Components!$O$2:$O$27,MATCH(E114,Cost_Components!$A$2:$A$27,0)),"")</f>
        <v>Both</v>
      </c>
      <c r="AF114" s="11">
        <v>6186476.7449487802</v>
      </c>
      <c r="AG114" s="11">
        <v>6183946.2388939504</v>
      </c>
      <c r="AH114" s="21">
        <f t="shared" si="19"/>
        <v>1</v>
      </c>
    </row>
    <row r="115" spans="1:34" hidden="1">
      <c r="A115" t="s">
        <v>183</v>
      </c>
      <c r="B115" s="18">
        <v>2034</v>
      </c>
      <c r="C115" t="s">
        <v>183</v>
      </c>
      <c r="D115" t="s">
        <v>177</v>
      </c>
      <c r="E115" s="20" t="s">
        <v>267</v>
      </c>
      <c r="F115" s="20" t="s">
        <v>268</v>
      </c>
      <c r="G115" s="20" t="s">
        <v>195</v>
      </c>
      <c r="H115" s="20" t="s">
        <v>192</v>
      </c>
      <c r="I115" s="20" t="s">
        <v>264</v>
      </c>
      <c r="J115" s="15">
        <f>IFERROR(INDEX(Cost_Components!$K$2:$K$27,MATCH(E115,Cost_Components!$A$2:$A$27,0)),"")</f>
        <v>0.1</v>
      </c>
      <c r="K115" s="15">
        <f t="shared" si="10"/>
        <v>0.49846153846153851</v>
      </c>
      <c r="L115" s="15">
        <f>IFERROR(INDEX(Cost_Components!$S$2:$S$27,MATCH(E115,Cost_Components!$A$2:$A$27,0)),"")</f>
        <v>0.31</v>
      </c>
      <c r="M115" s="26">
        <f>IFERROR(INDEX(Cost_Components!$L$2:$L$27,MATCH(E115,Cost_Components!$A$2:$A$27,0)),"")</f>
        <v>1</v>
      </c>
      <c r="N115" s="27">
        <f>IFERROR(INDEX(Cost_Components!$P$2:$P$27,MATCH(E115,Cost_Components!$A$2:$A$27,0)),"")</f>
        <v>282.51283599999999</v>
      </c>
      <c r="O115" s="21">
        <f t="shared" si="11"/>
        <v>629951.04738741706</v>
      </c>
      <c r="P115" s="21">
        <f t="shared" si="12"/>
        <v>629643.13001450303</v>
      </c>
      <c r="Q115" s="21">
        <f t="shared" si="13"/>
        <v>55143502.561777331</v>
      </c>
      <c r="R115" s="21">
        <f t="shared" si="14"/>
        <v>88710829.612466201</v>
      </c>
      <c r="S115" s="21">
        <f t="shared" si="15"/>
        <v>33567327.05068887</v>
      </c>
      <c r="T115" s="14">
        <f>IFERROR(INDEX(Cost_Components!$R$2:$R$27,MATCH(E115,Cost_Components!$A$2:$A$27,0)),"")</f>
        <v>1</v>
      </c>
      <c r="U115" s="24">
        <f>IFERROR(INDEX(Cost_Components!$Q$2:$Q$27,MATCH(E115,Cost_Components!$A$2:$A$27,0)),"")</f>
        <v>2023</v>
      </c>
      <c r="V115" s="28">
        <f>1/(1+Calculation_Assumptions!$B$5)^(B115-Calculation_Assumptions!$B$2)</f>
        <v>0.76641673234362695</v>
      </c>
      <c r="W115" s="21">
        <f t="shared" si="16"/>
        <v>42262903.043379806</v>
      </c>
      <c r="X115" s="21">
        <f t="shared" si="17"/>
        <v>67989464.155078605</v>
      </c>
      <c r="Y115" s="21">
        <f t="shared" si="18"/>
        <v>25726561.111698799</v>
      </c>
      <c r="Z115" s="15">
        <f>IFERROR(INDEX(Cost_Components!$T$2:$T$27,MATCH(E115,Cost_Components!$A$2:$A$27,0)),"")</f>
        <v>0.8</v>
      </c>
      <c r="AA115" s="24">
        <f>IFERROR(INDEX(Cost_Components!$U$2:$U$27,MATCH(E115,Cost_Components!$A$2:$A$27,0)),"")</f>
        <v>2025</v>
      </c>
      <c r="AB115" s="24">
        <f>IFERROR(INDEX(Cost_Components!$V$2:$V$27,MATCH(E115,Cost_Components!$A$2:$A$27,0)),"")</f>
        <v>2050</v>
      </c>
      <c r="AC115" s="24">
        <f>IFERROR(INDEX(Cost_Components!$M$2:$M$27,MATCH(E115,Cost_Components!$A$2:$A$27,0)),"")</f>
        <v>30</v>
      </c>
      <c r="AD115" s="24">
        <f>IFERROR(INDEX(Cost_Components!$N$2:$N$27,MATCH(E115,Cost_Components!$A$2:$A$27,0)),"")</f>
        <v>95</v>
      </c>
      <c r="AE115" s="14" t="str">
        <f>IFERROR(INDEX(Cost_Components!$O$2:$O$27,MATCH(E115,Cost_Components!$A$2:$A$27,0)),"")</f>
        <v>Both</v>
      </c>
      <c r="AF115" s="11">
        <v>6299510.4738741703</v>
      </c>
      <c r="AG115" s="11">
        <v>6296431.30014503</v>
      </c>
      <c r="AH115" s="21">
        <f t="shared" si="19"/>
        <v>1</v>
      </c>
    </row>
    <row r="116" spans="1:34" hidden="1">
      <c r="A116" t="s">
        <v>183</v>
      </c>
      <c r="B116" s="18">
        <v>2035</v>
      </c>
      <c r="C116" t="s">
        <v>183</v>
      </c>
      <c r="D116" t="s">
        <v>177</v>
      </c>
      <c r="E116" s="20" t="s">
        <v>267</v>
      </c>
      <c r="F116" s="20" t="s">
        <v>268</v>
      </c>
      <c r="G116" s="20" t="s">
        <v>195</v>
      </c>
      <c r="H116" s="20" t="s">
        <v>192</v>
      </c>
      <c r="I116" s="20" t="s">
        <v>264</v>
      </c>
      <c r="J116" s="15">
        <f>IFERROR(INDEX(Cost_Components!$K$2:$K$27,MATCH(E116,Cost_Components!$A$2:$A$27,0)),"")</f>
        <v>0.1</v>
      </c>
      <c r="K116" s="15">
        <f t="shared" si="10"/>
        <v>0.51730769230769236</v>
      </c>
      <c r="L116" s="15">
        <f>IFERROR(INDEX(Cost_Components!$S$2:$S$27,MATCH(E116,Cost_Components!$A$2:$A$27,0)),"")</f>
        <v>0.31</v>
      </c>
      <c r="M116" s="26">
        <f>IFERROR(INDEX(Cost_Components!$L$2:$L$27,MATCH(E116,Cost_Components!$A$2:$A$27,0)),"")</f>
        <v>1</v>
      </c>
      <c r="N116" s="27">
        <f>IFERROR(INDEX(Cost_Components!$P$2:$P$27,MATCH(E116,Cost_Components!$A$2:$A$27,0)),"")</f>
        <v>282.51283599999999</v>
      </c>
      <c r="O116" s="21">
        <f t="shared" si="11"/>
        <v>641002.44707482809</v>
      </c>
      <c r="P116" s="21">
        <f t="shared" si="12"/>
        <v>640634.82700448809</v>
      </c>
      <c r="Q116" s="21">
        <f t="shared" si="13"/>
        <v>56106144.163396269</v>
      </c>
      <c r="R116" s="21">
        <f t="shared" si="14"/>
        <v>93679984.166206434</v>
      </c>
      <c r="S116" s="21">
        <f t="shared" si="15"/>
        <v>37573840.002810165</v>
      </c>
      <c r="T116" s="14">
        <f>IFERROR(INDEX(Cost_Components!$R$2:$R$27,MATCH(E116,Cost_Components!$A$2:$A$27,0)),"")</f>
        <v>1</v>
      </c>
      <c r="U116" s="24">
        <f>IFERROR(INDEX(Cost_Components!$Q$2:$Q$27,MATCH(E116,Cost_Components!$A$2:$A$27,0)),"")</f>
        <v>2023</v>
      </c>
      <c r="V116" s="28">
        <f>1/(1+Calculation_Assumptions!$B$5)^(B116-Calculation_Assumptions!$B$2)</f>
        <v>0.74409391489672516</v>
      </c>
      <c r="W116" s="21">
        <f t="shared" si="16"/>
        <v>41748240.460301578</v>
      </c>
      <c r="X116" s="21">
        <f t="shared" si="17"/>
        <v>69706706.165695772</v>
      </c>
      <c r="Y116" s="21">
        <f t="shared" si="18"/>
        <v>27958465.705394194</v>
      </c>
      <c r="Z116" s="15">
        <f>IFERROR(INDEX(Cost_Components!$T$2:$T$27,MATCH(E116,Cost_Components!$A$2:$A$27,0)),"")</f>
        <v>0.8</v>
      </c>
      <c r="AA116" s="24">
        <f>IFERROR(INDEX(Cost_Components!$U$2:$U$27,MATCH(E116,Cost_Components!$A$2:$A$27,0)),"")</f>
        <v>2025</v>
      </c>
      <c r="AB116" s="24">
        <f>IFERROR(INDEX(Cost_Components!$V$2:$V$27,MATCH(E116,Cost_Components!$A$2:$A$27,0)),"")</f>
        <v>2050</v>
      </c>
      <c r="AC116" s="24">
        <f>IFERROR(INDEX(Cost_Components!$M$2:$M$27,MATCH(E116,Cost_Components!$A$2:$A$27,0)),"")</f>
        <v>30</v>
      </c>
      <c r="AD116" s="24">
        <f>IFERROR(INDEX(Cost_Components!$N$2:$N$27,MATCH(E116,Cost_Components!$A$2:$A$27,0)),"")</f>
        <v>95</v>
      </c>
      <c r="AE116" s="14" t="str">
        <f>IFERROR(INDEX(Cost_Components!$O$2:$O$27,MATCH(E116,Cost_Components!$A$2:$A$27,0)),"")</f>
        <v>Both</v>
      </c>
      <c r="AF116" s="11">
        <v>6410024.4707482802</v>
      </c>
      <c r="AG116" s="11">
        <v>6406348.27004488</v>
      </c>
      <c r="AH116" s="21">
        <f t="shared" si="19"/>
        <v>1</v>
      </c>
    </row>
    <row r="117" spans="1:34" hidden="1">
      <c r="A117" t="s">
        <v>183</v>
      </c>
      <c r="B117" s="18">
        <v>2036</v>
      </c>
      <c r="C117" t="s">
        <v>183</v>
      </c>
      <c r="D117" t="s">
        <v>177</v>
      </c>
      <c r="E117" s="20" t="s">
        <v>267</v>
      </c>
      <c r="F117" s="20" t="s">
        <v>268</v>
      </c>
      <c r="G117" s="20" t="s">
        <v>195</v>
      </c>
      <c r="H117" s="20" t="s">
        <v>192</v>
      </c>
      <c r="I117" s="20" t="s">
        <v>264</v>
      </c>
      <c r="J117" s="15">
        <f>IFERROR(INDEX(Cost_Components!$K$2:$K$27,MATCH(E117,Cost_Components!$A$2:$A$27,0)),"")</f>
        <v>0.1</v>
      </c>
      <c r="K117" s="15">
        <f t="shared" si="10"/>
        <v>0.5361538461538462</v>
      </c>
      <c r="L117" s="15">
        <f>IFERROR(INDEX(Cost_Components!$S$2:$S$27,MATCH(E117,Cost_Components!$A$2:$A$27,0)),"")</f>
        <v>0.31</v>
      </c>
      <c r="M117" s="26">
        <f>IFERROR(INDEX(Cost_Components!$L$2:$L$27,MATCH(E117,Cost_Components!$A$2:$A$27,0)),"")</f>
        <v>1</v>
      </c>
      <c r="N117" s="27">
        <f>IFERROR(INDEX(Cost_Components!$P$2:$P$27,MATCH(E117,Cost_Components!$A$2:$A$27,0)),"")</f>
        <v>282.51283599999999</v>
      </c>
      <c r="O117" s="21">
        <f t="shared" si="11"/>
        <v>651821.95620335103</v>
      </c>
      <c r="P117" s="21">
        <f t="shared" si="12"/>
        <v>651389.96992914611</v>
      </c>
      <c r="Q117" s="21">
        <f t="shared" si="13"/>
        <v>57048068.601457715</v>
      </c>
      <c r="R117" s="21">
        <f t="shared" si="14"/>
        <v>98731695.678162545</v>
      </c>
      <c r="S117" s="21">
        <f t="shared" si="15"/>
        <v>41683627.07670483</v>
      </c>
      <c r="T117" s="14">
        <f>IFERROR(INDEX(Cost_Components!$R$2:$R$27,MATCH(E117,Cost_Components!$A$2:$A$27,0)),"")</f>
        <v>1</v>
      </c>
      <c r="U117" s="24">
        <f>IFERROR(INDEX(Cost_Components!$Q$2:$Q$27,MATCH(E117,Cost_Components!$A$2:$A$27,0)),"")</f>
        <v>2023</v>
      </c>
      <c r="V117" s="28">
        <f>1/(1+Calculation_Assumptions!$B$5)^(B117-Calculation_Assumptions!$B$2)</f>
        <v>0.72242127659876232</v>
      </c>
      <c r="W117" s="21">
        <f t="shared" si="16"/>
        <v>41212738.54655885</v>
      </c>
      <c r="X117" s="21">
        <f t="shared" si="17"/>
        <v>71325877.632578686</v>
      </c>
      <c r="Y117" s="21">
        <f t="shared" si="18"/>
        <v>30113139.08601984</v>
      </c>
      <c r="Z117" s="15">
        <f>IFERROR(INDEX(Cost_Components!$T$2:$T$27,MATCH(E117,Cost_Components!$A$2:$A$27,0)),"")</f>
        <v>0.8</v>
      </c>
      <c r="AA117" s="24">
        <f>IFERROR(INDEX(Cost_Components!$U$2:$U$27,MATCH(E117,Cost_Components!$A$2:$A$27,0)),"")</f>
        <v>2025</v>
      </c>
      <c r="AB117" s="24">
        <f>IFERROR(INDEX(Cost_Components!$V$2:$V$27,MATCH(E117,Cost_Components!$A$2:$A$27,0)),"")</f>
        <v>2050</v>
      </c>
      <c r="AC117" s="24">
        <f>IFERROR(INDEX(Cost_Components!$M$2:$M$27,MATCH(E117,Cost_Components!$A$2:$A$27,0)),"")</f>
        <v>30</v>
      </c>
      <c r="AD117" s="24">
        <f>IFERROR(INDEX(Cost_Components!$N$2:$N$27,MATCH(E117,Cost_Components!$A$2:$A$27,0)),"")</f>
        <v>95</v>
      </c>
      <c r="AE117" s="14" t="str">
        <f>IFERROR(INDEX(Cost_Components!$O$2:$O$27,MATCH(E117,Cost_Components!$A$2:$A$27,0)),"")</f>
        <v>Both</v>
      </c>
      <c r="AF117" s="11">
        <v>6518219.5620335098</v>
      </c>
      <c r="AG117" s="11">
        <v>6513899.6992914602</v>
      </c>
      <c r="AH117" s="21">
        <f t="shared" si="19"/>
        <v>1</v>
      </c>
    </row>
    <row r="118" spans="1:34" hidden="1">
      <c r="A118" t="s">
        <v>183</v>
      </c>
      <c r="B118" s="18">
        <v>2037</v>
      </c>
      <c r="C118" t="s">
        <v>183</v>
      </c>
      <c r="D118" t="s">
        <v>177</v>
      </c>
      <c r="E118" s="20" t="s">
        <v>267</v>
      </c>
      <c r="F118" s="20" t="s">
        <v>268</v>
      </c>
      <c r="G118" s="20" t="s">
        <v>195</v>
      </c>
      <c r="H118" s="20" t="s">
        <v>192</v>
      </c>
      <c r="I118" s="20" t="s">
        <v>264</v>
      </c>
      <c r="J118" s="15">
        <f>IFERROR(INDEX(Cost_Components!$K$2:$K$27,MATCH(E118,Cost_Components!$A$2:$A$27,0)),"")</f>
        <v>0.1</v>
      </c>
      <c r="K118" s="15">
        <f t="shared" si="10"/>
        <v>0.55500000000000005</v>
      </c>
      <c r="L118" s="15">
        <f>IFERROR(INDEX(Cost_Components!$S$2:$S$27,MATCH(E118,Cost_Components!$A$2:$A$27,0)),"")</f>
        <v>0.31</v>
      </c>
      <c r="M118" s="26">
        <f>IFERROR(INDEX(Cost_Components!$L$2:$L$27,MATCH(E118,Cost_Components!$A$2:$A$27,0)),"")</f>
        <v>1</v>
      </c>
      <c r="N118" s="27">
        <f>IFERROR(INDEX(Cost_Components!$P$2:$P$27,MATCH(E118,Cost_Components!$A$2:$A$27,0)),"")</f>
        <v>282.51283599999999</v>
      </c>
      <c r="O118" s="21">
        <f t="shared" si="11"/>
        <v>662389.71242381004</v>
      </c>
      <c r="P118" s="21">
        <f t="shared" si="12"/>
        <v>661888.87462230399</v>
      </c>
      <c r="Q118" s="21">
        <f t="shared" si="13"/>
        <v>57967551.956782609</v>
      </c>
      <c r="R118" s="21">
        <f t="shared" si="14"/>
        <v>103859145.88771164</v>
      </c>
      <c r="S118" s="21">
        <f t="shared" si="15"/>
        <v>45891593.930929035</v>
      </c>
      <c r="T118" s="14">
        <f>IFERROR(INDEX(Cost_Components!$R$2:$R$27,MATCH(E118,Cost_Components!$A$2:$A$27,0)),"")</f>
        <v>1</v>
      </c>
      <c r="U118" s="24">
        <f>IFERROR(INDEX(Cost_Components!$Q$2:$Q$27,MATCH(E118,Cost_Components!$A$2:$A$27,0)),"")</f>
        <v>2023</v>
      </c>
      <c r="V118" s="28">
        <f>1/(1+Calculation_Assumptions!$B$5)^(B118-Calculation_Assumptions!$B$2)</f>
        <v>0.70137988019297326</v>
      </c>
      <c r="W118" s="21">
        <f t="shared" si="16"/>
        <v>40657274.64652814</v>
      </c>
      <c r="X118" s="21">
        <f t="shared" si="17"/>
        <v>72844715.299667731</v>
      </c>
      <c r="Y118" s="21">
        <f t="shared" si="18"/>
        <v>32187440.653139584</v>
      </c>
      <c r="Z118" s="15">
        <f>IFERROR(INDEX(Cost_Components!$T$2:$T$27,MATCH(E118,Cost_Components!$A$2:$A$27,0)),"")</f>
        <v>0.8</v>
      </c>
      <c r="AA118" s="24">
        <f>IFERROR(INDEX(Cost_Components!$U$2:$U$27,MATCH(E118,Cost_Components!$A$2:$A$27,0)),"")</f>
        <v>2025</v>
      </c>
      <c r="AB118" s="24">
        <f>IFERROR(INDEX(Cost_Components!$V$2:$V$27,MATCH(E118,Cost_Components!$A$2:$A$27,0)),"")</f>
        <v>2050</v>
      </c>
      <c r="AC118" s="24">
        <f>IFERROR(INDEX(Cost_Components!$M$2:$M$27,MATCH(E118,Cost_Components!$A$2:$A$27,0)),"")</f>
        <v>30</v>
      </c>
      <c r="AD118" s="24">
        <f>IFERROR(INDEX(Cost_Components!$N$2:$N$27,MATCH(E118,Cost_Components!$A$2:$A$27,0)),"")</f>
        <v>95</v>
      </c>
      <c r="AE118" s="14" t="str">
        <f>IFERROR(INDEX(Cost_Components!$O$2:$O$27,MATCH(E118,Cost_Components!$A$2:$A$27,0)),"")</f>
        <v>Both</v>
      </c>
      <c r="AF118" s="11">
        <v>6623897.1242380999</v>
      </c>
      <c r="AG118" s="11">
        <v>6618888.7462230399</v>
      </c>
      <c r="AH118" s="21">
        <f t="shared" si="19"/>
        <v>1</v>
      </c>
    </row>
    <row r="119" spans="1:34" hidden="1">
      <c r="A119" t="s">
        <v>183</v>
      </c>
      <c r="B119" s="18">
        <v>2038</v>
      </c>
      <c r="C119" t="s">
        <v>183</v>
      </c>
      <c r="D119" t="s">
        <v>177</v>
      </c>
      <c r="E119" s="20" t="s">
        <v>267</v>
      </c>
      <c r="F119" s="20" t="s">
        <v>268</v>
      </c>
      <c r="G119" s="20" t="s">
        <v>195</v>
      </c>
      <c r="H119" s="20" t="s">
        <v>192</v>
      </c>
      <c r="I119" s="20" t="s">
        <v>264</v>
      </c>
      <c r="J119" s="15">
        <f>IFERROR(INDEX(Cost_Components!$K$2:$K$27,MATCH(E119,Cost_Components!$A$2:$A$27,0)),"")</f>
        <v>0.1</v>
      </c>
      <c r="K119" s="15">
        <f t="shared" si="10"/>
        <v>0.57384615384615389</v>
      </c>
      <c r="L119" s="15">
        <f>IFERROR(INDEX(Cost_Components!$S$2:$S$27,MATCH(E119,Cost_Components!$A$2:$A$27,0)),"")</f>
        <v>0.31</v>
      </c>
      <c r="M119" s="26">
        <f>IFERROR(INDEX(Cost_Components!$L$2:$L$27,MATCH(E119,Cost_Components!$A$2:$A$27,0)),"")</f>
        <v>1</v>
      </c>
      <c r="N119" s="27">
        <f>IFERROR(INDEX(Cost_Components!$P$2:$P$27,MATCH(E119,Cost_Components!$A$2:$A$27,0)),"")</f>
        <v>282.51283599999999</v>
      </c>
      <c r="O119" s="21">
        <f t="shared" si="11"/>
        <v>672678.47329416208</v>
      </c>
      <c r="P119" s="21">
        <f t="shared" si="12"/>
        <v>672104.47586944408</v>
      </c>
      <c r="Q119" s="21">
        <f t="shared" si="13"/>
        <v>58862223.885512762</v>
      </c>
      <c r="R119" s="21">
        <f t="shared" si="14"/>
        <v>109053897.07079774</v>
      </c>
      <c r="S119" s="21">
        <f t="shared" si="15"/>
        <v>50191673.18528498</v>
      </c>
      <c r="T119" s="14">
        <f>IFERROR(INDEX(Cost_Components!$R$2:$R$27,MATCH(E119,Cost_Components!$A$2:$A$27,0)),"")</f>
        <v>1</v>
      </c>
      <c r="U119" s="24">
        <f>IFERROR(INDEX(Cost_Components!$Q$2:$Q$27,MATCH(E119,Cost_Components!$A$2:$A$27,0)),"")</f>
        <v>2023</v>
      </c>
      <c r="V119" s="28">
        <f>1/(1+Calculation_Assumptions!$B$5)^(B119-Calculation_Assumptions!$B$2)</f>
        <v>0.68095133999317792</v>
      </c>
      <c r="W119" s="21">
        <f t="shared" si="16"/>
        <v>40082310.229818359</v>
      </c>
      <c r="X119" s="21">
        <f t="shared" si="17"/>
        <v>74260397.341837823</v>
      </c>
      <c r="Y119" s="21">
        <f t="shared" si="18"/>
        <v>34178087.112019464</v>
      </c>
      <c r="Z119" s="15">
        <f>IFERROR(INDEX(Cost_Components!$T$2:$T$27,MATCH(E119,Cost_Components!$A$2:$A$27,0)),"")</f>
        <v>0.8</v>
      </c>
      <c r="AA119" s="24">
        <f>IFERROR(INDEX(Cost_Components!$U$2:$U$27,MATCH(E119,Cost_Components!$A$2:$A$27,0)),"")</f>
        <v>2025</v>
      </c>
      <c r="AB119" s="24">
        <f>IFERROR(INDEX(Cost_Components!$V$2:$V$27,MATCH(E119,Cost_Components!$A$2:$A$27,0)),"")</f>
        <v>2050</v>
      </c>
      <c r="AC119" s="24">
        <f>IFERROR(INDEX(Cost_Components!$M$2:$M$27,MATCH(E119,Cost_Components!$A$2:$A$27,0)),"")</f>
        <v>30</v>
      </c>
      <c r="AD119" s="24">
        <f>IFERROR(INDEX(Cost_Components!$N$2:$N$27,MATCH(E119,Cost_Components!$A$2:$A$27,0)),"")</f>
        <v>95</v>
      </c>
      <c r="AE119" s="14" t="str">
        <f>IFERROR(INDEX(Cost_Components!$O$2:$O$27,MATCH(E119,Cost_Components!$A$2:$A$27,0)),"")</f>
        <v>Both</v>
      </c>
      <c r="AF119" s="11">
        <v>6726784.7329416201</v>
      </c>
      <c r="AG119" s="11">
        <v>6721044.7586944401</v>
      </c>
      <c r="AH119" s="21">
        <f t="shared" si="19"/>
        <v>1</v>
      </c>
    </row>
    <row r="120" spans="1:34" hidden="1">
      <c r="A120" t="s">
        <v>183</v>
      </c>
      <c r="B120" s="18">
        <v>2039</v>
      </c>
      <c r="C120" t="s">
        <v>183</v>
      </c>
      <c r="D120" t="s">
        <v>177</v>
      </c>
      <c r="E120" s="20" t="s">
        <v>267</v>
      </c>
      <c r="F120" s="20" t="s">
        <v>268</v>
      </c>
      <c r="G120" s="20" t="s">
        <v>195</v>
      </c>
      <c r="H120" s="20" t="s">
        <v>192</v>
      </c>
      <c r="I120" s="20" t="s">
        <v>264</v>
      </c>
      <c r="J120" s="15">
        <f>IFERROR(INDEX(Cost_Components!$K$2:$K$27,MATCH(E120,Cost_Components!$A$2:$A$27,0)),"")</f>
        <v>0.1</v>
      </c>
      <c r="K120" s="15">
        <f t="shared" si="10"/>
        <v>0.59269230769230763</v>
      </c>
      <c r="L120" s="15">
        <f>IFERROR(INDEX(Cost_Components!$S$2:$S$27,MATCH(E120,Cost_Components!$A$2:$A$27,0)),"")</f>
        <v>0.31</v>
      </c>
      <c r="M120" s="26">
        <f>IFERROR(INDEX(Cost_Components!$L$2:$L$27,MATCH(E120,Cost_Components!$A$2:$A$27,0)),"")</f>
        <v>1</v>
      </c>
      <c r="N120" s="27">
        <f>IFERROR(INDEX(Cost_Components!$P$2:$P$27,MATCH(E120,Cost_Components!$A$2:$A$27,0)),"")</f>
        <v>282.51283599999999</v>
      </c>
      <c r="O120" s="21">
        <f t="shared" si="11"/>
        <v>682674.77510109812</v>
      </c>
      <c r="P120" s="21">
        <f t="shared" si="12"/>
        <v>682023.49102481105</v>
      </c>
      <c r="Q120" s="21">
        <f t="shared" si="13"/>
        <v>59730921.107092373</v>
      </c>
      <c r="R120" s="21">
        <f t="shared" si="14"/>
        <v>114309238.47198787</v>
      </c>
      <c r="S120" s="21">
        <f t="shared" si="15"/>
        <v>54578317.3648955</v>
      </c>
      <c r="T120" s="14">
        <f>IFERROR(INDEX(Cost_Components!$R$2:$R$27,MATCH(E120,Cost_Components!$A$2:$A$27,0)),"")</f>
        <v>1</v>
      </c>
      <c r="U120" s="24">
        <f>IFERROR(INDEX(Cost_Components!$Q$2:$Q$27,MATCH(E120,Cost_Components!$A$2:$A$27,0)),"")</f>
        <v>2023</v>
      </c>
      <c r="V120" s="28">
        <f>1/(1+Calculation_Assumptions!$B$5)^(B120-Calculation_Assumptions!$B$2)</f>
        <v>0.66111780581861923</v>
      </c>
      <c r="W120" s="21">
        <f t="shared" si="16"/>
        <v>39489175.501845963</v>
      </c>
      <c r="X120" s="21">
        <f t="shared" si="17"/>
        <v>75571872.923397914</v>
      </c>
      <c r="Y120" s="21">
        <f t="shared" si="18"/>
        <v>36082697.421551958</v>
      </c>
      <c r="Z120" s="15">
        <f>IFERROR(INDEX(Cost_Components!$T$2:$T$27,MATCH(E120,Cost_Components!$A$2:$A$27,0)),"")</f>
        <v>0.8</v>
      </c>
      <c r="AA120" s="24">
        <f>IFERROR(INDEX(Cost_Components!$U$2:$U$27,MATCH(E120,Cost_Components!$A$2:$A$27,0)),"")</f>
        <v>2025</v>
      </c>
      <c r="AB120" s="24">
        <f>IFERROR(INDEX(Cost_Components!$V$2:$V$27,MATCH(E120,Cost_Components!$A$2:$A$27,0)),"")</f>
        <v>2050</v>
      </c>
      <c r="AC120" s="24">
        <f>IFERROR(INDEX(Cost_Components!$M$2:$M$27,MATCH(E120,Cost_Components!$A$2:$A$27,0)),"")</f>
        <v>30</v>
      </c>
      <c r="AD120" s="24">
        <f>IFERROR(INDEX(Cost_Components!$N$2:$N$27,MATCH(E120,Cost_Components!$A$2:$A$27,0)),"")</f>
        <v>95</v>
      </c>
      <c r="AE120" s="14" t="str">
        <f>IFERROR(INDEX(Cost_Components!$O$2:$O$27,MATCH(E120,Cost_Components!$A$2:$A$27,0)),"")</f>
        <v>Both</v>
      </c>
      <c r="AF120" s="11">
        <v>6826747.7510109805</v>
      </c>
      <c r="AG120" s="11">
        <v>6820234.9102481101</v>
      </c>
      <c r="AH120" s="21">
        <f t="shared" si="19"/>
        <v>1</v>
      </c>
    </row>
    <row r="121" spans="1:34" hidden="1">
      <c r="A121" t="s">
        <v>183</v>
      </c>
      <c r="B121" s="18">
        <v>2040</v>
      </c>
      <c r="C121" t="s">
        <v>183</v>
      </c>
      <c r="D121" t="s">
        <v>177</v>
      </c>
      <c r="E121" s="20" t="s">
        <v>267</v>
      </c>
      <c r="F121" s="20" t="s">
        <v>268</v>
      </c>
      <c r="G121" s="20" t="s">
        <v>195</v>
      </c>
      <c r="H121" s="20" t="s">
        <v>192</v>
      </c>
      <c r="I121" s="20" t="s">
        <v>264</v>
      </c>
      <c r="J121" s="15">
        <f>IFERROR(INDEX(Cost_Components!$K$2:$K$27,MATCH(E121,Cost_Components!$A$2:$A$27,0)),"")</f>
        <v>0.1</v>
      </c>
      <c r="K121" s="15">
        <f t="shared" si="10"/>
        <v>0.61153846153846159</v>
      </c>
      <c r="L121" s="15">
        <f>IFERROR(INDEX(Cost_Components!$S$2:$S$27,MATCH(E121,Cost_Components!$A$2:$A$27,0)),"")</f>
        <v>0.31</v>
      </c>
      <c r="M121" s="26">
        <f>IFERROR(INDEX(Cost_Components!$L$2:$L$27,MATCH(E121,Cost_Components!$A$2:$A$27,0)),"")</f>
        <v>1</v>
      </c>
      <c r="N121" s="27">
        <f>IFERROR(INDEX(Cost_Components!$P$2:$P$27,MATCH(E121,Cost_Components!$A$2:$A$27,0)),"")</f>
        <v>282.51283599999999</v>
      </c>
      <c r="O121" s="21">
        <f t="shared" si="11"/>
        <v>692391.48472187901</v>
      </c>
      <c r="P121" s="21">
        <f t="shared" si="12"/>
        <v>691658.97030638007</v>
      </c>
      <c r="Q121" s="21">
        <f t="shared" si="13"/>
        <v>60574786.546289518</v>
      </c>
      <c r="R121" s="21">
        <f t="shared" si="14"/>
        <v>119622721.66689833</v>
      </c>
      <c r="S121" s="21">
        <f t="shared" si="15"/>
        <v>59047935.120608807</v>
      </c>
      <c r="T121" s="14">
        <f>IFERROR(INDEX(Cost_Components!$R$2:$R$27,MATCH(E121,Cost_Components!$A$2:$A$27,0)),"")</f>
        <v>1</v>
      </c>
      <c r="U121" s="24">
        <f>IFERROR(INDEX(Cost_Components!$Q$2:$Q$27,MATCH(E121,Cost_Components!$A$2:$A$27,0)),"")</f>
        <v>2023</v>
      </c>
      <c r="V121" s="28">
        <f>1/(1+Calculation_Assumptions!$B$5)^(B121-Calculation_Assumptions!$B$2)</f>
        <v>0.64186194739671765</v>
      </c>
      <c r="W121" s="21">
        <f t="shared" si="16"/>
        <v>38880650.455741882</v>
      </c>
      <c r="X121" s="21">
        <f t="shared" si="17"/>
        <v>76781273.082010895</v>
      </c>
      <c r="Y121" s="21">
        <f t="shared" si="18"/>
        <v>37900622.626269005</v>
      </c>
      <c r="Z121" s="15">
        <f>IFERROR(INDEX(Cost_Components!$T$2:$T$27,MATCH(E121,Cost_Components!$A$2:$A$27,0)),"")</f>
        <v>0.8</v>
      </c>
      <c r="AA121" s="24">
        <f>IFERROR(INDEX(Cost_Components!$U$2:$U$27,MATCH(E121,Cost_Components!$A$2:$A$27,0)),"")</f>
        <v>2025</v>
      </c>
      <c r="AB121" s="24">
        <f>IFERROR(INDEX(Cost_Components!$V$2:$V$27,MATCH(E121,Cost_Components!$A$2:$A$27,0)),"")</f>
        <v>2050</v>
      </c>
      <c r="AC121" s="24">
        <f>IFERROR(INDEX(Cost_Components!$M$2:$M$27,MATCH(E121,Cost_Components!$A$2:$A$27,0)),"")</f>
        <v>30</v>
      </c>
      <c r="AD121" s="24">
        <f>IFERROR(INDEX(Cost_Components!$N$2:$N$27,MATCH(E121,Cost_Components!$A$2:$A$27,0)),"")</f>
        <v>95</v>
      </c>
      <c r="AE121" s="14" t="str">
        <f>IFERROR(INDEX(Cost_Components!$O$2:$O$27,MATCH(E121,Cost_Components!$A$2:$A$27,0)),"")</f>
        <v>Both</v>
      </c>
      <c r="AF121" s="11">
        <v>6923914.8472187901</v>
      </c>
      <c r="AG121" s="11">
        <v>6916589.7030638</v>
      </c>
      <c r="AH121" s="21">
        <f t="shared" si="19"/>
        <v>1</v>
      </c>
    </row>
    <row r="122" spans="1:34" hidden="1">
      <c r="A122" t="s">
        <v>183</v>
      </c>
      <c r="B122" s="18">
        <v>2041</v>
      </c>
      <c r="C122" t="s">
        <v>183</v>
      </c>
      <c r="D122" t="s">
        <v>177</v>
      </c>
      <c r="E122" s="20" t="s">
        <v>267</v>
      </c>
      <c r="F122" s="20" t="s">
        <v>268</v>
      </c>
      <c r="G122" s="20" t="s">
        <v>195</v>
      </c>
      <c r="H122" s="20" t="s">
        <v>192</v>
      </c>
      <c r="I122" s="20" t="s">
        <v>264</v>
      </c>
      <c r="J122" s="15">
        <f>IFERROR(INDEX(Cost_Components!$K$2:$K$27,MATCH(E122,Cost_Components!$A$2:$A$27,0)),"")</f>
        <v>0.1</v>
      </c>
      <c r="K122" s="15">
        <f t="shared" si="10"/>
        <v>0.63038461538461543</v>
      </c>
      <c r="L122" s="15">
        <f>IFERROR(INDEX(Cost_Components!$S$2:$S$27,MATCH(E122,Cost_Components!$A$2:$A$27,0)),"")</f>
        <v>0.31</v>
      </c>
      <c r="M122" s="26">
        <f>IFERROR(INDEX(Cost_Components!$L$2:$L$27,MATCH(E122,Cost_Components!$A$2:$A$27,0)),"")</f>
        <v>1</v>
      </c>
      <c r="N122" s="27">
        <f>IFERROR(INDEX(Cost_Components!$P$2:$P$27,MATCH(E122,Cost_Components!$A$2:$A$27,0)),"")</f>
        <v>282.51283599999999</v>
      </c>
      <c r="O122" s="21">
        <f t="shared" si="11"/>
        <v>701842.85095923208</v>
      </c>
      <c r="P122" s="21">
        <f t="shared" si="12"/>
        <v>701025.33446187014</v>
      </c>
      <c r="Q122" s="21">
        <f t="shared" si="13"/>
        <v>61395083.157468155</v>
      </c>
      <c r="R122" s="21">
        <f t="shared" si="14"/>
        <v>124992418.3681118</v>
      </c>
      <c r="S122" s="21">
        <f t="shared" si="15"/>
        <v>63597335.210643649</v>
      </c>
      <c r="T122" s="14">
        <f>IFERROR(INDEX(Cost_Components!$R$2:$R$27,MATCH(E122,Cost_Components!$A$2:$A$27,0)),"")</f>
        <v>1</v>
      </c>
      <c r="U122" s="24">
        <f>IFERROR(INDEX(Cost_Components!$Q$2:$Q$27,MATCH(E122,Cost_Components!$A$2:$A$27,0)),"")</f>
        <v>2023</v>
      </c>
      <c r="V122" s="28">
        <f>1/(1+Calculation_Assumptions!$B$5)^(B122-Calculation_Assumptions!$B$2)</f>
        <v>0.62316693922011435</v>
      </c>
      <c r="W122" s="21">
        <f t="shared" si="16"/>
        <v>38259386.054403827</v>
      </c>
      <c r="X122" s="21">
        <f t="shared" si="17"/>
        <v>77891142.780176237</v>
      </c>
      <c r="Y122" s="21">
        <f t="shared" si="18"/>
        <v>39631756.725772411</v>
      </c>
      <c r="Z122" s="15">
        <f>IFERROR(INDEX(Cost_Components!$T$2:$T$27,MATCH(E122,Cost_Components!$A$2:$A$27,0)),"")</f>
        <v>0.8</v>
      </c>
      <c r="AA122" s="24">
        <f>IFERROR(INDEX(Cost_Components!$U$2:$U$27,MATCH(E122,Cost_Components!$A$2:$A$27,0)),"")</f>
        <v>2025</v>
      </c>
      <c r="AB122" s="24">
        <f>IFERROR(INDEX(Cost_Components!$V$2:$V$27,MATCH(E122,Cost_Components!$A$2:$A$27,0)),"")</f>
        <v>2050</v>
      </c>
      <c r="AC122" s="24">
        <f>IFERROR(INDEX(Cost_Components!$M$2:$M$27,MATCH(E122,Cost_Components!$A$2:$A$27,0)),"")</f>
        <v>30</v>
      </c>
      <c r="AD122" s="24">
        <f>IFERROR(INDEX(Cost_Components!$N$2:$N$27,MATCH(E122,Cost_Components!$A$2:$A$27,0)),"")</f>
        <v>95</v>
      </c>
      <c r="AE122" s="14" t="str">
        <f>IFERROR(INDEX(Cost_Components!$O$2:$O$27,MATCH(E122,Cost_Components!$A$2:$A$27,0)),"")</f>
        <v>Both</v>
      </c>
      <c r="AF122" s="11">
        <v>7018428.5095923198</v>
      </c>
      <c r="AG122" s="11">
        <v>7010253.3446187004</v>
      </c>
      <c r="AH122" s="21">
        <f t="shared" si="19"/>
        <v>1</v>
      </c>
    </row>
    <row r="123" spans="1:34" hidden="1">
      <c r="A123" t="s">
        <v>183</v>
      </c>
      <c r="B123" s="18">
        <v>2042</v>
      </c>
      <c r="C123" t="s">
        <v>183</v>
      </c>
      <c r="D123" t="s">
        <v>177</v>
      </c>
      <c r="E123" s="20" t="s">
        <v>267</v>
      </c>
      <c r="F123" s="20" t="s">
        <v>268</v>
      </c>
      <c r="G123" s="20" t="s">
        <v>195</v>
      </c>
      <c r="H123" s="20" t="s">
        <v>192</v>
      </c>
      <c r="I123" s="20" t="s">
        <v>264</v>
      </c>
      <c r="J123" s="15">
        <f>IFERROR(INDEX(Cost_Components!$K$2:$K$27,MATCH(E123,Cost_Components!$A$2:$A$27,0)),"")</f>
        <v>0.1</v>
      </c>
      <c r="K123" s="15">
        <f t="shared" si="10"/>
        <v>0.64923076923076928</v>
      </c>
      <c r="L123" s="15">
        <f>IFERROR(INDEX(Cost_Components!$S$2:$S$27,MATCH(E123,Cost_Components!$A$2:$A$27,0)),"")</f>
        <v>0.31</v>
      </c>
      <c r="M123" s="26">
        <f>IFERROR(INDEX(Cost_Components!$L$2:$L$27,MATCH(E123,Cost_Components!$A$2:$A$27,0)),"")</f>
        <v>1</v>
      </c>
      <c r="N123" s="27">
        <f>IFERROR(INDEX(Cost_Components!$P$2:$P$27,MATCH(E123,Cost_Components!$A$2:$A$27,0)),"")</f>
        <v>282.51283599999999</v>
      </c>
      <c r="O123" s="21">
        <f t="shared" si="11"/>
        <v>711015.53843994404</v>
      </c>
      <c r="P123" s="21">
        <f t="shared" si="12"/>
        <v>710109.40397022606</v>
      </c>
      <c r="Q123" s="21">
        <f t="shared" si="13"/>
        <v>62190656.691628449</v>
      </c>
      <c r="R123" s="21">
        <f t="shared" si="14"/>
        <v>130411644.36676681</v>
      </c>
      <c r="S123" s="21">
        <f t="shared" si="15"/>
        <v>68220987.675138354</v>
      </c>
      <c r="T123" s="14">
        <f>IFERROR(INDEX(Cost_Components!$R$2:$R$27,MATCH(E123,Cost_Components!$A$2:$A$27,0)),"")</f>
        <v>1</v>
      </c>
      <c r="U123" s="24">
        <f>IFERROR(INDEX(Cost_Components!$Q$2:$Q$27,MATCH(E123,Cost_Components!$A$2:$A$27,0)),"")</f>
        <v>2023</v>
      </c>
      <c r="V123" s="28">
        <f>1/(1+Calculation_Assumptions!$B$5)^(B123-Calculation_Assumptions!$B$2)</f>
        <v>0.60501644584477121</v>
      </c>
      <c r="W123" s="21">
        <f t="shared" si="16"/>
        <v>37626370.076321378</v>
      </c>
      <c r="X123" s="21">
        <f t="shared" si="17"/>
        <v>78901189.571553528</v>
      </c>
      <c r="Y123" s="21">
        <f t="shared" si="18"/>
        <v>41274819.49523215</v>
      </c>
      <c r="Z123" s="15">
        <f>IFERROR(INDEX(Cost_Components!$T$2:$T$27,MATCH(E123,Cost_Components!$A$2:$A$27,0)),"")</f>
        <v>0.8</v>
      </c>
      <c r="AA123" s="24">
        <f>IFERROR(INDEX(Cost_Components!$U$2:$U$27,MATCH(E123,Cost_Components!$A$2:$A$27,0)),"")</f>
        <v>2025</v>
      </c>
      <c r="AB123" s="24">
        <f>IFERROR(INDEX(Cost_Components!$V$2:$V$27,MATCH(E123,Cost_Components!$A$2:$A$27,0)),"")</f>
        <v>2050</v>
      </c>
      <c r="AC123" s="24">
        <f>IFERROR(INDEX(Cost_Components!$M$2:$M$27,MATCH(E123,Cost_Components!$A$2:$A$27,0)),"")</f>
        <v>30</v>
      </c>
      <c r="AD123" s="24">
        <f>IFERROR(INDEX(Cost_Components!$N$2:$N$27,MATCH(E123,Cost_Components!$A$2:$A$27,0)),"")</f>
        <v>95</v>
      </c>
      <c r="AE123" s="14" t="str">
        <f>IFERROR(INDEX(Cost_Components!$O$2:$O$27,MATCH(E123,Cost_Components!$A$2:$A$27,0)),"")</f>
        <v>Both</v>
      </c>
      <c r="AF123" s="11">
        <v>7110155.3843994401</v>
      </c>
      <c r="AG123" s="11">
        <v>7101094.0397022599</v>
      </c>
      <c r="AH123" s="21">
        <f t="shared" si="19"/>
        <v>1</v>
      </c>
    </row>
    <row r="124" spans="1:34" hidden="1">
      <c r="A124" t="s">
        <v>183</v>
      </c>
      <c r="B124" s="18">
        <v>2043</v>
      </c>
      <c r="C124" t="s">
        <v>183</v>
      </c>
      <c r="D124" t="s">
        <v>177</v>
      </c>
      <c r="E124" s="20" t="s">
        <v>267</v>
      </c>
      <c r="F124" s="20" t="s">
        <v>268</v>
      </c>
      <c r="G124" s="20" t="s">
        <v>195</v>
      </c>
      <c r="H124" s="20" t="s">
        <v>192</v>
      </c>
      <c r="I124" s="20" t="s">
        <v>264</v>
      </c>
      <c r="J124" s="15">
        <f>IFERROR(INDEX(Cost_Components!$K$2:$K$27,MATCH(E124,Cost_Components!$A$2:$A$27,0)),"")</f>
        <v>0.1</v>
      </c>
      <c r="K124" s="15">
        <f t="shared" si="10"/>
        <v>0.66807692307692301</v>
      </c>
      <c r="L124" s="15">
        <f>IFERROR(INDEX(Cost_Components!$S$2:$S$27,MATCH(E124,Cost_Components!$A$2:$A$27,0)),"")</f>
        <v>0.31</v>
      </c>
      <c r="M124" s="26">
        <f>IFERROR(INDEX(Cost_Components!$L$2:$L$27,MATCH(E124,Cost_Components!$A$2:$A$27,0)),"")</f>
        <v>1</v>
      </c>
      <c r="N124" s="27">
        <f>IFERROR(INDEX(Cost_Components!$P$2:$P$27,MATCH(E124,Cost_Components!$A$2:$A$27,0)),"")</f>
        <v>282.51283599999999</v>
      </c>
      <c r="O124" s="21">
        <f t="shared" si="11"/>
        <v>719843.49771647202</v>
      </c>
      <c r="P124" s="21">
        <f t="shared" si="12"/>
        <v>718845.27302653005</v>
      </c>
      <c r="Q124" s="21">
        <f t="shared" si="13"/>
        <v>62955735.185654983</v>
      </c>
      <c r="R124" s="21">
        <f t="shared" si="14"/>
        <v>135863482.17840827</v>
      </c>
      <c r="S124" s="21">
        <f t="shared" si="15"/>
        <v>72907746.992753282</v>
      </c>
      <c r="T124" s="14">
        <f>IFERROR(INDEX(Cost_Components!$R$2:$R$27,MATCH(E124,Cost_Components!$A$2:$A$27,0)),"")</f>
        <v>1</v>
      </c>
      <c r="U124" s="24">
        <f>IFERROR(INDEX(Cost_Components!$Q$2:$Q$27,MATCH(E124,Cost_Components!$A$2:$A$27,0)),"")</f>
        <v>2023</v>
      </c>
      <c r="V124" s="28">
        <f>1/(1+Calculation_Assumptions!$B$5)^(B124-Calculation_Assumptions!$B$2)</f>
        <v>0.5873946076162827</v>
      </c>
      <c r="W124" s="21">
        <f t="shared" si="16"/>
        <v>36979859.36657241</v>
      </c>
      <c r="X124" s="21">
        <f t="shared" si="17"/>
        <v>79805476.803567946</v>
      </c>
      <c r="Y124" s="21">
        <f t="shared" si="18"/>
        <v>42825617.436995529</v>
      </c>
      <c r="Z124" s="15">
        <f>IFERROR(INDEX(Cost_Components!$T$2:$T$27,MATCH(E124,Cost_Components!$A$2:$A$27,0)),"")</f>
        <v>0.8</v>
      </c>
      <c r="AA124" s="24">
        <f>IFERROR(INDEX(Cost_Components!$U$2:$U$27,MATCH(E124,Cost_Components!$A$2:$A$27,0)),"")</f>
        <v>2025</v>
      </c>
      <c r="AB124" s="24">
        <f>IFERROR(INDEX(Cost_Components!$V$2:$V$27,MATCH(E124,Cost_Components!$A$2:$A$27,0)),"")</f>
        <v>2050</v>
      </c>
      <c r="AC124" s="24">
        <f>IFERROR(INDEX(Cost_Components!$M$2:$M$27,MATCH(E124,Cost_Components!$A$2:$A$27,0)),"")</f>
        <v>30</v>
      </c>
      <c r="AD124" s="24">
        <f>IFERROR(INDEX(Cost_Components!$N$2:$N$27,MATCH(E124,Cost_Components!$A$2:$A$27,0)),"")</f>
        <v>95</v>
      </c>
      <c r="AE124" s="14" t="str">
        <f>IFERROR(INDEX(Cost_Components!$O$2:$O$27,MATCH(E124,Cost_Components!$A$2:$A$27,0)),"")</f>
        <v>Both</v>
      </c>
      <c r="AF124" s="11">
        <v>7198434.9771647202</v>
      </c>
      <c r="AG124" s="11">
        <v>7188452.7302652998</v>
      </c>
      <c r="AH124" s="21">
        <f t="shared" si="19"/>
        <v>1</v>
      </c>
    </row>
    <row r="125" spans="1:34" hidden="1">
      <c r="A125" t="s">
        <v>183</v>
      </c>
      <c r="B125" s="18">
        <v>2044</v>
      </c>
      <c r="C125" t="s">
        <v>183</v>
      </c>
      <c r="D125" t="s">
        <v>177</v>
      </c>
      <c r="E125" s="20" t="s">
        <v>267</v>
      </c>
      <c r="F125" s="20" t="s">
        <v>268</v>
      </c>
      <c r="G125" s="20" t="s">
        <v>195</v>
      </c>
      <c r="H125" s="20" t="s">
        <v>192</v>
      </c>
      <c r="I125" s="20" t="s">
        <v>264</v>
      </c>
      <c r="J125" s="15">
        <f>IFERROR(INDEX(Cost_Components!$K$2:$K$27,MATCH(E125,Cost_Components!$A$2:$A$27,0)),"")</f>
        <v>0.1</v>
      </c>
      <c r="K125" s="15">
        <f t="shared" si="10"/>
        <v>0.68692307692307697</v>
      </c>
      <c r="L125" s="15">
        <f>IFERROR(INDEX(Cost_Components!$S$2:$S$27,MATCH(E125,Cost_Components!$A$2:$A$27,0)),"")</f>
        <v>0.31</v>
      </c>
      <c r="M125" s="26">
        <f>IFERROR(INDEX(Cost_Components!$L$2:$L$27,MATCH(E125,Cost_Components!$A$2:$A$27,0)),"")</f>
        <v>1</v>
      </c>
      <c r="N125" s="27">
        <f>IFERROR(INDEX(Cost_Components!$P$2:$P$27,MATCH(E125,Cost_Components!$A$2:$A$27,0)),"")</f>
        <v>282.51283599999999</v>
      </c>
      <c r="O125" s="21">
        <f t="shared" si="11"/>
        <v>728311.27420053398</v>
      </c>
      <c r="P125" s="21">
        <f t="shared" si="12"/>
        <v>727217.63584149606</v>
      </c>
      <c r="Q125" s="21">
        <f t="shared" si="13"/>
        <v>63688978.174146846</v>
      </c>
      <c r="R125" s="21">
        <f t="shared" si="14"/>
        <v>141339426.32591823</v>
      </c>
      <c r="S125" s="21">
        <f t="shared" si="15"/>
        <v>77650448.151771381</v>
      </c>
      <c r="T125" s="14">
        <f>IFERROR(INDEX(Cost_Components!$R$2:$R$27,MATCH(E125,Cost_Components!$A$2:$A$27,0)),"")</f>
        <v>1</v>
      </c>
      <c r="U125" s="24">
        <f>IFERROR(INDEX(Cost_Components!$Q$2:$Q$27,MATCH(E125,Cost_Components!$A$2:$A$27,0)),"")</f>
        <v>2023</v>
      </c>
      <c r="V125" s="28">
        <f>1/(1+Calculation_Assumptions!$B$5)^(B125-Calculation_Assumptions!$B$2)</f>
        <v>0.57028602681192497</v>
      </c>
      <c r="W125" s="21">
        <f t="shared" si="16"/>
        <v>36320934.314645611</v>
      </c>
      <c r="X125" s="21">
        <f t="shared" si="17"/>
        <v>80603899.871284693</v>
      </c>
      <c r="Y125" s="21">
        <f t="shared" si="18"/>
        <v>44282965.556639083</v>
      </c>
      <c r="Z125" s="15">
        <f>IFERROR(INDEX(Cost_Components!$T$2:$T$27,MATCH(E125,Cost_Components!$A$2:$A$27,0)),"")</f>
        <v>0.8</v>
      </c>
      <c r="AA125" s="24">
        <f>IFERROR(INDEX(Cost_Components!$U$2:$U$27,MATCH(E125,Cost_Components!$A$2:$A$27,0)),"")</f>
        <v>2025</v>
      </c>
      <c r="AB125" s="24">
        <f>IFERROR(INDEX(Cost_Components!$V$2:$V$27,MATCH(E125,Cost_Components!$A$2:$A$27,0)),"")</f>
        <v>2050</v>
      </c>
      <c r="AC125" s="24">
        <f>IFERROR(INDEX(Cost_Components!$M$2:$M$27,MATCH(E125,Cost_Components!$A$2:$A$27,0)),"")</f>
        <v>30</v>
      </c>
      <c r="AD125" s="24">
        <f>IFERROR(INDEX(Cost_Components!$N$2:$N$27,MATCH(E125,Cost_Components!$A$2:$A$27,0)),"")</f>
        <v>95</v>
      </c>
      <c r="AE125" s="14" t="str">
        <f>IFERROR(INDEX(Cost_Components!$O$2:$O$27,MATCH(E125,Cost_Components!$A$2:$A$27,0)),"")</f>
        <v>Both</v>
      </c>
      <c r="AF125" s="11">
        <v>7283112.7420053398</v>
      </c>
      <c r="AG125" s="11">
        <v>7272176.3584149601</v>
      </c>
      <c r="AH125" s="21">
        <f t="shared" si="19"/>
        <v>1</v>
      </c>
    </row>
    <row r="126" spans="1:34" hidden="1">
      <c r="A126" t="s">
        <v>183</v>
      </c>
      <c r="B126" s="18">
        <v>2045</v>
      </c>
      <c r="C126" t="s">
        <v>183</v>
      </c>
      <c r="D126" t="s">
        <v>177</v>
      </c>
      <c r="E126" s="20" t="s">
        <v>267</v>
      </c>
      <c r="F126" s="20" t="s">
        <v>268</v>
      </c>
      <c r="G126" s="20" t="s">
        <v>195</v>
      </c>
      <c r="H126" s="20" t="s">
        <v>192</v>
      </c>
      <c r="I126" s="20" t="s">
        <v>264</v>
      </c>
      <c r="J126" s="15">
        <f>IFERROR(INDEX(Cost_Components!$K$2:$K$27,MATCH(E126,Cost_Components!$A$2:$A$27,0)),"")</f>
        <v>0.1</v>
      </c>
      <c r="K126" s="15">
        <f t="shared" si="10"/>
        <v>0.70576923076923082</v>
      </c>
      <c r="L126" s="15">
        <f>IFERROR(INDEX(Cost_Components!$S$2:$S$27,MATCH(E126,Cost_Components!$A$2:$A$27,0)),"")</f>
        <v>0.31</v>
      </c>
      <c r="M126" s="26">
        <f>IFERROR(INDEX(Cost_Components!$L$2:$L$27,MATCH(E126,Cost_Components!$A$2:$A$27,0)),"")</f>
        <v>1</v>
      </c>
      <c r="N126" s="27">
        <f>IFERROR(INDEX(Cost_Components!$P$2:$P$27,MATCH(E126,Cost_Components!$A$2:$A$27,0)),"")</f>
        <v>282.51283599999999</v>
      </c>
      <c r="O126" s="21">
        <f t="shared" si="11"/>
        <v>736446.32862608309</v>
      </c>
      <c r="P126" s="21">
        <f t="shared" si="12"/>
        <v>735254.11872549914</v>
      </c>
      <c r="Q126" s="21">
        <f t="shared" si="13"/>
        <v>64392805.141164653</v>
      </c>
      <c r="R126" s="21">
        <f t="shared" si="14"/>
        <v>146839199.03140959</v>
      </c>
      <c r="S126" s="21">
        <f t="shared" si="15"/>
        <v>82446393.890244931</v>
      </c>
      <c r="T126" s="14">
        <f>IFERROR(INDEX(Cost_Components!$R$2:$R$27,MATCH(E126,Cost_Components!$A$2:$A$27,0)),"")</f>
        <v>1</v>
      </c>
      <c r="U126" s="24">
        <f>IFERROR(INDEX(Cost_Components!$Q$2:$Q$27,MATCH(E126,Cost_Components!$A$2:$A$27,0)),"")</f>
        <v>2023</v>
      </c>
      <c r="V126" s="28">
        <f>1/(1+Calculation_Assumptions!$B$5)^(B126-Calculation_Assumptions!$B$2)</f>
        <v>0.55367575418633497</v>
      </c>
      <c r="W126" s="21">
        <f t="shared" si="16"/>
        <v>35652734.950708047</v>
      </c>
      <c r="X126" s="21">
        <f t="shared" si="17"/>
        <v>81301304.267833054</v>
      </c>
      <c r="Y126" s="21">
        <f t="shared" si="18"/>
        <v>45648569.317125</v>
      </c>
      <c r="Z126" s="15">
        <f>IFERROR(INDEX(Cost_Components!$T$2:$T$27,MATCH(E126,Cost_Components!$A$2:$A$27,0)),"")</f>
        <v>0.8</v>
      </c>
      <c r="AA126" s="24">
        <f>IFERROR(INDEX(Cost_Components!$U$2:$U$27,MATCH(E126,Cost_Components!$A$2:$A$27,0)),"")</f>
        <v>2025</v>
      </c>
      <c r="AB126" s="24">
        <f>IFERROR(INDEX(Cost_Components!$V$2:$V$27,MATCH(E126,Cost_Components!$A$2:$A$27,0)),"")</f>
        <v>2050</v>
      </c>
      <c r="AC126" s="24">
        <f>IFERROR(INDEX(Cost_Components!$M$2:$M$27,MATCH(E126,Cost_Components!$A$2:$A$27,0)),"")</f>
        <v>30</v>
      </c>
      <c r="AD126" s="24">
        <f>IFERROR(INDEX(Cost_Components!$N$2:$N$27,MATCH(E126,Cost_Components!$A$2:$A$27,0)),"")</f>
        <v>95</v>
      </c>
      <c r="AE126" s="14" t="str">
        <f>IFERROR(INDEX(Cost_Components!$O$2:$O$27,MATCH(E126,Cost_Components!$A$2:$A$27,0)),"")</f>
        <v>Both</v>
      </c>
      <c r="AF126" s="11">
        <v>7364463.2862608302</v>
      </c>
      <c r="AG126" s="11">
        <v>7352541.1872549905</v>
      </c>
      <c r="AH126" s="21">
        <f t="shared" si="19"/>
        <v>1</v>
      </c>
    </row>
    <row r="127" spans="1:34" hidden="1">
      <c r="A127" t="s">
        <v>183</v>
      </c>
      <c r="B127" s="18">
        <v>2046</v>
      </c>
      <c r="C127" t="s">
        <v>183</v>
      </c>
      <c r="D127" t="s">
        <v>177</v>
      </c>
      <c r="E127" s="20" t="s">
        <v>267</v>
      </c>
      <c r="F127" s="20" t="s">
        <v>268</v>
      </c>
      <c r="G127" s="20" t="s">
        <v>195</v>
      </c>
      <c r="H127" s="20" t="s">
        <v>192</v>
      </c>
      <c r="I127" s="20" t="s">
        <v>264</v>
      </c>
      <c r="J127" s="15">
        <f>IFERROR(INDEX(Cost_Components!$K$2:$K$27,MATCH(E127,Cost_Components!$A$2:$A$27,0)),"")</f>
        <v>0.1</v>
      </c>
      <c r="K127" s="15">
        <f t="shared" si="10"/>
        <v>0.72461538461538466</v>
      </c>
      <c r="L127" s="15">
        <f>IFERROR(INDEX(Cost_Components!$S$2:$S$27,MATCH(E127,Cost_Components!$A$2:$A$27,0)),"")</f>
        <v>0.31</v>
      </c>
      <c r="M127" s="26">
        <f>IFERROR(INDEX(Cost_Components!$L$2:$L$27,MATCH(E127,Cost_Components!$A$2:$A$27,0)),"")</f>
        <v>1</v>
      </c>
      <c r="N127" s="27">
        <f>IFERROR(INDEX(Cost_Components!$P$2:$P$27,MATCH(E127,Cost_Components!$A$2:$A$27,0)),"")</f>
        <v>282.51283599999999</v>
      </c>
      <c r="O127" s="21">
        <f t="shared" si="11"/>
        <v>744240.6094083651</v>
      </c>
      <c r="P127" s="21">
        <f t="shared" si="12"/>
        <v>742946.84922803903</v>
      </c>
      <c r="Q127" s="21">
        <f t="shared" si="13"/>
        <v>65066526.625530094</v>
      </c>
      <c r="R127" s="21">
        <f t="shared" si="14"/>
        <v>152355837.51305124</v>
      </c>
      <c r="S127" s="21">
        <f t="shared" si="15"/>
        <v>87289310.887521148</v>
      </c>
      <c r="T127" s="14">
        <f>IFERROR(INDEX(Cost_Components!$R$2:$R$27,MATCH(E127,Cost_Components!$A$2:$A$27,0)),"")</f>
        <v>1</v>
      </c>
      <c r="U127" s="24">
        <f>IFERROR(INDEX(Cost_Components!$Q$2:$Q$27,MATCH(E127,Cost_Components!$A$2:$A$27,0)),"")</f>
        <v>2023</v>
      </c>
      <c r="V127" s="28">
        <f>1/(1+Calculation_Assumptions!$B$5)^(B127-Calculation_Assumptions!$B$2)</f>
        <v>0.5375492759090631</v>
      </c>
      <c r="W127" s="21">
        <f t="shared" si="16"/>
        <v>34976464.273471475</v>
      </c>
      <c r="X127" s="21">
        <f t="shared" si="17"/>
        <v>81898770.135659561</v>
      </c>
      <c r="Y127" s="21">
        <f t="shared" si="18"/>
        <v>46922305.862188093</v>
      </c>
      <c r="Z127" s="15">
        <f>IFERROR(INDEX(Cost_Components!$T$2:$T$27,MATCH(E127,Cost_Components!$A$2:$A$27,0)),"")</f>
        <v>0.8</v>
      </c>
      <c r="AA127" s="24">
        <f>IFERROR(INDEX(Cost_Components!$U$2:$U$27,MATCH(E127,Cost_Components!$A$2:$A$27,0)),"")</f>
        <v>2025</v>
      </c>
      <c r="AB127" s="24">
        <f>IFERROR(INDEX(Cost_Components!$V$2:$V$27,MATCH(E127,Cost_Components!$A$2:$A$27,0)),"")</f>
        <v>2050</v>
      </c>
      <c r="AC127" s="24">
        <f>IFERROR(INDEX(Cost_Components!$M$2:$M$27,MATCH(E127,Cost_Components!$A$2:$A$27,0)),"")</f>
        <v>30</v>
      </c>
      <c r="AD127" s="24">
        <f>IFERROR(INDEX(Cost_Components!$N$2:$N$27,MATCH(E127,Cost_Components!$A$2:$A$27,0)),"")</f>
        <v>95</v>
      </c>
      <c r="AE127" s="14" t="str">
        <f>IFERROR(INDEX(Cost_Components!$O$2:$O$27,MATCH(E127,Cost_Components!$A$2:$A$27,0)),"")</f>
        <v>Both</v>
      </c>
      <c r="AF127" s="11">
        <v>7442406.09408365</v>
      </c>
      <c r="AG127" s="11">
        <v>7429468.4922803901</v>
      </c>
      <c r="AH127" s="21">
        <f t="shared" si="19"/>
        <v>1</v>
      </c>
    </row>
    <row r="128" spans="1:34" hidden="1">
      <c r="A128" t="s">
        <v>183</v>
      </c>
      <c r="B128" s="18">
        <v>2047</v>
      </c>
      <c r="C128" t="s">
        <v>183</v>
      </c>
      <c r="D128" t="s">
        <v>177</v>
      </c>
      <c r="E128" s="20" t="s">
        <v>267</v>
      </c>
      <c r="F128" s="20" t="s">
        <v>268</v>
      </c>
      <c r="G128" s="20" t="s">
        <v>195</v>
      </c>
      <c r="H128" s="20" t="s">
        <v>192</v>
      </c>
      <c r="I128" s="20" t="s">
        <v>264</v>
      </c>
      <c r="J128" s="15">
        <f>IFERROR(INDEX(Cost_Components!$K$2:$K$27,MATCH(E128,Cost_Components!$A$2:$A$27,0)),"")</f>
        <v>0.1</v>
      </c>
      <c r="K128" s="15">
        <f t="shared" si="10"/>
        <v>0.74346153846153851</v>
      </c>
      <c r="L128" s="15">
        <f>IFERROR(INDEX(Cost_Components!$S$2:$S$27,MATCH(E128,Cost_Components!$A$2:$A$27,0)),"")</f>
        <v>0.31</v>
      </c>
      <c r="M128" s="26">
        <f>IFERROR(INDEX(Cost_Components!$L$2:$L$27,MATCH(E128,Cost_Components!$A$2:$A$27,0)),"")</f>
        <v>1</v>
      </c>
      <c r="N128" s="27">
        <f>IFERROR(INDEX(Cost_Components!$P$2:$P$27,MATCH(E128,Cost_Components!$A$2:$A$27,0)),"")</f>
        <v>282.51283599999999</v>
      </c>
      <c r="O128" s="21">
        <f t="shared" si="11"/>
        <v>751574.55862615397</v>
      </c>
      <c r="P128" s="21">
        <f t="shared" si="12"/>
        <v>750176.46315623913</v>
      </c>
      <c r="Q128" s="21">
        <f t="shared" si="13"/>
        <v>65699688.833082773</v>
      </c>
      <c r="R128" s="21">
        <f t="shared" si="14"/>
        <v>157858787.00935009</v>
      </c>
      <c r="S128" s="21">
        <f t="shared" si="15"/>
        <v>92159098.176267326</v>
      </c>
      <c r="T128" s="14">
        <f>IFERROR(INDEX(Cost_Components!$R$2:$R$27,MATCH(E128,Cost_Components!$A$2:$A$27,0)),"")</f>
        <v>1</v>
      </c>
      <c r="U128" s="24">
        <f>IFERROR(INDEX(Cost_Components!$Q$2:$Q$27,MATCH(E128,Cost_Components!$A$2:$A$27,0)),"")</f>
        <v>2023</v>
      </c>
      <c r="V128" s="28">
        <f>1/(1+Calculation_Assumptions!$B$5)^(B128-Calculation_Assumptions!$B$2)</f>
        <v>0.52189250088258554</v>
      </c>
      <c r="W128" s="21">
        <f t="shared" si="16"/>
        <v>34288174.912305243</v>
      </c>
      <c r="X128" s="21">
        <f t="shared" si="17"/>
        <v>82385317.138601124</v>
      </c>
      <c r="Y128" s="21">
        <f t="shared" si="18"/>
        <v>48097142.226295881</v>
      </c>
      <c r="Z128" s="15">
        <f>IFERROR(INDEX(Cost_Components!$T$2:$T$27,MATCH(E128,Cost_Components!$A$2:$A$27,0)),"")</f>
        <v>0.8</v>
      </c>
      <c r="AA128" s="24">
        <f>IFERROR(INDEX(Cost_Components!$U$2:$U$27,MATCH(E128,Cost_Components!$A$2:$A$27,0)),"")</f>
        <v>2025</v>
      </c>
      <c r="AB128" s="24">
        <f>IFERROR(INDEX(Cost_Components!$V$2:$V$27,MATCH(E128,Cost_Components!$A$2:$A$27,0)),"")</f>
        <v>2050</v>
      </c>
      <c r="AC128" s="24">
        <f>IFERROR(INDEX(Cost_Components!$M$2:$M$27,MATCH(E128,Cost_Components!$A$2:$A$27,0)),"")</f>
        <v>30</v>
      </c>
      <c r="AD128" s="24">
        <f>IFERROR(INDEX(Cost_Components!$N$2:$N$27,MATCH(E128,Cost_Components!$A$2:$A$27,0)),"")</f>
        <v>95</v>
      </c>
      <c r="AE128" s="14" t="str">
        <f>IFERROR(INDEX(Cost_Components!$O$2:$O$27,MATCH(E128,Cost_Components!$A$2:$A$27,0)),"")</f>
        <v>Both</v>
      </c>
      <c r="AF128" s="11">
        <v>7515745.5862615397</v>
      </c>
      <c r="AG128" s="11">
        <v>7501764.6315623904</v>
      </c>
      <c r="AH128" s="21">
        <f t="shared" si="19"/>
        <v>1</v>
      </c>
    </row>
    <row r="129" spans="1:34" hidden="1">
      <c r="A129" t="s">
        <v>183</v>
      </c>
      <c r="B129" s="18">
        <v>2048</v>
      </c>
      <c r="C129" t="s">
        <v>183</v>
      </c>
      <c r="D129" t="s">
        <v>177</v>
      </c>
      <c r="E129" s="20" t="s">
        <v>267</v>
      </c>
      <c r="F129" s="20" t="s">
        <v>268</v>
      </c>
      <c r="G129" s="20" t="s">
        <v>195</v>
      </c>
      <c r="H129" s="20" t="s">
        <v>192</v>
      </c>
      <c r="I129" s="20" t="s">
        <v>264</v>
      </c>
      <c r="J129" s="15">
        <f>IFERROR(INDEX(Cost_Components!$K$2:$K$27,MATCH(E129,Cost_Components!$A$2:$A$27,0)),"")</f>
        <v>0.1</v>
      </c>
      <c r="K129" s="15">
        <f t="shared" si="10"/>
        <v>0.76230769230769235</v>
      </c>
      <c r="L129" s="15">
        <f>IFERROR(INDEX(Cost_Components!$S$2:$S$27,MATCH(E129,Cost_Components!$A$2:$A$27,0)),"")</f>
        <v>0.31</v>
      </c>
      <c r="M129" s="26">
        <f>IFERROR(INDEX(Cost_Components!$L$2:$L$27,MATCH(E129,Cost_Components!$A$2:$A$27,0)),"")</f>
        <v>1</v>
      </c>
      <c r="N129" s="27">
        <f>IFERROR(INDEX(Cost_Components!$P$2:$P$27,MATCH(E129,Cost_Components!$A$2:$A$27,0)),"")</f>
        <v>282.51283599999999</v>
      </c>
      <c r="O129" s="21">
        <f t="shared" si="11"/>
        <v>758524.40669472003</v>
      </c>
      <c r="P129" s="21">
        <f t="shared" si="12"/>
        <v>757019.44146434404</v>
      </c>
      <c r="Q129" s="21">
        <f t="shared" si="13"/>
        <v>66298989.887720622</v>
      </c>
      <c r="R129" s="21">
        <f t="shared" si="14"/>
        <v>163357111.82980606</v>
      </c>
      <c r="S129" s="21">
        <f t="shared" si="15"/>
        <v>97058121.942085445</v>
      </c>
      <c r="T129" s="14">
        <f>IFERROR(INDEX(Cost_Components!$R$2:$R$27,MATCH(E129,Cost_Components!$A$2:$A$27,0)),"")</f>
        <v>1</v>
      </c>
      <c r="U129" s="24">
        <f>IFERROR(INDEX(Cost_Components!$Q$2:$Q$27,MATCH(E129,Cost_Components!$A$2:$A$27,0)),"")</f>
        <v>2023</v>
      </c>
      <c r="V129" s="28">
        <f>1/(1+Calculation_Assumptions!$B$5)^(B129-Calculation_Assumptions!$B$2)</f>
        <v>0.50669174842969467</v>
      </c>
      <c r="W129" s="21">
        <f t="shared" si="16"/>
        <v>33593151.105331808</v>
      </c>
      <c r="X129" s="21">
        <f t="shared" si="17"/>
        <v>82771700.611469597</v>
      </c>
      <c r="Y129" s="21">
        <f t="shared" si="18"/>
        <v>49178549.506137788</v>
      </c>
      <c r="Z129" s="15">
        <f>IFERROR(INDEX(Cost_Components!$T$2:$T$27,MATCH(E129,Cost_Components!$A$2:$A$27,0)),"")</f>
        <v>0.8</v>
      </c>
      <c r="AA129" s="24">
        <f>IFERROR(INDEX(Cost_Components!$U$2:$U$27,MATCH(E129,Cost_Components!$A$2:$A$27,0)),"")</f>
        <v>2025</v>
      </c>
      <c r="AB129" s="24">
        <f>IFERROR(INDEX(Cost_Components!$V$2:$V$27,MATCH(E129,Cost_Components!$A$2:$A$27,0)),"")</f>
        <v>2050</v>
      </c>
      <c r="AC129" s="24">
        <f>IFERROR(INDEX(Cost_Components!$M$2:$M$27,MATCH(E129,Cost_Components!$A$2:$A$27,0)),"")</f>
        <v>30</v>
      </c>
      <c r="AD129" s="24">
        <f>IFERROR(INDEX(Cost_Components!$N$2:$N$27,MATCH(E129,Cost_Components!$A$2:$A$27,0)),"")</f>
        <v>95</v>
      </c>
      <c r="AE129" s="14" t="str">
        <f>IFERROR(INDEX(Cost_Components!$O$2:$O$27,MATCH(E129,Cost_Components!$A$2:$A$27,0)),"")</f>
        <v>Both</v>
      </c>
      <c r="AF129" s="11">
        <v>7585244.0669472003</v>
      </c>
      <c r="AG129" s="11">
        <v>7570194.4146434404</v>
      </c>
      <c r="AH129" s="21">
        <f t="shared" si="19"/>
        <v>1</v>
      </c>
    </row>
    <row r="130" spans="1:34" hidden="1">
      <c r="A130" t="s">
        <v>183</v>
      </c>
      <c r="B130" s="18">
        <v>2049</v>
      </c>
      <c r="C130" t="s">
        <v>183</v>
      </c>
      <c r="D130" t="s">
        <v>177</v>
      </c>
      <c r="E130" s="20" t="s">
        <v>267</v>
      </c>
      <c r="F130" s="20" t="s">
        <v>268</v>
      </c>
      <c r="G130" s="20" t="s">
        <v>195</v>
      </c>
      <c r="H130" s="20" t="s">
        <v>192</v>
      </c>
      <c r="I130" s="20" t="s">
        <v>264</v>
      </c>
      <c r="J130" s="15">
        <f>IFERROR(INDEX(Cost_Components!$K$2:$K$27,MATCH(E130,Cost_Components!$A$2:$A$27,0)),"")</f>
        <v>0.1</v>
      </c>
      <c r="K130" s="15">
        <f t="shared" ref="K130:K193" si="20">IF(OR(L130="",Z130="",AA130="",AB130=""),"",IF(B130&lt;AA130,L130,IF(B130&gt;AB130,Z130,L130+(Z130-L130)*MIN(MAX((B130-AA130+1)/MAX(AB130-AA130+1,1),0),1))))</f>
        <v>0.7811538461538462</v>
      </c>
      <c r="L130" s="15">
        <f>IFERROR(INDEX(Cost_Components!$S$2:$S$27,MATCH(E130,Cost_Components!$A$2:$A$27,0)),"")</f>
        <v>0.31</v>
      </c>
      <c r="M130" s="26">
        <f>IFERROR(INDEX(Cost_Components!$L$2:$L$27,MATCH(E130,Cost_Components!$A$2:$A$27,0)),"")</f>
        <v>1</v>
      </c>
      <c r="N130" s="27">
        <f>IFERROR(INDEX(Cost_Components!$P$2:$P$27,MATCH(E130,Cost_Components!$A$2:$A$27,0)),"")</f>
        <v>282.51283599999999</v>
      </c>
      <c r="O130" s="21">
        <f t="shared" ref="O130:O193" si="21">AF130*J130</f>
        <v>765089.16558480007</v>
      </c>
      <c r="P130" s="21">
        <f t="shared" ref="P130:P193" si="22">AG130*J130</f>
        <v>763475.03951070306</v>
      </c>
      <c r="Q130" s="21">
        <f t="shared" ref="Q130:Q193" si="23">P130*L130*M130*N130</f>
        <v>66864364.574488036</v>
      </c>
      <c r="R130" s="21">
        <f t="shared" ref="R130:R193" si="24">O130*K130*M130*N130</f>
        <v>168844458.74357703</v>
      </c>
      <c r="S130" s="21">
        <f t="shared" ref="S130:S193" si="25">R130-Q130</f>
        <v>101980094.16908899</v>
      </c>
      <c r="T130" s="14">
        <f>IFERROR(INDEX(Cost_Components!$R$2:$R$27,MATCH(E130,Cost_Components!$A$2:$A$27,0)),"")</f>
        <v>1</v>
      </c>
      <c r="U130" s="24">
        <f>IFERROR(INDEX(Cost_Components!$Q$2:$Q$27,MATCH(E130,Cost_Components!$A$2:$A$27,0)),"")</f>
        <v>2023</v>
      </c>
      <c r="V130" s="28">
        <f>1/(1+Calculation_Assumptions!$B$5)^(B130-Calculation_Assumptions!$B$2)</f>
        <v>0.49193373633950943</v>
      </c>
      <c r="W130" s="21">
        <f t="shared" ref="W130:W193" si="26">Q130*V130</f>
        <v>32892836.693095032</v>
      </c>
      <c r="X130" s="21">
        <f t="shared" ref="X130:X193" si="27">R130*V130</f>
        <v>83060285.449949995</v>
      </c>
      <c r="Y130" s="21">
        <f t="shared" ref="Y130:Y193" si="28">S130*V130</f>
        <v>50167448.756854966</v>
      </c>
      <c r="Z130" s="15">
        <f>IFERROR(INDEX(Cost_Components!$T$2:$T$27,MATCH(E130,Cost_Components!$A$2:$A$27,0)),"")</f>
        <v>0.8</v>
      </c>
      <c r="AA130" s="24">
        <f>IFERROR(INDEX(Cost_Components!$U$2:$U$27,MATCH(E130,Cost_Components!$A$2:$A$27,0)),"")</f>
        <v>2025</v>
      </c>
      <c r="AB130" s="24">
        <f>IFERROR(INDEX(Cost_Components!$V$2:$V$27,MATCH(E130,Cost_Components!$A$2:$A$27,0)),"")</f>
        <v>2050</v>
      </c>
      <c r="AC130" s="24">
        <f>IFERROR(INDEX(Cost_Components!$M$2:$M$27,MATCH(E130,Cost_Components!$A$2:$A$27,0)),"")</f>
        <v>30</v>
      </c>
      <c r="AD130" s="24">
        <f>IFERROR(INDEX(Cost_Components!$N$2:$N$27,MATCH(E130,Cost_Components!$A$2:$A$27,0)),"")</f>
        <v>95</v>
      </c>
      <c r="AE130" s="14" t="str">
        <f>IFERROR(INDEX(Cost_Components!$O$2:$O$27,MATCH(E130,Cost_Components!$A$2:$A$27,0)),"")</f>
        <v>Both</v>
      </c>
      <c r="AF130" s="11">
        <v>7650891.6558480002</v>
      </c>
      <c r="AG130" s="11">
        <v>7634750.3951070299</v>
      </c>
      <c r="AH130" s="21">
        <f t="shared" ref="AH130:AH193" si="29">IF(H130="shared-count-once",COUNTIFS($A$2:$A$1353,A130,$B$2:$B$1353,B130,$E$2:$E$1353,E130),1)</f>
        <v>1</v>
      </c>
    </row>
    <row r="131" spans="1:34" hidden="1">
      <c r="A131" t="s">
        <v>183</v>
      </c>
      <c r="B131" s="18">
        <v>2050</v>
      </c>
      <c r="C131" t="s">
        <v>183</v>
      </c>
      <c r="D131" t="s">
        <v>177</v>
      </c>
      <c r="E131" s="20" t="s">
        <v>267</v>
      </c>
      <c r="F131" s="20" t="s">
        <v>268</v>
      </c>
      <c r="G131" s="20" t="s">
        <v>195</v>
      </c>
      <c r="H131" s="20" t="s">
        <v>192</v>
      </c>
      <c r="I131" s="20" t="s">
        <v>264</v>
      </c>
      <c r="J131" s="15">
        <f>IFERROR(INDEX(Cost_Components!$K$2:$K$27,MATCH(E131,Cost_Components!$A$2:$A$27,0)),"")</f>
        <v>0.1</v>
      </c>
      <c r="K131" s="15">
        <f t="shared" si="20"/>
        <v>0.8</v>
      </c>
      <c r="L131" s="15">
        <f>IFERROR(INDEX(Cost_Components!$S$2:$S$27,MATCH(E131,Cost_Components!$A$2:$A$27,0)),"")</f>
        <v>0.31</v>
      </c>
      <c r="M131" s="26">
        <f>IFERROR(INDEX(Cost_Components!$L$2:$L$27,MATCH(E131,Cost_Components!$A$2:$A$27,0)),"")</f>
        <v>1</v>
      </c>
      <c r="N131" s="27">
        <f>IFERROR(INDEX(Cost_Components!$P$2:$P$27,MATCH(E131,Cost_Components!$A$2:$A$27,0)),"")</f>
        <v>282.51283599999999</v>
      </c>
      <c r="O131" s="21">
        <f t="shared" si="21"/>
        <v>771274.68615025003</v>
      </c>
      <c r="P131" s="21">
        <f t="shared" si="22"/>
        <v>769549.32165961107</v>
      </c>
      <c r="Q131" s="21">
        <f t="shared" si="23"/>
        <v>67396344.004219219</v>
      </c>
      <c r="R131" s="21">
        <f t="shared" si="24"/>
        <v>174315999.13545364</v>
      </c>
      <c r="S131" s="21">
        <f t="shared" si="25"/>
        <v>106919655.13123442</v>
      </c>
      <c r="T131" s="14">
        <f>IFERROR(INDEX(Cost_Components!$R$2:$R$27,MATCH(E131,Cost_Components!$A$2:$A$27,0)),"")</f>
        <v>1</v>
      </c>
      <c r="U131" s="24">
        <f>IFERROR(INDEX(Cost_Components!$Q$2:$Q$27,MATCH(E131,Cost_Components!$A$2:$A$27,0)),"")</f>
        <v>2023</v>
      </c>
      <c r="V131" s="28">
        <f>1/(1+Calculation_Assumptions!$B$5)^(B131-Calculation_Assumptions!$B$2)</f>
        <v>0.47760556926165965</v>
      </c>
      <c r="W131" s="21">
        <f t="shared" si="26"/>
        <v>32188869.244289763</v>
      </c>
      <c r="X131" s="21">
        <f t="shared" si="27"/>
        <v>83254291.998503312</v>
      </c>
      <c r="Y131" s="21">
        <f t="shared" si="28"/>
        <v>51065422.754213542</v>
      </c>
      <c r="Z131" s="15">
        <f>IFERROR(INDEX(Cost_Components!$T$2:$T$27,MATCH(E131,Cost_Components!$A$2:$A$27,0)),"")</f>
        <v>0.8</v>
      </c>
      <c r="AA131" s="24">
        <f>IFERROR(INDEX(Cost_Components!$U$2:$U$27,MATCH(E131,Cost_Components!$A$2:$A$27,0)),"")</f>
        <v>2025</v>
      </c>
      <c r="AB131" s="24">
        <f>IFERROR(INDEX(Cost_Components!$V$2:$V$27,MATCH(E131,Cost_Components!$A$2:$A$27,0)),"")</f>
        <v>2050</v>
      </c>
      <c r="AC131" s="24">
        <f>IFERROR(INDEX(Cost_Components!$M$2:$M$27,MATCH(E131,Cost_Components!$A$2:$A$27,0)),"")</f>
        <v>30</v>
      </c>
      <c r="AD131" s="24">
        <f>IFERROR(INDEX(Cost_Components!$N$2:$N$27,MATCH(E131,Cost_Components!$A$2:$A$27,0)),"")</f>
        <v>95</v>
      </c>
      <c r="AE131" s="14" t="str">
        <f>IFERROR(INDEX(Cost_Components!$O$2:$O$27,MATCH(E131,Cost_Components!$A$2:$A$27,0)),"")</f>
        <v>Both</v>
      </c>
      <c r="AF131" s="11">
        <v>7712746.8615025003</v>
      </c>
      <c r="AG131" s="11">
        <v>7695493.2165961098</v>
      </c>
      <c r="AH131" s="21">
        <f t="shared" si="29"/>
        <v>1</v>
      </c>
    </row>
    <row r="132" spans="1:34" hidden="1">
      <c r="A132" t="s">
        <v>197</v>
      </c>
      <c r="B132" s="18">
        <v>2025</v>
      </c>
      <c r="C132" t="s">
        <v>197</v>
      </c>
      <c r="D132" t="s">
        <v>187</v>
      </c>
      <c r="E132" s="20" t="s">
        <v>269</v>
      </c>
      <c r="F132" s="20" t="s">
        <v>270</v>
      </c>
      <c r="G132" s="20" t="s">
        <v>198</v>
      </c>
      <c r="H132" s="20" t="s">
        <v>192</v>
      </c>
      <c r="I132" s="20" t="s">
        <v>264</v>
      </c>
      <c r="J132" s="15">
        <f>IFERROR(INDEX(Cost_Components!$K$2:$K$27,MATCH(E132,Cost_Components!$A$2:$A$27,0)),"")</f>
        <v>1</v>
      </c>
      <c r="K132" s="15">
        <f t="shared" si="20"/>
        <v>0.32884615384615384</v>
      </c>
      <c r="L132" s="15">
        <f>IFERROR(INDEX(Cost_Components!$S$2:$S$27,MATCH(E132,Cost_Components!$A$2:$A$27,0)),"")</f>
        <v>0.31</v>
      </c>
      <c r="M132" s="26">
        <f>IFERROR(INDEX(Cost_Components!$L$2:$L$27,MATCH(E132,Cost_Components!$A$2:$A$27,0)),"")</f>
        <v>1</v>
      </c>
      <c r="N132" s="27">
        <f>IFERROR(INDEX(Cost_Components!$P$2:$P$27,MATCH(E132,Cost_Components!$A$2:$A$27,0)),"")</f>
        <v>5.133311</v>
      </c>
      <c r="O132" s="21">
        <f t="shared" si="21"/>
        <v>78235.110312680597</v>
      </c>
      <c r="P132" s="21">
        <f t="shared" si="22"/>
        <v>78177.722455986499</v>
      </c>
      <c r="Q132" s="21">
        <f t="shared" si="23"/>
        <v>124406.27441786138</v>
      </c>
      <c r="R132" s="21">
        <f t="shared" si="24"/>
        <v>132066.30971650913</v>
      </c>
      <c r="S132" s="21">
        <f t="shared" si="25"/>
        <v>7660.0352986477519</v>
      </c>
      <c r="T132" s="14">
        <f>IFERROR(INDEX(Cost_Components!$R$2:$R$27,MATCH(E132,Cost_Components!$A$2:$A$27,0)),"")</f>
        <v>1</v>
      </c>
      <c r="U132" s="24">
        <f>IFERROR(INDEX(Cost_Components!$Q$2:$Q$27,MATCH(E132,Cost_Components!$A$2:$A$27,0)),"")</f>
        <v>2023</v>
      </c>
      <c r="V132" s="28">
        <f>1/(1+Calculation_Assumptions!$B$5)^(B132-Calculation_Assumptions!$B$2)</f>
        <v>1</v>
      </c>
      <c r="W132" s="21">
        <f t="shared" si="26"/>
        <v>124406.27441786138</v>
      </c>
      <c r="X132" s="21">
        <f t="shared" si="27"/>
        <v>132066.30971650913</v>
      </c>
      <c r="Y132" s="21">
        <f t="shared" si="28"/>
        <v>7660.0352986477519</v>
      </c>
      <c r="Z132" s="15">
        <f>IFERROR(INDEX(Cost_Components!$T$2:$T$27,MATCH(E132,Cost_Components!$A$2:$A$27,0)),"")</f>
        <v>0.8</v>
      </c>
      <c r="AA132" s="24">
        <f>IFERROR(INDEX(Cost_Components!$U$2:$U$27,MATCH(E132,Cost_Components!$A$2:$A$27,0)),"")</f>
        <v>2025</v>
      </c>
      <c r="AB132" s="24">
        <f>IFERROR(INDEX(Cost_Components!$V$2:$V$27,MATCH(E132,Cost_Components!$A$2:$A$27,0)),"")</f>
        <v>2050</v>
      </c>
      <c r="AC132" s="24">
        <f>IFERROR(INDEX(Cost_Components!$M$2:$M$27,MATCH(E132,Cost_Components!$A$2:$A$27,0)),"")</f>
        <v>0</v>
      </c>
      <c r="AD132" s="24">
        <f>IFERROR(INDEX(Cost_Components!$N$2:$N$27,MATCH(E132,Cost_Components!$A$2:$A$27,0)),"")</f>
        <v>95</v>
      </c>
      <c r="AE132" s="14" t="str">
        <f>IFERROR(INDEX(Cost_Components!$O$2:$O$27,MATCH(E132,Cost_Components!$A$2:$A$27,0)),"")</f>
        <v>Both</v>
      </c>
      <c r="AF132" s="11">
        <v>78235.110312680597</v>
      </c>
      <c r="AG132" s="11">
        <v>78177.722455986499</v>
      </c>
      <c r="AH132" s="21">
        <f t="shared" si="29"/>
        <v>1</v>
      </c>
    </row>
    <row r="133" spans="1:34" hidden="1">
      <c r="A133" t="s">
        <v>197</v>
      </c>
      <c r="B133" s="18">
        <v>2026</v>
      </c>
      <c r="C133" t="s">
        <v>197</v>
      </c>
      <c r="D133" t="s">
        <v>187</v>
      </c>
      <c r="E133" s="20" t="s">
        <v>269</v>
      </c>
      <c r="F133" s="20" t="s">
        <v>270</v>
      </c>
      <c r="G133" s="20" t="s">
        <v>198</v>
      </c>
      <c r="H133" s="20" t="s">
        <v>192</v>
      </c>
      <c r="I133" s="20" t="s">
        <v>264</v>
      </c>
      <c r="J133" s="15">
        <f>IFERROR(INDEX(Cost_Components!$K$2:$K$27,MATCH(E133,Cost_Components!$A$2:$A$27,0)),"")</f>
        <v>1</v>
      </c>
      <c r="K133" s="15">
        <f t="shared" si="20"/>
        <v>0.34769230769230769</v>
      </c>
      <c r="L133" s="15">
        <f>IFERROR(INDEX(Cost_Components!$S$2:$S$27,MATCH(E133,Cost_Components!$A$2:$A$27,0)),"")</f>
        <v>0.31</v>
      </c>
      <c r="M133" s="26">
        <f>IFERROR(INDEX(Cost_Components!$L$2:$L$27,MATCH(E133,Cost_Components!$A$2:$A$27,0)),"")</f>
        <v>1</v>
      </c>
      <c r="N133" s="27">
        <f>IFERROR(INDEX(Cost_Components!$P$2:$P$27,MATCH(E133,Cost_Components!$A$2:$A$27,0)),"")</f>
        <v>5.133311</v>
      </c>
      <c r="O133" s="21">
        <f t="shared" si="21"/>
        <v>80110.215483540902</v>
      </c>
      <c r="P133" s="21">
        <f t="shared" si="22"/>
        <v>79946.906612797</v>
      </c>
      <c r="Q133" s="21">
        <f t="shared" si="23"/>
        <v>127221.62389074751</v>
      </c>
      <c r="R133" s="21">
        <f t="shared" si="24"/>
        <v>142981.7338154015</v>
      </c>
      <c r="S133" s="21">
        <f t="shared" si="25"/>
        <v>15760.109924653996</v>
      </c>
      <c r="T133" s="14">
        <f>IFERROR(INDEX(Cost_Components!$R$2:$R$27,MATCH(E133,Cost_Components!$A$2:$A$27,0)),"")</f>
        <v>1</v>
      </c>
      <c r="U133" s="24">
        <f>IFERROR(INDEX(Cost_Components!$Q$2:$Q$27,MATCH(E133,Cost_Components!$A$2:$A$27,0)),"")</f>
        <v>2023</v>
      </c>
      <c r="V133" s="28">
        <f>1/(1+Calculation_Assumptions!$B$5)^(B133-Calculation_Assumptions!$B$2)</f>
        <v>0.970873786407767</v>
      </c>
      <c r="W133" s="21">
        <f t="shared" si="26"/>
        <v>123516.13969975486</v>
      </c>
      <c r="X133" s="21">
        <f t="shared" si="27"/>
        <v>138817.21729650631</v>
      </c>
      <c r="Y133" s="21">
        <f t="shared" si="28"/>
        <v>15301.077596751453</v>
      </c>
      <c r="Z133" s="15">
        <f>IFERROR(INDEX(Cost_Components!$T$2:$T$27,MATCH(E133,Cost_Components!$A$2:$A$27,0)),"")</f>
        <v>0.8</v>
      </c>
      <c r="AA133" s="24">
        <f>IFERROR(INDEX(Cost_Components!$U$2:$U$27,MATCH(E133,Cost_Components!$A$2:$A$27,0)),"")</f>
        <v>2025</v>
      </c>
      <c r="AB133" s="24">
        <f>IFERROR(INDEX(Cost_Components!$V$2:$V$27,MATCH(E133,Cost_Components!$A$2:$A$27,0)),"")</f>
        <v>2050</v>
      </c>
      <c r="AC133" s="24">
        <f>IFERROR(INDEX(Cost_Components!$M$2:$M$27,MATCH(E133,Cost_Components!$A$2:$A$27,0)),"")</f>
        <v>0</v>
      </c>
      <c r="AD133" s="24">
        <f>IFERROR(INDEX(Cost_Components!$N$2:$N$27,MATCH(E133,Cost_Components!$A$2:$A$27,0)),"")</f>
        <v>95</v>
      </c>
      <c r="AE133" s="14" t="str">
        <f>IFERROR(INDEX(Cost_Components!$O$2:$O$27,MATCH(E133,Cost_Components!$A$2:$A$27,0)),"")</f>
        <v>Both</v>
      </c>
      <c r="AF133" s="11">
        <v>80110.215483540902</v>
      </c>
      <c r="AG133" s="11">
        <v>79946.906612797</v>
      </c>
      <c r="AH133" s="21">
        <f t="shared" si="29"/>
        <v>1</v>
      </c>
    </row>
    <row r="134" spans="1:34" hidden="1">
      <c r="A134" t="s">
        <v>197</v>
      </c>
      <c r="B134" s="18">
        <v>2027</v>
      </c>
      <c r="C134" t="s">
        <v>197</v>
      </c>
      <c r="D134" t="s">
        <v>187</v>
      </c>
      <c r="E134" s="20" t="s">
        <v>269</v>
      </c>
      <c r="F134" s="20" t="s">
        <v>270</v>
      </c>
      <c r="G134" s="20" t="s">
        <v>198</v>
      </c>
      <c r="H134" s="20" t="s">
        <v>192</v>
      </c>
      <c r="I134" s="20" t="s">
        <v>264</v>
      </c>
      <c r="J134" s="15">
        <f>IFERROR(INDEX(Cost_Components!$K$2:$K$27,MATCH(E134,Cost_Components!$A$2:$A$27,0)),"")</f>
        <v>1</v>
      </c>
      <c r="K134" s="15">
        <f t="shared" si="20"/>
        <v>0.36653846153846154</v>
      </c>
      <c r="L134" s="15">
        <f>IFERROR(INDEX(Cost_Components!$S$2:$S$27,MATCH(E134,Cost_Components!$A$2:$A$27,0)),"")</f>
        <v>0.31</v>
      </c>
      <c r="M134" s="26">
        <f>IFERROR(INDEX(Cost_Components!$L$2:$L$27,MATCH(E134,Cost_Components!$A$2:$A$27,0)),"")</f>
        <v>1</v>
      </c>
      <c r="N134" s="27">
        <f>IFERROR(INDEX(Cost_Components!$P$2:$P$27,MATCH(E134,Cost_Components!$A$2:$A$27,0)),"")</f>
        <v>5.133311</v>
      </c>
      <c r="O134" s="21">
        <f t="shared" si="21"/>
        <v>81996.454865977794</v>
      </c>
      <c r="P134" s="21">
        <f t="shared" si="22"/>
        <v>81685.048654253798</v>
      </c>
      <c r="Q134" s="21">
        <f t="shared" si="23"/>
        <v>129987.57522564902</v>
      </c>
      <c r="R134" s="21">
        <f t="shared" si="24"/>
        <v>154280.91478825946</v>
      </c>
      <c r="S134" s="21">
        <f t="shared" si="25"/>
        <v>24293.339562610432</v>
      </c>
      <c r="T134" s="14">
        <f>IFERROR(INDEX(Cost_Components!$R$2:$R$27,MATCH(E134,Cost_Components!$A$2:$A$27,0)),"")</f>
        <v>1</v>
      </c>
      <c r="U134" s="24">
        <f>IFERROR(INDEX(Cost_Components!$Q$2:$Q$27,MATCH(E134,Cost_Components!$A$2:$A$27,0)),"")</f>
        <v>2023</v>
      </c>
      <c r="V134" s="28">
        <f>1/(1+Calculation_Assumptions!$B$5)^(B134-Calculation_Assumptions!$B$2)</f>
        <v>0.94259590913375435</v>
      </c>
      <c r="W134" s="21">
        <f t="shared" si="26"/>
        <v>122525.75664591293</v>
      </c>
      <c r="X134" s="21">
        <f t="shared" si="27"/>
        <v>145424.55913682672</v>
      </c>
      <c r="Y134" s="21">
        <f t="shared" si="28"/>
        <v>22898.802490913782</v>
      </c>
      <c r="Z134" s="15">
        <f>IFERROR(INDEX(Cost_Components!$T$2:$T$27,MATCH(E134,Cost_Components!$A$2:$A$27,0)),"")</f>
        <v>0.8</v>
      </c>
      <c r="AA134" s="24">
        <f>IFERROR(INDEX(Cost_Components!$U$2:$U$27,MATCH(E134,Cost_Components!$A$2:$A$27,0)),"")</f>
        <v>2025</v>
      </c>
      <c r="AB134" s="24">
        <f>IFERROR(INDEX(Cost_Components!$V$2:$V$27,MATCH(E134,Cost_Components!$A$2:$A$27,0)),"")</f>
        <v>2050</v>
      </c>
      <c r="AC134" s="24">
        <f>IFERROR(INDEX(Cost_Components!$M$2:$M$27,MATCH(E134,Cost_Components!$A$2:$A$27,0)),"")</f>
        <v>0</v>
      </c>
      <c r="AD134" s="24">
        <f>IFERROR(INDEX(Cost_Components!$N$2:$N$27,MATCH(E134,Cost_Components!$A$2:$A$27,0)),"")</f>
        <v>95</v>
      </c>
      <c r="AE134" s="14" t="str">
        <f>IFERROR(INDEX(Cost_Components!$O$2:$O$27,MATCH(E134,Cost_Components!$A$2:$A$27,0)),"")</f>
        <v>Both</v>
      </c>
      <c r="AF134" s="11">
        <v>81996.454865977794</v>
      </c>
      <c r="AG134" s="11">
        <v>81685.048654253798</v>
      </c>
      <c r="AH134" s="21">
        <f t="shared" si="29"/>
        <v>1</v>
      </c>
    </row>
    <row r="135" spans="1:34" hidden="1">
      <c r="A135" t="s">
        <v>197</v>
      </c>
      <c r="B135" s="18">
        <v>2028</v>
      </c>
      <c r="C135" t="s">
        <v>197</v>
      </c>
      <c r="D135" t="s">
        <v>187</v>
      </c>
      <c r="E135" s="20" t="s">
        <v>269</v>
      </c>
      <c r="F135" s="20" t="s">
        <v>270</v>
      </c>
      <c r="G135" s="20" t="s">
        <v>198</v>
      </c>
      <c r="H135" s="20" t="s">
        <v>192</v>
      </c>
      <c r="I135" s="20" t="s">
        <v>264</v>
      </c>
      <c r="J135" s="15">
        <f>IFERROR(INDEX(Cost_Components!$K$2:$K$27,MATCH(E135,Cost_Components!$A$2:$A$27,0)),"")</f>
        <v>1</v>
      </c>
      <c r="K135" s="15">
        <f t="shared" si="20"/>
        <v>0.38538461538461538</v>
      </c>
      <c r="L135" s="15">
        <f>IFERROR(INDEX(Cost_Components!$S$2:$S$27,MATCH(E135,Cost_Components!$A$2:$A$27,0)),"")</f>
        <v>0.31</v>
      </c>
      <c r="M135" s="26">
        <f>IFERROR(INDEX(Cost_Components!$L$2:$L$27,MATCH(E135,Cost_Components!$A$2:$A$27,0)),"")</f>
        <v>1</v>
      </c>
      <c r="N135" s="27">
        <f>IFERROR(INDEX(Cost_Components!$P$2:$P$27,MATCH(E135,Cost_Components!$A$2:$A$27,0)),"")</f>
        <v>5.133311</v>
      </c>
      <c r="O135" s="21">
        <f t="shared" si="21"/>
        <v>83884.056020334494</v>
      </c>
      <c r="P135" s="21">
        <f t="shared" si="22"/>
        <v>83387.072966053194</v>
      </c>
      <c r="Q135" s="21">
        <f t="shared" si="23"/>
        <v>132696.05146347746</v>
      </c>
      <c r="R135" s="21">
        <f t="shared" si="24"/>
        <v>165947.75130337957</v>
      </c>
      <c r="S135" s="21">
        <f t="shared" si="25"/>
        <v>33251.69983990211</v>
      </c>
      <c r="T135" s="14">
        <f>IFERROR(INDEX(Cost_Components!$R$2:$R$27,MATCH(E135,Cost_Components!$A$2:$A$27,0)),"")</f>
        <v>1</v>
      </c>
      <c r="U135" s="24">
        <f>IFERROR(INDEX(Cost_Components!$Q$2:$Q$27,MATCH(E135,Cost_Components!$A$2:$A$27,0)),"")</f>
        <v>2023</v>
      </c>
      <c r="V135" s="28">
        <f>1/(1+Calculation_Assumptions!$B$5)^(B135-Calculation_Assumptions!$B$2)</f>
        <v>0.91514165935315961</v>
      </c>
      <c r="W135" s="21">
        <f t="shared" si="26"/>
        <v>121435.68472589903</v>
      </c>
      <c r="X135" s="21">
        <f t="shared" si="27"/>
        <v>151865.70049370022</v>
      </c>
      <c r="Y135" s="21">
        <f t="shared" si="28"/>
        <v>30430.015767801207</v>
      </c>
      <c r="Z135" s="15">
        <f>IFERROR(INDEX(Cost_Components!$T$2:$T$27,MATCH(E135,Cost_Components!$A$2:$A$27,0)),"")</f>
        <v>0.8</v>
      </c>
      <c r="AA135" s="24">
        <f>IFERROR(INDEX(Cost_Components!$U$2:$U$27,MATCH(E135,Cost_Components!$A$2:$A$27,0)),"")</f>
        <v>2025</v>
      </c>
      <c r="AB135" s="24">
        <f>IFERROR(INDEX(Cost_Components!$V$2:$V$27,MATCH(E135,Cost_Components!$A$2:$A$27,0)),"")</f>
        <v>2050</v>
      </c>
      <c r="AC135" s="24">
        <f>IFERROR(INDEX(Cost_Components!$M$2:$M$27,MATCH(E135,Cost_Components!$A$2:$A$27,0)),"")</f>
        <v>0</v>
      </c>
      <c r="AD135" s="24">
        <f>IFERROR(INDEX(Cost_Components!$N$2:$N$27,MATCH(E135,Cost_Components!$A$2:$A$27,0)),"")</f>
        <v>95</v>
      </c>
      <c r="AE135" s="14" t="str">
        <f>IFERROR(INDEX(Cost_Components!$O$2:$O$27,MATCH(E135,Cost_Components!$A$2:$A$27,0)),"")</f>
        <v>Both</v>
      </c>
      <c r="AF135" s="11">
        <v>83884.056020334494</v>
      </c>
      <c r="AG135" s="11">
        <v>83387.072966053194</v>
      </c>
      <c r="AH135" s="21">
        <f t="shared" si="29"/>
        <v>1</v>
      </c>
    </row>
    <row r="136" spans="1:34" hidden="1">
      <c r="A136" t="s">
        <v>197</v>
      </c>
      <c r="B136" s="18">
        <v>2029</v>
      </c>
      <c r="C136" t="s">
        <v>197</v>
      </c>
      <c r="D136" t="s">
        <v>187</v>
      </c>
      <c r="E136" s="20" t="s">
        <v>269</v>
      </c>
      <c r="F136" s="20" t="s">
        <v>270</v>
      </c>
      <c r="G136" s="20" t="s">
        <v>198</v>
      </c>
      <c r="H136" s="20" t="s">
        <v>192</v>
      </c>
      <c r="I136" s="20" t="s">
        <v>264</v>
      </c>
      <c r="J136" s="15">
        <f>IFERROR(INDEX(Cost_Components!$K$2:$K$27,MATCH(E136,Cost_Components!$A$2:$A$27,0)),"")</f>
        <v>1</v>
      </c>
      <c r="K136" s="15">
        <f t="shared" si="20"/>
        <v>0.40423076923076923</v>
      </c>
      <c r="L136" s="15">
        <f>IFERROR(INDEX(Cost_Components!$S$2:$S$27,MATCH(E136,Cost_Components!$A$2:$A$27,0)),"")</f>
        <v>0.31</v>
      </c>
      <c r="M136" s="26">
        <f>IFERROR(INDEX(Cost_Components!$L$2:$L$27,MATCH(E136,Cost_Components!$A$2:$A$27,0)),"")</f>
        <v>1</v>
      </c>
      <c r="N136" s="27">
        <f>IFERROR(INDEX(Cost_Components!$P$2:$P$27,MATCH(E136,Cost_Components!$A$2:$A$27,0)),"")</f>
        <v>5.133311</v>
      </c>
      <c r="O136" s="21">
        <f t="shared" si="21"/>
        <v>85766.409405486906</v>
      </c>
      <c r="P136" s="21">
        <f t="shared" si="22"/>
        <v>85049.897381939096</v>
      </c>
      <c r="Q136" s="21">
        <f t="shared" si="23"/>
        <v>135342.14787166953</v>
      </c>
      <c r="R136" s="21">
        <f t="shared" si="24"/>
        <v>177968.92351004059</v>
      </c>
      <c r="S136" s="21">
        <f t="shared" si="25"/>
        <v>42626.775638371066</v>
      </c>
      <c r="T136" s="14">
        <f>IFERROR(INDEX(Cost_Components!$R$2:$R$27,MATCH(E136,Cost_Components!$A$2:$A$27,0)),"")</f>
        <v>1</v>
      </c>
      <c r="U136" s="24">
        <f>IFERROR(INDEX(Cost_Components!$Q$2:$Q$27,MATCH(E136,Cost_Components!$A$2:$A$27,0)),"")</f>
        <v>2023</v>
      </c>
      <c r="V136" s="28">
        <f>1/(1+Calculation_Assumptions!$B$5)^(B136-Calculation_Assumptions!$B$2)</f>
        <v>0.888487047915689</v>
      </c>
      <c r="W136" s="21">
        <f t="shared" si="26"/>
        <v>120249.74542106831</v>
      </c>
      <c r="X136" s="21">
        <f t="shared" si="27"/>
        <v>158123.08347016902</v>
      </c>
      <c r="Y136" s="21">
        <f t="shared" si="28"/>
        <v>37873.338049100719</v>
      </c>
      <c r="Z136" s="15">
        <f>IFERROR(INDEX(Cost_Components!$T$2:$T$27,MATCH(E136,Cost_Components!$A$2:$A$27,0)),"")</f>
        <v>0.8</v>
      </c>
      <c r="AA136" s="24">
        <f>IFERROR(INDEX(Cost_Components!$U$2:$U$27,MATCH(E136,Cost_Components!$A$2:$A$27,0)),"")</f>
        <v>2025</v>
      </c>
      <c r="AB136" s="24">
        <f>IFERROR(INDEX(Cost_Components!$V$2:$V$27,MATCH(E136,Cost_Components!$A$2:$A$27,0)),"")</f>
        <v>2050</v>
      </c>
      <c r="AC136" s="24">
        <f>IFERROR(INDEX(Cost_Components!$M$2:$M$27,MATCH(E136,Cost_Components!$A$2:$A$27,0)),"")</f>
        <v>0</v>
      </c>
      <c r="AD136" s="24">
        <f>IFERROR(INDEX(Cost_Components!$N$2:$N$27,MATCH(E136,Cost_Components!$A$2:$A$27,0)),"")</f>
        <v>95</v>
      </c>
      <c r="AE136" s="14" t="str">
        <f>IFERROR(INDEX(Cost_Components!$O$2:$O$27,MATCH(E136,Cost_Components!$A$2:$A$27,0)),"")</f>
        <v>Both</v>
      </c>
      <c r="AF136" s="11">
        <v>85766.409405486906</v>
      </c>
      <c r="AG136" s="11">
        <v>85049.897381939096</v>
      </c>
      <c r="AH136" s="21">
        <f t="shared" si="29"/>
        <v>1</v>
      </c>
    </row>
    <row r="137" spans="1:34" hidden="1">
      <c r="A137" t="s">
        <v>197</v>
      </c>
      <c r="B137" s="18">
        <v>2030</v>
      </c>
      <c r="C137" t="s">
        <v>197</v>
      </c>
      <c r="D137" t="s">
        <v>187</v>
      </c>
      <c r="E137" s="20" t="s">
        <v>269</v>
      </c>
      <c r="F137" s="20" t="s">
        <v>270</v>
      </c>
      <c r="G137" s="20" t="s">
        <v>198</v>
      </c>
      <c r="H137" s="20" t="s">
        <v>192</v>
      </c>
      <c r="I137" s="20" t="s">
        <v>264</v>
      </c>
      <c r="J137" s="15">
        <f>IFERROR(INDEX(Cost_Components!$K$2:$K$27,MATCH(E137,Cost_Components!$A$2:$A$27,0)),"")</f>
        <v>1</v>
      </c>
      <c r="K137" s="15">
        <f t="shared" si="20"/>
        <v>0.42307692307692307</v>
      </c>
      <c r="L137" s="15">
        <f>IFERROR(INDEX(Cost_Components!$S$2:$S$27,MATCH(E137,Cost_Components!$A$2:$A$27,0)),"")</f>
        <v>0.31</v>
      </c>
      <c r="M137" s="26">
        <f>IFERROR(INDEX(Cost_Components!$L$2:$L$27,MATCH(E137,Cost_Components!$A$2:$A$27,0)),"")</f>
        <v>1</v>
      </c>
      <c r="N137" s="27">
        <f>IFERROR(INDEX(Cost_Components!$P$2:$P$27,MATCH(E137,Cost_Components!$A$2:$A$27,0)),"")</f>
        <v>5.133311</v>
      </c>
      <c r="O137" s="21">
        <f t="shared" si="21"/>
        <v>87640.261043407299</v>
      </c>
      <c r="P137" s="21">
        <f t="shared" si="22"/>
        <v>86672.837931488</v>
      </c>
      <c r="Q137" s="21">
        <f t="shared" si="23"/>
        <v>137924.77603002661</v>
      </c>
      <c r="R137" s="21">
        <f t="shared" si="24"/>
        <v>190335.84140872827</v>
      </c>
      <c r="S137" s="21">
        <f t="shared" si="25"/>
        <v>52411.065378701664</v>
      </c>
      <c r="T137" s="14">
        <f>IFERROR(INDEX(Cost_Components!$R$2:$R$27,MATCH(E137,Cost_Components!$A$2:$A$27,0)),"")</f>
        <v>1</v>
      </c>
      <c r="U137" s="24">
        <f>IFERROR(INDEX(Cost_Components!$Q$2:$Q$27,MATCH(E137,Cost_Components!$A$2:$A$27,0)),"")</f>
        <v>2023</v>
      </c>
      <c r="V137" s="28">
        <f>1/(1+Calculation_Assumptions!$B$5)^(B137-Calculation_Assumptions!$B$2)</f>
        <v>0.86260878438416411</v>
      </c>
      <c r="W137" s="21">
        <f t="shared" si="26"/>
        <v>118975.12338771934</v>
      </c>
      <c r="X137" s="21">
        <f t="shared" si="27"/>
        <v>164185.36878232015</v>
      </c>
      <c r="Y137" s="21">
        <f t="shared" si="28"/>
        <v>45210.245394600788</v>
      </c>
      <c r="Z137" s="15">
        <f>IFERROR(INDEX(Cost_Components!$T$2:$T$27,MATCH(E137,Cost_Components!$A$2:$A$27,0)),"")</f>
        <v>0.8</v>
      </c>
      <c r="AA137" s="24">
        <f>IFERROR(INDEX(Cost_Components!$U$2:$U$27,MATCH(E137,Cost_Components!$A$2:$A$27,0)),"")</f>
        <v>2025</v>
      </c>
      <c r="AB137" s="24">
        <f>IFERROR(INDEX(Cost_Components!$V$2:$V$27,MATCH(E137,Cost_Components!$A$2:$A$27,0)),"")</f>
        <v>2050</v>
      </c>
      <c r="AC137" s="24">
        <f>IFERROR(INDEX(Cost_Components!$M$2:$M$27,MATCH(E137,Cost_Components!$A$2:$A$27,0)),"")</f>
        <v>0</v>
      </c>
      <c r="AD137" s="24">
        <f>IFERROR(INDEX(Cost_Components!$N$2:$N$27,MATCH(E137,Cost_Components!$A$2:$A$27,0)),"")</f>
        <v>95</v>
      </c>
      <c r="AE137" s="14" t="str">
        <f>IFERROR(INDEX(Cost_Components!$O$2:$O$27,MATCH(E137,Cost_Components!$A$2:$A$27,0)),"")</f>
        <v>Both</v>
      </c>
      <c r="AF137" s="11">
        <v>87640.261043407299</v>
      </c>
      <c r="AG137" s="11">
        <v>86672.837931488</v>
      </c>
      <c r="AH137" s="21">
        <f t="shared" si="29"/>
        <v>1</v>
      </c>
    </row>
    <row r="138" spans="1:34" hidden="1">
      <c r="A138" t="s">
        <v>197</v>
      </c>
      <c r="B138" s="18">
        <v>2031</v>
      </c>
      <c r="C138" t="s">
        <v>197</v>
      </c>
      <c r="D138" t="s">
        <v>187</v>
      </c>
      <c r="E138" s="20" t="s">
        <v>269</v>
      </c>
      <c r="F138" s="20" t="s">
        <v>270</v>
      </c>
      <c r="G138" s="20" t="s">
        <v>198</v>
      </c>
      <c r="H138" s="20" t="s">
        <v>192</v>
      </c>
      <c r="I138" s="20" t="s">
        <v>264</v>
      </c>
      <c r="J138" s="15">
        <f>IFERROR(INDEX(Cost_Components!$K$2:$K$27,MATCH(E138,Cost_Components!$A$2:$A$27,0)),"")</f>
        <v>1</v>
      </c>
      <c r="K138" s="15">
        <f t="shared" si="20"/>
        <v>0.44192307692307692</v>
      </c>
      <c r="L138" s="15">
        <f>IFERROR(INDEX(Cost_Components!$S$2:$S$27,MATCH(E138,Cost_Components!$A$2:$A$27,0)),"")</f>
        <v>0.31</v>
      </c>
      <c r="M138" s="26">
        <f>IFERROR(INDEX(Cost_Components!$L$2:$L$27,MATCH(E138,Cost_Components!$A$2:$A$27,0)),"")</f>
        <v>1</v>
      </c>
      <c r="N138" s="27">
        <f>IFERROR(INDEX(Cost_Components!$P$2:$P$27,MATCH(E138,Cost_Components!$A$2:$A$27,0)),"")</f>
        <v>5.133311</v>
      </c>
      <c r="O138" s="21">
        <f t="shared" si="21"/>
        <v>89509.071478982194</v>
      </c>
      <c r="P138" s="21">
        <f t="shared" si="22"/>
        <v>88261.326534887907</v>
      </c>
      <c r="Q138" s="21">
        <f t="shared" si="23"/>
        <v>140452.57989660092</v>
      </c>
      <c r="R138" s="21">
        <f t="shared" si="24"/>
        <v>203053.88788655752</v>
      </c>
      <c r="S138" s="21">
        <f t="shared" si="25"/>
        <v>62601.307989956607</v>
      </c>
      <c r="T138" s="14">
        <f>IFERROR(INDEX(Cost_Components!$R$2:$R$27,MATCH(E138,Cost_Components!$A$2:$A$27,0)),"")</f>
        <v>1</v>
      </c>
      <c r="U138" s="24">
        <f>IFERROR(INDEX(Cost_Components!$Q$2:$Q$27,MATCH(E138,Cost_Components!$A$2:$A$27,0)),"")</f>
        <v>2023</v>
      </c>
      <c r="V138" s="28">
        <f>1/(1+Calculation_Assumptions!$B$5)^(B138-Calculation_Assumptions!$B$2)</f>
        <v>0.83748425668365445</v>
      </c>
      <c r="W138" s="21">
        <f t="shared" si="26"/>
        <v>117626.82447400641</v>
      </c>
      <c r="X138" s="21">
        <f t="shared" si="27"/>
        <v>170054.43436339975</v>
      </c>
      <c r="Y138" s="21">
        <f t="shared" si="28"/>
        <v>52427.60988939333</v>
      </c>
      <c r="Z138" s="15">
        <f>IFERROR(INDEX(Cost_Components!$T$2:$T$27,MATCH(E138,Cost_Components!$A$2:$A$27,0)),"")</f>
        <v>0.8</v>
      </c>
      <c r="AA138" s="24">
        <f>IFERROR(INDEX(Cost_Components!$U$2:$U$27,MATCH(E138,Cost_Components!$A$2:$A$27,0)),"")</f>
        <v>2025</v>
      </c>
      <c r="AB138" s="24">
        <f>IFERROR(INDEX(Cost_Components!$V$2:$V$27,MATCH(E138,Cost_Components!$A$2:$A$27,0)),"")</f>
        <v>2050</v>
      </c>
      <c r="AC138" s="24">
        <f>IFERROR(INDEX(Cost_Components!$M$2:$M$27,MATCH(E138,Cost_Components!$A$2:$A$27,0)),"")</f>
        <v>0</v>
      </c>
      <c r="AD138" s="24">
        <f>IFERROR(INDEX(Cost_Components!$N$2:$N$27,MATCH(E138,Cost_Components!$A$2:$A$27,0)),"")</f>
        <v>95</v>
      </c>
      <c r="AE138" s="14" t="str">
        <f>IFERROR(INDEX(Cost_Components!$O$2:$O$27,MATCH(E138,Cost_Components!$A$2:$A$27,0)),"")</f>
        <v>Both</v>
      </c>
      <c r="AF138" s="11">
        <v>89509.071478982194</v>
      </c>
      <c r="AG138" s="11">
        <v>88261.326534887907</v>
      </c>
      <c r="AH138" s="21">
        <f t="shared" si="29"/>
        <v>1</v>
      </c>
    </row>
    <row r="139" spans="1:34" hidden="1">
      <c r="A139" t="s">
        <v>197</v>
      </c>
      <c r="B139" s="18">
        <v>2032</v>
      </c>
      <c r="C139" t="s">
        <v>197</v>
      </c>
      <c r="D139" t="s">
        <v>187</v>
      </c>
      <c r="E139" s="20" t="s">
        <v>269</v>
      </c>
      <c r="F139" s="20" t="s">
        <v>270</v>
      </c>
      <c r="G139" s="20" t="s">
        <v>198</v>
      </c>
      <c r="H139" s="20" t="s">
        <v>192</v>
      </c>
      <c r="I139" s="20" t="s">
        <v>264</v>
      </c>
      <c r="J139" s="15">
        <f>IFERROR(INDEX(Cost_Components!$K$2:$K$27,MATCH(E139,Cost_Components!$A$2:$A$27,0)),"")</f>
        <v>1</v>
      </c>
      <c r="K139" s="15">
        <f t="shared" si="20"/>
        <v>0.46076923076923082</v>
      </c>
      <c r="L139" s="15">
        <f>IFERROR(INDEX(Cost_Components!$S$2:$S$27,MATCH(E139,Cost_Components!$A$2:$A$27,0)),"")</f>
        <v>0.31</v>
      </c>
      <c r="M139" s="26">
        <f>IFERROR(INDEX(Cost_Components!$L$2:$L$27,MATCH(E139,Cost_Components!$A$2:$A$27,0)),"")</f>
        <v>1</v>
      </c>
      <c r="N139" s="27">
        <f>IFERROR(INDEX(Cost_Components!$P$2:$P$27,MATCH(E139,Cost_Components!$A$2:$A$27,0)),"")</f>
        <v>5.133311</v>
      </c>
      <c r="O139" s="21">
        <f t="shared" si="21"/>
        <v>91380.323028168103</v>
      </c>
      <c r="P139" s="21">
        <f t="shared" si="22"/>
        <v>89824.839885340101</v>
      </c>
      <c r="Q139" s="21">
        <f t="shared" si="23"/>
        <v>142940.63998356307</v>
      </c>
      <c r="R139" s="21">
        <f t="shared" si="24"/>
        <v>216139.29754849628</v>
      </c>
      <c r="S139" s="21">
        <f t="shared" si="25"/>
        <v>73198.657564933208</v>
      </c>
      <c r="T139" s="14">
        <f>IFERROR(INDEX(Cost_Components!$R$2:$R$27,MATCH(E139,Cost_Components!$A$2:$A$27,0)),"")</f>
        <v>1</v>
      </c>
      <c r="U139" s="24">
        <f>IFERROR(INDEX(Cost_Components!$Q$2:$Q$27,MATCH(E139,Cost_Components!$A$2:$A$27,0)),"")</f>
        <v>2023</v>
      </c>
      <c r="V139" s="28">
        <f>1/(1+Calculation_Assumptions!$B$5)^(B139-Calculation_Assumptions!$B$2)</f>
        <v>0.81309151134335378</v>
      </c>
      <c r="W139" s="21">
        <f t="shared" si="26"/>
        <v>116223.82099662152</v>
      </c>
      <c r="X139" s="21">
        <f t="shared" si="27"/>
        <v>175741.02810439767</v>
      </c>
      <c r="Y139" s="21">
        <f t="shared" si="28"/>
        <v>59517.207107776157</v>
      </c>
      <c r="Z139" s="15">
        <f>IFERROR(INDEX(Cost_Components!$T$2:$T$27,MATCH(E139,Cost_Components!$A$2:$A$27,0)),"")</f>
        <v>0.8</v>
      </c>
      <c r="AA139" s="24">
        <f>IFERROR(INDEX(Cost_Components!$U$2:$U$27,MATCH(E139,Cost_Components!$A$2:$A$27,0)),"")</f>
        <v>2025</v>
      </c>
      <c r="AB139" s="24">
        <f>IFERROR(INDEX(Cost_Components!$V$2:$V$27,MATCH(E139,Cost_Components!$A$2:$A$27,0)),"")</f>
        <v>2050</v>
      </c>
      <c r="AC139" s="24">
        <f>IFERROR(INDEX(Cost_Components!$M$2:$M$27,MATCH(E139,Cost_Components!$A$2:$A$27,0)),"")</f>
        <v>0</v>
      </c>
      <c r="AD139" s="24">
        <f>IFERROR(INDEX(Cost_Components!$N$2:$N$27,MATCH(E139,Cost_Components!$A$2:$A$27,0)),"")</f>
        <v>95</v>
      </c>
      <c r="AE139" s="14" t="str">
        <f>IFERROR(INDEX(Cost_Components!$O$2:$O$27,MATCH(E139,Cost_Components!$A$2:$A$27,0)),"")</f>
        <v>Both</v>
      </c>
      <c r="AF139" s="11">
        <v>91380.323028168103</v>
      </c>
      <c r="AG139" s="11">
        <v>89824.839885340101</v>
      </c>
      <c r="AH139" s="21">
        <f t="shared" si="29"/>
        <v>1</v>
      </c>
    </row>
    <row r="140" spans="1:34" hidden="1">
      <c r="A140" t="s">
        <v>197</v>
      </c>
      <c r="B140" s="18">
        <v>2033</v>
      </c>
      <c r="C140" t="s">
        <v>197</v>
      </c>
      <c r="D140" t="s">
        <v>187</v>
      </c>
      <c r="E140" s="20" t="s">
        <v>269</v>
      </c>
      <c r="F140" s="20" t="s">
        <v>270</v>
      </c>
      <c r="G140" s="20" t="s">
        <v>198</v>
      </c>
      <c r="H140" s="20" t="s">
        <v>192</v>
      </c>
      <c r="I140" s="20" t="s">
        <v>264</v>
      </c>
      <c r="J140" s="15">
        <f>IFERROR(INDEX(Cost_Components!$K$2:$K$27,MATCH(E140,Cost_Components!$A$2:$A$27,0)),"")</f>
        <v>1</v>
      </c>
      <c r="K140" s="15">
        <f t="shared" si="20"/>
        <v>0.47961538461538467</v>
      </c>
      <c r="L140" s="15">
        <f>IFERROR(INDEX(Cost_Components!$S$2:$S$27,MATCH(E140,Cost_Components!$A$2:$A$27,0)),"")</f>
        <v>0.31</v>
      </c>
      <c r="M140" s="26">
        <f>IFERROR(INDEX(Cost_Components!$L$2:$L$27,MATCH(E140,Cost_Components!$A$2:$A$27,0)),"")</f>
        <v>1</v>
      </c>
      <c r="N140" s="27">
        <f>IFERROR(INDEX(Cost_Components!$P$2:$P$27,MATCH(E140,Cost_Components!$A$2:$A$27,0)),"")</f>
        <v>5.133311</v>
      </c>
      <c r="O140" s="21">
        <f t="shared" si="21"/>
        <v>93262.288590283599</v>
      </c>
      <c r="P140" s="21">
        <f t="shared" si="22"/>
        <v>91373.697993231603</v>
      </c>
      <c r="Q140" s="21">
        <f t="shared" si="23"/>
        <v>145405.37879599346</v>
      </c>
      <c r="R140" s="21">
        <f t="shared" si="24"/>
        <v>229613.14687937679</v>
      </c>
      <c r="S140" s="21">
        <f t="shared" si="25"/>
        <v>84207.768083383329</v>
      </c>
      <c r="T140" s="14">
        <f>IFERROR(INDEX(Cost_Components!$R$2:$R$27,MATCH(E140,Cost_Components!$A$2:$A$27,0)),"")</f>
        <v>1</v>
      </c>
      <c r="U140" s="24">
        <f>IFERROR(INDEX(Cost_Components!$Q$2:$Q$27,MATCH(E140,Cost_Components!$A$2:$A$27,0)),"")</f>
        <v>2023</v>
      </c>
      <c r="V140" s="28">
        <f>1/(1+Calculation_Assumptions!$B$5)^(B140-Calculation_Assumptions!$B$2)</f>
        <v>0.78940923431393573</v>
      </c>
      <c r="W140" s="21">
        <f t="shared" si="26"/>
        <v>114784.34874047298</v>
      </c>
      <c r="X140" s="21">
        <f t="shared" si="27"/>
        <v>181258.73846646209</v>
      </c>
      <c r="Y140" s="21">
        <f t="shared" si="28"/>
        <v>66474.389725989109</v>
      </c>
      <c r="Z140" s="15">
        <f>IFERROR(INDEX(Cost_Components!$T$2:$T$27,MATCH(E140,Cost_Components!$A$2:$A$27,0)),"")</f>
        <v>0.8</v>
      </c>
      <c r="AA140" s="24">
        <f>IFERROR(INDEX(Cost_Components!$U$2:$U$27,MATCH(E140,Cost_Components!$A$2:$A$27,0)),"")</f>
        <v>2025</v>
      </c>
      <c r="AB140" s="24">
        <f>IFERROR(INDEX(Cost_Components!$V$2:$V$27,MATCH(E140,Cost_Components!$A$2:$A$27,0)),"")</f>
        <v>2050</v>
      </c>
      <c r="AC140" s="24">
        <f>IFERROR(INDEX(Cost_Components!$M$2:$M$27,MATCH(E140,Cost_Components!$A$2:$A$27,0)),"")</f>
        <v>0</v>
      </c>
      <c r="AD140" s="24">
        <f>IFERROR(INDEX(Cost_Components!$N$2:$N$27,MATCH(E140,Cost_Components!$A$2:$A$27,0)),"")</f>
        <v>95</v>
      </c>
      <c r="AE140" s="14" t="str">
        <f>IFERROR(INDEX(Cost_Components!$O$2:$O$27,MATCH(E140,Cost_Components!$A$2:$A$27,0)),"")</f>
        <v>Both</v>
      </c>
      <c r="AF140" s="11">
        <v>93262.288590283599</v>
      </c>
      <c r="AG140" s="11">
        <v>91373.697993231603</v>
      </c>
      <c r="AH140" s="21">
        <f t="shared" si="29"/>
        <v>1</v>
      </c>
    </row>
    <row r="141" spans="1:34" hidden="1">
      <c r="A141" t="s">
        <v>197</v>
      </c>
      <c r="B141" s="18">
        <v>2034</v>
      </c>
      <c r="C141" t="s">
        <v>197</v>
      </c>
      <c r="D141" t="s">
        <v>187</v>
      </c>
      <c r="E141" s="20" t="s">
        <v>269</v>
      </c>
      <c r="F141" s="20" t="s">
        <v>270</v>
      </c>
      <c r="G141" s="20" t="s">
        <v>198</v>
      </c>
      <c r="H141" s="20" t="s">
        <v>192</v>
      </c>
      <c r="I141" s="20" t="s">
        <v>264</v>
      </c>
      <c r="J141" s="15">
        <f>IFERROR(INDEX(Cost_Components!$K$2:$K$27,MATCH(E141,Cost_Components!$A$2:$A$27,0)),"")</f>
        <v>1</v>
      </c>
      <c r="K141" s="15">
        <f t="shared" si="20"/>
        <v>0.49846153846153851</v>
      </c>
      <c r="L141" s="15">
        <f>IFERROR(INDEX(Cost_Components!$S$2:$S$27,MATCH(E141,Cost_Components!$A$2:$A$27,0)),"")</f>
        <v>0.31</v>
      </c>
      <c r="M141" s="26">
        <f>IFERROR(INDEX(Cost_Components!$L$2:$L$27,MATCH(E141,Cost_Components!$A$2:$A$27,0)),"")</f>
        <v>1</v>
      </c>
      <c r="N141" s="27">
        <f>IFERROR(INDEX(Cost_Components!$P$2:$P$27,MATCH(E141,Cost_Components!$A$2:$A$27,0)),"")</f>
        <v>5.133311</v>
      </c>
      <c r="O141" s="21">
        <f t="shared" si="21"/>
        <v>95159.433681224094</v>
      </c>
      <c r="P141" s="21">
        <f t="shared" si="22"/>
        <v>92913.992066664694</v>
      </c>
      <c r="Q141" s="21">
        <f t="shared" si="23"/>
        <v>147856.48943421402</v>
      </c>
      <c r="R141" s="21">
        <f t="shared" si="24"/>
        <v>243489.97157684586</v>
      </c>
      <c r="S141" s="21">
        <f t="shared" si="25"/>
        <v>95633.482142631838</v>
      </c>
      <c r="T141" s="14">
        <f>IFERROR(INDEX(Cost_Components!$R$2:$R$27,MATCH(E141,Cost_Components!$A$2:$A$27,0)),"")</f>
        <v>1</v>
      </c>
      <c r="U141" s="24">
        <f>IFERROR(INDEX(Cost_Components!$Q$2:$Q$27,MATCH(E141,Cost_Components!$A$2:$A$27,0)),"")</f>
        <v>2023</v>
      </c>
      <c r="V141" s="28">
        <f>1/(1+Calculation_Assumptions!$B$5)^(B141-Calculation_Assumptions!$B$2)</f>
        <v>0.76641673234362695</v>
      </c>
      <c r="W141" s="21">
        <f t="shared" si="26"/>
        <v>113319.68748797031</v>
      </c>
      <c r="X141" s="21">
        <f t="shared" si="27"/>
        <v>186614.7883743688</v>
      </c>
      <c r="Y141" s="21">
        <f t="shared" si="28"/>
        <v>73295.10088639849</v>
      </c>
      <c r="Z141" s="15">
        <f>IFERROR(INDEX(Cost_Components!$T$2:$T$27,MATCH(E141,Cost_Components!$A$2:$A$27,0)),"")</f>
        <v>0.8</v>
      </c>
      <c r="AA141" s="24">
        <f>IFERROR(INDEX(Cost_Components!$U$2:$U$27,MATCH(E141,Cost_Components!$A$2:$A$27,0)),"")</f>
        <v>2025</v>
      </c>
      <c r="AB141" s="24">
        <f>IFERROR(INDEX(Cost_Components!$V$2:$V$27,MATCH(E141,Cost_Components!$A$2:$A$27,0)),"")</f>
        <v>2050</v>
      </c>
      <c r="AC141" s="24">
        <f>IFERROR(INDEX(Cost_Components!$M$2:$M$27,MATCH(E141,Cost_Components!$A$2:$A$27,0)),"")</f>
        <v>0</v>
      </c>
      <c r="AD141" s="24">
        <f>IFERROR(INDEX(Cost_Components!$N$2:$N$27,MATCH(E141,Cost_Components!$A$2:$A$27,0)),"")</f>
        <v>95</v>
      </c>
      <c r="AE141" s="14" t="str">
        <f>IFERROR(INDEX(Cost_Components!$O$2:$O$27,MATCH(E141,Cost_Components!$A$2:$A$27,0)),"")</f>
        <v>Both</v>
      </c>
      <c r="AF141" s="11">
        <v>95159.433681224094</v>
      </c>
      <c r="AG141" s="11">
        <v>92913.992066664694</v>
      </c>
      <c r="AH141" s="21">
        <f t="shared" si="29"/>
        <v>1</v>
      </c>
    </row>
    <row r="142" spans="1:34" hidden="1">
      <c r="A142" t="s">
        <v>197</v>
      </c>
      <c r="B142" s="18">
        <v>2035</v>
      </c>
      <c r="C142" t="s">
        <v>197</v>
      </c>
      <c r="D142" t="s">
        <v>187</v>
      </c>
      <c r="E142" s="20" t="s">
        <v>269</v>
      </c>
      <c r="F142" s="20" t="s">
        <v>270</v>
      </c>
      <c r="G142" s="20" t="s">
        <v>198</v>
      </c>
      <c r="H142" s="20" t="s">
        <v>192</v>
      </c>
      <c r="I142" s="20" t="s">
        <v>264</v>
      </c>
      <c r="J142" s="15">
        <f>IFERROR(INDEX(Cost_Components!$K$2:$K$27,MATCH(E142,Cost_Components!$A$2:$A$27,0)),"")</f>
        <v>1</v>
      </c>
      <c r="K142" s="15">
        <f t="shared" si="20"/>
        <v>0.51730769230769236</v>
      </c>
      <c r="L142" s="15">
        <f>IFERROR(INDEX(Cost_Components!$S$2:$S$27,MATCH(E142,Cost_Components!$A$2:$A$27,0)),"")</f>
        <v>0.31</v>
      </c>
      <c r="M142" s="26">
        <f>IFERROR(INDEX(Cost_Components!$L$2:$L$27,MATCH(E142,Cost_Components!$A$2:$A$27,0)),"")</f>
        <v>1</v>
      </c>
      <c r="N142" s="27">
        <f>IFERROR(INDEX(Cost_Components!$P$2:$P$27,MATCH(E142,Cost_Components!$A$2:$A$27,0)),"")</f>
        <v>5.133311</v>
      </c>
      <c r="O142" s="21">
        <f t="shared" si="21"/>
        <v>97077.514564016295</v>
      </c>
      <c r="P142" s="21">
        <f t="shared" si="22"/>
        <v>94452.800261580502</v>
      </c>
      <c r="Q142" s="21">
        <f t="shared" si="23"/>
        <v>150305.23555470796</v>
      </c>
      <c r="R142" s="21">
        <f t="shared" si="24"/>
        <v>257789.46295182625</v>
      </c>
      <c r="S142" s="21">
        <f t="shared" si="25"/>
        <v>107484.22739711829</v>
      </c>
      <c r="T142" s="14">
        <f>IFERROR(INDEX(Cost_Components!$R$2:$R$27,MATCH(E142,Cost_Components!$A$2:$A$27,0)),"")</f>
        <v>1</v>
      </c>
      <c r="U142" s="24">
        <f>IFERROR(INDEX(Cost_Components!$Q$2:$Q$27,MATCH(E142,Cost_Components!$A$2:$A$27,0)),"")</f>
        <v>2023</v>
      </c>
      <c r="V142" s="28">
        <f>1/(1+Calculation_Assumptions!$B$5)^(B142-Calculation_Assumptions!$B$2)</f>
        <v>0.74409391489672516</v>
      </c>
      <c r="W142" s="21">
        <f t="shared" si="26"/>
        <v>111841.21115337709</v>
      </c>
      <c r="X142" s="21">
        <f t="shared" si="27"/>
        <v>191819.5707069487</v>
      </c>
      <c r="Y142" s="21">
        <f t="shared" si="28"/>
        <v>79978.359553571587</v>
      </c>
      <c r="Z142" s="15">
        <f>IFERROR(INDEX(Cost_Components!$T$2:$T$27,MATCH(E142,Cost_Components!$A$2:$A$27,0)),"")</f>
        <v>0.8</v>
      </c>
      <c r="AA142" s="24">
        <f>IFERROR(INDEX(Cost_Components!$U$2:$U$27,MATCH(E142,Cost_Components!$A$2:$A$27,0)),"")</f>
        <v>2025</v>
      </c>
      <c r="AB142" s="24">
        <f>IFERROR(INDEX(Cost_Components!$V$2:$V$27,MATCH(E142,Cost_Components!$A$2:$A$27,0)),"")</f>
        <v>2050</v>
      </c>
      <c r="AC142" s="24">
        <f>IFERROR(INDEX(Cost_Components!$M$2:$M$27,MATCH(E142,Cost_Components!$A$2:$A$27,0)),"")</f>
        <v>0</v>
      </c>
      <c r="AD142" s="24">
        <f>IFERROR(INDEX(Cost_Components!$N$2:$N$27,MATCH(E142,Cost_Components!$A$2:$A$27,0)),"")</f>
        <v>95</v>
      </c>
      <c r="AE142" s="14" t="str">
        <f>IFERROR(INDEX(Cost_Components!$O$2:$O$27,MATCH(E142,Cost_Components!$A$2:$A$27,0)),"")</f>
        <v>Both</v>
      </c>
      <c r="AF142" s="11">
        <v>97077.514564016295</v>
      </c>
      <c r="AG142" s="11">
        <v>94452.800261580502</v>
      </c>
      <c r="AH142" s="21">
        <f t="shared" si="29"/>
        <v>1</v>
      </c>
    </row>
    <row r="143" spans="1:34" hidden="1">
      <c r="A143" t="s">
        <v>197</v>
      </c>
      <c r="B143" s="18">
        <v>2036</v>
      </c>
      <c r="C143" t="s">
        <v>197</v>
      </c>
      <c r="D143" t="s">
        <v>187</v>
      </c>
      <c r="E143" s="20" t="s">
        <v>269</v>
      </c>
      <c r="F143" s="20" t="s">
        <v>270</v>
      </c>
      <c r="G143" s="20" t="s">
        <v>198</v>
      </c>
      <c r="H143" s="20" t="s">
        <v>192</v>
      </c>
      <c r="I143" s="20" t="s">
        <v>264</v>
      </c>
      <c r="J143" s="15">
        <f>IFERROR(INDEX(Cost_Components!$K$2:$K$27,MATCH(E143,Cost_Components!$A$2:$A$27,0)),"")</f>
        <v>1</v>
      </c>
      <c r="K143" s="15">
        <f t="shared" si="20"/>
        <v>0.5361538461538462</v>
      </c>
      <c r="L143" s="15">
        <f>IFERROR(INDEX(Cost_Components!$S$2:$S$27,MATCH(E143,Cost_Components!$A$2:$A$27,0)),"")</f>
        <v>0.31</v>
      </c>
      <c r="M143" s="26">
        <f>IFERROR(INDEX(Cost_Components!$L$2:$L$27,MATCH(E143,Cost_Components!$A$2:$A$27,0)),"")</f>
        <v>1</v>
      </c>
      <c r="N143" s="27">
        <f>IFERROR(INDEX(Cost_Components!$P$2:$P$27,MATCH(E143,Cost_Components!$A$2:$A$27,0)),"")</f>
        <v>5.133311</v>
      </c>
      <c r="O143" s="21">
        <f t="shared" si="21"/>
        <v>99023.258133934607</v>
      </c>
      <c r="P143" s="21">
        <f t="shared" si="22"/>
        <v>95997.909569691896</v>
      </c>
      <c r="Q143" s="21">
        <f t="shared" si="23"/>
        <v>152764.00880304247</v>
      </c>
      <c r="R143" s="21">
        <f t="shared" si="24"/>
        <v>272536.21124894766</v>
      </c>
      <c r="S143" s="21">
        <f t="shared" si="25"/>
        <v>119772.20244590519</v>
      </c>
      <c r="T143" s="14">
        <f>IFERROR(INDEX(Cost_Components!$R$2:$R$27,MATCH(E143,Cost_Components!$A$2:$A$27,0)),"")</f>
        <v>1</v>
      </c>
      <c r="U143" s="24">
        <f>IFERROR(INDEX(Cost_Components!$Q$2:$Q$27,MATCH(E143,Cost_Components!$A$2:$A$27,0)),"")</f>
        <v>2023</v>
      </c>
      <c r="V143" s="28">
        <f>1/(1+Calculation_Assumptions!$B$5)^(B143-Calculation_Assumptions!$B$2)</f>
        <v>0.72242127659876232</v>
      </c>
      <c r="W143" s="21">
        <f t="shared" si="26"/>
        <v>110359.9702578385</v>
      </c>
      <c r="X143" s="21">
        <f t="shared" si="27"/>
        <v>196885.95764985474</v>
      </c>
      <c r="Y143" s="21">
        <f t="shared" si="28"/>
        <v>86525.987392016235</v>
      </c>
      <c r="Z143" s="15">
        <f>IFERROR(INDEX(Cost_Components!$T$2:$T$27,MATCH(E143,Cost_Components!$A$2:$A$27,0)),"")</f>
        <v>0.8</v>
      </c>
      <c r="AA143" s="24">
        <f>IFERROR(INDEX(Cost_Components!$U$2:$U$27,MATCH(E143,Cost_Components!$A$2:$A$27,0)),"")</f>
        <v>2025</v>
      </c>
      <c r="AB143" s="24">
        <f>IFERROR(INDEX(Cost_Components!$V$2:$V$27,MATCH(E143,Cost_Components!$A$2:$A$27,0)),"")</f>
        <v>2050</v>
      </c>
      <c r="AC143" s="24">
        <f>IFERROR(INDEX(Cost_Components!$M$2:$M$27,MATCH(E143,Cost_Components!$A$2:$A$27,0)),"")</f>
        <v>0</v>
      </c>
      <c r="AD143" s="24">
        <f>IFERROR(INDEX(Cost_Components!$N$2:$N$27,MATCH(E143,Cost_Components!$A$2:$A$27,0)),"")</f>
        <v>95</v>
      </c>
      <c r="AE143" s="14" t="str">
        <f>IFERROR(INDEX(Cost_Components!$O$2:$O$27,MATCH(E143,Cost_Components!$A$2:$A$27,0)),"")</f>
        <v>Both</v>
      </c>
      <c r="AF143" s="11">
        <v>99023.258133934607</v>
      </c>
      <c r="AG143" s="11">
        <v>95997.909569691896</v>
      </c>
      <c r="AH143" s="21">
        <f t="shared" si="29"/>
        <v>1</v>
      </c>
    </row>
    <row r="144" spans="1:34" hidden="1">
      <c r="A144" t="s">
        <v>197</v>
      </c>
      <c r="B144" s="18">
        <v>2037</v>
      </c>
      <c r="C144" t="s">
        <v>197</v>
      </c>
      <c r="D144" t="s">
        <v>187</v>
      </c>
      <c r="E144" s="20" t="s">
        <v>269</v>
      </c>
      <c r="F144" s="20" t="s">
        <v>270</v>
      </c>
      <c r="G144" s="20" t="s">
        <v>198</v>
      </c>
      <c r="H144" s="20" t="s">
        <v>192</v>
      </c>
      <c r="I144" s="20" t="s">
        <v>264</v>
      </c>
      <c r="J144" s="15">
        <f>IFERROR(INDEX(Cost_Components!$K$2:$K$27,MATCH(E144,Cost_Components!$A$2:$A$27,0)),"")</f>
        <v>1</v>
      </c>
      <c r="K144" s="15">
        <f t="shared" si="20"/>
        <v>0.55500000000000005</v>
      </c>
      <c r="L144" s="15">
        <f>IFERROR(INDEX(Cost_Components!$S$2:$S$27,MATCH(E144,Cost_Components!$A$2:$A$27,0)),"")</f>
        <v>0.31</v>
      </c>
      <c r="M144" s="26">
        <f>IFERROR(INDEX(Cost_Components!$L$2:$L$27,MATCH(E144,Cost_Components!$A$2:$A$27,0)),"")</f>
        <v>1</v>
      </c>
      <c r="N144" s="27">
        <f>IFERROR(INDEX(Cost_Components!$P$2:$P$27,MATCH(E144,Cost_Components!$A$2:$A$27,0)),"")</f>
        <v>5.133311</v>
      </c>
      <c r="O144" s="21">
        <f t="shared" si="21"/>
        <v>101003.832817594</v>
      </c>
      <c r="P144" s="21">
        <f t="shared" si="22"/>
        <v>97557.195739179399</v>
      </c>
      <c r="Q144" s="21">
        <f t="shared" si="23"/>
        <v>155245.34206529564</v>
      </c>
      <c r="R144" s="21">
        <f t="shared" si="24"/>
        <v>287758.66775481752</v>
      </c>
      <c r="S144" s="21">
        <f t="shared" si="25"/>
        <v>132513.32568952188</v>
      </c>
      <c r="T144" s="14">
        <f>IFERROR(INDEX(Cost_Components!$R$2:$R$27,MATCH(E144,Cost_Components!$A$2:$A$27,0)),"")</f>
        <v>1</v>
      </c>
      <c r="U144" s="24">
        <f>IFERROR(INDEX(Cost_Components!$Q$2:$Q$27,MATCH(E144,Cost_Components!$A$2:$A$27,0)),"")</f>
        <v>2023</v>
      </c>
      <c r="V144" s="28">
        <f>1/(1+Calculation_Assumptions!$B$5)^(B144-Calculation_Assumptions!$B$2)</f>
        <v>0.70137988019297326</v>
      </c>
      <c r="W144" s="21">
        <f t="shared" si="26"/>
        <v>108885.95941827421</v>
      </c>
      <c r="X144" s="21">
        <f t="shared" si="27"/>
        <v>201828.13991436351</v>
      </c>
      <c r="Y144" s="21">
        <f t="shared" si="28"/>
        <v>92942.180496089306</v>
      </c>
      <c r="Z144" s="15">
        <f>IFERROR(INDEX(Cost_Components!$T$2:$T$27,MATCH(E144,Cost_Components!$A$2:$A$27,0)),"")</f>
        <v>0.8</v>
      </c>
      <c r="AA144" s="24">
        <f>IFERROR(INDEX(Cost_Components!$U$2:$U$27,MATCH(E144,Cost_Components!$A$2:$A$27,0)),"")</f>
        <v>2025</v>
      </c>
      <c r="AB144" s="24">
        <f>IFERROR(INDEX(Cost_Components!$V$2:$V$27,MATCH(E144,Cost_Components!$A$2:$A$27,0)),"")</f>
        <v>2050</v>
      </c>
      <c r="AC144" s="24">
        <f>IFERROR(INDEX(Cost_Components!$M$2:$M$27,MATCH(E144,Cost_Components!$A$2:$A$27,0)),"")</f>
        <v>0</v>
      </c>
      <c r="AD144" s="24">
        <f>IFERROR(INDEX(Cost_Components!$N$2:$N$27,MATCH(E144,Cost_Components!$A$2:$A$27,0)),"")</f>
        <v>95</v>
      </c>
      <c r="AE144" s="14" t="str">
        <f>IFERROR(INDEX(Cost_Components!$O$2:$O$27,MATCH(E144,Cost_Components!$A$2:$A$27,0)),"")</f>
        <v>Both</v>
      </c>
      <c r="AF144" s="11">
        <v>101003.832817594</v>
      </c>
      <c r="AG144" s="11">
        <v>97557.195739179399</v>
      </c>
      <c r="AH144" s="21">
        <f t="shared" si="29"/>
        <v>1</v>
      </c>
    </row>
    <row r="145" spans="1:34" hidden="1">
      <c r="A145" t="s">
        <v>197</v>
      </c>
      <c r="B145" s="18">
        <v>2038</v>
      </c>
      <c r="C145" t="s">
        <v>197</v>
      </c>
      <c r="D145" t="s">
        <v>187</v>
      </c>
      <c r="E145" s="20" t="s">
        <v>269</v>
      </c>
      <c r="F145" s="20" t="s">
        <v>270</v>
      </c>
      <c r="G145" s="20" t="s">
        <v>198</v>
      </c>
      <c r="H145" s="20" t="s">
        <v>192</v>
      </c>
      <c r="I145" s="20" t="s">
        <v>264</v>
      </c>
      <c r="J145" s="15">
        <f>IFERROR(INDEX(Cost_Components!$K$2:$K$27,MATCH(E145,Cost_Components!$A$2:$A$27,0)),"")</f>
        <v>1</v>
      </c>
      <c r="K145" s="15">
        <f t="shared" si="20"/>
        <v>0.57384615384615389</v>
      </c>
      <c r="L145" s="15">
        <f>IFERROR(INDEX(Cost_Components!$S$2:$S$27,MATCH(E145,Cost_Components!$A$2:$A$27,0)),"")</f>
        <v>0.31</v>
      </c>
      <c r="M145" s="26">
        <f>IFERROR(INDEX(Cost_Components!$L$2:$L$27,MATCH(E145,Cost_Components!$A$2:$A$27,0)),"")</f>
        <v>1</v>
      </c>
      <c r="N145" s="27">
        <f>IFERROR(INDEX(Cost_Components!$P$2:$P$27,MATCH(E145,Cost_Components!$A$2:$A$27,0)),"")</f>
        <v>5.133311</v>
      </c>
      <c r="O145" s="21">
        <f t="shared" si="21"/>
        <v>103022.945588046</v>
      </c>
      <c r="P145" s="21">
        <f t="shared" si="22"/>
        <v>99135.037182664295</v>
      </c>
      <c r="Q145" s="21">
        <f t="shared" si="23"/>
        <v>157756.20282510566</v>
      </c>
      <c r="R145" s="21">
        <f t="shared" si="24"/>
        <v>303477.86123098497</v>
      </c>
      <c r="S145" s="21">
        <f t="shared" si="25"/>
        <v>145721.65840587931</v>
      </c>
      <c r="T145" s="14">
        <f>IFERROR(INDEX(Cost_Components!$R$2:$R$27,MATCH(E145,Cost_Components!$A$2:$A$27,0)),"")</f>
        <v>1</v>
      </c>
      <c r="U145" s="24">
        <f>IFERROR(INDEX(Cost_Components!$Q$2:$Q$27,MATCH(E145,Cost_Components!$A$2:$A$27,0)),"")</f>
        <v>2023</v>
      </c>
      <c r="V145" s="28">
        <f>1/(1+Calculation_Assumptions!$B$5)^(B145-Calculation_Assumptions!$B$2)</f>
        <v>0.68095133999317792</v>
      </c>
      <c r="W145" s="21">
        <f t="shared" si="26"/>
        <v>107424.29770599127</v>
      </c>
      <c r="X145" s="21">
        <f t="shared" si="27"/>
        <v>206653.65626350293</v>
      </c>
      <c r="Y145" s="21">
        <f t="shared" si="28"/>
        <v>99229.358557511659</v>
      </c>
      <c r="Z145" s="15">
        <f>IFERROR(INDEX(Cost_Components!$T$2:$T$27,MATCH(E145,Cost_Components!$A$2:$A$27,0)),"")</f>
        <v>0.8</v>
      </c>
      <c r="AA145" s="24">
        <f>IFERROR(INDEX(Cost_Components!$U$2:$U$27,MATCH(E145,Cost_Components!$A$2:$A$27,0)),"")</f>
        <v>2025</v>
      </c>
      <c r="AB145" s="24">
        <f>IFERROR(INDEX(Cost_Components!$V$2:$V$27,MATCH(E145,Cost_Components!$A$2:$A$27,0)),"")</f>
        <v>2050</v>
      </c>
      <c r="AC145" s="24">
        <f>IFERROR(INDEX(Cost_Components!$M$2:$M$27,MATCH(E145,Cost_Components!$A$2:$A$27,0)),"")</f>
        <v>0</v>
      </c>
      <c r="AD145" s="24">
        <f>IFERROR(INDEX(Cost_Components!$N$2:$N$27,MATCH(E145,Cost_Components!$A$2:$A$27,0)),"")</f>
        <v>95</v>
      </c>
      <c r="AE145" s="14" t="str">
        <f>IFERROR(INDEX(Cost_Components!$O$2:$O$27,MATCH(E145,Cost_Components!$A$2:$A$27,0)),"")</f>
        <v>Both</v>
      </c>
      <c r="AF145" s="11">
        <v>103022.945588046</v>
      </c>
      <c r="AG145" s="11">
        <v>99135.037182664295</v>
      </c>
      <c r="AH145" s="21">
        <f t="shared" si="29"/>
        <v>1</v>
      </c>
    </row>
    <row r="146" spans="1:34" hidden="1">
      <c r="A146" t="s">
        <v>197</v>
      </c>
      <c r="B146" s="18">
        <v>2039</v>
      </c>
      <c r="C146" t="s">
        <v>197</v>
      </c>
      <c r="D146" t="s">
        <v>187</v>
      </c>
      <c r="E146" s="20" t="s">
        <v>269</v>
      </c>
      <c r="F146" s="20" t="s">
        <v>270</v>
      </c>
      <c r="G146" s="20" t="s">
        <v>198</v>
      </c>
      <c r="H146" s="20" t="s">
        <v>192</v>
      </c>
      <c r="I146" s="20" t="s">
        <v>264</v>
      </c>
      <c r="J146" s="15">
        <f>IFERROR(INDEX(Cost_Components!$K$2:$K$27,MATCH(E146,Cost_Components!$A$2:$A$27,0)),"")</f>
        <v>1</v>
      </c>
      <c r="K146" s="15">
        <f t="shared" si="20"/>
        <v>0.59269230769230763</v>
      </c>
      <c r="L146" s="15">
        <f>IFERROR(INDEX(Cost_Components!$S$2:$S$27,MATCH(E146,Cost_Components!$A$2:$A$27,0)),"")</f>
        <v>0.31</v>
      </c>
      <c r="M146" s="26">
        <f>IFERROR(INDEX(Cost_Components!$L$2:$L$27,MATCH(E146,Cost_Components!$A$2:$A$27,0)),"")</f>
        <v>1</v>
      </c>
      <c r="N146" s="27">
        <f>IFERROR(INDEX(Cost_Components!$P$2:$P$27,MATCH(E146,Cost_Components!$A$2:$A$27,0)),"")</f>
        <v>5.133311</v>
      </c>
      <c r="O146" s="21">
        <f t="shared" si="21"/>
        <v>105090.566875472</v>
      </c>
      <c r="P146" s="21">
        <f t="shared" si="22"/>
        <v>100742.027695759</v>
      </c>
      <c r="Q146" s="21">
        <f t="shared" si="23"/>
        <v>160313.44926921275</v>
      </c>
      <c r="R146" s="21">
        <f t="shared" si="24"/>
        <v>319735.31134138687</v>
      </c>
      <c r="S146" s="21">
        <f t="shared" si="25"/>
        <v>159421.86207217412</v>
      </c>
      <c r="T146" s="14">
        <f>IFERROR(INDEX(Cost_Components!$R$2:$R$27,MATCH(E146,Cost_Components!$A$2:$A$27,0)),"")</f>
        <v>1</v>
      </c>
      <c r="U146" s="24">
        <f>IFERROR(INDEX(Cost_Components!$Q$2:$Q$27,MATCH(E146,Cost_Components!$A$2:$A$27,0)),"")</f>
        <v>2023</v>
      </c>
      <c r="V146" s="28">
        <f>1/(1+Calculation_Assumptions!$B$5)^(B146-Calculation_Assumptions!$B$2)</f>
        <v>0.66111780581861923</v>
      </c>
      <c r="W146" s="21">
        <f t="shared" si="26"/>
        <v>105986.07582407646</v>
      </c>
      <c r="X146" s="21">
        <f t="shared" si="27"/>
        <v>211382.70747675077</v>
      </c>
      <c r="Y146" s="21">
        <f t="shared" si="28"/>
        <v>105396.6316526743</v>
      </c>
      <c r="Z146" s="15">
        <f>IFERROR(INDEX(Cost_Components!$T$2:$T$27,MATCH(E146,Cost_Components!$A$2:$A$27,0)),"")</f>
        <v>0.8</v>
      </c>
      <c r="AA146" s="24">
        <f>IFERROR(INDEX(Cost_Components!$U$2:$U$27,MATCH(E146,Cost_Components!$A$2:$A$27,0)),"")</f>
        <v>2025</v>
      </c>
      <c r="AB146" s="24">
        <f>IFERROR(INDEX(Cost_Components!$V$2:$V$27,MATCH(E146,Cost_Components!$A$2:$A$27,0)),"")</f>
        <v>2050</v>
      </c>
      <c r="AC146" s="24">
        <f>IFERROR(INDEX(Cost_Components!$M$2:$M$27,MATCH(E146,Cost_Components!$A$2:$A$27,0)),"")</f>
        <v>0</v>
      </c>
      <c r="AD146" s="24">
        <f>IFERROR(INDEX(Cost_Components!$N$2:$N$27,MATCH(E146,Cost_Components!$A$2:$A$27,0)),"")</f>
        <v>95</v>
      </c>
      <c r="AE146" s="14" t="str">
        <f>IFERROR(INDEX(Cost_Components!$O$2:$O$27,MATCH(E146,Cost_Components!$A$2:$A$27,0)),"")</f>
        <v>Both</v>
      </c>
      <c r="AF146" s="11">
        <v>105090.566875472</v>
      </c>
      <c r="AG146" s="11">
        <v>100742.027695759</v>
      </c>
      <c r="AH146" s="21">
        <f t="shared" si="29"/>
        <v>1</v>
      </c>
    </row>
    <row r="147" spans="1:34" hidden="1">
      <c r="A147" t="s">
        <v>197</v>
      </c>
      <c r="B147" s="18">
        <v>2040</v>
      </c>
      <c r="C147" t="s">
        <v>197</v>
      </c>
      <c r="D147" t="s">
        <v>187</v>
      </c>
      <c r="E147" s="20" t="s">
        <v>269</v>
      </c>
      <c r="F147" s="20" t="s">
        <v>270</v>
      </c>
      <c r="G147" s="20" t="s">
        <v>198</v>
      </c>
      <c r="H147" s="20" t="s">
        <v>192</v>
      </c>
      <c r="I147" s="20" t="s">
        <v>264</v>
      </c>
      <c r="J147" s="15">
        <f>IFERROR(INDEX(Cost_Components!$K$2:$K$27,MATCH(E147,Cost_Components!$A$2:$A$27,0)),"")</f>
        <v>1</v>
      </c>
      <c r="K147" s="15">
        <f t="shared" si="20"/>
        <v>0.61153846153846159</v>
      </c>
      <c r="L147" s="15">
        <f>IFERROR(INDEX(Cost_Components!$S$2:$S$27,MATCH(E147,Cost_Components!$A$2:$A$27,0)),"")</f>
        <v>0.31</v>
      </c>
      <c r="M147" s="26">
        <f>IFERROR(INDEX(Cost_Components!$L$2:$L$27,MATCH(E147,Cost_Components!$A$2:$A$27,0)),"")</f>
        <v>1</v>
      </c>
      <c r="N147" s="27">
        <f>IFERROR(INDEX(Cost_Components!$P$2:$P$27,MATCH(E147,Cost_Components!$A$2:$A$27,0)),"")</f>
        <v>5.133311</v>
      </c>
      <c r="O147" s="21">
        <f t="shared" si="21"/>
        <v>107214.914913032</v>
      </c>
      <c r="P147" s="21">
        <f t="shared" si="22"/>
        <v>102387.063046542</v>
      </c>
      <c r="Q147" s="21">
        <f t="shared" si="23"/>
        <v>162931.23746829733</v>
      </c>
      <c r="R147" s="21">
        <f t="shared" si="24"/>
        <v>336570.89550713031</v>
      </c>
      <c r="S147" s="21">
        <f t="shared" si="25"/>
        <v>173639.65803883297</v>
      </c>
      <c r="T147" s="14">
        <f>IFERROR(INDEX(Cost_Components!$R$2:$R$27,MATCH(E147,Cost_Components!$A$2:$A$27,0)),"")</f>
        <v>1</v>
      </c>
      <c r="U147" s="24">
        <f>IFERROR(INDEX(Cost_Components!$Q$2:$Q$27,MATCH(E147,Cost_Components!$A$2:$A$27,0)),"")</f>
        <v>2023</v>
      </c>
      <c r="V147" s="28">
        <f>1/(1+Calculation_Assumptions!$B$5)^(B147-Calculation_Assumptions!$B$2)</f>
        <v>0.64186194739671765</v>
      </c>
      <c r="W147" s="21">
        <f t="shared" si="26"/>
        <v>104579.36137315838</v>
      </c>
      <c r="X147" s="21">
        <f t="shared" si="27"/>
        <v>216032.05042726384</v>
      </c>
      <c r="Y147" s="21">
        <f t="shared" si="28"/>
        <v>111452.68905410545</v>
      </c>
      <c r="Z147" s="15">
        <f>IFERROR(INDEX(Cost_Components!$T$2:$T$27,MATCH(E147,Cost_Components!$A$2:$A$27,0)),"")</f>
        <v>0.8</v>
      </c>
      <c r="AA147" s="24">
        <f>IFERROR(INDEX(Cost_Components!$U$2:$U$27,MATCH(E147,Cost_Components!$A$2:$A$27,0)),"")</f>
        <v>2025</v>
      </c>
      <c r="AB147" s="24">
        <f>IFERROR(INDEX(Cost_Components!$V$2:$V$27,MATCH(E147,Cost_Components!$A$2:$A$27,0)),"")</f>
        <v>2050</v>
      </c>
      <c r="AC147" s="24">
        <f>IFERROR(INDEX(Cost_Components!$M$2:$M$27,MATCH(E147,Cost_Components!$A$2:$A$27,0)),"")</f>
        <v>0</v>
      </c>
      <c r="AD147" s="24">
        <f>IFERROR(INDEX(Cost_Components!$N$2:$N$27,MATCH(E147,Cost_Components!$A$2:$A$27,0)),"")</f>
        <v>95</v>
      </c>
      <c r="AE147" s="14" t="str">
        <f>IFERROR(INDEX(Cost_Components!$O$2:$O$27,MATCH(E147,Cost_Components!$A$2:$A$27,0)),"")</f>
        <v>Both</v>
      </c>
      <c r="AF147" s="11">
        <v>107214.914913032</v>
      </c>
      <c r="AG147" s="11">
        <v>102387.063046542</v>
      </c>
      <c r="AH147" s="21">
        <f t="shared" si="29"/>
        <v>1</v>
      </c>
    </row>
    <row r="148" spans="1:34" hidden="1">
      <c r="A148" t="s">
        <v>197</v>
      </c>
      <c r="B148" s="18">
        <v>2041</v>
      </c>
      <c r="C148" t="s">
        <v>197</v>
      </c>
      <c r="D148" t="s">
        <v>187</v>
      </c>
      <c r="E148" s="20" t="s">
        <v>269</v>
      </c>
      <c r="F148" s="20" t="s">
        <v>270</v>
      </c>
      <c r="G148" s="20" t="s">
        <v>198</v>
      </c>
      <c r="H148" s="20" t="s">
        <v>192</v>
      </c>
      <c r="I148" s="20" t="s">
        <v>264</v>
      </c>
      <c r="J148" s="15">
        <f>IFERROR(INDEX(Cost_Components!$K$2:$K$27,MATCH(E148,Cost_Components!$A$2:$A$27,0)),"")</f>
        <v>1</v>
      </c>
      <c r="K148" s="15">
        <f t="shared" si="20"/>
        <v>0.63038461538461543</v>
      </c>
      <c r="L148" s="15">
        <f>IFERROR(INDEX(Cost_Components!$S$2:$S$27,MATCH(E148,Cost_Components!$A$2:$A$27,0)),"")</f>
        <v>0.31</v>
      </c>
      <c r="M148" s="26">
        <f>IFERROR(INDEX(Cost_Components!$L$2:$L$27,MATCH(E148,Cost_Components!$A$2:$A$27,0)),"")</f>
        <v>1</v>
      </c>
      <c r="N148" s="27">
        <f>IFERROR(INDEX(Cost_Components!$P$2:$P$27,MATCH(E148,Cost_Components!$A$2:$A$27,0)),"")</f>
        <v>5.133311</v>
      </c>
      <c r="O148" s="21">
        <f t="shared" si="21"/>
        <v>109399.74095907</v>
      </c>
      <c r="P148" s="21">
        <f t="shared" si="22"/>
        <v>104074.53307124101</v>
      </c>
      <c r="Q148" s="21">
        <f t="shared" si="23"/>
        <v>165616.55308468422</v>
      </c>
      <c r="R148" s="21">
        <f t="shared" si="24"/>
        <v>354013.21642791649</v>
      </c>
      <c r="S148" s="21">
        <f t="shared" si="25"/>
        <v>188396.66334323227</v>
      </c>
      <c r="T148" s="14">
        <f>IFERROR(INDEX(Cost_Components!$R$2:$R$27,MATCH(E148,Cost_Components!$A$2:$A$27,0)),"")</f>
        <v>1</v>
      </c>
      <c r="U148" s="24">
        <f>IFERROR(INDEX(Cost_Components!$Q$2:$Q$27,MATCH(E148,Cost_Components!$A$2:$A$27,0)),"")</f>
        <v>2023</v>
      </c>
      <c r="V148" s="28">
        <f>1/(1+Calculation_Assumptions!$B$5)^(B148-Calculation_Assumptions!$B$2)</f>
        <v>0.62316693922011435</v>
      </c>
      <c r="W148" s="21">
        <f t="shared" si="26"/>
        <v>103206.76046996826</v>
      </c>
      <c r="X148" s="21">
        <f t="shared" si="27"/>
        <v>220609.33252485262</v>
      </c>
      <c r="Y148" s="21">
        <f t="shared" si="28"/>
        <v>117402.57205488437</v>
      </c>
      <c r="Z148" s="15">
        <f>IFERROR(INDEX(Cost_Components!$T$2:$T$27,MATCH(E148,Cost_Components!$A$2:$A$27,0)),"")</f>
        <v>0.8</v>
      </c>
      <c r="AA148" s="24">
        <f>IFERROR(INDEX(Cost_Components!$U$2:$U$27,MATCH(E148,Cost_Components!$A$2:$A$27,0)),"")</f>
        <v>2025</v>
      </c>
      <c r="AB148" s="24">
        <f>IFERROR(INDEX(Cost_Components!$V$2:$V$27,MATCH(E148,Cost_Components!$A$2:$A$27,0)),"")</f>
        <v>2050</v>
      </c>
      <c r="AC148" s="24">
        <f>IFERROR(INDEX(Cost_Components!$M$2:$M$27,MATCH(E148,Cost_Components!$A$2:$A$27,0)),"")</f>
        <v>0</v>
      </c>
      <c r="AD148" s="24">
        <f>IFERROR(INDEX(Cost_Components!$N$2:$N$27,MATCH(E148,Cost_Components!$A$2:$A$27,0)),"")</f>
        <v>95</v>
      </c>
      <c r="AE148" s="14" t="str">
        <f>IFERROR(INDEX(Cost_Components!$O$2:$O$27,MATCH(E148,Cost_Components!$A$2:$A$27,0)),"")</f>
        <v>Both</v>
      </c>
      <c r="AF148" s="11">
        <v>109399.74095907</v>
      </c>
      <c r="AG148" s="11">
        <v>104074.53307124101</v>
      </c>
      <c r="AH148" s="21">
        <f t="shared" si="29"/>
        <v>1</v>
      </c>
    </row>
    <row r="149" spans="1:34" hidden="1">
      <c r="A149" t="s">
        <v>197</v>
      </c>
      <c r="B149" s="18">
        <v>2042</v>
      </c>
      <c r="C149" t="s">
        <v>197</v>
      </c>
      <c r="D149" t="s">
        <v>187</v>
      </c>
      <c r="E149" s="20" t="s">
        <v>269</v>
      </c>
      <c r="F149" s="20" t="s">
        <v>270</v>
      </c>
      <c r="G149" s="20" t="s">
        <v>198</v>
      </c>
      <c r="H149" s="20" t="s">
        <v>192</v>
      </c>
      <c r="I149" s="20" t="s">
        <v>264</v>
      </c>
      <c r="J149" s="15">
        <f>IFERROR(INDEX(Cost_Components!$K$2:$K$27,MATCH(E149,Cost_Components!$A$2:$A$27,0)),"")</f>
        <v>1</v>
      </c>
      <c r="K149" s="15">
        <f t="shared" si="20"/>
        <v>0.64923076923076928</v>
      </c>
      <c r="L149" s="15">
        <f>IFERROR(INDEX(Cost_Components!$S$2:$S$27,MATCH(E149,Cost_Components!$A$2:$A$27,0)),"")</f>
        <v>0.31</v>
      </c>
      <c r="M149" s="26">
        <f>IFERROR(INDEX(Cost_Components!$L$2:$L$27,MATCH(E149,Cost_Components!$A$2:$A$27,0)),"")</f>
        <v>1</v>
      </c>
      <c r="N149" s="27">
        <f>IFERROR(INDEX(Cost_Components!$P$2:$P$27,MATCH(E149,Cost_Components!$A$2:$A$27,0)),"")</f>
        <v>5.133311</v>
      </c>
      <c r="O149" s="21">
        <f t="shared" si="21"/>
        <v>111641.91869139401</v>
      </c>
      <c r="P149" s="21">
        <f t="shared" si="22"/>
        <v>105801.648046402</v>
      </c>
      <c r="Q149" s="21">
        <f t="shared" si="23"/>
        <v>168364.95675776442</v>
      </c>
      <c r="R149" s="21">
        <f t="shared" si="24"/>
        <v>372069.40750154993</v>
      </c>
      <c r="S149" s="21">
        <f t="shared" si="25"/>
        <v>203704.45074378551</v>
      </c>
      <c r="T149" s="14">
        <f>IFERROR(INDEX(Cost_Components!$R$2:$R$27,MATCH(E149,Cost_Components!$A$2:$A$27,0)),"")</f>
        <v>1</v>
      </c>
      <c r="U149" s="24">
        <f>IFERROR(INDEX(Cost_Components!$Q$2:$Q$27,MATCH(E149,Cost_Components!$A$2:$A$27,0)),"")</f>
        <v>2023</v>
      </c>
      <c r="V149" s="28">
        <f>1/(1+Calculation_Assumptions!$B$5)^(B149-Calculation_Assumptions!$B$2)</f>
        <v>0.60501644584477121</v>
      </c>
      <c r="W149" s="21">
        <f t="shared" si="26"/>
        <v>101863.56774239123</v>
      </c>
      <c r="X149" s="21">
        <f t="shared" si="27"/>
        <v>225108.1105341576</v>
      </c>
      <c r="Y149" s="21">
        <f t="shared" si="28"/>
        <v>123244.54279176636</v>
      </c>
      <c r="Z149" s="15">
        <f>IFERROR(INDEX(Cost_Components!$T$2:$T$27,MATCH(E149,Cost_Components!$A$2:$A$27,0)),"")</f>
        <v>0.8</v>
      </c>
      <c r="AA149" s="24">
        <f>IFERROR(INDEX(Cost_Components!$U$2:$U$27,MATCH(E149,Cost_Components!$A$2:$A$27,0)),"")</f>
        <v>2025</v>
      </c>
      <c r="AB149" s="24">
        <f>IFERROR(INDEX(Cost_Components!$V$2:$V$27,MATCH(E149,Cost_Components!$A$2:$A$27,0)),"")</f>
        <v>2050</v>
      </c>
      <c r="AC149" s="24">
        <f>IFERROR(INDEX(Cost_Components!$M$2:$M$27,MATCH(E149,Cost_Components!$A$2:$A$27,0)),"")</f>
        <v>0</v>
      </c>
      <c r="AD149" s="24">
        <f>IFERROR(INDEX(Cost_Components!$N$2:$N$27,MATCH(E149,Cost_Components!$A$2:$A$27,0)),"")</f>
        <v>95</v>
      </c>
      <c r="AE149" s="14" t="str">
        <f>IFERROR(INDEX(Cost_Components!$O$2:$O$27,MATCH(E149,Cost_Components!$A$2:$A$27,0)),"")</f>
        <v>Both</v>
      </c>
      <c r="AF149" s="11">
        <v>111641.91869139401</v>
      </c>
      <c r="AG149" s="11">
        <v>105801.648046402</v>
      </c>
      <c r="AH149" s="21">
        <f t="shared" si="29"/>
        <v>1</v>
      </c>
    </row>
    <row r="150" spans="1:34" hidden="1">
      <c r="A150" t="s">
        <v>197</v>
      </c>
      <c r="B150" s="18">
        <v>2043</v>
      </c>
      <c r="C150" t="s">
        <v>197</v>
      </c>
      <c r="D150" t="s">
        <v>187</v>
      </c>
      <c r="E150" s="20" t="s">
        <v>269</v>
      </c>
      <c r="F150" s="20" t="s">
        <v>270</v>
      </c>
      <c r="G150" s="20" t="s">
        <v>198</v>
      </c>
      <c r="H150" s="20" t="s">
        <v>192</v>
      </c>
      <c r="I150" s="20" t="s">
        <v>264</v>
      </c>
      <c r="J150" s="15">
        <f>IFERROR(INDEX(Cost_Components!$K$2:$K$27,MATCH(E150,Cost_Components!$A$2:$A$27,0)),"")</f>
        <v>1</v>
      </c>
      <c r="K150" s="15">
        <f t="shared" si="20"/>
        <v>0.66807692307692301</v>
      </c>
      <c r="L150" s="15">
        <f>IFERROR(INDEX(Cost_Components!$S$2:$S$27,MATCH(E150,Cost_Components!$A$2:$A$27,0)),"")</f>
        <v>0.31</v>
      </c>
      <c r="M150" s="26">
        <f>IFERROR(INDEX(Cost_Components!$L$2:$L$27,MATCH(E150,Cost_Components!$A$2:$A$27,0)),"")</f>
        <v>1</v>
      </c>
      <c r="N150" s="27">
        <f>IFERROR(INDEX(Cost_Components!$P$2:$P$27,MATCH(E150,Cost_Components!$A$2:$A$27,0)),"")</f>
        <v>5.133311</v>
      </c>
      <c r="O150" s="21">
        <f t="shared" si="21"/>
        <v>113944.258266752</v>
      </c>
      <c r="P150" s="21">
        <f t="shared" si="22"/>
        <v>107571.320256081</v>
      </c>
      <c r="Q150" s="21">
        <f t="shared" si="23"/>
        <v>171181.08288206966</v>
      </c>
      <c r="R150" s="21">
        <f t="shared" si="24"/>
        <v>390765.75116219604</v>
      </c>
      <c r="S150" s="21">
        <f t="shared" si="25"/>
        <v>219584.66828012638</v>
      </c>
      <c r="T150" s="14">
        <f>IFERROR(INDEX(Cost_Components!$R$2:$R$27,MATCH(E150,Cost_Components!$A$2:$A$27,0)),"")</f>
        <v>1</v>
      </c>
      <c r="U150" s="24">
        <f>IFERROR(INDEX(Cost_Components!$Q$2:$Q$27,MATCH(E150,Cost_Components!$A$2:$A$27,0)),"")</f>
        <v>2023</v>
      </c>
      <c r="V150" s="28">
        <f>1/(1+Calculation_Assumptions!$B$5)^(B150-Calculation_Assumptions!$B$2)</f>
        <v>0.5873946076162827</v>
      </c>
      <c r="W150" s="21">
        <f t="shared" si="26"/>
        <v>100550.84501084368</v>
      </c>
      <c r="X150" s="21">
        <f t="shared" si="27"/>
        <v>229533.6950738001</v>
      </c>
      <c r="Y150" s="21">
        <f t="shared" si="28"/>
        <v>128982.85006295644</v>
      </c>
      <c r="Z150" s="15">
        <f>IFERROR(INDEX(Cost_Components!$T$2:$T$27,MATCH(E150,Cost_Components!$A$2:$A$27,0)),"")</f>
        <v>0.8</v>
      </c>
      <c r="AA150" s="24">
        <f>IFERROR(INDEX(Cost_Components!$U$2:$U$27,MATCH(E150,Cost_Components!$A$2:$A$27,0)),"")</f>
        <v>2025</v>
      </c>
      <c r="AB150" s="24">
        <f>IFERROR(INDEX(Cost_Components!$V$2:$V$27,MATCH(E150,Cost_Components!$A$2:$A$27,0)),"")</f>
        <v>2050</v>
      </c>
      <c r="AC150" s="24">
        <f>IFERROR(INDEX(Cost_Components!$M$2:$M$27,MATCH(E150,Cost_Components!$A$2:$A$27,0)),"")</f>
        <v>0</v>
      </c>
      <c r="AD150" s="24">
        <f>IFERROR(INDEX(Cost_Components!$N$2:$N$27,MATCH(E150,Cost_Components!$A$2:$A$27,0)),"")</f>
        <v>95</v>
      </c>
      <c r="AE150" s="14" t="str">
        <f>IFERROR(INDEX(Cost_Components!$O$2:$O$27,MATCH(E150,Cost_Components!$A$2:$A$27,0)),"")</f>
        <v>Both</v>
      </c>
      <c r="AF150" s="11">
        <v>113944.258266752</v>
      </c>
      <c r="AG150" s="11">
        <v>107571.320256081</v>
      </c>
      <c r="AH150" s="21">
        <f t="shared" si="29"/>
        <v>1</v>
      </c>
    </row>
    <row r="151" spans="1:34" hidden="1">
      <c r="A151" t="s">
        <v>197</v>
      </c>
      <c r="B151" s="18">
        <v>2044</v>
      </c>
      <c r="C151" t="s">
        <v>197</v>
      </c>
      <c r="D151" t="s">
        <v>187</v>
      </c>
      <c r="E151" s="20" t="s">
        <v>269</v>
      </c>
      <c r="F151" s="20" t="s">
        <v>270</v>
      </c>
      <c r="G151" s="20" t="s">
        <v>198</v>
      </c>
      <c r="H151" s="20" t="s">
        <v>192</v>
      </c>
      <c r="I151" s="20" t="s">
        <v>264</v>
      </c>
      <c r="J151" s="15">
        <f>IFERROR(INDEX(Cost_Components!$K$2:$K$27,MATCH(E151,Cost_Components!$A$2:$A$27,0)),"")</f>
        <v>1</v>
      </c>
      <c r="K151" s="15">
        <f t="shared" si="20"/>
        <v>0.68692307692307697</v>
      </c>
      <c r="L151" s="15">
        <f>IFERROR(INDEX(Cost_Components!$S$2:$S$27,MATCH(E151,Cost_Components!$A$2:$A$27,0)),"")</f>
        <v>0.31</v>
      </c>
      <c r="M151" s="26">
        <f>IFERROR(INDEX(Cost_Components!$L$2:$L$27,MATCH(E151,Cost_Components!$A$2:$A$27,0)),"")</f>
        <v>1</v>
      </c>
      <c r="N151" s="27">
        <f>IFERROR(INDEX(Cost_Components!$P$2:$P$27,MATCH(E151,Cost_Components!$A$2:$A$27,0)),"")</f>
        <v>5.133311</v>
      </c>
      <c r="O151" s="21">
        <f t="shared" si="21"/>
        <v>116301.68194594901</v>
      </c>
      <c r="P151" s="21">
        <f t="shared" si="22"/>
        <v>109378.894414443</v>
      </c>
      <c r="Q151" s="21">
        <f t="shared" si="23"/>
        <v>174057.52337830464</v>
      </c>
      <c r="R151" s="21">
        <f t="shared" si="24"/>
        <v>410101.80307978141</v>
      </c>
      <c r="S151" s="21">
        <f t="shared" si="25"/>
        <v>236044.27970147677</v>
      </c>
      <c r="T151" s="14">
        <f>IFERROR(INDEX(Cost_Components!$R$2:$R$27,MATCH(E151,Cost_Components!$A$2:$A$27,0)),"")</f>
        <v>1</v>
      </c>
      <c r="U151" s="24">
        <f>IFERROR(INDEX(Cost_Components!$Q$2:$Q$27,MATCH(E151,Cost_Components!$A$2:$A$27,0)),"")</f>
        <v>2023</v>
      </c>
      <c r="V151" s="28">
        <f>1/(1+Calculation_Assumptions!$B$5)^(B151-Calculation_Assumptions!$B$2)</f>
        <v>0.57028602681192497</v>
      </c>
      <c r="W151" s="21">
        <f t="shared" si="26"/>
        <v>99262.573444137102</v>
      </c>
      <c r="X151" s="21">
        <f t="shared" si="27"/>
        <v>233875.32786677501</v>
      </c>
      <c r="Y151" s="21">
        <f t="shared" si="28"/>
        <v>134612.7544226379</v>
      </c>
      <c r="Z151" s="15">
        <f>IFERROR(INDEX(Cost_Components!$T$2:$T$27,MATCH(E151,Cost_Components!$A$2:$A$27,0)),"")</f>
        <v>0.8</v>
      </c>
      <c r="AA151" s="24">
        <f>IFERROR(INDEX(Cost_Components!$U$2:$U$27,MATCH(E151,Cost_Components!$A$2:$A$27,0)),"")</f>
        <v>2025</v>
      </c>
      <c r="AB151" s="24">
        <f>IFERROR(INDEX(Cost_Components!$V$2:$V$27,MATCH(E151,Cost_Components!$A$2:$A$27,0)),"")</f>
        <v>2050</v>
      </c>
      <c r="AC151" s="24">
        <f>IFERROR(INDEX(Cost_Components!$M$2:$M$27,MATCH(E151,Cost_Components!$A$2:$A$27,0)),"")</f>
        <v>0</v>
      </c>
      <c r="AD151" s="24">
        <f>IFERROR(INDEX(Cost_Components!$N$2:$N$27,MATCH(E151,Cost_Components!$A$2:$A$27,0)),"")</f>
        <v>95</v>
      </c>
      <c r="AE151" s="14" t="str">
        <f>IFERROR(INDEX(Cost_Components!$O$2:$O$27,MATCH(E151,Cost_Components!$A$2:$A$27,0)),"")</f>
        <v>Both</v>
      </c>
      <c r="AF151" s="11">
        <v>116301.68194594901</v>
      </c>
      <c r="AG151" s="11">
        <v>109378.894414443</v>
      </c>
      <c r="AH151" s="21">
        <f t="shared" si="29"/>
        <v>1</v>
      </c>
    </row>
    <row r="152" spans="1:34" hidden="1">
      <c r="A152" t="s">
        <v>197</v>
      </c>
      <c r="B152" s="18">
        <v>2045</v>
      </c>
      <c r="C152" t="s">
        <v>197</v>
      </c>
      <c r="D152" t="s">
        <v>187</v>
      </c>
      <c r="E152" s="20" t="s">
        <v>269</v>
      </c>
      <c r="F152" s="20" t="s">
        <v>270</v>
      </c>
      <c r="G152" s="20" t="s">
        <v>198</v>
      </c>
      <c r="H152" s="20" t="s">
        <v>192</v>
      </c>
      <c r="I152" s="20" t="s">
        <v>264</v>
      </c>
      <c r="J152" s="15">
        <f>IFERROR(INDEX(Cost_Components!$K$2:$K$27,MATCH(E152,Cost_Components!$A$2:$A$27,0)),"")</f>
        <v>1</v>
      </c>
      <c r="K152" s="15">
        <f t="shared" si="20"/>
        <v>0.70576923076923082</v>
      </c>
      <c r="L152" s="15">
        <f>IFERROR(INDEX(Cost_Components!$S$2:$S$27,MATCH(E152,Cost_Components!$A$2:$A$27,0)),"")</f>
        <v>0.31</v>
      </c>
      <c r="M152" s="26">
        <f>IFERROR(INDEX(Cost_Components!$L$2:$L$27,MATCH(E152,Cost_Components!$A$2:$A$27,0)),"")</f>
        <v>1</v>
      </c>
      <c r="N152" s="27">
        <f>IFERROR(INDEX(Cost_Components!$P$2:$P$27,MATCH(E152,Cost_Components!$A$2:$A$27,0)),"")</f>
        <v>5.133311</v>
      </c>
      <c r="O152" s="21">
        <f t="shared" si="21"/>
        <v>118705.25798249</v>
      </c>
      <c r="P152" s="21">
        <f t="shared" si="22"/>
        <v>111216.138075836</v>
      </c>
      <c r="Q152" s="21">
        <f t="shared" si="23"/>
        <v>176981.1777382844</v>
      </c>
      <c r="R152" s="21">
        <f t="shared" si="24"/>
        <v>430061.19116785162</v>
      </c>
      <c r="S152" s="21">
        <f t="shared" si="25"/>
        <v>253080.01342956722</v>
      </c>
      <c r="T152" s="14">
        <f>IFERROR(INDEX(Cost_Components!$R$2:$R$27,MATCH(E152,Cost_Components!$A$2:$A$27,0)),"")</f>
        <v>1</v>
      </c>
      <c r="U152" s="24">
        <f>IFERROR(INDEX(Cost_Components!$Q$2:$Q$27,MATCH(E152,Cost_Components!$A$2:$A$27,0)),"")</f>
        <v>2023</v>
      </c>
      <c r="V152" s="28">
        <f>1/(1+Calculation_Assumptions!$B$5)^(B152-Calculation_Assumptions!$B$2)</f>
        <v>0.55367575418633497</v>
      </c>
      <c r="W152" s="21">
        <f t="shared" si="26"/>
        <v>97990.187061030418</v>
      </c>
      <c r="X152" s="21">
        <f t="shared" si="27"/>
        <v>238114.45436613381</v>
      </c>
      <c r="Y152" s="21">
        <f t="shared" si="28"/>
        <v>140124.26730510342</v>
      </c>
      <c r="Z152" s="15">
        <f>IFERROR(INDEX(Cost_Components!$T$2:$T$27,MATCH(E152,Cost_Components!$A$2:$A$27,0)),"")</f>
        <v>0.8</v>
      </c>
      <c r="AA152" s="24">
        <f>IFERROR(INDEX(Cost_Components!$U$2:$U$27,MATCH(E152,Cost_Components!$A$2:$A$27,0)),"")</f>
        <v>2025</v>
      </c>
      <c r="AB152" s="24">
        <f>IFERROR(INDEX(Cost_Components!$V$2:$V$27,MATCH(E152,Cost_Components!$A$2:$A$27,0)),"")</f>
        <v>2050</v>
      </c>
      <c r="AC152" s="24">
        <f>IFERROR(INDEX(Cost_Components!$M$2:$M$27,MATCH(E152,Cost_Components!$A$2:$A$27,0)),"")</f>
        <v>0</v>
      </c>
      <c r="AD152" s="24">
        <f>IFERROR(INDEX(Cost_Components!$N$2:$N$27,MATCH(E152,Cost_Components!$A$2:$A$27,0)),"")</f>
        <v>95</v>
      </c>
      <c r="AE152" s="14" t="str">
        <f>IFERROR(INDEX(Cost_Components!$O$2:$O$27,MATCH(E152,Cost_Components!$A$2:$A$27,0)),"")</f>
        <v>Both</v>
      </c>
      <c r="AF152" s="11">
        <v>118705.25798249</v>
      </c>
      <c r="AG152" s="11">
        <v>111216.138075836</v>
      </c>
      <c r="AH152" s="21">
        <f t="shared" si="29"/>
        <v>1</v>
      </c>
    </row>
    <row r="153" spans="1:34" hidden="1">
      <c r="A153" t="s">
        <v>197</v>
      </c>
      <c r="B153" s="18">
        <v>2046</v>
      </c>
      <c r="C153" t="s">
        <v>197</v>
      </c>
      <c r="D153" t="s">
        <v>187</v>
      </c>
      <c r="E153" s="20" t="s">
        <v>269</v>
      </c>
      <c r="F153" s="20" t="s">
        <v>270</v>
      </c>
      <c r="G153" s="20" t="s">
        <v>198</v>
      </c>
      <c r="H153" s="20" t="s">
        <v>192</v>
      </c>
      <c r="I153" s="20" t="s">
        <v>264</v>
      </c>
      <c r="J153" s="15">
        <f>IFERROR(INDEX(Cost_Components!$K$2:$K$27,MATCH(E153,Cost_Components!$A$2:$A$27,0)),"")</f>
        <v>1</v>
      </c>
      <c r="K153" s="15">
        <f t="shared" si="20"/>
        <v>0.72461538461538466</v>
      </c>
      <c r="L153" s="15">
        <f>IFERROR(INDEX(Cost_Components!$S$2:$S$27,MATCH(E153,Cost_Components!$A$2:$A$27,0)),"")</f>
        <v>0.31</v>
      </c>
      <c r="M153" s="26">
        <f>IFERROR(INDEX(Cost_Components!$L$2:$L$27,MATCH(E153,Cost_Components!$A$2:$A$27,0)),"")</f>
        <v>1</v>
      </c>
      <c r="N153" s="27">
        <f>IFERROR(INDEX(Cost_Components!$P$2:$P$27,MATCH(E153,Cost_Components!$A$2:$A$27,0)),"")</f>
        <v>5.133311</v>
      </c>
      <c r="O153" s="21">
        <f t="shared" si="21"/>
        <v>121139.786196696</v>
      </c>
      <c r="P153" s="21">
        <f t="shared" si="22"/>
        <v>113069.08390616599</v>
      </c>
      <c r="Q153" s="21">
        <f t="shared" si="23"/>
        <v>179929.81937438791</v>
      </c>
      <c r="R153" s="21">
        <f t="shared" si="24"/>
        <v>450600.77045686246</v>
      </c>
      <c r="S153" s="21">
        <f t="shared" si="25"/>
        <v>270670.95108247455</v>
      </c>
      <c r="T153" s="14">
        <f>IFERROR(INDEX(Cost_Components!$R$2:$R$27,MATCH(E153,Cost_Components!$A$2:$A$27,0)),"")</f>
        <v>1</v>
      </c>
      <c r="U153" s="24">
        <f>IFERROR(INDEX(Cost_Components!$Q$2:$Q$27,MATCH(E153,Cost_Components!$A$2:$A$27,0)),"")</f>
        <v>2023</v>
      </c>
      <c r="V153" s="28">
        <f>1/(1+Calculation_Assumptions!$B$5)^(B153-Calculation_Assumptions!$B$2)</f>
        <v>0.5375492759090631</v>
      </c>
      <c r="W153" s="21">
        <f t="shared" si="26"/>
        <v>96721.144119150733</v>
      </c>
      <c r="X153" s="21">
        <f t="shared" si="27"/>
        <v>242220.11788315236</v>
      </c>
      <c r="Y153" s="21">
        <f t="shared" si="28"/>
        <v>145498.97376400162</v>
      </c>
      <c r="Z153" s="15">
        <f>IFERROR(INDEX(Cost_Components!$T$2:$T$27,MATCH(E153,Cost_Components!$A$2:$A$27,0)),"")</f>
        <v>0.8</v>
      </c>
      <c r="AA153" s="24">
        <f>IFERROR(INDEX(Cost_Components!$U$2:$U$27,MATCH(E153,Cost_Components!$A$2:$A$27,0)),"")</f>
        <v>2025</v>
      </c>
      <c r="AB153" s="24">
        <f>IFERROR(INDEX(Cost_Components!$V$2:$V$27,MATCH(E153,Cost_Components!$A$2:$A$27,0)),"")</f>
        <v>2050</v>
      </c>
      <c r="AC153" s="24">
        <f>IFERROR(INDEX(Cost_Components!$M$2:$M$27,MATCH(E153,Cost_Components!$A$2:$A$27,0)),"")</f>
        <v>0</v>
      </c>
      <c r="AD153" s="24">
        <f>IFERROR(INDEX(Cost_Components!$N$2:$N$27,MATCH(E153,Cost_Components!$A$2:$A$27,0)),"")</f>
        <v>95</v>
      </c>
      <c r="AE153" s="14" t="str">
        <f>IFERROR(INDEX(Cost_Components!$O$2:$O$27,MATCH(E153,Cost_Components!$A$2:$A$27,0)),"")</f>
        <v>Both</v>
      </c>
      <c r="AF153" s="11">
        <v>121139.786196696</v>
      </c>
      <c r="AG153" s="11">
        <v>113069.08390616599</v>
      </c>
      <c r="AH153" s="21">
        <f t="shared" si="29"/>
        <v>1</v>
      </c>
    </row>
    <row r="154" spans="1:34" hidden="1">
      <c r="A154" t="s">
        <v>197</v>
      </c>
      <c r="B154" s="18">
        <v>2047</v>
      </c>
      <c r="C154" t="s">
        <v>197</v>
      </c>
      <c r="D154" t="s">
        <v>187</v>
      </c>
      <c r="E154" s="20" t="s">
        <v>269</v>
      </c>
      <c r="F154" s="20" t="s">
        <v>270</v>
      </c>
      <c r="G154" s="20" t="s">
        <v>198</v>
      </c>
      <c r="H154" s="20" t="s">
        <v>192</v>
      </c>
      <c r="I154" s="20" t="s">
        <v>264</v>
      </c>
      <c r="J154" s="15">
        <f>IFERROR(INDEX(Cost_Components!$K$2:$K$27,MATCH(E154,Cost_Components!$A$2:$A$27,0)),"")</f>
        <v>1</v>
      </c>
      <c r="K154" s="15">
        <f t="shared" si="20"/>
        <v>0.74346153846153851</v>
      </c>
      <c r="L154" s="15">
        <f>IFERROR(INDEX(Cost_Components!$S$2:$S$27,MATCH(E154,Cost_Components!$A$2:$A$27,0)),"")</f>
        <v>0.31</v>
      </c>
      <c r="M154" s="26">
        <f>IFERROR(INDEX(Cost_Components!$L$2:$L$27,MATCH(E154,Cost_Components!$A$2:$A$27,0)),"")</f>
        <v>1</v>
      </c>
      <c r="N154" s="27">
        <f>IFERROR(INDEX(Cost_Components!$P$2:$P$27,MATCH(E154,Cost_Components!$A$2:$A$27,0)),"")</f>
        <v>5.133311</v>
      </c>
      <c r="O154" s="21">
        <f t="shared" si="21"/>
        <v>123589.971524728</v>
      </c>
      <c r="P154" s="21">
        <f t="shared" si="22"/>
        <v>114923.915044056</v>
      </c>
      <c r="Q154" s="21">
        <f t="shared" si="23"/>
        <v>182881.46115020264</v>
      </c>
      <c r="R154" s="21">
        <f t="shared" si="24"/>
        <v>471671.15180533408</v>
      </c>
      <c r="S154" s="21">
        <f t="shared" si="25"/>
        <v>288789.69065513148</v>
      </c>
      <c r="T154" s="14">
        <f>IFERROR(INDEX(Cost_Components!$R$2:$R$27,MATCH(E154,Cost_Components!$A$2:$A$27,0)),"")</f>
        <v>1</v>
      </c>
      <c r="U154" s="24">
        <f>IFERROR(INDEX(Cost_Components!$Q$2:$Q$27,MATCH(E154,Cost_Components!$A$2:$A$27,0)),"")</f>
        <v>2023</v>
      </c>
      <c r="V154" s="28">
        <f>1/(1+Calculation_Assumptions!$B$5)^(B154-Calculation_Assumptions!$B$2)</f>
        <v>0.52189250088258554</v>
      </c>
      <c r="W154" s="21">
        <f t="shared" si="26"/>
        <v>95444.463124740665</v>
      </c>
      <c r="X154" s="21">
        <f t="shared" si="27"/>
        <v>246161.63700985545</v>
      </c>
      <c r="Y154" s="21">
        <f t="shared" si="28"/>
        <v>150717.17388511481</v>
      </c>
      <c r="Z154" s="15">
        <f>IFERROR(INDEX(Cost_Components!$T$2:$T$27,MATCH(E154,Cost_Components!$A$2:$A$27,0)),"")</f>
        <v>0.8</v>
      </c>
      <c r="AA154" s="24">
        <f>IFERROR(INDEX(Cost_Components!$U$2:$U$27,MATCH(E154,Cost_Components!$A$2:$A$27,0)),"")</f>
        <v>2025</v>
      </c>
      <c r="AB154" s="24">
        <f>IFERROR(INDEX(Cost_Components!$V$2:$V$27,MATCH(E154,Cost_Components!$A$2:$A$27,0)),"")</f>
        <v>2050</v>
      </c>
      <c r="AC154" s="24">
        <f>IFERROR(INDEX(Cost_Components!$M$2:$M$27,MATCH(E154,Cost_Components!$A$2:$A$27,0)),"")</f>
        <v>0</v>
      </c>
      <c r="AD154" s="24">
        <f>IFERROR(INDEX(Cost_Components!$N$2:$N$27,MATCH(E154,Cost_Components!$A$2:$A$27,0)),"")</f>
        <v>95</v>
      </c>
      <c r="AE154" s="14" t="str">
        <f>IFERROR(INDEX(Cost_Components!$O$2:$O$27,MATCH(E154,Cost_Components!$A$2:$A$27,0)),"")</f>
        <v>Both</v>
      </c>
      <c r="AF154" s="11">
        <v>123589.971524728</v>
      </c>
      <c r="AG154" s="11">
        <v>114923.915044056</v>
      </c>
      <c r="AH154" s="21">
        <f t="shared" si="29"/>
        <v>1</v>
      </c>
    </row>
    <row r="155" spans="1:34" hidden="1">
      <c r="A155" t="s">
        <v>197</v>
      </c>
      <c r="B155" s="18">
        <v>2048</v>
      </c>
      <c r="C155" t="s">
        <v>197</v>
      </c>
      <c r="D155" t="s">
        <v>187</v>
      </c>
      <c r="E155" s="20" t="s">
        <v>269</v>
      </c>
      <c r="F155" s="20" t="s">
        <v>270</v>
      </c>
      <c r="G155" s="20" t="s">
        <v>198</v>
      </c>
      <c r="H155" s="20" t="s">
        <v>192</v>
      </c>
      <c r="I155" s="20" t="s">
        <v>264</v>
      </c>
      <c r="J155" s="15">
        <f>IFERROR(INDEX(Cost_Components!$K$2:$K$27,MATCH(E155,Cost_Components!$A$2:$A$27,0)),"")</f>
        <v>1</v>
      </c>
      <c r="K155" s="15">
        <f t="shared" si="20"/>
        <v>0.76230769230769235</v>
      </c>
      <c r="L155" s="15">
        <f>IFERROR(INDEX(Cost_Components!$S$2:$S$27,MATCH(E155,Cost_Components!$A$2:$A$27,0)),"")</f>
        <v>0.31</v>
      </c>
      <c r="M155" s="26">
        <f>IFERROR(INDEX(Cost_Components!$L$2:$L$27,MATCH(E155,Cost_Components!$A$2:$A$27,0)),"")</f>
        <v>1</v>
      </c>
      <c r="N155" s="27">
        <f>IFERROR(INDEX(Cost_Components!$P$2:$P$27,MATCH(E155,Cost_Components!$A$2:$A$27,0)),"")</f>
        <v>5.133311</v>
      </c>
      <c r="O155" s="21">
        <f t="shared" si="21"/>
        <v>126036.066941364</v>
      </c>
      <c r="P155" s="21">
        <f t="shared" si="22"/>
        <v>116764.023601522</v>
      </c>
      <c r="Q155" s="21">
        <f t="shared" si="23"/>
        <v>185809.67449496526</v>
      </c>
      <c r="R155" s="21">
        <f t="shared" si="24"/>
        <v>493199.60605184513</v>
      </c>
      <c r="S155" s="21">
        <f t="shared" si="25"/>
        <v>307389.93155687989</v>
      </c>
      <c r="T155" s="14">
        <f>IFERROR(INDEX(Cost_Components!$R$2:$R$27,MATCH(E155,Cost_Components!$A$2:$A$27,0)),"")</f>
        <v>1</v>
      </c>
      <c r="U155" s="24">
        <f>IFERROR(INDEX(Cost_Components!$Q$2:$Q$27,MATCH(E155,Cost_Components!$A$2:$A$27,0)),"")</f>
        <v>2023</v>
      </c>
      <c r="V155" s="28">
        <f>1/(1+Calculation_Assumptions!$B$5)^(B155-Calculation_Assumptions!$B$2)</f>
        <v>0.50669174842969467</v>
      </c>
      <c r="W155" s="21">
        <f t="shared" si="26"/>
        <v>94148.228845006393</v>
      </c>
      <c r="X155" s="21">
        <f t="shared" si="27"/>
        <v>249900.17071524603</v>
      </c>
      <c r="Y155" s="21">
        <f t="shared" si="28"/>
        <v>155751.94187023965</v>
      </c>
      <c r="Z155" s="15">
        <f>IFERROR(INDEX(Cost_Components!$T$2:$T$27,MATCH(E155,Cost_Components!$A$2:$A$27,0)),"")</f>
        <v>0.8</v>
      </c>
      <c r="AA155" s="24">
        <f>IFERROR(INDEX(Cost_Components!$U$2:$U$27,MATCH(E155,Cost_Components!$A$2:$A$27,0)),"")</f>
        <v>2025</v>
      </c>
      <c r="AB155" s="24">
        <f>IFERROR(INDEX(Cost_Components!$V$2:$V$27,MATCH(E155,Cost_Components!$A$2:$A$27,0)),"")</f>
        <v>2050</v>
      </c>
      <c r="AC155" s="24">
        <f>IFERROR(INDEX(Cost_Components!$M$2:$M$27,MATCH(E155,Cost_Components!$A$2:$A$27,0)),"")</f>
        <v>0</v>
      </c>
      <c r="AD155" s="24">
        <f>IFERROR(INDEX(Cost_Components!$N$2:$N$27,MATCH(E155,Cost_Components!$A$2:$A$27,0)),"")</f>
        <v>95</v>
      </c>
      <c r="AE155" s="14" t="str">
        <f>IFERROR(INDEX(Cost_Components!$O$2:$O$27,MATCH(E155,Cost_Components!$A$2:$A$27,0)),"")</f>
        <v>Both</v>
      </c>
      <c r="AF155" s="11">
        <v>126036.066941364</v>
      </c>
      <c r="AG155" s="11">
        <v>116764.023601522</v>
      </c>
      <c r="AH155" s="21">
        <f t="shared" si="29"/>
        <v>1</v>
      </c>
    </row>
    <row r="156" spans="1:34" hidden="1">
      <c r="A156" t="s">
        <v>197</v>
      </c>
      <c r="B156" s="18">
        <v>2049</v>
      </c>
      <c r="C156" t="s">
        <v>197</v>
      </c>
      <c r="D156" t="s">
        <v>187</v>
      </c>
      <c r="E156" s="20" t="s">
        <v>269</v>
      </c>
      <c r="F156" s="20" t="s">
        <v>270</v>
      </c>
      <c r="G156" s="20" t="s">
        <v>198</v>
      </c>
      <c r="H156" s="20" t="s">
        <v>192</v>
      </c>
      <c r="I156" s="20" t="s">
        <v>264</v>
      </c>
      <c r="J156" s="15">
        <f>IFERROR(INDEX(Cost_Components!$K$2:$K$27,MATCH(E156,Cost_Components!$A$2:$A$27,0)),"")</f>
        <v>1</v>
      </c>
      <c r="K156" s="15">
        <f t="shared" si="20"/>
        <v>0.7811538461538462</v>
      </c>
      <c r="L156" s="15">
        <f>IFERROR(INDEX(Cost_Components!$S$2:$S$27,MATCH(E156,Cost_Components!$A$2:$A$27,0)),"")</f>
        <v>0.31</v>
      </c>
      <c r="M156" s="26">
        <f>IFERROR(INDEX(Cost_Components!$L$2:$L$27,MATCH(E156,Cost_Components!$A$2:$A$27,0)),"")</f>
        <v>1</v>
      </c>
      <c r="N156" s="27">
        <f>IFERROR(INDEX(Cost_Components!$P$2:$P$27,MATCH(E156,Cost_Components!$A$2:$A$27,0)),"")</f>
        <v>5.133311</v>
      </c>
      <c r="O156" s="21">
        <f t="shared" si="21"/>
        <v>128466.372242019</v>
      </c>
      <c r="P156" s="21">
        <f t="shared" si="22"/>
        <v>118577.866241739</v>
      </c>
      <c r="Q156" s="21">
        <f t="shared" si="23"/>
        <v>188696.09019192672</v>
      </c>
      <c r="R156" s="21">
        <f t="shared" si="24"/>
        <v>515138.02946717822</v>
      </c>
      <c r="S156" s="21">
        <f t="shared" si="25"/>
        <v>326441.93927525147</v>
      </c>
      <c r="T156" s="14">
        <f>IFERROR(INDEX(Cost_Components!$R$2:$R$27,MATCH(E156,Cost_Components!$A$2:$A$27,0)),"")</f>
        <v>1</v>
      </c>
      <c r="U156" s="24">
        <f>IFERROR(INDEX(Cost_Components!$Q$2:$Q$27,MATCH(E156,Cost_Components!$A$2:$A$27,0)),"")</f>
        <v>2023</v>
      </c>
      <c r="V156" s="28">
        <f>1/(1+Calculation_Assumptions!$B$5)^(B156-Calculation_Assumptions!$B$2)</f>
        <v>0.49193373633950943</v>
      </c>
      <c r="W156" s="21">
        <f t="shared" si="26"/>
        <v>92825.972680771563</v>
      </c>
      <c r="X156" s="21">
        <f t="shared" si="27"/>
        <v>253413.77556636129</v>
      </c>
      <c r="Y156" s="21">
        <f t="shared" si="28"/>
        <v>160587.80288558971</v>
      </c>
      <c r="Z156" s="15">
        <f>IFERROR(INDEX(Cost_Components!$T$2:$T$27,MATCH(E156,Cost_Components!$A$2:$A$27,0)),"")</f>
        <v>0.8</v>
      </c>
      <c r="AA156" s="24">
        <f>IFERROR(INDEX(Cost_Components!$U$2:$U$27,MATCH(E156,Cost_Components!$A$2:$A$27,0)),"")</f>
        <v>2025</v>
      </c>
      <c r="AB156" s="24">
        <f>IFERROR(INDEX(Cost_Components!$V$2:$V$27,MATCH(E156,Cost_Components!$A$2:$A$27,0)),"")</f>
        <v>2050</v>
      </c>
      <c r="AC156" s="24">
        <f>IFERROR(INDEX(Cost_Components!$M$2:$M$27,MATCH(E156,Cost_Components!$A$2:$A$27,0)),"")</f>
        <v>0</v>
      </c>
      <c r="AD156" s="24">
        <f>IFERROR(INDEX(Cost_Components!$N$2:$N$27,MATCH(E156,Cost_Components!$A$2:$A$27,0)),"")</f>
        <v>95</v>
      </c>
      <c r="AE156" s="14" t="str">
        <f>IFERROR(INDEX(Cost_Components!$O$2:$O$27,MATCH(E156,Cost_Components!$A$2:$A$27,0)),"")</f>
        <v>Both</v>
      </c>
      <c r="AF156" s="11">
        <v>128466.372242019</v>
      </c>
      <c r="AG156" s="11">
        <v>118577.866241739</v>
      </c>
      <c r="AH156" s="21">
        <f t="shared" si="29"/>
        <v>1</v>
      </c>
    </row>
    <row r="157" spans="1:34" hidden="1">
      <c r="A157" t="s">
        <v>197</v>
      </c>
      <c r="B157" s="18">
        <v>2050</v>
      </c>
      <c r="C157" t="s">
        <v>197</v>
      </c>
      <c r="D157" t="s">
        <v>187</v>
      </c>
      <c r="E157" s="20" t="s">
        <v>269</v>
      </c>
      <c r="F157" s="20" t="s">
        <v>270</v>
      </c>
      <c r="G157" s="20" t="s">
        <v>198</v>
      </c>
      <c r="H157" s="20" t="s">
        <v>192</v>
      </c>
      <c r="I157" s="20" t="s">
        <v>264</v>
      </c>
      <c r="J157" s="15">
        <f>IFERROR(INDEX(Cost_Components!$K$2:$K$27,MATCH(E157,Cost_Components!$A$2:$A$27,0)),"")</f>
        <v>1</v>
      </c>
      <c r="K157" s="15">
        <f t="shared" si="20"/>
        <v>0.8</v>
      </c>
      <c r="L157" s="15">
        <f>IFERROR(INDEX(Cost_Components!$S$2:$S$27,MATCH(E157,Cost_Components!$A$2:$A$27,0)),"")</f>
        <v>0.31</v>
      </c>
      <c r="M157" s="26">
        <f>IFERROR(INDEX(Cost_Components!$L$2:$L$27,MATCH(E157,Cost_Components!$A$2:$A$27,0)),"")</f>
        <v>1</v>
      </c>
      <c r="N157" s="27">
        <f>IFERROR(INDEX(Cost_Components!$P$2:$P$27,MATCH(E157,Cost_Components!$A$2:$A$27,0)),"")</f>
        <v>5.133311</v>
      </c>
      <c r="O157" s="21">
        <f t="shared" si="21"/>
        <v>130871.459803826</v>
      </c>
      <c r="P157" s="21">
        <f t="shared" si="22"/>
        <v>120355.978736713</v>
      </c>
      <c r="Q157" s="21">
        <f t="shared" si="23"/>
        <v>191525.64756512982</v>
      </c>
      <c r="R157" s="21">
        <f t="shared" si="24"/>
        <v>537443.12335763033</v>
      </c>
      <c r="S157" s="21">
        <f t="shared" si="25"/>
        <v>345917.47579250054</v>
      </c>
      <c r="T157" s="14">
        <f>IFERROR(INDEX(Cost_Components!$R$2:$R$27,MATCH(E157,Cost_Components!$A$2:$A$27,0)),"")</f>
        <v>1</v>
      </c>
      <c r="U157" s="24">
        <f>IFERROR(INDEX(Cost_Components!$Q$2:$Q$27,MATCH(E157,Cost_Components!$A$2:$A$27,0)),"")</f>
        <v>2023</v>
      </c>
      <c r="V157" s="28">
        <f>1/(1+Calculation_Assumptions!$B$5)^(B157-Calculation_Assumptions!$B$2)</f>
        <v>0.47760556926165965</v>
      </c>
      <c r="W157" s="21">
        <f t="shared" si="26"/>
        <v>91473.715933551823</v>
      </c>
      <c r="X157" s="21">
        <f t="shared" si="27"/>
        <v>256685.82887698541</v>
      </c>
      <c r="Y157" s="21">
        <f t="shared" si="28"/>
        <v>165212.1129434336</v>
      </c>
      <c r="Z157" s="15">
        <f>IFERROR(INDEX(Cost_Components!$T$2:$T$27,MATCH(E157,Cost_Components!$A$2:$A$27,0)),"")</f>
        <v>0.8</v>
      </c>
      <c r="AA157" s="24">
        <f>IFERROR(INDEX(Cost_Components!$U$2:$U$27,MATCH(E157,Cost_Components!$A$2:$A$27,0)),"")</f>
        <v>2025</v>
      </c>
      <c r="AB157" s="24">
        <f>IFERROR(INDEX(Cost_Components!$V$2:$V$27,MATCH(E157,Cost_Components!$A$2:$A$27,0)),"")</f>
        <v>2050</v>
      </c>
      <c r="AC157" s="24">
        <f>IFERROR(INDEX(Cost_Components!$M$2:$M$27,MATCH(E157,Cost_Components!$A$2:$A$27,0)),"")</f>
        <v>0</v>
      </c>
      <c r="AD157" s="24">
        <f>IFERROR(INDEX(Cost_Components!$N$2:$N$27,MATCH(E157,Cost_Components!$A$2:$A$27,0)),"")</f>
        <v>95</v>
      </c>
      <c r="AE157" s="14" t="str">
        <f>IFERROR(INDEX(Cost_Components!$O$2:$O$27,MATCH(E157,Cost_Components!$A$2:$A$27,0)),"")</f>
        <v>Both</v>
      </c>
      <c r="AF157" s="11">
        <v>130871.459803826</v>
      </c>
      <c r="AG157" s="11">
        <v>120355.978736713</v>
      </c>
      <c r="AH157" s="21">
        <f t="shared" si="29"/>
        <v>1</v>
      </c>
    </row>
    <row r="158" spans="1:34" hidden="1">
      <c r="A158" t="s">
        <v>197</v>
      </c>
      <c r="B158" s="18">
        <v>2025</v>
      </c>
      <c r="C158" t="s">
        <v>197</v>
      </c>
      <c r="D158" t="s">
        <v>187</v>
      </c>
      <c r="E158" s="20" t="s">
        <v>272</v>
      </c>
      <c r="F158" s="20" t="s">
        <v>273</v>
      </c>
      <c r="G158" s="20" t="s">
        <v>198</v>
      </c>
      <c r="H158" s="20" t="s">
        <v>192</v>
      </c>
      <c r="I158" s="20" t="s">
        <v>264</v>
      </c>
      <c r="J158" s="15">
        <f>IFERROR(INDEX(Cost_Components!$K$2:$K$27,MATCH(E158,Cost_Components!$A$2:$A$27,0)),"")</f>
        <v>1</v>
      </c>
      <c r="K158" s="15">
        <f t="shared" si="20"/>
        <v>0.32884615384615384</v>
      </c>
      <c r="L158" s="15">
        <f>IFERROR(INDEX(Cost_Components!$S$2:$S$27,MATCH(E158,Cost_Components!$A$2:$A$27,0)),"")</f>
        <v>0.31</v>
      </c>
      <c r="M158" s="26">
        <f>IFERROR(INDEX(Cost_Components!$L$2:$L$27,MATCH(E158,Cost_Components!$A$2:$A$27,0)),"")</f>
        <v>1</v>
      </c>
      <c r="N158" s="27">
        <f>IFERROR(INDEX(Cost_Components!$P$2:$P$27,MATCH(E158,Cost_Components!$A$2:$A$27,0)),"")</f>
        <v>35.362648999999998</v>
      </c>
      <c r="O158" s="21">
        <f t="shared" si="21"/>
        <v>78235.110312680597</v>
      </c>
      <c r="P158" s="21">
        <f t="shared" si="22"/>
        <v>78177.722455986499</v>
      </c>
      <c r="Q158" s="21">
        <f t="shared" si="23"/>
        <v>857017.12123744516</v>
      </c>
      <c r="R158" s="21">
        <f t="shared" si="24"/>
        <v>909786.01437360828</v>
      </c>
      <c r="S158" s="21">
        <f t="shared" si="25"/>
        <v>52768.893136163126</v>
      </c>
      <c r="T158" s="14">
        <f>IFERROR(INDEX(Cost_Components!$R$2:$R$27,MATCH(E158,Cost_Components!$A$2:$A$27,0)),"")</f>
        <v>1</v>
      </c>
      <c r="U158" s="24">
        <f>IFERROR(INDEX(Cost_Components!$Q$2:$Q$27,MATCH(E158,Cost_Components!$A$2:$A$27,0)),"")</f>
        <v>2023</v>
      </c>
      <c r="V158" s="28">
        <f>1/(1+Calculation_Assumptions!$B$5)^(B158-Calculation_Assumptions!$B$2)</f>
        <v>1</v>
      </c>
      <c r="W158" s="21">
        <f t="shared" si="26"/>
        <v>857017.12123744516</v>
      </c>
      <c r="X158" s="21">
        <f t="shared" si="27"/>
        <v>909786.01437360828</v>
      </c>
      <c r="Y158" s="21">
        <f t="shared" si="28"/>
        <v>52768.893136163126</v>
      </c>
      <c r="Z158" s="15">
        <f>IFERROR(INDEX(Cost_Components!$T$2:$T$27,MATCH(E158,Cost_Components!$A$2:$A$27,0)),"")</f>
        <v>0.8</v>
      </c>
      <c r="AA158" s="24">
        <f>IFERROR(INDEX(Cost_Components!$U$2:$U$27,MATCH(E158,Cost_Components!$A$2:$A$27,0)),"")</f>
        <v>2025</v>
      </c>
      <c r="AB158" s="24">
        <f>IFERROR(INDEX(Cost_Components!$V$2:$V$27,MATCH(E158,Cost_Components!$A$2:$A$27,0)),"")</f>
        <v>2050</v>
      </c>
      <c r="AC158" s="24">
        <f>IFERROR(INDEX(Cost_Components!$M$2:$M$27,MATCH(E158,Cost_Components!$A$2:$A$27,0)),"")</f>
        <v>0</v>
      </c>
      <c r="AD158" s="24">
        <f>IFERROR(INDEX(Cost_Components!$N$2:$N$27,MATCH(E158,Cost_Components!$A$2:$A$27,0)),"")</f>
        <v>95</v>
      </c>
      <c r="AE158" s="14" t="str">
        <f>IFERROR(INDEX(Cost_Components!$O$2:$O$27,MATCH(E158,Cost_Components!$A$2:$A$27,0)),"")</f>
        <v>Both</v>
      </c>
      <c r="AF158" s="11">
        <v>78235.110312680597</v>
      </c>
      <c r="AG158" s="11">
        <v>78177.722455986499</v>
      </c>
      <c r="AH158" s="21">
        <f t="shared" si="29"/>
        <v>1</v>
      </c>
    </row>
    <row r="159" spans="1:34" hidden="1">
      <c r="A159" t="s">
        <v>197</v>
      </c>
      <c r="B159" s="18">
        <v>2026</v>
      </c>
      <c r="C159" t="s">
        <v>197</v>
      </c>
      <c r="D159" t="s">
        <v>187</v>
      </c>
      <c r="E159" s="20" t="s">
        <v>272</v>
      </c>
      <c r="F159" s="20" t="s">
        <v>273</v>
      </c>
      <c r="G159" s="20" t="s">
        <v>198</v>
      </c>
      <c r="H159" s="20" t="s">
        <v>192</v>
      </c>
      <c r="I159" s="20" t="s">
        <v>264</v>
      </c>
      <c r="J159" s="15">
        <f>IFERROR(INDEX(Cost_Components!$K$2:$K$27,MATCH(E159,Cost_Components!$A$2:$A$27,0)),"")</f>
        <v>1</v>
      </c>
      <c r="K159" s="15">
        <f t="shared" si="20"/>
        <v>0.34769230769230769</v>
      </c>
      <c r="L159" s="15">
        <f>IFERROR(INDEX(Cost_Components!$S$2:$S$27,MATCH(E159,Cost_Components!$A$2:$A$27,0)),"")</f>
        <v>0.31</v>
      </c>
      <c r="M159" s="26">
        <f>IFERROR(INDEX(Cost_Components!$L$2:$L$27,MATCH(E159,Cost_Components!$A$2:$A$27,0)),"")</f>
        <v>1</v>
      </c>
      <c r="N159" s="27">
        <f>IFERROR(INDEX(Cost_Components!$P$2:$P$27,MATCH(E159,Cost_Components!$A$2:$A$27,0)),"")</f>
        <v>35.362648999999998</v>
      </c>
      <c r="O159" s="21">
        <f t="shared" si="21"/>
        <v>80110.215483540902</v>
      </c>
      <c r="P159" s="21">
        <f t="shared" si="22"/>
        <v>79946.906612797</v>
      </c>
      <c r="Q159" s="21">
        <f t="shared" si="23"/>
        <v>876411.66312707681</v>
      </c>
      <c r="R159" s="21">
        <f t="shared" si="24"/>
        <v>984980.81770722114</v>
      </c>
      <c r="S159" s="21">
        <f t="shared" si="25"/>
        <v>108569.15458014433</v>
      </c>
      <c r="T159" s="14">
        <f>IFERROR(INDEX(Cost_Components!$R$2:$R$27,MATCH(E159,Cost_Components!$A$2:$A$27,0)),"")</f>
        <v>1</v>
      </c>
      <c r="U159" s="24">
        <f>IFERROR(INDEX(Cost_Components!$Q$2:$Q$27,MATCH(E159,Cost_Components!$A$2:$A$27,0)),"")</f>
        <v>2023</v>
      </c>
      <c r="V159" s="28">
        <f>1/(1+Calculation_Assumptions!$B$5)^(B159-Calculation_Assumptions!$B$2)</f>
        <v>0.970873786407767</v>
      </c>
      <c r="W159" s="21">
        <f t="shared" si="26"/>
        <v>850885.10983211338</v>
      </c>
      <c r="X159" s="21">
        <f t="shared" si="27"/>
        <v>956292.05602642836</v>
      </c>
      <c r="Y159" s="21">
        <f t="shared" si="28"/>
        <v>105406.94619431488</v>
      </c>
      <c r="Z159" s="15">
        <f>IFERROR(INDEX(Cost_Components!$T$2:$T$27,MATCH(E159,Cost_Components!$A$2:$A$27,0)),"")</f>
        <v>0.8</v>
      </c>
      <c r="AA159" s="24">
        <f>IFERROR(INDEX(Cost_Components!$U$2:$U$27,MATCH(E159,Cost_Components!$A$2:$A$27,0)),"")</f>
        <v>2025</v>
      </c>
      <c r="AB159" s="24">
        <f>IFERROR(INDEX(Cost_Components!$V$2:$V$27,MATCH(E159,Cost_Components!$A$2:$A$27,0)),"")</f>
        <v>2050</v>
      </c>
      <c r="AC159" s="24">
        <f>IFERROR(INDEX(Cost_Components!$M$2:$M$27,MATCH(E159,Cost_Components!$A$2:$A$27,0)),"")</f>
        <v>0</v>
      </c>
      <c r="AD159" s="24">
        <f>IFERROR(INDEX(Cost_Components!$N$2:$N$27,MATCH(E159,Cost_Components!$A$2:$A$27,0)),"")</f>
        <v>95</v>
      </c>
      <c r="AE159" s="14" t="str">
        <f>IFERROR(INDEX(Cost_Components!$O$2:$O$27,MATCH(E159,Cost_Components!$A$2:$A$27,0)),"")</f>
        <v>Both</v>
      </c>
      <c r="AF159" s="11">
        <v>80110.215483540902</v>
      </c>
      <c r="AG159" s="11">
        <v>79946.906612797</v>
      </c>
      <c r="AH159" s="21">
        <f t="shared" si="29"/>
        <v>1</v>
      </c>
    </row>
    <row r="160" spans="1:34" hidden="1">
      <c r="A160" t="s">
        <v>197</v>
      </c>
      <c r="B160" s="18">
        <v>2027</v>
      </c>
      <c r="C160" t="s">
        <v>197</v>
      </c>
      <c r="D160" t="s">
        <v>187</v>
      </c>
      <c r="E160" s="20" t="s">
        <v>272</v>
      </c>
      <c r="F160" s="20" t="s">
        <v>273</v>
      </c>
      <c r="G160" s="20" t="s">
        <v>198</v>
      </c>
      <c r="H160" s="20" t="s">
        <v>192</v>
      </c>
      <c r="I160" s="20" t="s">
        <v>264</v>
      </c>
      <c r="J160" s="15">
        <f>IFERROR(INDEX(Cost_Components!$K$2:$K$27,MATCH(E160,Cost_Components!$A$2:$A$27,0)),"")</f>
        <v>1</v>
      </c>
      <c r="K160" s="15">
        <f t="shared" si="20"/>
        <v>0.36653846153846154</v>
      </c>
      <c r="L160" s="15">
        <f>IFERROR(INDEX(Cost_Components!$S$2:$S$27,MATCH(E160,Cost_Components!$A$2:$A$27,0)),"")</f>
        <v>0.31</v>
      </c>
      <c r="M160" s="26">
        <f>IFERROR(INDEX(Cost_Components!$L$2:$L$27,MATCH(E160,Cost_Components!$A$2:$A$27,0)),"")</f>
        <v>1</v>
      </c>
      <c r="N160" s="27">
        <f>IFERROR(INDEX(Cost_Components!$P$2:$P$27,MATCH(E160,Cost_Components!$A$2:$A$27,0)),"")</f>
        <v>35.362648999999998</v>
      </c>
      <c r="O160" s="21">
        <f t="shared" si="21"/>
        <v>81996.454865977794</v>
      </c>
      <c r="P160" s="21">
        <f t="shared" si="22"/>
        <v>81685.048654253798</v>
      </c>
      <c r="Q160" s="21">
        <f t="shared" si="23"/>
        <v>895465.90827357268</v>
      </c>
      <c r="R160" s="21">
        <f t="shared" si="24"/>
        <v>1062819.2675363186</v>
      </c>
      <c r="S160" s="21">
        <f t="shared" si="25"/>
        <v>167353.35926274594</v>
      </c>
      <c r="T160" s="14">
        <f>IFERROR(INDEX(Cost_Components!$R$2:$R$27,MATCH(E160,Cost_Components!$A$2:$A$27,0)),"")</f>
        <v>1</v>
      </c>
      <c r="U160" s="24">
        <f>IFERROR(INDEX(Cost_Components!$Q$2:$Q$27,MATCH(E160,Cost_Components!$A$2:$A$27,0)),"")</f>
        <v>2023</v>
      </c>
      <c r="V160" s="28">
        <f>1/(1+Calculation_Assumptions!$B$5)^(B160-Calculation_Assumptions!$B$2)</f>
        <v>0.94259590913375435</v>
      </c>
      <c r="W160" s="21">
        <f t="shared" si="26"/>
        <v>844062.50190741138</v>
      </c>
      <c r="X160" s="21">
        <f t="shared" si="27"/>
        <v>1001809.0937282671</v>
      </c>
      <c r="Y160" s="21">
        <f t="shared" si="28"/>
        <v>157746.59182085583</v>
      </c>
      <c r="Z160" s="15">
        <f>IFERROR(INDEX(Cost_Components!$T$2:$T$27,MATCH(E160,Cost_Components!$A$2:$A$27,0)),"")</f>
        <v>0.8</v>
      </c>
      <c r="AA160" s="24">
        <f>IFERROR(INDEX(Cost_Components!$U$2:$U$27,MATCH(E160,Cost_Components!$A$2:$A$27,0)),"")</f>
        <v>2025</v>
      </c>
      <c r="AB160" s="24">
        <f>IFERROR(INDEX(Cost_Components!$V$2:$V$27,MATCH(E160,Cost_Components!$A$2:$A$27,0)),"")</f>
        <v>2050</v>
      </c>
      <c r="AC160" s="24">
        <f>IFERROR(INDEX(Cost_Components!$M$2:$M$27,MATCH(E160,Cost_Components!$A$2:$A$27,0)),"")</f>
        <v>0</v>
      </c>
      <c r="AD160" s="24">
        <f>IFERROR(INDEX(Cost_Components!$N$2:$N$27,MATCH(E160,Cost_Components!$A$2:$A$27,0)),"")</f>
        <v>95</v>
      </c>
      <c r="AE160" s="14" t="str">
        <f>IFERROR(INDEX(Cost_Components!$O$2:$O$27,MATCH(E160,Cost_Components!$A$2:$A$27,0)),"")</f>
        <v>Both</v>
      </c>
      <c r="AF160" s="11">
        <v>81996.454865977794</v>
      </c>
      <c r="AG160" s="11">
        <v>81685.048654253798</v>
      </c>
      <c r="AH160" s="21">
        <f t="shared" si="29"/>
        <v>1</v>
      </c>
    </row>
    <row r="161" spans="1:34" hidden="1">
      <c r="A161" t="s">
        <v>197</v>
      </c>
      <c r="B161" s="18">
        <v>2028</v>
      </c>
      <c r="C161" t="s">
        <v>197</v>
      </c>
      <c r="D161" t="s">
        <v>187</v>
      </c>
      <c r="E161" s="20" t="s">
        <v>272</v>
      </c>
      <c r="F161" s="20" t="s">
        <v>273</v>
      </c>
      <c r="G161" s="20" t="s">
        <v>198</v>
      </c>
      <c r="H161" s="20" t="s">
        <v>192</v>
      </c>
      <c r="I161" s="20" t="s">
        <v>264</v>
      </c>
      <c r="J161" s="15">
        <f>IFERROR(INDEX(Cost_Components!$K$2:$K$27,MATCH(E161,Cost_Components!$A$2:$A$27,0)),"")</f>
        <v>1</v>
      </c>
      <c r="K161" s="15">
        <f t="shared" si="20"/>
        <v>0.38538461538461538</v>
      </c>
      <c r="L161" s="15">
        <f>IFERROR(INDEX(Cost_Components!$S$2:$S$27,MATCH(E161,Cost_Components!$A$2:$A$27,0)),"")</f>
        <v>0.31</v>
      </c>
      <c r="M161" s="26">
        <f>IFERROR(INDEX(Cost_Components!$L$2:$L$27,MATCH(E161,Cost_Components!$A$2:$A$27,0)),"")</f>
        <v>1</v>
      </c>
      <c r="N161" s="27">
        <f>IFERROR(INDEX(Cost_Components!$P$2:$P$27,MATCH(E161,Cost_Components!$A$2:$A$27,0)),"")</f>
        <v>35.362648999999998</v>
      </c>
      <c r="O161" s="21">
        <f t="shared" si="21"/>
        <v>83884.056020334494</v>
      </c>
      <c r="P161" s="21">
        <f t="shared" si="22"/>
        <v>83387.072966053194</v>
      </c>
      <c r="Q161" s="21">
        <f t="shared" si="23"/>
        <v>914124.21565513755</v>
      </c>
      <c r="R161" s="21">
        <f t="shared" si="24"/>
        <v>1143190.4440780431</v>
      </c>
      <c r="S161" s="21">
        <f t="shared" si="25"/>
        <v>229066.22842290555</v>
      </c>
      <c r="T161" s="14">
        <f>IFERROR(INDEX(Cost_Components!$R$2:$R$27,MATCH(E161,Cost_Components!$A$2:$A$27,0)),"")</f>
        <v>1</v>
      </c>
      <c r="U161" s="24">
        <f>IFERROR(INDEX(Cost_Components!$Q$2:$Q$27,MATCH(E161,Cost_Components!$A$2:$A$27,0)),"")</f>
        <v>2023</v>
      </c>
      <c r="V161" s="28">
        <f>1/(1+Calculation_Assumptions!$B$5)^(B161-Calculation_Assumptions!$B$2)</f>
        <v>0.91514165935315961</v>
      </c>
      <c r="W161" s="21">
        <f t="shared" si="26"/>
        <v>836553.15156954806</v>
      </c>
      <c r="X161" s="21">
        <f t="shared" si="27"/>
        <v>1046181.1999502558</v>
      </c>
      <c r="Y161" s="21">
        <f t="shared" si="28"/>
        <v>209628.04838070768</v>
      </c>
      <c r="Z161" s="15">
        <f>IFERROR(INDEX(Cost_Components!$T$2:$T$27,MATCH(E161,Cost_Components!$A$2:$A$27,0)),"")</f>
        <v>0.8</v>
      </c>
      <c r="AA161" s="24">
        <f>IFERROR(INDEX(Cost_Components!$U$2:$U$27,MATCH(E161,Cost_Components!$A$2:$A$27,0)),"")</f>
        <v>2025</v>
      </c>
      <c r="AB161" s="24">
        <f>IFERROR(INDEX(Cost_Components!$V$2:$V$27,MATCH(E161,Cost_Components!$A$2:$A$27,0)),"")</f>
        <v>2050</v>
      </c>
      <c r="AC161" s="24">
        <f>IFERROR(INDEX(Cost_Components!$M$2:$M$27,MATCH(E161,Cost_Components!$A$2:$A$27,0)),"")</f>
        <v>0</v>
      </c>
      <c r="AD161" s="24">
        <f>IFERROR(INDEX(Cost_Components!$N$2:$N$27,MATCH(E161,Cost_Components!$A$2:$A$27,0)),"")</f>
        <v>95</v>
      </c>
      <c r="AE161" s="14" t="str">
        <f>IFERROR(INDEX(Cost_Components!$O$2:$O$27,MATCH(E161,Cost_Components!$A$2:$A$27,0)),"")</f>
        <v>Both</v>
      </c>
      <c r="AF161" s="11">
        <v>83884.056020334494</v>
      </c>
      <c r="AG161" s="11">
        <v>83387.072966053194</v>
      </c>
      <c r="AH161" s="21">
        <f t="shared" si="29"/>
        <v>1</v>
      </c>
    </row>
    <row r="162" spans="1:34" hidden="1">
      <c r="A162" t="s">
        <v>197</v>
      </c>
      <c r="B162" s="18">
        <v>2029</v>
      </c>
      <c r="C162" t="s">
        <v>197</v>
      </c>
      <c r="D162" t="s">
        <v>187</v>
      </c>
      <c r="E162" s="20" t="s">
        <v>272</v>
      </c>
      <c r="F162" s="20" t="s">
        <v>273</v>
      </c>
      <c r="G162" s="20" t="s">
        <v>198</v>
      </c>
      <c r="H162" s="20" t="s">
        <v>192</v>
      </c>
      <c r="I162" s="20" t="s">
        <v>264</v>
      </c>
      <c r="J162" s="15">
        <f>IFERROR(INDEX(Cost_Components!$K$2:$K$27,MATCH(E162,Cost_Components!$A$2:$A$27,0)),"")</f>
        <v>1</v>
      </c>
      <c r="K162" s="15">
        <f t="shared" si="20"/>
        <v>0.40423076923076923</v>
      </c>
      <c r="L162" s="15">
        <f>IFERROR(INDEX(Cost_Components!$S$2:$S$27,MATCH(E162,Cost_Components!$A$2:$A$27,0)),"")</f>
        <v>0.31</v>
      </c>
      <c r="M162" s="26">
        <f>IFERROR(INDEX(Cost_Components!$L$2:$L$27,MATCH(E162,Cost_Components!$A$2:$A$27,0)),"")</f>
        <v>1</v>
      </c>
      <c r="N162" s="27">
        <f>IFERROR(INDEX(Cost_Components!$P$2:$P$27,MATCH(E162,Cost_Components!$A$2:$A$27,0)),"")</f>
        <v>35.362648999999998</v>
      </c>
      <c r="O162" s="21">
        <f t="shared" si="21"/>
        <v>85766.409405486906</v>
      </c>
      <c r="P162" s="21">
        <f t="shared" si="22"/>
        <v>85049.897381939096</v>
      </c>
      <c r="Q162" s="21">
        <f t="shared" si="23"/>
        <v>932352.7972670946</v>
      </c>
      <c r="R162" s="21">
        <f t="shared" si="24"/>
        <v>1226002.5887762136</v>
      </c>
      <c r="S162" s="21">
        <f t="shared" si="25"/>
        <v>293649.79150911898</v>
      </c>
      <c r="T162" s="14">
        <f>IFERROR(INDEX(Cost_Components!$R$2:$R$27,MATCH(E162,Cost_Components!$A$2:$A$27,0)),"")</f>
        <v>1</v>
      </c>
      <c r="U162" s="24">
        <f>IFERROR(INDEX(Cost_Components!$Q$2:$Q$27,MATCH(E162,Cost_Components!$A$2:$A$27,0)),"")</f>
        <v>2023</v>
      </c>
      <c r="V162" s="28">
        <f>1/(1+Calculation_Assumptions!$B$5)^(B162-Calculation_Assumptions!$B$2)</f>
        <v>0.888487047915689</v>
      </c>
      <c r="W162" s="21">
        <f t="shared" si="26"/>
        <v>828383.38445977576</v>
      </c>
      <c r="X162" s="21">
        <f t="shared" si="27"/>
        <v>1089287.4208387705</v>
      </c>
      <c r="Y162" s="21">
        <f t="shared" si="28"/>
        <v>260904.03637899467</v>
      </c>
      <c r="Z162" s="15">
        <f>IFERROR(INDEX(Cost_Components!$T$2:$T$27,MATCH(E162,Cost_Components!$A$2:$A$27,0)),"")</f>
        <v>0.8</v>
      </c>
      <c r="AA162" s="24">
        <f>IFERROR(INDEX(Cost_Components!$U$2:$U$27,MATCH(E162,Cost_Components!$A$2:$A$27,0)),"")</f>
        <v>2025</v>
      </c>
      <c r="AB162" s="24">
        <f>IFERROR(INDEX(Cost_Components!$V$2:$V$27,MATCH(E162,Cost_Components!$A$2:$A$27,0)),"")</f>
        <v>2050</v>
      </c>
      <c r="AC162" s="24">
        <f>IFERROR(INDEX(Cost_Components!$M$2:$M$27,MATCH(E162,Cost_Components!$A$2:$A$27,0)),"")</f>
        <v>0</v>
      </c>
      <c r="AD162" s="24">
        <f>IFERROR(INDEX(Cost_Components!$N$2:$N$27,MATCH(E162,Cost_Components!$A$2:$A$27,0)),"")</f>
        <v>95</v>
      </c>
      <c r="AE162" s="14" t="str">
        <f>IFERROR(INDEX(Cost_Components!$O$2:$O$27,MATCH(E162,Cost_Components!$A$2:$A$27,0)),"")</f>
        <v>Both</v>
      </c>
      <c r="AF162" s="11">
        <v>85766.409405486906</v>
      </c>
      <c r="AG162" s="11">
        <v>85049.897381939096</v>
      </c>
      <c r="AH162" s="21">
        <f t="shared" si="29"/>
        <v>1</v>
      </c>
    </row>
    <row r="163" spans="1:34" hidden="1">
      <c r="A163" t="s">
        <v>197</v>
      </c>
      <c r="B163" s="18">
        <v>2030</v>
      </c>
      <c r="C163" t="s">
        <v>197</v>
      </c>
      <c r="D163" t="s">
        <v>187</v>
      </c>
      <c r="E163" s="20" t="s">
        <v>272</v>
      </c>
      <c r="F163" s="20" t="s">
        <v>273</v>
      </c>
      <c r="G163" s="20" t="s">
        <v>198</v>
      </c>
      <c r="H163" s="20" t="s">
        <v>192</v>
      </c>
      <c r="I163" s="20" t="s">
        <v>264</v>
      </c>
      <c r="J163" s="15">
        <f>IFERROR(INDEX(Cost_Components!$K$2:$K$27,MATCH(E163,Cost_Components!$A$2:$A$27,0)),"")</f>
        <v>1</v>
      </c>
      <c r="K163" s="15">
        <f t="shared" si="20"/>
        <v>0.42307692307692307</v>
      </c>
      <c r="L163" s="15">
        <f>IFERROR(INDEX(Cost_Components!$S$2:$S$27,MATCH(E163,Cost_Components!$A$2:$A$27,0)),"")</f>
        <v>0.31</v>
      </c>
      <c r="M163" s="26">
        <f>IFERROR(INDEX(Cost_Components!$L$2:$L$27,MATCH(E163,Cost_Components!$A$2:$A$27,0)),"")</f>
        <v>1</v>
      </c>
      <c r="N163" s="27">
        <f>IFERROR(INDEX(Cost_Components!$P$2:$P$27,MATCH(E163,Cost_Components!$A$2:$A$27,0)),"")</f>
        <v>35.362648999999998</v>
      </c>
      <c r="O163" s="21">
        <f t="shared" si="21"/>
        <v>87640.261043407299</v>
      </c>
      <c r="P163" s="21">
        <f t="shared" si="22"/>
        <v>86672.837931488</v>
      </c>
      <c r="Q163" s="21">
        <f t="shared" si="23"/>
        <v>950144.15513757977</v>
      </c>
      <c r="R163" s="21">
        <f t="shared" si="24"/>
        <v>1311196.5263465478</v>
      </c>
      <c r="S163" s="21">
        <f t="shared" si="25"/>
        <v>361052.37120896799</v>
      </c>
      <c r="T163" s="14">
        <f>IFERROR(INDEX(Cost_Components!$R$2:$R$27,MATCH(E163,Cost_Components!$A$2:$A$27,0)),"")</f>
        <v>1</v>
      </c>
      <c r="U163" s="24">
        <f>IFERROR(INDEX(Cost_Components!$Q$2:$Q$27,MATCH(E163,Cost_Components!$A$2:$A$27,0)),"")</f>
        <v>2023</v>
      </c>
      <c r="V163" s="28">
        <f>1/(1+Calculation_Assumptions!$B$5)^(B163-Calculation_Assumptions!$B$2)</f>
        <v>0.86260878438416411</v>
      </c>
      <c r="W163" s="21">
        <f t="shared" si="26"/>
        <v>819602.69465294632</v>
      </c>
      <c r="X163" s="21">
        <f t="shared" si="27"/>
        <v>1131049.6416805342</v>
      </c>
      <c r="Y163" s="21">
        <f t="shared" si="28"/>
        <v>311446.94702758786</v>
      </c>
      <c r="Z163" s="15">
        <f>IFERROR(INDEX(Cost_Components!$T$2:$T$27,MATCH(E163,Cost_Components!$A$2:$A$27,0)),"")</f>
        <v>0.8</v>
      </c>
      <c r="AA163" s="24">
        <f>IFERROR(INDEX(Cost_Components!$U$2:$U$27,MATCH(E163,Cost_Components!$A$2:$A$27,0)),"")</f>
        <v>2025</v>
      </c>
      <c r="AB163" s="24">
        <f>IFERROR(INDEX(Cost_Components!$V$2:$V$27,MATCH(E163,Cost_Components!$A$2:$A$27,0)),"")</f>
        <v>2050</v>
      </c>
      <c r="AC163" s="24">
        <f>IFERROR(INDEX(Cost_Components!$M$2:$M$27,MATCH(E163,Cost_Components!$A$2:$A$27,0)),"")</f>
        <v>0</v>
      </c>
      <c r="AD163" s="24">
        <f>IFERROR(INDEX(Cost_Components!$N$2:$N$27,MATCH(E163,Cost_Components!$A$2:$A$27,0)),"")</f>
        <v>95</v>
      </c>
      <c r="AE163" s="14" t="str">
        <f>IFERROR(INDEX(Cost_Components!$O$2:$O$27,MATCH(E163,Cost_Components!$A$2:$A$27,0)),"")</f>
        <v>Both</v>
      </c>
      <c r="AF163" s="11">
        <v>87640.261043407299</v>
      </c>
      <c r="AG163" s="11">
        <v>86672.837931488</v>
      </c>
      <c r="AH163" s="21">
        <f t="shared" si="29"/>
        <v>1</v>
      </c>
    </row>
    <row r="164" spans="1:34" hidden="1">
      <c r="A164" t="s">
        <v>197</v>
      </c>
      <c r="B164" s="18">
        <v>2031</v>
      </c>
      <c r="C164" t="s">
        <v>197</v>
      </c>
      <c r="D164" t="s">
        <v>187</v>
      </c>
      <c r="E164" s="20" t="s">
        <v>272</v>
      </c>
      <c r="F164" s="20" t="s">
        <v>273</v>
      </c>
      <c r="G164" s="20" t="s">
        <v>198</v>
      </c>
      <c r="H164" s="20" t="s">
        <v>192</v>
      </c>
      <c r="I164" s="20" t="s">
        <v>264</v>
      </c>
      <c r="J164" s="15">
        <f>IFERROR(INDEX(Cost_Components!$K$2:$K$27,MATCH(E164,Cost_Components!$A$2:$A$27,0)),"")</f>
        <v>1</v>
      </c>
      <c r="K164" s="15">
        <f t="shared" si="20"/>
        <v>0.44192307692307692</v>
      </c>
      <c r="L164" s="15">
        <f>IFERROR(INDEX(Cost_Components!$S$2:$S$27,MATCH(E164,Cost_Components!$A$2:$A$27,0)),"")</f>
        <v>0.31</v>
      </c>
      <c r="M164" s="26">
        <f>IFERROR(INDEX(Cost_Components!$L$2:$L$27,MATCH(E164,Cost_Components!$A$2:$A$27,0)),"")</f>
        <v>1</v>
      </c>
      <c r="N164" s="27">
        <f>IFERROR(INDEX(Cost_Components!$P$2:$P$27,MATCH(E164,Cost_Components!$A$2:$A$27,0)),"")</f>
        <v>35.362648999999998</v>
      </c>
      <c r="O164" s="21">
        <f t="shared" si="21"/>
        <v>89509.071478982194</v>
      </c>
      <c r="P164" s="21">
        <f t="shared" si="22"/>
        <v>88261.326534887907</v>
      </c>
      <c r="Q164" s="21">
        <f t="shared" si="23"/>
        <v>967557.83626356442</v>
      </c>
      <c r="R164" s="21">
        <f t="shared" si="24"/>
        <v>1398809.3387323865</v>
      </c>
      <c r="S164" s="21">
        <f t="shared" si="25"/>
        <v>431251.50246882206</v>
      </c>
      <c r="T164" s="14">
        <f>IFERROR(INDEX(Cost_Components!$R$2:$R$27,MATCH(E164,Cost_Components!$A$2:$A$27,0)),"")</f>
        <v>1</v>
      </c>
      <c r="U164" s="24">
        <f>IFERROR(INDEX(Cost_Components!$Q$2:$Q$27,MATCH(E164,Cost_Components!$A$2:$A$27,0)),"")</f>
        <v>2023</v>
      </c>
      <c r="V164" s="28">
        <f>1/(1+Calculation_Assumptions!$B$5)^(B164-Calculation_Assumptions!$B$2)</f>
        <v>0.83748425668365445</v>
      </c>
      <c r="W164" s="21">
        <f t="shared" si="26"/>
        <v>810314.45530163625</v>
      </c>
      <c r="X164" s="21">
        <f t="shared" si="27"/>
        <v>1171480.7992904468</v>
      </c>
      <c r="Y164" s="21">
        <f t="shared" si="28"/>
        <v>361166.34398881061</v>
      </c>
      <c r="Z164" s="15">
        <f>IFERROR(INDEX(Cost_Components!$T$2:$T$27,MATCH(E164,Cost_Components!$A$2:$A$27,0)),"")</f>
        <v>0.8</v>
      </c>
      <c r="AA164" s="24">
        <f>IFERROR(INDEX(Cost_Components!$U$2:$U$27,MATCH(E164,Cost_Components!$A$2:$A$27,0)),"")</f>
        <v>2025</v>
      </c>
      <c r="AB164" s="24">
        <f>IFERROR(INDEX(Cost_Components!$V$2:$V$27,MATCH(E164,Cost_Components!$A$2:$A$27,0)),"")</f>
        <v>2050</v>
      </c>
      <c r="AC164" s="24">
        <f>IFERROR(INDEX(Cost_Components!$M$2:$M$27,MATCH(E164,Cost_Components!$A$2:$A$27,0)),"")</f>
        <v>0</v>
      </c>
      <c r="AD164" s="24">
        <f>IFERROR(INDEX(Cost_Components!$N$2:$N$27,MATCH(E164,Cost_Components!$A$2:$A$27,0)),"")</f>
        <v>95</v>
      </c>
      <c r="AE164" s="14" t="str">
        <f>IFERROR(INDEX(Cost_Components!$O$2:$O$27,MATCH(E164,Cost_Components!$A$2:$A$27,0)),"")</f>
        <v>Both</v>
      </c>
      <c r="AF164" s="11">
        <v>89509.071478982194</v>
      </c>
      <c r="AG164" s="11">
        <v>88261.326534887907</v>
      </c>
      <c r="AH164" s="21">
        <f t="shared" si="29"/>
        <v>1</v>
      </c>
    </row>
    <row r="165" spans="1:34" hidden="1">
      <c r="A165" t="s">
        <v>197</v>
      </c>
      <c r="B165" s="18">
        <v>2032</v>
      </c>
      <c r="C165" t="s">
        <v>197</v>
      </c>
      <c r="D165" t="s">
        <v>187</v>
      </c>
      <c r="E165" s="20" t="s">
        <v>272</v>
      </c>
      <c r="F165" s="20" t="s">
        <v>273</v>
      </c>
      <c r="G165" s="20" t="s">
        <v>198</v>
      </c>
      <c r="H165" s="20" t="s">
        <v>192</v>
      </c>
      <c r="I165" s="20" t="s">
        <v>264</v>
      </c>
      <c r="J165" s="15">
        <f>IFERROR(INDEX(Cost_Components!$K$2:$K$27,MATCH(E165,Cost_Components!$A$2:$A$27,0)),"")</f>
        <v>1</v>
      </c>
      <c r="K165" s="15">
        <f t="shared" si="20"/>
        <v>0.46076923076923082</v>
      </c>
      <c r="L165" s="15">
        <f>IFERROR(INDEX(Cost_Components!$S$2:$S$27,MATCH(E165,Cost_Components!$A$2:$A$27,0)),"")</f>
        <v>0.31</v>
      </c>
      <c r="M165" s="26">
        <f>IFERROR(INDEX(Cost_Components!$L$2:$L$27,MATCH(E165,Cost_Components!$A$2:$A$27,0)),"")</f>
        <v>1</v>
      </c>
      <c r="N165" s="27">
        <f>IFERROR(INDEX(Cost_Components!$P$2:$P$27,MATCH(E165,Cost_Components!$A$2:$A$27,0)),"")</f>
        <v>35.362648999999998</v>
      </c>
      <c r="O165" s="21">
        <f t="shared" si="21"/>
        <v>91380.323028168103</v>
      </c>
      <c r="P165" s="21">
        <f t="shared" si="22"/>
        <v>89824.839885340101</v>
      </c>
      <c r="Q165" s="21">
        <f t="shared" si="23"/>
        <v>984697.72814740939</v>
      </c>
      <c r="R165" s="21">
        <f t="shared" si="24"/>
        <v>1488952.8638171414</v>
      </c>
      <c r="S165" s="21">
        <f t="shared" si="25"/>
        <v>504255.135669732</v>
      </c>
      <c r="T165" s="14">
        <f>IFERROR(INDEX(Cost_Components!$R$2:$R$27,MATCH(E165,Cost_Components!$A$2:$A$27,0)),"")</f>
        <v>1</v>
      </c>
      <c r="U165" s="24">
        <f>IFERROR(INDEX(Cost_Components!$Q$2:$Q$27,MATCH(E165,Cost_Components!$A$2:$A$27,0)),"")</f>
        <v>2023</v>
      </c>
      <c r="V165" s="28">
        <f>1/(1+Calculation_Assumptions!$B$5)^(B165-Calculation_Assumptions!$B$2)</f>
        <v>0.81309151134335378</v>
      </c>
      <c r="W165" s="21">
        <f t="shared" si="26"/>
        <v>800649.36399574403</v>
      </c>
      <c r="X165" s="21">
        <f t="shared" si="27"/>
        <v>1210654.9343600944</v>
      </c>
      <c r="Y165" s="21">
        <f t="shared" si="28"/>
        <v>410005.57036435028</v>
      </c>
      <c r="Z165" s="15">
        <f>IFERROR(INDEX(Cost_Components!$T$2:$T$27,MATCH(E165,Cost_Components!$A$2:$A$27,0)),"")</f>
        <v>0.8</v>
      </c>
      <c r="AA165" s="24">
        <f>IFERROR(INDEX(Cost_Components!$U$2:$U$27,MATCH(E165,Cost_Components!$A$2:$A$27,0)),"")</f>
        <v>2025</v>
      </c>
      <c r="AB165" s="24">
        <f>IFERROR(INDEX(Cost_Components!$V$2:$V$27,MATCH(E165,Cost_Components!$A$2:$A$27,0)),"")</f>
        <v>2050</v>
      </c>
      <c r="AC165" s="24">
        <f>IFERROR(INDEX(Cost_Components!$M$2:$M$27,MATCH(E165,Cost_Components!$A$2:$A$27,0)),"")</f>
        <v>0</v>
      </c>
      <c r="AD165" s="24">
        <f>IFERROR(INDEX(Cost_Components!$N$2:$N$27,MATCH(E165,Cost_Components!$A$2:$A$27,0)),"")</f>
        <v>95</v>
      </c>
      <c r="AE165" s="14" t="str">
        <f>IFERROR(INDEX(Cost_Components!$O$2:$O$27,MATCH(E165,Cost_Components!$A$2:$A$27,0)),"")</f>
        <v>Both</v>
      </c>
      <c r="AF165" s="11">
        <v>91380.323028168103</v>
      </c>
      <c r="AG165" s="11">
        <v>89824.839885340101</v>
      </c>
      <c r="AH165" s="21">
        <f t="shared" si="29"/>
        <v>1</v>
      </c>
    </row>
    <row r="166" spans="1:34" hidden="1">
      <c r="A166" t="s">
        <v>197</v>
      </c>
      <c r="B166" s="18">
        <v>2033</v>
      </c>
      <c r="C166" t="s">
        <v>197</v>
      </c>
      <c r="D166" t="s">
        <v>187</v>
      </c>
      <c r="E166" s="20" t="s">
        <v>272</v>
      </c>
      <c r="F166" s="20" t="s">
        <v>273</v>
      </c>
      <c r="G166" s="20" t="s">
        <v>198</v>
      </c>
      <c r="H166" s="20" t="s">
        <v>192</v>
      </c>
      <c r="I166" s="20" t="s">
        <v>264</v>
      </c>
      <c r="J166" s="15">
        <f>IFERROR(INDEX(Cost_Components!$K$2:$K$27,MATCH(E166,Cost_Components!$A$2:$A$27,0)),"")</f>
        <v>1</v>
      </c>
      <c r="K166" s="15">
        <f t="shared" si="20"/>
        <v>0.47961538461538467</v>
      </c>
      <c r="L166" s="15">
        <f>IFERROR(INDEX(Cost_Components!$S$2:$S$27,MATCH(E166,Cost_Components!$A$2:$A$27,0)),"")</f>
        <v>0.31</v>
      </c>
      <c r="M166" s="26">
        <f>IFERROR(INDEX(Cost_Components!$L$2:$L$27,MATCH(E166,Cost_Components!$A$2:$A$27,0)),"")</f>
        <v>1</v>
      </c>
      <c r="N166" s="27">
        <f>IFERROR(INDEX(Cost_Components!$P$2:$P$27,MATCH(E166,Cost_Components!$A$2:$A$27,0)),"")</f>
        <v>35.362648999999998</v>
      </c>
      <c r="O166" s="21">
        <f t="shared" si="21"/>
        <v>93262.288590283599</v>
      </c>
      <c r="P166" s="21">
        <f t="shared" si="22"/>
        <v>91373.697993231603</v>
      </c>
      <c r="Q166" s="21">
        <f t="shared" si="23"/>
        <v>1001676.9630896626</v>
      </c>
      <c r="R166" s="21">
        <f t="shared" si="24"/>
        <v>1581772.294505602</v>
      </c>
      <c r="S166" s="21">
        <f t="shared" si="25"/>
        <v>580095.33141593938</v>
      </c>
      <c r="T166" s="14">
        <f>IFERROR(INDEX(Cost_Components!$R$2:$R$27,MATCH(E166,Cost_Components!$A$2:$A$27,0)),"")</f>
        <v>1</v>
      </c>
      <c r="U166" s="24">
        <f>IFERROR(INDEX(Cost_Components!$Q$2:$Q$27,MATCH(E166,Cost_Components!$A$2:$A$27,0)),"")</f>
        <v>2023</v>
      </c>
      <c r="V166" s="28">
        <f>1/(1+Calculation_Assumptions!$B$5)^(B166-Calculation_Assumptions!$B$2)</f>
        <v>0.78940923431393573</v>
      </c>
      <c r="W166" s="21">
        <f t="shared" si="26"/>
        <v>790733.044462519</v>
      </c>
      <c r="X166" s="21">
        <f t="shared" si="27"/>
        <v>1248665.6558646646</v>
      </c>
      <c r="Y166" s="21">
        <f t="shared" si="28"/>
        <v>457932.61140214547</v>
      </c>
      <c r="Z166" s="15">
        <f>IFERROR(INDEX(Cost_Components!$T$2:$T$27,MATCH(E166,Cost_Components!$A$2:$A$27,0)),"")</f>
        <v>0.8</v>
      </c>
      <c r="AA166" s="24">
        <f>IFERROR(INDEX(Cost_Components!$U$2:$U$27,MATCH(E166,Cost_Components!$A$2:$A$27,0)),"")</f>
        <v>2025</v>
      </c>
      <c r="AB166" s="24">
        <f>IFERROR(INDEX(Cost_Components!$V$2:$V$27,MATCH(E166,Cost_Components!$A$2:$A$27,0)),"")</f>
        <v>2050</v>
      </c>
      <c r="AC166" s="24">
        <f>IFERROR(INDEX(Cost_Components!$M$2:$M$27,MATCH(E166,Cost_Components!$A$2:$A$27,0)),"")</f>
        <v>0</v>
      </c>
      <c r="AD166" s="24">
        <f>IFERROR(INDEX(Cost_Components!$N$2:$N$27,MATCH(E166,Cost_Components!$A$2:$A$27,0)),"")</f>
        <v>95</v>
      </c>
      <c r="AE166" s="14" t="str">
        <f>IFERROR(INDEX(Cost_Components!$O$2:$O$27,MATCH(E166,Cost_Components!$A$2:$A$27,0)),"")</f>
        <v>Both</v>
      </c>
      <c r="AF166" s="11">
        <v>93262.288590283599</v>
      </c>
      <c r="AG166" s="11">
        <v>91373.697993231603</v>
      </c>
      <c r="AH166" s="21">
        <f t="shared" si="29"/>
        <v>1</v>
      </c>
    </row>
    <row r="167" spans="1:34" hidden="1">
      <c r="A167" t="s">
        <v>197</v>
      </c>
      <c r="B167" s="18">
        <v>2034</v>
      </c>
      <c r="C167" t="s">
        <v>197</v>
      </c>
      <c r="D167" t="s">
        <v>187</v>
      </c>
      <c r="E167" s="20" t="s">
        <v>272</v>
      </c>
      <c r="F167" s="20" t="s">
        <v>273</v>
      </c>
      <c r="G167" s="20" t="s">
        <v>198</v>
      </c>
      <c r="H167" s="20" t="s">
        <v>192</v>
      </c>
      <c r="I167" s="20" t="s">
        <v>264</v>
      </c>
      <c r="J167" s="15">
        <f>IFERROR(INDEX(Cost_Components!$K$2:$K$27,MATCH(E167,Cost_Components!$A$2:$A$27,0)),"")</f>
        <v>1</v>
      </c>
      <c r="K167" s="15">
        <f t="shared" si="20"/>
        <v>0.49846153846153851</v>
      </c>
      <c r="L167" s="15">
        <f>IFERROR(INDEX(Cost_Components!$S$2:$S$27,MATCH(E167,Cost_Components!$A$2:$A$27,0)),"")</f>
        <v>0.31</v>
      </c>
      <c r="M167" s="26">
        <f>IFERROR(INDEX(Cost_Components!$L$2:$L$27,MATCH(E167,Cost_Components!$A$2:$A$27,0)),"")</f>
        <v>1</v>
      </c>
      <c r="N167" s="27">
        <f>IFERROR(INDEX(Cost_Components!$P$2:$P$27,MATCH(E167,Cost_Components!$A$2:$A$27,0)),"")</f>
        <v>35.362648999999998</v>
      </c>
      <c r="O167" s="21">
        <f t="shared" si="21"/>
        <v>95159.433681224094</v>
      </c>
      <c r="P167" s="21">
        <f t="shared" si="22"/>
        <v>92913.992066664694</v>
      </c>
      <c r="Q167" s="21">
        <f t="shared" si="23"/>
        <v>1018562.315479097</v>
      </c>
      <c r="R167" s="21">
        <f t="shared" si="24"/>
        <v>1677367.7651504022</v>
      </c>
      <c r="S167" s="21">
        <f t="shared" si="25"/>
        <v>658805.44967130525</v>
      </c>
      <c r="T167" s="14">
        <f>IFERROR(INDEX(Cost_Components!$R$2:$R$27,MATCH(E167,Cost_Components!$A$2:$A$27,0)),"")</f>
        <v>1</v>
      </c>
      <c r="U167" s="24">
        <f>IFERROR(INDEX(Cost_Components!$Q$2:$Q$27,MATCH(E167,Cost_Components!$A$2:$A$27,0)),"")</f>
        <v>2023</v>
      </c>
      <c r="V167" s="28">
        <f>1/(1+Calculation_Assumptions!$B$5)^(B167-Calculation_Assumptions!$B$2)</f>
        <v>0.76641673234362695</v>
      </c>
      <c r="W167" s="21">
        <f t="shared" si="26"/>
        <v>780643.20151784795</v>
      </c>
      <c r="X167" s="21">
        <f t="shared" si="27"/>
        <v>1285562.7215051036</v>
      </c>
      <c r="Y167" s="21">
        <f t="shared" si="28"/>
        <v>504919.51998725557</v>
      </c>
      <c r="Z167" s="15">
        <f>IFERROR(INDEX(Cost_Components!$T$2:$T$27,MATCH(E167,Cost_Components!$A$2:$A$27,0)),"")</f>
        <v>0.8</v>
      </c>
      <c r="AA167" s="24">
        <f>IFERROR(INDEX(Cost_Components!$U$2:$U$27,MATCH(E167,Cost_Components!$A$2:$A$27,0)),"")</f>
        <v>2025</v>
      </c>
      <c r="AB167" s="24">
        <f>IFERROR(INDEX(Cost_Components!$V$2:$V$27,MATCH(E167,Cost_Components!$A$2:$A$27,0)),"")</f>
        <v>2050</v>
      </c>
      <c r="AC167" s="24">
        <f>IFERROR(INDEX(Cost_Components!$M$2:$M$27,MATCH(E167,Cost_Components!$A$2:$A$27,0)),"")</f>
        <v>0</v>
      </c>
      <c r="AD167" s="24">
        <f>IFERROR(INDEX(Cost_Components!$N$2:$N$27,MATCH(E167,Cost_Components!$A$2:$A$27,0)),"")</f>
        <v>95</v>
      </c>
      <c r="AE167" s="14" t="str">
        <f>IFERROR(INDEX(Cost_Components!$O$2:$O$27,MATCH(E167,Cost_Components!$A$2:$A$27,0)),"")</f>
        <v>Both</v>
      </c>
      <c r="AF167" s="11">
        <v>95159.433681224094</v>
      </c>
      <c r="AG167" s="11">
        <v>92913.992066664694</v>
      </c>
      <c r="AH167" s="21">
        <f t="shared" si="29"/>
        <v>1</v>
      </c>
    </row>
    <row r="168" spans="1:34" hidden="1">
      <c r="A168" t="s">
        <v>197</v>
      </c>
      <c r="B168" s="18">
        <v>2035</v>
      </c>
      <c r="C168" t="s">
        <v>197</v>
      </c>
      <c r="D168" t="s">
        <v>187</v>
      </c>
      <c r="E168" s="20" t="s">
        <v>272</v>
      </c>
      <c r="F168" s="20" t="s">
        <v>273</v>
      </c>
      <c r="G168" s="20" t="s">
        <v>198</v>
      </c>
      <c r="H168" s="20" t="s">
        <v>192</v>
      </c>
      <c r="I168" s="20" t="s">
        <v>264</v>
      </c>
      <c r="J168" s="15">
        <f>IFERROR(INDEX(Cost_Components!$K$2:$K$27,MATCH(E168,Cost_Components!$A$2:$A$27,0)),"")</f>
        <v>1</v>
      </c>
      <c r="K168" s="15">
        <f t="shared" si="20"/>
        <v>0.51730769230769236</v>
      </c>
      <c r="L168" s="15">
        <f>IFERROR(INDEX(Cost_Components!$S$2:$S$27,MATCH(E168,Cost_Components!$A$2:$A$27,0)),"")</f>
        <v>0.31</v>
      </c>
      <c r="M168" s="26">
        <f>IFERROR(INDEX(Cost_Components!$L$2:$L$27,MATCH(E168,Cost_Components!$A$2:$A$27,0)),"")</f>
        <v>1</v>
      </c>
      <c r="N168" s="27">
        <f>IFERROR(INDEX(Cost_Components!$P$2:$P$27,MATCH(E168,Cost_Components!$A$2:$A$27,0)),"")</f>
        <v>35.362648999999998</v>
      </c>
      <c r="O168" s="21">
        <f t="shared" si="21"/>
        <v>97077.514564016295</v>
      </c>
      <c r="P168" s="21">
        <f t="shared" si="22"/>
        <v>94452.800261580502</v>
      </c>
      <c r="Q168" s="21">
        <f t="shared" si="23"/>
        <v>1035431.3790423876</v>
      </c>
      <c r="R168" s="21">
        <f t="shared" si="24"/>
        <v>1775874.9263903815</v>
      </c>
      <c r="S168" s="21">
        <f t="shared" si="25"/>
        <v>740443.54734799394</v>
      </c>
      <c r="T168" s="14">
        <f>IFERROR(INDEX(Cost_Components!$R$2:$R$27,MATCH(E168,Cost_Components!$A$2:$A$27,0)),"")</f>
        <v>1</v>
      </c>
      <c r="U168" s="24">
        <f>IFERROR(INDEX(Cost_Components!$Q$2:$Q$27,MATCH(E168,Cost_Components!$A$2:$A$27,0)),"")</f>
        <v>2023</v>
      </c>
      <c r="V168" s="28">
        <f>1/(1+Calculation_Assumptions!$B$5)^(B168-Calculation_Assumptions!$B$2)</f>
        <v>0.74409391489672516</v>
      </c>
      <c r="W168" s="21">
        <f t="shared" si="26"/>
        <v>770458.18843856512</v>
      </c>
      <c r="X168" s="21">
        <f t="shared" si="27"/>
        <v>1321417.7263447526</v>
      </c>
      <c r="Y168" s="21">
        <f t="shared" si="28"/>
        <v>550959.53790618747</v>
      </c>
      <c r="Z168" s="15">
        <f>IFERROR(INDEX(Cost_Components!$T$2:$T$27,MATCH(E168,Cost_Components!$A$2:$A$27,0)),"")</f>
        <v>0.8</v>
      </c>
      <c r="AA168" s="24">
        <f>IFERROR(INDEX(Cost_Components!$U$2:$U$27,MATCH(E168,Cost_Components!$A$2:$A$27,0)),"")</f>
        <v>2025</v>
      </c>
      <c r="AB168" s="24">
        <f>IFERROR(INDEX(Cost_Components!$V$2:$V$27,MATCH(E168,Cost_Components!$A$2:$A$27,0)),"")</f>
        <v>2050</v>
      </c>
      <c r="AC168" s="24">
        <f>IFERROR(INDEX(Cost_Components!$M$2:$M$27,MATCH(E168,Cost_Components!$A$2:$A$27,0)),"")</f>
        <v>0</v>
      </c>
      <c r="AD168" s="24">
        <f>IFERROR(INDEX(Cost_Components!$N$2:$N$27,MATCH(E168,Cost_Components!$A$2:$A$27,0)),"")</f>
        <v>95</v>
      </c>
      <c r="AE168" s="14" t="str">
        <f>IFERROR(INDEX(Cost_Components!$O$2:$O$27,MATCH(E168,Cost_Components!$A$2:$A$27,0)),"")</f>
        <v>Both</v>
      </c>
      <c r="AF168" s="11">
        <v>97077.514564016295</v>
      </c>
      <c r="AG168" s="11">
        <v>94452.800261580502</v>
      </c>
      <c r="AH168" s="21">
        <f t="shared" si="29"/>
        <v>1</v>
      </c>
    </row>
    <row r="169" spans="1:34" hidden="1">
      <c r="A169" t="s">
        <v>197</v>
      </c>
      <c r="B169" s="18">
        <v>2036</v>
      </c>
      <c r="C169" t="s">
        <v>197</v>
      </c>
      <c r="D169" t="s">
        <v>187</v>
      </c>
      <c r="E169" s="20" t="s">
        <v>272</v>
      </c>
      <c r="F169" s="20" t="s">
        <v>273</v>
      </c>
      <c r="G169" s="20" t="s">
        <v>198</v>
      </c>
      <c r="H169" s="20" t="s">
        <v>192</v>
      </c>
      <c r="I169" s="20" t="s">
        <v>264</v>
      </c>
      <c r="J169" s="15">
        <f>IFERROR(INDEX(Cost_Components!$K$2:$K$27,MATCH(E169,Cost_Components!$A$2:$A$27,0)),"")</f>
        <v>1</v>
      </c>
      <c r="K169" s="15">
        <f t="shared" si="20"/>
        <v>0.5361538461538462</v>
      </c>
      <c r="L169" s="15">
        <f>IFERROR(INDEX(Cost_Components!$S$2:$S$27,MATCH(E169,Cost_Components!$A$2:$A$27,0)),"")</f>
        <v>0.31</v>
      </c>
      <c r="M169" s="26">
        <f>IFERROR(INDEX(Cost_Components!$L$2:$L$27,MATCH(E169,Cost_Components!$A$2:$A$27,0)),"")</f>
        <v>1</v>
      </c>
      <c r="N169" s="27">
        <f>IFERROR(INDEX(Cost_Components!$P$2:$P$27,MATCH(E169,Cost_Components!$A$2:$A$27,0)),"")</f>
        <v>35.362648999999998</v>
      </c>
      <c r="O169" s="21">
        <f t="shared" si="21"/>
        <v>99023.258133934607</v>
      </c>
      <c r="P169" s="21">
        <f t="shared" si="22"/>
        <v>95997.909569691896</v>
      </c>
      <c r="Q169" s="21">
        <f t="shared" si="23"/>
        <v>1052369.5180624942</v>
      </c>
      <c r="R169" s="21">
        <f t="shared" si="24"/>
        <v>1877463.1769215593</v>
      </c>
      <c r="S169" s="21">
        <f t="shared" si="25"/>
        <v>825093.65885906504</v>
      </c>
      <c r="T169" s="14">
        <f>IFERROR(INDEX(Cost_Components!$R$2:$R$27,MATCH(E169,Cost_Components!$A$2:$A$27,0)),"")</f>
        <v>1</v>
      </c>
      <c r="U169" s="24">
        <f>IFERROR(INDEX(Cost_Components!$Q$2:$Q$27,MATCH(E169,Cost_Components!$A$2:$A$27,0)),"")</f>
        <v>2023</v>
      </c>
      <c r="V169" s="28">
        <f>1/(1+Calculation_Assumptions!$B$5)^(B169-Calculation_Assumptions!$B$2)</f>
        <v>0.72242127659876232</v>
      </c>
      <c r="W169" s="21">
        <f t="shared" si="26"/>
        <v>760254.13069233135</v>
      </c>
      <c r="X169" s="21">
        <f t="shared" si="27"/>
        <v>1356319.3450388408</v>
      </c>
      <c r="Y169" s="21">
        <f t="shared" si="28"/>
        <v>596065.21434650943</v>
      </c>
      <c r="Z169" s="15">
        <f>IFERROR(INDEX(Cost_Components!$T$2:$T$27,MATCH(E169,Cost_Components!$A$2:$A$27,0)),"")</f>
        <v>0.8</v>
      </c>
      <c r="AA169" s="24">
        <f>IFERROR(INDEX(Cost_Components!$U$2:$U$27,MATCH(E169,Cost_Components!$A$2:$A$27,0)),"")</f>
        <v>2025</v>
      </c>
      <c r="AB169" s="24">
        <f>IFERROR(INDEX(Cost_Components!$V$2:$V$27,MATCH(E169,Cost_Components!$A$2:$A$27,0)),"")</f>
        <v>2050</v>
      </c>
      <c r="AC169" s="24">
        <f>IFERROR(INDEX(Cost_Components!$M$2:$M$27,MATCH(E169,Cost_Components!$A$2:$A$27,0)),"")</f>
        <v>0</v>
      </c>
      <c r="AD169" s="24">
        <f>IFERROR(INDEX(Cost_Components!$N$2:$N$27,MATCH(E169,Cost_Components!$A$2:$A$27,0)),"")</f>
        <v>95</v>
      </c>
      <c r="AE169" s="14" t="str">
        <f>IFERROR(INDEX(Cost_Components!$O$2:$O$27,MATCH(E169,Cost_Components!$A$2:$A$27,0)),"")</f>
        <v>Both</v>
      </c>
      <c r="AF169" s="11">
        <v>99023.258133934607</v>
      </c>
      <c r="AG169" s="11">
        <v>95997.909569691896</v>
      </c>
      <c r="AH169" s="21">
        <f t="shared" si="29"/>
        <v>1</v>
      </c>
    </row>
    <row r="170" spans="1:34" hidden="1">
      <c r="A170" t="s">
        <v>197</v>
      </c>
      <c r="B170" s="18">
        <v>2037</v>
      </c>
      <c r="C170" t="s">
        <v>197</v>
      </c>
      <c r="D170" t="s">
        <v>187</v>
      </c>
      <c r="E170" s="20" t="s">
        <v>272</v>
      </c>
      <c r="F170" s="20" t="s">
        <v>273</v>
      </c>
      <c r="G170" s="20" t="s">
        <v>198</v>
      </c>
      <c r="H170" s="20" t="s">
        <v>192</v>
      </c>
      <c r="I170" s="20" t="s">
        <v>264</v>
      </c>
      <c r="J170" s="15">
        <f>IFERROR(INDEX(Cost_Components!$K$2:$K$27,MATCH(E170,Cost_Components!$A$2:$A$27,0)),"")</f>
        <v>1</v>
      </c>
      <c r="K170" s="15">
        <f t="shared" si="20"/>
        <v>0.55500000000000005</v>
      </c>
      <c r="L170" s="15">
        <f>IFERROR(INDEX(Cost_Components!$S$2:$S$27,MATCH(E170,Cost_Components!$A$2:$A$27,0)),"")</f>
        <v>0.31</v>
      </c>
      <c r="M170" s="26">
        <f>IFERROR(INDEX(Cost_Components!$L$2:$L$27,MATCH(E170,Cost_Components!$A$2:$A$27,0)),"")</f>
        <v>1</v>
      </c>
      <c r="N170" s="27">
        <f>IFERROR(INDEX(Cost_Components!$P$2:$P$27,MATCH(E170,Cost_Components!$A$2:$A$27,0)),"")</f>
        <v>35.362648999999998</v>
      </c>
      <c r="O170" s="21">
        <f t="shared" si="21"/>
        <v>101003.832817594</v>
      </c>
      <c r="P170" s="21">
        <f t="shared" si="22"/>
        <v>97557.195739179399</v>
      </c>
      <c r="Q170" s="21">
        <f t="shared" si="23"/>
        <v>1069463.0698081579</v>
      </c>
      <c r="R170" s="21">
        <f t="shared" si="24"/>
        <v>1982328.513608708</v>
      </c>
      <c r="S170" s="21">
        <f t="shared" si="25"/>
        <v>912865.44380055019</v>
      </c>
      <c r="T170" s="14">
        <f>IFERROR(INDEX(Cost_Components!$R$2:$R$27,MATCH(E170,Cost_Components!$A$2:$A$27,0)),"")</f>
        <v>1</v>
      </c>
      <c r="U170" s="24">
        <f>IFERROR(INDEX(Cost_Components!$Q$2:$Q$27,MATCH(E170,Cost_Components!$A$2:$A$27,0)),"")</f>
        <v>2023</v>
      </c>
      <c r="V170" s="28">
        <f>1/(1+Calculation_Assumptions!$B$5)^(B170-Calculation_Assumptions!$B$2)</f>
        <v>0.70137988019297326</v>
      </c>
      <c r="W170" s="21">
        <f t="shared" si="26"/>
        <v>750099.8797728552</v>
      </c>
      <c r="X170" s="21">
        <f t="shared" si="27"/>
        <v>1390365.3353779905</v>
      </c>
      <c r="Y170" s="21">
        <f t="shared" si="28"/>
        <v>640265.4556051353</v>
      </c>
      <c r="Z170" s="15">
        <f>IFERROR(INDEX(Cost_Components!$T$2:$T$27,MATCH(E170,Cost_Components!$A$2:$A$27,0)),"")</f>
        <v>0.8</v>
      </c>
      <c r="AA170" s="24">
        <f>IFERROR(INDEX(Cost_Components!$U$2:$U$27,MATCH(E170,Cost_Components!$A$2:$A$27,0)),"")</f>
        <v>2025</v>
      </c>
      <c r="AB170" s="24">
        <f>IFERROR(INDEX(Cost_Components!$V$2:$V$27,MATCH(E170,Cost_Components!$A$2:$A$27,0)),"")</f>
        <v>2050</v>
      </c>
      <c r="AC170" s="24">
        <f>IFERROR(INDEX(Cost_Components!$M$2:$M$27,MATCH(E170,Cost_Components!$A$2:$A$27,0)),"")</f>
        <v>0</v>
      </c>
      <c r="AD170" s="24">
        <f>IFERROR(INDEX(Cost_Components!$N$2:$N$27,MATCH(E170,Cost_Components!$A$2:$A$27,0)),"")</f>
        <v>95</v>
      </c>
      <c r="AE170" s="14" t="str">
        <f>IFERROR(INDEX(Cost_Components!$O$2:$O$27,MATCH(E170,Cost_Components!$A$2:$A$27,0)),"")</f>
        <v>Both</v>
      </c>
      <c r="AF170" s="11">
        <v>101003.832817594</v>
      </c>
      <c r="AG170" s="11">
        <v>97557.195739179399</v>
      </c>
      <c r="AH170" s="21">
        <f t="shared" si="29"/>
        <v>1</v>
      </c>
    </row>
    <row r="171" spans="1:34" hidden="1">
      <c r="A171" t="s">
        <v>197</v>
      </c>
      <c r="B171" s="18">
        <v>2038</v>
      </c>
      <c r="C171" t="s">
        <v>197</v>
      </c>
      <c r="D171" t="s">
        <v>187</v>
      </c>
      <c r="E171" s="20" t="s">
        <v>272</v>
      </c>
      <c r="F171" s="20" t="s">
        <v>273</v>
      </c>
      <c r="G171" s="20" t="s">
        <v>198</v>
      </c>
      <c r="H171" s="20" t="s">
        <v>192</v>
      </c>
      <c r="I171" s="20" t="s">
        <v>264</v>
      </c>
      <c r="J171" s="15">
        <f>IFERROR(INDEX(Cost_Components!$K$2:$K$27,MATCH(E171,Cost_Components!$A$2:$A$27,0)),"")</f>
        <v>1</v>
      </c>
      <c r="K171" s="15">
        <f t="shared" si="20"/>
        <v>0.57384615384615389</v>
      </c>
      <c r="L171" s="15">
        <f>IFERROR(INDEX(Cost_Components!$S$2:$S$27,MATCH(E171,Cost_Components!$A$2:$A$27,0)),"")</f>
        <v>0.31</v>
      </c>
      <c r="M171" s="26">
        <f>IFERROR(INDEX(Cost_Components!$L$2:$L$27,MATCH(E171,Cost_Components!$A$2:$A$27,0)),"")</f>
        <v>1</v>
      </c>
      <c r="N171" s="27">
        <f>IFERROR(INDEX(Cost_Components!$P$2:$P$27,MATCH(E171,Cost_Components!$A$2:$A$27,0)),"")</f>
        <v>35.362648999999998</v>
      </c>
      <c r="O171" s="21">
        <f t="shared" si="21"/>
        <v>103022.945588046</v>
      </c>
      <c r="P171" s="21">
        <f t="shared" si="22"/>
        <v>99135.037182664295</v>
      </c>
      <c r="Q171" s="21">
        <f t="shared" si="23"/>
        <v>1086760.0322826768</v>
      </c>
      <c r="R171" s="21">
        <f t="shared" si="24"/>
        <v>2090615.8005977096</v>
      </c>
      <c r="S171" s="21">
        <f t="shared" si="25"/>
        <v>1003855.7683150328</v>
      </c>
      <c r="T171" s="14">
        <f>IFERROR(INDEX(Cost_Components!$R$2:$R$27,MATCH(E171,Cost_Components!$A$2:$A$27,0)),"")</f>
        <v>1</v>
      </c>
      <c r="U171" s="24">
        <f>IFERROR(INDEX(Cost_Components!$Q$2:$Q$27,MATCH(E171,Cost_Components!$A$2:$A$27,0)),"")</f>
        <v>2023</v>
      </c>
      <c r="V171" s="28">
        <f>1/(1+Calculation_Assumptions!$B$5)^(B171-Calculation_Assumptions!$B$2)</f>
        <v>0.68095133999317792</v>
      </c>
      <c r="W171" s="21">
        <f t="shared" si="26"/>
        <v>740030.70023391803</v>
      </c>
      <c r="X171" s="21">
        <f t="shared" si="27"/>
        <v>1423607.6308279207</v>
      </c>
      <c r="Y171" s="21">
        <f t="shared" si="28"/>
        <v>683576.93059400271</v>
      </c>
      <c r="Z171" s="15">
        <f>IFERROR(INDEX(Cost_Components!$T$2:$T$27,MATCH(E171,Cost_Components!$A$2:$A$27,0)),"")</f>
        <v>0.8</v>
      </c>
      <c r="AA171" s="24">
        <f>IFERROR(INDEX(Cost_Components!$U$2:$U$27,MATCH(E171,Cost_Components!$A$2:$A$27,0)),"")</f>
        <v>2025</v>
      </c>
      <c r="AB171" s="24">
        <f>IFERROR(INDEX(Cost_Components!$V$2:$V$27,MATCH(E171,Cost_Components!$A$2:$A$27,0)),"")</f>
        <v>2050</v>
      </c>
      <c r="AC171" s="24">
        <f>IFERROR(INDEX(Cost_Components!$M$2:$M$27,MATCH(E171,Cost_Components!$A$2:$A$27,0)),"")</f>
        <v>0</v>
      </c>
      <c r="AD171" s="24">
        <f>IFERROR(INDEX(Cost_Components!$N$2:$N$27,MATCH(E171,Cost_Components!$A$2:$A$27,0)),"")</f>
        <v>95</v>
      </c>
      <c r="AE171" s="14" t="str">
        <f>IFERROR(INDEX(Cost_Components!$O$2:$O$27,MATCH(E171,Cost_Components!$A$2:$A$27,0)),"")</f>
        <v>Both</v>
      </c>
      <c r="AF171" s="11">
        <v>103022.945588046</v>
      </c>
      <c r="AG171" s="11">
        <v>99135.037182664295</v>
      </c>
      <c r="AH171" s="21">
        <f t="shared" si="29"/>
        <v>1</v>
      </c>
    </row>
    <row r="172" spans="1:34" hidden="1">
      <c r="A172" t="s">
        <v>197</v>
      </c>
      <c r="B172" s="18">
        <v>2039</v>
      </c>
      <c r="C172" t="s">
        <v>197</v>
      </c>
      <c r="D172" t="s">
        <v>187</v>
      </c>
      <c r="E172" s="20" t="s">
        <v>272</v>
      </c>
      <c r="F172" s="20" t="s">
        <v>273</v>
      </c>
      <c r="G172" s="20" t="s">
        <v>198</v>
      </c>
      <c r="H172" s="20" t="s">
        <v>192</v>
      </c>
      <c r="I172" s="20" t="s">
        <v>264</v>
      </c>
      <c r="J172" s="15">
        <f>IFERROR(INDEX(Cost_Components!$K$2:$K$27,MATCH(E172,Cost_Components!$A$2:$A$27,0)),"")</f>
        <v>1</v>
      </c>
      <c r="K172" s="15">
        <f t="shared" si="20"/>
        <v>0.59269230769230763</v>
      </c>
      <c r="L172" s="15">
        <f>IFERROR(INDEX(Cost_Components!$S$2:$S$27,MATCH(E172,Cost_Components!$A$2:$A$27,0)),"")</f>
        <v>0.31</v>
      </c>
      <c r="M172" s="26">
        <f>IFERROR(INDEX(Cost_Components!$L$2:$L$27,MATCH(E172,Cost_Components!$A$2:$A$27,0)),"")</f>
        <v>1</v>
      </c>
      <c r="N172" s="27">
        <f>IFERROR(INDEX(Cost_Components!$P$2:$P$27,MATCH(E172,Cost_Components!$A$2:$A$27,0)),"")</f>
        <v>35.362648999999998</v>
      </c>
      <c r="O172" s="21">
        <f t="shared" si="21"/>
        <v>105090.566875472</v>
      </c>
      <c r="P172" s="21">
        <f t="shared" si="22"/>
        <v>100742.027695759</v>
      </c>
      <c r="Q172" s="21">
        <f t="shared" si="23"/>
        <v>1104376.5391355553</v>
      </c>
      <c r="R172" s="21">
        <f t="shared" si="24"/>
        <v>2202611.0609451057</v>
      </c>
      <c r="S172" s="21">
        <f t="shared" si="25"/>
        <v>1098234.5218095505</v>
      </c>
      <c r="T172" s="14">
        <f>IFERROR(INDEX(Cost_Components!$R$2:$R$27,MATCH(E172,Cost_Components!$A$2:$A$27,0)),"")</f>
        <v>1</v>
      </c>
      <c r="U172" s="24">
        <f>IFERROR(INDEX(Cost_Components!$Q$2:$Q$27,MATCH(E172,Cost_Components!$A$2:$A$27,0)),"")</f>
        <v>2023</v>
      </c>
      <c r="V172" s="28">
        <f>1/(1+Calculation_Assumptions!$B$5)^(B172-Calculation_Assumptions!$B$2)</f>
        <v>0.66111780581861923</v>
      </c>
      <c r="W172" s="21">
        <f t="shared" si="26"/>
        <v>730122.99435085873</v>
      </c>
      <c r="X172" s="21">
        <f t="shared" si="27"/>
        <v>1456185.3916838493</v>
      </c>
      <c r="Y172" s="21">
        <f t="shared" si="28"/>
        <v>726062.39733299054</v>
      </c>
      <c r="Z172" s="15">
        <f>IFERROR(INDEX(Cost_Components!$T$2:$T$27,MATCH(E172,Cost_Components!$A$2:$A$27,0)),"")</f>
        <v>0.8</v>
      </c>
      <c r="AA172" s="24">
        <f>IFERROR(INDEX(Cost_Components!$U$2:$U$27,MATCH(E172,Cost_Components!$A$2:$A$27,0)),"")</f>
        <v>2025</v>
      </c>
      <c r="AB172" s="24">
        <f>IFERROR(INDEX(Cost_Components!$V$2:$V$27,MATCH(E172,Cost_Components!$A$2:$A$27,0)),"")</f>
        <v>2050</v>
      </c>
      <c r="AC172" s="24">
        <f>IFERROR(INDEX(Cost_Components!$M$2:$M$27,MATCH(E172,Cost_Components!$A$2:$A$27,0)),"")</f>
        <v>0</v>
      </c>
      <c r="AD172" s="24">
        <f>IFERROR(INDEX(Cost_Components!$N$2:$N$27,MATCH(E172,Cost_Components!$A$2:$A$27,0)),"")</f>
        <v>95</v>
      </c>
      <c r="AE172" s="14" t="str">
        <f>IFERROR(INDEX(Cost_Components!$O$2:$O$27,MATCH(E172,Cost_Components!$A$2:$A$27,0)),"")</f>
        <v>Both</v>
      </c>
      <c r="AF172" s="11">
        <v>105090.566875472</v>
      </c>
      <c r="AG172" s="11">
        <v>100742.027695759</v>
      </c>
      <c r="AH172" s="21">
        <f t="shared" si="29"/>
        <v>1</v>
      </c>
    </row>
    <row r="173" spans="1:34" hidden="1">
      <c r="A173" t="s">
        <v>197</v>
      </c>
      <c r="B173" s="18">
        <v>2040</v>
      </c>
      <c r="C173" t="s">
        <v>197</v>
      </c>
      <c r="D173" t="s">
        <v>187</v>
      </c>
      <c r="E173" s="20" t="s">
        <v>272</v>
      </c>
      <c r="F173" s="20" t="s">
        <v>273</v>
      </c>
      <c r="G173" s="20" t="s">
        <v>198</v>
      </c>
      <c r="H173" s="20" t="s">
        <v>192</v>
      </c>
      <c r="I173" s="20" t="s">
        <v>264</v>
      </c>
      <c r="J173" s="15">
        <f>IFERROR(INDEX(Cost_Components!$K$2:$K$27,MATCH(E173,Cost_Components!$A$2:$A$27,0)),"")</f>
        <v>1</v>
      </c>
      <c r="K173" s="15">
        <f t="shared" si="20"/>
        <v>0.61153846153846159</v>
      </c>
      <c r="L173" s="15">
        <f>IFERROR(INDEX(Cost_Components!$S$2:$S$27,MATCH(E173,Cost_Components!$A$2:$A$27,0)),"")</f>
        <v>0.31</v>
      </c>
      <c r="M173" s="26">
        <f>IFERROR(INDEX(Cost_Components!$L$2:$L$27,MATCH(E173,Cost_Components!$A$2:$A$27,0)),"")</f>
        <v>1</v>
      </c>
      <c r="N173" s="27">
        <f>IFERROR(INDEX(Cost_Components!$P$2:$P$27,MATCH(E173,Cost_Components!$A$2:$A$27,0)),"")</f>
        <v>35.362648999999998</v>
      </c>
      <c r="O173" s="21">
        <f t="shared" si="21"/>
        <v>107214.914913032</v>
      </c>
      <c r="P173" s="21">
        <f t="shared" si="22"/>
        <v>102387.063046542</v>
      </c>
      <c r="Q173" s="21">
        <f t="shared" si="23"/>
        <v>1122410.109523278</v>
      </c>
      <c r="R173" s="21">
        <f t="shared" si="24"/>
        <v>2318589.0045302776</v>
      </c>
      <c r="S173" s="21">
        <f t="shared" si="25"/>
        <v>1196178.8950069996</v>
      </c>
      <c r="T173" s="14">
        <f>IFERROR(INDEX(Cost_Components!$R$2:$R$27,MATCH(E173,Cost_Components!$A$2:$A$27,0)),"")</f>
        <v>1</v>
      </c>
      <c r="U173" s="24">
        <f>IFERROR(INDEX(Cost_Components!$Q$2:$Q$27,MATCH(E173,Cost_Components!$A$2:$A$27,0)),"")</f>
        <v>2023</v>
      </c>
      <c r="V173" s="28">
        <f>1/(1+Calculation_Assumptions!$B$5)^(B173-Calculation_Assumptions!$B$2)</f>
        <v>0.64186194739671765</v>
      </c>
      <c r="W173" s="21">
        <f t="shared" si="26"/>
        <v>720432.33867637429</v>
      </c>
      <c r="X173" s="21">
        <f t="shared" si="27"/>
        <v>1488214.0536604209</v>
      </c>
      <c r="Y173" s="21">
        <f t="shared" si="28"/>
        <v>767781.71498404664</v>
      </c>
      <c r="Z173" s="15">
        <f>IFERROR(INDEX(Cost_Components!$T$2:$T$27,MATCH(E173,Cost_Components!$A$2:$A$27,0)),"")</f>
        <v>0.8</v>
      </c>
      <c r="AA173" s="24">
        <f>IFERROR(INDEX(Cost_Components!$U$2:$U$27,MATCH(E173,Cost_Components!$A$2:$A$27,0)),"")</f>
        <v>2025</v>
      </c>
      <c r="AB173" s="24">
        <f>IFERROR(INDEX(Cost_Components!$V$2:$V$27,MATCH(E173,Cost_Components!$A$2:$A$27,0)),"")</f>
        <v>2050</v>
      </c>
      <c r="AC173" s="24">
        <f>IFERROR(INDEX(Cost_Components!$M$2:$M$27,MATCH(E173,Cost_Components!$A$2:$A$27,0)),"")</f>
        <v>0</v>
      </c>
      <c r="AD173" s="24">
        <f>IFERROR(INDEX(Cost_Components!$N$2:$N$27,MATCH(E173,Cost_Components!$A$2:$A$27,0)),"")</f>
        <v>95</v>
      </c>
      <c r="AE173" s="14" t="str">
        <f>IFERROR(INDEX(Cost_Components!$O$2:$O$27,MATCH(E173,Cost_Components!$A$2:$A$27,0)),"")</f>
        <v>Both</v>
      </c>
      <c r="AF173" s="11">
        <v>107214.914913032</v>
      </c>
      <c r="AG173" s="11">
        <v>102387.063046542</v>
      </c>
      <c r="AH173" s="21">
        <f t="shared" si="29"/>
        <v>1</v>
      </c>
    </row>
    <row r="174" spans="1:34" hidden="1">
      <c r="A174" t="s">
        <v>197</v>
      </c>
      <c r="B174" s="18">
        <v>2041</v>
      </c>
      <c r="C174" t="s">
        <v>197</v>
      </c>
      <c r="D174" t="s">
        <v>187</v>
      </c>
      <c r="E174" s="20" t="s">
        <v>272</v>
      </c>
      <c r="F174" s="20" t="s">
        <v>273</v>
      </c>
      <c r="G174" s="20" t="s">
        <v>198</v>
      </c>
      <c r="H174" s="20" t="s">
        <v>192</v>
      </c>
      <c r="I174" s="20" t="s">
        <v>264</v>
      </c>
      <c r="J174" s="15">
        <f>IFERROR(INDEX(Cost_Components!$K$2:$K$27,MATCH(E174,Cost_Components!$A$2:$A$27,0)),"")</f>
        <v>1</v>
      </c>
      <c r="K174" s="15">
        <f t="shared" si="20"/>
        <v>0.63038461538461543</v>
      </c>
      <c r="L174" s="15">
        <f>IFERROR(INDEX(Cost_Components!$S$2:$S$27,MATCH(E174,Cost_Components!$A$2:$A$27,0)),"")</f>
        <v>0.31</v>
      </c>
      <c r="M174" s="26">
        <f>IFERROR(INDEX(Cost_Components!$L$2:$L$27,MATCH(E174,Cost_Components!$A$2:$A$27,0)),"")</f>
        <v>1</v>
      </c>
      <c r="N174" s="27">
        <f>IFERROR(INDEX(Cost_Components!$P$2:$P$27,MATCH(E174,Cost_Components!$A$2:$A$27,0)),"")</f>
        <v>35.362648999999998</v>
      </c>
      <c r="O174" s="21">
        <f t="shared" si="21"/>
        <v>109399.74095907</v>
      </c>
      <c r="P174" s="21">
        <f t="shared" si="22"/>
        <v>104074.53307124101</v>
      </c>
      <c r="Q174" s="21">
        <f t="shared" si="23"/>
        <v>1140908.866679528</v>
      </c>
      <c r="R174" s="21">
        <f t="shared" si="24"/>
        <v>2438746.6712812535</v>
      </c>
      <c r="S174" s="21">
        <f t="shared" si="25"/>
        <v>1297837.8046017254</v>
      </c>
      <c r="T174" s="14">
        <f>IFERROR(INDEX(Cost_Components!$R$2:$R$27,MATCH(E174,Cost_Components!$A$2:$A$27,0)),"")</f>
        <v>1</v>
      </c>
      <c r="U174" s="24">
        <f>IFERROR(INDEX(Cost_Components!$Q$2:$Q$27,MATCH(E174,Cost_Components!$A$2:$A$27,0)),"")</f>
        <v>2023</v>
      </c>
      <c r="V174" s="28">
        <f>1/(1+Calculation_Assumptions!$B$5)^(B174-Calculation_Assumptions!$B$2)</f>
        <v>0.62316693922011435</v>
      </c>
      <c r="W174" s="21">
        <f t="shared" si="26"/>
        <v>710976.68637777097</v>
      </c>
      <c r="X174" s="21">
        <f t="shared" si="27"/>
        <v>1519746.2986755811</v>
      </c>
      <c r="Y174" s="21">
        <f t="shared" si="28"/>
        <v>808769.61229781003</v>
      </c>
      <c r="Z174" s="15">
        <f>IFERROR(INDEX(Cost_Components!$T$2:$T$27,MATCH(E174,Cost_Components!$A$2:$A$27,0)),"")</f>
        <v>0.8</v>
      </c>
      <c r="AA174" s="24">
        <f>IFERROR(INDEX(Cost_Components!$U$2:$U$27,MATCH(E174,Cost_Components!$A$2:$A$27,0)),"")</f>
        <v>2025</v>
      </c>
      <c r="AB174" s="24">
        <f>IFERROR(INDEX(Cost_Components!$V$2:$V$27,MATCH(E174,Cost_Components!$A$2:$A$27,0)),"")</f>
        <v>2050</v>
      </c>
      <c r="AC174" s="24">
        <f>IFERROR(INDEX(Cost_Components!$M$2:$M$27,MATCH(E174,Cost_Components!$A$2:$A$27,0)),"")</f>
        <v>0</v>
      </c>
      <c r="AD174" s="24">
        <f>IFERROR(INDEX(Cost_Components!$N$2:$N$27,MATCH(E174,Cost_Components!$A$2:$A$27,0)),"")</f>
        <v>95</v>
      </c>
      <c r="AE174" s="14" t="str">
        <f>IFERROR(INDEX(Cost_Components!$O$2:$O$27,MATCH(E174,Cost_Components!$A$2:$A$27,0)),"")</f>
        <v>Both</v>
      </c>
      <c r="AF174" s="11">
        <v>109399.74095907</v>
      </c>
      <c r="AG174" s="11">
        <v>104074.53307124101</v>
      </c>
      <c r="AH174" s="21">
        <f t="shared" si="29"/>
        <v>1</v>
      </c>
    </row>
    <row r="175" spans="1:34" hidden="1">
      <c r="A175" t="s">
        <v>197</v>
      </c>
      <c r="B175" s="18">
        <v>2042</v>
      </c>
      <c r="C175" t="s">
        <v>197</v>
      </c>
      <c r="D175" t="s">
        <v>187</v>
      </c>
      <c r="E175" s="20" t="s">
        <v>272</v>
      </c>
      <c r="F175" s="20" t="s">
        <v>273</v>
      </c>
      <c r="G175" s="20" t="s">
        <v>198</v>
      </c>
      <c r="H175" s="20" t="s">
        <v>192</v>
      </c>
      <c r="I175" s="20" t="s">
        <v>264</v>
      </c>
      <c r="J175" s="15">
        <f>IFERROR(INDEX(Cost_Components!$K$2:$K$27,MATCH(E175,Cost_Components!$A$2:$A$27,0)),"")</f>
        <v>1</v>
      </c>
      <c r="K175" s="15">
        <f t="shared" si="20"/>
        <v>0.64923076923076928</v>
      </c>
      <c r="L175" s="15">
        <f>IFERROR(INDEX(Cost_Components!$S$2:$S$27,MATCH(E175,Cost_Components!$A$2:$A$27,0)),"")</f>
        <v>0.31</v>
      </c>
      <c r="M175" s="26">
        <f>IFERROR(INDEX(Cost_Components!$L$2:$L$27,MATCH(E175,Cost_Components!$A$2:$A$27,0)),"")</f>
        <v>1</v>
      </c>
      <c r="N175" s="27">
        <f>IFERROR(INDEX(Cost_Components!$P$2:$P$27,MATCH(E175,Cost_Components!$A$2:$A$27,0)),"")</f>
        <v>35.362648999999998</v>
      </c>
      <c r="O175" s="21">
        <f t="shared" si="21"/>
        <v>111641.91869139401</v>
      </c>
      <c r="P175" s="21">
        <f t="shared" si="22"/>
        <v>105801.648046402</v>
      </c>
      <c r="Q175" s="21">
        <f t="shared" si="23"/>
        <v>1159842.2284807994</v>
      </c>
      <c r="R175" s="21">
        <f t="shared" si="24"/>
        <v>2563133.2021604138</v>
      </c>
      <c r="S175" s="21">
        <f t="shared" si="25"/>
        <v>1403290.9736796145</v>
      </c>
      <c r="T175" s="14">
        <f>IFERROR(INDEX(Cost_Components!$R$2:$R$27,MATCH(E175,Cost_Components!$A$2:$A$27,0)),"")</f>
        <v>1</v>
      </c>
      <c r="U175" s="24">
        <f>IFERROR(INDEX(Cost_Components!$Q$2:$Q$27,MATCH(E175,Cost_Components!$A$2:$A$27,0)),"")</f>
        <v>2023</v>
      </c>
      <c r="V175" s="28">
        <f>1/(1+Calculation_Assumptions!$B$5)^(B175-Calculation_Assumptions!$B$2)</f>
        <v>0.60501644584477121</v>
      </c>
      <c r="W175" s="21">
        <f t="shared" si="26"/>
        <v>701723.62281613227</v>
      </c>
      <c r="X175" s="21">
        <f t="shared" si="27"/>
        <v>1550737.7401978211</v>
      </c>
      <c r="Y175" s="21">
        <f t="shared" si="28"/>
        <v>849014.11738168879</v>
      </c>
      <c r="Z175" s="15">
        <f>IFERROR(INDEX(Cost_Components!$T$2:$T$27,MATCH(E175,Cost_Components!$A$2:$A$27,0)),"")</f>
        <v>0.8</v>
      </c>
      <c r="AA175" s="24">
        <f>IFERROR(INDEX(Cost_Components!$U$2:$U$27,MATCH(E175,Cost_Components!$A$2:$A$27,0)),"")</f>
        <v>2025</v>
      </c>
      <c r="AB175" s="24">
        <f>IFERROR(INDEX(Cost_Components!$V$2:$V$27,MATCH(E175,Cost_Components!$A$2:$A$27,0)),"")</f>
        <v>2050</v>
      </c>
      <c r="AC175" s="24">
        <f>IFERROR(INDEX(Cost_Components!$M$2:$M$27,MATCH(E175,Cost_Components!$A$2:$A$27,0)),"")</f>
        <v>0</v>
      </c>
      <c r="AD175" s="24">
        <f>IFERROR(INDEX(Cost_Components!$N$2:$N$27,MATCH(E175,Cost_Components!$A$2:$A$27,0)),"")</f>
        <v>95</v>
      </c>
      <c r="AE175" s="14" t="str">
        <f>IFERROR(INDEX(Cost_Components!$O$2:$O$27,MATCH(E175,Cost_Components!$A$2:$A$27,0)),"")</f>
        <v>Both</v>
      </c>
      <c r="AF175" s="11">
        <v>111641.91869139401</v>
      </c>
      <c r="AG175" s="11">
        <v>105801.648046402</v>
      </c>
      <c r="AH175" s="21">
        <f t="shared" si="29"/>
        <v>1</v>
      </c>
    </row>
    <row r="176" spans="1:34" hidden="1">
      <c r="A176" t="s">
        <v>197</v>
      </c>
      <c r="B176" s="18">
        <v>2043</v>
      </c>
      <c r="C176" t="s">
        <v>197</v>
      </c>
      <c r="D176" t="s">
        <v>187</v>
      </c>
      <c r="E176" s="20" t="s">
        <v>272</v>
      </c>
      <c r="F176" s="20" t="s">
        <v>273</v>
      </c>
      <c r="G176" s="20" t="s">
        <v>198</v>
      </c>
      <c r="H176" s="20" t="s">
        <v>192</v>
      </c>
      <c r="I176" s="20" t="s">
        <v>264</v>
      </c>
      <c r="J176" s="15">
        <f>IFERROR(INDEX(Cost_Components!$K$2:$K$27,MATCH(E176,Cost_Components!$A$2:$A$27,0)),"")</f>
        <v>1</v>
      </c>
      <c r="K176" s="15">
        <f t="shared" si="20"/>
        <v>0.66807692307692301</v>
      </c>
      <c r="L176" s="15">
        <f>IFERROR(INDEX(Cost_Components!$S$2:$S$27,MATCH(E176,Cost_Components!$A$2:$A$27,0)),"")</f>
        <v>0.31</v>
      </c>
      <c r="M176" s="26">
        <f>IFERROR(INDEX(Cost_Components!$L$2:$L$27,MATCH(E176,Cost_Components!$A$2:$A$27,0)),"")</f>
        <v>1</v>
      </c>
      <c r="N176" s="27">
        <f>IFERROR(INDEX(Cost_Components!$P$2:$P$27,MATCH(E176,Cost_Components!$A$2:$A$27,0)),"")</f>
        <v>35.362648999999998</v>
      </c>
      <c r="O176" s="21">
        <f t="shared" si="21"/>
        <v>113944.258266752</v>
      </c>
      <c r="P176" s="21">
        <f t="shared" si="22"/>
        <v>107571.320256081</v>
      </c>
      <c r="Q176" s="21">
        <f t="shared" si="23"/>
        <v>1179242.1206115386</v>
      </c>
      <c r="R176" s="21">
        <f t="shared" si="24"/>
        <v>2691929.6531166886</v>
      </c>
      <c r="S176" s="21">
        <f t="shared" si="25"/>
        <v>1512687.53250515</v>
      </c>
      <c r="T176" s="14">
        <f>IFERROR(INDEX(Cost_Components!$R$2:$R$27,MATCH(E176,Cost_Components!$A$2:$A$27,0)),"")</f>
        <v>1</v>
      </c>
      <c r="U176" s="24">
        <f>IFERROR(INDEX(Cost_Components!$Q$2:$Q$27,MATCH(E176,Cost_Components!$A$2:$A$27,0)),"")</f>
        <v>2023</v>
      </c>
      <c r="V176" s="28">
        <f>1/(1+Calculation_Assumptions!$B$5)^(B176-Calculation_Assumptions!$B$2)</f>
        <v>0.5873946076162827</v>
      </c>
      <c r="W176" s="21">
        <f t="shared" si="26"/>
        <v>692680.46272120788</v>
      </c>
      <c r="X176" s="21">
        <f t="shared" si="27"/>
        <v>1581224.9623231133</v>
      </c>
      <c r="Y176" s="21">
        <f t="shared" si="28"/>
        <v>888544.49960190547</v>
      </c>
      <c r="Z176" s="15">
        <f>IFERROR(INDEX(Cost_Components!$T$2:$T$27,MATCH(E176,Cost_Components!$A$2:$A$27,0)),"")</f>
        <v>0.8</v>
      </c>
      <c r="AA176" s="24">
        <f>IFERROR(INDEX(Cost_Components!$U$2:$U$27,MATCH(E176,Cost_Components!$A$2:$A$27,0)),"")</f>
        <v>2025</v>
      </c>
      <c r="AB176" s="24">
        <f>IFERROR(INDEX(Cost_Components!$V$2:$V$27,MATCH(E176,Cost_Components!$A$2:$A$27,0)),"")</f>
        <v>2050</v>
      </c>
      <c r="AC176" s="24">
        <f>IFERROR(INDEX(Cost_Components!$M$2:$M$27,MATCH(E176,Cost_Components!$A$2:$A$27,0)),"")</f>
        <v>0</v>
      </c>
      <c r="AD176" s="24">
        <f>IFERROR(INDEX(Cost_Components!$N$2:$N$27,MATCH(E176,Cost_Components!$A$2:$A$27,0)),"")</f>
        <v>95</v>
      </c>
      <c r="AE176" s="14" t="str">
        <f>IFERROR(INDEX(Cost_Components!$O$2:$O$27,MATCH(E176,Cost_Components!$A$2:$A$27,0)),"")</f>
        <v>Both</v>
      </c>
      <c r="AF176" s="11">
        <v>113944.258266752</v>
      </c>
      <c r="AG176" s="11">
        <v>107571.320256081</v>
      </c>
      <c r="AH176" s="21">
        <f t="shared" si="29"/>
        <v>1</v>
      </c>
    </row>
    <row r="177" spans="1:34" hidden="1">
      <c r="A177" t="s">
        <v>197</v>
      </c>
      <c r="B177" s="18">
        <v>2044</v>
      </c>
      <c r="C177" t="s">
        <v>197</v>
      </c>
      <c r="D177" t="s">
        <v>187</v>
      </c>
      <c r="E177" s="20" t="s">
        <v>272</v>
      </c>
      <c r="F177" s="20" t="s">
        <v>273</v>
      </c>
      <c r="G177" s="20" t="s">
        <v>198</v>
      </c>
      <c r="H177" s="20" t="s">
        <v>192</v>
      </c>
      <c r="I177" s="20" t="s">
        <v>264</v>
      </c>
      <c r="J177" s="15">
        <f>IFERROR(INDEX(Cost_Components!$K$2:$K$27,MATCH(E177,Cost_Components!$A$2:$A$27,0)),"")</f>
        <v>1</v>
      </c>
      <c r="K177" s="15">
        <f t="shared" si="20"/>
        <v>0.68692307692307697</v>
      </c>
      <c r="L177" s="15">
        <f>IFERROR(INDEX(Cost_Components!$S$2:$S$27,MATCH(E177,Cost_Components!$A$2:$A$27,0)),"")</f>
        <v>0.31</v>
      </c>
      <c r="M177" s="26">
        <f>IFERROR(INDEX(Cost_Components!$L$2:$L$27,MATCH(E177,Cost_Components!$A$2:$A$27,0)),"")</f>
        <v>1</v>
      </c>
      <c r="N177" s="27">
        <f>IFERROR(INDEX(Cost_Components!$P$2:$P$27,MATCH(E177,Cost_Components!$A$2:$A$27,0)),"")</f>
        <v>35.362648999999998</v>
      </c>
      <c r="O177" s="21">
        <f t="shared" si="21"/>
        <v>116301.68194594901</v>
      </c>
      <c r="P177" s="21">
        <f t="shared" si="22"/>
        <v>109378.894414443</v>
      </c>
      <c r="Q177" s="21">
        <f t="shared" si="23"/>
        <v>1199057.5098676626</v>
      </c>
      <c r="R177" s="21">
        <f t="shared" si="24"/>
        <v>2825132.9632234299</v>
      </c>
      <c r="S177" s="21">
        <f t="shared" si="25"/>
        <v>1626075.4533557673</v>
      </c>
      <c r="T177" s="14">
        <f>IFERROR(INDEX(Cost_Components!$R$2:$R$27,MATCH(E177,Cost_Components!$A$2:$A$27,0)),"")</f>
        <v>1</v>
      </c>
      <c r="U177" s="24">
        <f>IFERROR(INDEX(Cost_Components!$Q$2:$Q$27,MATCH(E177,Cost_Components!$A$2:$A$27,0)),"")</f>
        <v>2023</v>
      </c>
      <c r="V177" s="28">
        <f>1/(1+Calculation_Assumptions!$B$5)^(B177-Calculation_Assumptions!$B$2)</f>
        <v>0.57028602681192497</v>
      </c>
      <c r="W177" s="21">
        <f t="shared" si="26"/>
        <v>683805.74322142976</v>
      </c>
      <c r="X177" s="21">
        <f t="shared" si="27"/>
        <v>1611133.85281209</v>
      </c>
      <c r="Y177" s="21">
        <f t="shared" si="28"/>
        <v>927328.1095906602</v>
      </c>
      <c r="Z177" s="15">
        <f>IFERROR(INDEX(Cost_Components!$T$2:$T$27,MATCH(E177,Cost_Components!$A$2:$A$27,0)),"")</f>
        <v>0.8</v>
      </c>
      <c r="AA177" s="24">
        <f>IFERROR(INDEX(Cost_Components!$U$2:$U$27,MATCH(E177,Cost_Components!$A$2:$A$27,0)),"")</f>
        <v>2025</v>
      </c>
      <c r="AB177" s="24">
        <f>IFERROR(INDEX(Cost_Components!$V$2:$V$27,MATCH(E177,Cost_Components!$A$2:$A$27,0)),"")</f>
        <v>2050</v>
      </c>
      <c r="AC177" s="24">
        <f>IFERROR(INDEX(Cost_Components!$M$2:$M$27,MATCH(E177,Cost_Components!$A$2:$A$27,0)),"")</f>
        <v>0</v>
      </c>
      <c r="AD177" s="24">
        <f>IFERROR(INDEX(Cost_Components!$N$2:$N$27,MATCH(E177,Cost_Components!$A$2:$A$27,0)),"")</f>
        <v>95</v>
      </c>
      <c r="AE177" s="14" t="str">
        <f>IFERROR(INDEX(Cost_Components!$O$2:$O$27,MATCH(E177,Cost_Components!$A$2:$A$27,0)),"")</f>
        <v>Both</v>
      </c>
      <c r="AF177" s="11">
        <v>116301.68194594901</v>
      </c>
      <c r="AG177" s="11">
        <v>109378.894414443</v>
      </c>
      <c r="AH177" s="21">
        <f t="shared" si="29"/>
        <v>1</v>
      </c>
    </row>
    <row r="178" spans="1:34" hidden="1">
      <c r="A178" t="s">
        <v>197</v>
      </c>
      <c r="B178" s="18">
        <v>2045</v>
      </c>
      <c r="C178" t="s">
        <v>197</v>
      </c>
      <c r="D178" t="s">
        <v>187</v>
      </c>
      <c r="E178" s="20" t="s">
        <v>272</v>
      </c>
      <c r="F178" s="20" t="s">
        <v>273</v>
      </c>
      <c r="G178" s="20" t="s">
        <v>198</v>
      </c>
      <c r="H178" s="20" t="s">
        <v>192</v>
      </c>
      <c r="I178" s="20" t="s">
        <v>264</v>
      </c>
      <c r="J178" s="15">
        <f>IFERROR(INDEX(Cost_Components!$K$2:$K$27,MATCH(E178,Cost_Components!$A$2:$A$27,0)),"")</f>
        <v>1</v>
      </c>
      <c r="K178" s="15">
        <f t="shared" si="20"/>
        <v>0.70576923076923082</v>
      </c>
      <c r="L178" s="15">
        <f>IFERROR(INDEX(Cost_Components!$S$2:$S$27,MATCH(E178,Cost_Components!$A$2:$A$27,0)),"")</f>
        <v>0.31</v>
      </c>
      <c r="M178" s="26">
        <f>IFERROR(INDEX(Cost_Components!$L$2:$L$27,MATCH(E178,Cost_Components!$A$2:$A$27,0)),"")</f>
        <v>1</v>
      </c>
      <c r="N178" s="27">
        <f>IFERROR(INDEX(Cost_Components!$P$2:$P$27,MATCH(E178,Cost_Components!$A$2:$A$27,0)),"")</f>
        <v>35.362648999999998</v>
      </c>
      <c r="O178" s="21">
        <f t="shared" si="21"/>
        <v>118705.25798249</v>
      </c>
      <c r="P178" s="21">
        <f t="shared" si="22"/>
        <v>111216.138075836</v>
      </c>
      <c r="Q178" s="21">
        <f t="shared" si="23"/>
        <v>1219198.1487125102</v>
      </c>
      <c r="R178" s="21">
        <f t="shared" si="24"/>
        <v>2962630.3475068305</v>
      </c>
      <c r="S178" s="21">
        <f t="shared" si="25"/>
        <v>1743432.1987943202</v>
      </c>
      <c r="T178" s="14">
        <f>IFERROR(INDEX(Cost_Components!$R$2:$R$27,MATCH(E178,Cost_Components!$A$2:$A$27,0)),"")</f>
        <v>1</v>
      </c>
      <c r="U178" s="24">
        <f>IFERROR(INDEX(Cost_Components!$Q$2:$Q$27,MATCH(E178,Cost_Components!$A$2:$A$27,0)),"")</f>
        <v>2023</v>
      </c>
      <c r="V178" s="28">
        <f>1/(1+Calculation_Assumptions!$B$5)^(B178-Calculation_Assumptions!$B$2)</f>
        <v>0.55367575418633497</v>
      </c>
      <c r="W178" s="21">
        <f t="shared" si="26"/>
        <v>675040.45449098246</v>
      </c>
      <c r="X178" s="21">
        <f t="shared" si="27"/>
        <v>1640336.5920311681</v>
      </c>
      <c r="Y178" s="21">
        <f t="shared" si="28"/>
        <v>965296.13754018547</v>
      </c>
      <c r="Z178" s="15">
        <f>IFERROR(INDEX(Cost_Components!$T$2:$T$27,MATCH(E178,Cost_Components!$A$2:$A$27,0)),"")</f>
        <v>0.8</v>
      </c>
      <c r="AA178" s="24">
        <f>IFERROR(INDEX(Cost_Components!$U$2:$U$27,MATCH(E178,Cost_Components!$A$2:$A$27,0)),"")</f>
        <v>2025</v>
      </c>
      <c r="AB178" s="24">
        <f>IFERROR(INDEX(Cost_Components!$V$2:$V$27,MATCH(E178,Cost_Components!$A$2:$A$27,0)),"")</f>
        <v>2050</v>
      </c>
      <c r="AC178" s="24">
        <f>IFERROR(INDEX(Cost_Components!$M$2:$M$27,MATCH(E178,Cost_Components!$A$2:$A$27,0)),"")</f>
        <v>0</v>
      </c>
      <c r="AD178" s="24">
        <f>IFERROR(INDEX(Cost_Components!$N$2:$N$27,MATCH(E178,Cost_Components!$A$2:$A$27,0)),"")</f>
        <v>95</v>
      </c>
      <c r="AE178" s="14" t="str">
        <f>IFERROR(INDEX(Cost_Components!$O$2:$O$27,MATCH(E178,Cost_Components!$A$2:$A$27,0)),"")</f>
        <v>Both</v>
      </c>
      <c r="AF178" s="11">
        <v>118705.25798249</v>
      </c>
      <c r="AG178" s="11">
        <v>111216.138075836</v>
      </c>
      <c r="AH178" s="21">
        <f t="shared" si="29"/>
        <v>1</v>
      </c>
    </row>
    <row r="179" spans="1:34" hidden="1">
      <c r="A179" t="s">
        <v>197</v>
      </c>
      <c r="B179" s="18">
        <v>2046</v>
      </c>
      <c r="C179" t="s">
        <v>197</v>
      </c>
      <c r="D179" t="s">
        <v>187</v>
      </c>
      <c r="E179" s="20" t="s">
        <v>272</v>
      </c>
      <c r="F179" s="20" t="s">
        <v>273</v>
      </c>
      <c r="G179" s="20" t="s">
        <v>198</v>
      </c>
      <c r="H179" s="20" t="s">
        <v>192</v>
      </c>
      <c r="I179" s="20" t="s">
        <v>264</v>
      </c>
      <c r="J179" s="15">
        <f>IFERROR(INDEX(Cost_Components!$K$2:$K$27,MATCH(E179,Cost_Components!$A$2:$A$27,0)),"")</f>
        <v>1</v>
      </c>
      <c r="K179" s="15">
        <f t="shared" si="20"/>
        <v>0.72461538461538466</v>
      </c>
      <c r="L179" s="15">
        <f>IFERROR(INDEX(Cost_Components!$S$2:$S$27,MATCH(E179,Cost_Components!$A$2:$A$27,0)),"")</f>
        <v>0.31</v>
      </c>
      <c r="M179" s="26">
        <f>IFERROR(INDEX(Cost_Components!$L$2:$L$27,MATCH(E179,Cost_Components!$A$2:$A$27,0)),"")</f>
        <v>1</v>
      </c>
      <c r="N179" s="27">
        <f>IFERROR(INDEX(Cost_Components!$P$2:$P$27,MATCH(E179,Cost_Components!$A$2:$A$27,0)),"")</f>
        <v>35.362648999999998</v>
      </c>
      <c r="O179" s="21">
        <f t="shared" si="21"/>
        <v>121139.786196696</v>
      </c>
      <c r="P179" s="21">
        <f t="shared" si="22"/>
        <v>113069.08390616599</v>
      </c>
      <c r="Q179" s="21">
        <f t="shared" si="23"/>
        <v>1239510.9213468421</v>
      </c>
      <c r="R179" s="21">
        <f t="shared" si="24"/>
        <v>3104124.5864113038</v>
      </c>
      <c r="S179" s="21">
        <f t="shared" si="25"/>
        <v>1864613.6650644618</v>
      </c>
      <c r="T179" s="14">
        <f>IFERROR(INDEX(Cost_Components!$R$2:$R$27,MATCH(E179,Cost_Components!$A$2:$A$27,0)),"")</f>
        <v>1</v>
      </c>
      <c r="U179" s="24">
        <f>IFERROR(INDEX(Cost_Components!$Q$2:$Q$27,MATCH(E179,Cost_Components!$A$2:$A$27,0)),"")</f>
        <v>2023</v>
      </c>
      <c r="V179" s="28">
        <f>1/(1+Calculation_Assumptions!$B$5)^(B179-Calculation_Assumptions!$B$2)</f>
        <v>0.5375492759090631</v>
      </c>
      <c r="W179" s="21">
        <f t="shared" si="26"/>
        <v>666298.19825137057</v>
      </c>
      <c r="X179" s="21">
        <f t="shared" si="27"/>
        <v>1668619.9237569163</v>
      </c>
      <c r="Y179" s="21">
        <f t="shared" si="28"/>
        <v>1002321.7255055457</v>
      </c>
      <c r="Z179" s="15">
        <f>IFERROR(INDEX(Cost_Components!$T$2:$T$27,MATCH(E179,Cost_Components!$A$2:$A$27,0)),"")</f>
        <v>0.8</v>
      </c>
      <c r="AA179" s="24">
        <f>IFERROR(INDEX(Cost_Components!$U$2:$U$27,MATCH(E179,Cost_Components!$A$2:$A$27,0)),"")</f>
        <v>2025</v>
      </c>
      <c r="AB179" s="24">
        <f>IFERROR(INDEX(Cost_Components!$V$2:$V$27,MATCH(E179,Cost_Components!$A$2:$A$27,0)),"")</f>
        <v>2050</v>
      </c>
      <c r="AC179" s="24">
        <f>IFERROR(INDEX(Cost_Components!$M$2:$M$27,MATCH(E179,Cost_Components!$A$2:$A$27,0)),"")</f>
        <v>0</v>
      </c>
      <c r="AD179" s="24">
        <f>IFERROR(INDEX(Cost_Components!$N$2:$N$27,MATCH(E179,Cost_Components!$A$2:$A$27,0)),"")</f>
        <v>95</v>
      </c>
      <c r="AE179" s="14" t="str">
        <f>IFERROR(INDEX(Cost_Components!$O$2:$O$27,MATCH(E179,Cost_Components!$A$2:$A$27,0)),"")</f>
        <v>Both</v>
      </c>
      <c r="AF179" s="11">
        <v>121139.786196696</v>
      </c>
      <c r="AG179" s="11">
        <v>113069.08390616599</v>
      </c>
      <c r="AH179" s="21">
        <f t="shared" si="29"/>
        <v>1</v>
      </c>
    </row>
    <row r="180" spans="1:34" hidden="1">
      <c r="A180" t="s">
        <v>197</v>
      </c>
      <c r="B180" s="18">
        <v>2047</v>
      </c>
      <c r="C180" t="s">
        <v>197</v>
      </c>
      <c r="D180" t="s">
        <v>187</v>
      </c>
      <c r="E180" s="20" t="s">
        <v>272</v>
      </c>
      <c r="F180" s="20" t="s">
        <v>273</v>
      </c>
      <c r="G180" s="20" t="s">
        <v>198</v>
      </c>
      <c r="H180" s="20" t="s">
        <v>192</v>
      </c>
      <c r="I180" s="20" t="s">
        <v>264</v>
      </c>
      <c r="J180" s="15">
        <f>IFERROR(INDEX(Cost_Components!$K$2:$K$27,MATCH(E180,Cost_Components!$A$2:$A$27,0)),"")</f>
        <v>1</v>
      </c>
      <c r="K180" s="15">
        <f t="shared" si="20"/>
        <v>0.74346153846153851</v>
      </c>
      <c r="L180" s="15">
        <f>IFERROR(INDEX(Cost_Components!$S$2:$S$27,MATCH(E180,Cost_Components!$A$2:$A$27,0)),"")</f>
        <v>0.31</v>
      </c>
      <c r="M180" s="26">
        <f>IFERROR(INDEX(Cost_Components!$L$2:$L$27,MATCH(E180,Cost_Components!$A$2:$A$27,0)),"")</f>
        <v>1</v>
      </c>
      <c r="N180" s="27">
        <f>IFERROR(INDEX(Cost_Components!$P$2:$P$27,MATCH(E180,Cost_Components!$A$2:$A$27,0)),"")</f>
        <v>35.362648999999998</v>
      </c>
      <c r="O180" s="21">
        <f t="shared" si="21"/>
        <v>123589.971524728</v>
      </c>
      <c r="P180" s="21">
        <f t="shared" si="22"/>
        <v>114923.915044056</v>
      </c>
      <c r="Q180" s="21">
        <f t="shared" si="23"/>
        <v>1259844.3615167192</v>
      </c>
      <c r="R180" s="21">
        <f t="shared" si="24"/>
        <v>3249275.4451693543</v>
      </c>
      <c r="S180" s="21">
        <f t="shared" si="25"/>
        <v>1989431.0836526351</v>
      </c>
      <c r="T180" s="14">
        <f>IFERROR(INDEX(Cost_Components!$R$2:$R$27,MATCH(E180,Cost_Components!$A$2:$A$27,0)),"")</f>
        <v>1</v>
      </c>
      <c r="U180" s="24">
        <f>IFERROR(INDEX(Cost_Components!$Q$2:$Q$27,MATCH(E180,Cost_Components!$A$2:$A$27,0)),"")</f>
        <v>2023</v>
      </c>
      <c r="V180" s="28">
        <f>1/(1+Calculation_Assumptions!$B$5)^(B180-Calculation_Assumptions!$B$2)</f>
        <v>0.52189250088258554</v>
      </c>
      <c r="W180" s="21">
        <f t="shared" si="26"/>
        <v>657503.32455478481</v>
      </c>
      <c r="X180" s="21">
        <f t="shared" si="27"/>
        <v>1695772.4881358107</v>
      </c>
      <c r="Y180" s="21">
        <f t="shared" si="28"/>
        <v>1038269.163581026</v>
      </c>
      <c r="Z180" s="15">
        <f>IFERROR(INDEX(Cost_Components!$T$2:$T$27,MATCH(E180,Cost_Components!$A$2:$A$27,0)),"")</f>
        <v>0.8</v>
      </c>
      <c r="AA180" s="24">
        <f>IFERROR(INDEX(Cost_Components!$U$2:$U$27,MATCH(E180,Cost_Components!$A$2:$A$27,0)),"")</f>
        <v>2025</v>
      </c>
      <c r="AB180" s="24">
        <f>IFERROR(INDEX(Cost_Components!$V$2:$V$27,MATCH(E180,Cost_Components!$A$2:$A$27,0)),"")</f>
        <v>2050</v>
      </c>
      <c r="AC180" s="24">
        <f>IFERROR(INDEX(Cost_Components!$M$2:$M$27,MATCH(E180,Cost_Components!$A$2:$A$27,0)),"")</f>
        <v>0</v>
      </c>
      <c r="AD180" s="24">
        <f>IFERROR(INDEX(Cost_Components!$N$2:$N$27,MATCH(E180,Cost_Components!$A$2:$A$27,0)),"")</f>
        <v>95</v>
      </c>
      <c r="AE180" s="14" t="str">
        <f>IFERROR(INDEX(Cost_Components!$O$2:$O$27,MATCH(E180,Cost_Components!$A$2:$A$27,0)),"")</f>
        <v>Both</v>
      </c>
      <c r="AF180" s="11">
        <v>123589.971524728</v>
      </c>
      <c r="AG180" s="11">
        <v>114923.915044056</v>
      </c>
      <c r="AH180" s="21">
        <f t="shared" si="29"/>
        <v>1</v>
      </c>
    </row>
    <row r="181" spans="1:34" hidden="1">
      <c r="A181" t="s">
        <v>197</v>
      </c>
      <c r="B181" s="18">
        <v>2048</v>
      </c>
      <c r="C181" t="s">
        <v>197</v>
      </c>
      <c r="D181" t="s">
        <v>187</v>
      </c>
      <c r="E181" s="20" t="s">
        <v>272</v>
      </c>
      <c r="F181" s="20" t="s">
        <v>273</v>
      </c>
      <c r="G181" s="20" t="s">
        <v>198</v>
      </c>
      <c r="H181" s="20" t="s">
        <v>192</v>
      </c>
      <c r="I181" s="20" t="s">
        <v>264</v>
      </c>
      <c r="J181" s="15">
        <f>IFERROR(INDEX(Cost_Components!$K$2:$K$27,MATCH(E181,Cost_Components!$A$2:$A$27,0)),"")</f>
        <v>1</v>
      </c>
      <c r="K181" s="15">
        <f t="shared" si="20"/>
        <v>0.76230769230769235</v>
      </c>
      <c r="L181" s="15">
        <f>IFERROR(INDEX(Cost_Components!$S$2:$S$27,MATCH(E181,Cost_Components!$A$2:$A$27,0)),"")</f>
        <v>0.31</v>
      </c>
      <c r="M181" s="26">
        <f>IFERROR(INDEX(Cost_Components!$L$2:$L$27,MATCH(E181,Cost_Components!$A$2:$A$27,0)),"")</f>
        <v>1</v>
      </c>
      <c r="N181" s="27">
        <f>IFERROR(INDEX(Cost_Components!$P$2:$P$27,MATCH(E181,Cost_Components!$A$2:$A$27,0)),"")</f>
        <v>35.362648999999998</v>
      </c>
      <c r="O181" s="21">
        <f t="shared" si="21"/>
        <v>126036.066941364</v>
      </c>
      <c r="P181" s="21">
        <f t="shared" si="22"/>
        <v>116764.023601522</v>
      </c>
      <c r="Q181" s="21">
        <f t="shared" si="23"/>
        <v>1280016.4065589847</v>
      </c>
      <c r="R181" s="21">
        <f t="shared" si="24"/>
        <v>3397581.902937436</v>
      </c>
      <c r="S181" s="21">
        <f t="shared" si="25"/>
        <v>2117565.4963784516</v>
      </c>
      <c r="T181" s="14">
        <f>IFERROR(INDEX(Cost_Components!$R$2:$R$27,MATCH(E181,Cost_Components!$A$2:$A$27,0)),"")</f>
        <v>1</v>
      </c>
      <c r="U181" s="24">
        <f>IFERROR(INDEX(Cost_Components!$Q$2:$Q$27,MATCH(E181,Cost_Components!$A$2:$A$27,0)),"")</f>
        <v>2023</v>
      </c>
      <c r="V181" s="28">
        <f>1/(1+Calculation_Assumptions!$B$5)^(B181-Calculation_Assumptions!$B$2)</f>
        <v>0.50669174842969467</v>
      </c>
      <c r="W181" s="21">
        <f t="shared" si="26"/>
        <v>648573.75105806685</v>
      </c>
      <c r="X181" s="21">
        <f t="shared" si="27"/>
        <v>1721526.7148324586</v>
      </c>
      <c r="Y181" s="21">
        <f t="shared" si="28"/>
        <v>1072952.9637743919</v>
      </c>
      <c r="Z181" s="15">
        <f>IFERROR(INDEX(Cost_Components!$T$2:$T$27,MATCH(E181,Cost_Components!$A$2:$A$27,0)),"")</f>
        <v>0.8</v>
      </c>
      <c r="AA181" s="24">
        <f>IFERROR(INDEX(Cost_Components!$U$2:$U$27,MATCH(E181,Cost_Components!$A$2:$A$27,0)),"")</f>
        <v>2025</v>
      </c>
      <c r="AB181" s="24">
        <f>IFERROR(INDEX(Cost_Components!$V$2:$V$27,MATCH(E181,Cost_Components!$A$2:$A$27,0)),"")</f>
        <v>2050</v>
      </c>
      <c r="AC181" s="24">
        <f>IFERROR(INDEX(Cost_Components!$M$2:$M$27,MATCH(E181,Cost_Components!$A$2:$A$27,0)),"")</f>
        <v>0</v>
      </c>
      <c r="AD181" s="24">
        <f>IFERROR(INDEX(Cost_Components!$N$2:$N$27,MATCH(E181,Cost_Components!$A$2:$A$27,0)),"")</f>
        <v>95</v>
      </c>
      <c r="AE181" s="14" t="str">
        <f>IFERROR(INDEX(Cost_Components!$O$2:$O$27,MATCH(E181,Cost_Components!$A$2:$A$27,0)),"")</f>
        <v>Both</v>
      </c>
      <c r="AF181" s="11">
        <v>126036.066941364</v>
      </c>
      <c r="AG181" s="11">
        <v>116764.023601522</v>
      </c>
      <c r="AH181" s="21">
        <f t="shared" si="29"/>
        <v>1</v>
      </c>
    </row>
    <row r="182" spans="1:34" hidden="1">
      <c r="A182" t="s">
        <v>197</v>
      </c>
      <c r="B182" s="18">
        <v>2049</v>
      </c>
      <c r="C182" t="s">
        <v>197</v>
      </c>
      <c r="D182" t="s">
        <v>187</v>
      </c>
      <c r="E182" s="20" t="s">
        <v>272</v>
      </c>
      <c r="F182" s="20" t="s">
        <v>273</v>
      </c>
      <c r="G182" s="20" t="s">
        <v>198</v>
      </c>
      <c r="H182" s="20" t="s">
        <v>192</v>
      </c>
      <c r="I182" s="20" t="s">
        <v>264</v>
      </c>
      <c r="J182" s="15">
        <f>IFERROR(INDEX(Cost_Components!$K$2:$K$27,MATCH(E182,Cost_Components!$A$2:$A$27,0)),"")</f>
        <v>1</v>
      </c>
      <c r="K182" s="15">
        <f t="shared" si="20"/>
        <v>0.7811538461538462</v>
      </c>
      <c r="L182" s="15">
        <f>IFERROR(INDEX(Cost_Components!$S$2:$S$27,MATCH(E182,Cost_Components!$A$2:$A$27,0)),"")</f>
        <v>0.31</v>
      </c>
      <c r="M182" s="26">
        <f>IFERROR(INDEX(Cost_Components!$L$2:$L$27,MATCH(E182,Cost_Components!$A$2:$A$27,0)),"")</f>
        <v>1</v>
      </c>
      <c r="N182" s="27">
        <f>IFERROR(INDEX(Cost_Components!$P$2:$P$27,MATCH(E182,Cost_Components!$A$2:$A$27,0)),"")</f>
        <v>35.362648999999998</v>
      </c>
      <c r="O182" s="21">
        <f t="shared" si="21"/>
        <v>128466.372242019</v>
      </c>
      <c r="P182" s="21">
        <f t="shared" si="22"/>
        <v>118577.866241739</v>
      </c>
      <c r="Q182" s="21">
        <f t="shared" si="23"/>
        <v>1299900.5135534252</v>
      </c>
      <c r="R182" s="21">
        <f t="shared" si="24"/>
        <v>3548712.5799702141</v>
      </c>
      <c r="S182" s="21">
        <f t="shared" si="25"/>
        <v>2248812.0664167888</v>
      </c>
      <c r="T182" s="14">
        <f>IFERROR(INDEX(Cost_Components!$R$2:$R$27,MATCH(E182,Cost_Components!$A$2:$A$27,0)),"")</f>
        <v>1</v>
      </c>
      <c r="U182" s="24">
        <f>IFERROR(INDEX(Cost_Components!$Q$2:$Q$27,MATCH(E182,Cost_Components!$A$2:$A$27,0)),"")</f>
        <v>2023</v>
      </c>
      <c r="V182" s="28">
        <f>1/(1+Calculation_Assumptions!$B$5)^(B182-Calculation_Assumptions!$B$2)</f>
        <v>0.49193373633950943</v>
      </c>
      <c r="W182" s="21">
        <f t="shared" si="26"/>
        <v>639464.91650198353</v>
      </c>
      <c r="X182" s="21">
        <f t="shared" si="27"/>
        <v>1745731.4386597676</v>
      </c>
      <c r="Y182" s="21">
        <f t="shared" si="28"/>
        <v>1106266.5221577841</v>
      </c>
      <c r="Z182" s="15">
        <f>IFERROR(INDEX(Cost_Components!$T$2:$T$27,MATCH(E182,Cost_Components!$A$2:$A$27,0)),"")</f>
        <v>0.8</v>
      </c>
      <c r="AA182" s="24">
        <f>IFERROR(INDEX(Cost_Components!$U$2:$U$27,MATCH(E182,Cost_Components!$A$2:$A$27,0)),"")</f>
        <v>2025</v>
      </c>
      <c r="AB182" s="24">
        <f>IFERROR(INDEX(Cost_Components!$V$2:$V$27,MATCH(E182,Cost_Components!$A$2:$A$27,0)),"")</f>
        <v>2050</v>
      </c>
      <c r="AC182" s="24">
        <f>IFERROR(INDEX(Cost_Components!$M$2:$M$27,MATCH(E182,Cost_Components!$A$2:$A$27,0)),"")</f>
        <v>0</v>
      </c>
      <c r="AD182" s="24">
        <f>IFERROR(INDEX(Cost_Components!$N$2:$N$27,MATCH(E182,Cost_Components!$A$2:$A$27,0)),"")</f>
        <v>95</v>
      </c>
      <c r="AE182" s="14" t="str">
        <f>IFERROR(INDEX(Cost_Components!$O$2:$O$27,MATCH(E182,Cost_Components!$A$2:$A$27,0)),"")</f>
        <v>Both</v>
      </c>
      <c r="AF182" s="11">
        <v>128466.372242019</v>
      </c>
      <c r="AG182" s="11">
        <v>118577.866241739</v>
      </c>
      <c r="AH182" s="21">
        <f t="shared" si="29"/>
        <v>1</v>
      </c>
    </row>
    <row r="183" spans="1:34" hidden="1">
      <c r="A183" t="s">
        <v>197</v>
      </c>
      <c r="B183" s="18">
        <v>2050</v>
      </c>
      <c r="C183" t="s">
        <v>197</v>
      </c>
      <c r="D183" t="s">
        <v>187</v>
      </c>
      <c r="E183" s="20" t="s">
        <v>272</v>
      </c>
      <c r="F183" s="20" t="s">
        <v>273</v>
      </c>
      <c r="G183" s="20" t="s">
        <v>198</v>
      </c>
      <c r="H183" s="20" t="s">
        <v>192</v>
      </c>
      <c r="I183" s="20" t="s">
        <v>264</v>
      </c>
      <c r="J183" s="15">
        <f>IFERROR(INDEX(Cost_Components!$K$2:$K$27,MATCH(E183,Cost_Components!$A$2:$A$27,0)),"")</f>
        <v>1</v>
      </c>
      <c r="K183" s="15">
        <f t="shared" si="20"/>
        <v>0.8</v>
      </c>
      <c r="L183" s="15">
        <f>IFERROR(INDEX(Cost_Components!$S$2:$S$27,MATCH(E183,Cost_Components!$A$2:$A$27,0)),"")</f>
        <v>0.31</v>
      </c>
      <c r="M183" s="26">
        <f>IFERROR(INDEX(Cost_Components!$L$2:$L$27,MATCH(E183,Cost_Components!$A$2:$A$27,0)),"")</f>
        <v>1</v>
      </c>
      <c r="N183" s="27">
        <f>IFERROR(INDEX(Cost_Components!$P$2:$P$27,MATCH(E183,Cost_Components!$A$2:$A$27,0)),"")</f>
        <v>35.362648999999998</v>
      </c>
      <c r="O183" s="21">
        <f t="shared" si="21"/>
        <v>130871.459803826</v>
      </c>
      <c r="P183" s="21">
        <f t="shared" si="22"/>
        <v>120355.978736713</v>
      </c>
      <c r="Q183" s="21">
        <f t="shared" si="23"/>
        <v>1319392.9316465319</v>
      </c>
      <c r="R183" s="21">
        <f t="shared" si="24"/>
        <v>3702369.197728246</v>
      </c>
      <c r="S183" s="21">
        <f t="shared" si="25"/>
        <v>2382976.2660817141</v>
      </c>
      <c r="T183" s="14">
        <f>IFERROR(INDEX(Cost_Components!$R$2:$R$27,MATCH(E183,Cost_Components!$A$2:$A$27,0)),"")</f>
        <v>1</v>
      </c>
      <c r="U183" s="24">
        <f>IFERROR(INDEX(Cost_Components!$Q$2:$Q$27,MATCH(E183,Cost_Components!$A$2:$A$27,0)),"")</f>
        <v>2023</v>
      </c>
      <c r="V183" s="28">
        <f>1/(1+Calculation_Assumptions!$B$5)^(B183-Calculation_Assumptions!$B$2)</f>
        <v>0.47760556926165965</v>
      </c>
      <c r="W183" s="21">
        <f t="shared" si="26"/>
        <v>630149.41219885182</v>
      </c>
      <c r="X183" s="21">
        <f t="shared" si="27"/>
        <v>1768272.148297833</v>
      </c>
      <c r="Y183" s="21">
        <f t="shared" si="28"/>
        <v>1138122.7360989812</v>
      </c>
      <c r="Z183" s="15">
        <f>IFERROR(INDEX(Cost_Components!$T$2:$T$27,MATCH(E183,Cost_Components!$A$2:$A$27,0)),"")</f>
        <v>0.8</v>
      </c>
      <c r="AA183" s="24">
        <f>IFERROR(INDEX(Cost_Components!$U$2:$U$27,MATCH(E183,Cost_Components!$A$2:$A$27,0)),"")</f>
        <v>2025</v>
      </c>
      <c r="AB183" s="24">
        <f>IFERROR(INDEX(Cost_Components!$V$2:$V$27,MATCH(E183,Cost_Components!$A$2:$A$27,0)),"")</f>
        <v>2050</v>
      </c>
      <c r="AC183" s="24">
        <f>IFERROR(INDEX(Cost_Components!$M$2:$M$27,MATCH(E183,Cost_Components!$A$2:$A$27,0)),"")</f>
        <v>0</v>
      </c>
      <c r="AD183" s="24">
        <f>IFERROR(INDEX(Cost_Components!$N$2:$N$27,MATCH(E183,Cost_Components!$A$2:$A$27,0)),"")</f>
        <v>95</v>
      </c>
      <c r="AE183" s="14" t="str">
        <f>IFERROR(INDEX(Cost_Components!$O$2:$O$27,MATCH(E183,Cost_Components!$A$2:$A$27,0)),"")</f>
        <v>Both</v>
      </c>
      <c r="AF183" s="11">
        <v>130871.459803826</v>
      </c>
      <c r="AG183" s="11">
        <v>120355.978736713</v>
      </c>
      <c r="AH183" s="21">
        <f t="shared" si="29"/>
        <v>1</v>
      </c>
    </row>
    <row r="184" spans="1:34" hidden="1">
      <c r="A184" t="s">
        <v>197</v>
      </c>
      <c r="B184" s="18">
        <v>2025</v>
      </c>
      <c r="C184" t="s">
        <v>197</v>
      </c>
      <c r="D184" t="s">
        <v>187</v>
      </c>
      <c r="E184" s="20" t="s">
        <v>275</v>
      </c>
      <c r="F184" s="20" t="s">
        <v>276</v>
      </c>
      <c r="G184" s="20" t="s">
        <v>198</v>
      </c>
      <c r="H184" s="20" t="s">
        <v>192</v>
      </c>
      <c r="I184" s="20" t="s">
        <v>264</v>
      </c>
      <c r="J184" s="15">
        <f>IFERROR(INDEX(Cost_Components!$K$2:$K$27,MATCH(E184,Cost_Components!$A$2:$A$27,0)),"")</f>
        <v>1</v>
      </c>
      <c r="K184" s="15">
        <f t="shared" si="20"/>
        <v>0.32884615384615384</v>
      </c>
      <c r="L184" s="15">
        <f>IFERROR(INDEX(Cost_Components!$S$2:$S$27,MATCH(E184,Cost_Components!$A$2:$A$27,0)),"")</f>
        <v>0.31</v>
      </c>
      <c r="M184" s="26">
        <f>IFERROR(INDEX(Cost_Components!$L$2:$L$27,MATCH(E184,Cost_Components!$A$2:$A$27,0)),"")</f>
        <v>1</v>
      </c>
      <c r="N184" s="27">
        <f>IFERROR(INDEX(Cost_Components!$P$2:$P$27,MATCH(E184,Cost_Components!$A$2:$A$27,0)),"")</f>
        <v>115.10623099999999</v>
      </c>
      <c r="O184" s="21">
        <f t="shared" si="21"/>
        <v>78235.110312680597</v>
      </c>
      <c r="P184" s="21">
        <f t="shared" si="22"/>
        <v>78177.722455986499</v>
      </c>
      <c r="Q184" s="21">
        <f t="shared" si="23"/>
        <v>2789610.3238225272</v>
      </c>
      <c r="R184" s="21">
        <f t="shared" si="24"/>
        <v>2961374.2774490076</v>
      </c>
      <c r="S184" s="21">
        <f t="shared" si="25"/>
        <v>171763.95362648042</v>
      </c>
      <c r="T184" s="14">
        <f>IFERROR(INDEX(Cost_Components!$R$2:$R$27,MATCH(E184,Cost_Components!$A$2:$A$27,0)),"")</f>
        <v>1</v>
      </c>
      <c r="U184" s="24">
        <f>IFERROR(INDEX(Cost_Components!$Q$2:$Q$27,MATCH(E184,Cost_Components!$A$2:$A$27,0)),"")</f>
        <v>2023</v>
      </c>
      <c r="V184" s="28">
        <f>1/(1+Calculation_Assumptions!$B$5)^(B184-Calculation_Assumptions!$B$2)</f>
        <v>1</v>
      </c>
      <c r="W184" s="21">
        <f t="shared" si="26"/>
        <v>2789610.3238225272</v>
      </c>
      <c r="X184" s="21">
        <f t="shared" si="27"/>
        <v>2961374.2774490076</v>
      </c>
      <c r="Y184" s="21">
        <f t="shared" si="28"/>
        <v>171763.95362648042</v>
      </c>
      <c r="Z184" s="15">
        <f>IFERROR(INDEX(Cost_Components!$T$2:$T$27,MATCH(E184,Cost_Components!$A$2:$A$27,0)),"")</f>
        <v>0.8</v>
      </c>
      <c r="AA184" s="24">
        <f>IFERROR(INDEX(Cost_Components!$U$2:$U$27,MATCH(E184,Cost_Components!$A$2:$A$27,0)),"")</f>
        <v>2025</v>
      </c>
      <c r="AB184" s="24">
        <f>IFERROR(INDEX(Cost_Components!$V$2:$V$27,MATCH(E184,Cost_Components!$A$2:$A$27,0)),"")</f>
        <v>2050</v>
      </c>
      <c r="AC184" s="24">
        <f>IFERROR(INDEX(Cost_Components!$M$2:$M$27,MATCH(E184,Cost_Components!$A$2:$A$27,0)),"")</f>
        <v>0</v>
      </c>
      <c r="AD184" s="24">
        <f>IFERROR(INDEX(Cost_Components!$N$2:$N$27,MATCH(E184,Cost_Components!$A$2:$A$27,0)),"")</f>
        <v>95</v>
      </c>
      <c r="AE184" s="14" t="str">
        <f>IFERROR(INDEX(Cost_Components!$O$2:$O$27,MATCH(E184,Cost_Components!$A$2:$A$27,0)),"")</f>
        <v>Both</v>
      </c>
      <c r="AF184" s="11">
        <v>78235.110312680597</v>
      </c>
      <c r="AG184" s="11">
        <v>78177.722455986499</v>
      </c>
      <c r="AH184" s="21">
        <f t="shared" si="29"/>
        <v>1</v>
      </c>
    </row>
    <row r="185" spans="1:34" hidden="1">
      <c r="A185" t="s">
        <v>197</v>
      </c>
      <c r="B185" s="18">
        <v>2026</v>
      </c>
      <c r="C185" t="s">
        <v>197</v>
      </c>
      <c r="D185" t="s">
        <v>187</v>
      </c>
      <c r="E185" s="20" t="s">
        <v>275</v>
      </c>
      <c r="F185" s="20" t="s">
        <v>276</v>
      </c>
      <c r="G185" s="20" t="s">
        <v>198</v>
      </c>
      <c r="H185" s="20" t="s">
        <v>192</v>
      </c>
      <c r="I185" s="20" t="s">
        <v>264</v>
      </c>
      <c r="J185" s="15">
        <f>IFERROR(INDEX(Cost_Components!$K$2:$K$27,MATCH(E185,Cost_Components!$A$2:$A$27,0)),"")</f>
        <v>1</v>
      </c>
      <c r="K185" s="15">
        <f t="shared" si="20"/>
        <v>0.34769230769230769</v>
      </c>
      <c r="L185" s="15">
        <f>IFERROR(INDEX(Cost_Components!$S$2:$S$27,MATCH(E185,Cost_Components!$A$2:$A$27,0)),"")</f>
        <v>0.31</v>
      </c>
      <c r="M185" s="26">
        <f>IFERROR(INDEX(Cost_Components!$L$2:$L$27,MATCH(E185,Cost_Components!$A$2:$A$27,0)),"")</f>
        <v>1</v>
      </c>
      <c r="N185" s="27">
        <f>IFERROR(INDEX(Cost_Components!$P$2:$P$27,MATCH(E185,Cost_Components!$A$2:$A$27,0)),"")</f>
        <v>115.10623099999999</v>
      </c>
      <c r="O185" s="21">
        <f t="shared" si="21"/>
        <v>80110.215483540902</v>
      </c>
      <c r="P185" s="21">
        <f t="shared" si="22"/>
        <v>79946.906612797</v>
      </c>
      <c r="Q185" s="21">
        <f t="shared" si="23"/>
        <v>2852740.0010954919</v>
      </c>
      <c r="R185" s="21">
        <f t="shared" si="24"/>
        <v>3206135.0814973251</v>
      </c>
      <c r="S185" s="21">
        <f t="shared" si="25"/>
        <v>353395.08040183317</v>
      </c>
      <c r="T185" s="14">
        <f>IFERROR(INDEX(Cost_Components!$R$2:$R$27,MATCH(E185,Cost_Components!$A$2:$A$27,0)),"")</f>
        <v>1</v>
      </c>
      <c r="U185" s="24">
        <f>IFERROR(INDEX(Cost_Components!$Q$2:$Q$27,MATCH(E185,Cost_Components!$A$2:$A$27,0)),"")</f>
        <v>2023</v>
      </c>
      <c r="V185" s="28">
        <f>1/(1+Calculation_Assumptions!$B$5)^(B185-Calculation_Assumptions!$B$2)</f>
        <v>0.970873786407767</v>
      </c>
      <c r="W185" s="21">
        <f t="shared" si="26"/>
        <v>2769650.4865004774</v>
      </c>
      <c r="X185" s="21">
        <f t="shared" si="27"/>
        <v>3112752.5063080825</v>
      </c>
      <c r="Y185" s="21">
        <f t="shared" si="28"/>
        <v>343102.01980760501</v>
      </c>
      <c r="Z185" s="15">
        <f>IFERROR(INDEX(Cost_Components!$T$2:$T$27,MATCH(E185,Cost_Components!$A$2:$A$27,0)),"")</f>
        <v>0.8</v>
      </c>
      <c r="AA185" s="24">
        <f>IFERROR(INDEX(Cost_Components!$U$2:$U$27,MATCH(E185,Cost_Components!$A$2:$A$27,0)),"")</f>
        <v>2025</v>
      </c>
      <c r="AB185" s="24">
        <f>IFERROR(INDEX(Cost_Components!$V$2:$V$27,MATCH(E185,Cost_Components!$A$2:$A$27,0)),"")</f>
        <v>2050</v>
      </c>
      <c r="AC185" s="24">
        <f>IFERROR(INDEX(Cost_Components!$M$2:$M$27,MATCH(E185,Cost_Components!$A$2:$A$27,0)),"")</f>
        <v>0</v>
      </c>
      <c r="AD185" s="24">
        <f>IFERROR(INDEX(Cost_Components!$N$2:$N$27,MATCH(E185,Cost_Components!$A$2:$A$27,0)),"")</f>
        <v>95</v>
      </c>
      <c r="AE185" s="14" t="str">
        <f>IFERROR(INDEX(Cost_Components!$O$2:$O$27,MATCH(E185,Cost_Components!$A$2:$A$27,0)),"")</f>
        <v>Both</v>
      </c>
      <c r="AF185" s="11">
        <v>80110.215483540902</v>
      </c>
      <c r="AG185" s="11">
        <v>79946.906612797</v>
      </c>
      <c r="AH185" s="21">
        <f t="shared" si="29"/>
        <v>1</v>
      </c>
    </row>
    <row r="186" spans="1:34" hidden="1">
      <c r="A186" t="s">
        <v>197</v>
      </c>
      <c r="B186" s="18">
        <v>2027</v>
      </c>
      <c r="C186" t="s">
        <v>197</v>
      </c>
      <c r="D186" t="s">
        <v>187</v>
      </c>
      <c r="E186" s="20" t="s">
        <v>275</v>
      </c>
      <c r="F186" s="20" t="s">
        <v>276</v>
      </c>
      <c r="G186" s="20" t="s">
        <v>198</v>
      </c>
      <c r="H186" s="20" t="s">
        <v>192</v>
      </c>
      <c r="I186" s="20" t="s">
        <v>264</v>
      </c>
      <c r="J186" s="15">
        <f>IFERROR(INDEX(Cost_Components!$K$2:$K$27,MATCH(E186,Cost_Components!$A$2:$A$27,0)),"")</f>
        <v>1</v>
      </c>
      <c r="K186" s="15">
        <f t="shared" si="20"/>
        <v>0.36653846153846154</v>
      </c>
      <c r="L186" s="15">
        <f>IFERROR(INDEX(Cost_Components!$S$2:$S$27,MATCH(E186,Cost_Components!$A$2:$A$27,0)),"")</f>
        <v>0.31</v>
      </c>
      <c r="M186" s="26">
        <f>IFERROR(INDEX(Cost_Components!$L$2:$L$27,MATCH(E186,Cost_Components!$A$2:$A$27,0)),"")</f>
        <v>1</v>
      </c>
      <c r="N186" s="27">
        <f>IFERROR(INDEX(Cost_Components!$P$2:$P$27,MATCH(E186,Cost_Components!$A$2:$A$27,0)),"")</f>
        <v>115.10623099999999</v>
      </c>
      <c r="O186" s="21">
        <f t="shared" si="21"/>
        <v>81996.454865977794</v>
      </c>
      <c r="P186" s="21">
        <f t="shared" si="22"/>
        <v>81685.048654253798</v>
      </c>
      <c r="Q186" s="21">
        <f t="shared" si="23"/>
        <v>2914762.0046892604</v>
      </c>
      <c r="R186" s="21">
        <f t="shared" si="24"/>
        <v>3459501.0153307887</v>
      </c>
      <c r="S186" s="21">
        <f t="shared" si="25"/>
        <v>544739.01064152829</v>
      </c>
      <c r="T186" s="14">
        <f>IFERROR(INDEX(Cost_Components!$R$2:$R$27,MATCH(E186,Cost_Components!$A$2:$A$27,0)),"")</f>
        <v>1</v>
      </c>
      <c r="U186" s="24">
        <f>IFERROR(INDEX(Cost_Components!$Q$2:$Q$27,MATCH(E186,Cost_Components!$A$2:$A$27,0)),"")</f>
        <v>2023</v>
      </c>
      <c r="V186" s="28">
        <f>1/(1+Calculation_Assumptions!$B$5)^(B186-Calculation_Assumptions!$B$2)</f>
        <v>0.94259590913375435</v>
      </c>
      <c r="W186" s="21">
        <f t="shared" si="26"/>
        <v>2747442.7417185977</v>
      </c>
      <c r="X186" s="21">
        <f t="shared" si="27"/>
        <v>3260911.5046948711</v>
      </c>
      <c r="Y186" s="21">
        <f t="shared" si="28"/>
        <v>513468.76297627325</v>
      </c>
      <c r="Z186" s="15">
        <f>IFERROR(INDEX(Cost_Components!$T$2:$T$27,MATCH(E186,Cost_Components!$A$2:$A$27,0)),"")</f>
        <v>0.8</v>
      </c>
      <c r="AA186" s="24">
        <f>IFERROR(INDEX(Cost_Components!$U$2:$U$27,MATCH(E186,Cost_Components!$A$2:$A$27,0)),"")</f>
        <v>2025</v>
      </c>
      <c r="AB186" s="24">
        <f>IFERROR(INDEX(Cost_Components!$V$2:$V$27,MATCH(E186,Cost_Components!$A$2:$A$27,0)),"")</f>
        <v>2050</v>
      </c>
      <c r="AC186" s="24">
        <f>IFERROR(INDEX(Cost_Components!$M$2:$M$27,MATCH(E186,Cost_Components!$A$2:$A$27,0)),"")</f>
        <v>0</v>
      </c>
      <c r="AD186" s="24">
        <f>IFERROR(INDEX(Cost_Components!$N$2:$N$27,MATCH(E186,Cost_Components!$A$2:$A$27,0)),"")</f>
        <v>95</v>
      </c>
      <c r="AE186" s="14" t="str">
        <f>IFERROR(INDEX(Cost_Components!$O$2:$O$27,MATCH(E186,Cost_Components!$A$2:$A$27,0)),"")</f>
        <v>Both</v>
      </c>
      <c r="AF186" s="11">
        <v>81996.454865977794</v>
      </c>
      <c r="AG186" s="11">
        <v>81685.048654253798</v>
      </c>
      <c r="AH186" s="21">
        <f t="shared" si="29"/>
        <v>1</v>
      </c>
    </row>
    <row r="187" spans="1:34" hidden="1">
      <c r="A187" t="s">
        <v>197</v>
      </c>
      <c r="B187" s="18">
        <v>2028</v>
      </c>
      <c r="C187" t="s">
        <v>197</v>
      </c>
      <c r="D187" t="s">
        <v>187</v>
      </c>
      <c r="E187" s="20" t="s">
        <v>275</v>
      </c>
      <c r="F187" s="20" t="s">
        <v>276</v>
      </c>
      <c r="G187" s="20" t="s">
        <v>198</v>
      </c>
      <c r="H187" s="20" t="s">
        <v>192</v>
      </c>
      <c r="I187" s="20" t="s">
        <v>264</v>
      </c>
      <c r="J187" s="15">
        <f>IFERROR(INDEX(Cost_Components!$K$2:$K$27,MATCH(E187,Cost_Components!$A$2:$A$27,0)),"")</f>
        <v>1</v>
      </c>
      <c r="K187" s="15">
        <f t="shared" si="20"/>
        <v>0.38538461538461538</v>
      </c>
      <c r="L187" s="15">
        <f>IFERROR(INDEX(Cost_Components!$S$2:$S$27,MATCH(E187,Cost_Components!$A$2:$A$27,0)),"")</f>
        <v>0.31</v>
      </c>
      <c r="M187" s="26">
        <f>IFERROR(INDEX(Cost_Components!$L$2:$L$27,MATCH(E187,Cost_Components!$A$2:$A$27,0)),"")</f>
        <v>1</v>
      </c>
      <c r="N187" s="27">
        <f>IFERROR(INDEX(Cost_Components!$P$2:$P$27,MATCH(E187,Cost_Components!$A$2:$A$27,0)),"")</f>
        <v>115.10623099999999</v>
      </c>
      <c r="O187" s="21">
        <f t="shared" si="21"/>
        <v>83884.056020334494</v>
      </c>
      <c r="P187" s="21">
        <f t="shared" si="22"/>
        <v>83387.072966053194</v>
      </c>
      <c r="Q187" s="21">
        <f t="shared" si="23"/>
        <v>2975495.2218057555</v>
      </c>
      <c r="R187" s="21">
        <f t="shared" si="24"/>
        <v>3721111.0325202113</v>
      </c>
      <c r="S187" s="21">
        <f t="shared" si="25"/>
        <v>745615.81071445579</v>
      </c>
      <c r="T187" s="14">
        <f>IFERROR(INDEX(Cost_Components!$R$2:$R$27,MATCH(E187,Cost_Components!$A$2:$A$27,0)),"")</f>
        <v>1</v>
      </c>
      <c r="U187" s="24">
        <f>IFERROR(INDEX(Cost_Components!$Q$2:$Q$27,MATCH(E187,Cost_Components!$A$2:$A$27,0)),"")</f>
        <v>2023</v>
      </c>
      <c r="V187" s="28">
        <f>1/(1+Calculation_Assumptions!$B$5)^(B187-Calculation_Assumptions!$B$2)</f>
        <v>0.91514165935315961</v>
      </c>
      <c r="W187" s="21">
        <f t="shared" si="26"/>
        <v>2722999.6346807168</v>
      </c>
      <c r="X187" s="21">
        <f t="shared" si="27"/>
        <v>3405343.7249378953</v>
      </c>
      <c r="Y187" s="21">
        <f t="shared" si="28"/>
        <v>682344.09025717841</v>
      </c>
      <c r="Z187" s="15">
        <f>IFERROR(INDEX(Cost_Components!$T$2:$T$27,MATCH(E187,Cost_Components!$A$2:$A$27,0)),"")</f>
        <v>0.8</v>
      </c>
      <c r="AA187" s="24">
        <f>IFERROR(INDEX(Cost_Components!$U$2:$U$27,MATCH(E187,Cost_Components!$A$2:$A$27,0)),"")</f>
        <v>2025</v>
      </c>
      <c r="AB187" s="24">
        <f>IFERROR(INDEX(Cost_Components!$V$2:$V$27,MATCH(E187,Cost_Components!$A$2:$A$27,0)),"")</f>
        <v>2050</v>
      </c>
      <c r="AC187" s="24">
        <f>IFERROR(INDEX(Cost_Components!$M$2:$M$27,MATCH(E187,Cost_Components!$A$2:$A$27,0)),"")</f>
        <v>0</v>
      </c>
      <c r="AD187" s="24">
        <f>IFERROR(INDEX(Cost_Components!$N$2:$N$27,MATCH(E187,Cost_Components!$A$2:$A$27,0)),"")</f>
        <v>95</v>
      </c>
      <c r="AE187" s="14" t="str">
        <f>IFERROR(INDEX(Cost_Components!$O$2:$O$27,MATCH(E187,Cost_Components!$A$2:$A$27,0)),"")</f>
        <v>Both</v>
      </c>
      <c r="AF187" s="11">
        <v>83884.056020334494</v>
      </c>
      <c r="AG187" s="11">
        <v>83387.072966053194</v>
      </c>
      <c r="AH187" s="21">
        <f t="shared" si="29"/>
        <v>1</v>
      </c>
    </row>
    <row r="188" spans="1:34" hidden="1">
      <c r="A188" t="s">
        <v>197</v>
      </c>
      <c r="B188" s="18">
        <v>2029</v>
      </c>
      <c r="C188" t="s">
        <v>197</v>
      </c>
      <c r="D188" t="s">
        <v>187</v>
      </c>
      <c r="E188" s="20" t="s">
        <v>275</v>
      </c>
      <c r="F188" s="20" t="s">
        <v>276</v>
      </c>
      <c r="G188" s="20" t="s">
        <v>198</v>
      </c>
      <c r="H188" s="20" t="s">
        <v>192</v>
      </c>
      <c r="I188" s="20" t="s">
        <v>264</v>
      </c>
      <c r="J188" s="15">
        <f>IFERROR(INDEX(Cost_Components!$K$2:$K$27,MATCH(E188,Cost_Components!$A$2:$A$27,0)),"")</f>
        <v>1</v>
      </c>
      <c r="K188" s="15">
        <f t="shared" si="20"/>
        <v>0.40423076923076923</v>
      </c>
      <c r="L188" s="15">
        <f>IFERROR(INDEX(Cost_Components!$S$2:$S$27,MATCH(E188,Cost_Components!$A$2:$A$27,0)),"")</f>
        <v>0.31</v>
      </c>
      <c r="M188" s="26">
        <f>IFERROR(INDEX(Cost_Components!$L$2:$L$27,MATCH(E188,Cost_Components!$A$2:$A$27,0)),"")</f>
        <v>1</v>
      </c>
      <c r="N188" s="27">
        <f>IFERROR(INDEX(Cost_Components!$P$2:$P$27,MATCH(E188,Cost_Components!$A$2:$A$27,0)),"")</f>
        <v>115.10623099999999</v>
      </c>
      <c r="O188" s="21">
        <f t="shared" si="21"/>
        <v>85766.409405486906</v>
      </c>
      <c r="P188" s="21">
        <f t="shared" si="22"/>
        <v>85049.897381939096</v>
      </c>
      <c r="Q188" s="21">
        <f t="shared" si="23"/>
        <v>3034829.6717172507</v>
      </c>
      <c r="R188" s="21">
        <f t="shared" si="24"/>
        <v>3990666.4568673247</v>
      </c>
      <c r="S188" s="21">
        <f t="shared" si="25"/>
        <v>955836.78515007393</v>
      </c>
      <c r="T188" s="14">
        <f>IFERROR(INDEX(Cost_Components!$R$2:$R$27,MATCH(E188,Cost_Components!$A$2:$A$27,0)),"")</f>
        <v>1</v>
      </c>
      <c r="U188" s="24">
        <f>IFERROR(INDEX(Cost_Components!$Q$2:$Q$27,MATCH(E188,Cost_Components!$A$2:$A$27,0)),"")</f>
        <v>2023</v>
      </c>
      <c r="V188" s="28">
        <f>1/(1+Calculation_Assumptions!$B$5)^(B188-Calculation_Assumptions!$B$2)</f>
        <v>0.888487047915689</v>
      </c>
      <c r="W188" s="21">
        <f t="shared" si="26"/>
        <v>2696406.8559509995</v>
      </c>
      <c r="X188" s="21">
        <f t="shared" si="27"/>
        <v>3545655.4594782116</v>
      </c>
      <c r="Y188" s="21">
        <f t="shared" si="28"/>
        <v>849248.60352721182</v>
      </c>
      <c r="Z188" s="15">
        <f>IFERROR(INDEX(Cost_Components!$T$2:$T$27,MATCH(E188,Cost_Components!$A$2:$A$27,0)),"")</f>
        <v>0.8</v>
      </c>
      <c r="AA188" s="24">
        <f>IFERROR(INDEX(Cost_Components!$U$2:$U$27,MATCH(E188,Cost_Components!$A$2:$A$27,0)),"")</f>
        <v>2025</v>
      </c>
      <c r="AB188" s="24">
        <f>IFERROR(INDEX(Cost_Components!$V$2:$V$27,MATCH(E188,Cost_Components!$A$2:$A$27,0)),"")</f>
        <v>2050</v>
      </c>
      <c r="AC188" s="24">
        <f>IFERROR(INDEX(Cost_Components!$M$2:$M$27,MATCH(E188,Cost_Components!$A$2:$A$27,0)),"")</f>
        <v>0</v>
      </c>
      <c r="AD188" s="24">
        <f>IFERROR(INDEX(Cost_Components!$N$2:$N$27,MATCH(E188,Cost_Components!$A$2:$A$27,0)),"")</f>
        <v>95</v>
      </c>
      <c r="AE188" s="14" t="str">
        <f>IFERROR(INDEX(Cost_Components!$O$2:$O$27,MATCH(E188,Cost_Components!$A$2:$A$27,0)),"")</f>
        <v>Both</v>
      </c>
      <c r="AF188" s="11">
        <v>85766.409405486906</v>
      </c>
      <c r="AG188" s="11">
        <v>85049.897381939096</v>
      </c>
      <c r="AH188" s="21">
        <f t="shared" si="29"/>
        <v>1</v>
      </c>
    </row>
    <row r="189" spans="1:34" hidden="1">
      <c r="A189" t="s">
        <v>197</v>
      </c>
      <c r="B189" s="18">
        <v>2030</v>
      </c>
      <c r="C189" t="s">
        <v>197</v>
      </c>
      <c r="D189" t="s">
        <v>187</v>
      </c>
      <c r="E189" s="20" t="s">
        <v>275</v>
      </c>
      <c r="F189" s="20" t="s">
        <v>276</v>
      </c>
      <c r="G189" s="20" t="s">
        <v>198</v>
      </c>
      <c r="H189" s="20" t="s">
        <v>192</v>
      </c>
      <c r="I189" s="20" t="s">
        <v>264</v>
      </c>
      <c r="J189" s="15">
        <f>IFERROR(INDEX(Cost_Components!$K$2:$K$27,MATCH(E189,Cost_Components!$A$2:$A$27,0)),"")</f>
        <v>1</v>
      </c>
      <c r="K189" s="15">
        <f t="shared" si="20"/>
        <v>0.42307692307692307</v>
      </c>
      <c r="L189" s="15">
        <f>IFERROR(INDEX(Cost_Components!$S$2:$S$27,MATCH(E189,Cost_Components!$A$2:$A$27,0)),"")</f>
        <v>0.31</v>
      </c>
      <c r="M189" s="26">
        <f>IFERROR(INDEX(Cost_Components!$L$2:$L$27,MATCH(E189,Cost_Components!$A$2:$A$27,0)),"")</f>
        <v>1</v>
      </c>
      <c r="N189" s="27">
        <f>IFERROR(INDEX(Cost_Components!$P$2:$P$27,MATCH(E189,Cost_Components!$A$2:$A$27,0)),"")</f>
        <v>115.10623099999999</v>
      </c>
      <c r="O189" s="21">
        <f t="shared" si="21"/>
        <v>87640.261043407299</v>
      </c>
      <c r="P189" s="21">
        <f t="shared" si="22"/>
        <v>86672.837931488</v>
      </c>
      <c r="Q189" s="21">
        <f t="shared" si="23"/>
        <v>3092740.9483539001</v>
      </c>
      <c r="R189" s="21">
        <f t="shared" si="24"/>
        <v>4267974.6714688512</v>
      </c>
      <c r="S189" s="21">
        <f t="shared" si="25"/>
        <v>1175233.723114951</v>
      </c>
      <c r="T189" s="14">
        <f>IFERROR(INDEX(Cost_Components!$R$2:$R$27,MATCH(E189,Cost_Components!$A$2:$A$27,0)),"")</f>
        <v>1</v>
      </c>
      <c r="U189" s="24">
        <f>IFERROR(INDEX(Cost_Components!$Q$2:$Q$27,MATCH(E189,Cost_Components!$A$2:$A$27,0)),"")</f>
        <v>2023</v>
      </c>
      <c r="V189" s="28">
        <f>1/(1+Calculation_Assumptions!$B$5)^(B189-Calculation_Assumptions!$B$2)</f>
        <v>0.86260878438416411</v>
      </c>
      <c r="W189" s="21">
        <f t="shared" si="26"/>
        <v>2667825.5098746847</v>
      </c>
      <c r="X189" s="21">
        <f t="shared" si="27"/>
        <v>3681592.4431381477</v>
      </c>
      <c r="Y189" s="21">
        <f t="shared" si="28"/>
        <v>1013766.9332634632</v>
      </c>
      <c r="Z189" s="15">
        <f>IFERROR(INDEX(Cost_Components!$T$2:$T$27,MATCH(E189,Cost_Components!$A$2:$A$27,0)),"")</f>
        <v>0.8</v>
      </c>
      <c r="AA189" s="24">
        <f>IFERROR(INDEX(Cost_Components!$U$2:$U$27,MATCH(E189,Cost_Components!$A$2:$A$27,0)),"")</f>
        <v>2025</v>
      </c>
      <c r="AB189" s="24">
        <f>IFERROR(INDEX(Cost_Components!$V$2:$V$27,MATCH(E189,Cost_Components!$A$2:$A$27,0)),"")</f>
        <v>2050</v>
      </c>
      <c r="AC189" s="24">
        <f>IFERROR(INDEX(Cost_Components!$M$2:$M$27,MATCH(E189,Cost_Components!$A$2:$A$27,0)),"")</f>
        <v>0</v>
      </c>
      <c r="AD189" s="24">
        <f>IFERROR(INDEX(Cost_Components!$N$2:$N$27,MATCH(E189,Cost_Components!$A$2:$A$27,0)),"")</f>
        <v>95</v>
      </c>
      <c r="AE189" s="14" t="str">
        <f>IFERROR(INDEX(Cost_Components!$O$2:$O$27,MATCH(E189,Cost_Components!$A$2:$A$27,0)),"")</f>
        <v>Both</v>
      </c>
      <c r="AF189" s="11">
        <v>87640.261043407299</v>
      </c>
      <c r="AG189" s="11">
        <v>86672.837931488</v>
      </c>
      <c r="AH189" s="21">
        <f t="shared" si="29"/>
        <v>1</v>
      </c>
    </row>
    <row r="190" spans="1:34" hidden="1">
      <c r="A190" t="s">
        <v>197</v>
      </c>
      <c r="B190" s="18">
        <v>2031</v>
      </c>
      <c r="C190" t="s">
        <v>197</v>
      </c>
      <c r="D190" t="s">
        <v>187</v>
      </c>
      <c r="E190" s="20" t="s">
        <v>275</v>
      </c>
      <c r="F190" s="20" t="s">
        <v>276</v>
      </c>
      <c r="G190" s="20" t="s">
        <v>198</v>
      </c>
      <c r="H190" s="20" t="s">
        <v>192</v>
      </c>
      <c r="I190" s="20" t="s">
        <v>264</v>
      </c>
      <c r="J190" s="15">
        <f>IFERROR(INDEX(Cost_Components!$K$2:$K$27,MATCH(E190,Cost_Components!$A$2:$A$27,0)),"")</f>
        <v>1</v>
      </c>
      <c r="K190" s="15">
        <f t="shared" si="20"/>
        <v>0.44192307692307692</v>
      </c>
      <c r="L190" s="15">
        <f>IFERROR(INDEX(Cost_Components!$S$2:$S$27,MATCH(E190,Cost_Components!$A$2:$A$27,0)),"")</f>
        <v>0.31</v>
      </c>
      <c r="M190" s="26">
        <f>IFERROR(INDEX(Cost_Components!$L$2:$L$27,MATCH(E190,Cost_Components!$A$2:$A$27,0)),"")</f>
        <v>1</v>
      </c>
      <c r="N190" s="27">
        <f>IFERROR(INDEX(Cost_Components!$P$2:$P$27,MATCH(E190,Cost_Components!$A$2:$A$27,0)),"")</f>
        <v>115.10623099999999</v>
      </c>
      <c r="O190" s="21">
        <f t="shared" si="21"/>
        <v>89509.071478982194</v>
      </c>
      <c r="P190" s="21">
        <f t="shared" si="22"/>
        <v>88261.326534887907</v>
      </c>
      <c r="Q190" s="21">
        <f t="shared" si="23"/>
        <v>3149422.8785522832</v>
      </c>
      <c r="R190" s="21">
        <f t="shared" si="24"/>
        <v>4553156.3788981792</v>
      </c>
      <c r="S190" s="21">
        <f t="shared" si="25"/>
        <v>1403733.500345896</v>
      </c>
      <c r="T190" s="14">
        <f>IFERROR(INDEX(Cost_Components!$R$2:$R$27,MATCH(E190,Cost_Components!$A$2:$A$27,0)),"")</f>
        <v>1</v>
      </c>
      <c r="U190" s="24">
        <f>IFERROR(INDEX(Cost_Components!$Q$2:$Q$27,MATCH(E190,Cost_Components!$A$2:$A$27,0)),"")</f>
        <v>2023</v>
      </c>
      <c r="V190" s="28">
        <f>1/(1+Calculation_Assumptions!$B$5)^(B190-Calculation_Assumptions!$B$2)</f>
        <v>0.83748425668365445</v>
      </c>
      <c r="W190" s="21">
        <f t="shared" si="26"/>
        <v>2637592.0784268542</v>
      </c>
      <c r="X190" s="21">
        <f t="shared" si="27"/>
        <v>3813196.7855459815</v>
      </c>
      <c r="Y190" s="21">
        <f t="shared" si="28"/>
        <v>1175604.707119127</v>
      </c>
      <c r="Z190" s="15">
        <f>IFERROR(INDEX(Cost_Components!$T$2:$T$27,MATCH(E190,Cost_Components!$A$2:$A$27,0)),"")</f>
        <v>0.8</v>
      </c>
      <c r="AA190" s="24">
        <f>IFERROR(INDEX(Cost_Components!$U$2:$U$27,MATCH(E190,Cost_Components!$A$2:$A$27,0)),"")</f>
        <v>2025</v>
      </c>
      <c r="AB190" s="24">
        <f>IFERROR(INDEX(Cost_Components!$V$2:$V$27,MATCH(E190,Cost_Components!$A$2:$A$27,0)),"")</f>
        <v>2050</v>
      </c>
      <c r="AC190" s="24">
        <f>IFERROR(INDEX(Cost_Components!$M$2:$M$27,MATCH(E190,Cost_Components!$A$2:$A$27,0)),"")</f>
        <v>0</v>
      </c>
      <c r="AD190" s="24">
        <f>IFERROR(INDEX(Cost_Components!$N$2:$N$27,MATCH(E190,Cost_Components!$A$2:$A$27,0)),"")</f>
        <v>95</v>
      </c>
      <c r="AE190" s="14" t="str">
        <f>IFERROR(INDEX(Cost_Components!$O$2:$O$27,MATCH(E190,Cost_Components!$A$2:$A$27,0)),"")</f>
        <v>Both</v>
      </c>
      <c r="AF190" s="11">
        <v>89509.071478982194</v>
      </c>
      <c r="AG190" s="11">
        <v>88261.326534887907</v>
      </c>
      <c r="AH190" s="21">
        <f t="shared" si="29"/>
        <v>1</v>
      </c>
    </row>
    <row r="191" spans="1:34" hidden="1">
      <c r="A191" t="s">
        <v>197</v>
      </c>
      <c r="B191" s="18">
        <v>2032</v>
      </c>
      <c r="C191" t="s">
        <v>197</v>
      </c>
      <c r="D191" t="s">
        <v>187</v>
      </c>
      <c r="E191" s="20" t="s">
        <v>275</v>
      </c>
      <c r="F191" s="20" t="s">
        <v>276</v>
      </c>
      <c r="G191" s="20" t="s">
        <v>198</v>
      </c>
      <c r="H191" s="20" t="s">
        <v>192</v>
      </c>
      <c r="I191" s="20" t="s">
        <v>264</v>
      </c>
      <c r="J191" s="15">
        <f>IFERROR(INDEX(Cost_Components!$K$2:$K$27,MATCH(E191,Cost_Components!$A$2:$A$27,0)),"")</f>
        <v>1</v>
      </c>
      <c r="K191" s="15">
        <f t="shared" si="20"/>
        <v>0.46076923076923082</v>
      </c>
      <c r="L191" s="15">
        <f>IFERROR(INDEX(Cost_Components!$S$2:$S$27,MATCH(E191,Cost_Components!$A$2:$A$27,0)),"")</f>
        <v>0.31</v>
      </c>
      <c r="M191" s="26">
        <f>IFERROR(INDEX(Cost_Components!$L$2:$L$27,MATCH(E191,Cost_Components!$A$2:$A$27,0)),"")</f>
        <v>1</v>
      </c>
      <c r="N191" s="27">
        <f>IFERROR(INDEX(Cost_Components!$P$2:$P$27,MATCH(E191,Cost_Components!$A$2:$A$27,0)),"")</f>
        <v>115.10623099999999</v>
      </c>
      <c r="O191" s="21">
        <f t="shared" si="21"/>
        <v>91380.323028168103</v>
      </c>
      <c r="P191" s="21">
        <f t="shared" si="22"/>
        <v>89824.839885340101</v>
      </c>
      <c r="Q191" s="21">
        <f t="shared" si="23"/>
        <v>3205213.6185077908</v>
      </c>
      <c r="R191" s="21">
        <f t="shared" si="24"/>
        <v>4846575.6140227905</v>
      </c>
      <c r="S191" s="21">
        <f t="shared" si="25"/>
        <v>1641361.9955149996</v>
      </c>
      <c r="T191" s="14">
        <f>IFERROR(INDEX(Cost_Components!$R$2:$R$27,MATCH(E191,Cost_Components!$A$2:$A$27,0)),"")</f>
        <v>1</v>
      </c>
      <c r="U191" s="24">
        <f>IFERROR(INDEX(Cost_Components!$Q$2:$Q$27,MATCH(E191,Cost_Components!$A$2:$A$27,0)),"")</f>
        <v>2023</v>
      </c>
      <c r="V191" s="28">
        <f>1/(1+Calculation_Assumptions!$B$5)^(B191-Calculation_Assumptions!$B$2)</f>
        <v>0.81309151134335378</v>
      </c>
      <c r="W191" s="21">
        <f t="shared" si="26"/>
        <v>2606131.9852507995</v>
      </c>
      <c r="X191" s="21">
        <f t="shared" si="27"/>
        <v>3940709.4908456337</v>
      </c>
      <c r="Y191" s="21">
        <f t="shared" si="28"/>
        <v>1334577.505594834</v>
      </c>
      <c r="Z191" s="15">
        <f>IFERROR(INDEX(Cost_Components!$T$2:$T$27,MATCH(E191,Cost_Components!$A$2:$A$27,0)),"")</f>
        <v>0.8</v>
      </c>
      <c r="AA191" s="24">
        <f>IFERROR(INDEX(Cost_Components!$U$2:$U$27,MATCH(E191,Cost_Components!$A$2:$A$27,0)),"")</f>
        <v>2025</v>
      </c>
      <c r="AB191" s="24">
        <f>IFERROR(INDEX(Cost_Components!$V$2:$V$27,MATCH(E191,Cost_Components!$A$2:$A$27,0)),"")</f>
        <v>2050</v>
      </c>
      <c r="AC191" s="24">
        <f>IFERROR(INDEX(Cost_Components!$M$2:$M$27,MATCH(E191,Cost_Components!$A$2:$A$27,0)),"")</f>
        <v>0</v>
      </c>
      <c r="AD191" s="24">
        <f>IFERROR(INDEX(Cost_Components!$N$2:$N$27,MATCH(E191,Cost_Components!$A$2:$A$27,0)),"")</f>
        <v>95</v>
      </c>
      <c r="AE191" s="14" t="str">
        <f>IFERROR(INDEX(Cost_Components!$O$2:$O$27,MATCH(E191,Cost_Components!$A$2:$A$27,0)),"")</f>
        <v>Both</v>
      </c>
      <c r="AF191" s="11">
        <v>91380.323028168103</v>
      </c>
      <c r="AG191" s="11">
        <v>89824.839885340101</v>
      </c>
      <c r="AH191" s="21">
        <f t="shared" si="29"/>
        <v>1</v>
      </c>
    </row>
    <row r="192" spans="1:34" hidden="1">
      <c r="A192" t="s">
        <v>197</v>
      </c>
      <c r="B192" s="18">
        <v>2033</v>
      </c>
      <c r="C192" t="s">
        <v>197</v>
      </c>
      <c r="D192" t="s">
        <v>187</v>
      </c>
      <c r="E192" s="20" t="s">
        <v>275</v>
      </c>
      <c r="F192" s="20" t="s">
        <v>276</v>
      </c>
      <c r="G192" s="20" t="s">
        <v>198</v>
      </c>
      <c r="H192" s="20" t="s">
        <v>192</v>
      </c>
      <c r="I192" s="20" t="s">
        <v>264</v>
      </c>
      <c r="J192" s="15">
        <f>IFERROR(INDEX(Cost_Components!$K$2:$K$27,MATCH(E192,Cost_Components!$A$2:$A$27,0)),"")</f>
        <v>1</v>
      </c>
      <c r="K192" s="15">
        <f t="shared" si="20"/>
        <v>0.47961538461538467</v>
      </c>
      <c r="L192" s="15">
        <f>IFERROR(INDEX(Cost_Components!$S$2:$S$27,MATCH(E192,Cost_Components!$A$2:$A$27,0)),"")</f>
        <v>0.31</v>
      </c>
      <c r="M192" s="26">
        <f>IFERROR(INDEX(Cost_Components!$L$2:$L$27,MATCH(E192,Cost_Components!$A$2:$A$27,0)),"")</f>
        <v>1</v>
      </c>
      <c r="N192" s="27">
        <f>IFERROR(INDEX(Cost_Components!$P$2:$P$27,MATCH(E192,Cost_Components!$A$2:$A$27,0)),"")</f>
        <v>115.10623099999999</v>
      </c>
      <c r="O192" s="21">
        <f t="shared" si="21"/>
        <v>93262.288590283599</v>
      </c>
      <c r="P192" s="21">
        <f t="shared" si="22"/>
        <v>91373.697993231603</v>
      </c>
      <c r="Q192" s="21">
        <f t="shared" si="23"/>
        <v>3260481.4164452776</v>
      </c>
      <c r="R192" s="21">
        <f t="shared" si="24"/>
        <v>5148704.9830673561</v>
      </c>
      <c r="S192" s="21">
        <f t="shared" si="25"/>
        <v>1888223.5666220784</v>
      </c>
      <c r="T192" s="14">
        <f>IFERROR(INDEX(Cost_Components!$R$2:$R$27,MATCH(E192,Cost_Components!$A$2:$A$27,0)),"")</f>
        <v>1</v>
      </c>
      <c r="U192" s="24">
        <f>IFERROR(INDEX(Cost_Components!$Q$2:$Q$27,MATCH(E192,Cost_Components!$A$2:$A$27,0)),"")</f>
        <v>2023</v>
      </c>
      <c r="V192" s="28">
        <f>1/(1+Calculation_Assumptions!$B$5)^(B192-Calculation_Assumptions!$B$2)</f>
        <v>0.78940923431393573</v>
      </c>
      <c r="W192" s="21">
        <f t="shared" si="26"/>
        <v>2573854.1384508833</v>
      </c>
      <c r="X192" s="21">
        <f t="shared" si="27"/>
        <v>4064435.258391547</v>
      </c>
      <c r="Y192" s="21">
        <f t="shared" si="28"/>
        <v>1490581.1199406637</v>
      </c>
      <c r="Z192" s="15">
        <f>IFERROR(INDEX(Cost_Components!$T$2:$T$27,MATCH(E192,Cost_Components!$A$2:$A$27,0)),"")</f>
        <v>0.8</v>
      </c>
      <c r="AA192" s="24">
        <f>IFERROR(INDEX(Cost_Components!$U$2:$U$27,MATCH(E192,Cost_Components!$A$2:$A$27,0)),"")</f>
        <v>2025</v>
      </c>
      <c r="AB192" s="24">
        <f>IFERROR(INDEX(Cost_Components!$V$2:$V$27,MATCH(E192,Cost_Components!$A$2:$A$27,0)),"")</f>
        <v>2050</v>
      </c>
      <c r="AC192" s="24">
        <f>IFERROR(INDEX(Cost_Components!$M$2:$M$27,MATCH(E192,Cost_Components!$A$2:$A$27,0)),"")</f>
        <v>0</v>
      </c>
      <c r="AD192" s="24">
        <f>IFERROR(INDEX(Cost_Components!$N$2:$N$27,MATCH(E192,Cost_Components!$A$2:$A$27,0)),"")</f>
        <v>95</v>
      </c>
      <c r="AE192" s="14" t="str">
        <f>IFERROR(INDEX(Cost_Components!$O$2:$O$27,MATCH(E192,Cost_Components!$A$2:$A$27,0)),"")</f>
        <v>Both</v>
      </c>
      <c r="AF192" s="11">
        <v>93262.288590283599</v>
      </c>
      <c r="AG192" s="11">
        <v>91373.697993231603</v>
      </c>
      <c r="AH192" s="21">
        <f t="shared" si="29"/>
        <v>1</v>
      </c>
    </row>
    <row r="193" spans="1:34" hidden="1">
      <c r="A193" t="s">
        <v>197</v>
      </c>
      <c r="B193" s="18">
        <v>2034</v>
      </c>
      <c r="C193" t="s">
        <v>197</v>
      </c>
      <c r="D193" t="s">
        <v>187</v>
      </c>
      <c r="E193" s="20" t="s">
        <v>275</v>
      </c>
      <c r="F193" s="20" t="s">
        <v>276</v>
      </c>
      <c r="G193" s="20" t="s">
        <v>198</v>
      </c>
      <c r="H193" s="20" t="s">
        <v>192</v>
      </c>
      <c r="I193" s="20" t="s">
        <v>264</v>
      </c>
      <c r="J193" s="15">
        <f>IFERROR(INDEX(Cost_Components!$K$2:$K$27,MATCH(E193,Cost_Components!$A$2:$A$27,0)),"")</f>
        <v>1</v>
      </c>
      <c r="K193" s="15">
        <f t="shared" si="20"/>
        <v>0.49846153846153851</v>
      </c>
      <c r="L193" s="15">
        <f>IFERROR(INDEX(Cost_Components!$S$2:$S$27,MATCH(E193,Cost_Components!$A$2:$A$27,0)),"")</f>
        <v>0.31</v>
      </c>
      <c r="M193" s="26">
        <f>IFERROR(INDEX(Cost_Components!$L$2:$L$27,MATCH(E193,Cost_Components!$A$2:$A$27,0)),"")</f>
        <v>1</v>
      </c>
      <c r="N193" s="27">
        <f>IFERROR(INDEX(Cost_Components!$P$2:$P$27,MATCH(E193,Cost_Components!$A$2:$A$27,0)),"")</f>
        <v>115.10623099999999</v>
      </c>
      <c r="O193" s="21">
        <f t="shared" si="21"/>
        <v>95159.433681224094</v>
      </c>
      <c r="P193" s="21">
        <f t="shared" si="22"/>
        <v>92913.992066664694</v>
      </c>
      <c r="Q193" s="21">
        <f t="shared" si="23"/>
        <v>3315443.6245268788</v>
      </c>
      <c r="R193" s="21">
        <f t="shared" si="24"/>
        <v>5459870.4256390957</v>
      </c>
      <c r="S193" s="21">
        <f t="shared" si="25"/>
        <v>2144426.8011122169</v>
      </c>
      <c r="T193" s="14">
        <f>IFERROR(INDEX(Cost_Components!$R$2:$R$27,MATCH(E193,Cost_Components!$A$2:$A$27,0)),"")</f>
        <v>1</v>
      </c>
      <c r="U193" s="24">
        <f>IFERROR(INDEX(Cost_Components!$Q$2:$Q$27,MATCH(E193,Cost_Components!$A$2:$A$27,0)),"")</f>
        <v>2023</v>
      </c>
      <c r="V193" s="28">
        <f>1/(1+Calculation_Assumptions!$B$5)^(B193-Calculation_Assumptions!$B$2)</f>
        <v>0.76641673234362695</v>
      </c>
      <c r="W193" s="21">
        <f t="shared" si="26"/>
        <v>2541011.4689794015</v>
      </c>
      <c r="X193" s="21">
        <f t="shared" si="27"/>
        <v>4184536.0506379232</v>
      </c>
      <c r="Y193" s="21">
        <f t="shared" si="28"/>
        <v>1643524.5816585221</v>
      </c>
      <c r="Z193" s="15">
        <f>IFERROR(INDEX(Cost_Components!$T$2:$T$27,MATCH(E193,Cost_Components!$A$2:$A$27,0)),"")</f>
        <v>0.8</v>
      </c>
      <c r="AA193" s="24">
        <f>IFERROR(INDEX(Cost_Components!$U$2:$U$27,MATCH(E193,Cost_Components!$A$2:$A$27,0)),"")</f>
        <v>2025</v>
      </c>
      <c r="AB193" s="24">
        <f>IFERROR(INDEX(Cost_Components!$V$2:$V$27,MATCH(E193,Cost_Components!$A$2:$A$27,0)),"")</f>
        <v>2050</v>
      </c>
      <c r="AC193" s="24">
        <f>IFERROR(INDEX(Cost_Components!$M$2:$M$27,MATCH(E193,Cost_Components!$A$2:$A$27,0)),"")</f>
        <v>0</v>
      </c>
      <c r="AD193" s="24">
        <f>IFERROR(INDEX(Cost_Components!$N$2:$N$27,MATCH(E193,Cost_Components!$A$2:$A$27,0)),"")</f>
        <v>95</v>
      </c>
      <c r="AE193" s="14" t="str">
        <f>IFERROR(INDEX(Cost_Components!$O$2:$O$27,MATCH(E193,Cost_Components!$A$2:$A$27,0)),"")</f>
        <v>Both</v>
      </c>
      <c r="AF193" s="11">
        <v>95159.433681224094</v>
      </c>
      <c r="AG193" s="11">
        <v>92913.992066664694</v>
      </c>
      <c r="AH193" s="21">
        <f t="shared" si="29"/>
        <v>1</v>
      </c>
    </row>
    <row r="194" spans="1:34" hidden="1">
      <c r="A194" t="s">
        <v>197</v>
      </c>
      <c r="B194" s="18">
        <v>2035</v>
      </c>
      <c r="C194" t="s">
        <v>197</v>
      </c>
      <c r="D194" t="s">
        <v>187</v>
      </c>
      <c r="E194" s="20" t="s">
        <v>275</v>
      </c>
      <c r="F194" s="20" t="s">
        <v>276</v>
      </c>
      <c r="G194" s="20" t="s">
        <v>198</v>
      </c>
      <c r="H194" s="20" t="s">
        <v>192</v>
      </c>
      <c r="I194" s="20" t="s">
        <v>264</v>
      </c>
      <c r="J194" s="15">
        <f>IFERROR(INDEX(Cost_Components!$K$2:$K$27,MATCH(E194,Cost_Components!$A$2:$A$27,0)),"")</f>
        <v>1</v>
      </c>
      <c r="K194" s="15">
        <f t="shared" ref="K194:K257" si="30">IF(OR(L194="",Z194="",AA194="",AB194=""),"",IF(B194&lt;AA194,L194,IF(B194&gt;AB194,Z194,L194+(Z194-L194)*MIN(MAX((B194-AA194+1)/MAX(AB194-AA194+1,1),0),1))))</f>
        <v>0.51730769230769236</v>
      </c>
      <c r="L194" s="15">
        <f>IFERROR(INDEX(Cost_Components!$S$2:$S$27,MATCH(E194,Cost_Components!$A$2:$A$27,0)),"")</f>
        <v>0.31</v>
      </c>
      <c r="M194" s="26">
        <f>IFERROR(INDEX(Cost_Components!$L$2:$L$27,MATCH(E194,Cost_Components!$A$2:$A$27,0)),"")</f>
        <v>1</v>
      </c>
      <c r="N194" s="27">
        <f>IFERROR(INDEX(Cost_Components!$P$2:$P$27,MATCH(E194,Cost_Components!$A$2:$A$27,0)),"")</f>
        <v>115.10623099999999</v>
      </c>
      <c r="O194" s="21">
        <f t="shared" ref="O194:O257" si="31">AF194*J194</f>
        <v>97077.514564016295</v>
      </c>
      <c r="P194" s="21">
        <f t="shared" ref="P194:P257" si="32">AG194*J194</f>
        <v>94452.800261580502</v>
      </c>
      <c r="Q194" s="21">
        <f t="shared" ref="Q194:Q257" si="33">P194*L194*M194*N194</f>
        <v>3370352.812106967</v>
      </c>
      <c r="R194" s="21">
        <f t="shared" ref="R194:R257" si="34">O194*K194*M194*N194</f>
        <v>5780513.4876688467</v>
      </c>
      <c r="S194" s="21">
        <f t="shared" ref="S194:S257" si="35">R194-Q194</f>
        <v>2410160.6755618798</v>
      </c>
      <c r="T194" s="14">
        <f>IFERROR(INDEX(Cost_Components!$R$2:$R$27,MATCH(E194,Cost_Components!$A$2:$A$27,0)),"")</f>
        <v>1</v>
      </c>
      <c r="U194" s="24">
        <f>IFERROR(INDEX(Cost_Components!$Q$2:$Q$27,MATCH(E194,Cost_Components!$A$2:$A$27,0)),"")</f>
        <v>2023</v>
      </c>
      <c r="V194" s="28">
        <f>1/(1+Calculation_Assumptions!$B$5)^(B194-Calculation_Assumptions!$B$2)</f>
        <v>0.74409391489672516</v>
      </c>
      <c r="W194" s="21">
        <f t="shared" ref="W194:W257" si="36">Q194*V194</f>
        <v>2507859.0185438599</v>
      </c>
      <c r="X194" s="21">
        <f t="shared" ref="X194:X257" si="37">R194*V194</f>
        <v>4301244.911152835</v>
      </c>
      <c r="Y194" s="21">
        <f t="shared" ref="Y194:Y257" si="38">S194*V194</f>
        <v>1793385.8926089751</v>
      </c>
      <c r="Z194" s="15">
        <f>IFERROR(INDEX(Cost_Components!$T$2:$T$27,MATCH(E194,Cost_Components!$A$2:$A$27,0)),"")</f>
        <v>0.8</v>
      </c>
      <c r="AA194" s="24">
        <f>IFERROR(INDEX(Cost_Components!$U$2:$U$27,MATCH(E194,Cost_Components!$A$2:$A$27,0)),"")</f>
        <v>2025</v>
      </c>
      <c r="AB194" s="24">
        <f>IFERROR(INDEX(Cost_Components!$V$2:$V$27,MATCH(E194,Cost_Components!$A$2:$A$27,0)),"")</f>
        <v>2050</v>
      </c>
      <c r="AC194" s="24">
        <f>IFERROR(INDEX(Cost_Components!$M$2:$M$27,MATCH(E194,Cost_Components!$A$2:$A$27,0)),"")</f>
        <v>0</v>
      </c>
      <c r="AD194" s="24">
        <f>IFERROR(INDEX(Cost_Components!$N$2:$N$27,MATCH(E194,Cost_Components!$A$2:$A$27,0)),"")</f>
        <v>95</v>
      </c>
      <c r="AE194" s="14" t="str">
        <f>IFERROR(INDEX(Cost_Components!$O$2:$O$27,MATCH(E194,Cost_Components!$A$2:$A$27,0)),"")</f>
        <v>Both</v>
      </c>
      <c r="AF194" s="11">
        <v>97077.514564016295</v>
      </c>
      <c r="AG194" s="11">
        <v>94452.800261580502</v>
      </c>
      <c r="AH194" s="21">
        <f t="shared" ref="AH194:AH257" si="39">IF(H194="shared-count-once",COUNTIFS($A$2:$A$1353,A194,$B$2:$B$1353,B194,$E$2:$E$1353,E194),1)</f>
        <v>1</v>
      </c>
    </row>
    <row r="195" spans="1:34" hidden="1">
      <c r="A195" t="s">
        <v>197</v>
      </c>
      <c r="B195" s="18">
        <v>2036</v>
      </c>
      <c r="C195" t="s">
        <v>197</v>
      </c>
      <c r="D195" t="s">
        <v>187</v>
      </c>
      <c r="E195" s="20" t="s">
        <v>275</v>
      </c>
      <c r="F195" s="20" t="s">
        <v>276</v>
      </c>
      <c r="G195" s="20" t="s">
        <v>198</v>
      </c>
      <c r="H195" s="20" t="s">
        <v>192</v>
      </c>
      <c r="I195" s="20" t="s">
        <v>264</v>
      </c>
      <c r="J195" s="15">
        <f>IFERROR(INDEX(Cost_Components!$K$2:$K$27,MATCH(E195,Cost_Components!$A$2:$A$27,0)),"")</f>
        <v>1</v>
      </c>
      <c r="K195" s="15">
        <f t="shared" si="30"/>
        <v>0.5361538461538462</v>
      </c>
      <c r="L195" s="15">
        <f>IFERROR(INDEX(Cost_Components!$S$2:$S$27,MATCH(E195,Cost_Components!$A$2:$A$27,0)),"")</f>
        <v>0.31</v>
      </c>
      <c r="M195" s="26">
        <f>IFERROR(INDEX(Cost_Components!$L$2:$L$27,MATCH(E195,Cost_Components!$A$2:$A$27,0)),"")</f>
        <v>1</v>
      </c>
      <c r="N195" s="27">
        <f>IFERROR(INDEX(Cost_Components!$P$2:$P$27,MATCH(E195,Cost_Components!$A$2:$A$27,0)),"")</f>
        <v>115.10623099999999</v>
      </c>
      <c r="O195" s="21">
        <f t="shared" si="31"/>
        <v>99023.258133934607</v>
      </c>
      <c r="P195" s="21">
        <f t="shared" si="32"/>
        <v>95997.909569691896</v>
      </c>
      <c r="Q195" s="21">
        <f t="shared" si="33"/>
        <v>3425486.8418782805</v>
      </c>
      <c r="R195" s="21">
        <f t="shared" si="34"/>
        <v>6111185.5657851556</v>
      </c>
      <c r="S195" s="21">
        <f t="shared" si="35"/>
        <v>2685698.7239068751</v>
      </c>
      <c r="T195" s="14">
        <f>IFERROR(INDEX(Cost_Components!$R$2:$R$27,MATCH(E195,Cost_Components!$A$2:$A$27,0)),"")</f>
        <v>1</v>
      </c>
      <c r="U195" s="24">
        <f>IFERROR(INDEX(Cost_Components!$Q$2:$Q$27,MATCH(E195,Cost_Components!$A$2:$A$27,0)),"")</f>
        <v>2023</v>
      </c>
      <c r="V195" s="28">
        <f>1/(1+Calculation_Assumptions!$B$5)^(B195-Calculation_Assumptions!$B$2)</f>
        <v>0.72242127659876232</v>
      </c>
      <c r="W195" s="21">
        <f t="shared" si="36"/>
        <v>2474644.5772819701</v>
      </c>
      <c r="X195" s="21">
        <f t="shared" si="37"/>
        <v>4414850.4779664418</v>
      </c>
      <c r="Y195" s="21">
        <f t="shared" si="38"/>
        <v>1940205.9006844717</v>
      </c>
      <c r="Z195" s="15">
        <f>IFERROR(INDEX(Cost_Components!$T$2:$T$27,MATCH(E195,Cost_Components!$A$2:$A$27,0)),"")</f>
        <v>0.8</v>
      </c>
      <c r="AA195" s="24">
        <f>IFERROR(INDEX(Cost_Components!$U$2:$U$27,MATCH(E195,Cost_Components!$A$2:$A$27,0)),"")</f>
        <v>2025</v>
      </c>
      <c r="AB195" s="24">
        <f>IFERROR(INDEX(Cost_Components!$V$2:$V$27,MATCH(E195,Cost_Components!$A$2:$A$27,0)),"")</f>
        <v>2050</v>
      </c>
      <c r="AC195" s="24">
        <f>IFERROR(INDEX(Cost_Components!$M$2:$M$27,MATCH(E195,Cost_Components!$A$2:$A$27,0)),"")</f>
        <v>0</v>
      </c>
      <c r="AD195" s="24">
        <f>IFERROR(INDEX(Cost_Components!$N$2:$N$27,MATCH(E195,Cost_Components!$A$2:$A$27,0)),"")</f>
        <v>95</v>
      </c>
      <c r="AE195" s="14" t="str">
        <f>IFERROR(INDEX(Cost_Components!$O$2:$O$27,MATCH(E195,Cost_Components!$A$2:$A$27,0)),"")</f>
        <v>Both</v>
      </c>
      <c r="AF195" s="11">
        <v>99023.258133934607</v>
      </c>
      <c r="AG195" s="11">
        <v>95997.909569691896</v>
      </c>
      <c r="AH195" s="21">
        <f t="shared" si="39"/>
        <v>1</v>
      </c>
    </row>
    <row r="196" spans="1:34" hidden="1">
      <c r="A196" t="s">
        <v>197</v>
      </c>
      <c r="B196" s="18">
        <v>2037</v>
      </c>
      <c r="C196" t="s">
        <v>197</v>
      </c>
      <c r="D196" t="s">
        <v>187</v>
      </c>
      <c r="E196" s="20" t="s">
        <v>275</v>
      </c>
      <c r="F196" s="20" t="s">
        <v>276</v>
      </c>
      <c r="G196" s="20" t="s">
        <v>198</v>
      </c>
      <c r="H196" s="20" t="s">
        <v>192</v>
      </c>
      <c r="I196" s="20" t="s">
        <v>264</v>
      </c>
      <c r="J196" s="15">
        <f>IFERROR(INDEX(Cost_Components!$K$2:$K$27,MATCH(E196,Cost_Components!$A$2:$A$27,0)),"")</f>
        <v>1</v>
      </c>
      <c r="K196" s="15">
        <f t="shared" si="30"/>
        <v>0.55500000000000005</v>
      </c>
      <c r="L196" s="15">
        <f>IFERROR(INDEX(Cost_Components!$S$2:$S$27,MATCH(E196,Cost_Components!$A$2:$A$27,0)),"")</f>
        <v>0.31</v>
      </c>
      <c r="M196" s="26">
        <f>IFERROR(INDEX(Cost_Components!$L$2:$L$27,MATCH(E196,Cost_Components!$A$2:$A$27,0)),"")</f>
        <v>1</v>
      </c>
      <c r="N196" s="27">
        <f>IFERROR(INDEX(Cost_Components!$P$2:$P$27,MATCH(E196,Cost_Components!$A$2:$A$27,0)),"")</f>
        <v>115.10623099999999</v>
      </c>
      <c r="O196" s="21">
        <f t="shared" si="31"/>
        <v>101003.832817594</v>
      </c>
      <c r="P196" s="21">
        <f t="shared" si="32"/>
        <v>97557.195739179399</v>
      </c>
      <c r="Q196" s="21">
        <f t="shared" si="33"/>
        <v>3481126.7436245219</v>
      </c>
      <c r="R196" s="21">
        <f t="shared" si="34"/>
        <v>6452524.634263983</v>
      </c>
      <c r="S196" s="21">
        <f t="shared" si="35"/>
        <v>2971397.8906394611</v>
      </c>
      <c r="T196" s="14">
        <f>IFERROR(INDEX(Cost_Components!$R$2:$R$27,MATCH(E196,Cost_Components!$A$2:$A$27,0)),"")</f>
        <v>1</v>
      </c>
      <c r="U196" s="24">
        <f>IFERROR(INDEX(Cost_Components!$Q$2:$Q$27,MATCH(E196,Cost_Components!$A$2:$A$27,0)),"")</f>
        <v>2023</v>
      </c>
      <c r="V196" s="28">
        <f>1/(1+Calculation_Assumptions!$B$5)^(B196-Calculation_Assumptions!$B$2)</f>
        <v>0.70137988019297326</v>
      </c>
      <c r="W196" s="21">
        <f t="shared" si="36"/>
        <v>2441592.2583799222</v>
      </c>
      <c r="X196" s="21">
        <f t="shared" si="37"/>
        <v>4525670.9549222812</v>
      </c>
      <c r="Y196" s="21">
        <f t="shared" si="38"/>
        <v>2084078.6965423587</v>
      </c>
      <c r="Z196" s="15">
        <f>IFERROR(INDEX(Cost_Components!$T$2:$T$27,MATCH(E196,Cost_Components!$A$2:$A$27,0)),"")</f>
        <v>0.8</v>
      </c>
      <c r="AA196" s="24">
        <f>IFERROR(INDEX(Cost_Components!$U$2:$U$27,MATCH(E196,Cost_Components!$A$2:$A$27,0)),"")</f>
        <v>2025</v>
      </c>
      <c r="AB196" s="24">
        <f>IFERROR(INDEX(Cost_Components!$V$2:$V$27,MATCH(E196,Cost_Components!$A$2:$A$27,0)),"")</f>
        <v>2050</v>
      </c>
      <c r="AC196" s="24">
        <f>IFERROR(INDEX(Cost_Components!$M$2:$M$27,MATCH(E196,Cost_Components!$A$2:$A$27,0)),"")</f>
        <v>0</v>
      </c>
      <c r="AD196" s="24">
        <f>IFERROR(INDEX(Cost_Components!$N$2:$N$27,MATCH(E196,Cost_Components!$A$2:$A$27,0)),"")</f>
        <v>95</v>
      </c>
      <c r="AE196" s="14" t="str">
        <f>IFERROR(INDEX(Cost_Components!$O$2:$O$27,MATCH(E196,Cost_Components!$A$2:$A$27,0)),"")</f>
        <v>Both</v>
      </c>
      <c r="AF196" s="11">
        <v>101003.832817594</v>
      </c>
      <c r="AG196" s="11">
        <v>97557.195739179399</v>
      </c>
      <c r="AH196" s="21">
        <f t="shared" si="39"/>
        <v>1</v>
      </c>
    </row>
    <row r="197" spans="1:34" hidden="1">
      <c r="A197" t="s">
        <v>197</v>
      </c>
      <c r="B197" s="18">
        <v>2038</v>
      </c>
      <c r="C197" t="s">
        <v>197</v>
      </c>
      <c r="D197" t="s">
        <v>187</v>
      </c>
      <c r="E197" s="20" t="s">
        <v>275</v>
      </c>
      <c r="F197" s="20" t="s">
        <v>276</v>
      </c>
      <c r="G197" s="20" t="s">
        <v>198</v>
      </c>
      <c r="H197" s="20" t="s">
        <v>192</v>
      </c>
      <c r="I197" s="20" t="s">
        <v>264</v>
      </c>
      <c r="J197" s="15">
        <f>IFERROR(INDEX(Cost_Components!$K$2:$K$27,MATCH(E197,Cost_Components!$A$2:$A$27,0)),"")</f>
        <v>1</v>
      </c>
      <c r="K197" s="15">
        <f t="shared" si="30"/>
        <v>0.57384615384615389</v>
      </c>
      <c r="L197" s="15">
        <f>IFERROR(INDEX(Cost_Components!$S$2:$S$27,MATCH(E197,Cost_Components!$A$2:$A$27,0)),"")</f>
        <v>0.31</v>
      </c>
      <c r="M197" s="26">
        <f>IFERROR(INDEX(Cost_Components!$L$2:$L$27,MATCH(E197,Cost_Components!$A$2:$A$27,0)),"")</f>
        <v>1</v>
      </c>
      <c r="N197" s="27">
        <f>IFERROR(INDEX(Cost_Components!$P$2:$P$27,MATCH(E197,Cost_Components!$A$2:$A$27,0)),"")</f>
        <v>115.10623099999999</v>
      </c>
      <c r="O197" s="21">
        <f t="shared" si="31"/>
        <v>103022.945588046</v>
      </c>
      <c r="P197" s="21">
        <f t="shared" si="32"/>
        <v>99135.037182664295</v>
      </c>
      <c r="Q197" s="21">
        <f t="shared" si="33"/>
        <v>3537428.7519438169</v>
      </c>
      <c r="R197" s="21">
        <f t="shared" si="34"/>
        <v>6805002.2292122375</v>
      </c>
      <c r="S197" s="21">
        <f t="shared" si="35"/>
        <v>3267573.4772684206</v>
      </c>
      <c r="T197" s="14">
        <f>IFERROR(INDEX(Cost_Components!$R$2:$R$27,MATCH(E197,Cost_Components!$A$2:$A$27,0)),"")</f>
        <v>1</v>
      </c>
      <c r="U197" s="24">
        <f>IFERROR(INDEX(Cost_Components!$Q$2:$Q$27,MATCH(E197,Cost_Components!$A$2:$A$27,0)),"")</f>
        <v>2023</v>
      </c>
      <c r="V197" s="28">
        <f>1/(1+Calculation_Assumptions!$B$5)^(B197-Calculation_Assumptions!$B$2)</f>
        <v>0.68095133999317792</v>
      </c>
      <c r="W197" s="21">
        <f t="shared" si="36"/>
        <v>2408816.8487665369</v>
      </c>
      <c r="X197" s="21">
        <f t="shared" si="37"/>
        <v>4633875.3866386358</v>
      </c>
      <c r="Y197" s="21">
        <f t="shared" si="38"/>
        <v>2225058.5378720989</v>
      </c>
      <c r="Z197" s="15">
        <f>IFERROR(INDEX(Cost_Components!$T$2:$T$27,MATCH(E197,Cost_Components!$A$2:$A$27,0)),"")</f>
        <v>0.8</v>
      </c>
      <c r="AA197" s="24">
        <f>IFERROR(INDEX(Cost_Components!$U$2:$U$27,MATCH(E197,Cost_Components!$A$2:$A$27,0)),"")</f>
        <v>2025</v>
      </c>
      <c r="AB197" s="24">
        <f>IFERROR(INDEX(Cost_Components!$V$2:$V$27,MATCH(E197,Cost_Components!$A$2:$A$27,0)),"")</f>
        <v>2050</v>
      </c>
      <c r="AC197" s="24">
        <f>IFERROR(INDEX(Cost_Components!$M$2:$M$27,MATCH(E197,Cost_Components!$A$2:$A$27,0)),"")</f>
        <v>0</v>
      </c>
      <c r="AD197" s="24">
        <f>IFERROR(INDEX(Cost_Components!$N$2:$N$27,MATCH(E197,Cost_Components!$A$2:$A$27,0)),"")</f>
        <v>95</v>
      </c>
      <c r="AE197" s="14" t="str">
        <f>IFERROR(INDEX(Cost_Components!$O$2:$O$27,MATCH(E197,Cost_Components!$A$2:$A$27,0)),"")</f>
        <v>Both</v>
      </c>
      <c r="AF197" s="11">
        <v>103022.945588046</v>
      </c>
      <c r="AG197" s="11">
        <v>99135.037182664295</v>
      </c>
      <c r="AH197" s="21">
        <f t="shared" si="39"/>
        <v>1</v>
      </c>
    </row>
    <row r="198" spans="1:34" hidden="1">
      <c r="A198" t="s">
        <v>197</v>
      </c>
      <c r="B198" s="18">
        <v>2039</v>
      </c>
      <c r="C198" t="s">
        <v>197</v>
      </c>
      <c r="D198" t="s">
        <v>187</v>
      </c>
      <c r="E198" s="20" t="s">
        <v>275</v>
      </c>
      <c r="F198" s="20" t="s">
        <v>276</v>
      </c>
      <c r="G198" s="20" t="s">
        <v>198</v>
      </c>
      <c r="H198" s="20" t="s">
        <v>192</v>
      </c>
      <c r="I198" s="20" t="s">
        <v>264</v>
      </c>
      <c r="J198" s="15">
        <f>IFERROR(INDEX(Cost_Components!$K$2:$K$27,MATCH(E198,Cost_Components!$A$2:$A$27,0)),"")</f>
        <v>1</v>
      </c>
      <c r="K198" s="15">
        <f t="shared" si="30"/>
        <v>0.59269230769230763</v>
      </c>
      <c r="L198" s="15">
        <f>IFERROR(INDEX(Cost_Components!$S$2:$S$27,MATCH(E198,Cost_Components!$A$2:$A$27,0)),"")</f>
        <v>0.31</v>
      </c>
      <c r="M198" s="26">
        <f>IFERROR(INDEX(Cost_Components!$L$2:$L$27,MATCH(E198,Cost_Components!$A$2:$A$27,0)),"")</f>
        <v>1</v>
      </c>
      <c r="N198" s="27">
        <f>IFERROR(INDEX(Cost_Components!$P$2:$P$27,MATCH(E198,Cost_Components!$A$2:$A$27,0)),"")</f>
        <v>115.10623099999999</v>
      </c>
      <c r="O198" s="21">
        <f t="shared" si="31"/>
        <v>105090.566875472</v>
      </c>
      <c r="P198" s="21">
        <f t="shared" si="32"/>
        <v>100742.027695759</v>
      </c>
      <c r="Q198" s="21">
        <f t="shared" si="33"/>
        <v>3594770.8845204939</v>
      </c>
      <c r="R198" s="21">
        <f t="shared" si="34"/>
        <v>7169549.36221838</v>
      </c>
      <c r="S198" s="21">
        <f t="shared" si="35"/>
        <v>3574778.4776978861</v>
      </c>
      <c r="T198" s="14">
        <f>IFERROR(INDEX(Cost_Components!$R$2:$R$27,MATCH(E198,Cost_Components!$A$2:$A$27,0)),"")</f>
        <v>1</v>
      </c>
      <c r="U198" s="24">
        <f>IFERROR(INDEX(Cost_Components!$Q$2:$Q$27,MATCH(E198,Cost_Components!$A$2:$A$27,0)),"")</f>
        <v>2023</v>
      </c>
      <c r="V198" s="28">
        <f>1/(1+Calculation_Assumptions!$B$5)^(B198-Calculation_Assumptions!$B$2)</f>
        <v>0.66111780581861923</v>
      </c>
      <c r="W198" s="21">
        <f t="shared" si="36"/>
        <v>2376567.0395948458</v>
      </c>
      <c r="X198" s="21">
        <f t="shared" si="37"/>
        <v>4739916.7430580966</v>
      </c>
      <c r="Y198" s="21">
        <f t="shared" si="38"/>
        <v>2363349.7034632503</v>
      </c>
      <c r="Z198" s="15">
        <f>IFERROR(INDEX(Cost_Components!$T$2:$T$27,MATCH(E198,Cost_Components!$A$2:$A$27,0)),"")</f>
        <v>0.8</v>
      </c>
      <c r="AA198" s="24">
        <f>IFERROR(INDEX(Cost_Components!$U$2:$U$27,MATCH(E198,Cost_Components!$A$2:$A$27,0)),"")</f>
        <v>2025</v>
      </c>
      <c r="AB198" s="24">
        <f>IFERROR(INDEX(Cost_Components!$V$2:$V$27,MATCH(E198,Cost_Components!$A$2:$A$27,0)),"")</f>
        <v>2050</v>
      </c>
      <c r="AC198" s="24">
        <f>IFERROR(INDEX(Cost_Components!$M$2:$M$27,MATCH(E198,Cost_Components!$A$2:$A$27,0)),"")</f>
        <v>0</v>
      </c>
      <c r="AD198" s="24">
        <f>IFERROR(INDEX(Cost_Components!$N$2:$N$27,MATCH(E198,Cost_Components!$A$2:$A$27,0)),"")</f>
        <v>95</v>
      </c>
      <c r="AE198" s="14" t="str">
        <f>IFERROR(INDEX(Cost_Components!$O$2:$O$27,MATCH(E198,Cost_Components!$A$2:$A$27,0)),"")</f>
        <v>Both</v>
      </c>
      <c r="AF198" s="11">
        <v>105090.566875472</v>
      </c>
      <c r="AG198" s="11">
        <v>100742.027695759</v>
      </c>
      <c r="AH198" s="21">
        <f t="shared" si="39"/>
        <v>1</v>
      </c>
    </row>
    <row r="199" spans="1:34" hidden="1">
      <c r="A199" t="s">
        <v>197</v>
      </c>
      <c r="B199" s="18">
        <v>2040</v>
      </c>
      <c r="C199" t="s">
        <v>197</v>
      </c>
      <c r="D199" t="s">
        <v>187</v>
      </c>
      <c r="E199" s="20" t="s">
        <v>275</v>
      </c>
      <c r="F199" s="20" t="s">
        <v>276</v>
      </c>
      <c r="G199" s="20" t="s">
        <v>198</v>
      </c>
      <c r="H199" s="20" t="s">
        <v>192</v>
      </c>
      <c r="I199" s="20" t="s">
        <v>264</v>
      </c>
      <c r="J199" s="15">
        <f>IFERROR(INDEX(Cost_Components!$K$2:$K$27,MATCH(E199,Cost_Components!$A$2:$A$27,0)),"")</f>
        <v>1</v>
      </c>
      <c r="K199" s="15">
        <f t="shared" si="30"/>
        <v>0.61153846153846159</v>
      </c>
      <c r="L199" s="15">
        <f>IFERROR(INDEX(Cost_Components!$S$2:$S$27,MATCH(E199,Cost_Components!$A$2:$A$27,0)),"")</f>
        <v>0.31</v>
      </c>
      <c r="M199" s="26">
        <f>IFERROR(INDEX(Cost_Components!$L$2:$L$27,MATCH(E199,Cost_Components!$A$2:$A$27,0)),"")</f>
        <v>1</v>
      </c>
      <c r="N199" s="27">
        <f>IFERROR(INDEX(Cost_Components!$P$2:$P$27,MATCH(E199,Cost_Components!$A$2:$A$27,0)),"")</f>
        <v>115.10623099999999</v>
      </c>
      <c r="O199" s="21">
        <f t="shared" si="31"/>
        <v>107214.914913032</v>
      </c>
      <c r="P199" s="21">
        <f t="shared" si="32"/>
        <v>102387.063046542</v>
      </c>
      <c r="Q199" s="21">
        <f t="shared" si="33"/>
        <v>3653470.568438516</v>
      </c>
      <c r="R199" s="21">
        <f t="shared" si="34"/>
        <v>7547060.2202205556</v>
      </c>
      <c r="S199" s="21">
        <f t="shared" si="35"/>
        <v>3893589.6517820396</v>
      </c>
      <c r="T199" s="14">
        <f>IFERROR(INDEX(Cost_Components!$R$2:$R$27,MATCH(E199,Cost_Components!$A$2:$A$27,0)),"")</f>
        <v>1</v>
      </c>
      <c r="U199" s="24">
        <f>IFERROR(INDEX(Cost_Components!$Q$2:$Q$27,MATCH(E199,Cost_Components!$A$2:$A$27,0)),"")</f>
        <v>2023</v>
      </c>
      <c r="V199" s="28">
        <f>1/(1+Calculation_Assumptions!$B$5)^(B199-Calculation_Assumptions!$B$2)</f>
        <v>0.64186194739671765</v>
      </c>
      <c r="W199" s="21">
        <f t="shared" si="36"/>
        <v>2345023.7338145389</v>
      </c>
      <c r="X199" s="21">
        <f t="shared" si="37"/>
        <v>4844170.7700710669</v>
      </c>
      <c r="Y199" s="21">
        <f t="shared" si="38"/>
        <v>2499147.0362565275</v>
      </c>
      <c r="Z199" s="15">
        <f>IFERROR(INDEX(Cost_Components!$T$2:$T$27,MATCH(E199,Cost_Components!$A$2:$A$27,0)),"")</f>
        <v>0.8</v>
      </c>
      <c r="AA199" s="24">
        <f>IFERROR(INDEX(Cost_Components!$U$2:$U$27,MATCH(E199,Cost_Components!$A$2:$A$27,0)),"")</f>
        <v>2025</v>
      </c>
      <c r="AB199" s="24">
        <f>IFERROR(INDEX(Cost_Components!$V$2:$V$27,MATCH(E199,Cost_Components!$A$2:$A$27,0)),"")</f>
        <v>2050</v>
      </c>
      <c r="AC199" s="24">
        <f>IFERROR(INDEX(Cost_Components!$M$2:$M$27,MATCH(E199,Cost_Components!$A$2:$A$27,0)),"")</f>
        <v>0</v>
      </c>
      <c r="AD199" s="24">
        <f>IFERROR(INDEX(Cost_Components!$N$2:$N$27,MATCH(E199,Cost_Components!$A$2:$A$27,0)),"")</f>
        <v>95</v>
      </c>
      <c r="AE199" s="14" t="str">
        <f>IFERROR(INDEX(Cost_Components!$O$2:$O$27,MATCH(E199,Cost_Components!$A$2:$A$27,0)),"")</f>
        <v>Both</v>
      </c>
      <c r="AF199" s="11">
        <v>107214.914913032</v>
      </c>
      <c r="AG199" s="11">
        <v>102387.063046542</v>
      </c>
      <c r="AH199" s="21">
        <f t="shared" si="39"/>
        <v>1</v>
      </c>
    </row>
    <row r="200" spans="1:34" hidden="1">
      <c r="A200" t="s">
        <v>197</v>
      </c>
      <c r="B200" s="18">
        <v>2041</v>
      </c>
      <c r="C200" t="s">
        <v>197</v>
      </c>
      <c r="D200" t="s">
        <v>187</v>
      </c>
      <c r="E200" s="20" t="s">
        <v>275</v>
      </c>
      <c r="F200" s="20" t="s">
        <v>276</v>
      </c>
      <c r="G200" s="20" t="s">
        <v>198</v>
      </c>
      <c r="H200" s="20" t="s">
        <v>192</v>
      </c>
      <c r="I200" s="20" t="s">
        <v>264</v>
      </c>
      <c r="J200" s="15">
        <f>IFERROR(INDEX(Cost_Components!$K$2:$K$27,MATCH(E200,Cost_Components!$A$2:$A$27,0)),"")</f>
        <v>1</v>
      </c>
      <c r="K200" s="15">
        <f t="shared" si="30"/>
        <v>0.63038461538461543</v>
      </c>
      <c r="L200" s="15">
        <f>IFERROR(INDEX(Cost_Components!$S$2:$S$27,MATCH(E200,Cost_Components!$A$2:$A$27,0)),"")</f>
        <v>0.31</v>
      </c>
      <c r="M200" s="26">
        <f>IFERROR(INDEX(Cost_Components!$L$2:$L$27,MATCH(E200,Cost_Components!$A$2:$A$27,0)),"")</f>
        <v>1</v>
      </c>
      <c r="N200" s="27">
        <f>IFERROR(INDEX(Cost_Components!$P$2:$P$27,MATCH(E200,Cost_Components!$A$2:$A$27,0)),"")</f>
        <v>115.10623099999999</v>
      </c>
      <c r="O200" s="21">
        <f t="shared" si="31"/>
        <v>109399.74095907</v>
      </c>
      <c r="P200" s="21">
        <f t="shared" si="32"/>
        <v>104074.53307124101</v>
      </c>
      <c r="Q200" s="21">
        <f t="shared" si="33"/>
        <v>3713684.4459237759</v>
      </c>
      <c r="R200" s="21">
        <f t="shared" si="34"/>
        <v>7938176.1726894686</v>
      </c>
      <c r="S200" s="21">
        <f t="shared" si="35"/>
        <v>4224491.7267656922</v>
      </c>
      <c r="T200" s="14">
        <f>IFERROR(INDEX(Cost_Components!$R$2:$R$27,MATCH(E200,Cost_Components!$A$2:$A$27,0)),"")</f>
        <v>1</v>
      </c>
      <c r="U200" s="24">
        <f>IFERROR(INDEX(Cost_Components!$Q$2:$Q$27,MATCH(E200,Cost_Components!$A$2:$A$27,0)),"")</f>
        <v>2023</v>
      </c>
      <c r="V200" s="28">
        <f>1/(1+Calculation_Assumptions!$B$5)^(B200-Calculation_Assumptions!$B$2)</f>
        <v>0.62316693922011435</v>
      </c>
      <c r="W200" s="21">
        <f t="shared" si="36"/>
        <v>2314245.3693956658</v>
      </c>
      <c r="X200" s="21">
        <f t="shared" si="37"/>
        <v>4946808.948524938</v>
      </c>
      <c r="Y200" s="21">
        <f t="shared" si="38"/>
        <v>2632563.5791292721</v>
      </c>
      <c r="Z200" s="15">
        <f>IFERROR(INDEX(Cost_Components!$T$2:$T$27,MATCH(E200,Cost_Components!$A$2:$A$27,0)),"")</f>
        <v>0.8</v>
      </c>
      <c r="AA200" s="24">
        <f>IFERROR(INDEX(Cost_Components!$U$2:$U$27,MATCH(E200,Cost_Components!$A$2:$A$27,0)),"")</f>
        <v>2025</v>
      </c>
      <c r="AB200" s="24">
        <f>IFERROR(INDEX(Cost_Components!$V$2:$V$27,MATCH(E200,Cost_Components!$A$2:$A$27,0)),"")</f>
        <v>2050</v>
      </c>
      <c r="AC200" s="24">
        <f>IFERROR(INDEX(Cost_Components!$M$2:$M$27,MATCH(E200,Cost_Components!$A$2:$A$27,0)),"")</f>
        <v>0</v>
      </c>
      <c r="AD200" s="24">
        <f>IFERROR(INDEX(Cost_Components!$N$2:$N$27,MATCH(E200,Cost_Components!$A$2:$A$27,0)),"")</f>
        <v>95</v>
      </c>
      <c r="AE200" s="14" t="str">
        <f>IFERROR(INDEX(Cost_Components!$O$2:$O$27,MATCH(E200,Cost_Components!$A$2:$A$27,0)),"")</f>
        <v>Both</v>
      </c>
      <c r="AF200" s="11">
        <v>109399.74095907</v>
      </c>
      <c r="AG200" s="11">
        <v>104074.53307124101</v>
      </c>
      <c r="AH200" s="21">
        <f t="shared" si="39"/>
        <v>1</v>
      </c>
    </row>
    <row r="201" spans="1:34" hidden="1">
      <c r="A201" t="s">
        <v>197</v>
      </c>
      <c r="B201" s="18">
        <v>2042</v>
      </c>
      <c r="C201" t="s">
        <v>197</v>
      </c>
      <c r="D201" t="s">
        <v>187</v>
      </c>
      <c r="E201" s="20" t="s">
        <v>275</v>
      </c>
      <c r="F201" s="20" t="s">
        <v>276</v>
      </c>
      <c r="G201" s="20" t="s">
        <v>198</v>
      </c>
      <c r="H201" s="20" t="s">
        <v>192</v>
      </c>
      <c r="I201" s="20" t="s">
        <v>264</v>
      </c>
      <c r="J201" s="15">
        <f>IFERROR(INDEX(Cost_Components!$K$2:$K$27,MATCH(E201,Cost_Components!$A$2:$A$27,0)),"")</f>
        <v>1</v>
      </c>
      <c r="K201" s="15">
        <f t="shared" si="30"/>
        <v>0.64923076923076928</v>
      </c>
      <c r="L201" s="15">
        <f>IFERROR(INDEX(Cost_Components!$S$2:$S$27,MATCH(E201,Cost_Components!$A$2:$A$27,0)),"")</f>
        <v>0.31</v>
      </c>
      <c r="M201" s="26">
        <f>IFERROR(INDEX(Cost_Components!$L$2:$L$27,MATCH(E201,Cost_Components!$A$2:$A$27,0)),"")</f>
        <v>1</v>
      </c>
      <c r="N201" s="27">
        <f>IFERROR(INDEX(Cost_Components!$P$2:$P$27,MATCH(E201,Cost_Components!$A$2:$A$27,0)),"")</f>
        <v>115.10623099999999</v>
      </c>
      <c r="O201" s="21">
        <f t="shared" si="31"/>
        <v>111641.91869139401</v>
      </c>
      <c r="P201" s="21">
        <f t="shared" si="32"/>
        <v>105801.648046402</v>
      </c>
      <c r="Q201" s="21">
        <f t="shared" si="33"/>
        <v>3775312.9714650526</v>
      </c>
      <c r="R201" s="21">
        <f t="shared" si="34"/>
        <v>8343057.1745811887</v>
      </c>
      <c r="S201" s="21">
        <f t="shared" si="35"/>
        <v>4567744.2031161357</v>
      </c>
      <c r="T201" s="14">
        <f>IFERROR(INDEX(Cost_Components!$R$2:$R$27,MATCH(E201,Cost_Components!$A$2:$A$27,0)),"")</f>
        <v>1</v>
      </c>
      <c r="U201" s="24">
        <f>IFERROR(INDEX(Cost_Components!$Q$2:$Q$27,MATCH(E201,Cost_Components!$A$2:$A$27,0)),"")</f>
        <v>2023</v>
      </c>
      <c r="V201" s="28">
        <f>1/(1+Calculation_Assumptions!$B$5)^(B201-Calculation_Assumptions!$B$2)</f>
        <v>0.60501644584477121</v>
      </c>
      <c r="W201" s="21">
        <f t="shared" si="36"/>
        <v>2284126.4359474485</v>
      </c>
      <c r="X201" s="21">
        <f t="shared" si="37"/>
        <v>5047686.7992448295</v>
      </c>
      <c r="Y201" s="21">
        <f t="shared" si="38"/>
        <v>2763560.363297381</v>
      </c>
      <c r="Z201" s="15">
        <f>IFERROR(INDEX(Cost_Components!$T$2:$T$27,MATCH(E201,Cost_Components!$A$2:$A$27,0)),"")</f>
        <v>0.8</v>
      </c>
      <c r="AA201" s="24">
        <f>IFERROR(INDEX(Cost_Components!$U$2:$U$27,MATCH(E201,Cost_Components!$A$2:$A$27,0)),"")</f>
        <v>2025</v>
      </c>
      <c r="AB201" s="24">
        <f>IFERROR(INDEX(Cost_Components!$V$2:$V$27,MATCH(E201,Cost_Components!$A$2:$A$27,0)),"")</f>
        <v>2050</v>
      </c>
      <c r="AC201" s="24">
        <f>IFERROR(INDEX(Cost_Components!$M$2:$M$27,MATCH(E201,Cost_Components!$A$2:$A$27,0)),"")</f>
        <v>0</v>
      </c>
      <c r="AD201" s="24">
        <f>IFERROR(INDEX(Cost_Components!$N$2:$N$27,MATCH(E201,Cost_Components!$A$2:$A$27,0)),"")</f>
        <v>95</v>
      </c>
      <c r="AE201" s="14" t="str">
        <f>IFERROR(INDEX(Cost_Components!$O$2:$O$27,MATCH(E201,Cost_Components!$A$2:$A$27,0)),"")</f>
        <v>Both</v>
      </c>
      <c r="AF201" s="11">
        <v>111641.91869139401</v>
      </c>
      <c r="AG201" s="11">
        <v>105801.648046402</v>
      </c>
      <c r="AH201" s="21">
        <f t="shared" si="39"/>
        <v>1</v>
      </c>
    </row>
    <row r="202" spans="1:34" hidden="1">
      <c r="A202" t="s">
        <v>197</v>
      </c>
      <c r="B202" s="18">
        <v>2043</v>
      </c>
      <c r="C202" t="s">
        <v>197</v>
      </c>
      <c r="D202" t="s">
        <v>187</v>
      </c>
      <c r="E202" s="20" t="s">
        <v>275</v>
      </c>
      <c r="F202" s="20" t="s">
        <v>276</v>
      </c>
      <c r="G202" s="20" t="s">
        <v>198</v>
      </c>
      <c r="H202" s="20" t="s">
        <v>192</v>
      </c>
      <c r="I202" s="20" t="s">
        <v>264</v>
      </c>
      <c r="J202" s="15">
        <f>IFERROR(INDEX(Cost_Components!$K$2:$K$27,MATCH(E202,Cost_Components!$A$2:$A$27,0)),"")</f>
        <v>1</v>
      </c>
      <c r="K202" s="15">
        <f t="shared" si="30"/>
        <v>0.66807692307692301</v>
      </c>
      <c r="L202" s="15">
        <f>IFERROR(INDEX(Cost_Components!$S$2:$S$27,MATCH(E202,Cost_Components!$A$2:$A$27,0)),"")</f>
        <v>0.31</v>
      </c>
      <c r="M202" s="26">
        <f>IFERROR(INDEX(Cost_Components!$L$2:$L$27,MATCH(E202,Cost_Components!$A$2:$A$27,0)),"")</f>
        <v>1</v>
      </c>
      <c r="N202" s="27">
        <f>IFERROR(INDEX(Cost_Components!$P$2:$P$27,MATCH(E202,Cost_Components!$A$2:$A$27,0)),"")</f>
        <v>115.10623099999999</v>
      </c>
      <c r="O202" s="21">
        <f t="shared" si="31"/>
        <v>113944.258266752</v>
      </c>
      <c r="P202" s="21">
        <f t="shared" si="32"/>
        <v>107571.320256081</v>
      </c>
      <c r="Q202" s="21">
        <f t="shared" si="33"/>
        <v>3838460.0638951464</v>
      </c>
      <c r="R202" s="21">
        <f t="shared" si="34"/>
        <v>8762292.5671490114</v>
      </c>
      <c r="S202" s="21">
        <f t="shared" si="35"/>
        <v>4923832.5032538651</v>
      </c>
      <c r="T202" s="14">
        <f>IFERROR(INDEX(Cost_Components!$R$2:$R$27,MATCH(E202,Cost_Components!$A$2:$A$27,0)),"")</f>
        <v>1</v>
      </c>
      <c r="U202" s="24">
        <f>IFERROR(INDEX(Cost_Components!$Q$2:$Q$27,MATCH(E202,Cost_Components!$A$2:$A$27,0)),"")</f>
        <v>2023</v>
      </c>
      <c r="V202" s="28">
        <f>1/(1+Calculation_Assumptions!$B$5)^(B202-Calculation_Assumptions!$B$2)</f>
        <v>0.5873946076162827</v>
      </c>
      <c r="W202" s="21">
        <f t="shared" si="36"/>
        <v>2254690.7430824609</v>
      </c>
      <c r="X202" s="21">
        <f t="shared" si="37"/>
        <v>5146923.4042995637</v>
      </c>
      <c r="Y202" s="21">
        <f t="shared" si="38"/>
        <v>2892232.6612171032</v>
      </c>
      <c r="Z202" s="15">
        <f>IFERROR(INDEX(Cost_Components!$T$2:$T$27,MATCH(E202,Cost_Components!$A$2:$A$27,0)),"")</f>
        <v>0.8</v>
      </c>
      <c r="AA202" s="24">
        <f>IFERROR(INDEX(Cost_Components!$U$2:$U$27,MATCH(E202,Cost_Components!$A$2:$A$27,0)),"")</f>
        <v>2025</v>
      </c>
      <c r="AB202" s="24">
        <f>IFERROR(INDEX(Cost_Components!$V$2:$V$27,MATCH(E202,Cost_Components!$A$2:$A$27,0)),"")</f>
        <v>2050</v>
      </c>
      <c r="AC202" s="24">
        <f>IFERROR(INDEX(Cost_Components!$M$2:$M$27,MATCH(E202,Cost_Components!$A$2:$A$27,0)),"")</f>
        <v>0</v>
      </c>
      <c r="AD202" s="24">
        <f>IFERROR(INDEX(Cost_Components!$N$2:$N$27,MATCH(E202,Cost_Components!$A$2:$A$27,0)),"")</f>
        <v>95</v>
      </c>
      <c r="AE202" s="14" t="str">
        <f>IFERROR(INDEX(Cost_Components!$O$2:$O$27,MATCH(E202,Cost_Components!$A$2:$A$27,0)),"")</f>
        <v>Both</v>
      </c>
      <c r="AF202" s="11">
        <v>113944.258266752</v>
      </c>
      <c r="AG202" s="11">
        <v>107571.320256081</v>
      </c>
      <c r="AH202" s="21">
        <f t="shared" si="39"/>
        <v>1</v>
      </c>
    </row>
    <row r="203" spans="1:34" hidden="1">
      <c r="A203" t="s">
        <v>197</v>
      </c>
      <c r="B203" s="18">
        <v>2044</v>
      </c>
      <c r="C203" t="s">
        <v>197</v>
      </c>
      <c r="D203" t="s">
        <v>187</v>
      </c>
      <c r="E203" s="20" t="s">
        <v>275</v>
      </c>
      <c r="F203" s="20" t="s">
        <v>276</v>
      </c>
      <c r="G203" s="20" t="s">
        <v>198</v>
      </c>
      <c r="H203" s="20" t="s">
        <v>192</v>
      </c>
      <c r="I203" s="20" t="s">
        <v>264</v>
      </c>
      <c r="J203" s="15">
        <f>IFERROR(INDEX(Cost_Components!$K$2:$K$27,MATCH(E203,Cost_Components!$A$2:$A$27,0)),"")</f>
        <v>1</v>
      </c>
      <c r="K203" s="15">
        <f t="shared" si="30"/>
        <v>0.68692307692307697</v>
      </c>
      <c r="L203" s="15">
        <f>IFERROR(INDEX(Cost_Components!$S$2:$S$27,MATCH(E203,Cost_Components!$A$2:$A$27,0)),"")</f>
        <v>0.31</v>
      </c>
      <c r="M203" s="26">
        <f>IFERROR(INDEX(Cost_Components!$L$2:$L$27,MATCH(E203,Cost_Components!$A$2:$A$27,0)),"")</f>
        <v>1</v>
      </c>
      <c r="N203" s="27">
        <f>IFERROR(INDEX(Cost_Components!$P$2:$P$27,MATCH(E203,Cost_Components!$A$2:$A$27,0)),"")</f>
        <v>115.10623099999999</v>
      </c>
      <c r="O203" s="21">
        <f t="shared" si="31"/>
        <v>116301.68194594901</v>
      </c>
      <c r="P203" s="21">
        <f t="shared" si="32"/>
        <v>109378.894414443</v>
      </c>
      <c r="Q203" s="21">
        <f t="shared" si="33"/>
        <v>3902959.6089679804</v>
      </c>
      <c r="R203" s="21">
        <f t="shared" si="34"/>
        <v>9195872.3870067149</v>
      </c>
      <c r="S203" s="21">
        <f t="shared" si="35"/>
        <v>5292912.7780387346</v>
      </c>
      <c r="T203" s="14">
        <f>IFERROR(INDEX(Cost_Components!$R$2:$R$27,MATCH(E203,Cost_Components!$A$2:$A$27,0)),"")</f>
        <v>1</v>
      </c>
      <c r="U203" s="24">
        <f>IFERROR(INDEX(Cost_Components!$Q$2:$Q$27,MATCH(E203,Cost_Components!$A$2:$A$27,0)),"")</f>
        <v>2023</v>
      </c>
      <c r="V203" s="28">
        <f>1/(1+Calculation_Assumptions!$B$5)^(B203-Calculation_Assumptions!$B$2)</f>
        <v>0.57028602681192497</v>
      </c>
      <c r="W203" s="21">
        <f t="shared" si="36"/>
        <v>2225803.3282057741</v>
      </c>
      <c r="X203" s="21">
        <f t="shared" si="37"/>
        <v>5244277.526655552</v>
      </c>
      <c r="Y203" s="21">
        <f t="shared" si="38"/>
        <v>3018474.1984497779</v>
      </c>
      <c r="Z203" s="15">
        <f>IFERROR(INDEX(Cost_Components!$T$2:$T$27,MATCH(E203,Cost_Components!$A$2:$A$27,0)),"")</f>
        <v>0.8</v>
      </c>
      <c r="AA203" s="24">
        <f>IFERROR(INDEX(Cost_Components!$U$2:$U$27,MATCH(E203,Cost_Components!$A$2:$A$27,0)),"")</f>
        <v>2025</v>
      </c>
      <c r="AB203" s="24">
        <f>IFERROR(INDEX(Cost_Components!$V$2:$V$27,MATCH(E203,Cost_Components!$A$2:$A$27,0)),"")</f>
        <v>2050</v>
      </c>
      <c r="AC203" s="24">
        <f>IFERROR(INDEX(Cost_Components!$M$2:$M$27,MATCH(E203,Cost_Components!$A$2:$A$27,0)),"")</f>
        <v>0</v>
      </c>
      <c r="AD203" s="24">
        <f>IFERROR(INDEX(Cost_Components!$N$2:$N$27,MATCH(E203,Cost_Components!$A$2:$A$27,0)),"")</f>
        <v>95</v>
      </c>
      <c r="AE203" s="14" t="str">
        <f>IFERROR(INDEX(Cost_Components!$O$2:$O$27,MATCH(E203,Cost_Components!$A$2:$A$27,0)),"")</f>
        <v>Both</v>
      </c>
      <c r="AF203" s="11">
        <v>116301.68194594901</v>
      </c>
      <c r="AG203" s="11">
        <v>109378.894414443</v>
      </c>
      <c r="AH203" s="21">
        <f t="shared" si="39"/>
        <v>1</v>
      </c>
    </row>
    <row r="204" spans="1:34" hidden="1">
      <c r="A204" t="s">
        <v>197</v>
      </c>
      <c r="B204" s="18">
        <v>2045</v>
      </c>
      <c r="C204" t="s">
        <v>197</v>
      </c>
      <c r="D204" t="s">
        <v>187</v>
      </c>
      <c r="E204" s="20" t="s">
        <v>275</v>
      </c>
      <c r="F204" s="20" t="s">
        <v>276</v>
      </c>
      <c r="G204" s="20" t="s">
        <v>198</v>
      </c>
      <c r="H204" s="20" t="s">
        <v>192</v>
      </c>
      <c r="I204" s="20" t="s">
        <v>264</v>
      </c>
      <c r="J204" s="15">
        <f>IFERROR(INDEX(Cost_Components!$K$2:$K$27,MATCH(E204,Cost_Components!$A$2:$A$27,0)),"")</f>
        <v>1</v>
      </c>
      <c r="K204" s="15">
        <f t="shared" si="30"/>
        <v>0.70576923076923082</v>
      </c>
      <c r="L204" s="15">
        <f>IFERROR(INDEX(Cost_Components!$S$2:$S$27,MATCH(E204,Cost_Components!$A$2:$A$27,0)),"")</f>
        <v>0.31</v>
      </c>
      <c r="M204" s="26">
        <f>IFERROR(INDEX(Cost_Components!$L$2:$L$27,MATCH(E204,Cost_Components!$A$2:$A$27,0)),"")</f>
        <v>1</v>
      </c>
      <c r="N204" s="27">
        <f>IFERROR(INDEX(Cost_Components!$P$2:$P$27,MATCH(E204,Cost_Components!$A$2:$A$27,0)),"")</f>
        <v>115.10623099999999</v>
      </c>
      <c r="O204" s="21">
        <f t="shared" si="31"/>
        <v>118705.25798249</v>
      </c>
      <c r="P204" s="21">
        <f t="shared" si="32"/>
        <v>111216.138075836</v>
      </c>
      <c r="Q204" s="21">
        <f t="shared" si="33"/>
        <v>3968517.848888373</v>
      </c>
      <c r="R204" s="21">
        <f t="shared" si="34"/>
        <v>9643429.5164859258</v>
      </c>
      <c r="S204" s="21">
        <f t="shared" si="35"/>
        <v>5674911.6675975528</v>
      </c>
      <c r="T204" s="14">
        <f>IFERROR(INDEX(Cost_Components!$R$2:$R$27,MATCH(E204,Cost_Components!$A$2:$A$27,0)),"")</f>
        <v>1</v>
      </c>
      <c r="U204" s="24">
        <f>IFERROR(INDEX(Cost_Components!$Q$2:$Q$27,MATCH(E204,Cost_Components!$A$2:$A$27,0)),"")</f>
        <v>2023</v>
      </c>
      <c r="V204" s="28">
        <f>1/(1+Calculation_Assumptions!$B$5)^(B204-Calculation_Assumptions!$B$2)</f>
        <v>0.55367575418633497</v>
      </c>
      <c r="W204" s="21">
        <f t="shared" si="36"/>
        <v>2197272.1129852016</v>
      </c>
      <c r="X204" s="21">
        <f t="shared" si="37"/>
        <v>5339333.1104831081</v>
      </c>
      <c r="Y204" s="21">
        <f t="shared" si="38"/>
        <v>3142060.9974979069</v>
      </c>
      <c r="Z204" s="15">
        <f>IFERROR(INDEX(Cost_Components!$T$2:$T$27,MATCH(E204,Cost_Components!$A$2:$A$27,0)),"")</f>
        <v>0.8</v>
      </c>
      <c r="AA204" s="24">
        <f>IFERROR(INDEX(Cost_Components!$U$2:$U$27,MATCH(E204,Cost_Components!$A$2:$A$27,0)),"")</f>
        <v>2025</v>
      </c>
      <c r="AB204" s="24">
        <f>IFERROR(INDEX(Cost_Components!$V$2:$V$27,MATCH(E204,Cost_Components!$A$2:$A$27,0)),"")</f>
        <v>2050</v>
      </c>
      <c r="AC204" s="24">
        <f>IFERROR(INDEX(Cost_Components!$M$2:$M$27,MATCH(E204,Cost_Components!$A$2:$A$27,0)),"")</f>
        <v>0</v>
      </c>
      <c r="AD204" s="24">
        <f>IFERROR(INDEX(Cost_Components!$N$2:$N$27,MATCH(E204,Cost_Components!$A$2:$A$27,0)),"")</f>
        <v>95</v>
      </c>
      <c r="AE204" s="14" t="str">
        <f>IFERROR(INDEX(Cost_Components!$O$2:$O$27,MATCH(E204,Cost_Components!$A$2:$A$27,0)),"")</f>
        <v>Both</v>
      </c>
      <c r="AF204" s="11">
        <v>118705.25798249</v>
      </c>
      <c r="AG204" s="11">
        <v>111216.138075836</v>
      </c>
      <c r="AH204" s="21">
        <f t="shared" si="39"/>
        <v>1</v>
      </c>
    </row>
    <row r="205" spans="1:34" hidden="1">
      <c r="A205" t="s">
        <v>197</v>
      </c>
      <c r="B205" s="18">
        <v>2046</v>
      </c>
      <c r="C205" t="s">
        <v>197</v>
      </c>
      <c r="D205" t="s">
        <v>187</v>
      </c>
      <c r="E205" s="20" t="s">
        <v>275</v>
      </c>
      <c r="F205" s="20" t="s">
        <v>276</v>
      </c>
      <c r="G205" s="20" t="s">
        <v>198</v>
      </c>
      <c r="H205" s="20" t="s">
        <v>192</v>
      </c>
      <c r="I205" s="20" t="s">
        <v>264</v>
      </c>
      <c r="J205" s="15">
        <f>IFERROR(INDEX(Cost_Components!$K$2:$K$27,MATCH(E205,Cost_Components!$A$2:$A$27,0)),"")</f>
        <v>1</v>
      </c>
      <c r="K205" s="15">
        <f t="shared" si="30"/>
        <v>0.72461538461538466</v>
      </c>
      <c r="L205" s="15">
        <f>IFERROR(INDEX(Cost_Components!$S$2:$S$27,MATCH(E205,Cost_Components!$A$2:$A$27,0)),"")</f>
        <v>0.31</v>
      </c>
      <c r="M205" s="26">
        <f>IFERROR(INDEX(Cost_Components!$L$2:$L$27,MATCH(E205,Cost_Components!$A$2:$A$27,0)),"")</f>
        <v>1</v>
      </c>
      <c r="N205" s="27">
        <f>IFERROR(INDEX(Cost_Components!$P$2:$P$27,MATCH(E205,Cost_Components!$A$2:$A$27,0)),"")</f>
        <v>115.10623099999999</v>
      </c>
      <c r="O205" s="21">
        <f t="shared" si="31"/>
        <v>121139.786196696</v>
      </c>
      <c r="P205" s="21">
        <f t="shared" si="32"/>
        <v>113069.08390616599</v>
      </c>
      <c r="Q205" s="21">
        <f t="shared" si="33"/>
        <v>4034636.388229073</v>
      </c>
      <c r="R205" s="21">
        <f t="shared" si="34"/>
        <v>10103996.499137806</v>
      </c>
      <c r="S205" s="21">
        <f t="shared" si="35"/>
        <v>6069360.1109087327</v>
      </c>
      <c r="T205" s="14">
        <f>IFERROR(INDEX(Cost_Components!$R$2:$R$27,MATCH(E205,Cost_Components!$A$2:$A$27,0)),"")</f>
        <v>1</v>
      </c>
      <c r="U205" s="24">
        <f>IFERROR(INDEX(Cost_Components!$Q$2:$Q$27,MATCH(E205,Cost_Components!$A$2:$A$27,0)),"")</f>
        <v>2023</v>
      </c>
      <c r="V205" s="28">
        <f>1/(1+Calculation_Assumptions!$B$5)^(B205-Calculation_Assumptions!$B$2)</f>
        <v>0.5375492759090631</v>
      </c>
      <c r="W205" s="21">
        <f t="shared" si="36"/>
        <v>2168815.8690488958</v>
      </c>
      <c r="X205" s="21">
        <f t="shared" si="37"/>
        <v>5431396.0018992359</v>
      </c>
      <c r="Y205" s="21">
        <f t="shared" si="38"/>
        <v>3262580.1328503401</v>
      </c>
      <c r="Z205" s="15">
        <f>IFERROR(INDEX(Cost_Components!$T$2:$T$27,MATCH(E205,Cost_Components!$A$2:$A$27,0)),"")</f>
        <v>0.8</v>
      </c>
      <c r="AA205" s="24">
        <f>IFERROR(INDEX(Cost_Components!$U$2:$U$27,MATCH(E205,Cost_Components!$A$2:$A$27,0)),"")</f>
        <v>2025</v>
      </c>
      <c r="AB205" s="24">
        <f>IFERROR(INDEX(Cost_Components!$V$2:$V$27,MATCH(E205,Cost_Components!$A$2:$A$27,0)),"")</f>
        <v>2050</v>
      </c>
      <c r="AC205" s="24">
        <f>IFERROR(INDEX(Cost_Components!$M$2:$M$27,MATCH(E205,Cost_Components!$A$2:$A$27,0)),"")</f>
        <v>0</v>
      </c>
      <c r="AD205" s="24">
        <f>IFERROR(INDEX(Cost_Components!$N$2:$N$27,MATCH(E205,Cost_Components!$A$2:$A$27,0)),"")</f>
        <v>95</v>
      </c>
      <c r="AE205" s="14" t="str">
        <f>IFERROR(INDEX(Cost_Components!$O$2:$O$27,MATCH(E205,Cost_Components!$A$2:$A$27,0)),"")</f>
        <v>Both</v>
      </c>
      <c r="AF205" s="11">
        <v>121139.786196696</v>
      </c>
      <c r="AG205" s="11">
        <v>113069.08390616599</v>
      </c>
      <c r="AH205" s="21">
        <f t="shared" si="39"/>
        <v>1</v>
      </c>
    </row>
    <row r="206" spans="1:34" hidden="1">
      <c r="A206" t="s">
        <v>197</v>
      </c>
      <c r="B206" s="18">
        <v>2047</v>
      </c>
      <c r="C206" t="s">
        <v>197</v>
      </c>
      <c r="D206" t="s">
        <v>187</v>
      </c>
      <c r="E206" s="20" t="s">
        <v>275</v>
      </c>
      <c r="F206" s="20" t="s">
        <v>276</v>
      </c>
      <c r="G206" s="20" t="s">
        <v>198</v>
      </c>
      <c r="H206" s="20" t="s">
        <v>192</v>
      </c>
      <c r="I206" s="20" t="s">
        <v>264</v>
      </c>
      <c r="J206" s="15">
        <f>IFERROR(INDEX(Cost_Components!$K$2:$K$27,MATCH(E206,Cost_Components!$A$2:$A$27,0)),"")</f>
        <v>1</v>
      </c>
      <c r="K206" s="15">
        <f t="shared" si="30"/>
        <v>0.74346153846153851</v>
      </c>
      <c r="L206" s="15">
        <f>IFERROR(INDEX(Cost_Components!$S$2:$S$27,MATCH(E206,Cost_Components!$A$2:$A$27,0)),"")</f>
        <v>0.31</v>
      </c>
      <c r="M206" s="26">
        <f>IFERROR(INDEX(Cost_Components!$L$2:$L$27,MATCH(E206,Cost_Components!$A$2:$A$27,0)),"")</f>
        <v>1</v>
      </c>
      <c r="N206" s="27">
        <f>IFERROR(INDEX(Cost_Components!$P$2:$P$27,MATCH(E206,Cost_Components!$A$2:$A$27,0)),"")</f>
        <v>115.10623099999999</v>
      </c>
      <c r="O206" s="21">
        <f t="shared" si="31"/>
        <v>123589.971524728</v>
      </c>
      <c r="P206" s="21">
        <f t="shared" si="32"/>
        <v>114923.915044056</v>
      </c>
      <c r="Q206" s="21">
        <f t="shared" si="33"/>
        <v>4100822.2008705004</v>
      </c>
      <c r="R206" s="21">
        <f t="shared" si="34"/>
        <v>10576465.863015283</v>
      </c>
      <c r="S206" s="21">
        <f t="shared" si="35"/>
        <v>6475643.662144782</v>
      </c>
      <c r="T206" s="14">
        <f>IFERROR(INDEX(Cost_Components!$R$2:$R$27,MATCH(E206,Cost_Components!$A$2:$A$27,0)),"")</f>
        <v>1</v>
      </c>
      <c r="U206" s="24">
        <f>IFERROR(INDEX(Cost_Components!$Q$2:$Q$27,MATCH(E206,Cost_Components!$A$2:$A$27,0)),"")</f>
        <v>2023</v>
      </c>
      <c r="V206" s="28">
        <f>1/(1+Calculation_Assumptions!$B$5)^(B206-Calculation_Assumptions!$B$2)</f>
        <v>0.52189250088258554</v>
      </c>
      <c r="W206" s="21">
        <f t="shared" si="36"/>
        <v>2140188.3540871339</v>
      </c>
      <c r="X206" s="21">
        <f t="shared" si="37"/>
        <v>5519778.2197483396</v>
      </c>
      <c r="Y206" s="21">
        <f t="shared" si="38"/>
        <v>3379589.8656612053</v>
      </c>
      <c r="Z206" s="15">
        <f>IFERROR(INDEX(Cost_Components!$T$2:$T$27,MATCH(E206,Cost_Components!$A$2:$A$27,0)),"")</f>
        <v>0.8</v>
      </c>
      <c r="AA206" s="24">
        <f>IFERROR(INDEX(Cost_Components!$U$2:$U$27,MATCH(E206,Cost_Components!$A$2:$A$27,0)),"")</f>
        <v>2025</v>
      </c>
      <c r="AB206" s="24">
        <f>IFERROR(INDEX(Cost_Components!$V$2:$V$27,MATCH(E206,Cost_Components!$A$2:$A$27,0)),"")</f>
        <v>2050</v>
      </c>
      <c r="AC206" s="24">
        <f>IFERROR(INDEX(Cost_Components!$M$2:$M$27,MATCH(E206,Cost_Components!$A$2:$A$27,0)),"")</f>
        <v>0</v>
      </c>
      <c r="AD206" s="24">
        <f>IFERROR(INDEX(Cost_Components!$N$2:$N$27,MATCH(E206,Cost_Components!$A$2:$A$27,0)),"")</f>
        <v>95</v>
      </c>
      <c r="AE206" s="14" t="str">
        <f>IFERROR(INDEX(Cost_Components!$O$2:$O$27,MATCH(E206,Cost_Components!$A$2:$A$27,0)),"")</f>
        <v>Both</v>
      </c>
      <c r="AF206" s="11">
        <v>123589.971524728</v>
      </c>
      <c r="AG206" s="11">
        <v>114923.915044056</v>
      </c>
      <c r="AH206" s="21">
        <f t="shared" si="39"/>
        <v>1</v>
      </c>
    </row>
    <row r="207" spans="1:34" hidden="1">
      <c r="A207" t="s">
        <v>197</v>
      </c>
      <c r="B207" s="18">
        <v>2048</v>
      </c>
      <c r="C207" t="s">
        <v>197</v>
      </c>
      <c r="D207" t="s">
        <v>187</v>
      </c>
      <c r="E207" s="20" t="s">
        <v>275</v>
      </c>
      <c r="F207" s="20" t="s">
        <v>276</v>
      </c>
      <c r="G207" s="20" t="s">
        <v>198</v>
      </c>
      <c r="H207" s="20" t="s">
        <v>192</v>
      </c>
      <c r="I207" s="20" t="s">
        <v>264</v>
      </c>
      <c r="J207" s="15">
        <f>IFERROR(INDEX(Cost_Components!$K$2:$K$27,MATCH(E207,Cost_Components!$A$2:$A$27,0)),"")</f>
        <v>1</v>
      </c>
      <c r="K207" s="15">
        <f t="shared" si="30"/>
        <v>0.76230769230769235</v>
      </c>
      <c r="L207" s="15">
        <f>IFERROR(INDEX(Cost_Components!$S$2:$S$27,MATCH(E207,Cost_Components!$A$2:$A$27,0)),"")</f>
        <v>0.31</v>
      </c>
      <c r="M207" s="26">
        <f>IFERROR(INDEX(Cost_Components!$L$2:$L$27,MATCH(E207,Cost_Components!$A$2:$A$27,0)),"")</f>
        <v>1</v>
      </c>
      <c r="N207" s="27">
        <f>IFERROR(INDEX(Cost_Components!$P$2:$P$27,MATCH(E207,Cost_Components!$A$2:$A$27,0)),"")</f>
        <v>115.10623099999999</v>
      </c>
      <c r="O207" s="21">
        <f t="shared" si="31"/>
        <v>126036.066941364</v>
      </c>
      <c r="P207" s="21">
        <f t="shared" si="32"/>
        <v>116764.023601522</v>
      </c>
      <c r="Q207" s="21">
        <f t="shared" si="33"/>
        <v>4166482.6686815349</v>
      </c>
      <c r="R207" s="21">
        <f t="shared" si="34"/>
        <v>11059206.773817655</v>
      </c>
      <c r="S207" s="21">
        <f t="shared" si="35"/>
        <v>6892724.1051361198</v>
      </c>
      <c r="T207" s="14">
        <f>IFERROR(INDEX(Cost_Components!$R$2:$R$27,MATCH(E207,Cost_Components!$A$2:$A$27,0)),"")</f>
        <v>1</v>
      </c>
      <c r="U207" s="24">
        <f>IFERROR(INDEX(Cost_Components!$Q$2:$Q$27,MATCH(E207,Cost_Components!$A$2:$A$27,0)),"")</f>
        <v>2023</v>
      </c>
      <c r="V207" s="28">
        <f>1/(1+Calculation_Assumptions!$B$5)^(B207-Calculation_Assumptions!$B$2)</f>
        <v>0.50669174842969467</v>
      </c>
      <c r="W207" s="21">
        <f t="shared" si="36"/>
        <v>2111122.3881962672</v>
      </c>
      <c r="X207" s="21">
        <f t="shared" si="37"/>
        <v>5603608.8164711902</v>
      </c>
      <c r="Y207" s="21">
        <f t="shared" si="38"/>
        <v>3492486.428274923</v>
      </c>
      <c r="Z207" s="15">
        <f>IFERROR(INDEX(Cost_Components!$T$2:$T$27,MATCH(E207,Cost_Components!$A$2:$A$27,0)),"")</f>
        <v>0.8</v>
      </c>
      <c r="AA207" s="24">
        <f>IFERROR(INDEX(Cost_Components!$U$2:$U$27,MATCH(E207,Cost_Components!$A$2:$A$27,0)),"")</f>
        <v>2025</v>
      </c>
      <c r="AB207" s="24">
        <f>IFERROR(INDEX(Cost_Components!$V$2:$V$27,MATCH(E207,Cost_Components!$A$2:$A$27,0)),"")</f>
        <v>2050</v>
      </c>
      <c r="AC207" s="24">
        <f>IFERROR(INDEX(Cost_Components!$M$2:$M$27,MATCH(E207,Cost_Components!$A$2:$A$27,0)),"")</f>
        <v>0</v>
      </c>
      <c r="AD207" s="24">
        <f>IFERROR(INDEX(Cost_Components!$N$2:$N$27,MATCH(E207,Cost_Components!$A$2:$A$27,0)),"")</f>
        <v>95</v>
      </c>
      <c r="AE207" s="14" t="str">
        <f>IFERROR(INDEX(Cost_Components!$O$2:$O$27,MATCH(E207,Cost_Components!$A$2:$A$27,0)),"")</f>
        <v>Both</v>
      </c>
      <c r="AF207" s="11">
        <v>126036.066941364</v>
      </c>
      <c r="AG207" s="11">
        <v>116764.023601522</v>
      </c>
      <c r="AH207" s="21">
        <f t="shared" si="39"/>
        <v>1</v>
      </c>
    </row>
    <row r="208" spans="1:34" hidden="1">
      <c r="A208" t="s">
        <v>197</v>
      </c>
      <c r="B208" s="18">
        <v>2049</v>
      </c>
      <c r="C208" t="s">
        <v>197</v>
      </c>
      <c r="D208" t="s">
        <v>187</v>
      </c>
      <c r="E208" s="20" t="s">
        <v>275</v>
      </c>
      <c r="F208" s="20" t="s">
        <v>276</v>
      </c>
      <c r="G208" s="20" t="s">
        <v>198</v>
      </c>
      <c r="H208" s="20" t="s">
        <v>192</v>
      </c>
      <c r="I208" s="20" t="s">
        <v>264</v>
      </c>
      <c r="J208" s="15">
        <f>IFERROR(INDEX(Cost_Components!$K$2:$K$27,MATCH(E208,Cost_Components!$A$2:$A$27,0)),"")</f>
        <v>1</v>
      </c>
      <c r="K208" s="15">
        <f t="shared" si="30"/>
        <v>0.7811538461538462</v>
      </c>
      <c r="L208" s="15">
        <f>IFERROR(INDEX(Cost_Components!$S$2:$S$27,MATCH(E208,Cost_Components!$A$2:$A$27,0)),"")</f>
        <v>0.31</v>
      </c>
      <c r="M208" s="26">
        <f>IFERROR(INDEX(Cost_Components!$L$2:$L$27,MATCH(E208,Cost_Components!$A$2:$A$27,0)),"")</f>
        <v>1</v>
      </c>
      <c r="N208" s="27">
        <f>IFERROR(INDEX(Cost_Components!$P$2:$P$27,MATCH(E208,Cost_Components!$A$2:$A$27,0)),"")</f>
        <v>115.10623099999999</v>
      </c>
      <c r="O208" s="21">
        <f t="shared" si="31"/>
        <v>128466.372242019</v>
      </c>
      <c r="P208" s="21">
        <f t="shared" si="32"/>
        <v>118577.866241739</v>
      </c>
      <c r="Q208" s="21">
        <f t="shared" si="33"/>
        <v>4231205.8915637005</v>
      </c>
      <c r="R208" s="21">
        <f t="shared" si="34"/>
        <v>11551140.582897436</v>
      </c>
      <c r="S208" s="21">
        <f t="shared" si="35"/>
        <v>7319934.6913337354</v>
      </c>
      <c r="T208" s="14">
        <f>IFERROR(INDEX(Cost_Components!$R$2:$R$27,MATCH(E208,Cost_Components!$A$2:$A$27,0)),"")</f>
        <v>1</v>
      </c>
      <c r="U208" s="24">
        <f>IFERROR(INDEX(Cost_Components!$Q$2:$Q$27,MATCH(E208,Cost_Components!$A$2:$A$27,0)),"")</f>
        <v>2023</v>
      </c>
      <c r="V208" s="28">
        <f>1/(1+Calculation_Assumptions!$B$5)^(B208-Calculation_Assumptions!$B$2)</f>
        <v>0.49193373633950943</v>
      </c>
      <c r="W208" s="21">
        <f t="shared" si="36"/>
        <v>2081472.9234586763</v>
      </c>
      <c r="X208" s="21">
        <f t="shared" si="37"/>
        <v>5682395.7459276747</v>
      </c>
      <c r="Y208" s="21">
        <f t="shared" si="38"/>
        <v>3600922.8224689979</v>
      </c>
      <c r="Z208" s="15">
        <f>IFERROR(INDEX(Cost_Components!$T$2:$T$27,MATCH(E208,Cost_Components!$A$2:$A$27,0)),"")</f>
        <v>0.8</v>
      </c>
      <c r="AA208" s="24">
        <f>IFERROR(INDEX(Cost_Components!$U$2:$U$27,MATCH(E208,Cost_Components!$A$2:$A$27,0)),"")</f>
        <v>2025</v>
      </c>
      <c r="AB208" s="24">
        <f>IFERROR(INDEX(Cost_Components!$V$2:$V$27,MATCH(E208,Cost_Components!$A$2:$A$27,0)),"")</f>
        <v>2050</v>
      </c>
      <c r="AC208" s="24">
        <f>IFERROR(INDEX(Cost_Components!$M$2:$M$27,MATCH(E208,Cost_Components!$A$2:$A$27,0)),"")</f>
        <v>0</v>
      </c>
      <c r="AD208" s="24">
        <f>IFERROR(INDEX(Cost_Components!$N$2:$N$27,MATCH(E208,Cost_Components!$A$2:$A$27,0)),"")</f>
        <v>95</v>
      </c>
      <c r="AE208" s="14" t="str">
        <f>IFERROR(INDEX(Cost_Components!$O$2:$O$27,MATCH(E208,Cost_Components!$A$2:$A$27,0)),"")</f>
        <v>Both</v>
      </c>
      <c r="AF208" s="11">
        <v>128466.372242019</v>
      </c>
      <c r="AG208" s="11">
        <v>118577.866241739</v>
      </c>
      <c r="AH208" s="21">
        <f t="shared" si="39"/>
        <v>1</v>
      </c>
    </row>
    <row r="209" spans="1:34" hidden="1">
      <c r="A209" t="s">
        <v>197</v>
      </c>
      <c r="B209" s="18">
        <v>2050</v>
      </c>
      <c r="C209" t="s">
        <v>197</v>
      </c>
      <c r="D209" t="s">
        <v>187</v>
      </c>
      <c r="E209" s="20" t="s">
        <v>275</v>
      </c>
      <c r="F209" s="20" t="s">
        <v>276</v>
      </c>
      <c r="G209" s="20" t="s">
        <v>198</v>
      </c>
      <c r="H209" s="20" t="s">
        <v>192</v>
      </c>
      <c r="I209" s="20" t="s">
        <v>264</v>
      </c>
      <c r="J209" s="15">
        <f>IFERROR(INDEX(Cost_Components!$K$2:$K$27,MATCH(E209,Cost_Components!$A$2:$A$27,0)),"")</f>
        <v>1</v>
      </c>
      <c r="K209" s="15">
        <f t="shared" si="30"/>
        <v>0.8</v>
      </c>
      <c r="L209" s="15">
        <f>IFERROR(INDEX(Cost_Components!$S$2:$S$27,MATCH(E209,Cost_Components!$A$2:$A$27,0)),"")</f>
        <v>0.31</v>
      </c>
      <c r="M209" s="26">
        <f>IFERROR(INDEX(Cost_Components!$L$2:$L$27,MATCH(E209,Cost_Components!$A$2:$A$27,0)),"")</f>
        <v>1</v>
      </c>
      <c r="N209" s="27">
        <f>IFERROR(INDEX(Cost_Components!$P$2:$P$27,MATCH(E209,Cost_Components!$A$2:$A$27,0)),"")</f>
        <v>115.10623099999999</v>
      </c>
      <c r="O209" s="21">
        <f t="shared" si="31"/>
        <v>130871.459803826</v>
      </c>
      <c r="P209" s="21">
        <f t="shared" si="32"/>
        <v>120355.978736713</v>
      </c>
      <c r="Q209" s="21">
        <f t="shared" si="33"/>
        <v>4294654.1581167439</v>
      </c>
      <c r="R209" s="21">
        <f t="shared" si="34"/>
        <v>12051296.386789128</v>
      </c>
      <c r="S209" s="21">
        <f t="shared" si="35"/>
        <v>7756642.2286723843</v>
      </c>
      <c r="T209" s="14">
        <f>IFERROR(INDEX(Cost_Components!$R$2:$R$27,MATCH(E209,Cost_Components!$A$2:$A$27,0)),"")</f>
        <v>1</v>
      </c>
      <c r="U209" s="24">
        <f>IFERROR(INDEX(Cost_Components!$Q$2:$Q$27,MATCH(E209,Cost_Components!$A$2:$A$27,0)),"")</f>
        <v>2023</v>
      </c>
      <c r="V209" s="28">
        <f>1/(1+Calculation_Assumptions!$B$5)^(B209-Calculation_Assumptions!$B$2)</f>
        <v>0.47760556926165965</v>
      </c>
      <c r="W209" s="21">
        <f t="shared" si="36"/>
        <v>2051150.7439693012</v>
      </c>
      <c r="X209" s="21">
        <f t="shared" si="37"/>
        <v>5755766.2711534034</v>
      </c>
      <c r="Y209" s="21">
        <f t="shared" si="38"/>
        <v>3704615.5271841027</v>
      </c>
      <c r="Z209" s="15">
        <f>IFERROR(INDEX(Cost_Components!$T$2:$T$27,MATCH(E209,Cost_Components!$A$2:$A$27,0)),"")</f>
        <v>0.8</v>
      </c>
      <c r="AA209" s="24">
        <f>IFERROR(INDEX(Cost_Components!$U$2:$U$27,MATCH(E209,Cost_Components!$A$2:$A$27,0)),"")</f>
        <v>2025</v>
      </c>
      <c r="AB209" s="24">
        <f>IFERROR(INDEX(Cost_Components!$V$2:$V$27,MATCH(E209,Cost_Components!$A$2:$A$27,0)),"")</f>
        <v>2050</v>
      </c>
      <c r="AC209" s="24">
        <f>IFERROR(INDEX(Cost_Components!$M$2:$M$27,MATCH(E209,Cost_Components!$A$2:$A$27,0)),"")</f>
        <v>0</v>
      </c>
      <c r="AD209" s="24">
        <f>IFERROR(INDEX(Cost_Components!$N$2:$N$27,MATCH(E209,Cost_Components!$A$2:$A$27,0)),"")</f>
        <v>95</v>
      </c>
      <c r="AE209" s="14" t="str">
        <f>IFERROR(INDEX(Cost_Components!$O$2:$O$27,MATCH(E209,Cost_Components!$A$2:$A$27,0)),"")</f>
        <v>Both</v>
      </c>
      <c r="AF209" s="11">
        <v>130871.459803826</v>
      </c>
      <c r="AG209" s="11">
        <v>120355.978736713</v>
      </c>
      <c r="AH209" s="21">
        <f t="shared" si="39"/>
        <v>1</v>
      </c>
    </row>
    <row r="210" spans="1:34" hidden="1">
      <c r="A210" t="s">
        <v>197</v>
      </c>
      <c r="B210" s="18">
        <v>2025</v>
      </c>
      <c r="C210" t="s">
        <v>197</v>
      </c>
      <c r="D210" t="s">
        <v>163</v>
      </c>
      <c r="E210" s="20" t="s">
        <v>278</v>
      </c>
      <c r="F210" s="20" t="s">
        <v>279</v>
      </c>
      <c r="G210" s="20" t="s">
        <v>200</v>
      </c>
      <c r="H210" s="20" t="s">
        <v>192</v>
      </c>
      <c r="I210" s="20" t="s">
        <v>264</v>
      </c>
      <c r="J210" s="15">
        <f>IFERROR(INDEX(Cost_Components!$K$2:$K$27,MATCH(E210,Cost_Components!$A$2:$A$27,0)),"")</f>
        <v>1</v>
      </c>
      <c r="K210" s="15">
        <f t="shared" si="30"/>
        <v>0.32884615384615384</v>
      </c>
      <c r="L210" s="15">
        <f>IFERROR(INDEX(Cost_Components!$S$2:$S$27,MATCH(E210,Cost_Components!$A$2:$A$27,0)),"")</f>
        <v>0.31</v>
      </c>
      <c r="M210" s="26">
        <f>IFERROR(INDEX(Cost_Components!$L$2:$L$27,MATCH(E210,Cost_Components!$A$2:$A$27,0)),"")</f>
        <v>1</v>
      </c>
      <c r="N210" s="27">
        <f>IFERROR(INDEX(Cost_Components!$P$2:$P$27,MATCH(E210,Cost_Components!$A$2:$A$27,0)),"")</f>
        <v>5.133311</v>
      </c>
      <c r="O210" s="21">
        <f t="shared" si="31"/>
        <v>429526.93977525702</v>
      </c>
      <c r="P210" s="21">
        <f t="shared" si="32"/>
        <v>429284.57781346003</v>
      </c>
      <c r="Q210" s="21">
        <f t="shared" si="33"/>
        <v>683131.88608025888</v>
      </c>
      <c r="R210" s="21">
        <f t="shared" si="34"/>
        <v>725071.36032949551</v>
      </c>
      <c r="S210" s="21">
        <f t="shared" si="35"/>
        <v>41939.474249236635</v>
      </c>
      <c r="T210" s="14">
        <f>IFERROR(INDEX(Cost_Components!$R$2:$R$27,MATCH(E210,Cost_Components!$A$2:$A$27,0)),"")</f>
        <v>1</v>
      </c>
      <c r="U210" s="24">
        <f>IFERROR(INDEX(Cost_Components!$Q$2:$Q$27,MATCH(E210,Cost_Components!$A$2:$A$27,0)),"")</f>
        <v>2023</v>
      </c>
      <c r="V210" s="28">
        <f>1/(1+Calculation_Assumptions!$B$5)^(B210-Calculation_Assumptions!$B$2)</f>
        <v>1</v>
      </c>
      <c r="W210" s="21">
        <f t="shared" si="36"/>
        <v>683131.88608025888</v>
      </c>
      <c r="X210" s="21">
        <f t="shared" si="37"/>
        <v>725071.36032949551</v>
      </c>
      <c r="Y210" s="21">
        <f t="shared" si="38"/>
        <v>41939.474249236635</v>
      </c>
      <c r="Z210" s="15">
        <f>IFERROR(INDEX(Cost_Components!$T$2:$T$27,MATCH(E210,Cost_Components!$A$2:$A$27,0)),"")</f>
        <v>0.8</v>
      </c>
      <c r="AA210" s="24">
        <f>IFERROR(INDEX(Cost_Components!$U$2:$U$27,MATCH(E210,Cost_Components!$A$2:$A$27,0)),"")</f>
        <v>2025</v>
      </c>
      <c r="AB210" s="24">
        <f>IFERROR(INDEX(Cost_Components!$V$2:$V$27,MATCH(E210,Cost_Components!$A$2:$A$27,0)),"")</f>
        <v>2050</v>
      </c>
      <c r="AC210" s="24">
        <f>IFERROR(INDEX(Cost_Components!$M$2:$M$27,MATCH(E210,Cost_Components!$A$2:$A$27,0)),"")</f>
        <v>30</v>
      </c>
      <c r="AD210" s="24">
        <f>IFERROR(INDEX(Cost_Components!$N$2:$N$27,MATCH(E210,Cost_Components!$A$2:$A$27,0)),"")</f>
        <v>95</v>
      </c>
      <c r="AE210" s="14" t="str">
        <f>IFERROR(INDEX(Cost_Components!$O$2:$O$27,MATCH(E210,Cost_Components!$A$2:$A$27,0)),"")</f>
        <v>Both</v>
      </c>
      <c r="AF210" s="11">
        <v>429526.93977525702</v>
      </c>
      <c r="AG210" s="11">
        <v>429284.57781346003</v>
      </c>
      <c r="AH210" s="21">
        <f t="shared" si="39"/>
        <v>1</v>
      </c>
    </row>
    <row r="211" spans="1:34" hidden="1">
      <c r="A211" t="s">
        <v>197</v>
      </c>
      <c r="B211" s="18">
        <v>2026</v>
      </c>
      <c r="C211" t="s">
        <v>197</v>
      </c>
      <c r="D211" t="s">
        <v>163</v>
      </c>
      <c r="E211" s="20" t="s">
        <v>278</v>
      </c>
      <c r="F211" s="20" t="s">
        <v>279</v>
      </c>
      <c r="G211" s="20" t="s">
        <v>200</v>
      </c>
      <c r="H211" s="20" t="s">
        <v>192</v>
      </c>
      <c r="I211" s="20" t="s">
        <v>264</v>
      </c>
      <c r="J211" s="15">
        <f>IFERROR(INDEX(Cost_Components!$K$2:$K$27,MATCH(E211,Cost_Components!$A$2:$A$27,0)),"")</f>
        <v>1</v>
      </c>
      <c r="K211" s="15">
        <f t="shared" si="30"/>
        <v>0.34769230769230769</v>
      </c>
      <c r="L211" s="15">
        <f>IFERROR(INDEX(Cost_Components!$S$2:$S$27,MATCH(E211,Cost_Components!$A$2:$A$27,0)),"")</f>
        <v>0.31</v>
      </c>
      <c r="M211" s="26">
        <f>IFERROR(INDEX(Cost_Components!$L$2:$L$27,MATCH(E211,Cost_Components!$A$2:$A$27,0)),"")</f>
        <v>1</v>
      </c>
      <c r="N211" s="27">
        <f>IFERROR(INDEX(Cost_Components!$P$2:$P$27,MATCH(E211,Cost_Components!$A$2:$A$27,0)),"")</f>
        <v>5.133311</v>
      </c>
      <c r="O211" s="21">
        <f t="shared" si="31"/>
        <v>442965.96675455797</v>
      </c>
      <c r="P211" s="21">
        <f t="shared" si="32"/>
        <v>442279.13119291799</v>
      </c>
      <c r="Q211" s="21">
        <f t="shared" si="33"/>
        <v>703810.46205914521</v>
      </c>
      <c r="R211" s="21">
        <f t="shared" si="34"/>
        <v>790611.30425738194</v>
      </c>
      <c r="S211" s="21">
        <f t="shared" si="35"/>
        <v>86800.842198236729</v>
      </c>
      <c r="T211" s="14">
        <f>IFERROR(INDEX(Cost_Components!$R$2:$R$27,MATCH(E211,Cost_Components!$A$2:$A$27,0)),"")</f>
        <v>1</v>
      </c>
      <c r="U211" s="24">
        <f>IFERROR(INDEX(Cost_Components!$Q$2:$Q$27,MATCH(E211,Cost_Components!$A$2:$A$27,0)),"")</f>
        <v>2023</v>
      </c>
      <c r="V211" s="28">
        <f>1/(1+Calculation_Assumptions!$B$5)^(B211-Calculation_Assumptions!$B$2)</f>
        <v>0.970873786407767</v>
      </c>
      <c r="W211" s="21">
        <f t="shared" si="36"/>
        <v>683311.1282127623</v>
      </c>
      <c r="X211" s="21">
        <f t="shared" si="37"/>
        <v>767583.79054114758</v>
      </c>
      <c r="Y211" s="21">
        <f t="shared" si="38"/>
        <v>84272.66232838518</v>
      </c>
      <c r="Z211" s="15">
        <f>IFERROR(INDEX(Cost_Components!$T$2:$T$27,MATCH(E211,Cost_Components!$A$2:$A$27,0)),"")</f>
        <v>0.8</v>
      </c>
      <c r="AA211" s="24">
        <f>IFERROR(INDEX(Cost_Components!$U$2:$U$27,MATCH(E211,Cost_Components!$A$2:$A$27,0)),"")</f>
        <v>2025</v>
      </c>
      <c r="AB211" s="24">
        <f>IFERROR(INDEX(Cost_Components!$V$2:$V$27,MATCH(E211,Cost_Components!$A$2:$A$27,0)),"")</f>
        <v>2050</v>
      </c>
      <c r="AC211" s="24">
        <f>IFERROR(INDEX(Cost_Components!$M$2:$M$27,MATCH(E211,Cost_Components!$A$2:$A$27,0)),"")</f>
        <v>30</v>
      </c>
      <c r="AD211" s="24">
        <f>IFERROR(INDEX(Cost_Components!$N$2:$N$27,MATCH(E211,Cost_Components!$A$2:$A$27,0)),"")</f>
        <v>95</v>
      </c>
      <c r="AE211" s="14" t="str">
        <f>IFERROR(INDEX(Cost_Components!$O$2:$O$27,MATCH(E211,Cost_Components!$A$2:$A$27,0)),"")</f>
        <v>Both</v>
      </c>
      <c r="AF211" s="11">
        <v>442965.96675455797</v>
      </c>
      <c r="AG211" s="11">
        <v>442279.13119291799</v>
      </c>
      <c r="AH211" s="21">
        <f t="shared" si="39"/>
        <v>1</v>
      </c>
    </row>
    <row r="212" spans="1:34" hidden="1">
      <c r="A212" t="s">
        <v>197</v>
      </c>
      <c r="B212" s="18">
        <v>2027</v>
      </c>
      <c r="C212" t="s">
        <v>197</v>
      </c>
      <c r="D212" t="s">
        <v>163</v>
      </c>
      <c r="E212" s="20" t="s">
        <v>278</v>
      </c>
      <c r="F212" s="20" t="s">
        <v>279</v>
      </c>
      <c r="G212" s="20" t="s">
        <v>200</v>
      </c>
      <c r="H212" s="20" t="s">
        <v>192</v>
      </c>
      <c r="I212" s="20" t="s">
        <v>264</v>
      </c>
      <c r="J212" s="15">
        <f>IFERROR(INDEX(Cost_Components!$K$2:$K$27,MATCH(E212,Cost_Components!$A$2:$A$27,0)),"")</f>
        <v>1</v>
      </c>
      <c r="K212" s="15">
        <f t="shared" si="30"/>
        <v>0.36653846153846154</v>
      </c>
      <c r="L212" s="15">
        <f>IFERROR(INDEX(Cost_Components!$S$2:$S$27,MATCH(E212,Cost_Components!$A$2:$A$27,0)),"")</f>
        <v>0.31</v>
      </c>
      <c r="M212" s="26">
        <f>IFERROR(INDEX(Cost_Components!$L$2:$L$27,MATCH(E212,Cost_Components!$A$2:$A$27,0)),"")</f>
        <v>1</v>
      </c>
      <c r="N212" s="27">
        <f>IFERROR(INDEX(Cost_Components!$P$2:$P$27,MATCH(E212,Cost_Components!$A$2:$A$27,0)),"")</f>
        <v>5.133311</v>
      </c>
      <c r="O212" s="21">
        <f t="shared" si="31"/>
        <v>457234.49397007801</v>
      </c>
      <c r="P212" s="21">
        <f t="shared" si="32"/>
        <v>455929.90648416698</v>
      </c>
      <c r="Q212" s="21">
        <f t="shared" si="33"/>
        <v>725533.30129708513</v>
      </c>
      <c r="R212" s="21">
        <f t="shared" si="34"/>
        <v>860312.26737486979</v>
      </c>
      <c r="S212" s="21">
        <f t="shared" si="35"/>
        <v>134778.96607778466</v>
      </c>
      <c r="T212" s="14">
        <f>IFERROR(INDEX(Cost_Components!$R$2:$R$27,MATCH(E212,Cost_Components!$A$2:$A$27,0)),"")</f>
        <v>1</v>
      </c>
      <c r="U212" s="24">
        <f>IFERROR(INDEX(Cost_Components!$Q$2:$Q$27,MATCH(E212,Cost_Components!$A$2:$A$27,0)),"")</f>
        <v>2023</v>
      </c>
      <c r="V212" s="28">
        <f>1/(1+Calculation_Assumptions!$B$5)^(B212-Calculation_Assumptions!$B$2)</f>
        <v>0.94259590913375435</v>
      </c>
      <c r="W212" s="21">
        <f t="shared" si="36"/>
        <v>683884.72174294002</v>
      </c>
      <c r="X212" s="21">
        <f t="shared" si="37"/>
        <v>810926.82380513696</v>
      </c>
      <c r="Y212" s="21">
        <f t="shared" si="38"/>
        <v>127042.10206219686</v>
      </c>
      <c r="Z212" s="15">
        <f>IFERROR(INDEX(Cost_Components!$T$2:$T$27,MATCH(E212,Cost_Components!$A$2:$A$27,0)),"")</f>
        <v>0.8</v>
      </c>
      <c r="AA212" s="24">
        <f>IFERROR(INDEX(Cost_Components!$U$2:$U$27,MATCH(E212,Cost_Components!$A$2:$A$27,0)),"")</f>
        <v>2025</v>
      </c>
      <c r="AB212" s="24">
        <f>IFERROR(INDEX(Cost_Components!$V$2:$V$27,MATCH(E212,Cost_Components!$A$2:$A$27,0)),"")</f>
        <v>2050</v>
      </c>
      <c r="AC212" s="24">
        <f>IFERROR(INDEX(Cost_Components!$M$2:$M$27,MATCH(E212,Cost_Components!$A$2:$A$27,0)),"")</f>
        <v>30</v>
      </c>
      <c r="AD212" s="24">
        <f>IFERROR(INDEX(Cost_Components!$N$2:$N$27,MATCH(E212,Cost_Components!$A$2:$A$27,0)),"")</f>
        <v>95</v>
      </c>
      <c r="AE212" s="14" t="str">
        <f>IFERROR(INDEX(Cost_Components!$O$2:$O$27,MATCH(E212,Cost_Components!$A$2:$A$27,0)),"")</f>
        <v>Both</v>
      </c>
      <c r="AF212" s="11">
        <v>457234.49397007801</v>
      </c>
      <c r="AG212" s="11">
        <v>455929.90648416698</v>
      </c>
      <c r="AH212" s="21">
        <f t="shared" si="39"/>
        <v>1</v>
      </c>
    </row>
    <row r="213" spans="1:34" hidden="1">
      <c r="A213" t="s">
        <v>197</v>
      </c>
      <c r="B213" s="18">
        <v>2028</v>
      </c>
      <c r="C213" t="s">
        <v>197</v>
      </c>
      <c r="D213" t="s">
        <v>163</v>
      </c>
      <c r="E213" s="20" t="s">
        <v>278</v>
      </c>
      <c r="F213" s="20" t="s">
        <v>279</v>
      </c>
      <c r="G213" s="20" t="s">
        <v>200</v>
      </c>
      <c r="H213" s="20" t="s">
        <v>192</v>
      </c>
      <c r="I213" s="20" t="s">
        <v>264</v>
      </c>
      <c r="J213" s="15">
        <f>IFERROR(INDEX(Cost_Components!$K$2:$K$27,MATCH(E213,Cost_Components!$A$2:$A$27,0)),"")</f>
        <v>1</v>
      </c>
      <c r="K213" s="15">
        <f t="shared" si="30"/>
        <v>0.38538461538461538</v>
      </c>
      <c r="L213" s="15">
        <f>IFERROR(INDEX(Cost_Components!$S$2:$S$27,MATCH(E213,Cost_Components!$A$2:$A$27,0)),"")</f>
        <v>0.31</v>
      </c>
      <c r="M213" s="26">
        <f>IFERROR(INDEX(Cost_Components!$L$2:$L$27,MATCH(E213,Cost_Components!$A$2:$A$27,0)),"")</f>
        <v>1</v>
      </c>
      <c r="N213" s="27">
        <f>IFERROR(INDEX(Cost_Components!$P$2:$P$27,MATCH(E213,Cost_Components!$A$2:$A$27,0)),"")</f>
        <v>5.133311</v>
      </c>
      <c r="O213" s="21">
        <f t="shared" si="31"/>
        <v>472178.72861513199</v>
      </c>
      <c r="P213" s="21">
        <f t="shared" si="32"/>
        <v>470103.874999244</v>
      </c>
      <c r="Q213" s="21">
        <f t="shared" si="33"/>
        <v>748088.71172963572</v>
      </c>
      <c r="R213" s="21">
        <f t="shared" si="34"/>
        <v>934110.74695738603</v>
      </c>
      <c r="S213" s="21">
        <f t="shared" si="35"/>
        <v>186022.03522775031</v>
      </c>
      <c r="T213" s="14">
        <f>IFERROR(INDEX(Cost_Components!$R$2:$R$27,MATCH(E213,Cost_Components!$A$2:$A$27,0)),"")</f>
        <v>1</v>
      </c>
      <c r="U213" s="24">
        <f>IFERROR(INDEX(Cost_Components!$Q$2:$Q$27,MATCH(E213,Cost_Components!$A$2:$A$27,0)),"")</f>
        <v>2023</v>
      </c>
      <c r="V213" s="28">
        <f>1/(1+Calculation_Assumptions!$B$5)^(B213-Calculation_Assumptions!$B$2)</f>
        <v>0.91514165935315961</v>
      </c>
      <c r="W213" s="21">
        <f t="shared" si="36"/>
        <v>684607.14499562629</v>
      </c>
      <c r="X213" s="21">
        <f t="shared" si="37"/>
        <v>854843.65899020166</v>
      </c>
      <c r="Y213" s="21">
        <f t="shared" si="38"/>
        <v>170236.51399457533</v>
      </c>
      <c r="Z213" s="15">
        <f>IFERROR(INDEX(Cost_Components!$T$2:$T$27,MATCH(E213,Cost_Components!$A$2:$A$27,0)),"")</f>
        <v>0.8</v>
      </c>
      <c r="AA213" s="24">
        <f>IFERROR(INDEX(Cost_Components!$U$2:$U$27,MATCH(E213,Cost_Components!$A$2:$A$27,0)),"")</f>
        <v>2025</v>
      </c>
      <c r="AB213" s="24">
        <f>IFERROR(INDEX(Cost_Components!$V$2:$V$27,MATCH(E213,Cost_Components!$A$2:$A$27,0)),"")</f>
        <v>2050</v>
      </c>
      <c r="AC213" s="24">
        <f>IFERROR(INDEX(Cost_Components!$M$2:$M$27,MATCH(E213,Cost_Components!$A$2:$A$27,0)),"")</f>
        <v>30</v>
      </c>
      <c r="AD213" s="24">
        <f>IFERROR(INDEX(Cost_Components!$N$2:$N$27,MATCH(E213,Cost_Components!$A$2:$A$27,0)),"")</f>
        <v>95</v>
      </c>
      <c r="AE213" s="14" t="str">
        <f>IFERROR(INDEX(Cost_Components!$O$2:$O$27,MATCH(E213,Cost_Components!$A$2:$A$27,0)),"")</f>
        <v>Both</v>
      </c>
      <c r="AF213" s="11">
        <v>472178.72861513199</v>
      </c>
      <c r="AG213" s="11">
        <v>470103.874999244</v>
      </c>
      <c r="AH213" s="21">
        <f t="shared" si="39"/>
        <v>1</v>
      </c>
    </row>
    <row r="214" spans="1:34" hidden="1">
      <c r="A214" t="s">
        <v>197</v>
      </c>
      <c r="B214" s="18">
        <v>2029</v>
      </c>
      <c r="C214" t="s">
        <v>197</v>
      </c>
      <c r="D214" t="s">
        <v>163</v>
      </c>
      <c r="E214" s="20" t="s">
        <v>278</v>
      </c>
      <c r="F214" s="20" t="s">
        <v>279</v>
      </c>
      <c r="G214" s="20" t="s">
        <v>200</v>
      </c>
      <c r="H214" s="20" t="s">
        <v>192</v>
      </c>
      <c r="I214" s="20" t="s">
        <v>264</v>
      </c>
      <c r="J214" s="15">
        <f>IFERROR(INDEX(Cost_Components!$K$2:$K$27,MATCH(E214,Cost_Components!$A$2:$A$27,0)),"")</f>
        <v>1</v>
      </c>
      <c r="K214" s="15">
        <f t="shared" si="30"/>
        <v>0.40423076923076923</v>
      </c>
      <c r="L214" s="15">
        <f>IFERROR(INDEX(Cost_Components!$S$2:$S$27,MATCH(E214,Cost_Components!$A$2:$A$27,0)),"")</f>
        <v>0.31</v>
      </c>
      <c r="M214" s="26">
        <f>IFERROR(INDEX(Cost_Components!$L$2:$L$27,MATCH(E214,Cost_Components!$A$2:$A$27,0)),"")</f>
        <v>1</v>
      </c>
      <c r="N214" s="27">
        <f>IFERROR(INDEX(Cost_Components!$P$2:$P$27,MATCH(E214,Cost_Components!$A$2:$A$27,0)),"")</f>
        <v>5.133311</v>
      </c>
      <c r="O214" s="21">
        <f t="shared" si="31"/>
        <v>487643.669326159</v>
      </c>
      <c r="P214" s="21">
        <f t="shared" si="32"/>
        <v>484660.27242354199</v>
      </c>
      <c r="Q214" s="21">
        <f t="shared" si="33"/>
        <v>771252.69138537697</v>
      </c>
      <c r="R214" s="21">
        <f t="shared" si="34"/>
        <v>1011881.2188599168</v>
      </c>
      <c r="S214" s="21">
        <f t="shared" si="35"/>
        <v>240628.52747453982</v>
      </c>
      <c r="T214" s="14">
        <f>IFERROR(INDEX(Cost_Components!$R$2:$R$27,MATCH(E214,Cost_Components!$A$2:$A$27,0)),"")</f>
        <v>1</v>
      </c>
      <c r="U214" s="24">
        <f>IFERROR(INDEX(Cost_Components!$Q$2:$Q$27,MATCH(E214,Cost_Components!$A$2:$A$27,0)),"")</f>
        <v>2023</v>
      </c>
      <c r="V214" s="28">
        <f>1/(1+Calculation_Assumptions!$B$5)^(B214-Calculation_Assumptions!$B$2)</f>
        <v>0.888487047915689</v>
      </c>
      <c r="W214" s="21">
        <f t="shared" si="36"/>
        <v>685248.02696602349</v>
      </c>
      <c r="X214" s="21">
        <f t="shared" si="37"/>
        <v>899043.35698617669</v>
      </c>
      <c r="Y214" s="21">
        <f t="shared" si="38"/>
        <v>213795.33002015314</v>
      </c>
      <c r="Z214" s="15">
        <f>IFERROR(INDEX(Cost_Components!$T$2:$T$27,MATCH(E214,Cost_Components!$A$2:$A$27,0)),"")</f>
        <v>0.8</v>
      </c>
      <c r="AA214" s="24">
        <f>IFERROR(INDEX(Cost_Components!$U$2:$U$27,MATCH(E214,Cost_Components!$A$2:$A$27,0)),"")</f>
        <v>2025</v>
      </c>
      <c r="AB214" s="24">
        <f>IFERROR(INDEX(Cost_Components!$V$2:$V$27,MATCH(E214,Cost_Components!$A$2:$A$27,0)),"")</f>
        <v>2050</v>
      </c>
      <c r="AC214" s="24">
        <f>IFERROR(INDEX(Cost_Components!$M$2:$M$27,MATCH(E214,Cost_Components!$A$2:$A$27,0)),"")</f>
        <v>30</v>
      </c>
      <c r="AD214" s="24">
        <f>IFERROR(INDEX(Cost_Components!$N$2:$N$27,MATCH(E214,Cost_Components!$A$2:$A$27,0)),"")</f>
        <v>95</v>
      </c>
      <c r="AE214" s="14" t="str">
        <f>IFERROR(INDEX(Cost_Components!$O$2:$O$27,MATCH(E214,Cost_Components!$A$2:$A$27,0)),"")</f>
        <v>Both</v>
      </c>
      <c r="AF214" s="11">
        <v>487643.669326159</v>
      </c>
      <c r="AG214" s="11">
        <v>484660.27242354199</v>
      </c>
      <c r="AH214" s="21">
        <f t="shared" si="39"/>
        <v>1</v>
      </c>
    </row>
    <row r="215" spans="1:34" hidden="1">
      <c r="A215" t="s">
        <v>197</v>
      </c>
      <c r="B215" s="18">
        <v>2030</v>
      </c>
      <c r="C215" t="s">
        <v>197</v>
      </c>
      <c r="D215" t="s">
        <v>163</v>
      </c>
      <c r="E215" s="20" t="s">
        <v>278</v>
      </c>
      <c r="F215" s="20" t="s">
        <v>279</v>
      </c>
      <c r="G215" s="20" t="s">
        <v>200</v>
      </c>
      <c r="H215" s="20" t="s">
        <v>192</v>
      </c>
      <c r="I215" s="20" t="s">
        <v>264</v>
      </c>
      <c r="J215" s="15">
        <f>IFERROR(INDEX(Cost_Components!$K$2:$K$27,MATCH(E215,Cost_Components!$A$2:$A$27,0)),"")</f>
        <v>1</v>
      </c>
      <c r="K215" s="15">
        <f t="shared" si="30"/>
        <v>0.42307692307692307</v>
      </c>
      <c r="L215" s="15">
        <f>IFERROR(INDEX(Cost_Components!$S$2:$S$27,MATCH(E215,Cost_Components!$A$2:$A$27,0)),"")</f>
        <v>0.31</v>
      </c>
      <c r="M215" s="26">
        <f>IFERROR(INDEX(Cost_Components!$L$2:$L$27,MATCH(E215,Cost_Components!$A$2:$A$27,0)),"")</f>
        <v>1</v>
      </c>
      <c r="N215" s="27">
        <f>IFERROR(INDEX(Cost_Components!$P$2:$P$27,MATCH(E215,Cost_Components!$A$2:$A$27,0)),"")</f>
        <v>5.133311</v>
      </c>
      <c r="O215" s="21">
        <f t="shared" si="31"/>
        <v>503502.59075246297</v>
      </c>
      <c r="P215" s="21">
        <f t="shared" si="32"/>
        <v>499481.64335301798</v>
      </c>
      <c r="Q215" s="21">
        <f t="shared" si="33"/>
        <v>794838.33037785848</v>
      </c>
      <c r="R215" s="21">
        <f t="shared" si="34"/>
        <v>1093499.5870776647</v>
      </c>
      <c r="S215" s="21">
        <f t="shared" si="35"/>
        <v>298661.2566998062</v>
      </c>
      <c r="T215" s="14">
        <f>IFERROR(INDEX(Cost_Components!$R$2:$R$27,MATCH(E215,Cost_Components!$A$2:$A$27,0)),"")</f>
        <v>1</v>
      </c>
      <c r="U215" s="24">
        <f>IFERROR(INDEX(Cost_Components!$Q$2:$Q$27,MATCH(E215,Cost_Components!$A$2:$A$27,0)),"")</f>
        <v>2023</v>
      </c>
      <c r="V215" s="28">
        <f>1/(1+Calculation_Assumptions!$B$5)^(B215-Calculation_Assumptions!$B$2)</f>
        <v>0.86260878438416411</v>
      </c>
      <c r="W215" s="21">
        <f t="shared" si="36"/>
        <v>685634.52594918315</v>
      </c>
      <c r="X215" s="21">
        <f t="shared" si="37"/>
        <v>943262.34953364974</v>
      </c>
      <c r="Y215" s="21">
        <f t="shared" si="38"/>
        <v>257627.82358446662</v>
      </c>
      <c r="Z215" s="15">
        <f>IFERROR(INDEX(Cost_Components!$T$2:$T$27,MATCH(E215,Cost_Components!$A$2:$A$27,0)),"")</f>
        <v>0.8</v>
      </c>
      <c r="AA215" s="24">
        <f>IFERROR(INDEX(Cost_Components!$U$2:$U$27,MATCH(E215,Cost_Components!$A$2:$A$27,0)),"")</f>
        <v>2025</v>
      </c>
      <c r="AB215" s="24">
        <f>IFERROR(INDEX(Cost_Components!$V$2:$V$27,MATCH(E215,Cost_Components!$A$2:$A$27,0)),"")</f>
        <v>2050</v>
      </c>
      <c r="AC215" s="24">
        <f>IFERROR(INDEX(Cost_Components!$M$2:$M$27,MATCH(E215,Cost_Components!$A$2:$A$27,0)),"")</f>
        <v>30</v>
      </c>
      <c r="AD215" s="24">
        <f>IFERROR(INDEX(Cost_Components!$N$2:$N$27,MATCH(E215,Cost_Components!$A$2:$A$27,0)),"")</f>
        <v>95</v>
      </c>
      <c r="AE215" s="14" t="str">
        <f>IFERROR(INDEX(Cost_Components!$O$2:$O$27,MATCH(E215,Cost_Components!$A$2:$A$27,0)),"")</f>
        <v>Both</v>
      </c>
      <c r="AF215" s="11">
        <v>503502.59075246297</v>
      </c>
      <c r="AG215" s="11">
        <v>499481.64335301798</v>
      </c>
      <c r="AH215" s="21">
        <f t="shared" si="39"/>
        <v>1</v>
      </c>
    </row>
    <row r="216" spans="1:34" hidden="1">
      <c r="A216" t="s">
        <v>197</v>
      </c>
      <c r="B216" s="18">
        <v>2031</v>
      </c>
      <c r="C216" t="s">
        <v>197</v>
      </c>
      <c r="D216" t="s">
        <v>163</v>
      </c>
      <c r="E216" s="20" t="s">
        <v>278</v>
      </c>
      <c r="F216" s="20" t="s">
        <v>279</v>
      </c>
      <c r="G216" s="20" t="s">
        <v>200</v>
      </c>
      <c r="H216" s="20" t="s">
        <v>192</v>
      </c>
      <c r="I216" s="20" t="s">
        <v>264</v>
      </c>
      <c r="J216" s="15">
        <f>IFERROR(INDEX(Cost_Components!$K$2:$K$27,MATCH(E216,Cost_Components!$A$2:$A$27,0)),"")</f>
        <v>1</v>
      </c>
      <c r="K216" s="15">
        <f t="shared" si="30"/>
        <v>0.44192307692307692</v>
      </c>
      <c r="L216" s="15">
        <f>IFERROR(INDEX(Cost_Components!$S$2:$S$27,MATCH(E216,Cost_Components!$A$2:$A$27,0)),"")</f>
        <v>0.31</v>
      </c>
      <c r="M216" s="26">
        <f>IFERROR(INDEX(Cost_Components!$L$2:$L$27,MATCH(E216,Cost_Components!$A$2:$A$27,0)),"")</f>
        <v>1</v>
      </c>
      <c r="N216" s="27">
        <f>IFERROR(INDEX(Cost_Components!$P$2:$P$27,MATCH(E216,Cost_Components!$A$2:$A$27,0)),"")</f>
        <v>5.133311</v>
      </c>
      <c r="O216" s="21">
        <f t="shared" si="31"/>
        <v>519674.057876545</v>
      </c>
      <c r="P216" s="21">
        <f t="shared" si="32"/>
        <v>514493.02589405101</v>
      </c>
      <c r="Q216" s="21">
        <f t="shared" si="33"/>
        <v>818726.33986601722</v>
      </c>
      <c r="R216" s="21">
        <f t="shared" si="34"/>
        <v>1178895.4587736302</v>
      </c>
      <c r="S216" s="21">
        <f t="shared" si="35"/>
        <v>360169.11890761298</v>
      </c>
      <c r="T216" s="14">
        <f>IFERROR(INDEX(Cost_Components!$R$2:$R$27,MATCH(E216,Cost_Components!$A$2:$A$27,0)),"")</f>
        <v>1</v>
      </c>
      <c r="U216" s="24">
        <f>IFERROR(INDEX(Cost_Components!$Q$2:$Q$27,MATCH(E216,Cost_Components!$A$2:$A$27,0)),"")</f>
        <v>2023</v>
      </c>
      <c r="V216" s="28">
        <f>1/(1+Calculation_Assumptions!$B$5)^(B216-Calculation_Assumptions!$B$2)</f>
        <v>0.83748425668365445</v>
      </c>
      <c r="W216" s="21">
        <f t="shared" si="36"/>
        <v>685670.42017002043</v>
      </c>
      <c r="X216" s="21">
        <f t="shared" si="37"/>
        <v>987306.38699876948</v>
      </c>
      <c r="Y216" s="21">
        <f t="shared" si="38"/>
        <v>301635.96682874899</v>
      </c>
      <c r="Z216" s="15">
        <f>IFERROR(INDEX(Cost_Components!$T$2:$T$27,MATCH(E216,Cost_Components!$A$2:$A$27,0)),"")</f>
        <v>0.8</v>
      </c>
      <c r="AA216" s="24">
        <f>IFERROR(INDEX(Cost_Components!$U$2:$U$27,MATCH(E216,Cost_Components!$A$2:$A$27,0)),"")</f>
        <v>2025</v>
      </c>
      <c r="AB216" s="24">
        <f>IFERROR(INDEX(Cost_Components!$V$2:$V$27,MATCH(E216,Cost_Components!$A$2:$A$27,0)),"")</f>
        <v>2050</v>
      </c>
      <c r="AC216" s="24">
        <f>IFERROR(INDEX(Cost_Components!$M$2:$M$27,MATCH(E216,Cost_Components!$A$2:$A$27,0)),"")</f>
        <v>30</v>
      </c>
      <c r="AD216" s="24">
        <f>IFERROR(INDEX(Cost_Components!$N$2:$N$27,MATCH(E216,Cost_Components!$A$2:$A$27,0)),"")</f>
        <v>95</v>
      </c>
      <c r="AE216" s="14" t="str">
        <f>IFERROR(INDEX(Cost_Components!$O$2:$O$27,MATCH(E216,Cost_Components!$A$2:$A$27,0)),"")</f>
        <v>Both</v>
      </c>
      <c r="AF216" s="11">
        <v>519674.057876545</v>
      </c>
      <c r="AG216" s="11">
        <v>514493.02589405101</v>
      </c>
      <c r="AH216" s="21">
        <f t="shared" si="39"/>
        <v>1</v>
      </c>
    </row>
    <row r="217" spans="1:34" hidden="1">
      <c r="A217" t="s">
        <v>197</v>
      </c>
      <c r="B217" s="18">
        <v>2032</v>
      </c>
      <c r="C217" t="s">
        <v>197</v>
      </c>
      <c r="D217" t="s">
        <v>163</v>
      </c>
      <c r="E217" s="20" t="s">
        <v>278</v>
      </c>
      <c r="F217" s="20" t="s">
        <v>279</v>
      </c>
      <c r="G217" s="20" t="s">
        <v>200</v>
      </c>
      <c r="H217" s="20" t="s">
        <v>192</v>
      </c>
      <c r="I217" s="20" t="s">
        <v>264</v>
      </c>
      <c r="J217" s="15">
        <f>IFERROR(INDEX(Cost_Components!$K$2:$K$27,MATCH(E217,Cost_Components!$A$2:$A$27,0)),"")</f>
        <v>1</v>
      </c>
      <c r="K217" s="15">
        <f t="shared" si="30"/>
        <v>0.46076923076923082</v>
      </c>
      <c r="L217" s="15">
        <f>IFERROR(INDEX(Cost_Components!$S$2:$S$27,MATCH(E217,Cost_Components!$A$2:$A$27,0)),"")</f>
        <v>0.31</v>
      </c>
      <c r="M217" s="26">
        <f>IFERROR(INDEX(Cost_Components!$L$2:$L$27,MATCH(E217,Cost_Components!$A$2:$A$27,0)),"")</f>
        <v>1</v>
      </c>
      <c r="N217" s="27">
        <f>IFERROR(INDEX(Cost_Components!$P$2:$P$27,MATCH(E217,Cost_Components!$A$2:$A$27,0)),"")</f>
        <v>5.133311</v>
      </c>
      <c r="O217" s="21">
        <f t="shared" si="31"/>
        <v>536089.580709378</v>
      </c>
      <c r="P217" s="21">
        <f t="shared" si="32"/>
        <v>529631.54154831904</v>
      </c>
      <c r="Q217" s="21">
        <f t="shared" si="33"/>
        <v>842816.65963485243</v>
      </c>
      <c r="R217" s="21">
        <f t="shared" si="34"/>
        <v>1267997.5464945093</v>
      </c>
      <c r="S217" s="21">
        <f t="shared" si="35"/>
        <v>425180.88685965689</v>
      </c>
      <c r="T217" s="14">
        <f>IFERROR(INDEX(Cost_Components!$R$2:$R$27,MATCH(E217,Cost_Components!$A$2:$A$27,0)),"")</f>
        <v>1</v>
      </c>
      <c r="U217" s="24">
        <f>IFERROR(INDEX(Cost_Components!$Q$2:$Q$27,MATCH(E217,Cost_Components!$A$2:$A$27,0)),"")</f>
        <v>2023</v>
      </c>
      <c r="V217" s="28">
        <f>1/(1+Calculation_Assumptions!$B$5)^(B217-Calculation_Assumptions!$B$2)</f>
        <v>0.81309151134335378</v>
      </c>
      <c r="W217" s="21">
        <f t="shared" si="36"/>
        <v>685287.07156785915</v>
      </c>
      <c r="X217" s="21">
        <f t="shared" si="37"/>
        <v>1030998.0414588851</v>
      </c>
      <c r="Y217" s="21">
        <f t="shared" si="38"/>
        <v>345710.96989102592</v>
      </c>
      <c r="Z217" s="15">
        <f>IFERROR(INDEX(Cost_Components!$T$2:$T$27,MATCH(E217,Cost_Components!$A$2:$A$27,0)),"")</f>
        <v>0.8</v>
      </c>
      <c r="AA217" s="24">
        <f>IFERROR(INDEX(Cost_Components!$U$2:$U$27,MATCH(E217,Cost_Components!$A$2:$A$27,0)),"")</f>
        <v>2025</v>
      </c>
      <c r="AB217" s="24">
        <f>IFERROR(INDEX(Cost_Components!$V$2:$V$27,MATCH(E217,Cost_Components!$A$2:$A$27,0)),"")</f>
        <v>2050</v>
      </c>
      <c r="AC217" s="24">
        <f>IFERROR(INDEX(Cost_Components!$M$2:$M$27,MATCH(E217,Cost_Components!$A$2:$A$27,0)),"")</f>
        <v>30</v>
      </c>
      <c r="AD217" s="24">
        <f>IFERROR(INDEX(Cost_Components!$N$2:$N$27,MATCH(E217,Cost_Components!$A$2:$A$27,0)),"")</f>
        <v>95</v>
      </c>
      <c r="AE217" s="14" t="str">
        <f>IFERROR(INDEX(Cost_Components!$O$2:$O$27,MATCH(E217,Cost_Components!$A$2:$A$27,0)),"")</f>
        <v>Both</v>
      </c>
      <c r="AF217" s="11">
        <v>536089.580709378</v>
      </c>
      <c r="AG217" s="11">
        <v>529631.54154831904</v>
      </c>
      <c r="AH217" s="21">
        <f t="shared" si="39"/>
        <v>1</v>
      </c>
    </row>
    <row r="218" spans="1:34" hidden="1">
      <c r="A218" t="s">
        <v>197</v>
      </c>
      <c r="B218" s="18">
        <v>2033</v>
      </c>
      <c r="C218" t="s">
        <v>197</v>
      </c>
      <c r="D218" t="s">
        <v>163</v>
      </c>
      <c r="E218" s="20" t="s">
        <v>278</v>
      </c>
      <c r="F218" s="20" t="s">
        <v>279</v>
      </c>
      <c r="G218" s="20" t="s">
        <v>200</v>
      </c>
      <c r="H218" s="20" t="s">
        <v>192</v>
      </c>
      <c r="I218" s="20" t="s">
        <v>264</v>
      </c>
      <c r="J218" s="15">
        <f>IFERROR(INDEX(Cost_Components!$K$2:$K$27,MATCH(E218,Cost_Components!$A$2:$A$27,0)),"")</f>
        <v>1</v>
      </c>
      <c r="K218" s="15">
        <f t="shared" si="30"/>
        <v>0.47961538461538467</v>
      </c>
      <c r="L218" s="15">
        <f>IFERROR(INDEX(Cost_Components!$S$2:$S$27,MATCH(E218,Cost_Components!$A$2:$A$27,0)),"")</f>
        <v>0.31</v>
      </c>
      <c r="M218" s="26">
        <f>IFERROR(INDEX(Cost_Components!$L$2:$L$27,MATCH(E218,Cost_Components!$A$2:$A$27,0)),"")</f>
        <v>1</v>
      </c>
      <c r="N218" s="27">
        <f>IFERROR(INDEX(Cost_Components!$P$2:$P$27,MATCH(E218,Cost_Components!$A$2:$A$27,0)),"")</f>
        <v>5.133311</v>
      </c>
      <c r="O218" s="21">
        <f t="shared" si="31"/>
        <v>552688.68727848097</v>
      </c>
      <c r="P218" s="21">
        <f t="shared" si="32"/>
        <v>544842.74626271694</v>
      </c>
      <c r="Q218" s="21">
        <f t="shared" si="33"/>
        <v>867022.65142479027</v>
      </c>
      <c r="R218" s="21">
        <f t="shared" si="34"/>
        <v>1360727.7995091488</v>
      </c>
      <c r="S218" s="21">
        <f t="shared" si="35"/>
        <v>493705.14808435855</v>
      </c>
      <c r="T218" s="14">
        <f>IFERROR(INDEX(Cost_Components!$R$2:$R$27,MATCH(E218,Cost_Components!$A$2:$A$27,0)),"")</f>
        <v>1</v>
      </c>
      <c r="U218" s="24">
        <f>IFERROR(INDEX(Cost_Components!$Q$2:$Q$27,MATCH(E218,Cost_Components!$A$2:$A$27,0)),"")</f>
        <v>2023</v>
      </c>
      <c r="V218" s="28">
        <f>1/(1+Calculation_Assumptions!$B$5)^(B218-Calculation_Assumptions!$B$2)</f>
        <v>0.78940923431393573</v>
      </c>
      <c r="W218" s="21">
        <f t="shared" si="36"/>
        <v>684435.68739408208</v>
      </c>
      <c r="X218" s="21">
        <f t="shared" si="37"/>
        <v>1074171.0903202039</v>
      </c>
      <c r="Y218" s="21">
        <f t="shared" si="38"/>
        <v>389735.40292612172</v>
      </c>
      <c r="Z218" s="15">
        <f>IFERROR(INDEX(Cost_Components!$T$2:$T$27,MATCH(E218,Cost_Components!$A$2:$A$27,0)),"")</f>
        <v>0.8</v>
      </c>
      <c r="AA218" s="24">
        <f>IFERROR(INDEX(Cost_Components!$U$2:$U$27,MATCH(E218,Cost_Components!$A$2:$A$27,0)),"")</f>
        <v>2025</v>
      </c>
      <c r="AB218" s="24">
        <f>IFERROR(INDEX(Cost_Components!$V$2:$V$27,MATCH(E218,Cost_Components!$A$2:$A$27,0)),"")</f>
        <v>2050</v>
      </c>
      <c r="AC218" s="24">
        <f>IFERROR(INDEX(Cost_Components!$M$2:$M$27,MATCH(E218,Cost_Components!$A$2:$A$27,0)),"")</f>
        <v>30</v>
      </c>
      <c r="AD218" s="24">
        <f>IFERROR(INDEX(Cost_Components!$N$2:$N$27,MATCH(E218,Cost_Components!$A$2:$A$27,0)),"")</f>
        <v>95</v>
      </c>
      <c r="AE218" s="14" t="str">
        <f>IFERROR(INDEX(Cost_Components!$O$2:$O$27,MATCH(E218,Cost_Components!$A$2:$A$27,0)),"")</f>
        <v>Both</v>
      </c>
      <c r="AF218" s="11">
        <v>552688.68727848097</v>
      </c>
      <c r="AG218" s="11">
        <v>544842.74626271694</v>
      </c>
      <c r="AH218" s="21">
        <f t="shared" si="39"/>
        <v>1</v>
      </c>
    </row>
    <row r="219" spans="1:34" hidden="1">
      <c r="A219" t="s">
        <v>197</v>
      </c>
      <c r="B219" s="18">
        <v>2034</v>
      </c>
      <c r="C219" t="s">
        <v>197</v>
      </c>
      <c r="D219" t="s">
        <v>163</v>
      </c>
      <c r="E219" s="20" t="s">
        <v>278</v>
      </c>
      <c r="F219" s="20" t="s">
        <v>279</v>
      </c>
      <c r="G219" s="20" t="s">
        <v>200</v>
      </c>
      <c r="H219" s="20" t="s">
        <v>192</v>
      </c>
      <c r="I219" s="20" t="s">
        <v>264</v>
      </c>
      <c r="J219" s="15">
        <f>IFERROR(INDEX(Cost_Components!$K$2:$K$27,MATCH(E219,Cost_Components!$A$2:$A$27,0)),"")</f>
        <v>1</v>
      </c>
      <c r="K219" s="15">
        <f t="shared" si="30"/>
        <v>0.49846153846153851</v>
      </c>
      <c r="L219" s="15">
        <f>IFERROR(INDEX(Cost_Components!$S$2:$S$27,MATCH(E219,Cost_Components!$A$2:$A$27,0)),"")</f>
        <v>0.31</v>
      </c>
      <c r="M219" s="26">
        <f>IFERROR(INDEX(Cost_Components!$L$2:$L$27,MATCH(E219,Cost_Components!$A$2:$A$27,0)),"")</f>
        <v>1</v>
      </c>
      <c r="N219" s="27">
        <f>IFERROR(INDEX(Cost_Components!$P$2:$P$27,MATCH(E219,Cost_Components!$A$2:$A$27,0)),"")</f>
        <v>5.133311</v>
      </c>
      <c r="O219" s="21">
        <f t="shared" si="31"/>
        <v>569419.38078536501</v>
      </c>
      <c r="P219" s="21">
        <f t="shared" si="32"/>
        <v>560079.98664797004</v>
      </c>
      <c r="Q219" s="21">
        <f t="shared" si="33"/>
        <v>891270.07446536212</v>
      </c>
      <c r="R219" s="21">
        <f t="shared" si="34"/>
        <v>1457006.4520055072</v>
      </c>
      <c r="S219" s="21">
        <f t="shared" si="35"/>
        <v>565736.37754014507</v>
      </c>
      <c r="T219" s="14">
        <f>IFERROR(INDEX(Cost_Components!$R$2:$R$27,MATCH(E219,Cost_Components!$A$2:$A$27,0)),"")</f>
        <v>1</v>
      </c>
      <c r="U219" s="24">
        <f>IFERROR(INDEX(Cost_Components!$Q$2:$Q$27,MATCH(E219,Cost_Components!$A$2:$A$27,0)),"")</f>
        <v>2023</v>
      </c>
      <c r="V219" s="28">
        <f>1/(1+Calculation_Assumptions!$B$5)^(B219-Calculation_Assumptions!$B$2)</f>
        <v>0.76641673234362695</v>
      </c>
      <c r="W219" s="21">
        <f t="shared" si="36"/>
        <v>683084.29810740391</v>
      </c>
      <c r="X219" s="21">
        <f t="shared" si="37"/>
        <v>1116674.1239496423</v>
      </c>
      <c r="Y219" s="21">
        <f t="shared" si="38"/>
        <v>433589.82584223844</v>
      </c>
      <c r="Z219" s="15">
        <f>IFERROR(INDEX(Cost_Components!$T$2:$T$27,MATCH(E219,Cost_Components!$A$2:$A$27,0)),"")</f>
        <v>0.8</v>
      </c>
      <c r="AA219" s="24">
        <f>IFERROR(INDEX(Cost_Components!$U$2:$U$27,MATCH(E219,Cost_Components!$A$2:$A$27,0)),"")</f>
        <v>2025</v>
      </c>
      <c r="AB219" s="24">
        <f>IFERROR(INDEX(Cost_Components!$V$2:$V$27,MATCH(E219,Cost_Components!$A$2:$A$27,0)),"")</f>
        <v>2050</v>
      </c>
      <c r="AC219" s="24">
        <f>IFERROR(INDEX(Cost_Components!$M$2:$M$27,MATCH(E219,Cost_Components!$A$2:$A$27,0)),"")</f>
        <v>30</v>
      </c>
      <c r="AD219" s="24">
        <f>IFERROR(INDEX(Cost_Components!$N$2:$N$27,MATCH(E219,Cost_Components!$A$2:$A$27,0)),"")</f>
        <v>95</v>
      </c>
      <c r="AE219" s="14" t="str">
        <f>IFERROR(INDEX(Cost_Components!$O$2:$O$27,MATCH(E219,Cost_Components!$A$2:$A$27,0)),"")</f>
        <v>Both</v>
      </c>
      <c r="AF219" s="11">
        <v>569419.38078536501</v>
      </c>
      <c r="AG219" s="11">
        <v>560079.98664797004</v>
      </c>
      <c r="AH219" s="21">
        <f t="shared" si="39"/>
        <v>1</v>
      </c>
    </row>
    <row r="220" spans="1:34" hidden="1">
      <c r="A220" t="s">
        <v>197</v>
      </c>
      <c r="B220" s="18">
        <v>2035</v>
      </c>
      <c r="C220" t="s">
        <v>197</v>
      </c>
      <c r="D220" t="s">
        <v>163</v>
      </c>
      <c r="E220" s="20" t="s">
        <v>278</v>
      </c>
      <c r="F220" s="20" t="s">
        <v>279</v>
      </c>
      <c r="G220" s="20" t="s">
        <v>200</v>
      </c>
      <c r="H220" s="20" t="s">
        <v>192</v>
      </c>
      <c r="I220" s="20" t="s">
        <v>264</v>
      </c>
      <c r="J220" s="15">
        <f>IFERROR(INDEX(Cost_Components!$K$2:$K$27,MATCH(E220,Cost_Components!$A$2:$A$27,0)),"")</f>
        <v>1</v>
      </c>
      <c r="K220" s="15">
        <f t="shared" si="30"/>
        <v>0.51730769230769236</v>
      </c>
      <c r="L220" s="15">
        <f>IFERROR(INDEX(Cost_Components!$S$2:$S$27,MATCH(E220,Cost_Components!$A$2:$A$27,0)),"")</f>
        <v>0.31</v>
      </c>
      <c r="M220" s="26">
        <f>IFERROR(INDEX(Cost_Components!$L$2:$L$27,MATCH(E220,Cost_Components!$A$2:$A$27,0)),"")</f>
        <v>1</v>
      </c>
      <c r="N220" s="27">
        <f>IFERROR(INDEX(Cost_Components!$P$2:$P$27,MATCH(E220,Cost_Components!$A$2:$A$27,0)),"")</f>
        <v>5.133311</v>
      </c>
      <c r="O220" s="21">
        <f t="shared" si="31"/>
        <v>586232.995476924</v>
      </c>
      <c r="P220" s="21">
        <f t="shared" si="32"/>
        <v>575299.57749410998</v>
      </c>
      <c r="Q220" s="21">
        <f t="shared" si="33"/>
        <v>915489.41132821888</v>
      </c>
      <c r="R220" s="21">
        <f t="shared" si="34"/>
        <v>1556742.4624265565</v>
      </c>
      <c r="S220" s="21">
        <f t="shared" si="35"/>
        <v>641253.05109833763</v>
      </c>
      <c r="T220" s="14">
        <f>IFERROR(INDEX(Cost_Components!$R$2:$R$27,MATCH(E220,Cost_Components!$A$2:$A$27,0)),"")</f>
        <v>1</v>
      </c>
      <c r="U220" s="24">
        <f>IFERROR(INDEX(Cost_Components!$Q$2:$Q$27,MATCH(E220,Cost_Components!$A$2:$A$27,0)),"")</f>
        <v>2023</v>
      </c>
      <c r="V220" s="28">
        <f>1/(1+Calculation_Assumptions!$B$5)^(B220-Calculation_Assumptions!$B$2)</f>
        <v>0.74409391489672516</v>
      </c>
      <c r="W220" s="21">
        <f t="shared" si="36"/>
        <v>681210.10012171266</v>
      </c>
      <c r="X220" s="21">
        <f t="shared" si="37"/>
        <v>1158362.5933529446</v>
      </c>
      <c r="Y220" s="21">
        <f t="shared" si="38"/>
        <v>477152.49323123181</v>
      </c>
      <c r="Z220" s="15">
        <f>IFERROR(INDEX(Cost_Components!$T$2:$T$27,MATCH(E220,Cost_Components!$A$2:$A$27,0)),"")</f>
        <v>0.8</v>
      </c>
      <c r="AA220" s="24">
        <f>IFERROR(INDEX(Cost_Components!$U$2:$U$27,MATCH(E220,Cost_Components!$A$2:$A$27,0)),"")</f>
        <v>2025</v>
      </c>
      <c r="AB220" s="24">
        <f>IFERROR(INDEX(Cost_Components!$V$2:$V$27,MATCH(E220,Cost_Components!$A$2:$A$27,0)),"")</f>
        <v>2050</v>
      </c>
      <c r="AC220" s="24">
        <f>IFERROR(INDEX(Cost_Components!$M$2:$M$27,MATCH(E220,Cost_Components!$A$2:$A$27,0)),"")</f>
        <v>30</v>
      </c>
      <c r="AD220" s="24">
        <f>IFERROR(INDEX(Cost_Components!$N$2:$N$27,MATCH(E220,Cost_Components!$A$2:$A$27,0)),"")</f>
        <v>95</v>
      </c>
      <c r="AE220" s="14" t="str">
        <f>IFERROR(INDEX(Cost_Components!$O$2:$O$27,MATCH(E220,Cost_Components!$A$2:$A$27,0)),"")</f>
        <v>Both</v>
      </c>
      <c r="AF220" s="11">
        <v>586232.995476924</v>
      </c>
      <c r="AG220" s="11">
        <v>575299.57749410998</v>
      </c>
      <c r="AH220" s="21">
        <f t="shared" si="39"/>
        <v>1</v>
      </c>
    </row>
    <row r="221" spans="1:34" hidden="1">
      <c r="A221" t="s">
        <v>197</v>
      </c>
      <c r="B221" s="18">
        <v>2036</v>
      </c>
      <c r="C221" t="s">
        <v>197</v>
      </c>
      <c r="D221" t="s">
        <v>163</v>
      </c>
      <c r="E221" s="20" t="s">
        <v>278</v>
      </c>
      <c r="F221" s="20" t="s">
        <v>279</v>
      </c>
      <c r="G221" s="20" t="s">
        <v>200</v>
      </c>
      <c r="H221" s="20" t="s">
        <v>192</v>
      </c>
      <c r="I221" s="20" t="s">
        <v>264</v>
      </c>
      <c r="J221" s="15">
        <f>IFERROR(INDEX(Cost_Components!$K$2:$K$27,MATCH(E221,Cost_Components!$A$2:$A$27,0)),"")</f>
        <v>1</v>
      </c>
      <c r="K221" s="15">
        <f t="shared" si="30"/>
        <v>0.5361538461538462</v>
      </c>
      <c r="L221" s="15">
        <f>IFERROR(INDEX(Cost_Components!$S$2:$S$27,MATCH(E221,Cost_Components!$A$2:$A$27,0)),"")</f>
        <v>0.31</v>
      </c>
      <c r="M221" s="26">
        <f>IFERROR(INDEX(Cost_Components!$L$2:$L$27,MATCH(E221,Cost_Components!$A$2:$A$27,0)),"")</f>
        <v>1</v>
      </c>
      <c r="N221" s="27">
        <f>IFERROR(INDEX(Cost_Components!$P$2:$P$27,MATCH(E221,Cost_Components!$A$2:$A$27,0)),"")</f>
        <v>5.133311</v>
      </c>
      <c r="O221" s="21">
        <f t="shared" si="31"/>
        <v>603114.25390107499</v>
      </c>
      <c r="P221" s="21">
        <f t="shared" si="32"/>
        <v>590491.081081404</v>
      </c>
      <c r="Q221" s="21">
        <f t="shared" si="33"/>
        <v>939664.05219428951</v>
      </c>
      <c r="R221" s="21">
        <f t="shared" si="34"/>
        <v>1659917.8496643119</v>
      </c>
      <c r="S221" s="21">
        <f t="shared" si="35"/>
        <v>720253.79747002234</v>
      </c>
      <c r="T221" s="14">
        <f>IFERROR(INDEX(Cost_Components!$R$2:$R$27,MATCH(E221,Cost_Components!$A$2:$A$27,0)),"")</f>
        <v>1</v>
      </c>
      <c r="U221" s="24">
        <f>IFERROR(INDEX(Cost_Components!$Q$2:$Q$27,MATCH(E221,Cost_Components!$A$2:$A$27,0)),"")</f>
        <v>2023</v>
      </c>
      <c r="V221" s="28">
        <f>1/(1+Calculation_Assumptions!$B$5)^(B221-Calculation_Assumptions!$B$2)</f>
        <v>0.72242127659876232</v>
      </c>
      <c r="W221" s="21">
        <f t="shared" si="36"/>
        <v>678833.30416016467</v>
      </c>
      <c r="X221" s="21">
        <f t="shared" si="37"/>
        <v>1199159.9720035647</v>
      </c>
      <c r="Y221" s="21">
        <f t="shared" si="38"/>
        <v>520326.66784339992</v>
      </c>
      <c r="Z221" s="15">
        <f>IFERROR(INDEX(Cost_Components!$T$2:$T$27,MATCH(E221,Cost_Components!$A$2:$A$27,0)),"")</f>
        <v>0.8</v>
      </c>
      <c r="AA221" s="24">
        <f>IFERROR(INDEX(Cost_Components!$U$2:$U$27,MATCH(E221,Cost_Components!$A$2:$A$27,0)),"")</f>
        <v>2025</v>
      </c>
      <c r="AB221" s="24">
        <f>IFERROR(INDEX(Cost_Components!$V$2:$V$27,MATCH(E221,Cost_Components!$A$2:$A$27,0)),"")</f>
        <v>2050</v>
      </c>
      <c r="AC221" s="24">
        <f>IFERROR(INDEX(Cost_Components!$M$2:$M$27,MATCH(E221,Cost_Components!$A$2:$A$27,0)),"")</f>
        <v>30</v>
      </c>
      <c r="AD221" s="24">
        <f>IFERROR(INDEX(Cost_Components!$N$2:$N$27,MATCH(E221,Cost_Components!$A$2:$A$27,0)),"")</f>
        <v>95</v>
      </c>
      <c r="AE221" s="14" t="str">
        <f>IFERROR(INDEX(Cost_Components!$O$2:$O$27,MATCH(E221,Cost_Components!$A$2:$A$27,0)),"")</f>
        <v>Both</v>
      </c>
      <c r="AF221" s="11">
        <v>603114.25390107499</v>
      </c>
      <c r="AG221" s="11">
        <v>590491.081081404</v>
      </c>
      <c r="AH221" s="21">
        <f t="shared" si="39"/>
        <v>1</v>
      </c>
    </row>
    <row r="222" spans="1:34" hidden="1">
      <c r="A222" t="s">
        <v>197</v>
      </c>
      <c r="B222" s="18">
        <v>2037</v>
      </c>
      <c r="C222" t="s">
        <v>197</v>
      </c>
      <c r="D222" t="s">
        <v>163</v>
      </c>
      <c r="E222" s="20" t="s">
        <v>278</v>
      </c>
      <c r="F222" s="20" t="s">
        <v>279</v>
      </c>
      <c r="G222" s="20" t="s">
        <v>200</v>
      </c>
      <c r="H222" s="20" t="s">
        <v>192</v>
      </c>
      <c r="I222" s="20" t="s">
        <v>264</v>
      </c>
      <c r="J222" s="15">
        <f>IFERROR(INDEX(Cost_Components!$K$2:$K$27,MATCH(E222,Cost_Components!$A$2:$A$27,0)),"")</f>
        <v>1</v>
      </c>
      <c r="K222" s="15">
        <f t="shared" si="30"/>
        <v>0.55500000000000005</v>
      </c>
      <c r="L222" s="15">
        <f>IFERROR(INDEX(Cost_Components!$S$2:$S$27,MATCH(E222,Cost_Components!$A$2:$A$27,0)),"")</f>
        <v>0.31</v>
      </c>
      <c r="M222" s="26">
        <f>IFERROR(INDEX(Cost_Components!$L$2:$L$27,MATCH(E222,Cost_Components!$A$2:$A$27,0)),"")</f>
        <v>1</v>
      </c>
      <c r="N222" s="27">
        <f>IFERROR(INDEX(Cost_Components!$P$2:$P$27,MATCH(E222,Cost_Components!$A$2:$A$27,0)),"")</f>
        <v>5.133311</v>
      </c>
      <c r="O222" s="21">
        <f t="shared" si="31"/>
        <v>620071.832697312</v>
      </c>
      <c r="P222" s="21">
        <f t="shared" si="32"/>
        <v>605668.09724968101</v>
      </c>
      <c r="Q222" s="21">
        <f t="shared" si="33"/>
        <v>963815.63884786575</v>
      </c>
      <c r="R222" s="21">
        <f t="shared" si="34"/>
        <v>1766576.9655642759</v>
      </c>
      <c r="S222" s="21">
        <f t="shared" si="35"/>
        <v>802761.32671641011</v>
      </c>
      <c r="T222" s="14">
        <f>IFERROR(INDEX(Cost_Components!$R$2:$R$27,MATCH(E222,Cost_Components!$A$2:$A$27,0)),"")</f>
        <v>1</v>
      </c>
      <c r="U222" s="24">
        <f>IFERROR(INDEX(Cost_Components!$Q$2:$Q$27,MATCH(E222,Cost_Components!$A$2:$A$27,0)),"")</f>
        <v>2023</v>
      </c>
      <c r="V222" s="28">
        <f>1/(1+Calculation_Assumptions!$B$5)^(B222-Calculation_Assumptions!$B$2)</f>
        <v>0.70137988019297326</v>
      </c>
      <c r="W222" s="21">
        <f t="shared" si="36"/>
        <v>676000.89730323001</v>
      </c>
      <c r="X222" s="21">
        <f t="shared" si="37"/>
        <v>1239041.5404591381</v>
      </c>
      <c r="Y222" s="21">
        <f t="shared" si="38"/>
        <v>563040.64315590798</v>
      </c>
      <c r="Z222" s="15">
        <f>IFERROR(INDEX(Cost_Components!$T$2:$T$27,MATCH(E222,Cost_Components!$A$2:$A$27,0)),"")</f>
        <v>0.8</v>
      </c>
      <c r="AA222" s="24">
        <f>IFERROR(INDEX(Cost_Components!$U$2:$U$27,MATCH(E222,Cost_Components!$A$2:$A$27,0)),"")</f>
        <v>2025</v>
      </c>
      <c r="AB222" s="24">
        <f>IFERROR(INDEX(Cost_Components!$V$2:$V$27,MATCH(E222,Cost_Components!$A$2:$A$27,0)),"")</f>
        <v>2050</v>
      </c>
      <c r="AC222" s="24">
        <f>IFERROR(INDEX(Cost_Components!$M$2:$M$27,MATCH(E222,Cost_Components!$A$2:$A$27,0)),"")</f>
        <v>30</v>
      </c>
      <c r="AD222" s="24">
        <f>IFERROR(INDEX(Cost_Components!$N$2:$N$27,MATCH(E222,Cost_Components!$A$2:$A$27,0)),"")</f>
        <v>95</v>
      </c>
      <c r="AE222" s="14" t="str">
        <f>IFERROR(INDEX(Cost_Components!$O$2:$O$27,MATCH(E222,Cost_Components!$A$2:$A$27,0)),"")</f>
        <v>Both</v>
      </c>
      <c r="AF222" s="11">
        <v>620071.832697312</v>
      </c>
      <c r="AG222" s="11">
        <v>605668.09724968101</v>
      </c>
      <c r="AH222" s="21">
        <f t="shared" si="39"/>
        <v>1</v>
      </c>
    </row>
    <row r="223" spans="1:34" hidden="1">
      <c r="A223" t="s">
        <v>197</v>
      </c>
      <c r="B223" s="18">
        <v>2038</v>
      </c>
      <c r="C223" t="s">
        <v>197</v>
      </c>
      <c r="D223" t="s">
        <v>163</v>
      </c>
      <c r="E223" s="20" t="s">
        <v>278</v>
      </c>
      <c r="F223" s="20" t="s">
        <v>279</v>
      </c>
      <c r="G223" s="20" t="s">
        <v>200</v>
      </c>
      <c r="H223" s="20" t="s">
        <v>192</v>
      </c>
      <c r="I223" s="20" t="s">
        <v>264</v>
      </c>
      <c r="J223" s="15">
        <f>IFERROR(INDEX(Cost_Components!$K$2:$K$27,MATCH(E223,Cost_Components!$A$2:$A$27,0)),"")</f>
        <v>1</v>
      </c>
      <c r="K223" s="15">
        <f t="shared" si="30"/>
        <v>0.57384615384615389</v>
      </c>
      <c r="L223" s="15">
        <f>IFERROR(INDEX(Cost_Components!$S$2:$S$27,MATCH(E223,Cost_Components!$A$2:$A$27,0)),"")</f>
        <v>0.31</v>
      </c>
      <c r="M223" s="26">
        <f>IFERROR(INDEX(Cost_Components!$L$2:$L$27,MATCH(E223,Cost_Components!$A$2:$A$27,0)),"")</f>
        <v>1</v>
      </c>
      <c r="N223" s="27">
        <f>IFERROR(INDEX(Cost_Components!$P$2:$P$27,MATCH(E223,Cost_Components!$A$2:$A$27,0)),"")</f>
        <v>5.133311</v>
      </c>
      <c r="O223" s="21">
        <f t="shared" si="31"/>
        <v>637098.29062470503</v>
      </c>
      <c r="P223" s="21">
        <f t="shared" si="32"/>
        <v>620827.87243751495</v>
      </c>
      <c r="Q223" s="21">
        <f t="shared" si="33"/>
        <v>987939.78947392851</v>
      </c>
      <c r="R223" s="21">
        <f t="shared" si="34"/>
        <v>1876720.0406579743</v>
      </c>
      <c r="S223" s="21">
        <f t="shared" si="35"/>
        <v>888780.2511840458</v>
      </c>
      <c r="T223" s="14">
        <f>IFERROR(INDEX(Cost_Components!$R$2:$R$27,MATCH(E223,Cost_Components!$A$2:$A$27,0)),"")</f>
        <v>1</v>
      </c>
      <c r="U223" s="24">
        <f>IFERROR(INDEX(Cost_Components!$Q$2:$Q$27,MATCH(E223,Cost_Components!$A$2:$A$27,0)),"")</f>
        <v>2023</v>
      </c>
      <c r="V223" s="28">
        <f>1/(1+Calculation_Assumptions!$B$5)^(B223-Calculation_Assumptions!$B$2)</f>
        <v>0.68095133999317792</v>
      </c>
      <c r="W223" s="21">
        <f t="shared" si="36"/>
        <v>672738.92347484967</v>
      </c>
      <c r="X223" s="21">
        <f t="shared" si="37"/>
        <v>1277955.0264780989</v>
      </c>
      <c r="Y223" s="21">
        <f t="shared" si="38"/>
        <v>605216.10300324927</v>
      </c>
      <c r="Z223" s="15">
        <f>IFERROR(INDEX(Cost_Components!$T$2:$T$27,MATCH(E223,Cost_Components!$A$2:$A$27,0)),"")</f>
        <v>0.8</v>
      </c>
      <c r="AA223" s="24">
        <f>IFERROR(INDEX(Cost_Components!$U$2:$U$27,MATCH(E223,Cost_Components!$A$2:$A$27,0)),"")</f>
        <v>2025</v>
      </c>
      <c r="AB223" s="24">
        <f>IFERROR(INDEX(Cost_Components!$V$2:$V$27,MATCH(E223,Cost_Components!$A$2:$A$27,0)),"")</f>
        <v>2050</v>
      </c>
      <c r="AC223" s="24">
        <f>IFERROR(INDEX(Cost_Components!$M$2:$M$27,MATCH(E223,Cost_Components!$A$2:$A$27,0)),"")</f>
        <v>30</v>
      </c>
      <c r="AD223" s="24">
        <f>IFERROR(INDEX(Cost_Components!$N$2:$N$27,MATCH(E223,Cost_Components!$A$2:$A$27,0)),"")</f>
        <v>95</v>
      </c>
      <c r="AE223" s="14" t="str">
        <f>IFERROR(INDEX(Cost_Components!$O$2:$O$27,MATCH(E223,Cost_Components!$A$2:$A$27,0)),"")</f>
        <v>Both</v>
      </c>
      <c r="AF223" s="11">
        <v>637098.29062470503</v>
      </c>
      <c r="AG223" s="11">
        <v>620827.87243751495</v>
      </c>
      <c r="AH223" s="21">
        <f t="shared" si="39"/>
        <v>1</v>
      </c>
    </row>
    <row r="224" spans="1:34" hidden="1">
      <c r="A224" t="s">
        <v>197</v>
      </c>
      <c r="B224" s="18">
        <v>2039</v>
      </c>
      <c r="C224" t="s">
        <v>197</v>
      </c>
      <c r="D224" t="s">
        <v>163</v>
      </c>
      <c r="E224" s="20" t="s">
        <v>278</v>
      </c>
      <c r="F224" s="20" t="s">
        <v>279</v>
      </c>
      <c r="G224" s="20" t="s">
        <v>200</v>
      </c>
      <c r="H224" s="20" t="s">
        <v>192</v>
      </c>
      <c r="I224" s="20" t="s">
        <v>264</v>
      </c>
      <c r="J224" s="15">
        <f>IFERROR(INDEX(Cost_Components!$K$2:$K$27,MATCH(E224,Cost_Components!$A$2:$A$27,0)),"")</f>
        <v>1</v>
      </c>
      <c r="K224" s="15">
        <f t="shared" si="30"/>
        <v>0.59269230769230763</v>
      </c>
      <c r="L224" s="15">
        <f>IFERROR(INDEX(Cost_Components!$S$2:$S$27,MATCH(E224,Cost_Components!$A$2:$A$27,0)),"")</f>
        <v>0.31</v>
      </c>
      <c r="M224" s="26">
        <f>IFERROR(INDEX(Cost_Components!$L$2:$L$27,MATCH(E224,Cost_Components!$A$2:$A$27,0)),"")</f>
        <v>1</v>
      </c>
      <c r="N224" s="27">
        <f>IFERROR(INDEX(Cost_Components!$P$2:$P$27,MATCH(E224,Cost_Components!$A$2:$A$27,0)),"")</f>
        <v>5.133311</v>
      </c>
      <c r="O224" s="21">
        <f t="shared" si="31"/>
        <v>654161.84820386698</v>
      </c>
      <c r="P224" s="21">
        <f t="shared" si="32"/>
        <v>635942.43695767794</v>
      </c>
      <c r="Q224" s="21">
        <f t="shared" si="33"/>
        <v>1011991.9951705129</v>
      </c>
      <c r="R224" s="21">
        <f t="shared" si="34"/>
        <v>1990270.3774637056</v>
      </c>
      <c r="S224" s="21">
        <f t="shared" si="35"/>
        <v>978278.38229319267</v>
      </c>
      <c r="T224" s="14">
        <f>IFERROR(INDEX(Cost_Components!$R$2:$R$27,MATCH(E224,Cost_Components!$A$2:$A$27,0)),"")</f>
        <v>1</v>
      </c>
      <c r="U224" s="24">
        <f>IFERROR(INDEX(Cost_Components!$Q$2:$Q$27,MATCH(E224,Cost_Components!$A$2:$A$27,0)),"")</f>
        <v>2023</v>
      </c>
      <c r="V224" s="28">
        <f>1/(1+Calculation_Assumptions!$B$5)^(B224-Calculation_Assumptions!$B$2)</f>
        <v>0.66111780581861923</v>
      </c>
      <c r="W224" s="21">
        <f t="shared" si="36"/>
        <v>669045.92735313624</v>
      </c>
      <c r="X224" s="21">
        <f t="shared" si="37"/>
        <v>1315803.1849346</v>
      </c>
      <c r="Y224" s="21">
        <f t="shared" si="38"/>
        <v>646757.2575814639</v>
      </c>
      <c r="Z224" s="15">
        <f>IFERROR(INDEX(Cost_Components!$T$2:$T$27,MATCH(E224,Cost_Components!$A$2:$A$27,0)),"")</f>
        <v>0.8</v>
      </c>
      <c r="AA224" s="24">
        <f>IFERROR(INDEX(Cost_Components!$U$2:$U$27,MATCH(E224,Cost_Components!$A$2:$A$27,0)),"")</f>
        <v>2025</v>
      </c>
      <c r="AB224" s="24">
        <f>IFERROR(INDEX(Cost_Components!$V$2:$V$27,MATCH(E224,Cost_Components!$A$2:$A$27,0)),"")</f>
        <v>2050</v>
      </c>
      <c r="AC224" s="24">
        <f>IFERROR(INDEX(Cost_Components!$M$2:$M$27,MATCH(E224,Cost_Components!$A$2:$A$27,0)),"")</f>
        <v>30</v>
      </c>
      <c r="AD224" s="24">
        <f>IFERROR(INDEX(Cost_Components!$N$2:$N$27,MATCH(E224,Cost_Components!$A$2:$A$27,0)),"")</f>
        <v>95</v>
      </c>
      <c r="AE224" s="14" t="str">
        <f>IFERROR(INDEX(Cost_Components!$O$2:$O$27,MATCH(E224,Cost_Components!$A$2:$A$27,0)),"")</f>
        <v>Both</v>
      </c>
      <c r="AF224" s="11">
        <v>654161.84820386698</v>
      </c>
      <c r="AG224" s="11">
        <v>635942.43695767794</v>
      </c>
      <c r="AH224" s="21">
        <f t="shared" si="39"/>
        <v>1</v>
      </c>
    </row>
    <row r="225" spans="1:34" hidden="1">
      <c r="A225" t="s">
        <v>197</v>
      </c>
      <c r="B225" s="18">
        <v>2040</v>
      </c>
      <c r="C225" t="s">
        <v>197</v>
      </c>
      <c r="D225" t="s">
        <v>163</v>
      </c>
      <c r="E225" s="20" t="s">
        <v>278</v>
      </c>
      <c r="F225" s="20" t="s">
        <v>279</v>
      </c>
      <c r="G225" s="20" t="s">
        <v>200</v>
      </c>
      <c r="H225" s="20" t="s">
        <v>192</v>
      </c>
      <c r="I225" s="20" t="s">
        <v>264</v>
      </c>
      <c r="J225" s="15">
        <f>IFERROR(INDEX(Cost_Components!$K$2:$K$27,MATCH(E225,Cost_Components!$A$2:$A$27,0)),"")</f>
        <v>1</v>
      </c>
      <c r="K225" s="15">
        <f t="shared" si="30"/>
        <v>0.61153846153846159</v>
      </c>
      <c r="L225" s="15">
        <f>IFERROR(INDEX(Cost_Components!$S$2:$S$27,MATCH(E225,Cost_Components!$A$2:$A$27,0)),"")</f>
        <v>0.31</v>
      </c>
      <c r="M225" s="26">
        <f>IFERROR(INDEX(Cost_Components!$L$2:$L$27,MATCH(E225,Cost_Components!$A$2:$A$27,0)),"")</f>
        <v>1</v>
      </c>
      <c r="N225" s="27">
        <f>IFERROR(INDEX(Cost_Components!$P$2:$P$27,MATCH(E225,Cost_Components!$A$2:$A$27,0)),"")</f>
        <v>5.133311</v>
      </c>
      <c r="O225" s="21">
        <f t="shared" si="31"/>
        <v>671242.44318536995</v>
      </c>
      <c r="P225" s="21">
        <f t="shared" si="32"/>
        <v>650996.15624901897</v>
      </c>
      <c r="Q225" s="21">
        <f t="shared" si="33"/>
        <v>1035947.3762475504</v>
      </c>
      <c r="R225" s="21">
        <f t="shared" si="34"/>
        <v>2107175.7636383972</v>
      </c>
      <c r="S225" s="21">
        <f t="shared" si="35"/>
        <v>1071228.3873908469</v>
      </c>
      <c r="T225" s="14">
        <f>IFERROR(INDEX(Cost_Components!$R$2:$R$27,MATCH(E225,Cost_Components!$A$2:$A$27,0)),"")</f>
        <v>1</v>
      </c>
      <c r="U225" s="24">
        <f>IFERROR(INDEX(Cost_Components!$Q$2:$Q$27,MATCH(E225,Cost_Components!$A$2:$A$27,0)),"")</f>
        <v>2023</v>
      </c>
      <c r="V225" s="28">
        <f>1/(1+Calculation_Assumptions!$B$5)^(B225-Calculation_Assumptions!$B$2)</f>
        <v>0.64186194739671765</v>
      </c>
      <c r="W225" s="21">
        <f t="shared" si="36"/>
        <v>664935.20031877281</v>
      </c>
      <c r="X225" s="21">
        <f t="shared" si="37"/>
        <v>1352515.9391561071</v>
      </c>
      <c r="Y225" s="21">
        <f t="shared" si="38"/>
        <v>687580.73883733444</v>
      </c>
      <c r="Z225" s="15">
        <f>IFERROR(INDEX(Cost_Components!$T$2:$T$27,MATCH(E225,Cost_Components!$A$2:$A$27,0)),"")</f>
        <v>0.8</v>
      </c>
      <c r="AA225" s="24">
        <f>IFERROR(INDEX(Cost_Components!$U$2:$U$27,MATCH(E225,Cost_Components!$A$2:$A$27,0)),"")</f>
        <v>2025</v>
      </c>
      <c r="AB225" s="24">
        <f>IFERROR(INDEX(Cost_Components!$V$2:$V$27,MATCH(E225,Cost_Components!$A$2:$A$27,0)),"")</f>
        <v>2050</v>
      </c>
      <c r="AC225" s="24">
        <f>IFERROR(INDEX(Cost_Components!$M$2:$M$27,MATCH(E225,Cost_Components!$A$2:$A$27,0)),"")</f>
        <v>30</v>
      </c>
      <c r="AD225" s="24">
        <f>IFERROR(INDEX(Cost_Components!$N$2:$N$27,MATCH(E225,Cost_Components!$A$2:$A$27,0)),"")</f>
        <v>95</v>
      </c>
      <c r="AE225" s="14" t="str">
        <f>IFERROR(INDEX(Cost_Components!$O$2:$O$27,MATCH(E225,Cost_Components!$A$2:$A$27,0)),"")</f>
        <v>Both</v>
      </c>
      <c r="AF225" s="11">
        <v>671242.44318536995</v>
      </c>
      <c r="AG225" s="11">
        <v>650996.15624901897</v>
      </c>
      <c r="AH225" s="21">
        <f t="shared" si="39"/>
        <v>1</v>
      </c>
    </row>
    <row r="226" spans="1:34" hidden="1">
      <c r="A226" t="s">
        <v>197</v>
      </c>
      <c r="B226" s="18">
        <v>2041</v>
      </c>
      <c r="C226" t="s">
        <v>197</v>
      </c>
      <c r="D226" t="s">
        <v>163</v>
      </c>
      <c r="E226" s="20" t="s">
        <v>278</v>
      </c>
      <c r="F226" s="20" t="s">
        <v>279</v>
      </c>
      <c r="G226" s="20" t="s">
        <v>200</v>
      </c>
      <c r="H226" s="20" t="s">
        <v>192</v>
      </c>
      <c r="I226" s="20" t="s">
        <v>264</v>
      </c>
      <c r="J226" s="15">
        <f>IFERROR(INDEX(Cost_Components!$K$2:$K$27,MATCH(E226,Cost_Components!$A$2:$A$27,0)),"")</f>
        <v>1</v>
      </c>
      <c r="K226" s="15">
        <f t="shared" si="30"/>
        <v>0.63038461538461543</v>
      </c>
      <c r="L226" s="15">
        <f>IFERROR(INDEX(Cost_Components!$S$2:$S$27,MATCH(E226,Cost_Components!$A$2:$A$27,0)),"")</f>
        <v>0.31</v>
      </c>
      <c r="M226" s="26">
        <f>IFERROR(INDEX(Cost_Components!$L$2:$L$27,MATCH(E226,Cost_Components!$A$2:$A$27,0)),"")</f>
        <v>1</v>
      </c>
      <c r="N226" s="27">
        <f>IFERROR(INDEX(Cost_Components!$P$2:$P$27,MATCH(E226,Cost_Components!$A$2:$A$27,0)),"")</f>
        <v>5.133311</v>
      </c>
      <c r="O226" s="21">
        <f t="shared" si="31"/>
        <v>688332.76094501803</v>
      </c>
      <c r="P226" s="21">
        <f t="shared" si="32"/>
        <v>665986.22254572494</v>
      </c>
      <c r="Q226" s="21">
        <f t="shared" si="33"/>
        <v>1059801.4646331496</v>
      </c>
      <c r="R226" s="21">
        <f t="shared" si="34"/>
        <v>2227417.474105557</v>
      </c>
      <c r="S226" s="21">
        <f t="shared" si="35"/>
        <v>1167616.0094724074</v>
      </c>
      <c r="T226" s="14">
        <f>IFERROR(INDEX(Cost_Components!$R$2:$R$27,MATCH(E226,Cost_Components!$A$2:$A$27,0)),"")</f>
        <v>1</v>
      </c>
      <c r="U226" s="24">
        <f>IFERROR(INDEX(Cost_Components!$Q$2:$Q$27,MATCH(E226,Cost_Components!$A$2:$A$27,0)),"")</f>
        <v>2023</v>
      </c>
      <c r="V226" s="28">
        <f>1/(1+Calculation_Assumptions!$B$5)^(B226-Calculation_Assumptions!$B$2)</f>
        <v>0.62316693922011435</v>
      </c>
      <c r="W226" s="21">
        <f t="shared" si="36"/>
        <v>660433.23489643412</v>
      </c>
      <c r="X226" s="21">
        <f t="shared" si="37"/>
        <v>1388052.9297037583</v>
      </c>
      <c r="Y226" s="21">
        <f t="shared" si="38"/>
        <v>727619.69480732421</v>
      </c>
      <c r="Z226" s="15">
        <f>IFERROR(INDEX(Cost_Components!$T$2:$T$27,MATCH(E226,Cost_Components!$A$2:$A$27,0)),"")</f>
        <v>0.8</v>
      </c>
      <c r="AA226" s="24">
        <f>IFERROR(INDEX(Cost_Components!$U$2:$U$27,MATCH(E226,Cost_Components!$A$2:$A$27,0)),"")</f>
        <v>2025</v>
      </c>
      <c r="AB226" s="24">
        <f>IFERROR(INDEX(Cost_Components!$V$2:$V$27,MATCH(E226,Cost_Components!$A$2:$A$27,0)),"")</f>
        <v>2050</v>
      </c>
      <c r="AC226" s="24">
        <f>IFERROR(INDEX(Cost_Components!$M$2:$M$27,MATCH(E226,Cost_Components!$A$2:$A$27,0)),"")</f>
        <v>30</v>
      </c>
      <c r="AD226" s="24">
        <f>IFERROR(INDEX(Cost_Components!$N$2:$N$27,MATCH(E226,Cost_Components!$A$2:$A$27,0)),"")</f>
        <v>95</v>
      </c>
      <c r="AE226" s="14" t="str">
        <f>IFERROR(INDEX(Cost_Components!$O$2:$O$27,MATCH(E226,Cost_Components!$A$2:$A$27,0)),"")</f>
        <v>Both</v>
      </c>
      <c r="AF226" s="11">
        <v>688332.76094501803</v>
      </c>
      <c r="AG226" s="11">
        <v>665986.22254572494</v>
      </c>
      <c r="AH226" s="21">
        <f t="shared" si="39"/>
        <v>1</v>
      </c>
    </row>
    <row r="227" spans="1:34" hidden="1">
      <c r="A227" t="s">
        <v>197</v>
      </c>
      <c r="B227" s="18">
        <v>2042</v>
      </c>
      <c r="C227" t="s">
        <v>197</v>
      </c>
      <c r="D227" t="s">
        <v>163</v>
      </c>
      <c r="E227" s="20" t="s">
        <v>278</v>
      </c>
      <c r="F227" s="20" t="s">
        <v>279</v>
      </c>
      <c r="G227" s="20" t="s">
        <v>200</v>
      </c>
      <c r="H227" s="20" t="s">
        <v>192</v>
      </c>
      <c r="I227" s="20" t="s">
        <v>264</v>
      </c>
      <c r="J227" s="15">
        <f>IFERROR(INDEX(Cost_Components!$K$2:$K$27,MATCH(E227,Cost_Components!$A$2:$A$27,0)),"")</f>
        <v>1</v>
      </c>
      <c r="K227" s="15">
        <f t="shared" si="30"/>
        <v>0.64923076923076928</v>
      </c>
      <c r="L227" s="15">
        <f>IFERROR(INDEX(Cost_Components!$S$2:$S$27,MATCH(E227,Cost_Components!$A$2:$A$27,0)),"")</f>
        <v>0.31</v>
      </c>
      <c r="M227" s="26">
        <f>IFERROR(INDEX(Cost_Components!$L$2:$L$27,MATCH(E227,Cost_Components!$A$2:$A$27,0)),"")</f>
        <v>1</v>
      </c>
      <c r="N227" s="27">
        <f>IFERROR(INDEX(Cost_Components!$P$2:$P$27,MATCH(E227,Cost_Components!$A$2:$A$27,0)),"")</f>
        <v>5.133311</v>
      </c>
      <c r="O227" s="21">
        <f t="shared" si="31"/>
        <v>705412.79546043905</v>
      </c>
      <c r="P227" s="21">
        <f t="shared" si="32"/>
        <v>680896.42979972903</v>
      </c>
      <c r="Q227" s="21">
        <f t="shared" si="33"/>
        <v>1083528.4712150197</v>
      </c>
      <c r="R227" s="21">
        <f t="shared" si="34"/>
        <v>2350931.6565625244</v>
      </c>
      <c r="S227" s="21">
        <f t="shared" si="35"/>
        <v>1267403.1853475047</v>
      </c>
      <c r="T227" s="14">
        <f>IFERROR(INDEX(Cost_Components!$R$2:$R$27,MATCH(E227,Cost_Components!$A$2:$A$27,0)),"")</f>
        <v>1</v>
      </c>
      <c r="U227" s="24">
        <f>IFERROR(INDEX(Cost_Components!$Q$2:$Q$27,MATCH(E227,Cost_Components!$A$2:$A$27,0)),"")</f>
        <v>2023</v>
      </c>
      <c r="V227" s="28">
        <f>1/(1+Calculation_Assumptions!$B$5)^(B227-Calculation_Assumptions!$B$2)</f>
        <v>0.60501644584477121</v>
      </c>
      <c r="W227" s="21">
        <f t="shared" si="36"/>
        <v>655552.54462612967</v>
      </c>
      <c r="X227" s="21">
        <f t="shared" si="37"/>
        <v>1422352.3152774188</v>
      </c>
      <c r="Y227" s="21">
        <f t="shared" si="38"/>
        <v>766799.77065128915</v>
      </c>
      <c r="Z227" s="15">
        <f>IFERROR(INDEX(Cost_Components!$T$2:$T$27,MATCH(E227,Cost_Components!$A$2:$A$27,0)),"")</f>
        <v>0.8</v>
      </c>
      <c r="AA227" s="24">
        <f>IFERROR(INDEX(Cost_Components!$U$2:$U$27,MATCH(E227,Cost_Components!$A$2:$A$27,0)),"")</f>
        <v>2025</v>
      </c>
      <c r="AB227" s="24">
        <f>IFERROR(INDEX(Cost_Components!$V$2:$V$27,MATCH(E227,Cost_Components!$A$2:$A$27,0)),"")</f>
        <v>2050</v>
      </c>
      <c r="AC227" s="24">
        <f>IFERROR(INDEX(Cost_Components!$M$2:$M$27,MATCH(E227,Cost_Components!$A$2:$A$27,0)),"")</f>
        <v>30</v>
      </c>
      <c r="AD227" s="24">
        <f>IFERROR(INDEX(Cost_Components!$N$2:$N$27,MATCH(E227,Cost_Components!$A$2:$A$27,0)),"")</f>
        <v>95</v>
      </c>
      <c r="AE227" s="14" t="str">
        <f>IFERROR(INDEX(Cost_Components!$O$2:$O$27,MATCH(E227,Cost_Components!$A$2:$A$27,0)),"")</f>
        <v>Both</v>
      </c>
      <c r="AF227" s="11">
        <v>705412.79546043905</v>
      </c>
      <c r="AG227" s="11">
        <v>680896.42979972903</v>
      </c>
      <c r="AH227" s="21">
        <f t="shared" si="39"/>
        <v>1</v>
      </c>
    </row>
    <row r="228" spans="1:34" hidden="1">
      <c r="A228" t="s">
        <v>197</v>
      </c>
      <c r="B228" s="18">
        <v>2043</v>
      </c>
      <c r="C228" t="s">
        <v>197</v>
      </c>
      <c r="D228" t="s">
        <v>163</v>
      </c>
      <c r="E228" s="20" t="s">
        <v>278</v>
      </c>
      <c r="F228" s="20" t="s">
        <v>279</v>
      </c>
      <c r="G228" s="20" t="s">
        <v>200</v>
      </c>
      <c r="H228" s="20" t="s">
        <v>192</v>
      </c>
      <c r="I228" s="20" t="s">
        <v>264</v>
      </c>
      <c r="J228" s="15">
        <f>IFERROR(INDEX(Cost_Components!$K$2:$K$27,MATCH(E228,Cost_Components!$A$2:$A$27,0)),"")</f>
        <v>1</v>
      </c>
      <c r="K228" s="15">
        <f t="shared" si="30"/>
        <v>0.66807692307692301</v>
      </c>
      <c r="L228" s="15">
        <f>IFERROR(INDEX(Cost_Components!$S$2:$S$27,MATCH(E228,Cost_Components!$A$2:$A$27,0)),"")</f>
        <v>0.31</v>
      </c>
      <c r="M228" s="26">
        <f>IFERROR(INDEX(Cost_Components!$L$2:$L$27,MATCH(E228,Cost_Components!$A$2:$A$27,0)),"")</f>
        <v>1</v>
      </c>
      <c r="N228" s="27">
        <f>IFERROR(INDEX(Cost_Components!$P$2:$P$27,MATCH(E228,Cost_Components!$A$2:$A$27,0)),"")</f>
        <v>5.133311</v>
      </c>
      <c r="O228" s="21">
        <f t="shared" si="31"/>
        <v>722432.47126537305</v>
      </c>
      <c r="P228" s="21">
        <f t="shared" si="32"/>
        <v>695680.28053418302</v>
      </c>
      <c r="Q228" s="21">
        <f t="shared" si="33"/>
        <v>1107054.4033302544</v>
      </c>
      <c r="R228" s="21">
        <f t="shared" si="34"/>
        <v>2477543.5953699872</v>
      </c>
      <c r="S228" s="21">
        <f t="shared" si="35"/>
        <v>1370489.1920397328</v>
      </c>
      <c r="T228" s="14">
        <f>IFERROR(INDEX(Cost_Components!$R$2:$R$27,MATCH(E228,Cost_Components!$A$2:$A$27,0)),"")</f>
        <v>1</v>
      </c>
      <c r="U228" s="24">
        <f>IFERROR(INDEX(Cost_Components!$Q$2:$Q$27,MATCH(E228,Cost_Components!$A$2:$A$27,0)),"")</f>
        <v>2023</v>
      </c>
      <c r="V228" s="28">
        <f>1/(1+Calculation_Assumptions!$B$5)^(B228-Calculation_Assumptions!$B$2)</f>
        <v>0.5873946076162827</v>
      </c>
      <c r="W228" s="21">
        <f t="shared" si="36"/>
        <v>650277.78685405268</v>
      </c>
      <c r="X228" s="21">
        <f t="shared" si="37"/>
        <v>1455295.748054588</v>
      </c>
      <c r="Y228" s="21">
        <f t="shared" si="38"/>
        <v>805017.96120053518</v>
      </c>
      <c r="Z228" s="15">
        <f>IFERROR(INDEX(Cost_Components!$T$2:$T$27,MATCH(E228,Cost_Components!$A$2:$A$27,0)),"")</f>
        <v>0.8</v>
      </c>
      <c r="AA228" s="24">
        <f>IFERROR(INDEX(Cost_Components!$U$2:$U$27,MATCH(E228,Cost_Components!$A$2:$A$27,0)),"")</f>
        <v>2025</v>
      </c>
      <c r="AB228" s="24">
        <f>IFERROR(INDEX(Cost_Components!$V$2:$V$27,MATCH(E228,Cost_Components!$A$2:$A$27,0)),"")</f>
        <v>2050</v>
      </c>
      <c r="AC228" s="24">
        <f>IFERROR(INDEX(Cost_Components!$M$2:$M$27,MATCH(E228,Cost_Components!$A$2:$A$27,0)),"")</f>
        <v>30</v>
      </c>
      <c r="AD228" s="24">
        <f>IFERROR(INDEX(Cost_Components!$N$2:$N$27,MATCH(E228,Cost_Components!$A$2:$A$27,0)),"")</f>
        <v>95</v>
      </c>
      <c r="AE228" s="14" t="str">
        <f>IFERROR(INDEX(Cost_Components!$O$2:$O$27,MATCH(E228,Cost_Components!$A$2:$A$27,0)),"")</f>
        <v>Both</v>
      </c>
      <c r="AF228" s="11">
        <v>722432.47126537305</v>
      </c>
      <c r="AG228" s="11">
        <v>695680.28053418302</v>
      </c>
      <c r="AH228" s="21">
        <f t="shared" si="39"/>
        <v>1</v>
      </c>
    </row>
    <row r="229" spans="1:34" hidden="1">
      <c r="A229" t="s">
        <v>197</v>
      </c>
      <c r="B229" s="18">
        <v>2044</v>
      </c>
      <c r="C229" t="s">
        <v>197</v>
      </c>
      <c r="D229" t="s">
        <v>163</v>
      </c>
      <c r="E229" s="20" t="s">
        <v>278</v>
      </c>
      <c r="F229" s="20" t="s">
        <v>279</v>
      </c>
      <c r="G229" s="20" t="s">
        <v>200</v>
      </c>
      <c r="H229" s="20" t="s">
        <v>192</v>
      </c>
      <c r="I229" s="20" t="s">
        <v>264</v>
      </c>
      <c r="J229" s="15">
        <f>IFERROR(INDEX(Cost_Components!$K$2:$K$27,MATCH(E229,Cost_Components!$A$2:$A$27,0)),"")</f>
        <v>1</v>
      </c>
      <c r="K229" s="15">
        <f t="shared" si="30"/>
        <v>0.68692307692307697</v>
      </c>
      <c r="L229" s="15">
        <f>IFERROR(INDEX(Cost_Components!$S$2:$S$27,MATCH(E229,Cost_Components!$A$2:$A$27,0)),"")</f>
        <v>0.31</v>
      </c>
      <c r="M229" s="26">
        <f>IFERROR(INDEX(Cost_Components!$L$2:$L$27,MATCH(E229,Cost_Components!$A$2:$A$27,0)),"")</f>
        <v>1</v>
      </c>
      <c r="N229" s="27">
        <f>IFERROR(INDEX(Cost_Components!$P$2:$P$27,MATCH(E229,Cost_Components!$A$2:$A$27,0)),"")</f>
        <v>5.133311</v>
      </c>
      <c r="O229" s="21">
        <f t="shared" si="31"/>
        <v>739341.83992555703</v>
      </c>
      <c r="P229" s="21">
        <f t="shared" si="32"/>
        <v>710291.427788042</v>
      </c>
      <c r="Q229" s="21">
        <f t="shared" si="33"/>
        <v>1130305.507835719</v>
      </c>
      <c r="R229" s="21">
        <f t="shared" si="34"/>
        <v>2607059.6449904158</v>
      </c>
      <c r="S229" s="21">
        <f t="shared" si="35"/>
        <v>1476754.1371546967</v>
      </c>
      <c r="T229" s="14">
        <f>IFERROR(INDEX(Cost_Components!$R$2:$R$27,MATCH(E229,Cost_Components!$A$2:$A$27,0)),"")</f>
        <v>1</v>
      </c>
      <c r="U229" s="24">
        <f>IFERROR(INDEX(Cost_Components!$Q$2:$Q$27,MATCH(E229,Cost_Components!$A$2:$A$27,0)),"")</f>
        <v>2023</v>
      </c>
      <c r="V229" s="28">
        <f>1/(1+Calculation_Assumptions!$B$5)^(B229-Calculation_Assumptions!$B$2)</f>
        <v>0.57028602681192497</v>
      </c>
      <c r="W229" s="21">
        <f t="shared" si="36"/>
        <v>644597.4371472674</v>
      </c>
      <c r="X229" s="21">
        <f t="shared" si="37"/>
        <v>1486769.6866032919</v>
      </c>
      <c r="Y229" s="21">
        <f t="shared" si="38"/>
        <v>842172.2494560245</v>
      </c>
      <c r="Z229" s="15">
        <f>IFERROR(INDEX(Cost_Components!$T$2:$T$27,MATCH(E229,Cost_Components!$A$2:$A$27,0)),"")</f>
        <v>0.8</v>
      </c>
      <c r="AA229" s="24">
        <f>IFERROR(INDEX(Cost_Components!$U$2:$U$27,MATCH(E229,Cost_Components!$A$2:$A$27,0)),"")</f>
        <v>2025</v>
      </c>
      <c r="AB229" s="24">
        <f>IFERROR(INDEX(Cost_Components!$V$2:$V$27,MATCH(E229,Cost_Components!$A$2:$A$27,0)),"")</f>
        <v>2050</v>
      </c>
      <c r="AC229" s="24">
        <f>IFERROR(INDEX(Cost_Components!$M$2:$M$27,MATCH(E229,Cost_Components!$A$2:$A$27,0)),"")</f>
        <v>30</v>
      </c>
      <c r="AD229" s="24">
        <f>IFERROR(INDEX(Cost_Components!$N$2:$N$27,MATCH(E229,Cost_Components!$A$2:$A$27,0)),"")</f>
        <v>95</v>
      </c>
      <c r="AE229" s="14" t="str">
        <f>IFERROR(INDEX(Cost_Components!$O$2:$O$27,MATCH(E229,Cost_Components!$A$2:$A$27,0)),"")</f>
        <v>Both</v>
      </c>
      <c r="AF229" s="11">
        <v>739341.83992555703</v>
      </c>
      <c r="AG229" s="11">
        <v>710291.427788042</v>
      </c>
      <c r="AH229" s="21">
        <f t="shared" si="39"/>
        <v>1</v>
      </c>
    </row>
    <row r="230" spans="1:34" hidden="1">
      <c r="A230" t="s">
        <v>197</v>
      </c>
      <c r="B230" s="18">
        <v>2045</v>
      </c>
      <c r="C230" t="s">
        <v>197</v>
      </c>
      <c r="D230" t="s">
        <v>163</v>
      </c>
      <c r="E230" s="20" t="s">
        <v>278</v>
      </c>
      <c r="F230" s="20" t="s">
        <v>279</v>
      </c>
      <c r="G230" s="20" t="s">
        <v>200</v>
      </c>
      <c r="H230" s="20" t="s">
        <v>192</v>
      </c>
      <c r="I230" s="20" t="s">
        <v>264</v>
      </c>
      <c r="J230" s="15">
        <f>IFERROR(INDEX(Cost_Components!$K$2:$K$27,MATCH(E230,Cost_Components!$A$2:$A$27,0)),"")</f>
        <v>1</v>
      </c>
      <c r="K230" s="15">
        <f t="shared" si="30"/>
        <v>0.70576923076923082</v>
      </c>
      <c r="L230" s="15">
        <f>IFERROR(INDEX(Cost_Components!$S$2:$S$27,MATCH(E230,Cost_Components!$A$2:$A$27,0)),"")</f>
        <v>0.31</v>
      </c>
      <c r="M230" s="26">
        <f>IFERROR(INDEX(Cost_Components!$L$2:$L$27,MATCH(E230,Cost_Components!$A$2:$A$27,0)),"")</f>
        <v>1</v>
      </c>
      <c r="N230" s="27">
        <f>IFERROR(INDEX(Cost_Components!$P$2:$P$27,MATCH(E230,Cost_Components!$A$2:$A$27,0)),"")</f>
        <v>5.133311</v>
      </c>
      <c r="O230" s="21">
        <f t="shared" si="31"/>
        <v>756068.92924005305</v>
      </c>
      <c r="P230" s="21">
        <f t="shared" si="32"/>
        <v>724661.40483491705</v>
      </c>
      <c r="Q230" s="21">
        <f t="shared" si="33"/>
        <v>1153172.8318215052</v>
      </c>
      <c r="R230" s="21">
        <f t="shared" si="34"/>
        <v>2739187.0405769427</v>
      </c>
      <c r="S230" s="21">
        <f t="shared" si="35"/>
        <v>1586014.2087554375</v>
      </c>
      <c r="T230" s="14">
        <f>IFERROR(INDEX(Cost_Components!$R$2:$R$27,MATCH(E230,Cost_Components!$A$2:$A$27,0)),"")</f>
        <v>1</v>
      </c>
      <c r="U230" s="24">
        <f>IFERROR(INDEX(Cost_Components!$Q$2:$Q$27,MATCH(E230,Cost_Components!$A$2:$A$27,0)),"")</f>
        <v>2023</v>
      </c>
      <c r="V230" s="28">
        <f>1/(1+Calculation_Assumptions!$B$5)^(B230-Calculation_Assumptions!$B$2)</f>
        <v>0.55367575418633497</v>
      </c>
      <c r="W230" s="21">
        <f t="shared" si="36"/>
        <v>638483.8373659635</v>
      </c>
      <c r="X230" s="21">
        <f t="shared" si="37"/>
        <v>1516621.4505488737</v>
      </c>
      <c r="Y230" s="21">
        <f t="shared" si="38"/>
        <v>878137.61318291014</v>
      </c>
      <c r="Z230" s="15">
        <f>IFERROR(INDEX(Cost_Components!$T$2:$T$27,MATCH(E230,Cost_Components!$A$2:$A$27,0)),"")</f>
        <v>0.8</v>
      </c>
      <c r="AA230" s="24">
        <f>IFERROR(INDEX(Cost_Components!$U$2:$U$27,MATCH(E230,Cost_Components!$A$2:$A$27,0)),"")</f>
        <v>2025</v>
      </c>
      <c r="AB230" s="24">
        <f>IFERROR(INDEX(Cost_Components!$V$2:$V$27,MATCH(E230,Cost_Components!$A$2:$A$27,0)),"")</f>
        <v>2050</v>
      </c>
      <c r="AC230" s="24">
        <f>IFERROR(INDEX(Cost_Components!$M$2:$M$27,MATCH(E230,Cost_Components!$A$2:$A$27,0)),"")</f>
        <v>30</v>
      </c>
      <c r="AD230" s="24">
        <f>IFERROR(INDEX(Cost_Components!$N$2:$N$27,MATCH(E230,Cost_Components!$A$2:$A$27,0)),"")</f>
        <v>95</v>
      </c>
      <c r="AE230" s="14" t="str">
        <f>IFERROR(INDEX(Cost_Components!$O$2:$O$27,MATCH(E230,Cost_Components!$A$2:$A$27,0)),"")</f>
        <v>Both</v>
      </c>
      <c r="AF230" s="11">
        <v>756068.92924005305</v>
      </c>
      <c r="AG230" s="11">
        <v>724661.40483491705</v>
      </c>
      <c r="AH230" s="21">
        <f t="shared" si="39"/>
        <v>1</v>
      </c>
    </row>
    <row r="231" spans="1:34" hidden="1">
      <c r="A231" t="s">
        <v>197</v>
      </c>
      <c r="B231" s="18">
        <v>2046</v>
      </c>
      <c r="C231" t="s">
        <v>197</v>
      </c>
      <c r="D231" t="s">
        <v>163</v>
      </c>
      <c r="E231" s="20" t="s">
        <v>278</v>
      </c>
      <c r="F231" s="20" t="s">
        <v>279</v>
      </c>
      <c r="G231" s="20" t="s">
        <v>200</v>
      </c>
      <c r="H231" s="20" t="s">
        <v>192</v>
      </c>
      <c r="I231" s="20" t="s">
        <v>264</v>
      </c>
      <c r="J231" s="15">
        <f>IFERROR(INDEX(Cost_Components!$K$2:$K$27,MATCH(E231,Cost_Components!$A$2:$A$27,0)),"")</f>
        <v>1</v>
      </c>
      <c r="K231" s="15">
        <f t="shared" si="30"/>
        <v>0.72461538461538466</v>
      </c>
      <c r="L231" s="15">
        <f>IFERROR(INDEX(Cost_Components!$S$2:$S$27,MATCH(E231,Cost_Components!$A$2:$A$27,0)),"")</f>
        <v>0.31</v>
      </c>
      <c r="M231" s="26">
        <f>IFERROR(INDEX(Cost_Components!$L$2:$L$27,MATCH(E231,Cost_Components!$A$2:$A$27,0)),"")</f>
        <v>1</v>
      </c>
      <c r="N231" s="27">
        <f>IFERROR(INDEX(Cost_Components!$P$2:$P$27,MATCH(E231,Cost_Components!$A$2:$A$27,0)),"")</f>
        <v>5.133311</v>
      </c>
      <c r="O231" s="21">
        <f t="shared" si="31"/>
        <v>772545.415002038</v>
      </c>
      <c r="P231" s="21">
        <f t="shared" si="32"/>
        <v>738726.66611743101</v>
      </c>
      <c r="Q231" s="21">
        <f t="shared" si="33"/>
        <v>1175555.25356392</v>
      </c>
      <c r="R231" s="21">
        <f t="shared" si="34"/>
        <v>2873618.7353641647</v>
      </c>
      <c r="S231" s="21">
        <f t="shared" si="35"/>
        <v>1698063.4818002447</v>
      </c>
      <c r="T231" s="14">
        <f>IFERROR(INDEX(Cost_Components!$R$2:$R$27,MATCH(E231,Cost_Components!$A$2:$A$27,0)),"")</f>
        <v>1</v>
      </c>
      <c r="U231" s="24">
        <f>IFERROR(INDEX(Cost_Components!$Q$2:$Q$27,MATCH(E231,Cost_Components!$A$2:$A$27,0)),"")</f>
        <v>2023</v>
      </c>
      <c r="V231" s="28">
        <f>1/(1+Calculation_Assumptions!$B$5)^(B231-Calculation_Assumptions!$B$2)</f>
        <v>0.5375492759090631</v>
      </c>
      <c r="W231" s="21">
        <f t="shared" si="36"/>
        <v>631918.87534438027</v>
      </c>
      <c r="X231" s="21">
        <f t="shared" si="37"/>
        <v>1544711.6704337243</v>
      </c>
      <c r="Y231" s="21">
        <f t="shared" si="38"/>
        <v>912792.79508934403</v>
      </c>
      <c r="Z231" s="15">
        <f>IFERROR(INDEX(Cost_Components!$T$2:$T$27,MATCH(E231,Cost_Components!$A$2:$A$27,0)),"")</f>
        <v>0.8</v>
      </c>
      <c r="AA231" s="24">
        <f>IFERROR(INDEX(Cost_Components!$U$2:$U$27,MATCH(E231,Cost_Components!$A$2:$A$27,0)),"")</f>
        <v>2025</v>
      </c>
      <c r="AB231" s="24">
        <f>IFERROR(INDEX(Cost_Components!$V$2:$V$27,MATCH(E231,Cost_Components!$A$2:$A$27,0)),"")</f>
        <v>2050</v>
      </c>
      <c r="AC231" s="24">
        <f>IFERROR(INDEX(Cost_Components!$M$2:$M$27,MATCH(E231,Cost_Components!$A$2:$A$27,0)),"")</f>
        <v>30</v>
      </c>
      <c r="AD231" s="24">
        <f>IFERROR(INDEX(Cost_Components!$N$2:$N$27,MATCH(E231,Cost_Components!$A$2:$A$27,0)),"")</f>
        <v>95</v>
      </c>
      <c r="AE231" s="14" t="str">
        <f>IFERROR(INDEX(Cost_Components!$O$2:$O$27,MATCH(E231,Cost_Components!$A$2:$A$27,0)),"")</f>
        <v>Both</v>
      </c>
      <c r="AF231" s="11">
        <v>772545.415002038</v>
      </c>
      <c r="AG231" s="11">
        <v>738726.66611743101</v>
      </c>
      <c r="AH231" s="21">
        <f t="shared" si="39"/>
        <v>1</v>
      </c>
    </row>
    <row r="232" spans="1:34" hidden="1">
      <c r="A232" t="s">
        <v>197</v>
      </c>
      <c r="B232" s="18">
        <v>2047</v>
      </c>
      <c r="C232" t="s">
        <v>197</v>
      </c>
      <c r="D232" t="s">
        <v>163</v>
      </c>
      <c r="E232" s="20" t="s">
        <v>278</v>
      </c>
      <c r="F232" s="20" t="s">
        <v>279</v>
      </c>
      <c r="G232" s="20" t="s">
        <v>200</v>
      </c>
      <c r="H232" s="20" t="s">
        <v>192</v>
      </c>
      <c r="I232" s="20" t="s">
        <v>264</v>
      </c>
      <c r="J232" s="15">
        <f>IFERROR(INDEX(Cost_Components!$K$2:$K$27,MATCH(E232,Cost_Components!$A$2:$A$27,0)),"")</f>
        <v>1</v>
      </c>
      <c r="K232" s="15">
        <f t="shared" si="30"/>
        <v>0.74346153846153851</v>
      </c>
      <c r="L232" s="15">
        <f>IFERROR(INDEX(Cost_Components!$S$2:$S$27,MATCH(E232,Cost_Components!$A$2:$A$27,0)),"")</f>
        <v>0.31</v>
      </c>
      <c r="M232" s="26">
        <f>IFERROR(INDEX(Cost_Components!$L$2:$L$27,MATCH(E232,Cost_Components!$A$2:$A$27,0)),"")</f>
        <v>1</v>
      </c>
      <c r="N232" s="27">
        <f>IFERROR(INDEX(Cost_Components!$P$2:$P$27,MATCH(E232,Cost_Components!$A$2:$A$27,0)),"")</f>
        <v>5.133311</v>
      </c>
      <c r="O232" s="21">
        <f t="shared" si="31"/>
        <v>788684.25601310399</v>
      </c>
      <c r="P232" s="21">
        <f t="shared" si="32"/>
        <v>752406.55841867696</v>
      </c>
      <c r="Q232" s="21">
        <f t="shared" si="33"/>
        <v>1197324.4274688484</v>
      </c>
      <c r="R232" s="21">
        <f t="shared" si="34"/>
        <v>3009949.8110977695</v>
      </c>
      <c r="S232" s="21">
        <f t="shared" si="35"/>
        <v>1812625.3836289211</v>
      </c>
      <c r="T232" s="14">
        <f>IFERROR(INDEX(Cost_Components!$R$2:$R$27,MATCH(E232,Cost_Components!$A$2:$A$27,0)),"")</f>
        <v>1</v>
      </c>
      <c r="U232" s="24">
        <f>IFERROR(INDEX(Cost_Components!$Q$2:$Q$27,MATCH(E232,Cost_Components!$A$2:$A$27,0)),"")</f>
        <v>2023</v>
      </c>
      <c r="V232" s="28">
        <f>1/(1+Calculation_Assumptions!$B$5)^(B232-Calculation_Assumptions!$B$2)</f>
        <v>0.52189250088258554</v>
      </c>
      <c r="W232" s="21">
        <f t="shared" si="36"/>
        <v>624874.63981952716</v>
      </c>
      <c r="X232" s="21">
        <f t="shared" si="37"/>
        <v>1570870.2344448809</v>
      </c>
      <c r="Y232" s="21">
        <f t="shared" si="38"/>
        <v>945995.5946253537</v>
      </c>
      <c r="Z232" s="15">
        <f>IFERROR(INDEX(Cost_Components!$T$2:$T$27,MATCH(E232,Cost_Components!$A$2:$A$27,0)),"")</f>
        <v>0.8</v>
      </c>
      <c r="AA232" s="24">
        <f>IFERROR(INDEX(Cost_Components!$U$2:$U$27,MATCH(E232,Cost_Components!$A$2:$A$27,0)),"")</f>
        <v>2025</v>
      </c>
      <c r="AB232" s="24">
        <f>IFERROR(INDEX(Cost_Components!$V$2:$V$27,MATCH(E232,Cost_Components!$A$2:$A$27,0)),"")</f>
        <v>2050</v>
      </c>
      <c r="AC232" s="24">
        <f>IFERROR(INDEX(Cost_Components!$M$2:$M$27,MATCH(E232,Cost_Components!$A$2:$A$27,0)),"")</f>
        <v>30</v>
      </c>
      <c r="AD232" s="24">
        <f>IFERROR(INDEX(Cost_Components!$N$2:$N$27,MATCH(E232,Cost_Components!$A$2:$A$27,0)),"")</f>
        <v>95</v>
      </c>
      <c r="AE232" s="14" t="str">
        <f>IFERROR(INDEX(Cost_Components!$O$2:$O$27,MATCH(E232,Cost_Components!$A$2:$A$27,0)),"")</f>
        <v>Both</v>
      </c>
      <c r="AF232" s="11">
        <v>788684.25601310399</v>
      </c>
      <c r="AG232" s="11">
        <v>752406.55841867696</v>
      </c>
      <c r="AH232" s="21">
        <f t="shared" si="39"/>
        <v>1</v>
      </c>
    </row>
    <row r="233" spans="1:34" hidden="1">
      <c r="A233" t="s">
        <v>197</v>
      </c>
      <c r="B233" s="18">
        <v>2048</v>
      </c>
      <c r="C233" t="s">
        <v>197</v>
      </c>
      <c r="D233" t="s">
        <v>163</v>
      </c>
      <c r="E233" s="20" t="s">
        <v>278</v>
      </c>
      <c r="F233" s="20" t="s">
        <v>279</v>
      </c>
      <c r="G233" s="20" t="s">
        <v>200</v>
      </c>
      <c r="H233" s="20" t="s">
        <v>192</v>
      </c>
      <c r="I233" s="20" t="s">
        <v>264</v>
      </c>
      <c r="J233" s="15">
        <f>IFERROR(INDEX(Cost_Components!$K$2:$K$27,MATCH(E233,Cost_Components!$A$2:$A$27,0)),"")</f>
        <v>1</v>
      </c>
      <c r="K233" s="15">
        <f t="shared" si="30"/>
        <v>0.76230769230769235</v>
      </c>
      <c r="L233" s="15">
        <f>IFERROR(INDEX(Cost_Components!$S$2:$S$27,MATCH(E233,Cost_Components!$A$2:$A$27,0)),"")</f>
        <v>0.31</v>
      </c>
      <c r="M233" s="26">
        <f>IFERROR(INDEX(Cost_Components!$L$2:$L$27,MATCH(E233,Cost_Components!$A$2:$A$27,0)),"")</f>
        <v>1</v>
      </c>
      <c r="N233" s="27">
        <f>IFERROR(INDEX(Cost_Components!$P$2:$P$27,MATCH(E233,Cost_Components!$A$2:$A$27,0)),"")</f>
        <v>5.133311</v>
      </c>
      <c r="O233" s="21">
        <f t="shared" si="31"/>
        <v>804454.47655701695</v>
      </c>
      <c r="P233" s="21">
        <f t="shared" si="32"/>
        <v>765676.29220509005</v>
      </c>
      <c r="Q233" s="21">
        <f t="shared" si="33"/>
        <v>1218440.905296837</v>
      </c>
      <c r="R233" s="21">
        <f t="shared" si="34"/>
        <v>3147961.0602983027</v>
      </c>
      <c r="S233" s="21">
        <f t="shared" si="35"/>
        <v>1929520.1550014657</v>
      </c>
      <c r="T233" s="14">
        <f>IFERROR(INDEX(Cost_Components!$R$2:$R$27,MATCH(E233,Cost_Components!$A$2:$A$27,0)),"")</f>
        <v>1</v>
      </c>
      <c r="U233" s="24">
        <f>IFERROR(INDEX(Cost_Components!$Q$2:$Q$27,MATCH(E233,Cost_Components!$A$2:$A$27,0)),"")</f>
        <v>2023</v>
      </c>
      <c r="V233" s="28">
        <f>1/(1+Calculation_Assumptions!$B$5)^(B233-Calculation_Assumptions!$B$2)</f>
        <v>0.50669174842969467</v>
      </c>
      <c r="W233" s="21">
        <f t="shared" si="36"/>
        <v>617373.95266311429</v>
      </c>
      <c r="X233" s="21">
        <f t="shared" si="37"/>
        <v>1595045.8936311426</v>
      </c>
      <c r="Y233" s="21">
        <f t="shared" si="38"/>
        <v>977671.94096802815</v>
      </c>
      <c r="Z233" s="15">
        <f>IFERROR(INDEX(Cost_Components!$T$2:$T$27,MATCH(E233,Cost_Components!$A$2:$A$27,0)),"")</f>
        <v>0.8</v>
      </c>
      <c r="AA233" s="24">
        <f>IFERROR(INDEX(Cost_Components!$U$2:$U$27,MATCH(E233,Cost_Components!$A$2:$A$27,0)),"")</f>
        <v>2025</v>
      </c>
      <c r="AB233" s="24">
        <f>IFERROR(INDEX(Cost_Components!$V$2:$V$27,MATCH(E233,Cost_Components!$A$2:$A$27,0)),"")</f>
        <v>2050</v>
      </c>
      <c r="AC233" s="24">
        <f>IFERROR(INDEX(Cost_Components!$M$2:$M$27,MATCH(E233,Cost_Components!$A$2:$A$27,0)),"")</f>
        <v>30</v>
      </c>
      <c r="AD233" s="24">
        <f>IFERROR(INDEX(Cost_Components!$N$2:$N$27,MATCH(E233,Cost_Components!$A$2:$A$27,0)),"")</f>
        <v>95</v>
      </c>
      <c r="AE233" s="14" t="str">
        <f>IFERROR(INDEX(Cost_Components!$O$2:$O$27,MATCH(E233,Cost_Components!$A$2:$A$27,0)),"")</f>
        <v>Both</v>
      </c>
      <c r="AF233" s="11">
        <v>804454.47655701695</v>
      </c>
      <c r="AG233" s="11">
        <v>765676.29220509005</v>
      </c>
      <c r="AH233" s="21">
        <f t="shared" si="39"/>
        <v>1</v>
      </c>
    </row>
    <row r="234" spans="1:34" hidden="1">
      <c r="A234" t="s">
        <v>197</v>
      </c>
      <c r="B234" s="18">
        <v>2049</v>
      </c>
      <c r="C234" t="s">
        <v>197</v>
      </c>
      <c r="D234" t="s">
        <v>163</v>
      </c>
      <c r="E234" s="20" t="s">
        <v>278</v>
      </c>
      <c r="F234" s="20" t="s">
        <v>279</v>
      </c>
      <c r="G234" s="20" t="s">
        <v>200</v>
      </c>
      <c r="H234" s="20" t="s">
        <v>192</v>
      </c>
      <c r="I234" s="20" t="s">
        <v>264</v>
      </c>
      <c r="J234" s="15">
        <f>IFERROR(INDEX(Cost_Components!$K$2:$K$27,MATCH(E234,Cost_Components!$A$2:$A$27,0)),"")</f>
        <v>1</v>
      </c>
      <c r="K234" s="15">
        <f t="shared" si="30"/>
        <v>0.7811538461538462</v>
      </c>
      <c r="L234" s="15">
        <f>IFERROR(INDEX(Cost_Components!$S$2:$S$27,MATCH(E234,Cost_Components!$A$2:$A$27,0)),"")</f>
        <v>0.31</v>
      </c>
      <c r="M234" s="26">
        <f>IFERROR(INDEX(Cost_Components!$L$2:$L$27,MATCH(E234,Cost_Components!$A$2:$A$27,0)),"")</f>
        <v>1</v>
      </c>
      <c r="N234" s="27">
        <f>IFERROR(INDEX(Cost_Components!$P$2:$P$27,MATCH(E234,Cost_Components!$A$2:$A$27,0)),"")</f>
        <v>5.133311</v>
      </c>
      <c r="O234" s="21">
        <f t="shared" si="31"/>
        <v>819811.45736798097</v>
      </c>
      <c r="P234" s="21">
        <f t="shared" si="32"/>
        <v>778495.54813628597</v>
      </c>
      <c r="Q234" s="21">
        <f t="shared" si="33"/>
        <v>1238840.5258166981</v>
      </c>
      <c r="R234" s="21">
        <f t="shared" si="34"/>
        <v>3287366.5793843083</v>
      </c>
      <c r="S234" s="21">
        <f t="shared" si="35"/>
        <v>2048526.0535676102</v>
      </c>
      <c r="T234" s="14">
        <f>IFERROR(INDEX(Cost_Components!$R$2:$R$27,MATCH(E234,Cost_Components!$A$2:$A$27,0)),"")</f>
        <v>1</v>
      </c>
      <c r="U234" s="24">
        <f>IFERROR(INDEX(Cost_Components!$Q$2:$Q$27,MATCH(E234,Cost_Components!$A$2:$A$27,0)),"")</f>
        <v>2023</v>
      </c>
      <c r="V234" s="28">
        <f>1/(1+Calculation_Assumptions!$B$5)^(B234-Calculation_Assumptions!$B$2)</f>
        <v>0.49193373633950943</v>
      </c>
      <c r="W234" s="21">
        <f t="shared" si="36"/>
        <v>609427.44859381078</v>
      </c>
      <c r="X234" s="21">
        <f t="shared" si="37"/>
        <v>1617166.5241141552</v>
      </c>
      <c r="Y234" s="21">
        <f t="shared" si="38"/>
        <v>1007739.0755203445</v>
      </c>
      <c r="Z234" s="15">
        <f>IFERROR(INDEX(Cost_Components!$T$2:$T$27,MATCH(E234,Cost_Components!$A$2:$A$27,0)),"")</f>
        <v>0.8</v>
      </c>
      <c r="AA234" s="24">
        <f>IFERROR(INDEX(Cost_Components!$U$2:$U$27,MATCH(E234,Cost_Components!$A$2:$A$27,0)),"")</f>
        <v>2025</v>
      </c>
      <c r="AB234" s="24">
        <f>IFERROR(INDEX(Cost_Components!$V$2:$V$27,MATCH(E234,Cost_Components!$A$2:$A$27,0)),"")</f>
        <v>2050</v>
      </c>
      <c r="AC234" s="24">
        <f>IFERROR(INDEX(Cost_Components!$M$2:$M$27,MATCH(E234,Cost_Components!$A$2:$A$27,0)),"")</f>
        <v>30</v>
      </c>
      <c r="AD234" s="24">
        <f>IFERROR(INDEX(Cost_Components!$N$2:$N$27,MATCH(E234,Cost_Components!$A$2:$A$27,0)),"")</f>
        <v>95</v>
      </c>
      <c r="AE234" s="14" t="str">
        <f>IFERROR(INDEX(Cost_Components!$O$2:$O$27,MATCH(E234,Cost_Components!$A$2:$A$27,0)),"")</f>
        <v>Both</v>
      </c>
      <c r="AF234" s="11">
        <v>819811.45736798097</v>
      </c>
      <c r="AG234" s="11">
        <v>778495.54813628597</v>
      </c>
      <c r="AH234" s="21">
        <f t="shared" si="39"/>
        <v>1</v>
      </c>
    </row>
    <row r="235" spans="1:34" hidden="1">
      <c r="A235" t="s">
        <v>197</v>
      </c>
      <c r="B235" s="18">
        <v>2050</v>
      </c>
      <c r="C235" t="s">
        <v>197</v>
      </c>
      <c r="D235" t="s">
        <v>163</v>
      </c>
      <c r="E235" s="20" t="s">
        <v>278</v>
      </c>
      <c r="F235" s="20" t="s">
        <v>279</v>
      </c>
      <c r="G235" s="20" t="s">
        <v>200</v>
      </c>
      <c r="H235" s="20" t="s">
        <v>192</v>
      </c>
      <c r="I235" s="20" t="s">
        <v>264</v>
      </c>
      <c r="J235" s="15">
        <f>IFERROR(INDEX(Cost_Components!$K$2:$K$27,MATCH(E235,Cost_Components!$A$2:$A$27,0)),"")</f>
        <v>1</v>
      </c>
      <c r="K235" s="15">
        <f t="shared" si="30"/>
        <v>0.8</v>
      </c>
      <c r="L235" s="15">
        <f>IFERROR(INDEX(Cost_Components!$S$2:$S$27,MATCH(E235,Cost_Components!$A$2:$A$27,0)),"")</f>
        <v>0.31</v>
      </c>
      <c r="M235" s="26">
        <f>IFERROR(INDEX(Cost_Components!$L$2:$L$27,MATCH(E235,Cost_Components!$A$2:$A$27,0)),"")</f>
        <v>1</v>
      </c>
      <c r="N235" s="27">
        <f>IFERROR(INDEX(Cost_Components!$P$2:$P$27,MATCH(E235,Cost_Components!$A$2:$A$27,0)),"")</f>
        <v>5.133311</v>
      </c>
      <c r="O235" s="21">
        <f t="shared" si="31"/>
        <v>834752.12304675695</v>
      </c>
      <c r="P235" s="21">
        <f t="shared" si="32"/>
        <v>790865.55624404305</v>
      </c>
      <c r="Q235" s="21">
        <f t="shared" si="33"/>
        <v>1258525.2464104861</v>
      </c>
      <c r="R235" s="21">
        <f t="shared" si="34"/>
        <v>3428033.8044074173</v>
      </c>
      <c r="S235" s="21">
        <f t="shared" si="35"/>
        <v>2169508.5579969315</v>
      </c>
      <c r="T235" s="14">
        <f>IFERROR(INDEX(Cost_Components!$R$2:$R$27,MATCH(E235,Cost_Components!$A$2:$A$27,0)),"")</f>
        <v>1</v>
      </c>
      <c r="U235" s="24">
        <f>IFERROR(INDEX(Cost_Components!$Q$2:$Q$27,MATCH(E235,Cost_Components!$A$2:$A$27,0)),"")</f>
        <v>2023</v>
      </c>
      <c r="V235" s="28">
        <f>1/(1+Calculation_Assumptions!$B$5)^(B235-Calculation_Assumptions!$B$2)</f>
        <v>0.47760556926165965</v>
      </c>
      <c r="W235" s="21">
        <f t="shared" si="36"/>
        <v>601078.66674205067</v>
      </c>
      <c r="X235" s="21">
        <f t="shared" si="37"/>
        <v>1637248.0366022175</v>
      </c>
      <c r="Y235" s="21">
        <f t="shared" si="38"/>
        <v>1036169.3698601668</v>
      </c>
      <c r="Z235" s="15">
        <f>IFERROR(INDEX(Cost_Components!$T$2:$T$27,MATCH(E235,Cost_Components!$A$2:$A$27,0)),"")</f>
        <v>0.8</v>
      </c>
      <c r="AA235" s="24">
        <f>IFERROR(INDEX(Cost_Components!$U$2:$U$27,MATCH(E235,Cost_Components!$A$2:$A$27,0)),"")</f>
        <v>2025</v>
      </c>
      <c r="AB235" s="24">
        <f>IFERROR(INDEX(Cost_Components!$V$2:$V$27,MATCH(E235,Cost_Components!$A$2:$A$27,0)),"")</f>
        <v>2050</v>
      </c>
      <c r="AC235" s="24">
        <f>IFERROR(INDEX(Cost_Components!$M$2:$M$27,MATCH(E235,Cost_Components!$A$2:$A$27,0)),"")</f>
        <v>30</v>
      </c>
      <c r="AD235" s="24">
        <f>IFERROR(INDEX(Cost_Components!$N$2:$N$27,MATCH(E235,Cost_Components!$A$2:$A$27,0)),"")</f>
        <v>95</v>
      </c>
      <c r="AE235" s="14" t="str">
        <f>IFERROR(INDEX(Cost_Components!$O$2:$O$27,MATCH(E235,Cost_Components!$A$2:$A$27,0)),"")</f>
        <v>Both</v>
      </c>
      <c r="AF235" s="11">
        <v>834752.12304675695</v>
      </c>
      <c r="AG235" s="11">
        <v>790865.55624404305</v>
      </c>
      <c r="AH235" s="21">
        <f t="shared" si="39"/>
        <v>1</v>
      </c>
    </row>
    <row r="236" spans="1:34" hidden="1">
      <c r="A236" t="s">
        <v>197</v>
      </c>
      <c r="B236" s="18">
        <v>2025</v>
      </c>
      <c r="C236" t="s">
        <v>197</v>
      </c>
      <c r="D236" t="s">
        <v>163</v>
      </c>
      <c r="E236" s="20" t="s">
        <v>280</v>
      </c>
      <c r="F236" s="20" t="s">
        <v>281</v>
      </c>
      <c r="G236" s="20" t="s">
        <v>200</v>
      </c>
      <c r="H236" s="20" t="s">
        <v>192</v>
      </c>
      <c r="I236" s="20" t="s">
        <v>264</v>
      </c>
      <c r="J236" s="15">
        <f>IFERROR(INDEX(Cost_Components!$K$2:$K$27,MATCH(E236,Cost_Components!$A$2:$A$27,0)),"")</f>
        <v>1</v>
      </c>
      <c r="K236" s="15">
        <f t="shared" si="30"/>
        <v>0.32884615384615384</v>
      </c>
      <c r="L236" s="15">
        <f>IFERROR(INDEX(Cost_Components!$S$2:$S$27,MATCH(E236,Cost_Components!$A$2:$A$27,0)),"")</f>
        <v>0.31</v>
      </c>
      <c r="M236" s="26">
        <f>IFERROR(INDEX(Cost_Components!$L$2:$L$27,MATCH(E236,Cost_Components!$A$2:$A$27,0)),"")</f>
        <v>1</v>
      </c>
      <c r="N236" s="27">
        <f>IFERROR(INDEX(Cost_Components!$P$2:$P$27,MATCH(E236,Cost_Components!$A$2:$A$27,0)),"")</f>
        <v>35.362648999999998</v>
      </c>
      <c r="O236" s="21">
        <f t="shared" si="31"/>
        <v>429526.93977525702</v>
      </c>
      <c r="P236" s="21">
        <f t="shared" si="32"/>
        <v>429284.57781346003</v>
      </c>
      <c r="Q236" s="21">
        <f t="shared" si="33"/>
        <v>4705998.3523624772</v>
      </c>
      <c r="R236" s="21">
        <f t="shared" si="34"/>
        <v>4994913.4224060206</v>
      </c>
      <c r="S236" s="21">
        <f t="shared" si="35"/>
        <v>288915.07004354335</v>
      </c>
      <c r="T236" s="14">
        <f>IFERROR(INDEX(Cost_Components!$R$2:$R$27,MATCH(E236,Cost_Components!$A$2:$A$27,0)),"")</f>
        <v>1</v>
      </c>
      <c r="U236" s="24">
        <f>IFERROR(INDEX(Cost_Components!$Q$2:$Q$27,MATCH(E236,Cost_Components!$A$2:$A$27,0)),"")</f>
        <v>2023</v>
      </c>
      <c r="V236" s="28">
        <f>1/(1+Calculation_Assumptions!$B$5)^(B236-Calculation_Assumptions!$B$2)</f>
        <v>1</v>
      </c>
      <c r="W236" s="21">
        <f t="shared" si="36"/>
        <v>4705998.3523624772</v>
      </c>
      <c r="X236" s="21">
        <f t="shared" si="37"/>
        <v>4994913.4224060206</v>
      </c>
      <c r="Y236" s="21">
        <f t="shared" si="38"/>
        <v>288915.07004354335</v>
      </c>
      <c r="Z236" s="15">
        <f>IFERROR(INDEX(Cost_Components!$T$2:$T$27,MATCH(E236,Cost_Components!$A$2:$A$27,0)),"")</f>
        <v>0.8</v>
      </c>
      <c r="AA236" s="24">
        <f>IFERROR(INDEX(Cost_Components!$U$2:$U$27,MATCH(E236,Cost_Components!$A$2:$A$27,0)),"")</f>
        <v>2025</v>
      </c>
      <c r="AB236" s="24">
        <f>IFERROR(INDEX(Cost_Components!$V$2:$V$27,MATCH(E236,Cost_Components!$A$2:$A$27,0)),"")</f>
        <v>2050</v>
      </c>
      <c r="AC236" s="24">
        <f>IFERROR(INDEX(Cost_Components!$M$2:$M$27,MATCH(E236,Cost_Components!$A$2:$A$27,0)),"")</f>
        <v>30</v>
      </c>
      <c r="AD236" s="24">
        <f>IFERROR(INDEX(Cost_Components!$N$2:$N$27,MATCH(E236,Cost_Components!$A$2:$A$27,0)),"")</f>
        <v>95</v>
      </c>
      <c r="AE236" s="14" t="str">
        <f>IFERROR(INDEX(Cost_Components!$O$2:$O$27,MATCH(E236,Cost_Components!$A$2:$A$27,0)),"")</f>
        <v>Both</v>
      </c>
      <c r="AF236" s="11">
        <v>429526.93977525702</v>
      </c>
      <c r="AG236" s="11">
        <v>429284.57781346003</v>
      </c>
      <c r="AH236" s="21">
        <f t="shared" si="39"/>
        <v>1</v>
      </c>
    </row>
    <row r="237" spans="1:34" hidden="1">
      <c r="A237" t="s">
        <v>197</v>
      </c>
      <c r="B237" s="18">
        <v>2026</v>
      </c>
      <c r="C237" t="s">
        <v>197</v>
      </c>
      <c r="D237" t="s">
        <v>163</v>
      </c>
      <c r="E237" s="20" t="s">
        <v>280</v>
      </c>
      <c r="F237" s="20" t="s">
        <v>281</v>
      </c>
      <c r="G237" s="20" t="s">
        <v>200</v>
      </c>
      <c r="H237" s="20" t="s">
        <v>192</v>
      </c>
      <c r="I237" s="20" t="s">
        <v>264</v>
      </c>
      <c r="J237" s="15">
        <f>IFERROR(INDEX(Cost_Components!$K$2:$K$27,MATCH(E237,Cost_Components!$A$2:$A$27,0)),"")</f>
        <v>1</v>
      </c>
      <c r="K237" s="15">
        <f t="shared" si="30"/>
        <v>0.34769230769230769</v>
      </c>
      <c r="L237" s="15">
        <f>IFERROR(INDEX(Cost_Components!$S$2:$S$27,MATCH(E237,Cost_Components!$A$2:$A$27,0)),"")</f>
        <v>0.31</v>
      </c>
      <c r="M237" s="26">
        <f>IFERROR(INDEX(Cost_Components!$L$2:$L$27,MATCH(E237,Cost_Components!$A$2:$A$27,0)),"")</f>
        <v>1</v>
      </c>
      <c r="N237" s="27">
        <f>IFERROR(INDEX(Cost_Components!$P$2:$P$27,MATCH(E237,Cost_Components!$A$2:$A$27,0)),"")</f>
        <v>35.362648999999998</v>
      </c>
      <c r="O237" s="21">
        <f t="shared" si="31"/>
        <v>442965.96675455797</v>
      </c>
      <c r="P237" s="21">
        <f t="shared" si="32"/>
        <v>442279.13119291799</v>
      </c>
      <c r="Q237" s="21">
        <f t="shared" si="33"/>
        <v>4848450.119684034</v>
      </c>
      <c r="R237" s="21">
        <f t="shared" si="34"/>
        <v>5446408.7696782844</v>
      </c>
      <c r="S237" s="21">
        <f t="shared" si="35"/>
        <v>597958.64999425039</v>
      </c>
      <c r="T237" s="14">
        <f>IFERROR(INDEX(Cost_Components!$R$2:$R$27,MATCH(E237,Cost_Components!$A$2:$A$27,0)),"")</f>
        <v>1</v>
      </c>
      <c r="U237" s="24">
        <f>IFERROR(INDEX(Cost_Components!$Q$2:$Q$27,MATCH(E237,Cost_Components!$A$2:$A$27,0)),"")</f>
        <v>2023</v>
      </c>
      <c r="V237" s="28">
        <f>1/(1+Calculation_Assumptions!$B$5)^(B237-Calculation_Assumptions!$B$2)</f>
        <v>0.970873786407767</v>
      </c>
      <c r="W237" s="21">
        <f t="shared" si="36"/>
        <v>4707233.1259068288</v>
      </c>
      <c r="X237" s="21">
        <f t="shared" si="37"/>
        <v>5287775.5045420239</v>
      </c>
      <c r="Y237" s="21">
        <f t="shared" si="38"/>
        <v>580542.3786351945</v>
      </c>
      <c r="Z237" s="15">
        <f>IFERROR(INDEX(Cost_Components!$T$2:$T$27,MATCH(E237,Cost_Components!$A$2:$A$27,0)),"")</f>
        <v>0.8</v>
      </c>
      <c r="AA237" s="24">
        <f>IFERROR(INDEX(Cost_Components!$U$2:$U$27,MATCH(E237,Cost_Components!$A$2:$A$27,0)),"")</f>
        <v>2025</v>
      </c>
      <c r="AB237" s="24">
        <f>IFERROR(INDEX(Cost_Components!$V$2:$V$27,MATCH(E237,Cost_Components!$A$2:$A$27,0)),"")</f>
        <v>2050</v>
      </c>
      <c r="AC237" s="24">
        <f>IFERROR(INDEX(Cost_Components!$M$2:$M$27,MATCH(E237,Cost_Components!$A$2:$A$27,0)),"")</f>
        <v>30</v>
      </c>
      <c r="AD237" s="24">
        <f>IFERROR(INDEX(Cost_Components!$N$2:$N$27,MATCH(E237,Cost_Components!$A$2:$A$27,0)),"")</f>
        <v>95</v>
      </c>
      <c r="AE237" s="14" t="str">
        <f>IFERROR(INDEX(Cost_Components!$O$2:$O$27,MATCH(E237,Cost_Components!$A$2:$A$27,0)),"")</f>
        <v>Both</v>
      </c>
      <c r="AF237" s="11">
        <v>442965.96675455797</v>
      </c>
      <c r="AG237" s="11">
        <v>442279.13119291799</v>
      </c>
      <c r="AH237" s="21">
        <f t="shared" si="39"/>
        <v>1</v>
      </c>
    </row>
    <row r="238" spans="1:34" hidden="1">
      <c r="A238" t="s">
        <v>197</v>
      </c>
      <c r="B238" s="18">
        <v>2027</v>
      </c>
      <c r="C238" t="s">
        <v>197</v>
      </c>
      <c r="D238" t="s">
        <v>163</v>
      </c>
      <c r="E238" s="20" t="s">
        <v>280</v>
      </c>
      <c r="F238" s="20" t="s">
        <v>281</v>
      </c>
      <c r="G238" s="20" t="s">
        <v>200</v>
      </c>
      <c r="H238" s="20" t="s">
        <v>192</v>
      </c>
      <c r="I238" s="20" t="s">
        <v>264</v>
      </c>
      <c r="J238" s="15">
        <f>IFERROR(INDEX(Cost_Components!$K$2:$K$27,MATCH(E238,Cost_Components!$A$2:$A$27,0)),"")</f>
        <v>1</v>
      </c>
      <c r="K238" s="15">
        <f t="shared" si="30"/>
        <v>0.36653846153846154</v>
      </c>
      <c r="L238" s="15">
        <f>IFERROR(INDEX(Cost_Components!$S$2:$S$27,MATCH(E238,Cost_Components!$A$2:$A$27,0)),"")</f>
        <v>0.31</v>
      </c>
      <c r="M238" s="26">
        <f>IFERROR(INDEX(Cost_Components!$L$2:$L$27,MATCH(E238,Cost_Components!$A$2:$A$27,0)),"")</f>
        <v>1</v>
      </c>
      <c r="N238" s="27">
        <f>IFERROR(INDEX(Cost_Components!$P$2:$P$27,MATCH(E238,Cost_Components!$A$2:$A$27,0)),"")</f>
        <v>35.362648999999998</v>
      </c>
      <c r="O238" s="21">
        <f t="shared" si="31"/>
        <v>457234.49397007801</v>
      </c>
      <c r="P238" s="21">
        <f t="shared" si="32"/>
        <v>455929.90648416698</v>
      </c>
      <c r="Q238" s="21">
        <f t="shared" si="33"/>
        <v>4998095.6679967502</v>
      </c>
      <c r="R238" s="21">
        <f t="shared" si="34"/>
        <v>5926568.7860275116</v>
      </c>
      <c r="S238" s="21">
        <f t="shared" si="35"/>
        <v>928473.11803076137</v>
      </c>
      <c r="T238" s="14">
        <f>IFERROR(INDEX(Cost_Components!$R$2:$R$27,MATCH(E238,Cost_Components!$A$2:$A$27,0)),"")</f>
        <v>1</v>
      </c>
      <c r="U238" s="24">
        <f>IFERROR(INDEX(Cost_Components!$Q$2:$Q$27,MATCH(E238,Cost_Components!$A$2:$A$27,0)),"")</f>
        <v>2023</v>
      </c>
      <c r="V238" s="28">
        <f>1/(1+Calculation_Assumptions!$B$5)^(B238-Calculation_Assumptions!$B$2)</f>
        <v>0.94259590913375435</v>
      </c>
      <c r="W238" s="21">
        <f t="shared" si="36"/>
        <v>4711184.5301128756</v>
      </c>
      <c r="X238" s="21">
        <f t="shared" si="37"/>
        <v>5586359.4929093327</v>
      </c>
      <c r="Y238" s="21">
        <f t="shared" si="38"/>
        <v>875174.96279645711</v>
      </c>
      <c r="Z238" s="15">
        <f>IFERROR(INDEX(Cost_Components!$T$2:$T$27,MATCH(E238,Cost_Components!$A$2:$A$27,0)),"")</f>
        <v>0.8</v>
      </c>
      <c r="AA238" s="24">
        <f>IFERROR(INDEX(Cost_Components!$U$2:$U$27,MATCH(E238,Cost_Components!$A$2:$A$27,0)),"")</f>
        <v>2025</v>
      </c>
      <c r="AB238" s="24">
        <f>IFERROR(INDEX(Cost_Components!$V$2:$V$27,MATCH(E238,Cost_Components!$A$2:$A$27,0)),"")</f>
        <v>2050</v>
      </c>
      <c r="AC238" s="24">
        <f>IFERROR(INDEX(Cost_Components!$M$2:$M$27,MATCH(E238,Cost_Components!$A$2:$A$27,0)),"")</f>
        <v>30</v>
      </c>
      <c r="AD238" s="24">
        <f>IFERROR(INDEX(Cost_Components!$N$2:$N$27,MATCH(E238,Cost_Components!$A$2:$A$27,0)),"")</f>
        <v>95</v>
      </c>
      <c r="AE238" s="14" t="str">
        <f>IFERROR(INDEX(Cost_Components!$O$2:$O$27,MATCH(E238,Cost_Components!$A$2:$A$27,0)),"")</f>
        <v>Both</v>
      </c>
      <c r="AF238" s="11">
        <v>457234.49397007801</v>
      </c>
      <c r="AG238" s="11">
        <v>455929.90648416698</v>
      </c>
      <c r="AH238" s="21">
        <f t="shared" si="39"/>
        <v>1</v>
      </c>
    </row>
    <row r="239" spans="1:34" hidden="1">
      <c r="A239" t="s">
        <v>197</v>
      </c>
      <c r="B239" s="18">
        <v>2028</v>
      </c>
      <c r="C239" t="s">
        <v>197</v>
      </c>
      <c r="D239" t="s">
        <v>163</v>
      </c>
      <c r="E239" s="20" t="s">
        <v>280</v>
      </c>
      <c r="F239" s="20" t="s">
        <v>281</v>
      </c>
      <c r="G239" s="20" t="s">
        <v>200</v>
      </c>
      <c r="H239" s="20" t="s">
        <v>192</v>
      </c>
      <c r="I239" s="20" t="s">
        <v>264</v>
      </c>
      <c r="J239" s="15">
        <f>IFERROR(INDEX(Cost_Components!$K$2:$K$27,MATCH(E239,Cost_Components!$A$2:$A$27,0)),"")</f>
        <v>1</v>
      </c>
      <c r="K239" s="15">
        <f t="shared" si="30"/>
        <v>0.38538461538461538</v>
      </c>
      <c r="L239" s="15">
        <f>IFERROR(INDEX(Cost_Components!$S$2:$S$27,MATCH(E239,Cost_Components!$A$2:$A$27,0)),"")</f>
        <v>0.31</v>
      </c>
      <c r="M239" s="26">
        <f>IFERROR(INDEX(Cost_Components!$L$2:$L$27,MATCH(E239,Cost_Components!$A$2:$A$27,0)),"")</f>
        <v>1</v>
      </c>
      <c r="N239" s="27">
        <f>IFERROR(INDEX(Cost_Components!$P$2:$P$27,MATCH(E239,Cost_Components!$A$2:$A$27,0)),"")</f>
        <v>35.362648999999998</v>
      </c>
      <c r="O239" s="21">
        <f t="shared" si="31"/>
        <v>472178.72861513199</v>
      </c>
      <c r="P239" s="21">
        <f t="shared" si="32"/>
        <v>470103.874999244</v>
      </c>
      <c r="Q239" s="21">
        <f t="shared" si="33"/>
        <v>5153476.6807928234</v>
      </c>
      <c r="R239" s="21">
        <f t="shared" si="34"/>
        <v>6434956.0102206664</v>
      </c>
      <c r="S239" s="21">
        <f t="shared" si="35"/>
        <v>1281479.329427843</v>
      </c>
      <c r="T239" s="14">
        <f>IFERROR(INDEX(Cost_Components!$R$2:$R$27,MATCH(E239,Cost_Components!$A$2:$A$27,0)),"")</f>
        <v>1</v>
      </c>
      <c r="U239" s="24">
        <f>IFERROR(INDEX(Cost_Components!$Q$2:$Q$27,MATCH(E239,Cost_Components!$A$2:$A$27,0)),"")</f>
        <v>2023</v>
      </c>
      <c r="V239" s="28">
        <f>1/(1+Calculation_Assumptions!$B$5)^(B239-Calculation_Assumptions!$B$2)</f>
        <v>0.91514165935315961</v>
      </c>
      <c r="W239" s="21">
        <f t="shared" si="36"/>
        <v>4716161.2010985576</v>
      </c>
      <c r="X239" s="21">
        <f t="shared" si="37"/>
        <v>5888896.3210579278</v>
      </c>
      <c r="Y239" s="21">
        <f t="shared" si="38"/>
        <v>1172735.1199593705</v>
      </c>
      <c r="Z239" s="15">
        <f>IFERROR(INDEX(Cost_Components!$T$2:$T$27,MATCH(E239,Cost_Components!$A$2:$A$27,0)),"")</f>
        <v>0.8</v>
      </c>
      <c r="AA239" s="24">
        <f>IFERROR(INDEX(Cost_Components!$U$2:$U$27,MATCH(E239,Cost_Components!$A$2:$A$27,0)),"")</f>
        <v>2025</v>
      </c>
      <c r="AB239" s="24">
        <f>IFERROR(INDEX(Cost_Components!$V$2:$V$27,MATCH(E239,Cost_Components!$A$2:$A$27,0)),"")</f>
        <v>2050</v>
      </c>
      <c r="AC239" s="24">
        <f>IFERROR(INDEX(Cost_Components!$M$2:$M$27,MATCH(E239,Cost_Components!$A$2:$A$27,0)),"")</f>
        <v>30</v>
      </c>
      <c r="AD239" s="24">
        <f>IFERROR(INDEX(Cost_Components!$N$2:$N$27,MATCH(E239,Cost_Components!$A$2:$A$27,0)),"")</f>
        <v>95</v>
      </c>
      <c r="AE239" s="14" t="str">
        <f>IFERROR(INDEX(Cost_Components!$O$2:$O$27,MATCH(E239,Cost_Components!$A$2:$A$27,0)),"")</f>
        <v>Both</v>
      </c>
      <c r="AF239" s="11">
        <v>472178.72861513199</v>
      </c>
      <c r="AG239" s="11">
        <v>470103.874999244</v>
      </c>
      <c r="AH239" s="21">
        <f t="shared" si="39"/>
        <v>1</v>
      </c>
    </row>
    <row r="240" spans="1:34" hidden="1">
      <c r="A240" t="s">
        <v>197</v>
      </c>
      <c r="B240" s="18">
        <v>2029</v>
      </c>
      <c r="C240" t="s">
        <v>197</v>
      </c>
      <c r="D240" t="s">
        <v>163</v>
      </c>
      <c r="E240" s="20" t="s">
        <v>280</v>
      </c>
      <c r="F240" s="20" t="s">
        <v>281</v>
      </c>
      <c r="G240" s="20" t="s">
        <v>200</v>
      </c>
      <c r="H240" s="20" t="s">
        <v>192</v>
      </c>
      <c r="I240" s="20" t="s">
        <v>264</v>
      </c>
      <c r="J240" s="15">
        <f>IFERROR(INDEX(Cost_Components!$K$2:$K$27,MATCH(E240,Cost_Components!$A$2:$A$27,0)),"")</f>
        <v>1</v>
      </c>
      <c r="K240" s="15">
        <f t="shared" si="30"/>
        <v>0.40423076923076923</v>
      </c>
      <c r="L240" s="15">
        <f>IFERROR(INDEX(Cost_Components!$S$2:$S$27,MATCH(E240,Cost_Components!$A$2:$A$27,0)),"")</f>
        <v>0.31</v>
      </c>
      <c r="M240" s="26">
        <f>IFERROR(INDEX(Cost_Components!$L$2:$L$27,MATCH(E240,Cost_Components!$A$2:$A$27,0)),"")</f>
        <v>1</v>
      </c>
      <c r="N240" s="27">
        <f>IFERROR(INDEX(Cost_Components!$P$2:$P$27,MATCH(E240,Cost_Components!$A$2:$A$27,0)),"")</f>
        <v>35.362648999999998</v>
      </c>
      <c r="O240" s="21">
        <f t="shared" si="31"/>
        <v>487643.669326159</v>
      </c>
      <c r="P240" s="21">
        <f t="shared" si="32"/>
        <v>484660.27242354199</v>
      </c>
      <c r="Q240" s="21">
        <f t="shared" si="33"/>
        <v>5313050.0403670082</v>
      </c>
      <c r="R240" s="21">
        <f t="shared" si="34"/>
        <v>6970705.7242850503</v>
      </c>
      <c r="S240" s="21">
        <f t="shared" si="35"/>
        <v>1657655.6839180421</v>
      </c>
      <c r="T240" s="14">
        <f>IFERROR(INDEX(Cost_Components!$R$2:$R$27,MATCH(E240,Cost_Components!$A$2:$A$27,0)),"")</f>
        <v>1</v>
      </c>
      <c r="U240" s="24">
        <f>IFERROR(INDEX(Cost_Components!$Q$2:$Q$27,MATCH(E240,Cost_Components!$A$2:$A$27,0)),"")</f>
        <v>2023</v>
      </c>
      <c r="V240" s="28">
        <f>1/(1+Calculation_Assumptions!$B$5)^(B240-Calculation_Assumptions!$B$2)</f>
        <v>0.888487047915689</v>
      </c>
      <c r="W240" s="21">
        <f t="shared" si="36"/>
        <v>4720576.1457940154</v>
      </c>
      <c r="X240" s="21">
        <f t="shared" si="37"/>
        <v>6193381.7508590193</v>
      </c>
      <c r="Y240" s="21">
        <f t="shared" si="38"/>
        <v>1472805.6050650037</v>
      </c>
      <c r="Z240" s="15">
        <f>IFERROR(INDEX(Cost_Components!$T$2:$T$27,MATCH(E240,Cost_Components!$A$2:$A$27,0)),"")</f>
        <v>0.8</v>
      </c>
      <c r="AA240" s="24">
        <f>IFERROR(INDEX(Cost_Components!$U$2:$U$27,MATCH(E240,Cost_Components!$A$2:$A$27,0)),"")</f>
        <v>2025</v>
      </c>
      <c r="AB240" s="24">
        <f>IFERROR(INDEX(Cost_Components!$V$2:$V$27,MATCH(E240,Cost_Components!$A$2:$A$27,0)),"")</f>
        <v>2050</v>
      </c>
      <c r="AC240" s="24">
        <f>IFERROR(INDEX(Cost_Components!$M$2:$M$27,MATCH(E240,Cost_Components!$A$2:$A$27,0)),"")</f>
        <v>30</v>
      </c>
      <c r="AD240" s="24">
        <f>IFERROR(INDEX(Cost_Components!$N$2:$N$27,MATCH(E240,Cost_Components!$A$2:$A$27,0)),"")</f>
        <v>95</v>
      </c>
      <c r="AE240" s="14" t="str">
        <f>IFERROR(INDEX(Cost_Components!$O$2:$O$27,MATCH(E240,Cost_Components!$A$2:$A$27,0)),"")</f>
        <v>Both</v>
      </c>
      <c r="AF240" s="11">
        <v>487643.669326159</v>
      </c>
      <c r="AG240" s="11">
        <v>484660.27242354199</v>
      </c>
      <c r="AH240" s="21">
        <f t="shared" si="39"/>
        <v>1</v>
      </c>
    </row>
    <row r="241" spans="1:34" hidden="1">
      <c r="A241" t="s">
        <v>197</v>
      </c>
      <c r="B241" s="18">
        <v>2030</v>
      </c>
      <c r="C241" t="s">
        <v>197</v>
      </c>
      <c r="D241" t="s">
        <v>163</v>
      </c>
      <c r="E241" s="20" t="s">
        <v>280</v>
      </c>
      <c r="F241" s="20" t="s">
        <v>281</v>
      </c>
      <c r="G241" s="20" t="s">
        <v>200</v>
      </c>
      <c r="H241" s="20" t="s">
        <v>192</v>
      </c>
      <c r="I241" s="20" t="s">
        <v>264</v>
      </c>
      <c r="J241" s="15">
        <f>IFERROR(INDEX(Cost_Components!$K$2:$K$27,MATCH(E241,Cost_Components!$A$2:$A$27,0)),"")</f>
        <v>1</v>
      </c>
      <c r="K241" s="15">
        <f t="shared" si="30"/>
        <v>0.42307692307692307</v>
      </c>
      <c r="L241" s="15">
        <f>IFERROR(INDEX(Cost_Components!$S$2:$S$27,MATCH(E241,Cost_Components!$A$2:$A$27,0)),"")</f>
        <v>0.31</v>
      </c>
      <c r="M241" s="26">
        <f>IFERROR(INDEX(Cost_Components!$L$2:$L$27,MATCH(E241,Cost_Components!$A$2:$A$27,0)),"")</f>
        <v>1</v>
      </c>
      <c r="N241" s="27">
        <f>IFERROR(INDEX(Cost_Components!$P$2:$P$27,MATCH(E241,Cost_Components!$A$2:$A$27,0)),"")</f>
        <v>35.362648999999998</v>
      </c>
      <c r="O241" s="21">
        <f t="shared" si="31"/>
        <v>503502.59075246297</v>
      </c>
      <c r="P241" s="21">
        <f t="shared" si="32"/>
        <v>499481.64335301798</v>
      </c>
      <c r="Q241" s="21">
        <f t="shared" si="33"/>
        <v>5475528.1511091469</v>
      </c>
      <c r="R241" s="21">
        <f t="shared" si="34"/>
        <v>7532963.0485026892</v>
      </c>
      <c r="S241" s="21">
        <f t="shared" si="35"/>
        <v>2057434.8973935423</v>
      </c>
      <c r="T241" s="14">
        <f>IFERROR(INDEX(Cost_Components!$R$2:$R$27,MATCH(E241,Cost_Components!$A$2:$A$27,0)),"")</f>
        <v>1</v>
      </c>
      <c r="U241" s="24">
        <f>IFERROR(INDEX(Cost_Components!$Q$2:$Q$27,MATCH(E241,Cost_Components!$A$2:$A$27,0)),"")</f>
        <v>2023</v>
      </c>
      <c r="V241" s="28">
        <f>1/(1+Calculation_Assumptions!$B$5)^(B241-Calculation_Assumptions!$B$2)</f>
        <v>0.86260878438416411</v>
      </c>
      <c r="W241" s="21">
        <f t="shared" si="36"/>
        <v>4723238.6822895305</v>
      </c>
      <c r="X241" s="21">
        <f t="shared" si="37"/>
        <v>6498000.0980797317</v>
      </c>
      <c r="Y241" s="21">
        <f t="shared" si="38"/>
        <v>1774761.4157902009</v>
      </c>
      <c r="Z241" s="15">
        <f>IFERROR(INDEX(Cost_Components!$T$2:$T$27,MATCH(E241,Cost_Components!$A$2:$A$27,0)),"")</f>
        <v>0.8</v>
      </c>
      <c r="AA241" s="24">
        <f>IFERROR(INDEX(Cost_Components!$U$2:$U$27,MATCH(E241,Cost_Components!$A$2:$A$27,0)),"")</f>
        <v>2025</v>
      </c>
      <c r="AB241" s="24">
        <f>IFERROR(INDEX(Cost_Components!$V$2:$V$27,MATCH(E241,Cost_Components!$A$2:$A$27,0)),"")</f>
        <v>2050</v>
      </c>
      <c r="AC241" s="24">
        <f>IFERROR(INDEX(Cost_Components!$M$2:$M$27,MATCH(E241,Cost_Components!$A$2:$A$27,0)),"")</f>
        <v>30</v>
      </c>
      <c r="AD241" s="24">
        <f>IFERROR(INDEX(Cost_Components!$N$2:$N$27,MATCH(E241,Cost_Components!$A$2:$A$27,0)),"")</f>
        <v>95</v>
      </c>
      <c r="AE241" s="14" t="str">
        <f>IFERROR(INDEX(Cost_Components!$O$2:$O$27,MATCH(E241,Cost_Components!$A$2:$A$27,0)),"")</f>
        <v>Both</v>
      </c>
      <c r="AF241" s="11">
        <v>503502.59075246297</v>
      </c>
      <c r="AG241" s="11">
        <v>499481.64335301798</v>
      </c>
      <c r="AH241" s="21">
        <f t="shared" si="39"/>
        <v>1</v>
      </c>
    </row>
    <row r="242" spans="1:34" hidden="1">
      <c r="A242" t="s">
        <v>197</v>
      </c>
      <c r="B242" s="18">
        <v>2031</v>
      </c>
      <c r="C242" t="s">
        <v>197</v>
      </c>
      <c r="D242" t="s">
        <v>163</v>
      </c>
      <c r="E242" s="20" t="s">
        <v>280</v>
      </c>
      <c r="F242" s="20" t="s">
        <v>281</v>
      </c>
      <c r="G242" s="20" t="s">
        <v>200</v>
      </c>
      <c r="H242" s="20" t="s">
        <v>192</v>
      </c>
      <c r="I242" s="20" t="s">
        <v>264</v>
      </c>
      <c r="J242" s="15">
        <f>IFERROR(INDEX(Cost_Components!$K$2:$K$27,MATCH(E242,Cost_Components!$A$2:$A$27,0)),"")</f>
        <v>1</v>
      </c>
      <c r="K242" s="15">
        <f t="shared" si="30"/>
        <v>0.44192307692307692</v>
      </c>
      <c r="L242" s="15">
        <f>IFERROR(INDEX(Cost_Components!$S$2:$S$27,MATCH(E242,Cost_Components!$A$2:$A$27,0)),"")</f>
        <v>0.31</v>
      </c>
      <c r="M242" s="26">
        <f>IFERROR(INDEX(Cost_Components!$L$2:$L$27,MATCH(E242,Cost_Components!$A$2:$A$27,0)),"")</f>
        <v>1</v>
      </c>
      <c r="N242" s="27">
        <f>IFERROR(INDEX(Cost_Components!$P$2:$P$27,MATCH(E242,Cost_Components!$A$2:$A$27,0)),"")</f>
        <v>35.362648999999998</v>
      </c>
      <c r="O242" s="21">
        <f t="shared" si="31"/>
        <v>519674.057876545</v>
      </c>
      <c r="P242" s="21">
        <f t="shared" si="32"/>
        <v>514493.02589405101</v>
      </c>
      <c r="Q242" s="21">
        <f t="shared" si="33"/>
        <v>5640089.2491681632</v>
      </c>
      <c r="R242" s="21">
        <f t="shared" si="34"/>
        <v>8121243.056636516</v>
      </c>
      <c r="S242" s="21">
        <f t="shared" si="35"/>
        <v>2481153.8074683528</v>
      </c>
      <c r="T242" s="14">
        <f>IFERROR(INDEX(Cost_Components!$R$2:$R$27,MATCH(E242,Cost_Components!$A$2:$A$27,0)),"")</f>
        <v>1</v>
      </c>
      <c r="U242" s="24">
        <f>IFERROR(INDEX(Cost_Components!$Q$2:$Q$27,MATCH(E242,Cost_Components!$A$2:$A$27,0)),"")</f>
        <v>2023</v>
      </c>
      <c r="V242" s="28">
        <f>1/(1+Calculation_Assumptions!$B$5)^(B242-Calculation_Assumptions!$B$2)</f>
        <v>0.83748425668365445</v>
      </c>
      <c r="W242" s="21">
        <f t="shared" si="36"/>
        <v>4723485.9524690695</v>
      </c>
      <c r="X242" s="21">
        <f t="shared" si="37"/>
        <v>6801413.2046345221</v>
      </c>
      <c r="Y242" s="21">
        <f t="shared" si="38"/>
        <v>2077927.2521654526</v>
      </c>
      <c r="Z242" s="15">
        <f>IFERROR(INDEX(Cost_Components!$T$2:$T$27,MATCH(E242,Cost_Components!$A$2:$A$27,0)),"")</f>
        <v>0.8</v>
      </c>
      <c r="AA242" s="24">
        <f>IFERROR(INDEX(Cost_Components!$U$2:$U$27,MATCH(E242,Cost_Components!$A$2:$A$27,0)),"")</f>
        <v>2025</v>
      </c>
      <c r="AB242" s="24">
        <f>IFERROR(INDEX(Cost_Components!$V$2:$V$27,MATCH(E242,Cost_Components!$A$2:$A$27,0)),"")</f>
        <v>2050</v>
      </c>
      <c r="AC242" s="24">
        <f>IFERROR(INDEX(Cost_Components!$M$2:$M$27,MATCH(E242,Cost_Components!$A$2:$A$27,0)),"")</f>
        <v>30</v>
      </c>
      <c r="AD242" s="24">
        <f>IFERROR(INDEX(Cost_Components!$N$2:$N$27,MATCH(E242,Cost_Components!$A$2:$A$27,0)),"")</f>
        <v>95</v>
      </c>
      <c r="AE242" s="14" t="str">
        <f>IFERROR(INDEX(Cost_Components!$O$2:$O$27,MATCH(E242,Cost_Components!$A$2:$A$27,0)),"")</f>
        <v>Both</v>
      </c>
      <c r="AF242" s="11">
        <v>519674.057876545</v>
      </c>
      <c r="AG242" s="11">
        <v>514493.02589405101</v>
      </c>
      <c r="AH242" s="21">
        <f t="shared" si="39"/>
        <v>1</v>
      </c>
    </row>
    <row r="243" spans="1:34" hidden="1">
      <c r="A243" t="s">
        <v>197</v>
      </c>
      <c r="B243" s="18">
        <v>2032</v>
      </c>
      <c r="C243" t="s">
        <v>197</v>
      </c>
      <c r="D243" t="s">
        <v>163</v>
      </c>
      <c r="E243" s="20" t="s">
        <v>280</v>
      </c>
      <c r="F243" s="20" t="s">
        <v>281</v>
      </c>
      <c r="G243" s="20" t="s">
        <v>200</v>
      </c>
      <c r="H243" s="20" t="s">
        <v>192</v>
      </c>
      <c r="I243" s="20" t="s">
        <v>264</v>
      </c>
      <c r="J243" s="15">
        <f>IFERROR(INDEX(Cost_Components!$K$2:$K$27,MATCH(E243,Cost_Components!$A$2:$A$27,0)),"")</f>
        <v>1</v>
      </c>
      <c r="K243" s="15">
        <f t="shared" si="30"/>
        <v>0.46076923076923082</v>
      </c>
      <c r="L243" s="15">
        <f>IFERROR(INDEX(Cost_Components!$S$2:$S$27,MATCH(E243,Cost_Components!$A$2:$A$27,0)),"")</f>
        <v>0.31</v>
      </c>
      <c r="M243" s="26">
        <f>IFERROR(INDEX(Cost_Components!$L$2:$L$27,MATCH(E243,Cost_Components!$A$2:$A$27,0)),"")</f>
        <v>1</v>
      </c>
      <c r="N243" s="27">
        <f>IFERROR(INDEX(Cost_Components!$P$2:$P$27,MATCH(E243,Cost_Components!$A$2:$A$27,0)),"")</f>
        <v>35.362648999999998</v>
      </c>
      <c r="O243" s="21">
        <f t="shared" si="31"/>
        <v>536089.580709378</v>
      </c>
      <c r="P243" s="21">
        <f t="shared" si="32"/>
        <v>529631.54154831904</v>
      </c>
      <c r="Q243" s="21">
        <f t="shared" si="33"/>
        <v>5806044.0339616574</v>
      </c>
      <c r="R243" s="21">
        <f t="shared" si="34"/>
        <v>8735054.6595650464</v>
      </c>
      <c r="S243" s="21">
        <f t="shared" si="35"/>
        <v>2929010.625603389</v>
      </c>
      <c r="T243" s="14">
        <f>IFERROR(INDEX(Cost_Components!$R$2:$R$27,MATCH(E243,Cost_Components!$A$2:$A$27,0)),"")</f>
        <v>1</v>
      </c>
      <c r="U243" s="24">
        <f>IFERROR(INDEX(Cost_Components!$Q$2:$Q$27,MATCH(E243,Cost_Components!$A$2:$A$27,0)),"")</f>
        <v>2023</v>
      </c>
      <c r="V243" s="28">
        <f>1/(1+Calculation_Assumptions!$B$5)^(B243-Calculation_Assumptions!$B$2)</f>
        <v>0.81309151134335378</v>
      </c>
      <c r="W243" s="21">
        <f t="shared" si="36"/>
        <v>4720845.1184999468</v>
      </c>
      <c r="X243" s="21">
        <f t="shared" si="37"/>
        <v>7102398.794812548</v>
      </c>
      <c r="Y243" s="21">
        <f t="shared" si="38"/>
        <v>2381553.6763126017</v>
      </c>
      <c r="Z243" s="15">
        <f>IFERROR(INDEX(Cost_Components!$T$2:$T$27,MATCH(E243,Cost_Components!$A$2:$A$27,0)),"")</f>
        <v>0.8</v>
      </c>
      <c r="AA243" s="24">
        <f>IFERROR(INDEX(Cost_Components!$U$2:$U$27,MATCH(E243,Cost_Components!$A$2:$A$27,0)),"")</f>
        <v>2025</v>
      </c>
      <c r="AB243" s="24">
        <f>IFERROR(INDEX(Cost_Components!$V$2:$V$27,MATCH(E243,Cost_Components!$A$2:$A$27,0)),"")</f>
        <v>2050</v>
      </c>
      <c r="AC243" s="24">
        <f>IFERROR(INDEX(Cost_Components!$M$2:$M$27,MATCH(E243,Cost_Components!$A$2:$A$27,0)),"")</f>
        <v>30</v>
      </c>
      <c r="AD243" s="24">
        <f>IFERROR(INDEX(Cost_Components!$N$2:$N$27,MATCH(E243,Cost_Components!$A$2:$A$27,0)),"")</f>
        <v>95</v>
      </c>
      <c r="AE243" s="14" t="str">
        <f>IFERROR(INDEX(Cost_Components!$O$2:$O$27,MATCH(E243,Cost_Components!$A$2:$A$27,0)),"")</f>
        <v>Both</v>
      </c>
      <c r="AF243" s="11">
        <v>536089.580709378</v>
      </c>
      <c r="AG243" s="11">
        <v>529631.54154831904</v>
      </c>
      <c r="AH243" s="21">
        <f t="shared" si="39"/>
        <v>1</v>
      </c>
    </row>
    <row r="244" spans="1:34" hidden="1">
      <c r="A244" t="s">
        <v>197</v>
      </c>
      <c r="B244" s="18">
        <v>2033</v>
      </c>
      <c r="C244" t="s">
        <v>197</v>
      </c>
      <c r="D244" t="s">
        <v>163</v>
      </c>
      <c r="E244" s="20" t="s">
        <v>280</v>
      </c>
      <c r="F244" s="20" t="s">
        <v>281</v>
      </c>
      <c r="G244" s="20" t="s">
        <v>200</v>
      </c>
      <c r="H244" s="20" t="s">
        <v>192</v>
      </c>
      <c r="I244" s="20" t="s">
        <v>264</v>
      </c>
      <c r="J244" s="15">
        <f>IFERROR(INDEX(Cost_Components!$K$2:$K$27,MATCH(E244,Cost_Components!$A$2:$A$27,0)),"")</f>
        <v>1</v>
      </c>
      <c r="K244" s="15">
        <f t="shared" si="30"/>
        <v>0.47961538461538467</v>
      </c>
      <c r="L244" s="15">
        <f>IFERROR(INDEX(Cost_Components!$S$2:$S$27,MATCH(E244,Cost_Components!$A$2:$A$27,0)),"")</f>
        <v>0.31</v>
      </c>
      <c r="M244" s="26">
        <f>IFERROR(INDEX(Cost_Components!$L$2:$L$27,MATCH(E244,Cost_Components!$A$2:$A$27,0)),"")</f>
        <v>1</v>
      </c>
      <c r="N244" s="27">
        <f>IFERROR(INDEX(Cost_Components!$P$2:$P$27,MATCH(E244,Cost_Components!$A$2:$A$27,0)),"")</f>
        <v>35.362648999999998</v>
      </c>
      <c r="O244" s="21">
        <f t="shared" si="31"/>
        <v>552688.68727848097</v>
      </c>
      <c r="P244" s="21">
        <f t="shared" si="32"/>
        <v>544842.74626271694</v>
      </c>
      <c r="Q244" s="21">
        <f t="shared" si="33"/>
        <v>5972795.6668482013</v>
      </c>
      <c r="R244" s="21">
        <f t="shared" si="34"/>
        <v>9373860.1769081205</v>
      </c>
      <c r="S244" s="21">
        <f t="shared" si="35"/>
        <v>3401064.5100599192</v>
      </c>
      <c r="T244" s="14">
        <f>IFERROR(INDEX(Cost_Components!$R$2:$R$27,MATCH(E244,Cost_Components!$A$2:$A$27,0)),"")</f>
        <v>1</v>
      </c>
      <c r="U244" s="24">
        <f>IFERROR(INDEX(Cost_Components!$Q$2:$Q$27,MATCH(E244,Cost_Components!$A$2:$A$27,0)),"")</f>
        <v>2023</v>
      </c>
      <c r="V244" s="28">
        <f>1/(1+Calculation_Assumptions!$B$5)^(B244-Calculation_Assumptions!$B$2)</f>
        <v>0.78940923431393573</v>
      </c>
      <c r="W244" s="21">
        <f t="shared" si="36"/>
        <v>4714980.054080232</v>
      </c>
      <c r="X244" s="21">
        <f t="shared" si="37"/>
        <v>7399811.7848189333</v>
      </c>
      <c r="Y244" s="21">
        <f t="shared" si="38"/>
        <v>2684831.7307387018</v>
      </c>
      <c r="Z244" s="15">
        <f>IFERROR(INDEX(Cost_Components!$T$2:$T$27,MATCH(E244,Cost_Components!$A$2:$A$27,0)),"")</f>
        <v>0.8</v>
      </c>
      <c r="AA244" s="24">
        <f>IFERROR(INDEX(Cost_Components!$U$2:$U$27,MATCH(E244,Cost_Components!$A$2:$A$27,0)),"")</f>
        <v>2025</v>
      </c>
      <c r="AB244" s="24">
        <f>IFERROR(INDEX(Cost_Components!$V$2:$V$27,MATCH(E244,Cost_Components!$A$2:$A$27,0)),"")</f>
        <v>2050</v>
      </c>
      <c r="AC244" s="24">
        <f>IFERROR(INDEX(Cost_Components!$M$2:$M$27,MATCH(E244,Cost_Components!$A$2:$A$27,0)),"")</f>
        <v>30</v>
      </c>
      <c r="AD244" s="24">
        <f>IFERROR(INDEX(Cost_Components!$N$2:$N$27,MATCH(E244,Cost_Components!$A$2:$A$27,0)),"")</f>
        <v>95</v>
      </c>
      <c r="AE244" s="14" t="str">
        <f>IFERROR(INDEX(Cost_Components!$O$2:$O$27,MATCH(E244,Cost_Components!$A$2:$A$27,0)),"")</f>
        <v>Both</v>
      </c>
      <c r="AF244" s="11">
        <v>552688.68727848097</v>
      </c>
      <c r="AG244" s="11">
        <v>544842.74626271694</v>
      </c>
      <c r="AH244" s="21">
        <f t="shared" si="39"/>
        <v>1</v>
      </c>
    </row>
    <row r="245" spans="1:34" hidden="1">
      <c r="A245" t="s">
        <v>197</v>
      </c>
      <c r="B245" s="18">
        <v>2034</v>
      </c>
      <c r="C245" t="s">
        <v>197</v>
      </c>
      <c r="D245" t="s">
        <v>163</v>
      </c>
      <c r="E245" s="20" t="s">
        <v>280</v>
      </c>
      <c r="F245" s="20" t="s">
        <v>281</v>
      </c>
      <c r="G245" s="20" t="s">
        <v>200</v>
      </c>
      <c r="H245" s="20" t="s">
        <v>192</v>
      </c>
      <c r="I245" s="20" t="s">
        <v>264</v>
      </c>
      <c r="J245" s="15">
        <f>IFERROR(INDEX(Cost_Components!$K$2:$K$27,MATCH(E245,Cost_Components!$A$2:$A$27,0)),"")</f>
        <v>1</v>
      </c>
      <c r="K245" s="15">
        <f t="shared" si="30"/>
        <v>0.49846153846153851</v>
      </c>
      <c r="L245" s="15">
        <f>IFERROR(INDEX(Cost_Components!$S$2:$S$27,MATCH(E245,Cost_Components!$A$2:$A$27,0)),"")</f>
        <v>0.31</v>
      </c>
      <c r="M245" s="26">
        <f>IFERROR(INDEX(Cost_Components!$L$2:$L$27,MATCH(E245,Cost_Components!$A$2:$A$27,0)),"")</f>
        <v>1</v>
      </c>
      <c r="N245" s="27">
        <f>IFERROR(INDEX(Cost_Components!$P$2:$P$27,MATCH(E245,Cost_Components!$A$2:$A$27,0)),"")</f>
        <v>35.362648999999998</v>
      </c>
      <c r="O245" s="21">
        <f t="shared" si="31"/>
        <v>569419.38078536501</v>
      </c>
      <c r="P245" s="21">
        <f t="shared" si="32"/>
        <v>560079.98664797004</v>
      </c>
      <c r="Q245" s="21">
        <f t="shared" si="33"/>
        <v>6139832.7137246234</v>
      </c>
      <c r="R245" s="21">
        <f t="shared" si="34"/>
        <v>10037110.113337396</v>
      </c>
      <c r="S245" s="21">
        <f t="shared" si="35"/>
        <v>3897277.3996127723</v>
      </c>
      <c r="T245" s="14">
        <f>IFERROR(INDEX(Cost_Components!$R$2:$R$27,MATCH(E245,Cost_Components!$A$2:$A$27,0)),"")</f>
        <v>1</v>
      </c>
      <c r="U245" s="24">
        <f>IFERROR(INDEX(Cost_Components!$Q$2:$Q$27,MATCH(E245,Cost_Components!$A$2:$A$27,0)),"")</f>
        <v>2023</v>
      </c>
      <c r="V245" s="28">
        <f>1/(1+Calculation_Assumptions!$B$5)^(B245-Calculation_Assumptions!$B$2)</f>
        <v>0.76641673234362695</v>
      </c>
      <c r="W245" s="21">
        <f t="shared" si="36"/>
        <v>4705670.5255893292</v>
      </c>
      <c r="X245" s="21">
        <f t="shared" si="37"/>
        <v>7692609.1352372179</v>
      </c>
      <c r="Y245" s="21">
        <f t="shared" si="38"/>
        <v>2986938.6096478887</v>
      </c>
      <c r="Z245" s="15">
        <f>IFERROR(INDEX(Cost_Components!$T$2:$T$27,MATCH(E245,Cost_Components!$A$2:$A$27,0)),"")</f>
        <v>0.8</v>
      </c>
      <c r="AA245" s="24">
        <f>IFERROR(INDEX(Cost_Components!$U$2:$U$27,MATCH(E245,Cost_Components!$A$2:$A$27,0)),"")</f>
        <v>2025</v>
      </c>
      <c r="AB245" s="24">
        <f>IFERROR(INDEX(Cost_Components!$V$2:$V$27,MATCH(E245,Cost_Components!$A$2:$A$27,0)),"")</f>
        <v>2050</v>
      </c>
      <c r="AC245" s="24">
        <f>IFERROR(INDEX(Cost_Components!$M$2:$M$27,MATCH(E245,Cost_Components!$A$2:$A$27,0)),"")</f>
        <v>30</v>
      </c>
      <c r="AD245" s="24">
        <f>IFERROR(INDEX(Cost_Components!$N$2:$N$27,MATCH(E245,Cost_Components!$A$2:$A$27,0)),"")</f>
        <v>95</v>
      </c>
      <c r="AE245" s="14" t="str">
        <f>IFERROR(INDEX(Cost_Components!$O$2:$O$27,MATCH(E245,Cost_Components!$A$2:$A$27,0)),"")</f>
        <v>Both</v>
      </c>
      <c r="AF245" s="11">
        <v>569419.38078536501</v>
      </c>
      <c r="AG245" s="11">
        <v>560079.98664797004</v>
      </c>
      <c r="AH245" s="21">
        <f t="shared" si="39"/>
        <v>1</v>
      </c>
    </row>
    <row r="246" spans="1:34" hidden="1">
      <c r="A246" t="s">
        <v>197</v>
      </c>
      <c r="B246" s="18">
        <v>2035</v>
      </c>
      <c r="C246" t="s">
        <v>197</v>
      </c>
      <c r="D246" t="s">
        <v>163</v>
      </c>
      <c r="E246" s="20" t="s">
        <v>280</v>
      </c>
      <c r="F246" s="20" t="s">
        <v>281</v>
      </c>
      <c r="G246" s="20" t="s">
        <v>200</v>
      </c>
      <c r="H246" s="20" t="s">
        <v>192</v>
      </c>
      <c r="I246" s="20" t="s">
        <v>264</v>
      </c>
      <c r="J246" s="15">
        <f>IFERROR(INDEX(Cost_Components!$K$2:$K$27,MATCH(E246,Cost_Components!$A$2:$A$27,0)),"")</f>
        <v>1</v>
      </c>
      <c r="K246" s="15">
        <f t="shared" si="30"/>
        <v>0.51730769230769236</v>
      </c>
      <c r="L246" s="15">
        <f>IFERROR(INDEX(Cost_Components!$S$2:$S$27,MATCH(E246,Cost_Components!$A$2:$A$27,0)),"")</f>
        <v>0.31</v>
      </c>
      <c r="M246" s="26">
        <f>IFERROR(INDEX(Cost_Components!$L$2:$L$27,MATCH(E246,Cost_Components!$A$2:$A$27,0)),"")</f>
        <v>1</v>
      </c>
      <c r="N246" s="27">
        <f>IFERROR(INDEX(Cost_Components!$P$2:$P$27,MATCH(E246,Cost_Components!$A$2:$A$27,0)),"")</f>
        <v>35.362648999999998</v>
      </c>
      <c r="O246" s="21">
        <f t="shared" si="31"/>
        <v>586232.995476924</v>
      </c>
      <c r="P246" s="21">
        <f t="shared" si="32"/>
        <v>575299.57749410998</v>
      </c>
      <c r="Q246" s="21">
        <f t="shared" si="33"/>
        <v>6306676.2789194779</v>
      </c>
      <c r="R246" s="21">
        <f t="shared" si="34"/>
        <v>10724177.296521874</v>
      </c>
      <c r="S246" s="21">
        <f t="shared" si="35"/>
        <v>4417501.0176023962</v>
      </c>
      <c r="T246" s="14">
        <f>IFERROR(INDEX(Cost_Components!$R$2:$R$27,MATCH(E246,Cost_Components!$A$2:$A$27,0)),"")</f>
        <v>1</v>
      </c>
      <c r="U246" s="24">
        <f>IFERROR(INDEX(Cost_Components!$Q$2:$Q$27,MATCH(E246,Cost_Components!$A$2:$A$27,0)),"")</f>
        <v>2023</v>
      </c>
      <c r="V246" s="28">
        <f>1/(1+Calculation_Assumptions!$B$5)^(B246-Calculation_Assumptions!$B$2)</f>
        <v>0.74409391489672516</v>
      </c>
      <c r="W246" s="21">
        <f t="shared" si="36"/>
        <v>4692759.4423675053</v>
      </c>
      <c r="X246" s="21">
        <f t="shared" si="37"/>
        <v>7979795.0686155399</v>
      </c>
      <c r="Y246" s="21">
        <f t="shared" si="38"/>
        <v>3287035.6262480342</v>
      </c>
      <c r="Z246" s="15">
        <f>IFERROR(INDEX(Cost_Components!$T$2:$T$27,MATCH(E246,Cost_Components!$A$2:$A$27,0)),"")</f>
        <v>0.8</v>
      </c>
      <c r="AA246" s="24">
        <f>IFERROR(INDEX(Cost_Components!$U$2:$U$27,MATCH(E246,Cost_Components!$A$2:$A$27,0)),"")</f>
        <v>2025</v>
      </c>
      <c r="AB246" s="24">
        <f>IFERROR(INDEX(Cost_Components!$V$2:$V$27,MATCH(E246,Cost_Components!$A$2:$A$27,0)),"")</f>
        <v>2050</v>
      </c>
      <c r="AC246" s="24">
        <f>IFERROR(INDEX(Cost_Components!$M$2:$M$27,MATCH(E246,Cost_Components!$A$2:$A$27,0)),"")</f>
        <v>30</v>
      </c>
      <c r="AD246" s="24">
        <f>IFERROR(INDEX(Cost_Components!$N$2:$N$27,MATCH(E246,Cost_Components!$A$2:$A$27,0)),"")</f>
        <v>95</v>
      </c>
      <c r="AE246" s="14" t="str">
        <f>IFERROR(INDEX(Cost_Components!$O$2:$O$27,MATCH(E246,Cost_Components!$A$2:$A$27,0)),"")</f>
        <v>Both</v>
      </c>
      <c r="AF246" s="11">
        <v>586232.995476924</v>
      </c>
      <c r="AG246" s="11">
        <v>575299.57749410998</v>
      </c>
      <c r="AH246" s="21">
        <f t="shared" si="39"/>
        <v>1</v>
      </c>
    </row>
    <row r="247" spans="1:34" hidden="1">
      <c r="A247" t="s">
        <v>197</v>
      </c>
      <c r="B247" s="18">
        <v>2036</v>
      </c>
      <c r="C247" t="s">
        <v>197</v>
      </c>
      <c r="D247" t="s">
        <v>163</v>
      </c>
      <c r="E247" s="20" t="s">
        <v>280</v>
      </c>
      <c r="F247" s="20" t="s">
        <v>281</v>
      </c>
      <c r="G247" s="20" t="s">
        <v>200</v>
      </c>
      <c r="H247" s="20" t="s">
        <v>192</v>
      </c>
      <c r="I247" s="20" t="s">
        <v>264</v>
      </c>
      <c r="J247" s="15">
        <f>IFERROR(INDEX(Cost_Components!$K$2:$K$27,MATCH(E247,Cost_Components!$A$2:$A$27,0)),"")</f>
        <v>1</v>
      </c>
      <c r="K247" s="15">
        <f t="shared" si="30"/>
        <v>0.5361538461538462</v>
      </c>
      <c r="L247" s="15">
        <f>IFERROR(INDEX(Cost_Components!$S$2:$S$27,MATCH(E247,Cost_Components!$A$2:$A$27,0)),"")</f>
        <v>0.31</v>
      </c>
      <c r="M247" s="26">
        <f>IFERROR(INDEX(Cost_Components!$L$2:$L$27,MATCH(E247,Cost_Components!$A$2:$A$27,0)),"")</f>
        <v>1</v>
      </c>
      <c r="N247" s="27">
        <f>IFERROR(INDEX(Cost_Components!$P$2:$P$27,MATCH(E247,Cost_Components!$A$2:$A$27,0)),"")</f>
        <v>35.362648999999998</v>
      </c>
      <c r="O247" s="21">
        <f t="shared" si="31"/>
        <v>603114.25390107499</v>
      </c>
      <c r="P247" s="21">
        <f t="shared" si="32"/>
        <v>590491.081081404</v>
      </c>
      <c r="Q247" s="21">
        <f t="shared" si="33"/>
        <v>6473211.9397527911</v>
      </c>
      <c r="R247" s="21">
        <f t="shared" si="34"/>
        <v>11434937.857167395</v>
      </c>
      <c r="S247" s="21">
        <f t="shared" si="35"/>
        <v>4961725.9174146038</v>
      </c>
      <c r="T247" s="14">
        <f>IFERROR(INDEX(Cost_Components!$R$2:$R$27,MATCH(E247,Cost_Components!$A$2:$A$27,0)),"")</f>
        <v>1</v>
      </c>
      <c r="U247" s="24">
        <f>IFERROR(INDEX(Cost_Components!$Q$2:$Q$27,MATCH(E247,Cost_Components!$A$2:$A$27,0)),"")</f>
        <v>2023</v>
      </c>
      <c r="V247" s="28">
        <f>1/(1+Calculation_Assumptions!$B$5)^(B247-Calculation_Assumptions!$B$2)</f>
        <v>0.72242127659876232</v>
      </c>
      <c r="W247" s="21">
        <f t="shared" si="36"/>
        <v>4676386.0332105616</v>
      </c>
      <c r="X247" s="21">
        <f t="shared" si="37"/>
        <v>8260842.4046023851</v>
      </c>
      <c r="Y247" s="21">
        <f t="shared" si="38"/>
        <v>3584456.371391823</v>
      </c>
      <c r="Z247" s="15">
        <f>IFERROR(INDEX(Cost_Components!$T$2:$T$27,MATCH(E247,Cost_Components!$A$2:$A$27,0)),"")</f>
        <v>0.8</v>
      </c>
      <c r="AA247" s="24">
        <f>IFERROR(INDEX(Cost_Components!$U$2:$U$27,MATCH(E247,Cost_Components!$A$2:$A$27,0)),"")</f>
        <v>2025</v>
      </c>
      <c r="AB247" s="24">
        <f>IFERROR(INDEX(Cost_Components!$V$2:$V$27,MATCH(E247,Cost_Components!$A$2:$A$27,0)),"")</f>
        <v>2050</v>
      </c>
      <c r="AC247" s="24">
        <f>IFERROR(INDEX(Cost_Components!$M$2:$M$27,MATCH(E247,Cost_Components!$A$2:$A$27,0)),"")</f>
        <v>30</v>
      </c>
      <c r="AD247" s="24">
        <f>IFERROR(INDEX(Cost_Components!$N$2:$N$27,MATCH(E247,Cost_Components!$A$2:$A$27,0)),"")</f>
        <v>95</v>
      </c>
      <c r="AE247" s="14" t="str">
        <f>IFERROR(INDEX(Cost_Components!$O$2:$O$27,MATCH(E247,Cost_Components!$A$2:$A$27,0)),"")</f>
        <v>Both</v>
      </c>
      <c r="AF247" s="11">
        <v>603114.25390107499</v>
      </c>
      <c r="AG247" s="11">
        <v>590491.081081404</v>
      </c>
      <c r="AH247" s="21">
        <f t="shared" si="39"/>
        <v>1</v>
      </c>
    </row>
    <row r="248" spans="1:34" hidden="1">
      <c r="A248" t="s">
        <v>197</v>
      </c>
      <c r="B248" s="18">
        <v>2037</v>
      </c>
      <c r="C248" t="s">
        <v>197</v>
      </c>
      <c r="D248" t="s">
        <v>163</v>
      </c>
      <c r="E248" s="20" t="s">
        <v>280</v>
      </c>
      <c r="F248" s="20" t="s">
        <v>281</v>
      </c>
      <c r="G248" s="20" t="s">
        <v>200</v>
      </c>
      <c r="H248" s="20" t="s">
        <v>192</v>
      </c>
      <c r="I248" s="20" t="s">
        <v>264</v>
      </c>
      <c r="J248" s="15">
        <f>IFERROR(INDEX(Cost_Components!$K$2:$K$27,MATCH(E248,Cost_Components!$A$2:$A$27,0)),"")</f>
        <v>1</v>
      </c>
      <c r="K248" s="15">
        <f t="shared" si="30"/>
        <v>0.55500000000000005</v>
      </c>
      <c r="L248" s="15">
        <f>IFERROR(INDEX(Cost_Components!$S$2:$S$27,MATCH(E248,Cost_Components!$A$2:$A$27,0)),"")</f>
        <v>0.31</v>
      </c>
      <c r="M248" s="26">
        <f>IFERROR(INDEX(Cost_Components!$L$2:$L$27,MATCH(E248,Cost_Components!$A$2:$A$27,0)),"")</f>
        <v>1</v>
      </c>
      <c r="N248" s="27">
        <f>IFERROR(INDEX(Cost_Components!$P$2:$P$27,MATCH(E248,Cost_Components!$A$2:$A$27,0)),"")</f>
        <v>35.362648999999998</v>
      </c>
      <c r="O248" s="21">
        <f t="shared" si="31"/>
        <v>620071.832697312</v>
      </c>
      <c r="P248" s="21">
        <f t="shared" si="32"/>
        <v>605668.09724968101</v>
      </c>
      <c r="Q248" s="21">
        <f t="shared" si="33"/>
        <v>6639588.7833968829</v>
      </c>
      <c r="R248" s="21">
        <f t="shared" si="34"/>
        <v>12169697.32882628</v>
      </c>
      <c r="S248" s="21">
        <f t="shared" si="35"/>
        <v>5530108.5454293974</v>
      </c>
      <c r="T248" s="14">
        <f>IFERROR(INDEX(Cost_Components!$R$2:$R$27,MATCH(E248,Cost_Components!$A$2:$A$27,0)),"")</f>
        <v>1</v>
      </c>
      <c r="U248" s="24">
        <f>IFERROR(INDEX(Cost_Components!$Q$2:$Q$27,MATCH(E248,Cost_Components!$A$2:$A$27,0)),"")</f>
        <v>2023</v>
      </c>
      <c r="V248" s="28">
        <f>1/(1+Calculation_Assumptions!$B$5)^(B248-Calculation_Assumptions!$B$2)</f>
        <v>0.70137988019297326</v>
      </c>
      <c r="W248" s="21">
        <f t="shared" si="36"/>
        <v>4656873.9854295151</v>
      </c>
      <c r="X248" s="21">
        <f t="shared" si="37"/>
        <v>8535580.8544769231</v>
      </c>
      <c r="Y248" s="21">
        <f t="shared" si="38"/>
        <v>3878706.8690474085</v>
      </c>
      <c r="Z248" s="15">
        <f>IFERROR(INDEX(Cost_Components!$T$2:$T$27,MATCH(E248,Cost_Components!$A$2:$A$27,0)),"")</f>
        <v>0.8</v>
      </c>
      <c r="AA248" s="24">
        <f>IFERROR(INDEX(Cost_Components!$U$2:$U$27,MATCH(E248,Cost_Components!$A$2:$A$27,0)),"")</f>
        <v>2025</v>
      </c>
      <c r="AB248" s="24">
        <f>IFERROR(INDEX(Cost_Components!$V$2:$V$27,MATCH(E248,Cost_Components!$A$2:$A$27,0)),"")</f>
        <v>2050</v>
      </c>
      <c r="AC248" s="24">
        <f>IFERROR(INDEX(Cost_Components!$M$2:$M$27,MATCH(E248,Cost_Components!$A$2:$A$27,0)),"")</f>
        <v>30</v>
      </c>
      <c r="AD248" s="24">
        <f>IFERROR(INDEX(Cost_Components!$N$2:$N$27,MATCH(E248,Cost_Components!$A$2:$A$27,0)),"")</f>
        <v>95</v>
      </c>
      <c r="AE248" s="14" t="str">
        <f>IFERROR(INDEX(Cost_Components!$O$2:$O$27,MATCH(E248,Cost_Components!$A$2:$A$27,0)),"")</f>
        <v>Both</v>
      </c>
      <c r="AF248" s="11">
        <v>620071.832697312</v>
      </c>
      <c r="AG248" s="11">
        <v>605668.09724968101</v>
      </c>
      <c r="AH248" s="21">
        <f t="shared" si="39"/>
        <v>1</v>
      </c>
    </row>
    <row r="249" spans="1:34" hidden="1">
      <c r="A249" t="s">
        <v>197</v>
      </c>
      <c r="B249" s="18">
        <v>2038</v>
      </c>
      <c r="C249" t="s">
        <v>197</v>
      </c>
      <c r="D249" t="s">
        <v>163</v>
      </c>
      <c r="E249" s="20" t="s">
        <v>280</v>
      </c>
      <c r="F249" s="20" t="s">
        <v>281</v>
      </c>
      <c r="G249" s="20" t="s">
        <v>200</v>
      </c>
      <c r="H249" s="20" t="s">
        <v>192</v>
      </c>
      <c r="I249" s="20" t="s">
        <v>264</v>
      </c>
      <c r="J249" s="15">
        <f>IFERROR(INDEX(Cost_Components!$K$2:$K$27,MATCH(E249,Cost_Components!$A$2:$A$27,0)),"")</f>
        <v>1</v>
      </c>
      <c r="K249" s="15">
        <f t="shared" si="30"/>
        <v>0.57384615384615389</v>
      </c>
      <c r="L249" s="15">
        <f>IFERROR(INDEX(Cost_Components!$S$2:$S$27,MATCH(E249,Cost_Components!$A$2:$A$27,0)),"")</f>
        <v>0.31</v>
      </c>
      <c r="M249" s="26">
        <f>IFERROR(INDEX(Cost_Components!$L$2:$L$27,MATCH(E249,Cost_Components!$A$2:$A$27,0)),"")</f>
        <v>1</v>
      </c>
      <c r="N249" s="27">
        <f>IFERROR(INDEX(Cost_Components!$P$2:$P$27,MATCH(E249,Cost_Components!$A$2:$A$27,0)),"")</f>
        <v>35.362648999999998</v>
      </c>
      <c r="O249" s="21">
        <f t="shared" si="31"/>
        <v>637098.29062470503</v>
      </c>
      <c r="P249" s="21">
        <f t="shared" si="32"/>
        <v>620827.87243751495</v>
      </c>
      <c r="Q249" s="21">
        <f t="shared" si="33"/>
        <v>6805776.6241516294</v>
      </c>
      <c r="R249" s="21">
        <f t="shared" si="34"/>
        <v>12928457.299597409</v>
      </c>
      <c r="S249" s="21">
        <f t="shared" si="35"/>
        <v>6122680.6754457792</v>
      </c>
      <c r="T249" s="14">
        <f>IFERROR(INDEX(Cost_Components!$R$2:$R$27,MATCH(E249,Cost_Components!$A$2:$A$27,0)),"")</f>
        <v>1</v>
      </c>
      <c r="U249" s="24">
        <f>IFERROR(INDEX(Cost_Components!$Q$2:$Q$27,MATCH(E249,Cost_Components!$A$2:$A$27,0)),"")</f>
        <v>2023</v>
      </c>
      <c r="V249" s="28">
        <f>1/(1+Calculation_Assumptions!$B$5)^(B249-Calculation_Assumptions!$B$2)</f>
        <v>0.68095133999317792</v>
      </c>
      <c r="W249" s="21">
        <f t="shared" si="36"/>
        <v>4634402.711910299</v>
      </c>
      <c r="X249" s="21">
        <f t="shared" si="37"/>
        <v>8803650.3222054373</v>
      </c>
      <c r="Y249" s="21">
        <f t="shared" si="38"/>
        <v>4169247.6102951393</v>
      </c>
      <c r="Z249" s="15">
        <f>IFERROR(INDEX(Cost_Components!$T$2:$T$27,MATCH(E249,Cost_Components!$A$2:$A$27,0)),"")</f>
        <v>0.8</v>
      </c>
      <c r="AA249" s="24">
        <f>IFERROR(INDEX(Cost_Components!$U$2:$U$27,MATCH(E249,Cost_Components!$A$2:$A$27,0)),"")</f>
        <v>2025</v>
      </c>
      <c r="AB249" s="24">
        <f>IFERROR(INDEX(Cost_Components!$V$2:$V$27,MATCH(E249,Cost_Components!$A$2:$A$27,0)),"")</f>
        <v>2050</v>
      </c>
      <c r="AC249" s="24">
        <f>IFERROR(INDEX(Cost_Components!$M$2:$M$27,MATCH(E249,Cost_Components!$A$2:$A$27,0)),"")</f>
        <v>30</v>
      </c>
      <c r="AD249" s="24">
        <f>IFERROR(INDEX(Cost_Components!$N$2:$N$27,MATCH(E249,Cost_Components!$A$2:$A$27,0)),"")</f>
        <v>95</v>
      </c>
      <c r="AE249" s="14" t="str">
        <f>IFERROR(INDEX(Cost_Components!$O$2:$O$27,MATCH(E249,Cost_Components!$A$2:$A$27,0)),"")</f>
        <v>Both</v>
      </c>
      <c r="AF249" s="11">
        <v>637098.29062470503</v>
      </c>
      <c r="AG249" s="11">
        <v>620827.87243751495</v>
      </c>
      <c r="AH249" s="21">
        <f t="shared" si="39"/>
        <v>1</v>
      </c>
    </row>
    <row r="250" spans="1:34" hidden="1">
      <c r="A250" t="s">
        <v>197</v>
      </c>
      <c r="B250" s="18">
        <v>2039</v>
      </c>
      <c r="C250" t="s">
        <v>197</v>
      </c>
      <c r="D250" t="s">
        <v>163</v>
      </c>
      <c r="E250" s="20" t="s">
        <v>280</v>
      </c>
      <c r="F250" s="20" t="s">
        <v>281</v>
      </c>
      <c r="G250" s="20" t="s">
        <v>200</v>
      </c>
      <c r="H250" s="20" t="s">
        <v>192</v>
      </c>
      <c r="I250" s="20" t="s">
        <v>264</v>
      </c>
      <c r="J250" s="15">
        <f>IFERROR(INDEX(Cost_Components!$K$2:$K$27,MATCH(E250,Cost_Components!$A$2:$A$27,0)),"")</f>
        <v>1</v>
      </c>
      <c r="K250" s="15">
        <f t="shared" si="30"/>
        <v>0.59269230769230763</v>
      </c>
      <c r="L250" s="15">
        <f>IFERROR(INDEX(Cost_Components!$S$2:$S$27,MATCH(E250,Cost_Components!$A$2:$A$27,0)),"")</f>
        <v>0.31</v>
      </c>
      <c r="M250" s="26">
        <f>IFERROR(INDEX(Cost_Components!$L$2:$L$27,MATCH(E250,Cost_Components!$A$2:$A$27,0)),"")</f>
        <v>1</v>
      </c>
      <c r="N250" s="27">
        <f>IFERROR(INDEX(Cost_Components!$P$2:$P$27,MATCH(E250,Cost_Components!$A$2:$A$27,0)),"")</f>
        <v>35.362648999999998</v>
      </c>
      <c r="O250" s="21">
        <f t="shared" si="31"/>
        <v>654161.84820386698</v>
      </c>
      <c r="P250" s="21">
        <f t="shared" si="32"/>
        <v>635942.43695767794</v>
      </c>
      <c r="Q250" s="21">
        <f t="shared" si="33"/>
        <v>6971468.846525087</v>
      </c>
      <c r="R250" s="21">
        <f t="shared" si="34"/>
        <v>13710689.411443517</v>
      </c>
      <c r="S250" s="21">
        <f t="shared" si="35"/>
        <v>6739220.5649184296</v>
      </c>
      <c r="T250" s="14">
        <f>IFERROR(INDEX(Cost_Components!$R$2:$R$27,MATCH(E250,Cost_Components!$A$2:$A$27,0)),"")</f>
        <v>1</v>
      </c>
      <c r="U250" s="24">
        <f>IFERROR(INDEX(Cost_Components!$Q$2:$Q$27,MATCH(E250,Cost_Components!$A$2:$A$27,0)),"")</f>
        <v>2023</v>
      </c>
      <c r="V250" s="28">
        <f>1/(1+Calculation_Assumptions!$B$5)^(B250-Calculation_Assumptions!$B$2)</f>
        <v>0.66111780581861923</v>
      </c>
      <c r="W250" s="21">
        <f t="shared" si="36"/>
        <v>4608962.1871475261</v>
      </c>
      <c r="X250" s="21">
        <f t="shared" si="37"/>
        <v>9064380.8999541141</v>
      </c>
      <c r="Y250" s="21">
        <f t="shared" si="38"/>
        <v>4455418.712806588</v>
      </c>
      <c r="Z250" s="15">
        <f>IFERROR(INDEX(Cost_Components!$T$2:$T$27,MATCH(E250,Cost_Components!$A$2:$A$27,0)),"")</f>
        <v>0.8</v>
      </c>
      <c r="AA250" s="24">
        <f>IFERROR(INDEX(Cost_Components!$U$2:$U$27,MATCH(E250,Cost_Components!$A$2:$A$27,0)),"")</f>
        <v>2025</v>
      </c>
      <c r="AB250" s="24">
        <f>IFERROR(INDEX(Cost_Components!$V$2:$V$27,MATCH(E250,Cost_Components!$A$2:$A$27,0)),"")</f>
        <v>2050</v>
      </c>
      <c r="AC250" s="24">
        <f>IFERROR(INDEX(Cost_Components!$M$2:$M$27,MATCH(E250,Cost_Components!$A$2:$A$27,0)),"")</f>
        <v>30</v>
      </c>
      <c r="AD250" s="24">
        <f>IFERROR(INDEX(Cost_Components!$N$2:$N$27,MATCH(E250,Cost_Components!$A$2:$A$27,0)),"")</f>
        <v>95</v>
      </c>
      <c r="AE250" s="14" t="str">
        <f>IFERROR(INDEX(Cost_Components!$O$2:$O$27,MATCH(E250,Cost_Components!$A$2:$A$27,0)),"")</f>
        <v>Both</v>
      </c>
      <c r="AF250" s="11">
        <v>654161.84820386698</v>
      </c>
      <c r="AG250" s="11">
        <v>635942.43695767794</v>
      </c>
      <c r="AH250" s="21">
        <f t="shared" si="39"/>
        <v>1</v>
      </c>
    </row>
    <row r="251" spans="1:34" hidden="1">
      <c r="A251" t="s">
        <v>197</v>
      </c>
      <c r="B251" s="18">
        <v>2040</v>
      </c>
      <c r="C251" t="s">
        <v>197</v>
      </c>
      <c r="D251" t="s">
        <v>163</v>
      </c>
      <c r="E251" s="20" t="s">
        <v>280</v>
      </c>
      <c r="F251" s="20" t="s">
        <v>281</v>
      </c>
      <c r="G251" s="20" t="s">
        <v>200</v>
      </c>
      <c r="H251" s="20" t="s">
        <v>192</v>
      </c>
      <c r="I251" s="20" t="s">
        <v>264</v>
      </c>
      <c r="J251" s="15">
        <f>IFERROR(INDEX(Cost_Components!$K$2:$K$27,MATCH(E251,Cost_Components!$A$2:$A$27,0)),"")</f>
        <v>1</v>
      </c>
      <c r="K251" s="15">
        <f t="shared" si="30"/>
        <v>0.61153846153846159</v>
      </c>
      <c r="L251" s="15">
        <f>IFERROR(INDEX(Cost_Components!$S$2:$S$27,MATCH(E251,Cost_Components!$A$2:$A$27,0)),"")</f>
        <v>0.31</v>
      </c>
      <c r="M251" s="26">
        <f>IFERROR(INDEX(Cost_Components!$L$2:$L$27,MATCH(E251,Cost_Components!$A$2:$A$27,0)),"")</f>
        <v>1</v>
      </c>
      <c r="N251" s="27">
        <f>IFERROR(INDEX(Cost_Components!$P$2:$P$27,MATCH(E251,Cost_Components!$A$2:$A$27,0)),"")</f>
        <v>35.362648999999998</v>
      </c>
      <c r="O251" s="21">
        <f t="shared" si="31"/>
        <v>671242.44318536995</v>
      </c>
      <c r="P251" s="21">
        <f t="shared" si="32"/>
        <v>650996.15624901897</v>
      </c>
      <c r="Q251" s="21">
        <f t="shared" si="33"/>
        <v>7136494.0578727955</v>
      </c>
      <c r="R251" s="21">
        <f t="shared" si="34"/>
        <v>14516033.980963085</v>
      </c>
      <c r="S251" s="21">
        <f t="shared" si="35"/>
        <v>7379539.9230902893</v>
      </c>
      <c r="T251" s="14">
        <f>IFERROR(INDEX(Cost_Components!$R$2:$R$27,MATCH(E251,Cost_Components!$A$2:$A$27,0)),"")</f>
        <v>1</v>
      </c>
      <c r="U251" s="24">
        <f>IFERROR(INDEX(Cost_Components!$Q$2:$Q$27,MATCH(E251,Cost_Components!$A$2:$A$27,0)),"")</f>
        <v>2023</v>
      </c>
      <c r="V251" s="28">
        <f>1/(1+Calculation_Assumptions!$B$5)^(B251-Calculation_Assumptions!$B$2)</f>
        <v>0.64186194739671765</v>
      </c>
      <c r="W251" s="21">
        <f t="shared" si="36"/>
        <v>4580643.9735713359</v>
      </c>
      <c r="X251" s="21">
        <f t="shared" si="37"/>
        <v>9317289.839497894</v>
      </c>
      <c r="Y251" s="21">
        <f t="shared" si="38"/>
        <v>4736645.8659265572</v>
      </c>
      <c r="Z251" s="15">
        <f>IFERROR(INDEX(Cost_Components!$T$2:$T$27,MATCH(E251,Cost_Components!$A$2:$A$27,0)),"")</f>
        <v>0.8</v>
      </c>
      <c r="AA251" s="24">
        <f>IFERROR(INDEX(Cost_Components!$U$2:$U$27,MATCH(E251,Cost_Components!$A$2:$A$27,0)),"")</f>
        <v>2025</v>
      </c>
      <c r="AB251" s="24">
        <f>IFERROR(INDEX(Cost_Components!$V$2:$V$27,MATCH(E251,Cost_Components!$A$2:$A$27,0)),"")</f>
        <v>2050</v>
      </c>
      <c r="AC251" s="24">
        <f>IFERROR(INDEX(Cost_Components!$M$2:$M$27,MATCH(E251,Cost_Components!$A$2:$A$27,0)),"")</f>
        <v>30</v>
      </c>
      <c r="AD251" s="24">
        <f>IFERROR(INDEX(Cost_Components!$N$2:$N$27,MATCH(E251,Cost_Components!$A$2:$A$27,0)),"")</f>
        <v>95</v>
      </c>
      <c r="AE251" s="14" t="str">
        <f>IFERROR(INDEX(Cost_Components!$O$2:$O$27,MATCH(E251,Cost_Components!$A$2:$A$27,0)),"")</f>
        <v>Both</v>
      </c>
      <c r="AF251" s="11">
        <v>671242.44318536995</v>
      </c>
      <c r="AG251" s="11">
        <v>650996.15624901897</v>
      </c>
      <c r="AH251" s="21">
        <f t="shared" si="39"/>
        <v>1</v>
      </c>
    </row>
    <row r="252" spans="1:34" hidden="1">
      <c r="A252" t="s">
        <v>197</v>
      </c>
      <c r="B252" s="18">
        <v>2041</v>
      </c>
      <c r="C252" t="s">
        <v>197</v>
      </c>
      <c r="D252" t="s">
        <v>163</v>
      </c>
      <c r="E252" s="20" t="s">
        <v>280</v>
      </c>
      <c r="F252" s="20" t="s">
        <v>281</v>
      </c>
      <c r="G252" s="20" t="s">
        <v>200</v>
      </c>
      <c r="H252" s="20" t="s">
        <v>192</v>
      </c>
      <c r="I252" s="20" t="s">
        <v>264</v>
      </c>
      <c r="J252" s="15">
        <f>IFERROR(INDEX(Cost_Components!$K$2:$K$27,MATCH(E252,Cost_Components!$A$2:$A$27,0)),"")</f>
        <v>1</v>
      </c>
      <c r="K252" s="15">
        <f t="shared" si="30"/>
        <v>0.63038461538461543</v>
      </c>
      <c r="L252" s="15">
        <f>IFERROR(INDEX(Cost_Components!$S$2:$S$27,MATCH(E252,Cost_Components!$A$2:$A$27,0)),"")</f>
        <v>0.31</v>
      </c>
      <c r="M252" s="26">
        <f>IFERROR(INDEX(Cost_Components!$L$2:$L$27,MATCH(E252,Cost_Components!$A$2:$A$27,0)),"")</f>
        <v>1</v>
      </c>
      <c r="N252" s="27">
        <f>IFERROR(INDEX(Cost_Components!$P$2:$P$27,MATCH(E252,Cost_Components!$A$2:$A$27,0)),"")</f>
        <v>35.362648999999998</v>
      </c>
      <c r="O252" s="21">
        <f t="shared" si="31"/>
        <v>688332.76094501803</v>
      </c>
      <c r="P252" s="21">
        <f t="shared" si="32"/>
        <v>665986.22254572494</v>
      </c>
      <c r="Q252" s="21">
        <f t="shared" si="33"/>
        <v>7300821.4782833103</v>
      </c>
      <c r="R252" s="21">
        <f t="shared" si="34"/>
        <v>15344362.013768775</v>
      </c>
      <c r="S252" s="21">
        <f t="shared" si="35"/>
        <v>8043540.5354854651</v>
      </c>
      <c r="T252" s="14">
        <f>IFERROR(INDEX(Cost_Components!$R$2:$R$27,MATCH(E252,Cost_Components!$A$2:$A$27,0)),"")</f>
        <v>1</v>
      </c>
      <c r="U252" s="24">
        <f>IFERROR(INDEX(Cost_Components!$Q$2:$Q$27,MATCH(E252,Cost_Components!$A$2:$A$27,0)),"")</f>
        <v>2023</v>
      </c>
      <c r="V252" s="28">
        <f>1/(1+Calculation_Assumptions!$B$5)^(B252-Calculation_Assumptions!$B$2)</f>
        <v>0.62316693922011435</v>
      </c>
      <c r="W252" s="21">
        <f t="shared" si="36"/>
        <v>4549630.5744142812</v>
      </c>
      <c r="X252" s="21">
        <f t="shared" si="37"/>
        <v>9562099.1104056779</v>
      </c>
      <c r="Y252" s="21">
        <f t="shared" si="38"/>
        <v>5012468.5359913968</v>
      </c>
      <c r="Z252" s="15">
        <f>IFERROR(INDEX(Cost_Components!$T$2:$T$27,MATCH(E252,Cost_Components!$A$2:$A$27,0)),"")</f>
        <v>0.8</v>
      </c>
      <c r="AA252" s="24">
        <f>IFERROR(INDEX(Cost_Components!$U$2:$U$27,MATCH(E252,Cost_Components!$A$2:$A$27,0)),"")</f>
        <v>2025</v>
      </c>
      <c r="AB252" s="24">
        <f>IFERROR(INDEX(Cost_Components!$V$2:$V$27,MATCH(E252,Cost_Components!$A$2:$A$27,0)),"")</f>
        <v>2050</v>
      </c>
      <c r="AC252" s="24">
        <f>IFERROR(INDEX(Cost_Components!$M$2:$M$27,MATCH(E252,Cost_Components!$A$2:$A$27,0)),"")</f>
        <v>30</v>
      </c>
      <c r="AD252" s="24">
        <f>IFERROR(INDEX(Cost_Components!$N$2:$N$27,MATCH(E252,Cost_Components!$A$2:$A$27,0)),"")</f>
        <v>95</v>
      </c>
      <c r="AE252" s="14" t="str">
        <f>IFERROR(INDEX(Cost_Components!$O$2:$O$27,MATCH(E252,Cost_Components!$A$2:$A$27,0)),"")</f>
        <v>Both</v>
      </c>
      <c r="AF252" s="11">
        <v>688332.76094501803</v>
      </c>
      <c r="AG252" s="11">
        <v>665986.22254572494</v>
      </c>
      <c r="AH252" s="21">
        <f t="shared" si="39"/>
        <v>1</v>
      </c>
    </row>
    <row r="253" spans="1:34" hidden="1">
      <c r="A253" t="s">
        <v>197</v>
      </c>
      <c r="B253" s="18">
        <v>2042</v>
      </c>
      <c r="C253" t="s">
        <v>197</v>
      </c>
      <c r="D253" t="s">
        <v>163</v>
      </c>
      <c r="E253" s="20" t="s">
        <v>280</v>
      </c>
      <c r="F253" s="20" t="s">
        <v>281</v>
      </c>
      <c r="G253" s="20" t="s">
        <v>200</v>
      </c>
      <c r="H253" s="20" t="s">
        <v>192</v>
      </c>
      <c r="I253" s="20" t="s">
        <v>264</v>
      </c>
      <c r="J253" s="15">
        <f>IFERROR(INDEX(Cost_Components!$K$2:$K$27,MATCH(E253,Cost_Components!$A$2:$A$27,0)),"")</f>
        <v>1</v>
      </c>
      <c r="K253" s="15">
        <f t="shared" si="30"/>
        <v>0.64923076923076928</v>
      </c>
      <c r="L253" s="15">
        <f>IFERROR(INDEX(Cost_Components!$S$2:$S$27,MATCH(E253,Cost_Components!$A$2:$A$27,0)),"")</f>
        <v>0.31</v>
      </c>
      <c r="M253" s="26">
        <f>IFERROR(INDEX(Cost_Components!$L$2:$L$27,MATCH(E253,Cost_Components!$A$2:$A$27,0)),"")</f>
        <v>1</v>
      </c>
      <c r="N253" s="27">
        <f>IFERROR(INDEX(Cost_Components!$P$2:$P$27,MATCH(E253,Cost_Components!$A$2:$A$27,0)),"")</f>
        <v>35.362648999999998</v>
      </c>
      <c r="O253" s="21">
        <f t="shared" si="31"/>
        <v>705412.79546043905</v>
      </c>
      <c r="P253" s="21">
        <f t="shared" si="32"/>
        <v>680896.42979972903</v>
      </c>
      <c r="Q253" s="21">
        <f t="shared" si="33"/>
        <v>7464273.4502318967</v>
      </c>
      <c r="R253" s="21">
        <f t="shared" si="34"/>
        <v>16195233.640433844</v>
      </c>
      <c r="S253" s="21">
        <f t="shared" si="35"/>
        <v>8730960.1902019475</v>
      </c>
      <c r="T253" s="14">
        <f>IFERROR(INDEX(Cost_Components!$R$2:$R$27,MATCH(E253,Cost_Components!$A$2:$A$27,0)),"")</f>
        <v>1</v>
      </c>
      <c r="U253" s="24">
        <f>IFERROR(INDEX(Cost_Components!$Q$2:$Q$27,MATCH(E253,Cost_Components!$A$2:$A$27,0)),"")</f>
        <v>2023</v>
      </c>
      <c r="V253" s="28">
        <f>1/(1+Calculation_Assumptions!$B$5)^(B253-Calculation_Assumptions!$B$2)</f>
        <v>0.60501644584477121</v>
      </c>
      <c r="W253" s="21">
        <f t="shared" si="36"/>
        <v>4516008.1936727902</v>
      </c>
      <c r="X253" s="21">
        <f t="shared" si="37"/>
        <v>9798382.6967609599</v>
      </c>
      <c r="Y253" s="21">
        <f t="shared" si="38"/>
        <v>5282374.5030881697</v>
      </c>
      <c r="Z253" s="15">
        <f>IFERROR(INDEX(Cost_Components!$T$2:$T$27,MATCH(E253,Cost_Components!$A$2:$A$27,0)),"")</f>
        <v>0.8</v>
      </c>
      <c r="AA253" s="24">
        <f>IFERROR(INDEX(Cost_Components!$U$2:$U$27,MATCH(E253,Cost_Components!$A$2:$A$27,0)),"")</f>
        <v>2025</v>
      </c>
      <c r="AB253" s="24">
        <f>IFERROR(INDEX(Cost_Components!$V$2:$V$27,MATCH(E253,Cost_Components!$A$2:$A$27,0)),"")</f>
        <v>2050</v>
      </c>
      <c r="AC253" s="24">
        <f>IFERROR(INDEX(Cost_Components!$M$2:$M$27,MATCH(E253,Cost_Components!$A$2:$A$27,0)),"")</f>
        <v>30</v>
      </c>
      <c r="AD253" s="24">
        <f>IFERROR(INDEX(Cost_Components!$N$2:$N$27,MATCH(E253,Cost_Components!$A$2:$A$27,0)),"")</f>
        <v>95</v>
      </c>
      <c r="AE253" s="14" t="str">
        <f>IFERROR(INDEX(Cost_Components!$O$2:$O$27,MATCH(E253,Cost_Components!$A$2:$A$27,0)),"")</f>
        <v>Both</v>
      </c>
      <c r="AF253" s="11">
        <v>705412.79546043905</v>
      </c>
      <c r="AG253" s="11">
        <v>680896.42979972903</v>
      </c>
      <c r="AH253" s="21">
        <f t="shared" si="39"/>
        <v>1</v>
      </c>
    </row>
    <row r="254" spans="1:34" hidden="1">
      <c r="A254" t="s">
        <v>197</v>
      </c>
      <c r="B254" s="18">
        <v>2043</v>
      </c>
      <c r="C254" t="s">
        <v>197</v>
      </c>
      <c r="D254" t="s">
        <v>163</v>
      </c>
      <c r="E254" s="20" t="s">
        <v>280</v>
      </c>
      <c r="F254" s="20" t="s">
        <v>281</v>
      </c>
      <c r="G254" s="20" t="s">
        <v>200</v>
      </c>
      <c r="H254" s="20" t="s">
        <v>192</v>
      </c>
      <c r="I254" s="20" t="s">
        <v>264</v>
      </c>
      <c r="J254" s="15">
        <f>IFERROR(INDEX(Cost_Components!$K$2:$K$27,MATCH(E254,Cost_Components!$A$2:$A$27,0)),"")</f>
        <v>1</v>
      </c>
      <c r="K254" s="15">
        <f t="shared" si="30"/>
        <v>0.66807692307692301</v>
      </c>
      <c r="L254" s="15">
        <f>IFERROR(INDEX(Cost_Components!$S$2:$S$27,MATCH(E254,Cost_Components!$A$2:$A$27,0)),"")</f>
        <v>0.31</v>
      </c>
      <c r="M254" s="26">
        <f>IFERROR(INDEX(Cost_Components!$L$2:$L$27,MATCH(E254,Cost_Components!$A$2:$A$27,0)),"")</f>
        <v>1</v>
      </c>
      <c r="N254" s="27">
        <f>IFERROR(INDEX(Cost_Components!$P$2:$P$27,MATCH(E254,Cost_Components!$A$2:$A$27,0)),"")</f>
        <v>35.362648999999998</v>
      </c>
      <c r="O254" s="21">
        <f t="shared" si="31"/>
        <v>722432.47126537305</v>
      </c>
      <c r="P254" s="21">
        <f t="shared" si="32"/>
        <v>695680.28053418302</v>
      </c>
      <c r="Q254" s="21">
        <f t="shared" si="33"/>
        <v>7626340.2487930721</v>
      </c>
      <c r="R254" s="21">
        <f t="shared" si="34"/>
        <v>17067445.269781411</v>
      </c>
      <c r="S254" s="21">
        <f t="shared" si="35"/>
        <v>9441105.0209883377</v>
      </c>
      <c r="T254" s="14">
        <f>IFERROR(INDEX(Cost_Components!$R$2:$R$27,MATCH(E254,Cost_Components!$A$2:$A$27,0)),"")</f>
        <v>1</v>
      </c>
      <c r="U254" s="24">
        <f>IFERROR(INDEX(Cost_Components!$Q$2:$Q$27,MATCH(E254,Cost_Components!$A$2:$A$27,0)),"")</f>
        <v>2023</v>
      </c>
      <c r="V254" s="28">
        <f>1/(1+Calculation_Assumptions!$B$5)^(B254-Calculation_Assumptions!$B$2)</f>
        <v>0.5873946076162827</v>
      </c>
      <c r="W254" s="21">
        <f t="shared" si="36"/>
        <v>4479671.13798807</v>
      </c>
      <c r="X254" s="21">
        <f t="shared" si="37"/>
        <v>10025325.317255633</v>
      </c>
      <c r="Y254" s="21">
        <f t="shared" si="38"/>
        <v>5545654.1792675611</v>
      </c>
      <c r="Z254" s="15">
        <f>IFERROR(INDEX(Cost_Components!$T$2:$T$27,MATCH(E254,Cost_Components!$A$2:$A$27,0)),"")</f>
        <v>0.8</v>
      </c>
      <c r="AA254" s="24">
        <f>IFERROR(INDEX(Cost_Components!$U$2:$U$27,MATCH(E254,Cost_Components!$A$2:$A$27,0)),"")</f>
        <v>2025</v>
      </c>
      <c r="AB254" s="24">
        <f>IFERROR(INDEX(Cost_Components!$V$2:$V$27,MATCH(E254,Cost_Components!$A$2:$A$27,0)),"")</f>
        <v>2050</v>
      </c>
      <c r="AC254" s="24">
        <f>IFERROR(INDEX(Cost_Components!$M$2:$M$27,MATCH(E254,Cost_Components!$A$2:$A$27,0)),"")</f>
        <v>30</v>
      </c>
      <c r="AD254" s="24">
        <f>IFERROR(INDEX(Cost_Components!$N$2:$N$27,MATCH(E254,Cost_Components!$A$2:$A$27,0)),"")</f>
        <v>95</v>
      </c>
      <c r="AE254" s="14" t="str">
        <f>IFERROR(INDEX(Cost_Components!$O$2:$O$27,MATCH(E254,Cost_Components!$A$2:$A$27,0)),"")</f>
        <v>Both</v>
      </c>
      <c r="AF254" s="11">
        <v>722432.47126537305</v>
      </c>
      <c r="AG254" s="11">
        <v>695680.28053418302</v>
      </c>
      <c r="AH254" s="21">
        <f t="shared" si="39"/>
        <v>1</v>
      </c>
    </row>
    <row r="255" spans="1:34" hidden="1">
      <c r="A255" t="s">
        <v>197</v>
      </c>
      <c r="B255" s="18">
        <v>2044</v>
      </c>
      <c r="C255" t="s">
        <v>197</v>
      </c>
      <c r="D255" t="s">
        <v>163</v>
      </c>
      <c r="E255" s="20" t="s">
        <v>280</v>
      </c>
      <c r="F255" s="20" t="s">
        <v>281</v>
      </c>
      <c r="G255" s="20" t="s">
        <v>200</v>
      </c>
      <c r="H255" s="20" t="s">
        <v>192</v>
      </c>
      <c r="I255" s="20" t="s">
        <v>264</v>
      </c>
      <c r="J255" s="15">
        <f>IFERROR(INDEX(Cost_Components!$K$2:$K$27,MATCH(E255,Cost_Components!$A$2:$A$27,0)),"")</f>
        <v>1</v>
      </c>
      <c r="K255" s="15">
        <f t="shared" si="30"/>
        <v>0.68692307692307697</v>
      </c>
      <c r="L255" s="15">
        <f>IFERROR(INDEX(Cost_Components!$S$2:$S$27,MATCH(E255,Cost_Components!$A$2:$A$27,0)),"")</f>
        <v>0.31</v>
      </c>
      <c r="M255" s="26">
        <f>IFERROR(INDEX(Cost_Components!$L$2:$L$27,MATCH(E255,Cost_Components!$A$2:$A$27,0)),"")</f>
        <v>1</v>
      </c>
      <c r="N255" s="27">
        <f>IFERROR(INDEX(Cost_Components!$P$2:$P$27,MATCH(E255,Cost_Components!$A$2:$A$27,0)),"")</f>
        <v>35.362648999999998</v>
      </c>
      <c r="O255" s="21">
        <f t="shared" si="31"/>
        <v>739341.83992555703</v>
      </c>
      <c r="P255" s="21">
        <f t="shared" si="32"/>
        <v>710291.427788042</v>
      </c>
      <c r="Q255" s="21">
        <f t="shared" si="33"/>
        <v>7786513.7990589859</v>
      </c>
      <c r="R255" s="21">
        <f t="shared" si="34"/>
        <v>17959662.905259524</v>
      </c>
      <c r="S255" s="21">
        <f t="shared" si="35"/>
        <v>10173149.106200539</v>
      </c>
      <c r="T255" s="14">
        <f>IFERROR(INDEX(Cost_Components!$R$2:$R$27,MATCH(E255,Cost_Components!$A$2:$A$27,0)),"")</f>
        <v>1</v>
      </c>
      <c r="U255" s="24">
        <f>IFERROR(INDEX(Cost_Components!$Q$2:$Q$27,MATCH(E255,Cost_Components!$A$2:$A$27,0)),"")</f>
        <v>2023</v>
      </c>
      <c r="V255" s="28">
        <f>1/(1+Calculation_Assumptions!$B$5)^(B255-Calculation_Assumptions!$B$2)</f>
        <v>0.57028602681192497</v>
      </c>
      <c r="W255" s="21">
        <f t="shared" si="36"/>
        <v>4440540.0171815762</v>
      </c>
      <c r="X255" s="21">
        <f t="shared" si="37"/>
        <v>10242144.801121967</v>
      </c>
      <c r="Y255" s="21">
        <f t="shared" si="38"/>
        <v>5801604.7839403907</v>
      </c>
      <c r="Z255" s="15">
        <f>IFERROR(INDEX(Cost_Components!$T$2:$T$27,MATCH(E255,Cost_Components!$A$2:$A$27,0)),"")</f>
        <v>0.8</v>
      </c>
      <c r="AA255" s="24">
        <f>IFERROR(INDEX(Cost_Components!$U$2:$U$27,MATCH(E255,Cost_Components!$A$2:$A$27,0)),"")</f>
        <v>2025</v>
      </c>
      <c r="AB255" s="24">
        <f>IFERROR(INDEX(Cost_Components!$V$2:$V$27,MATCH(E255,Cost_Components!$A$2:$A$27,0)),"")</f>
        <v>2050</v>
      </c>
      <c r="AC255" s="24">
        <f>IFERROR(INDEX(Cost_Components!$M$2:$M$27,MATCH(E255,Cost_Components!$A$2:$A$27,0)),"")</f>
        <v>30</v>
      </c>
      <c r="AD255" s="24">
        <f>IFERROR(INDEX(Cost_Components!$N$2:$N$27,MATCH(E255,Cost_Components!$A$2:$A$27,0)),"")</f>
        <v>95</v>
      </c>
      <c r="AE255" s="14" t="str">
        <f>IFERROR(INDEX(Cost_Components!$O$2:$O$27,MATCH(E255,Cost_Components!$A$2:$A$27,0)),"")</f>
        <v>Both</v>
      </c>
      <c r="AF255" s="11">
        <v>739341.83992555703</v>
      </c>
      <c r="AG255" s="11">
        <v>710291.427788042</v>
      </c>
      <c r="AH255" s="21">
        <f t="shared" si="39"/>
        <v>1</v>
      </c>
    </row>
    <row r="256" spans="1:34" hidden="1">
      <c r="A256" t="s">
        <v>197</v>
      </c>
      <c r="B256" s="18">
        <v>2045</v>
      </c>
      <c r="C256" t="s">
        <v>197</v>
      </c>
      <c r="D256" t="s">
        <v>163</v>
      </c>
      <c r="E256" s="20" t="s">
        <v>280</v>
      </c>
      <c r="F256" s="20" t="s">
        <v>281</v>
      </c>
      <c r="G256" s="20" t="s">
        <v>200</v>
      </c>
      <c r="H256" s="20" t="s">
        <v>192</v>
      </c>
      <c r="I256" s="20" t="s">
        <v>264</v>
      </c>
      <c r="J256" s="15">
        <f>IFERROR(INDEX(Cost_Components!$K$2:$K$27,MATCH(E256,Cost_Components!$A$2:$A$27,0)),"")</f>
        <v>1</v>
      </c>
      <c r="K256" s="15">
        <f t="shared" si="30"/>
        <v>0.70576923076923082</v>
      </c>
      <c r="L256" s="15">
        <f>IFERROR(INDEX(Cost_Components!$S$2:$S$27,MATCH(E256,Cost_Components!$A$2:$A$27,0)),"")</f>
        <v>0.31</v>
      </c>
      <c r="M256" s="26">
        <f>IFERROR(INDEX(Cost_Components!$L$2:$L$27,MATCH(E256,Cost_Components!$A$2:$A$27,0)),"")</f>
        <v>1</v>
      </c>
      <c r="N256" s="27">
        <f>IFERROR(INDEX(Cost_Components!$P$2:$P$27,MATCH(E256,Cost_Components!$A$2:$A$27,0)),"")</f>
        <v>35.362648999999998</v>
      </c>
      <c r="O256" s="21">
        <f t="shared" si="31"/>
        <v>756068.92924005305</v>
      </c>
      <c r="P256" s="21">
        <f t="shared" si="32"/>
        <v>724661.40483491705</v>
      </c>
      <c r="Q256" s="21">
        <f t="shared" si="33"/>
        <v>7944043.5399374627</v>
      </c>
      <c r="R256" s="21">
        <f t="shared" si="34"/>
        <v>18869869.731499061</v>
      </c>
      <c r="S256" s="21">
        <f t="shared" si="35"/>
        <v>10925826.191561598</v>
      </c>
      <c r="T256" s="14">
        <f>IFERROR(INDEX(Cost_Components!$R$2:$R$27,MATCH(E256,Cost_Components!$A$2:$A$27,0)),"")</f>
        <v>1</v>
      </c>
      <c r="U256" s="24">
        <f>IFERROR(INDEX(Cost_Components!$Q$2:$Q$27,MATCH(E256,Cost_Components!$A$2:$A$27,0)),"")</f>
        <v>2023</v>
      </c>
      <c r="V256" s="28">
        <f>1/(1+Calculation_Assumptions!$B$5)^(B256-Calculation_Assumptions!$B$2)</f>
        <v>0.55367575418633497</v>
      </c>
      <c r="W256" s="21">
        <f t="shared" si="36"/>
        <v>4398424.2982639568</v>
      </c>
      <c r="X256" s="21">
        <f t="shared" si="37"/>
        <v>10447789.354985638</v>
      </c>
      <c r="Y256" s="21">
        <f t="shared" si="38"/>
        <v>6049365.0567216799</v>
      </c>
      <c r="Z256" s="15">
        <f>IFERROR(INDEX(Cost_Components!$T$2:$T$27,MATCH(E256,Cost_Components!$A$2:$A$27,0)),"")</f>
        <v>0.8</v>
      </c>
      <c r="AA256" s="24">
        <f>IFERROR(INDEX(Cost_Components!$U$2:$U$27,MATCH(E256,Cost_Components!$A$2:$A$27,0)),"")</f>
        <v>2025</v>
      </c>
      <c r="AB256" s="24">
        <f>IFERROR(INDEX(Cost_Components!$V$2:$V$27,MATCH(E256,Cost_Components!$A$2:$A$27,0)),"")</f>
        <v>2050</v>
      </c>
      <c r="AC256" s="24">
        <f>IFERROR(INDEX(Cost_Components!$M$2:$M$27,MATCH(E256,Cost_Components!$A$2:$A$27,0)),"")</f>
        <v>30</v>
      </c>
      <c r="AD256" s="24">
        <f>IFERROR(INDEX(Cost_Components!$N$2:$N$27,MATCH(E256,Cost_Components!$A$2:$A$27,0)),"")</f>
        <v>95</v>
      </c>
      <c r="AE256" s="14" t="str">
        <f>IFERROR(INDEX(Cost_Components!$O$2:$O$27,MATCH(E256,Cost_Components!$A$2:$A$27,0)),"")</f>
        <v>Both</v>
      </c>
      <c r="AF256" s="11">
        <v>756068.92924005305</v>
      </c>
      <c r="AG256" s="11">
        <v>724661.40483491705</v>
      </c>
      <c r="AH256" s="21">
        <f t="shared" si="39"/>
        <v>1</v>
      </c>
    </row>
    <row r="257" spans="1:34" hidden="1">
      <c r="A257" t="s">
        <v>197</v>
      </c>
      <c r="B257" s="18">
        <v>2046</v>
      </c>
      <c r="C257" t="s">
        <v>197</v>
      </c>
      <c r="D257" t="s">
        <v>163</v>
      </c>
      <c r="E257" s="20" t="s">
        <v>280</v>
      </c>
      <c r="F257" s="20" t="s">
        <v>281</v>
      </c>
      <c r="G257" s="20" t="s">
        <v>200</v>
      </c>
      <c r="H257" s="20" t="s">
        <v>192</v>
      </c>
      <c r="I257" s="20" t="s">
        <v>264</v>
      </c>
      <c r="J257" s="15">
        <f>IFERROR(INDEX(Cost_Components!$K$2:$K$27,MATCH(E257,Cost_Components!$A$2:$A$27,0)),"")</f>
        <v>1</v>
      </c>
      <c r="K257" s="15">
        <f t="shared" si="30"/>
        <v>0.72461538461538466</v>
      </c>
      <c r="L257" s="15">
        <f>IFERROR(INDEX(Cost_Components!$S$2:$S$27,MATCH(E257,Cost_Components!$A$2:$A$27,0)),"")</f>
        <v>0.31</v>
      </c>
      <c r="M257" s="26">
        <f>IFERROR(INDEX(Cost_Components!$L$2:$L$27,MATCH(E257,Cost_Components!$A$2:$A$27,0)),"")</f>
        <v>1</v>
      </c>
      <c r="N257" s="27">
        <f>IFERROR(INDEX(Cost_Components!$P$2:$P$27,MATCH(E257,Cost_Components!$A$2:$A$27,0)),"")</f>
        <v>35.362648999999998</v>
      </c>
      <c r="O257" s="21">
        <f t="shared" si="31"/>
        <v>772545.415002038</v>
      </c>
      <c r="P257" s="21">
        <f t="shared" si="32"/>
        <v>738726.66611743101</v>
      </c>
      <c r="Q257" s="21">
        <f t="shared" si="33"/>
        <v>8098232.8582637804</v>
      </c>
      <c r="R257" s="21">
        <f t="shared" si="34"/>
        <v>19795950.547026441</v>
      </c>
      <c r="S257" s="21">
        <f t="shared" si="35"/>
        <v>11697717.688762661</v>
      </c>
      <c r="T257" s="14">
        <f>IFERROR(INDEX(Cost_Components!$R$2:$R$27,MATCH(E257,Cost_Components!$A$2:$A$27,0)),"")</f>
        <v>1</v>
      </c>
      <c r="U257" s="24">
        <f>IFERROR(INDEX(Cost_Components!$Q$2:$Q$27,MATCH(E257,Cost_Components!$A$2:$A$27,0)),"")</f>
        <v>2023</v>
      </c>
      <c r="V257" s="28">
        <f>1/(1+Calculation_Assumptions!$B$5)^(B257-Calculation_Assumptions!$B$2)</f>
        <v>0.5375492759090631</v>
      </c>
      <c r="W257" s="21">
        <f t="shared" si="36"/>
        <v>4353199.2091026772</v>
      </c>
      <c r="X257" s="21">
        <f t="shared" si="37"/>
        <v>10641298.882485684</v>
      </c>
      <c r="Y257" s="21">
        <f t="shared" si="38"/>
        <v>6288099.6733830078</v>
      </c>
      <c r="Z257" s="15">
        <f>IFERROR(INDEX(Cost_Components!$T$2:$T$27,MATCH(E257,Cost_Components!$A$2:$A$27,0)),"")</f>
        <v>0.8</v>
      </c>
      <c r="AA257" s="24">
        <f>IFERROR(INDEX(Cost_Components!$U$2:$U$27,MATCH(E257,Cost_Components!$A$2:$A$27,0)),"")</f>
        <v>2025</v>
      </c>
      <c r="AB257" s="24">
        <f>IFERROR(INDEX(Cost_Components!$V$2:$V$27,MATCH(E257,Cost_Components!$A$2:$A$27,0)),"")</f>
        <v>2050</v>
      </c>
      <c r="AC257" s="24">
        <f>IFERROR(INDEX(Cost_Components!$M$2:$M$27,MATCH(E257,Cost_Components!$A$2:$A$27,0)),"")</f>
        <v>30</v>
      </c>
      <c r="AD257" s="24">
        <f>IFERROR(INDEX(Cost_Components!$N$2:$N$27,MATCH(E257,Cost_Components!$A$2:$A$27,0)),"")</f>
        <v>95</v>
      </c>
      <c r="AE257" s="14" t="str">
        <f>IFERROR(INDEX(Cost_Components!$O$2:$O$27,MATCH(E257,Cost_Components!$A$2:$A$27,0)),"")</f>
        <v>Both</v>
      </c>
      <c r="AF257" s="11">
        <v>772545.415002038</v>
      </c>
      <c r="AG257" s="11">
        <v>738726.66611743101</v>
      </c>
      <c r="AH257" s="21">
        <f t="shared" si="39"/>
        <v>1</v>
      </c>
    </row>
    <row r="258" spans="1:34" hidden="1">
      <c r="A258" t="s">
        <v>197</v>
      </c>
      <c r="B258" s="18">
        <v>2047</v>
      </c>
      <c r="C258" t="s">
        <v>197</v>
      </c>
      <c r="D258" t="s">
        <v>163</v>
      </c>
      <c r="E258" s="20" t="s">
        <v>280</v>
      </c>
      <c r="F258" s="20" t="s">
        <v>281</v>
      </c>
      <c r="G258" s="20" t="s">
        <v>200</v>
      </c>
      <c r="H258" s="20" t="s">
        <v>192</v>
      </c>
      <c r="I258" s="20" t="s">
        <v>264</v>
      </c>
      <c r="J258" s="15">
        <f>IFERROR(INDEX(Cost_Components!$K$2:$K$27,MATCH(E258,Cost_Components!$A$2:$A$27,0)),"")</f>
        <v>1</v>
      </c>
      <c r="K258" s="15">
        <f t="shared" ref="K258:K321" si="40">IF(OR(L258="",Z258="",AA258="",AB258=""),"",IF(B258&lt;AA258,L258,IF(B258&gt;AB258,Z258,L258+(Z258-L258)*MIN(MAX((B258-AA258+1)/MAX(AB258-AA258+1,1),0),1))))</f>
        <v>0.74346153846153851</v>
      </c>
      <c r="L258" s="15">
        <f>IFERROR(INDEX(Cost_Components!$S$2:$S$27,MATCH(E258,Cost_Components!$A$2:$A$27,0)),"")</f>
        <v>0.31</v>
      </c>
      <c r="M258" s="26">
        <f>IFERROR(INDEX(Cost_Components!$L$2:$L$27,MATCH(E258,Cost_Components!$A$2:$A$27,0)),"")</f>
        <v>1</v>
      </c>
      <c r="N258" s="27">
        <f>IFERROR(INDEX(Cost_Components!$P$2:$P$27,MATCH(E258,Cost_Components!$A$2:$A$27,0)),"")</f>
        <v>35.362648999999998</v>
      </c>
      <c r="O258" s="21">
        <f t="shared" ref="O258:O321" si="41">AF258*J258</f>
        <v>788684.25601310399</v>
      </c>
      <c r="P258" s="21">
        <f t="shared" ref="P258:P321" si="42">AG258*J258</f>
        <v>752406.55841867696</v>
      </c>
      <c r="Q258" s="21">
        <f t="shared" ref="Q258:Q321" si="43">P258*L258*M258*N258</f>
        <v>8248197.5995038766</v>
      </c>
      <c r="R258" s="21">
        <f t="shared" ref="R258:R321" si="44">O258*K258*M258*N258</f>
        <v>20735115.927608266</v>
      </c>
      <c r="S258" s="21">
        <f t="shared" ref="S258:S321" si="45">R258-Q258</f>
        <v>12486918.32810439</v>
      </c>
      <c r="T258" s="14">
        <f>IFERROR(INDEX(Cost_Components!$R$2:$R$27,MATCH(E258,Cost_Components!$A$2:$A$27,0)),"")</f>
        <v>1</v>
      </c>
      <c r="U258" s="24">
        <f>IFERROR(INDEX(Cost_Components!$Q$2:$Q$27,MATCH(E258,Cost_Components!$A$2:$A$27,0)),"")</f>
        <v>2023</v>
      </c>
      <c r="V258" s="28">
        <f>1/(1+Calculation_Assumptions!$B$5)^(B258-Calculation_Assumptions!$B$2)</f>
        <v>0.52189250088258554</v>
      </c>
      <c r="W258" s="21">
        <f t="shared" ref="W258:W321" si="46">Q258*V258</f>
        <v>4304672.4729788173</v>
      </c>
      <c r="X258" s="21">
        <f t="shared" ref="X258:X321" si="47">R258*V258</f>
        <v>10821501.507549811</v>
      </c>
      <c r="Y258" s="21">
        <f t="shared" ref="Y258:Y321" si="48">S258*V258</f>
        <v>6516829.0345709939</v>
      </c>
      <c r="Z258" s="15">
        <f>IFERROR(INDEX(Cost_Components!$T$2:$T$27,MATCH(E258,Cost_Components!$A$2:$A$27,0)),"")</f>
        <v>0.8</v>
      </c>
      <c r="AA258" s="24">
        <f>IFERROR(INDEX(Cost_Components!$U$2:$U$27,MATCH(E258,Cost_Components!$A$2:$A$27,0)),"")</f>
        <v>2025</v>
      </c>
      <c r="AB258" s="24">
        <f>IFERROR(INDEX(Cost_Components!$V$2:$V$27,MATCH(E258,Cost_Components!$A$2:$A$27,0)),"")</f>
        <v>2050</v>
      </c>
      <c r="AC258" s="24">
        <f>IFERROR(INDEX(Cost_Components!$M$2:$M$27,MATCH(E258,Cost_Components!$A$2:$A$27,0)),"")</f>
        <v>30</v>
      </c>
      <c r="AD258" s="24">
        <f>IFERROR(INDEX(Cost_Components!$N$2:$N$27,MATCH(E258,Cost_Components!$A$2:$A$27,0)),"")</f>
        <v>95</v>
      </c>
      <c r="AE258" s="14" t="str">
        <f>IFERROR(INDEX(Cost_Components!$O$2:$O$27,MATCH(E258,Cost_Components!$A$2:$A$27,0)),"")</f>
        <v>Both</v>
      </c>
      <c r="AF258" s="11">
        <v>788684.25601310399</v>
      </c>
      <c r="AG258" s="11">
        <v>752406.55841867696</v>
      </c>
      <c r="AH258" s="21">
        <f t="shared" ref="AH258:AH321" si="49">IF(H258="shared-count-once",COUNTIFS($A$2:$A$1353,A258,$B$2:$B$1353,B258,$E$2:$E$1353,E258),1)</f>
        <v>1</v>
      </c>
    </row>
    <row r="259" spans="1:34" hidden="1">
      <c r="A259" t="s">
        <v>197</v>
      </c>
      <c r="B259" s="18">
        <v>2048</v>
      </c>
      <c r="C259" t="s">
        <v>197</v>
      </c>
      <c r="D259" t="s">
        <v>163</v>
      </c>
      <c r="E259" s="20" t="s">
        <v>280</v>
      </c>
      <c r="F259" s="20" t="s">
        <v>281</v>
      </c>
      <c r="G259" s="20" t="s">
        <v>200</v>
      </c>
      <c r="H259" s="20" t="s">
        <v>192</v>
      </c>
      <c r="I259" s="20" t="s">
        <v>264</v>
      </c>
      <c r="J259" s="15">
        <f>IFERROR(INDEX(Cost_Components!$K$2:$K$27,MATCH(E259,Cost_Components!$A$2:$A$27,0)),"")</f>
        <v>1</v>
      </c>
      <c r="K259" s="15">
        <f t="shared" si="40"/>
        <v>0.76230769230769235</v>
      </c>
      <c r="L259" s="15">
        <f>IFERROR(INDEX(Cost_Components!$S$2:$S$27,MATCH(E259,Cost_Components!$A$2:$A$27,0)),"")</f>
        <v>0.31</v>
      </c>
      <c r="M259" s="26">
        <f>IFERROR(INDEX(Cost_Components!$L$2:$L$27,MATCH(E259,Cost_Components!$A$2:$A$27,0)),"")</f>
        <v>1</v>
      </c>
      <c r="N259" s="27">
        <f>IFERROR(INDEX(Cost_Components!$P$2:$P$27,MATCH(E259,Cost_Components!$A$2:$A$27,0)),"")</f>
        <v>35.362648999999998</v>
      </c>
      <c r="O259" s="21">
        <f t="shared" si="41"/>
        <v>804454.47655701695</v>
      </c>
      <c r="P259" s="21">
        <f t="shared" si="42"/>
        <v>765676.29220509005</v>
      </c>
      <c r="Q259" s="21">
        <f t="shared" si="43"/>
        <v>8393666.0103497114</v>
      </c>
      <c r="R259" s="21">
        <f t="shared" si="44"/>
        <v>21685855.784112185</v>
      </c>
      <c r="S259" s="21">
        <f t="shared" si="45"/>
        <v>13292189.773762474</v>
      </c>
      <c r="T259" s="14">
        <f>IFERROR(INDEX(Cost_Components!$R$2:$R$27,MATCH(E259,Cost_Components!$A$2:$A$27,0)),"")</f>
        <v>1</v>
      </c>
      <c r="U259" s="24">
        <f>IFERROR(INDEX(Cost_Components!$Q$2:$Q$27,MATCH(E259,Cost_Components!$A$2:$A$27,0)),"")</f>
        <v>2023</v>
      </c>
      <c r="V259" s="28">
        <f>1/(1+Calculation_Assumptions!$B$5)^(B259-Calculation_Assumptions!$B$2)</f>
        <v>0.50669174842969467</v>
      </c>
      <c r="W259" s="21">
        <f t="shared" si="46"/>
        <v>4253001.3065189952</v>
      </c>
      <c r="X259" s="21">
        <f t="shared" si="47"/>
        <v>10988044.183446011</v>
      </c>
      <c r="Y259" s="21">
        <f t="shared" si="48"/>
        <v>6735042.8769270154</v>
      </c>
      <c r="Z259" s="15">
        <f>IFERROR(INDEX(Cost_Components!$T$2:$T$27,MATCH(E259,Cost_Components!$A$2:$A$27,0)),"")</f>
        <v>0.8</v>
      </c>
      <c r="AA259" s="24">
        <f>IFERROR(INDEX(Cost_Components!$U$2:$U$27,MATCH(E259,Cost_Components!$A$2:$A$27,0)),"")</f>
        <v>2025</v>
      </c>
      <c r="AB259" s="24">
        <f>IFERROR(INDEX(Cost_Components!$V$2:$V$27,MATCH(E259,Cost_Components!$A$2:$A$27,0)),"")</f>
        <v>2050</v>
      </c>
      <c r="AC259" s="24">
        <f>IFERROR(INDEX(Cost_Components!$M$2:$M$27,MATCH(E259,Cost_Components!$A$2:$A$27,0)),"")</f>
        <v>30</v>
      </c>
      <c r="AD259" s="24">
        <f>IFERROR(INDEX(Cost_Components!$N$2:$N$27,MATCH(E259,Cost_Components!$A$2:$A$27,0)),"")</f>
        <v>95</v>
      </c>
      <c r="AE259" s="14" t="str">
        <f>IFERROR(INDEX(Cost_Components!$O$2:$O$27,MATCH(E259,Cost_Components!$A$2:$A$27,0)),"")</f>
        <v>Both</v>
      </c>
      <c r="AF259" s="11">
        <v>804454.47655701695</v>
      </c>
      <c r="AG259" s="11">
        <v>765676.29220509005</v>
      </c>
      <c r="AH259" s="21">
        <f t="shared" si="49"/>
        <v>1</v>
      </c>
    </row>
    <row r="260" spans="1:34" hidden="1">
      <c r="A260" t="s">
        <v>197</v>
      </c>
      <c r="B260" s="18">
        <v>2049</v>
      </c>
      <c r="C260" t="s">
        <v>197</v>
      </c>
      <c r="D260" t="s">
        <v>163</v>
      </c>
      <c r="E260" s="20" t="s">
        <v>280</v>
      </c>
      <c r="F260" s="20" t="s">
        <v>281</v>
      </c>
      <c r="G260" s="20" t="s">
        <v>200</v>
      </c>
      <c r="H260" s="20" t="s">
        <v>192</v>
      </c>
      <c r="I260" s="20" t="s">
        <v>264</v>
      </c>
      <c r="J260" s="15">
        <f>IFERROR(INDEX(Cost_Components!$K$2:$K$27,MATCH(E260,Cost_Components!$A$2:$A$27,0)),"")</f>
        <v>1</v>
      </c>
      <c r="K260" s="15">
        <f t="shared" si="40"/>
        <v>0.7811538461538462</v>
      </c>
      <c r="L260" s="15">
        <f>IFERROR(INDEX(Cost_Components!$S$2:$S$27,MATCH(E260,Cost_Components!$A$2:$A$27,0)),"")</f>
        <v>0.31</v>
      </c>
      <c r="M260" s="26">
        <f>IFERROR(INDEX(Cost_Components!$L$2:$L$27,MATCH(E260,Cost_Components!$A$2:$A$27,0)),"")</f>
        <v>1</v>
      </c>
      <c r="N260" s="27">
        <f>IFERROR(INDEX(Cost_Components!$P$2:$P$27,MATCH(E260,Cost_Components!$A$2:$A$27,0)),"")</f>
        <v>35.362648999999998</v>
      </c>
      <c r="O260" s="21">
        <f t="shared" si="41"/>
        <v>819811.45736798097</v>
      </c>
      <c r="P260" s="21">
        <f t="shared" si="42"/>
        <v>778495.54813628597</v>
      </c>
      <c r="Q260" s="21">
        <f t="shared" si="43"/>
        <v>8534196.0932098851</v>
      </c>
      <c r="R260" s="21">
        <f t="shared" si="44"/>
        <v>22646200.567450117</v>
      </c>
      <c r="S260" s="21">
        <f t="shared" si="45"/>
        <v>14112004.474240232</v>
      </c>
      <c r="T260" s="14">
        <f>IFERROR(INDEX(Cost_Components!$R$2:$R$27,MATCH(E260,Cost_Components!$A$2:$A$27,0)),"")</f>
        <v>1</v>
      </c>
      <c r="U260" s="24">
        <f>IFERROR(INDEX(Cost_Components!$Q$2:$Q$27,MATCH(E260,Cost_Components!$A$2:$A$27,0)),"")</f>
        <v>2023</v>
      </c>
      <c r="V260" s="28">
        <f>1/(1+Calculation_Assumptions!$B$5)^(B260-Calculation_Assumptions!$B$2)</f>
        <v>0.49193373633950943</v>
      </c>
      <c r="W260" s="21">
        <f t="shared" si="46"/>
        <v>4198258.9707867829</v>
      </c>
      <c r="X260" s="21">
        <f t="shared" si="47"/>
        <v>11140430.059039654</v>
      </c>
      <c r="Y260" s="21">
        <f t="shared" si="48"/>
        <v>6942171.0882528722</v>
      </c>
      <c r="Z260" s="15">
        <f>IFERROR(INDEX(Cost_Components!$T$2:$T$27,MATCH(E260,Cost_Components!$A$2:$A$27,0)),"")</f>
        <v>0.8</v>
      </c>
      <c r="AA260" s="24">
        <f>IFERROR(INDEX(Cost_Components!$U$2:$U$27,MATCH(E260,Cost_Components!$A$2:$A$27,0)),"")</f>
        <v>2025</v>
      </c>
      <c r="AB260" s="24">
        <f>IFERROR(INDEX(Cost_Components!$V$2:$V$27,MATCH(E260,Cost_Components!$A$2:$A$27,0)),"")</f>
        <v>2050</v>
      </c>
      <c r="AC260" s="24">
        <f>IFERROR(INDEX(Cost_Components!$M$2:$M$27,MATCH(E260,Cost_Components!$A$2:$A$27,0)),"")</f>
        <v>30</v>
      </c>
      <c r="AD260" s="24">
        <f>IFERROR(INDEX(Cost_Components!$N$2:$N$27,MATCH(E260,Cost_Components!$A$2:$A$27,0)),"")</f>
        <v>95</v>
      </c>
      <c r="AE260" s="14" t="str">
        <f>IFERROR(INDEX(Cost_Components!$O$2:$O$27,MATCH(E260,Cost_Components!$A$2:$A$27,0)),"")</f>
        <v>Both</v>
      </c>
      <c r="AF260" s="11">
        <v>819811.45736798097</v>
      </c>
      <c r="AG260" s="11">
        <v>778495.54813628597</v>
      </c>
      <c r="AH260" s="21">
        <f t="shared" si="49"/>
        <v>1</v>
      </c>
    </row>
    <row r="261" spans="1:34" hidden="1">
      <c r="A261" t="s">
        <v>197</v>
      </c>
      <c r="B261" s="18">
        <v>2050</v>
      </c>
      <c r="C261" t="s">
        <v>197</v>
      </c>
      <c r="D261" t="s">
        <v>163</v>
      </c>
      <c r="E261" s="20" t="s">
        <v>280</v>
      </c>
      <c r="F261" s="20" t="s">
        <v>281</v>
      </c>
      <c r="G261" s="20" t="s">
        <v>200</v>
      </c>
      <c r="H261" s="20" t="s">
        <v>192</v>
      </c>
      <c r="I261" s="20" t="s">
        <v>264</v>
      </c>
      <c r="J261" s="15">
        <f>IFERROR(INDEX(Cost_Components!$K$2:$K$27,MATCH(E261,Cost_Components!$A$2:$A$27,0)),"")</f>
        <v>1</v>
      </c>
      <c r="K261" s="15">
        <f t="shared" si="40"/>
        <v>0.8</v>
      </c>
      <c r="L261" s="15">
        <f>IFERROR(INDEX(Cost_Components!$S$2:$S$27,MATCH(E261,Cost_Components!$A$2:$A$27,0)),"")</f>
        <v>0.31</v>
      </c>
      <c r="M261" s="26">
        <f>IFERROR(INDEX(Cost_Components!$L$2:$L$27,MATCH(E261,Cost_Components!$A$2:$A$27,0)),"")</f>
        <v>1</v>
      </c>
      <c r="N261" s="27">
        <f>IFERROR(INDEX(Cost_Components!$P$2:$P$27,MATCH(E261,Cost_Components!$A$2:$A$27,0)),"")</f>
        <v>35.362648999999998</v>
      </c>
      <c r="O261" s="21">
        <f t="shared" si="41"/>
        <v>834752.12304675695</v>
      </c>
      <c r="P261" s="21">
        <f t="shared" si="42"/>
        <v>790865.55624404305</v>
      </c>
      <c r="Q261" s="21">
        <f t="shared" si="43"/>
        <v>8669801.3322108332</v>
      </c>
      <c r="R261" s="21">
        <f t="shared" si="44"/>
        <v>23615237.063445821</v>
      </c>
      <c r="S261" s="21">
        <f t="shared" si="45"/>
        <v>14945435.731234988</v>
      </c>
      <c r="T261" s="14">
        <f>IFERROR(INDEX(Cost_Components!$R$2:$R$27,MATCH(E261,Cost_Components!$A$2:$A$27,0)),"")</f>
        <v>1</v>
      </c>
      <c r="U261" s="24">
        <f>IFERROR(INDEX(Cost_Components!$Q$2:$Q$27,MATCH(E261,Cost_Components!$A$2:$A$27,0)),"")</f>
        <v>2023</v>
      </c>
      <c r="V261" s="28">
        <f>1/(1+Calculation_Assumptions!$B$5)^(B261-Calculation_Assumptions!$B$2)</f>
        <v>0.47760556926165965</v>
      </c>
      <c r="W261" s="21">
        <f t="shared" si="46"/>
        <v>4140745.4006560501</v>
      </c>
      <c r="X261" s="21">
        <f t="shared" si="47"/>
        <v>11278768.740936086</v>
      </c>
      <c r="Y261" s="21">
        <f t="shared" si="48"/>
        <v>7138023.3402800346</v>
      </c>
      <c r="Z261" s="15">
        <f>IFERROR(INDEX(Cost_Components!$T$2:$T$27,MATCH(E261,Cost_Components!$A$2:$A$27,0)),"")</f>
        <v>0.8</v>
      </c>
      <c r="AA261" s="24">
        <f>IFERROR(INDEX(Cost_Components!$U$2:$U$27,MATCH(E261,Cost_Components!$A$2:$A$27,0)),"")</f>
        <v>2025</v>
      </c>
      <c r="AB261" s="24">
        <f>IFERROR(INDEX(Cost_Components!$V$2:$V$27,MATCH(E261,Cost_Components!$A$2:$A$27,0)),"")</f>
        <v>2050</v>
      </c>
      <c r="AC261" s="24">
        <f>IFERROR(INDEX(Cost_Components!$M$2:$M$27,MATCH(E261,Cost_Components!$A$2:$A$27,0)),"")</f>
        <v>30</v>
      </c>
      <c r="AD261" s="24">
        <f>IFERROR(INDEX(Cost_Components!$N$2:$N$27,MATCH(E261,Cost_Components!$A$2:$A$27,0)),"")</f>
        <v>95</v>
      </c>
      <c r="AE261" s="14" t="str">
        <f>IFERROR(INDEX(Cost_Components!$O$2:$O$27,MATCH(E261,Cost_Components!$A$2:$A$27,0)),"")</f>
        <v>Both</v>
      </c>
      <c r="AF261" s="11">
        <v>834752.12304675695</v>
      </c>
      <c r="AG261" s="11">
        <v>790865.55624404305</v>
      </c>
      <c r="AH261" s="21">
        <f t="shared" si="49"/>
        <v>1</v>
      </c>
    </row>
    <row r="262" spans="1:34" hidden="1">
      <c r="A262" t="s">
        <v>197</v>
      </c>
      <c r="B262" s="18">
        <v>2025</v>
      </c>
      <c r="C262" t="s">
        <v>197</v>
      </c>
      <c r="D262" t="s">
        <v>163</v>
      </c>
      <c r="E262" s="20" t="s">
        <v>282</v>
      </c>
      <c r="F262" s="20" t="s">
        <v>283</v>
      </c>
      <c r="G262" s="20" t="s">
        <v>200</v>
      </c>
      <c r="H262" s="20" t="s">
        <v>192</v>
      </c>
      <c r="I262" s="20" t="s">
        <v>264</v>
      </c>
      <c r="J262" s="15">
        <f>IFERROR(INDEX(Cost_Components!$K$2:$K$27,MATCH(E262,Cost_Components!$A$2:$A$27,0)),"")</f>
        <v>1</v>
      </c>
      <c r="K262" s="15">
        <f t="shared" si="40"/>
        <v>0.32884615384615384</v>
      </c>
      <c r="L262" s="15">
        <f>IFERROR(INDEX(Cost_Components!$S$2:$S$27,MATCH(E262,Cost_Components!$A$2:$A$27,0)),"")</f>
        <v>0.31</v>
      </c>
      <c r="M262" s="26">
        <f>IFERROR(INDEX(Cost_Components!$L$2:$L$27,MATCH(E262,Cost_Components!$A$2:$A$27,0)),"")</f>
        <v>1</v>
      </c>
      <c r="N262" s="27">
        <f>IFERROR(INDEX(Cost_Components!$P$2:$P$27,MATCH(E262,Cost_Components!$A$2:$A$27,0)),"")</f>
        <v>115.10623099999999</v>
      </c>
      <c r="O262" s="21">
        <f t="shared" si="41"/>
        <v>434662.714606906</v>
      </c>
      <c r="P262" s="21">
        <f t="shared" si="42"/>
        <v>434420.35264510999</v>
      </c>
      <c r="Q262" s="21">
        <f t="shared" si="43"/>
        <v>15501391.733427543</v>
      </c>
      <c r="R262" s="21">
        <f t="shared" si="44"/>
        <v>16452957.978310885</v>
      </c>
      <c r="S262" s="21">
        <f t="shared" si="45"/>
        <v>951566.24488334171</v>
      </c>
      <c r="T262" s="14">
        <f>IFERROR(INDEX(Cost_Components!$R$2:$R$27,MATCH(E262,Cost_Components!$A$2:$A$27,0)),"")</f>
        <v>1</v>
      </c>
      <c r="U262" s="24">
        <f>IFERROR(INDEX(Cost_Components!$Q$2:$Q$27,MATCH(E262,Cost_Components!$A$2:$A$27,0)),"")</f>
        <v>2023</v>
      </c>
      <c r="V262" s="28">
        <f>1/(1+Calculation_Assumptions!$B$5)^(B262-Calculation_Assumptions!$B$2)</f>
        <v>1</v>
      </c>
      <c r="W262" s="21">
        <f t="shared" si="46"/>
        <v>15501391.733427543</v>
      </c>
      <c r="X262" s="21">
        <f t="shared" si="47"/>
        <v>16452957.978310885</v>
      </c>
      <c r="Y262" s="21">
        <f t="shared" si="48"/>
        <v>951566.24488334171</v>
      </c>
      <c r="Z262" s="15">
        <f>IFERROR(INDEX(Cost_Components!$T$2:$T$27,MATCH(E262,Cost_Components!$A$2:$A$27,0)),"")</f>
        <v>0.8</v>
      </c>
      <c r="AA262" s="24">
        <f>IFERROR(INDEX(Cost_Components!$U$2:$U$27,MATCH(E262,Cost_Components!$A$2:$A$27,0)),"")</f>
        <v>2025</v>
      </c>
      <c r="AB262" s="24">
        <f>IFERROR(INDEX(Cost_Components!$V$2:$V$27,MATCH(E262,Cost_Components!$A$2:$A$27,0)),"")</f>
        <v>2050</v>
      </c>
      <c r="AC262" s="24">
        <f>IFERROR(INDEX(Cost_Components!$M$2:$M$27,MATCH(E262,Cost_Components!$A$2:$A$27,0)),"")</f>
        <v>0</v>
      </c>
      <c r="AD262" s="24">
        <f>IFERROR(INDEX(Cost_Components!$N$2:$N$27,MATCH(E262,Cost_Components!$A$2:$A$27,0)),"")</f>
        <v>95</v>
      </c>
      <c r="AE262" s="14" t="str">
        <f>IFERROR(INDEX(Cost_Components!$O$2:$O$27,MATCH(E262,Cost_Components!$A$2:$A$27,0)),"")</f>
        <v>Both</v>
      </c>
      <c r="AF262" s="11">
        <v>434662.714606906</v>
      </c>
      <c r="AG262" s="11">
        <v>434420.35264510999</v>
      </c>
      <c r="AH262" s="21">
        <f t="shared" si="49"/>
        <v>1</v>
      </c>
    </row>
    <row r="263" spans="1:34" hidden="1">
      <c r="A263" t="s">
        <v>197</v>
      </c>
      <c r="B263" s="18">
        <v>2026</v>
      </c>
      <c r="C263" t="s">
        <v>197</v>
      </c>
      <c r="D263" t="s">
        <v>163</v>
      </c>
      <c r="E263" s="20" t="s">
        <v>282</v>
      </c>
      <c r="F263" s="20" t="s">
        <v>283</v>
      </c>
      <c r="G263" s="20" t="s">
        <v>200</v>
      </c>
      <c r="H263" s="20" t="s">
        <v>192</v>
      </c>
      <c r="I263" s="20" t="s">
        <v>264</v>
      </c>
      <c r="J263" s="15">
        <f>IFERROR(INDEX(Cost_Components!$K$2:$K$27,MATCH(E263,Cost_Components!$A$2:$A$27,0)),"")</f>
        <v>1</v>
      </c>
      <c r="K263" s="15">
        <f t="shared" si="40"/>
        <v>0.34769230769230769</v>
      </c>
      <c r="L263" s="15">
        <f>IFERROR(INDEX(Cost_Components!$S$2:$S$27,MATCH(E263,Cost_Components!$A$2:$A$27,0)),"")</f>
        <v>0.31</v>
      </c>
      <c r="M263" s="26">
        <f>IFERROR(INDEX(Cost_Components!$L$2:$L$27,MATCH(E263,Cost_Components!$A$2:$A$27,0)),"")</f>
        <v>1</v>
      </c>
      <c r="N263" s="27">
        <f>IFERROR(INDEX(Cost_Components!$P$2:$P$27,MATCH(E263,Cost_Components!$A$2:$A$27,0)),"")</f>
        <v>115.10623099999999</v>
      </c>
      <c r="O263" s="21">
        <f t="shared" si="41"/>
        <v>448052.068681948</v>
      </c>
      <c r="P263" s="21">
        <f t="shared" si="42"/>
        <v>447365.23312030802</v>
      </c>
      <c r="Q263" s="21">
        <f t="shared" si="43"/>
        <v>15963303.018123658</v>
      </c>
      <c r="R263" s="21">
        <f t="shared" si="44"/>
        <v>17931738.756011494</v>
      </c>
      <c r="S263" s="21">
        <f t="shared" si="45"/>
        <v>1968435.7378878351</v>
      </c>
      <c r="T263" s="14">
        <f>IFERROR(INDEX(Cost_Components!$R$2:$R$27,MATCH(E263,Cost_Components!$A$2:$A$27,0)),"")</f>
        <v>1</v>
      </c>
      <c r="U263" s="24">
        <f>IFERROR(INDEX(Cost_Components!$Q$2:$Q$27,MATCH(E263,Cost_Components!$A$2:$A$27,0)),"")</f>
        <v>2023</v>
      </c>
      <c r="V263" s="28">
        <f>1/(1+Calculation_Assumptions!$B$5)^(B263-Calculation_Assumptions!$B$2)</f>
        <v>0.970873786407767</v>
      </c>
      <c r="W263" s="21">
        <f t="shared" si="46"/>
        <v>15498352.444780251</v>
      </c>
      <c r="X263" s="21">
        <f t="shared" si="47"/>
        <v>17409455.102923781</v>
      </c>
      <c r="Y263" s="21">
        <f t="shared" si="48"/>
        <v>1911102.6581435292</v>
      </c>
      <c r="Z263" s="15">
        <f>IFERROR(INDEX(Cost_Components!$T$2:$T$27,MATCH(E263,Cost_Components!$A$2:$A$27,0)),"")</f>
        <v>0.8</v>
      </c>
      <c r="AA263" s="24">
        <f>IFERROR(INDEX(Cost_Components!$U$2:$U$27,MATCH(E263,Cost_Components!$A$2:$A$27,0)),"")</f>
        <v>2025</v>
      </c>
      <c r="AB263" s="24">
        <f>IFERROR(INDEX(Cost_Components!$V$2:$V$27,MATCH(E263,Cost_Components!$A$2:$A$27,0)),"")</f>
        <v>2050</v>
      </c>
      <c r="AC263" s="24">
        <f>IFERROR(INDEX(Cost_Components!$M$2:$M$27,MATCH(E263,Cost_Components!$A$2:$A$27,0)),"")</f>
        <v>0</v>
      </c>
      <c r="AD263" s="24">
        <f>IFERROR(INDEX(Cost_Components!$N$2:$N$27,MATCH(E263,Cost_Components!$A$2:$A$27,0)),"")</f>
        <v>95</v>
      </c>
      <c r="AE263" s="14" t="str">
        <f>IFERROR(INDEX(Cost_Components!$O$2:$O$27,MATCH(E263,Cost_Components!$A$2:$A$27,0)),"")</f>
        <v>Both</v>
      </c>
      <c r="AF263" s="11">
        <v>448052.068681948</v>
      </c>
      <c r="AG263" s="11">
        <v>447365.23312030802</v>
      </c>
      <c r="AH263" s="21">
        <f t="shared" si="49"/>
        <v>1</v>
      </c>
    </row>
    <row r="264" spans="1:34" hidden="1">
      <c r="A264" t="s">
        <v>197</v>
      </c>
      <c r="B264" s="18">
        <v>2027</v>
      </c>
      <c r="C264" t="s">
        <v>197</v>
      </c>
      <c r="D264" t="s">
        <v>163</v>
      </c>
      <c r="E264" s="20" t="s">
        <v>282</v>
      </c>
      <c r="F264" s="20" t="s">
        <v>283</v>
      </c>
      <c r="G264" s="20" t="s">
        <v>200</v>
      </c>
      <c r="H264" s="20" t="s">
        <v>192</v>
      </c>
      <c r="I264" s="20" t="s">
        <v>264</v>
      </c>
      <c r="J264" s="15">
        <f>IFERROR(INDEX(Cost_Components!$K$2:$K$27,MATCH(E264,Cost_Components!$A$2:$A$27,0)),"")</f>
        <v>1</v>
      </c>
      <c r="K264" s="15">
        <f t="shared" si="40"/>
        <v>0.36653846153846154</v>
      </c>
      <c r="L264" s="15">
        <f>IFERROR(INDEX(Cost_Components!$S$2:$S$27,MATCH(E264,Cost_Components!$A$2:$A$27,0)),"")</f>
        <v>0.31</v>
      </c>
      <c r="M264" s="26">
        <f>IFERROR(INDEX(Cost_Components!$L$2:$L$27,MATCH(E264,Cost_Components!$A$2:$A$27,0)),"")</f>
        <v>1</v>
      </c>
      <c r="N264" s="27">
        <f>IFERROR(INDEX(Cost_Components!$P$2:$P$27,MATCH(E264,Cost_Components!$A$2:$A$27,0)),"")</f>
        <v>115.10623099999999</v>
      </c>
      <c r="O264" s="21">
        <f t="shared" si="41"/>
        <v>462265.29353773902</v>
      </c>
      <c r="P264" s="21">
        <f t="shared" si="42"/>
        <v>460960.706051827</v>
      </c>
      <c r="Q264" s="21">
        <f t="shared" si="43"/>
        <v>16448429.348944655</v>
      </c>
      <c r="R264" s="21">
        <f t="shared" si="44"/>
        <v>19503370.663522929</v>
      </c>
      <c r="S264" s="21">
        <f t="shared" si="45"/>
        <v>3054941.3145782743</v>
      </c>
      <c r="T264" s="14">
        <f>IFERROR(INDEX(Cost_Components!$R$2:$R$27,MATCH(E264,Cost_Components!$A$2:$A$27,0)),"")</f>
        <v>1</v>
      </c>
      <c r="U264" s="24">
        <f>IFERROR(INDEX(Cost_Components!$Q$2:$Q$27,MATCH(E264,Cost_Components!$A$2:$A$27,0)),"")</f>
        <v>2023</v>
      </c>
      <c r="V264" s="28">
        <f>1/(1+Calculation_Assumptions!$B$5)^(B264-Calculation_Assumptions!$B$2)</f>
        <v>0.94259590913375435</v>
      </c>
      <c r="W264" s="21">
        <f t="shared" si="46"/>
        <v>15504222.215990813</v>
      </c>
      <c r="X264" s="21">
        <f t="shared" si="47"/>
        <v>18383797.401755989</v>
      </c>
      <c r="Y264" s="21">
        <f t="shared" si="48"/>
        <v>2879575.1857651751</v>
      </c>
      <c r="Z264" s="15">
        <f>IFERROR(INDEX(Cost_Components!$T$2:$T$27,MATCH(E264,Cost_Components!$A$2:$A$27,0)),"")</f>
        <v>0.8</v>
      </c>
      <c r="AA264" s="24">
        <f>IFERROR(INDEX(Cost_Components!$U$2:$U$27,MATCH(E264,Cost_Components!$A$2:$A$27,0)),"")</f>
        <v>2025</v>
      </c>
      <c r="AB264" s="24">
        <f>IFERROR(INDEX(Cost_Components!$V$2:$V$27,MATCH(E264,Cost_Components!$A$2:$A$27,0)),"")</f>
        <v>2050</v>
      </c>
      <c r="AC264" s="24">
        <f>IFERROR(INDEX(Cost_Components!$M$2:$M$27,MATCH(E264,Cost_Components!$A$2:$A$27,0)),"")</f>
        <v>0</v>
      </c>
      <c r="AD264" s="24">
        <f>IFERROR(INDEX(Cost_Components!$N$2:$N$27,MATCH(E264,Cost_Components!$A$2:$A$27,0)),"")</f>
        <v>95</v>
      </c>
      <c r="AE264" s="14" t="str">
        <f>IFERROR(INDEX(Cost_Components!$O$2:$O$27,MATCH(E264,Cost_Components!$A$2:$A$27,0)),"")</f>
        <v>Both</v>
      </c>
      <c r="AF264" s="11">
        <v>462265.29353773902</v>
      </c>
      <c r="AG264" s="11">
        <v>460960.706051827</v>
      </c>
      <c r="AH264" s="21">
        <f t="shared" si="49"/>
        <v>1</v>
      </c>
    </row>
    <row r="265" spans="1:34" hidden="1">
      <c r="A265" t="s">
        <v>197</v>
      </c>
      <c r="B265" s="18">
        <v>2028</v>
      </c>
      <c r="C265" t="s">
        <v>197</v>
      </c>
      <c r="D265" t="s">
        <v>163</v>
      </c>
      <c r="E265" s="20" t="s">
        <v>282</v>
      </c>
      <c r="F265" s="20" t="s">
        <v>283</v>
      </c>
      <c r="G265" s="20" t="s">
        <v>200</v>
      </c>
      <c r="H265" s="20" t="s">
        <v>192</v>
      </c>
      <c r="I265" s="20" t="s">
        <v>264</v>
      </c>
      <c r="J265" s="15">
        <f>IFERROR(INDEX(Cost_Components!$K$2:$K$27,MATCH(E265,Cost_Components!$A$2:$A$27,0)),"")</f>
        <v>1</v>
      </c>
      <c r="K265" s="15">
        <f t="shared" si="40"/>
        <v>0.38538461538461538</v>
      </c>
      <c r="L265" s="15">
        <f>IFERROR(INDEX(Cost_Components!$S$2:$S$27,MATCH(E265,Cost_Components!$A$2:$A$27,0)),"")</f>
        <v>0.31</v>
      </c>
      <c r="M265" s="26">
        <f>IFERROR(INDEX(Cost_Components!$L$2:$L$27,MATCH(E265,Cost_Components!$A$2:$A$27,0)),"")</f>
        <v>1</v>
      </c>
      <c r="N265" s="27">
        <f>IFERROR(INDEX(Cost_Components!$P$2:$P$27,MATCH(E265,Cost_Components!$A$2:$A$27,0)),"")</f>
        <v>115.10623099999999</v>
      </c>
      <c r="O265" s="21">
        <f t="shared" si="41"/>
        <v>477171.23168471298</v>
      </c>
      <c r="P265" s="21">
        <f t="shared" si="42"/>
        <v>475096.378068825</v>
      </c>
      <c r="Q265" s="21">
        <f t="shared" si="43"/>
        <v>16952831.566788584</v>
      </c>
      <c r="R265" s="21">
        <f t="shared" si="44"/>
        <v>21167397.224960309</v>
      </c>
      <c r="S265" s="21">
        <f t="shared" si="45"/>
        <v>4214565.6581717245</v>
      </c>
      <c r="T265" s="14">
        <f>IFERROR(INDEX(Cost_Components!$R$2:$R$27,MATCH(E265,Cost_Components!$A$2:$A$27,0)),"")</f>
        <v>1</v>
      </c>
      <c r="U265" s="24">
        <f>IFERROR(INDEX(Cost_Components!$Q$2:$Q$27,MATCH(E265,Cost_Components!$A$2:$A$27,0)),"")</f>
        <v>2023</v>
      </c>
      <c r="V265" s="28">
        <f>1/(1+Calculation_Assumptions!$B$5)^(B265-Calculation_Assumptions!$B$2)</f>
        <v>0.91514165935315961</v>
      </c>
      <c r="W265" s="21">
        <f t="shared" si="46"/>
        <v>15514242.410765529</v>
      </c>
      <c r="X265" s="21">
        <f t="shared" si="47"/>
        <v>19371167.020637643</v>
      </c>
      <c r="Y265" s="21">
        <f t="shared" si="48"/>
        <v>3856924.6098721134</v>
      </c>
      <c r="Z265" s="15">
        <f>IFERROR(INDEX(Cost_Components!$T$2:$T$27,MATCH(E265,Cost_Components!$A$2:$A$27,0)),"")</f>
        <v>0.8</v>
      </c>
      <c r="AA265" s="24">
        <f>IFERROR(INDEX(Cost_Components!$U$2:$U$27,MATCH(E265,Cost_Components!$A$2:$A$27,0)),"")</f>
        <v>2025</v>
      </c>
      <c r="AB265" s="24">
        <f>IFERROR(INDEX(Cost_Components!$V$2:$V$27,MATCH(E265,Cost_Components!$A$2:$A$27,0)),"")</f>
        <v>2050</v>
      </c>
      <c r="AC265" s="24">
        <f>IFERROR(INDEX(Cost_Components!$M$2:$M$27,MATCH(E265,Cost_Components!$A$2:$A$27,0)),"")</f>
        <v>0</v>
      </c>
      <c r="AD265" s="24">
        <f>IFERROR(INDEX(Cost_Components!$N$2:$N$27,MATCH(E265,Cost_Components!$A$2:$A$27,0)),"")</f>
        <v>95</v>
      </c>
      <c r="AE265" s="14" t="str">
        <f>IFERROR(INDEX(Cost_Components!$O$2:$O$27,MATCH(E265,Cost_Components!$A$2:$A$27,0)),"")</f>
        <v>Both</v>
      </c>
      <c r="AF265" s="11">
        <v>477171.23168471298</v>
      </c>
      <c r="AG265" s="11">
        <v>475096.378068825</v>
      </c>
      <c r="AH265" s="21">
        <f t="shared" si="49"/>
        <v>1</v>
      </c>
    </row>
    <row r="266" spans="1:34" hidden="1">
      <c r="A266" t="s">
        <v>197</v>
      </c>
      <c r="B266" s="18">
        <v>2029</v>
      </c>
      <c r="C266" t="s">
        <v>197</v>
      </c>
      <c r="D266" t="s">
        <v>163</v>
      </c>
      <c r="E266" s="20" t="s">
        <v>282</v>
      </c>
      <c r="F266" s="20" t="s">
        <v>283</v>
      </c>
      <c r="G266" s="20" t="s">
        <v>200</v>
      </c>
      <c r="H266" s="20" t="s">
        <v>192</v>
      </c>
      <c r="I266" s="20" t="s">
        <v>264</v>
      </c>
      <c r="J266" s="15">
        <f>IFERROR(INDEX(Cost_Components!$K$2:$K$27,MATCH(E266,Cost_Components!$A$2:$A$27,0)),"")</f>
        <v>1</v>
      </c>
      <c r="K266" s="15">
        <f t="shared" si="40"/>
        <v>0.40423076923076923</v>
      </c>
      <c r="L266" s="15">
        <f>IFERROR(INDEX(Cost_Components!$S$2:$S$27,MATCH(E266,Cost_Components!$A$2:$A$27,0)),"")</f>
        <v>0.31</v>
      </c>
      <c r="M266" s="26">
        <f>IFERROR(INDEX(Cost_Components!$L$2:$L$27,MATCH(E266,Cost_Components!$A$2:$A$27,0)),"")</f>
        <v>1</v>
      </c>
      <c r="N266" s="27">
        <f>IFERROR(INDEX(Cost_Components!$P$2:$P$27,MATCH(E266,Cost_Components!$A$2:$A$27,0)),"")</f>
        <v>115.10623099999999</v>
      </c>
      <c r="O266" s="21">
        <f t="shared" si="41"/>
        <v>492620.88072090002</v>
      </c>
      <c r="P266" s="21">
        <f t="shared" si="42"/>
        <v>489637.48381828202</v>
      </c>
      <c r="Q266" s="21">
        <f t="shared" si="43"/>
        <v>17471700.848780237</v>
      </c>
      <c r="R266" s="21">
        <f t="shared" si="44"/>
        <v>22921393.565061238</v>
      </c>
      <c r="S266" s="21">
        <f t="shared" si="45"/>
        <v>5449692.7162810005</v>
      </c>
      <c r="T266" s="14">
        <f>IFERROR(INDEX(Cost_Components!$R$2:$R$27,MATCH(E266,Cost_Components!$A$2:$A$27,0)),"")</f>
        <v>1</v>
      </c>
      <c r="U266" s="24">
        <f>IFERROR(INDEX(Cost_Components!$Q$2:$Q$27,MATCH(E266,Cost_Components!$A$2:$A$27,0)),"")</f>
        <v>2023</v>
      </c>
      <c r="V266" s="28">
        <f>1/(1+Calculation_Assumptions!$B$5)^(B266-Calculation_Assumptions!$B$2)</f>
        <v>0.888487047915689</v>
      </c>
      <c r="W266" s="21">
        <f t="shared" si="46"/>
        <v>15523379.909198791</v>
      </c>
      <c r="X266" s="21">
        <f t="shared" si="47"/>
        <v>20365361.30273493</v>
      </c>
      <c r="Y266" s="21">
        <f t="shared" si="48"/>
        <v>4841981.3935361383</v>
      </c>
      <c r="Z266" s="15">
        <f>IFERROR(INDEX(Cost_Components!$T$2:$T$27,MATCH(E266,Cost_Components!$A$2:$A$27,0)),"")</f>
        <v>0.8</v>
      </c>
      <c r="AA266" s="24">
        <f>IFERROR(INDEX(Cost_Components!$U$2:$U$27,MATCH(E266,Cost_Components!$A$2:$A$27,0)),"")</f>
        <v>2025</v>
      </c>
      <c r="AB266" s="24">
        <f>IFERROR(INDEX(Cost_Components!$V$2:$V$27,MATCH(E266,Cost_Components!$A$2:$A$27,0)),"")</f>
        <v>2050</v>
      </c>
      <c r="AC266" s="24">
        <f>IFERROR(INDEX(Cost_Components!$M$2:$M$27,MATCH(E266,Cost_Components!$A$2:$A$27,0)),"")</f>
        <v>0</v>
      </c>
      <c r="AD266" s="24">
        <f>IFERROR(INDEX(Cost_Components!$N$2:$N$27,MATCH(E266,Cost_Components!$A$2:$A$27,0)),"")</f>
        <v>95</v>
      </c>
      <c r="AE266" s="14" t="str">
        <f>IFERROR(INDEX(Cost_Components!$O$2:$O$27,MATCH(E266,Cost_Components!$A$2:$A$27,0)),"")</f>
        <v>Both</v>
      </c>
      <c r="AF266" s="11">
        <v>492620.88072090002</v>
      </c>
      <c r="AG266" s="11">
        <v>489637.48381828202</v>
      </c>
      <c r="AH266" s="21">
        <f t="shared" si="49"/>
        <v>1</v>
      </c>
    </row>
    <row r="267" spans="1:34" hidden="1">
      <c r="A267" t="s">
        <v>197</v>
      </c>
      <c r="B267" s="18">
        <v>2030</v>
      </c>
      <c r="C267" t="s">
        <v>197</v>
      </c>
      <c r="D267" t="s">
        <v>163</v>
      </c>
      <c r="E267" s="20" t="s">
        <v>282</v>
      </c>
      <c r="F267" s="20" t="s">
        <v>283</v>
      </c>
      <c r="G267" s="20" t="s">
        <v>200</v>
      </c>
      <c r="H267" s="20" t="s">
        <v>192</v>
      </c>
      <c r="I267" s="20" t="s">
        <v>264</v>
      </c>
      <c r="J267" s="15">
        <f>IFERROR(INDEX(Cost_Components!$K$2:$K$27,MATCH(E267,Cost_Components!$A$2:$A$27,0)),"")</f>
        <v>1</v>
      </c>
      <c r="K267" s="15">
        <f t="shared" si="40"/>
        <v>0.42307692307692307</v>
      </c>
      <c r="L267" s="15">
        <f>IFERROR(INDEX(Cost_Components!$S$2:$S$27,MATCH(E267,Cost_Components!$A$2:$A$27,0)),"")</f>
        <v>0.31</v>
      </c>
      <c r="M267" s="26">
        <f>IFERROR(INDEX(Cost_Components!$L$2:$L$27,MATCH(E267,Cost_Components!$A$2:$A$27,0)),"")</f>
        <v>1</v>
      </c>
      <c r="N267" s="27">
        <f>IFERROR(INDEX(Cost_Components!$P$2:$P$27,MATCH(E267,Cost_Components!$A$2:$A$27,0)),"")</f>
        <v>115.10623099999999</v>
      </c>
      <c r="O267" s="21">
        <f t="shared" si="41"/>
        <v>508485.34213025298</v>
      </c>
      <c r="P267" s="21">
        <f t="shared" si="42"/>
        <v>504464.39473080903</v>
      </c>
      <c r="Q267" s="21">
        <f t="shared" si="43"/>
        <v>18000768.496859502</v>
      </c>
      <c r="R267" s="21">
        <f t="shared" si="44"/>
        <v>24762620.914036471</v>
      </c>
      <c r="S267" s="21">
        <f t="shared" si="45"/>
        <v>6761852.4171769693</v>
      </c>
      <c r="T267" s="14">
        <f>IFERROR(INDEX(Cost_Components!$R$2:$R$27,MATCH(E267,Cost_Components!$A$2:$A$27,0)),"")</f>
        <v>1</v>
      </c>
      <c r="U267" s="24">
        <f>IFERROR(INDEX(Cost_Components!$Q$2:$Q$27,MATCH(E267,Cost_Components!$A$2:$A$27,0)),"")</f>
        <v>2023</v>
      </c>
      <c r="V267" s="28">
        <f>1/(1+Calculation_Assumptions!$B$5)^(B267-Calculation_Assumptions!$B$2)</f>
        <v>0.86260878438416411</v>
      </c>
      <c r="W267" s="21">
        <f t="shared" si="46"/>
        <v>15527621.031056732</v>
      </c>
      <c r="X267" s="21">
        <f t="shared" si="47"/>
        <v>21360454.32482288</v>
      </c>
      <c r="Y267" s="21">
        <f t="shared" si="48"/>
        <v>5832833.2937661475</v>
      </c>
      <c r="Z267" s="15">
        <f>IFERROR(INDEX(Cost_Components!$T$2:$T$27,MATCH(E267,Cost_Components!$A$2:$A$27,0)),"")</f>
        <v>0.8</v>
      </c>
      <c r="AA267" s="24">
        <f>IFERROR(INDEX(Cost_Components!$U$2:$U$27,MATCH(E267,Cost_Components!$A$2:$A$27,0)),"")</f>
        <v>2025</v>
      </c>
      <c r="AB267" s="24">
        <f>IFERROR(INDEX(Cost_Components!$V$2:$V$27,MATCH(E267,Cost_Components!$A$2:$A$27,0)),"")</f>
        <v>2050</v>
      </c>
      <c r="AC267" s="24">
        <f>IFERROR(INDEX(Cost_Components!$M$2:$M$27,MATCH(E267,Cost_Components!$A$2:$A$27,0)),"")</f>
        <v>0</v>
      </c>
      <c r="AD267" s="24">
        <f>IFERROR(INDEX(Cost_Components!$N$2:$N$27,MATCH(E267,Cost_Components!$A$2:$A$27,0)),"")</f>
        <v>95</v>
      </c>
      <c r="AE267" s="14" t="str">
        <f>IFERROR(INDEX(Cost_Components!$O$2:$O$27,MATCH(E267,Cost_Components!$A$2:$A$27,0)),"")</f>
        <v>Both</v>
      </c>
      <c r="AF267" s="11">
        <v>508485.34213025298</v>
      </c>
      <c r="AG267" s="11">
        <v>504464.39473080903</v>
      </c>
      <c r="AH267" s="21">
        <f t="shared" si="49"/>
        <v>1</v>
      </c>
    </row>
    <row r="268" spans="1:34" hidden="1">
      <c r="A268" t="s">
        <v>197</v>
      </c>
      <c r="B268" s="18">
        <v>2031</v>
      </c>
      <c r="C268" t="s">
        <v>197</v>
      </c>
      <c r="D268" t="s">
        <v>163</v>
      </c>
      <c r="E268" s="20" t="s">
        <v>282</v>
      </c>
      <c r="F268" s="20" t="s">
        <v>283</v>
      </c>
      <c r="G268" s="20" t="s">
        <v>200</v>
      </c>
      <c r="H268" s="20" t="s">
        <v>192</v>
      </c>
      <c r="I268" s="20" t="s">
        <v>264</v>
      </c>
      <c r="J268" s="15">
        <f>IFERROR(INDEX(Cost_Components!$K$2:$K$27,MATCH(E268,Cost_Components!$A$2:$A$27,0)),"")</f>
        <v>1</v>
      </c>
      <c r="K268" s="15">
        <f t="shared" si="40"/>
        <v>0.44192307692307692</v>
      </c>
      <c r="L268" s="15">
        <f>IFERROR(INDEX(Cost_Components!$S$2:$S$27,MATCH(E268,Cost_Components!$A$2:$A$27,0)),"")</f>
        <v>0.31</v>
      </c>
      <c r="M268" s="26">
        <f>IFERROR(INDEX(Cost_Components!$L$2:$L$27,MATCH(E268,Cost_Components!$A$2:$A$27,0)),"")</f>
        <v>1</v>
      </c>
      <c r="N268" s="27">
        <f>IFERROR(INDEX(Cost_Components!$P$2:$P$27,MATCH(E268,Cost_Components!$A$2:$A$27,0)),"")</f>
        <v>115.10623099999999</v>
      </c>
      <c r="O268" s="21">
        <f t="shared" si="41"/>
        <v>524668.31268127903</v>
      </c>
      <c r="P268" s="21">
        <f t="shared" si="42"/>
        <v>519487.28069878498</v>
      </c>
      <c r="Q268" s="21">
        <f t="shared" si="43"/>
        <v>18536829.109439619</v>
      </c>
      <c r="R268" s="21">
        <f t="shared" si="44"/>
        <v>26688880.079059377</v>
      </c>
      <c r="S268" s="21">
        <f t="shared" si="45"/>
        <v>8152050.9696197584</v>
      </c>
      <c r="T268" s="14">
        <f>IFERROR(INDEX(Cost_Components!$R$2:$R$27,MATCH(E268,Cost_Components!$A$2:$A$27,0)),"")</f>
        <v>1</v>
      </c>
      <c r="U268" s="24">
        <f>IFERROR(INDEX(Cost_Components!$Q$2:$Q$27,MATCH(E268,Cost_Components!$A$2:$A$27,0)),"")</f>
        <v>2023</v>
      </c>
      <c r="V268" s="28">
        <f>1/(1+Calculation_Assumptions!$B$5)^(B268-Calculation_Assumptions!$B$2)</f>
        <v>0.83748425668365445</v>
      </c>
      <c r="W268" s="21">
        <f t="shared" si="46"/>
        <v>15524302.547990967</v>
      </c>
      <c r="X268" s="21">
        <f t="shared" si="47"/>
        <v>22351516.894730236</v>
      </c>
      <c r="Y268" s="21">
        <f t="shared" si="48"/>
        <v>6827214.3467392679</v>
      </c>
      <c r="Z268" s="15">
        <f>IFERROR(INDEX(Cost_Components!$T$2:$T$27,MATCH(E268,Cost_Components!$A$2:$A$27,0)),"")</f>
        <v>0.8</v>
      </c>
      <c r="AA268" s="24">
        <f>IFERROR(INDEX(Cost_Components!$U$2:$U$27,MATCH(E268,Cost_Components!$A$2:$A$27,0)),"")</f>
        <v>2025</v>
      </c>
      <c r="AB268" s="24">
        <f>IFERROR(INDEX(Cost_Components!$V$2:$V$27,MATCH(E268,Cost_Components!$A$2:$A$27,0)),"")</f>
        <v>2050</v>
      </c>
      <c r="AC268" s="24">
        <f>IFERROR(INDEX(Cost_Components!$M$2:$M$27,MATCH(E268,Cost_Components!$A$2:$A$27,0)),"")</f>
        <v>0</v>
      </c>
      <c r="AD268" s="24">
        <f>IFERROR(INDEX(Cost_Components!$N$2:$N$27,MATCH(E268,Cost_Components!$A$2:$A$27,0)),"")</f>
        <v>95</v>
      </c>
      <c r="AE268" s="14" t="str">
        <f>IFERROR(INDEX(Cost_Components!$O$2:$O$27,MATCH(E268,Cost_Components!$A$2:$A$27,0)),"")</f>
        <v>Both</v>
      </c>
      <c r="AF268" s="11">
        <v>524668.31268127903</v>
      </c>
      <c r="AG268" s="11">
        <v>519487.28069878498</v>
      </c>
      <c r="AH268" s="21">
        <f t="shared" si="49"/>
        <v>1</v>
      </c>
    </row>
    <row r="269" spans="1:34" hidden="1">
      <c r="A269" t="s">
        <v>197</v>
      </c>
      <c r="B269" s="18">
        <v>2032</v>
      </c>
      <c r="C269" t="s">
        <v>197</v>
      </c>
      <c r="D269" t="s">
        <v>163</v>
      </c>
      <c r="E269" s="20" t="s">
        <v>282</v>
      </c>
      <c r="F269" s="20" t="s">
        <v>283</v>
      </c>
      <c r="G269" s="20" t="s">
        <v>200</v>
      </c>
      <c r="H269" s="20" t="s">
        <v>192</v>
      </c>
      <c r="I269" s="20" t="s">
        <v>264</v>
      </c>
      <c r="J269" s="15">
        <f>IFERROR(INDEX(Cost_Components!$K$2:$K$27,MATCH(E269,Cost_Components!$A$2:$A$27,0)),"")</f>
        <v>1</v>
      </c>
      <c r="K269" s="15">
        <f t="shared" si="40"/>
        <v>0.46076923076923082</v>
      </c>
      <c r="L269" s="15">
        <f>IFERROR(INDEX(Cost_Components!$S$2:$S$27,MATCH(E269,Cost_Components!$A$2:$A$27,0)),"")</f>
        <v>0.31</v>
      </c>
      <c r="M269" s="26">
        <f>IFERROR(INDEX(Cost_Components!$L$2:$L$27,MATCH(E269,Cost_Components!$A$2:$A$27,0)),"")</f>
        <v>1</v>
      </c>
      <c r="N269" s="27">
        <f>IFERROR(INDEX(Cost_Components!$P$2:$P$27,MATCH(E269,Cost_Components!$A$2:$A$27,0)),"")</f>
        <v>115.10623099999999</v>
      </c>
      <c r="O269" s="21">
        <f t="shared" si="41"/>
        <v>541099.95160701894</v>
      </c>
      <c r="P269" s="21">
        <f t="shared" si="42"/>
        <v>534641.91244595998</v>
      </c>
      <c r="Q269" s="21">
        <f t="shared" si="43"/>
        <v>19077590.797648799</v>
      </c>
      <c r="R269" s="21">
        <f t="shared" si="44"/>
        <v>28698539.721720032</v>
      </c>
      <c r="S269" s="21">
        <f t="shared" si="45"/>
        <v>9620948.9240712337</v>
      </c>
      <c r="T269" s="14">
        <f>IFERROR(INDEX(Cost_Components!$R$2:$R$27,MATCH(E269,Cost_Components!$A$2:$A$27,0)),"")</f>
        <v>1</v>
      </c>
      <c r="U269" s="24">
        <f>IFERROR(INDEX(Cost_Components!$Q$2:$Q$27,MATCH(E269,Cost_Components!$A$2:$A$27,0)),"")</f>
        <v>2023</v>
      </c>
      <c r="V269" s="28">
        <f>1/(1+Calculation_Assumptions!$B$5)^(B269-Calculation_Assumptions!$B$2)</f>
        <v>0.81309151134335378</v>
      </c>
      <c r="W269" s="21">
        <f t="shared" si="46"/>
        <v>15511827.13445032</v>
      </c>
      <c r="X269" s="21">
        <f t="shared" si="47"/>
        <v>23334539.035680614</v>
      </c>
      <c r="Y269" s="21">
        <f t="shared" si="48"/>
        <v>7822711.9012302933</v>
      </c>
      <c r="Z269" s="15">
        <f>IFERROR(INDEX(Cost_Components!$T$2:$T$27,MATCH(E269,Cost_Components!$A$2:$A$27,0)),"")</f>
        <v>0.8</v>
      </c>
      <c r="AA269" s="24">
        <f>IFERROR(INDEX(Cost_Components!$U$2:$U$27,MATCH(E269,Cost_Components!$A$2:$A$27,0)),"")</f>
        <v>2025</v>
      </c>
      <c r="AB269" s="24">
        <f>IFERROR(INDEX(Cost_Components!$V$2:$V$27,MATCH(E269,Cost_Components!$A$2:$A$27,0)),"")</f>
        <v>2050</v>
      </c>
      <c r="AC269" s="24">
        <f>IFERROR(INDEX(Cost_Components!$M$2:$M$27,MATCH(E269,Cost_Components!$A$2:$A$27,0)),"")</f>
        <v>0</v>
      </c>
      <c r="AD269" s="24">
        <f>IFERROR(INDEX(Cost_Components!$N$2:$N$27,MATCH(E269,Cost_Components!$A$2:$A$27,0)),"")</f>
        <v>95</v>
      </c>
      <c r="AE269" s="14" t="str">
        <f>IFERROR(INDEX(Cost_Components!$O$2:$O$27,MATCH(E269,Cost_Components!$A$2:$A$27,0)),"")</f>
        <v>Both</v>
      </c>
      <c r="AF269" s="11">
        <v>541099.95160701894</v>
      </c>
      <c r="AG269" s="11">
        <v>534641.91244595998</v>
      </c>
      <c r="AH269" s="21">
        <f t="shared" si="49"/>
        <v>1</v>
      </c>
    </row>
    <row r="270" spans="1:34" hidden="1">
      <c r="A270" t="s">
        <v>197</v>
      </c>
      <c r="B270" s="18">
        <v>2033</v>
      </c>
      <c r="C270" t="s">
        <v>197</v>
      </c>
      <c r="D270" t="s">
        <v>163</v>
      </c>
      <c r="E270" s="20" t="s">
        <v>282</v>
      </c>
      <c r="F270" s="20" t="s">
        <v>283</v>
      </c>
      <c r="G270" s="20" t="s">
        <v>200</v>
      </c>
      <c r="H270" s="20" t="s">
        <v>192</v>
      </c>
      <c r="I270" s="20" t="s">
        <v>264</v>
      </c>
      <c r="J270" s="15">
        <f>IFERROR(INDEX(Cost_Components!$K$2:$K$27,MATCH(E270,Cost_Components!$A$2:$A$27,0)),"")</f>
        <v>1</v>
      </c>
      <c r="K270" s="15">
        <f t="shared" si="40"/>
        <v>0.47961538461538467</v>
      </c>
      <c r="L270" s="15">
        <f>IFERROR(INDEX(Cost_Components!$S$2:$S$27,MATCH(E270,Cost_Components!$A$2:$A$27,0)),"")</f>
        <v>0.31</v>
      </c>
      <c r="M270" s="26">
        <f>IFERROR(INDEX(Cost_Components!$L$2:$L$27,MATCH(E270,Cost_Components!$A$2:$A$27,0)),"")</f>
        <v>1</v>
      </c>
      <c r="N270" s="27">
        <f>IFERROR(INDEX(Cost_Components!$P$2:$P$27,MATCH(E270,Cost_Components!$A$2:$A$27,0)),"")</f>
        <v>115.10623099999999</v>
      </c>
      <c r="O270" s="21">
        <f t="shared" si="41"/>
        <v>557721.37931982195</v>
      </c>
      <c r="P270" s="21">
        <f t="shared" si="42"/>
        <v>549875.43830405804</v>
      </c>
      <c r="Q270" s="21">
        <f t="shared" si="43"/>
        <v>19621167.659022477</v>
      </c>
      <c r="R270" s="21">
        <f t="shared" si="44"/>
        <v>30789967.609333724</v>
      </c>
      <c r="S270" s="21">
        <f t="shared" si="45"/>
        <v>11168799.950311247</v>
      </c>
      <c r="T270" s="14">
        <f>IFERROR(INDEX(Cost_Components!$R$2:$R$27,MATCH(E270,Cost_Components!$A$2:$A$27,0)),"")</f>
        <v>1</v>
      </c>
      <c r="U270" s="24">
        <f>IFERROR(INDEX(Cost_Components!$Q$2:$Q$27,MATCH(E270,Cost_Components!$A$2:$A$27,0)),"")</f>
        <v>2023</v>
      </c>
      <c r="V270" s="28">
        <f>1/(1+Calculation_Assumptions!$B$5)^(B270-Calculation_Assumptions!$B$2)</f>
        <v>0.78940923431393573</v>
      </c>
      <c r="W270" s="21">
        <f t="shared" si="46"/>
        <v>15489130.938054292</v>
      </c>
      <c r="X270" s="21">
        <f t="shared" si="47"/>
        <v>24305884.755035017</v>
      </c>
      <c r="Y270" s="21">
        <f t="shared" si="48"/>
        <v>8816753.8169807252</v>
      </c>
      <c r="Z270" s="15">
        <f>IFERROR(INDEX(Cost_Components!$T$2:$T$27,MATCH(E270,Cost_Components!$A$2:$A$27,0)),"")</f>
        <v>0.8</v>
      </c>
      <c r="AA270" s="24">
        <f>IFERROR(INDEX(Cost_Components!$U$2:$U$27,MATCH(E270,Cost_Components!$A$2:$A$27,0)),"")</f>
        <v>2025</v>
      </c>
      <c r="AB270" s="24">
        <f>IFERROR(INDEX(Cost_Components!$V$2:$V$27,MATCH(E270,Cost_Components!$A$2:$A$27,0)),"")</f>
        <v>2050</v>
      </c>
      <c r="AC270" s="24">
        <f>IFERROR(INDEX(Cost_Components!$M$2:$M$27,MATCH(E270,Cost_Components!$A$2:$A$27,0)),"")</f>
        <v>0</v>
      </c>
      <c r="AD270" s="24">
        <f>IFERROR(INDEX(Cost_Components!$N$2:$N$27,MATCH(E270,Cost_Components!$A$2:$A$27,0)),"")</f>
        <v>95</v>
      </c>
      <c r="AE270" s="14" t="str">
        <f>IFERROR(INDEX(Cost_Components!$O$2:$O$27,MATCH(E270,Cost_Components!$A$2:$A$27,0)),"")</f>
        <v>Both</v>
      </c>
      <c r="AF270" s="11">
        <v>557721.37931982195</v>
      </c>
      <c r="AG270" s="11">
        <v>549875.43830405804</v>
      </c>
      <c r="AH270" s="21">
        <f t="shared" si="49"/>
        <v>1</v>
      </c>
    </row>
    <row r="271" spans="1:34" hidden="1">
      <c r="A271" t="s">
        <v>197</v>
      </c>
      <c r="B271" s="18">
        <v>2034</v>
      </c>
      <c r="C271" t="s">
        <v>197</v>
      </c>
      <c r="D271" t="s">
        <v>163</v>
      </c>
      <c r="E271" s="20" t="s">
        <v>282</v>
      </c>
      <c r="F271" s="20" t="s">
        <v>283</v>
      </c>
      <c r="G271" s="20" t="s">
        <v>200</v>
      </c>
      <c r="H271" s="20" t="s">
        <v>192</v>
      </c>
      <c r="I271" s="20" t="s">
        <v>264</v>
      </c>
      <c r="J271" s="15">
        <f>IFERROR(INDEX(Cost_Components!$K$2:$K$27,MATCH(E271,Cost_Components!$A$2:$A$27,0)),"")</f>
        <v>1</v>
      </c>
      <c r="K271" s="15">
        <f t="shared" si="40"/>
        <v>0.49846153846153851</v>
      </c>
      <c r="L271" s="15">
        <f>IFERROR(INDEX(Cost_Components!$S$2:$S$27,MATCH(E271,Cost_Components!$A$2:$A$27,0)),"")</f>
        <v>0.31</v>
      </c>
      <c r="M271" s="26">
        <f>IFERROR(INDEX(Cost_Components!$L$2:$L$27,MATCH(E271,Cost_Components!$A$2:$A$27,0)),"")</f>
        <v>1</v>
      </c>
      <c r="N271" s="27">
        <f>IFERROR(INDEX(Cost_Components!$P$2:$P$27,MATCH(E271,Cost_Components!$A$2:$A$27,0)),"")</f>
        <v>115.10623099999999</v>
      </c>
      <c r="O271" s="21">
        <f t="shared" si="41"/>
        <v>574478.24599343201</v>
      </c>
      <c r="P271" s="21">
        <f t="shared" si="42"/>
        <v>565138.85185603704</v>
      </c>
      <c r="Q271" s="21">
        <f t="shared" si="43"/>
        <v>20165811.000932891</v>
      </c>
      <c r="R271" s="21">
        <f t="shared" si="44"/>
        <v>32961280.496685412</v>
      </c>
      <c r="S271" s="21">
        <f t="shared" si="45"/>
        <v>12795469.495752521</v>
      </c>
      <c r="T271" s="14">
        <f>IFERROR(INDEX(Cost_Components!$R$2:$R$27,MATCH(E271,Cost_Components!$A$2:$A$27,0)),"")</f>
        <v>1</v>
      </c>
      <c r="U271" s="24">
        <f>IFERROR(INDEX(Cost_Components!$Q$2:$Q$27,MATCH(E271,Cost_Components!$A$2:$A$27,0)),"")</f>
        <v>2023</v>
      </c>
      <c r="V271" s="28">
        <f>1/(1+Calculation_Assumptions!$B$5)^(B271-Calculation_Assumptions!$B$2)</f>
        <v>0.76641673234362695</v>
      </c>
      <c r="W271" s="21">
        <f t="shared" si="46"/>
        <v>15455414.972394152</v>
      </c>
      <c r="X271" s="21">
        <f t="shared" si="47"/>
        <v>25262076.892131355</v>
      </c>
      <c r="Y271" s="21">
        <f t="shared" si="48"/>
        <v>9806661.919737203</v>
      </c>
      <c r="Z271" s="15">
        <f>IFERROR(INDEX(Cost_Components!$T$2:$T$27,MATCH(E271,Cost_Components!$A$2:$A$27,0)),"")</f>
        <v>0.8</v>
      </c>
      <c r="AA271" s="24">
        <f>IFERROR(INDEX(Cost_Components!$U$2:$U$27,MATCH(E271,Cost_Components!$A$2:$A$27,0)),"")</f>
        <v>2025</v>
      </c>
      <c r="AB271" s="24">
        <f>IFERROR(INDEX(Cost_Components!$V$2:$V$27,MATCH(E271,Cost_Components!$A$2:$A$27,0)),"")</f>
        <v>2050</v>
      </c>
      <c r="AC271" s="24">
        <f>IFERROR(INDEX(Cost_Components!$M$2:$M$27,MATCH(E271,Cost_Components!$A$2:$A$27,0)),"")</f>
        <v>0</v>
      </c>
      <c r="AD271" s="24">
        <f>IFERROR(INDEX(Cost_Components!$N$2:$N$27,MATCH(E271,Cost_Components!$A$2:$A$27,0)),"")</f>
        <v>95</v>
      </c>
      <c r="AE271" s="14" t="str">
        <f>IFERROR(INDEX(Cost_Components!$O$2:$O$27,MATCH(E271,Cost_Components!$A$2:$A$27,0)),"")</f>
        <v>Both</v>
      </c>
      <c r="AF271" s="11">
        <v>574478.24599343201</v>
      </c>
      <c r="AG271" s="11">
        <v>565138.85185603704</v>
      </c>
      <c r="AH271" s="21">
        <f t="shared" si="49"/>
        <v>1</v>
      </c>
    </row>
    <row r="272" spans="1:34" hidden="1">
      <c r="A272" t="s">
        <v>197</v>
      </c>
      <c r="B272" s="18">
        <v>2035</v>
      </c>
      <c r="C272" t="s">
        <v>197</v>
      </c>
      <c r="D272" t="s">
        <v>163</v>
      </c>
      <c r="E272" s="20" t="s">
        <v>282</v>
      </c>
      <c r="F272" s="20" t="s">
        <v>283</v>
      </c>
      <c r="G272" s="20" t="s">
        <v>200</v>
      </c>
      <c r="H272" s="20" t="s">
        <v>192</v>
      </c>
      <c r="I272" s="20" t="s">
        <v>264</v>
      </c>
      <c r="J272" s="15">
        <f>IFERROR(INDEX(Cost_Components!$K$2:$K$27,MATCH(E272,Cost_Components!$A$2:$A$27,0)),"")</f>
        <v>1</v>
      </c>
      <c r="K272" s="15">
        <f t="shared" si="40"/>
        <v>0.51730769230769236</v>
      </c>
      <c r="L272" s="15">
        <f>IFERROR(INDEX(Cost_Components!$S$2:$S$27,MATCH(E272,Cost_Components!$A$2:$A$27,0)),"")</f>
        <v>0.31</v>
      </c>
      <c r="M272" s="26">
        <f>IFERROR(INDEX(Cost_Components!$L$2:$L$27,MATCH(E272,Cost_Components!$A$2:$A$27,0)),"")</f>
        <v>1</v>
      </c>
      <c r="N272" s="27">
        <f>IFERROR(INDEX(Cost_Components!$P$2:$P$27,MATCH(E272,Cost_Components!$A$2:$A$27,0)),"")</f>
        <v>115.10623099999999</v>
      </c>
      <c r="O272" s="21">
        <f t="shared" si="41"/>
        <v>591313.753098196</v>
      </c>
      <c r="P272" s="21">
        <f t="shared" si="42"/>
        <v>580380.33511538198</v>
      </c>
      <c r="Q272" s="21">
        <f t="shared" si="43"/>
        <v>20709671.805711053</v>
      </c>
      <c r="R272" s="21">
        <f t="shared" si="44"/>
        <v>35209977.723257385</v>
      </c>
      <c r="S272" s="21">
        <f t="shared" si="45"/>
        <v>14500305.917546332</v>
      </c>
      <c r="T272" s="14">
        <f>IFERROR(INDEX(Cost_Components!$R$2:$R$27,MATCH(E272,Cost_Components!$A$2:$A$27,0)),"")</f>
        <v>1</v>
      </c>
      <c r="U272" s="24">
        <f>IFERROR(INDEX(Cost_Components!$Q$2:$Q$27,MATCH(E272,Cost_Components!$A$2:$A$27,0)),"")</f>
        <v>2023</v>
      </c>
      <c r="V272" s="28">
        <f>1/(1+Calculation_Assumptions!$B$5)^(B272-Calculation_Assumptions!$B$2)</f>
        <v>0.74409391489672516</v>
      </c>
      <c r="W272" s="21">
        <f t="shared" si="46"/>
        <v>15409940.770137869</v>
      </c>
      <c r="X272" s="21">
        <f t="shared" si="47"/>
        <v>26199530.167525068</v>
      </c>
      <c r="Y272" s="21">
        <f t="shared" si="48"/>
        <v>10789589.397387201</v>
      </c>
      <c r="Z272" s="15">
        <f>IFERROR(INDEX(Cost_Components!$T$2:$T$27,MATCH(E272,Cost_Components!$A$2:$A$27,0)),"")</f>
        <v>0.8</v>
      </c>
      <c r="AA272" s="24">
        <f>IFERROR(INDEX(Cost_Components!$U$2:$U$27,MATCH(E272,Cost_Components!$A$2:$A$27,0)),"")</f>
        <v>2025</v>
      </c>
      <c r="AB272" s="24">
        <f>IFERROR(INDEX(Cost_Components!$V$2:$V$27,MATCH(E272,Cost_Components!$A$2:$A$27,0)),"")</f>
        <v>2050</v>
      </c>
      <c r="AC272" s="24">
        <f>IFERROR(INDEX(Cost_Components!$M$2:$M$27,MATCH(E272,Cost_Components!$A$2:$A$27,0)),"")</f>
        <v>0</v>
      </c>
      <c r="AD272" s="24">
        <f>IFERROR(INDEX(Cost_Components!$N$2:$N$27,MATCH(E272,Cost_Components!$A$2:$A$27,0)),"")</f>
        <v>95</v>
      </c>
      <c r="AE272" s="14" t="str">
        <f>IFERROR(INDEX(Cost_Components!$O$2:$O$27,MATCH(E272,Cost_Components!$A$2:$A$27,0)),"")</f>
        <v>Both</v>
      </c>
      <c r="AF272" s="11">
        <v>591313.753098196</v>
      </c>
      <c r="AG272" s="11">
        <v>580380.33511538198</v>
      </c>
      <c r="AH272" s="21">
        <f t="shared" si="49"/>
        <v>1</v>
      </c>
    </row>
    <row r="273" spans="1:34" hidden="1">
      <c r="A273" t="s">
        <v>197</v>
      </c>
      <c r="B273" s="18">
        <v>2036</v>
      </c>
      <c r="C273" t="s">
        <v>197</v>
      </c>
      <c r="D273" t="s">
        <v>163</v>
      </c>
      <c r="E273" s="20" t="s">
        <v>282</v>
      </c>
      <c r="F273" s="20" t="s">
        <v>283</v>
      </c>
      <c r="G273" s="20" t="s">
        <v>200</v>
      </c>
      <c r="H273" s="20" t="s">
        <v>192</v>
      </c>
      <c r="I273" s="20" t="s">
        <v>264</v>
      </c>
      <c r="J273" s="15">
        <f>IFERROR(INDEX(Cost_Components!$K$2:$K$27,MATCH(E273,Cost_Components!$A$2:$A$27,0)),"")</f>
        <v>1</v>
      </c>
      <c r="K273" s="15">
        <f t="shared" si="40"/>
        <v>0.5361538461538462</v>
      </c>
      <c r="L273" s="15">
        <f>IFERROR(INDEX(Cost_Components!$S$2:$S$27,MATCH(E273,Cost_Components!$A$2:$A$27,0)),"")</f>
        <v>0.31</v>
      </c>
      <c r="M273" s="26">
        <f>IFERROR(INDEX(Cost_Components!$L$2:$L$27,MATCH(E273,Cost_Components!$A$2:$A$27,0)),"")</f>
        <v>1</v>
      </c>
      <c r="N273" s="27">
        <f>IFERROR(INDEX(Cost_Components!$P$2:$P$27,MATCH(E273,Cost_Components!$A$2:$A$27,0)),"")</f>
        <v>115.10623099999999</v>
      </c>
      <c r="O273" s="21">
        <f t="shared" si="41"/>
        <v>608201.26695751201</v>
      </c>
      <c r="P273" s="21">
        <f t="shared" si="42"/>
        <v>595578.09413784102</v>
      </c>
      <c r="Q273" s="21">
        <f t="shared" si="43"/>
        <v>21251972.401534721</v>
      </c>
      <c r="R273" s="21">
        <f t="shared" si="44"/>
        <v>37534927.387420088</v>
      </c>
      <c r="S273" s="21">
        <f t="shared" si="45"/>
        <v>16282954.985885367</v>
      </c>
      <c r="T273" s="14">
        <f>IFERROR(INDEX(Cost_Components!$R$2:$R$27,MATCH(E273,Cost_Components!$A$2:$A$27,0)),"")</f>
        <v>1</v>
      </c>
      <c r="U273" s="24">
        <f>IFERROR(INDEX(Cost_Components!$Q$2:$Q$27,MATCH(E273,Cost_Components!$A$2:$A$27,0)),"")</f>
        <v>2023</v>
      </c>
      <c r="V273" s="28">
        <f>1/(1+Calculation_Assumptions!$B$5)^(B273-Calculation_Assumptions!$B$2)</f>
        <v>0.72242127659876232</v>
      </c>
      <c r="W273" s="21">
        <f t="shared" si="46"/>
        <v>15352877.032558378</v>
      </c>
      <c r="X273" s="21">
        <f t="shared" si="47"/>
        <v>27116030.160261866</v>
      </c>
      <c r="Y273" s="21">
        <f t="shared" si="48"/>
        <v>11763153.127703488</v>
      </c>
      <c r="Z273" s="15">
        <f>IFERROR(INDEX(Cost_Components!$T$2:$T$27,MATCH(E273,Cost_Components!$A$2:$A$27,0)),"")</f>
        <v>0.8</v>
      </c>
      <c r="AA273" s="24">
        <f>IFERROR(INDEX(Cost_Components!$U$2:$U$27,MATCH(E273,Cost_Components!$A$2:$A$27,0)),"")</f>
        <v>2025</v>
      </c>
      <c r="AB273" s="24">
        <f>IFERROR(INDEX(Cost_Components!$V$2:$V$27,MATCH(E273,Cost_Components!$A$2:$A$27,0)),"")</f>
        <v>2050</v>
      </c>
      <c r="AC273" s="24">
        <f>IFERROR(INDEX(Cost_Components!$M$2:$M$27,MATCH(E273,Cost_Components!$A$2:$A$27,0)),"")</f>
        <v>0</v>
      </c>
      <c r="AD273" s="24">
        <f>IFERROR(INDEX(Cost_Components!$N$2:$N$27,MATCH(E273,Cost_Components!$A$2:$A$27,0)),"")</f>
        <v>95</v>
      </c>
      <c r="AE273" s="14" t="str">
        <f>IFERROR(INDEX(Cost_Components!$O$2:$O$27,MATCH(E273,Cost_Components!$A$2:$A$27,0)),"")</f>
        <v>Both</v>
      </c>
      <c r="AF273" s="11">
        <v>608201.26695751201</v>
      </c>
      <c r="AG273" s="11">
        <v>595578.09413784102</v>
      </c>
      <c r="AH273" s="21">
        <f t="shared" si="49"/>
        <v>1</v>
      </c>
    </row>
    <row r="274" spans="1:34" hidden="1">
      <c r="A274" t="s">
        <v>197</v>
      </c>
      <c r="B274" s="18">
        <v>2037</v>
      </c>
      <c r="C274" t="s">
        <v>197</v>
      </c>
      <c r="D274" t="s">
        <v>163</v>
      </c>
      <c r="E274" s="20" t="s">
        <v>282</v>
      </c>
      <c r="F274" s="20" t="s">
        <v>283</v>
      </c>
      <c r="G274" s="20" t="s">
        <v>200</v>
      </c>
      <c r="H274" s="20" t="s">
        <v>192</v>
      </c>
      <c r="I274" s="20" t="s">
        <v>264</v>
      </c>
      <c r="J274" s="15">
        <f>IFERROR(INDEX(Cost_Components!$K$2:$K$27,MATCH(E274,Cost_Components!$A$2:$A$27,0)),"")</f>
        <v>1</v>
      </c>
      <c r="K274" s="15">
        <f t="shared" si="40"/>
        <v>0.55500000000000005</v>
      </c>
      <c r="L274" s="15">
        <f>IFERROR(INDEX(Cost_Components!$S$2:$S$27,MATCH(E274,Cost_Components!$A$2:$A$27,0)),"")</f>
        <v>0.31</v>
      </c>
      <c r="M274" s="26">
        <f>IFERROR(INDEX(Cost_Components!$L$2:$L$27,MATCH(E274,Cost_Components!$A$2:$A$27,0)),"")</f>
        <v>1</v>
      </c>
      <c r="N274" s="27">
        <f>IFERROR(INDEX(Cost_Components!$P$2:$P$27,MATCH(E274,Cost_Components!$A$2:$A$27,0)),"")</f>
        <v>115.10623099999999</v>
      </c>
      <c r="O274" s="21">
        <f t="shared" si="41"/>
        <v>625151.64087609597</v>
      </c>
      <c r="P274" s="21">
        <f t="shared" si="42"/>
        <v>610747.90542846499</v>
      </c>
      <c r="Q274" s="21">
        <f t="shared" si="43"/>
        <v>21793275.740354665</v>
      </c>
      <c r="R274" s="21">
        <f t="shared" si="44"/>
        <v>39937161.29751569</v>
      </c>
      <c r="S274" s="21">
        <f t="shared" si="45"/>
        <v>18143885.557161026</v>
      </c>
      <c r="T274" s="14">
        <f>IFERROR(INDEX(Cost_Components!$R$2:$R$27,MATCH(E274,Cost_Components!$A$2:$A$27,0)),"")</f>
        <v>1</v>
      </c>
      <c r="U274" s="24">
        <f>IFERROR(INDEX(Cost_Components!$Q$2:$Q$27,MATCH(E274,Cost_Components!$A$2:$A$27,0)),"")</f>
        <v>2023</v>
      </c>
      <c r="V274" s="28">
        <f>1/(1+Calculation_Assumptions!$B$5)^(B274-Calculation_Assumptions!$B$2)</f>
        <v>0.70137988019297326</v>
      </c>
      <c r="W274" s="21">
        <f t="shared" si="46"/>
        <v>15285365.127782386</v>
      </c>
      <c r="X274" s="21">
        <f t="shared" si="47"/>
        <v>28011121.406099003</v>
      </c>
      <c r="Y274" s="21">
        <f t="shared" si="48"/>
        <v>12725756.278316619</v>
      </c>
      <c r="Z274" s="15">
        <f>IFERROR(INDEX(Cost_Components!$T$2:$T$27,MATCH(E274,Cost_Components!$A$2:$A$27,0)),"")</f>
        <v>0.8</v>
      </c>
      <c r="AA274" s="24">
        <f>IFERROR(INDEX(Cost_Components!$U$2:$U$27,MATCH(E274,Cost_Components!$A$2:$A$27,0)),"")</f>
        <v>2025</v>
      </c>
      <c r="AB274" s="24">
        <f>IFERROR(INDEX(Cost_Components!$V$2:$V$27,MATCH(E274,Cost_Components!$A$2:$A$27,0)),"")</f>
        <v>2050</v>
      </c>
      <c r="AC274" s="24">
        <f>IFERROR(INDEX(Cost_Components!$M$2:$M$27,MATCH(E274,Cost_Components!$A$2:$A$27,0)),"")</f>
        <v>0</v>
      </c>
      <c r="AD274" s="24">
        <f>IFERROR(INDEX(Cost_Components!$N$2:$N$27,MATCH(E274,Cost_Components!$A$2:$A$27,0)),"")</f>
        <v>95</v>
      </c>
      <c r="AE274" s="14" t="str">
        <f>IFERROR(INDEX(Cost_Components!$O$2:$O$27,MATCH(E274,Cost_Components!$A$2:$A$27,0)),"")</f>
        <v>Both</v>
      </c>
      <c r="AF274" s="11">
        <v>625151.64087609597</v>
      </c>
      <c r="AG274" s="11">
        <v>610747.90542846499</v>
      </c>
      <c r="AH274" s="21">
        <f t="shared" si="49"/>
        <v>1</v>
      </c>
    </row>
    <row r="275" spans="1:34" hidden="1">
      <c r="A275" t="s">
        <v>197</v>
      </c>
      <c r="B275" s="18">
        <v>2038</v>
      </c>
      <c r="C275" t="s">
        <v>197</v>
      </c>
      <c r="D275" t="s">
        <v>163</v>
      </c>
      <c r="E275" s="20" t="s">
        <v>282</v>
      </c>
      <c r="F275" s="20" t="s">
        <v>283</v>
      </c>
      <c r="G275" s="20" t="s">
        <v>200</v>
      </c>
      <c r="H275" s="20" t="s">
        <v>192</v>
      </c>
      <c r="I275" s="20" t="s">
        <v>264</v>
      </c>
      <c r="J275" s="15">
        <f>IFERROR(INDEX(Cost_Components!$K$2:$K$27,MATCH(E275,Cost_Components!$A$2:$A$27,0)),"")</f>
        <v>1</v>
      </c>
      <c r="K275" s="15">
        <f t="shared" si="40"/>
        <v>0.57384615384615389</v>
      </c>
      <c r="L275" s="15">
        <f>IFERROR(INDEX(Cost_Components!$S$2:$S$27,MATCH(E275,Cost_Components!$A$2:$A$27,0)),"")</f>
        <v>0.31</v>
      </c>
      <c r="M275" s="26">
        <f>IFERROR(INDEX(Cost_Components!$L$2:$L$27,MATCH(E275,Cost_Components!$A$2:$A$27,0)),"")</f>
        <v>1</v>
      </c>
      <c r="N275" s="27">
        <f>IFERROR(INDEX(Cost_Components!$P$2:$P$27,MATCH(E275,Cost_Components!$A$2:$A$27,0)),"")</f>
        <v>115.10623099999999</v>
      </c>
      <c r="O275" s="21">
        <f t="shared" si="41"/>
        <v>642162.66093022097</v>
      </c>
      <c r="P275" s="21">
        <f t="shared" si="42"/>
        <v>625892.24274303101</v>
      </c>
      <c r="Q275" s="21">
        <f t="shared" si="43"/>
        <v>22333670.093029093</v>
      </c>
      <c r="R275" s="21">
        <f t="shared" si="44"/>
        <v>42416942.305463143</v>
      </c>
      <c r="S275" s="21">
        <f t="shared" si="45"/>
        <v>20083272.21243405</v>
      </c>
      <c r="T275" s="14">
        <f>IFERROR(INDEX(Cost_Components!$R$2:$R$27,MATCH(E275,Cost_Components!$A$2:$A$27,0)),"")</f>
        <v>1</v>
      </c>
      <c r="U275" s="24">
        <f>IFERROR(INDEX(Cost_Components!$Q$2:$Q$27,MATCH(E275,Cost_Components!$A$2:$A$27,0)),"")</f>
        <v>2023</v>
      </c>
      <c r="V275" s="28">
        <f>1/(1+Calculation_Assumptions!$B$5)^(B275-Calculation_Assumptions!$B$2)</f>
        <v>0.68095133999317792</v>
      </c>
      <c r="W275" s="21">
        <f t="shared" si="46"/>
        <v>15208142.576813724</v>
      </c>
      <c r="X275" s="21">
        <f t="shared" si="47"/>
        <v>28883873.701318443</v>
      </c>
      <c r="Y275" s="21">
        <f t="shared" si="48"/>
        <v>13675731.124504721</v>
      </c>
      <c r="Z275" s="15">
        <f>IFERROR(INDEX(Cost_Components!$T$2:$T$27,MATCH(E275,Cost_Components!$A$2:$A$27,0)),"")</f>
        <v>0.8</v>
      </c>
      <c r="AA275" s="24">
        <f>IFERROR(INDEX(Cost_Components!$U$2:$U$27,MATCH(E275,Cost_Components!$A$2:$A$27,0)),"")</f>
        <v>2025</v>
      </c>
      <c r="AB275" s="24">
        <f>IFERROR(INDEX(Cost_Components!$V$2:$V$27,MATCH(E275,Cost_Components!$A$2:$A$27,0)),"")</f>
        <v>2050</v>
      </c>
      <c r="AC275" s="24">
        <f>IFERROR(INDEX(Cost_Components!$M$2:$M$27,MATCH(E275,Cost_Components!$A$2:$A$27,0)),"")</f>
        <v>0</v>
      </c>
      <c r="AD275" s="24">
        <f>IFERROR(INDEX(Cost_Components!$N$2:$N$27,MATCH(E275,Cost_Components!$A$2:$A$27,0)),"")</f>
        <v>95</v>
      </c>
      <c r="AE275" s="14" t="str">
        <f>IFERROR(INDEX(Cost_Components!$O$2:$O$27,MATCH(E275,Cost_Components!$A$2:$A$27,0)),"")</f>
        <v>Both</v>
      </c>
      <c r="AF275" s="11">
        <v>642162.66093022097</v>
      </c>
      <c r="AG275" s="11">
        <v>625892.24274303101</v>
      </c>
      <c r="AH275" s="21">
        <f t="shared" si="49"/>
        <v>1</v>
      </c>
    </row>
    <row r="276" spans="1:34" hidden="1">
      <c r="A276" t="s">
        <v>197</v>
      </c>
      <c r="B276" s="18">
        <v>2039</v>
      </c>
      <c r="C276" t="s">
        <v>197</v>
      </c>
      <c r="D276" t="s">
        <v>163</v>
      </c>
      <c r="E276" s="20" t="s">
        <v>282</v>
      </c>
      <c r="F276" s="20" t="s">
        <v>283</v>
      </c>
      <c r="G276" s="20" t="s">
        <v>200</v>
      </c>
      <c r="H276" s="20" t="s">
        <v>192</v>
      </c>
      <c r="I276" s="20" t="s">
        <v>264</v>
      </c>
      <c r="J276" s="15">
        <f>IFERROR(INDEX(Cost_Components!$K$2:$K$27,MATCH(E276,Cost_Components!$A$2:$A$27,0)),"")</f>
        <v>1</v>
      </c>
      <c r="K276" s="15">
        <f t="shared" si="40"/>
        <v>0.59269230769230763</v>
      </c>
      <c r="L276" s="15">
        <f>IFERROR(INDEX(Cost_Components!$S$2:$S$27,MATCH(E276,Cost_Components!$A$2:$A$27,0)),"")</f>
        <v>0.31</v>
      </c>
      <c r="M276" s="26">
        <f>IFERROR(INDEX(Cost_Components!$L$2:$L$27,MATCH(E276,Cost_Components!$A$2:$A$27,0)),"")</f>
        <v>1</v>
      </c>
      <c r="N276" s="27">
        <f>IFERROR(INDEX(Cost_Components!$P$2:$P$27,MATCH(E276,Cost_Components!$A$2:$A$27,0)),"")</f>
        <v>115.10623099999999</v>
      </c>
      <c r="O276" s="21">
        <f t="shared" si="41"/>
        <v>659205.67655382305</v>
      </c>
      <c r="P276" s="21">
        <f t="shared" si="42"/>
        <v>640986.26530763402</v>
      </c>
      <c r="Q276" s="21">
        <f t="shared" si="43"/>
        <v>22872269.067921616</v>
      </c>
      <c r="R276" s="21">
        <f t="shared" si="44"/>
        <v>44972710.476550765</v>
      </c>
      <c r="S276" s="21">
        <f t="shared" si="45"/>
        <v>22100441.408629149</v>
      </c>
      <c r="T276" s="14">
        <f>IFERROR(INDEX(Cost_Components!$R$2:$R$27,MATCH(E276,Cost_Components!$A$2:$A$27,0)),"")</f>
        <v>1</v>
      </c>
      <c r="U276" s="24">
        <f>IFERROR(INDEX(Cost_Components!$Q$2:$Q$27,MATCH(E276,Cost_Components!$A$2:$A$27,0)),"")</f>
        <v>2023</v>
      </c>
      <c r="V276" s="28">
        <f>1/(1+Calculation_Assumptions!$B$5)^(B276-Calculation_Assumptions!$B$2)</f>
        <v>0.66111780581861923</v>
      </c>
      <c r="W276" s="21">
        <f t="shared" si="46"/>
        <v>15121264.340277415</v>
      </c>
      <c r="X276" s="21">
        <f t="shared" si="47"/>
        <v>29732259.671973273</v>
      </c>
      <c r="Y276" s="21">
        <f t="shared" si="48"/>
        <v>14610995.331695858</v>
      </c>
      <c r="Z276" s="15">
        <f>IFERROR(INDEX(Cost_Components!$T$2:$T$27,MATCH(E276,Cost_Components!$A$2:$A$27,0)),"")</f>
        <v>0.8</v>
      </c>
      <c r="AA276" s="24">
        <f>IFERROR(INDEX(Cost_Components!$U$2:$U$27,MATCH(E276,Cost_Components!$A$2:$A$27,0)),"")</f>
        <v>2025</v>
      </c>
      <c r="AB276" s="24">
        <f>IFERROR(INDEX(Cost_Components!$V$2:$V$27,MATCH(E276,Cost_Components!$A$2:$A$27,0)),"")</f>
        <v>2050</v>
      </c>
      <c r="AC276" s="24">
        <f>IFERROR(INDEX(Cost_Components!$M$2:$M$27,MATCH(E276,Cost_Components!$A$2:$A$27,0)),"")</f>
        <v>0</v>
      </c>
      <c r="AD276" s="24">
        <f>IFERROR(INDEX(Cost_Components!$N$2:$N$27,MATCH(E276,Cost_Components!$A$2:$A$27,0)),"")</f>
        <v>95</v>
      </c>
      <c r="AE276" s="14" t="str">
        <f>IFERROR(INDEX(Cost_Components!$O$2:$O$27,MATCH(E276,Cost_Components!$A$2:$A$27,0)),"")</f>
        <v>Both</v>
      </c>
      <c r="AF276" s="11">
        <v>659205.67655382305</v>
      </c>
      <c r="AG276" s="11">
        <v>640986.26530763402</v>
      </c>
      <c r="AH276" s="21">
        <f t="shared" si="49"/>
        <v>1</v>
      </c>
    </row>
    <row r="277" spans="1:34" hidden="1">
      <c r="A277" t="s">
        <v>197</v>
      </c>
      <c r="B277" s="18">
        <v>2040</v>
      </c>
      <c r="C277" t="s">
        <v>197</v>
      </c>
      <c r="D277" t="s">
        <v>163</v>
      </c>
      <c r="E277" s="20" t="s">
        <v>282</v>
      </c>
      <c r="F277" s="20" t="s">
        <v>283</v>
      </c>
      <c r="G277" s="20" t="s">
        <v>200</v>
      </c>
      <c r="H277" s="20" t="s">
        <v>192</v>
      </c>
      <c r="I277" s="20" t="s">
        <v>264</v>
      </c>
      <c r="J277" s="15">
        <f>IFERROR(INDEX(Cost_Components!$K$2:$K$27,MATCH(E277,Cost_Components!$A$2:$A$27,0)),"")</f>
        <v>1</v>
      </c>
      <c r="K277" s="15">
        <f t="shared" si="40"/>
        <v>0.61153846153846159</v>
      </c>
      <c r="L277" s="15">
        <f>IFERROR(INDEX(Cost_Components!$S$2:$S$27,MATCH(E277,Cost_Components!$A$2:$A$27,0)),"")</f>
        <v>0.31</v>
      </c>
      <c r="M277" s="26">
        <f>IFERROR(INDEX(Cost_Components!$L$2:$L$27,MATCH(E277,Cost_Components!$A$2:$A$27,0)),"")</f>
        <v>1</v>
      </c>
      <c r="N277" s="27">
        <f>IFERROR(INDEX(Cost_Components!$P$2:$P$27,MATCH(E277,Cost_Components!$A$2:$A$27,0)),"")</f>
        <v>115.10623099999999</v>
      </c>
      <c r="O277" s="21">
        <f t="shared" si="41"/>
        <v>676252.41973452002</v>
      </c>
      <c r="P277" s="21">
        <f t="shared" si="42"/>
        <v>656006.13279816904</v>
      </c>
      <c r="Q277" s="21">
        <f t="shared" si="43"/>
        <v>23408221.972377643</v>
      </c>
      <c r="R277" s="21">
        <f t="shared" si="44"/>
        <v>47602684.19693473</v>
      </c>
      <c r="S277" s="21">
        <f t="shared" si="45"/>
        <v>24194462.224557087</v>
      </c>
      <c r="T277" s="14">
        <f>IFERROR(INDEX(Cost_Components!$R$2:$R$27,MATCH(E277,Cost_Components!$A$2:$A$27,0)),"")</f>
        <v>1</v>
      </c>
      <c r="U277" s="24">
        <f>IFERROR(INDEX(Cost_Components!$Q$2:$Q$27,MATCH(E277,Cost_Components!$A$2:$A$27,0)),"")</f>
        <v>2023</v>
      </c>
      <c r="V277" s="28">
        <f>1/(1+Calculation_Assumptions!$B$5)^(B277-Calculation_Assumptions!$B$2)</f>
        <v>0.64186194739671765</v>
      </c>
      <c r="W277" s="21">
        <f t="shared" si="46"/>
        <v>15024846.940284949</v>
      </c>
      <c r="X277" s="21">
        <f t="shared" si="47"/>
        <v>30554351.579955481</v>
      </c>
      <c r="Y277" s="21">
        <f t="shared" si="48"/>
        <v>15529504.639670532</v>
      </c>
      <c r="Z277" s="15">
        <f>IFERROR(INDEX(Cost_Components!$T$2:$T$27,MATCH(E277,Cost_Components!$A$2:$A$27,0)),"")</f>
        <v>0.8</v>
      </c>
      <c r="AA277" s="24">
        <f>IFERROR(INDEX(Cost_Components!$U$2:$U$27,MATCH(E277,Cost_Components!$A$2:$A$27,0)),"")</f>
        <v>2025</v>
      </c>
      <c r="AB277" s="24">
        <f>IFERROR(INDEX(Cost_Components!$V$2:$V$27,MATCH(E277,Cost_Components!$A$2:$A$27,0)),"")</f>
        <v>2050</v>
      </c>
      <c r="AC277" s="24">
        <f>IFERROR(INDEX(Cost_Components!$M$2:$M$27,MATCH(E277,Cost_Components!$A$2:$A$27,0)),"")</f>
        <v>0</v>
      </c>
      <c r="AD277" s="24">
        <f>IFERROR(INDEX(Cost_Components!$N$2:$N$27,MATCH(E277,Cost_Components!$A$2:$A$27,0)),"")</f>
        <v>95</v>
      </c>
      <c r="AE277" s="14" t="str">
        <f>IFERROR(INDEX(Cost_Components!$O$2:$O$27,MATCH(E277,Cost_Components!$A$2:$A$27,0)),"")</f>
        <v>Both</v>
      </c>
      <c r="AF277" s="11">
        <v>676252.41973452002</v>
      </c>
      <c r="AG277" s="11">
        <v>656006.13279816904</v>
      </c>
      <c r="AH277" s="21">
        <f t="shared" si="49"/>
        <v>1</v>
      </c>
    </row>
    <row r="278" spans="1:34" hidden="1">
      <c r="A278" t="s">
        <v>197</v>
      </c>
      <c r="B278" s="18">
        <v>2041</v>
      </c>
      <c r="C278" t="s">
        <v>197</v>
      </c>
      <c r="D278" t="s">
        <v>163</v>
      </c>
      <c r="E278" s="20" t="s">
        <v>282</v>
      </c>
      <c r="F278" s="20" t="s">
        <v>283</v>
      </c>
      <c r="G278" s="20" t="s">
        <v>200</v>
      </c>
      <c r="H278" s="20" t="s">
        <v>192</v>
      </c>
      <c r="I278" s="20" t="s">
        <v>264</v>
      </c>
      <c r="J278" s="15">
        <f>IFERROR(INDEX(Cost_Components!$K$2:$K$27,MATCH(E278,Cost_Components!$A$2:$A$27,0)),"")</f>
        <v>1</v>
      </c>
      <c r="K278" s="15">
        <f t="shared" si="40"/>
        <v>0.63038461538461543</v>
      </c>
      <c r="L278" s="15">
        <f>IFERROR(INDEX(Cost_Components!$S$2:$S$27,MATCH(E278,Cost_Components!$A$2:$A$27,0)),"")</f>
        <v>0.31</v>
      </c>
      <c r="M278" s="26">
        <f>IFERROR(INDEX(Cost_Components!$L$2:$L$27,MATCH(E278,Cost_Components!$A$2:$A$27,0)),"")</f>
        <v>1</v>
      </c>
      <c r="N278" s="27">
        <f>IFERROR(INDEX(Cost_Components!$P$2:$P$27,MATCH(E278,Cost_Components!$A$2:$A$27,0)),"")</f>
        <v>115.10623099999999</v>
      </c>
      <c r="O278" s="21">
        <f t="shared" si="41"/>
        <v>693287.16570564895</v>
      </c>
      <c r="P278" s="21">
        <f t="shared" si="42"/>
        <v>670940.62730635505</v>
      </c>
      <c r="Q278" s="21">
        <f t="shared" si="43"/>
        <v>23941128.518543161</v>
      </c>
      <c r="R278" s="21">
        <f t="shared" si="44"/>
        <v>50305746.717398643</v>
      </c>
      <c r="S278" s="21">
        <f t="shared" si="45"/>
        <v>26364618.198855482</v>
      </c>
      <c r="T278" s="14">
        <f>IFERROR(INDEX(Cost_Components!$R$2:$R$27,MATCH(E278,Cost_Components!$A$2:$A$27,0)),"")</f>
        <v>1</v>
      </c>
      <c r="U278" s="24">
        <f>IFERROR(INDEX(Cost_Components!$Q$2:$Q$27,MATCH(E278,Cost_Components!$A$2:$A$27,0)),"")</f>
        <v>2023</v>
      </c>
      <c r="V278" s="28">
        <f>1/(1+Calculation_Assumptions!$B$5)^(B278-Calculation_Assumptions!$B$2)</f>
        <v>0.62316693922011435</v>
      </c>
      <c r="W278" s="21">
        <f t="shared" si="46"/>
        <v>14919319.780375933</v>
      </c>
      <c r="X278" s="21">
        <f t="shared" si="47"/>
        <v>31348878.207063626</v>
      </c>
      <c r="Y278" s="21">
        <f t="shared" si="48"/>
        <v>16429558.426687695</v>
      </c>
      <c r="Z278" s="15">
        <f>IFERROR(INDEX(Cost_Components!$T$2:$T$27,MATCH(E278,Cost_Components!$A$2:$A$27,0)),"")</f>
        <v>0.8</v>
      </c>
      <c r="AA278" s="24">
        <f>IFERROR(INDEX(Cost_Components!$U$2:$U$27,MATCH(E278,Cost_Components!$A$2:$A$27,0)),"")</f>
        <v>2025</v>
      </c>
      <c r="AB278" s="24">
        <f>IFERROR(INDEX(Cost_Components!$V$2:$V$27,MATCH(E278,Cost_Components!$A$2:$A$27,0)),"")</f>
        <v>2050</v>
      </c>
      <c r="AC278" s="24">
        <f>IFERROR(INDEX(Cost_Components!$M$2:$M$27,MATCH(E278,Cost_Components!$A$2:$A$27,0)),"")</f>
        <v>0</v>
      </c>
      <c r="AD278" s="24">
        <f>IFERROR(INDEX(Cost_Components!$N$2:$N$27,MATCH(E278,Cost_Components!$A$2:$A$27,0)),"")</f>
        <v>95</v>
      </c>
      <c r="AE278" s="14" t="str">
        <f>IFERROR(INDEX(Cost_Components!$O$2:$O$27,MATCH(E278,Cost_Components!$A$2:$A$27,0)),"")</f>
        <v>Both</v>
      </c>
      <c r="AF278" s="11">
        <v>693287.16570564895</v>
      </c>
      <c r="AG278" s="11">
        <v>670940.62730635505</v>
      </c>
      <c r="AH278" s="21">
        <f t="shared" si="49"/>
        <v>1</v>
      </c>
    </row>
    <row r="279" spans="1:34" hidden="1">
      <c r="A279" t="s">
        <v>197</v>
      </c>
      <c r="B279" s="18">
        <v>2042</v>
      </c>
      <c r="C279" t="s">
        <v>197</v>
      </c>
      <c r="D279" t="s">
        <v>163</v>
      </c>
      <c r="E279" s="20" t="s">
        <v>282</v>
      </c>
      <c r="F279" s="20" t="s">
        <v>283</v>
      </c>
      <c r="G279" s="20" t="s">
        <v>200</v>
      </c>
      <c r="H279" s="20" t="s">
        <v>192</v>
      </c>
      <c r="I279" s="20" t="s">
        <v>264</v>
      </c>
      <c r="J279" s="15">
        <f>IFERROR(INDEX(Cost_Components!$K$2:$K$27,MATCH(E279,Cost_Components!$A$2:$A$27,0)),"")</f>
        <v>1</v>
      </c>
      <c r="K279" s="15">
        <f t="shared" si="40"/>
        <v>0.64923076923076928</v>
      </c>
      <c r="L279" s="15">
        <f>IFERROR(INDEX(Cost_Components!$S$2:$S$27,MATCH(E279,Cost_Components!$A$2:$A$27,0)),"")</f>
        <v>0.31</v>
      </c>
      <c r="M279" s="26">
        <f>IFERROR(INDEX(Cost_Components!$L$2:$L$27,MATCH(E279,Cost_Components!$A$2:$A$27,0)),"")</f>
        <v>1</v>
      </c>
      <c r="N279" s="27">
        <f>IFERROR(INDEX(Cost_Components!$P$2:$P$27,MATCH(E279,Cost_Components!$A$2:$A$27,0)),"")</f>
        <v>115.10623099999999</v>
      </c>
      <c r="O279" s="21">
        <f t="shared" si="41"/>
        <v>710291.80729549401</v>
      </c>
      <c r="P279" s="21">
        <f t="shared" si="42"/>
        <v>685775.44163478399</v>
      </c>
      <c r="Q279" s="21">
        <f t="shared" si="43"/>
        <v>24470478.183671542</v>
      </c>
      <c r="R279" s="21">
        <f t="shared" si="44"/>
        <v>53080466.802831113</v>
      </c>
      <c r="S279" s="21">
        <f t="shared" si="45"/>
        <v>28609988.619159572</v>
      </c>
      <c r="T279" s="14">
        <f>IFERROR(INDEX(Cost_Components!$R$2:$R$27,MATCH(E279,Cost_Components!$A$2:$A$27,0)),"")</f>
        <v>1</v>
      </c>
      <c r="U279" s="24">
        <f>IFERROR(INDEX(Cost_Components!$Q$2:$Q$27,MATCH(E279,Cost_Components!$A$2:$A$27,0)),"")</f>
        <v>2023</v>
      </c>
      <c r="V279" s="28">
        <f>1/(1+Calculation_Assumptions!$B$5)^(B279-Calculation_Assumptions!$B$2)</f>
        <v>0.60501644584477121</v>
      </c>
      <c r="W279" s="21">
        <f t="shared" si="46"/>
        <v>14805041.738806969</v>
      </c>
      <c r="X279" s="21">
        <f t="shared" si="47"/>
        <v>32114555.368830245</v>
      </c>
      <c r="Y279" s="21">
        <f t="shared" si="48"/>
        <v>17309513.630023278</v>
      </c>
      <c r="Z279" s="15">
        <f>IFERROR(INDEX(Cost_Components!$T$2:$T$27,MATCH(E279,Cost_Components!$A$2:$A$27,0)),"")</f>
        <v>0.8</v>
      </c>
      <c r="AA279" s="24">
        <f>IFERROR(INDEX(Cost_Components!$U$2:$U$27,MATCH(E279,Cost_Components!$A$2:$A$27,0)),"")</f>
        <v>2025</v>
      </c>
      <c r="AB279" s="24">
        <f>IFERROR(INDEX(Cost_Components!$V$2:$V$27,MATCH(E279,Cost_Components!$A$2:$A$27,0)),"")</f>
        <v>2050</v>
      </c>
      <c r="AC279" s="24">
        <f>IFERROR(INDEX(Cost_Components!$M$2:$M$27,MATCH(E279,Cost_Components!$A$2:$A$27,0)),"")</f>
        <v>0</v>
      </c>
      <c r="AD279" s="24">
        <f>IFERROR(INDEX(Cost_Components!$N$2:$N$27,MATCH(E279,Cost_Components!$A$2:$A$27,0)),"")</f>
        <v>95</v>
      </c>
      <c r="AE279" s="14" t="str">
        <f>IFERROR(INDEX(Cost_Components!$O$2:$O$27,MATCH(E279,Cost_Components!$A$2:$A$27,0)),"")</f>
        <v>Both</v>
      </c>
      <c r="AF279" s="11">
        <v>710291.80729549401</v>
      </c>
      <c r="AG279" s="11">
        <v>685775.44163478399</v>
      </c>
      <c r="AH279" s="21">
        <f t="shared" si="49"/>
        <v>1</v>
      </c>
    </row>
    <row r="280" spans="1:34" hidden="1">
      <c r="A280" t="s">
        <v>197</v>
      </c>
      <c r="B280" s="18">
        <v>2043</v>
      </c>
      <c r="C280" t="s">
        <v>197</v>
      </c>
      <c r="D280" t="s">
        <v>163</v>
      </c>
      <c r="E280" s="20" t="s">
        <v>282</v>
      </c>
      <c r="F280" s="20" t="s">
        <v>283</v>
      </c>
      <c r="G280" s="20" t="s">
        <v>200</v>
      </c>
      <c r="H280" s="20" t="s">
        <v>192</v>
      </c>
      <c r="I280" s="20" t="s">
        <v>264</v>
      </c>
      <c r="J280" s="15">
        <f>IFERROR(INDEX(Cost_Components!$K$2:$K$27,MATCH(E280,Cost_Components!$A$2:$A$27,0)),"")</f>
        <v>1</v>
      </c>
      <c r="K280" s="15">
        <f t="shared" si="40"/>
        <v>0.66807692307692301</v>
      </c>
      <c r="L280" s="15">
        <f>IFERROR(INDEX(Cost_Components!$S$2:$S$27,MATCH(E280,Cost_Components!$A$2:$A$27,0)),"")</f>
        <v>0.31</v>
      </c>
      <c r="M280" s="26">
        <f>IFERROR(INDEX(Cost_Components!$L$2:$L$27,MATCH(E280,Cost_Components!$A$2:$A$27,0)),"")</f>
        <v>1</v>
      </c>
      <c r="N280" s="27">
        <f>IFERROR(INDEX(Cost_Components!$P$2:$P$27,MATCH(E280,Cost_Components!$A$2:$A$27,0)),"")</f>
        <v>115.10623099999999</v>
      </c>
      <c r="O280" s="21">
        <f t="shared" si="41"/>
        <v>727236.68439793296</v>
      </c>
      <c r="P280" s="21">
        <f t="shared" si="42"/>
        <v>700484.49366674304</v>
      </c>
      <c r="Q280" s="21">
        <f t="shared" si="43"/>
        <v>24995340.28137587</v>
      </c>
      <c r="R280" s="21">
        <f t="shared" si="44"/>
        <v>55924367.679327577</v>
      </c>
      <c r="S280" s="21">
        <f t="shared" si="45"/>
        <v>30929027.397951707</v>
      </c>
      <c r="T280" s="14">
        <f>IFERROR(INDEX(Cost_Components!$R$2:$R$27,MATCH(E280,Cost_Components!$A$2:$A$27,0)),"")</f>
        <v>1</v>
      </c>
      <c r="U280" s="24">
        <f>IFERROR(INDEX(Cost_Components!$Q$2:$Q$27,MATCH(E280,Cost_Components!$A$2:$A$27,0)),"")</f>
        <v>2023</v>
      </c>
      <c r="V280" s="28">
        <f>1/(1+Calculation_Assumptions!$B$5)^(B280-Calculation_Assumptions!$B$2)</f>
        <v>0.5873946076162827</v>
      </c>
      <c r="W280" s="21">
        <f t="shared" si="46"/>
        <v>14682128.096814245</v>
      </c>
      <c r="X280" s="21">
        <f t="shared" si="47"/>
        <v>32849672.009187344</v>
      </c>
      <c r="Y280" s="21">
        <f t="shared" si="48"/>
        <v>18167543.912373099</v>
      </c>
      <c r="Z280" s="15">
        <f>IFERROR(INDEX(Cost_Components!$T$2:$T$27,MATCH(E280,Cost_Components!$A$2:$A$27,0)),"")</f>
        <v>0.8</v>
      </c>
      <c r="AA280" s="24">
        <f>IFERROR(INDEX(Cost_Components!$U$2:$U$27,MATCH(E280,Cost_Components!$A$2:$A$27,0)),"")</f>
        <v>2025</v>
      </c>
      <c r="AB280" s="24">
        <f>IFERROR(INDEX(Cost_Components!$V$2:$V$27,MATCH(E280,Cost_Components!$A$2:$A$27,0)),"")</f>
        <v>2050</v>
      </c>
      <c r="AC280" s="24">
        <f>IFERROR(INDEX(Cost_Components!$M$2:$M$27,MATCH(E280,Cost_Components!$A$2:$A$27,0)),"")</f>
        <v>0</v>
      </c>
      <c r="AD280" s="24">
        <f>IFERROR(INDEX(Cost_Components!$N$2:$N$27,MATCH(E280,Cost_Components!$A$2:$A$27,0)),"")</f>
        <v>95</v>
      </c>
      <c r="AE280" s="14" t="str">
        <f>IFERROR(INDEX(Cost_Components!$O$2:$O$27,MATCH(E280,Cost_Components!$A$2:$A$27,0)),"")</f>
        <v>Both</v>
      </c>
      <c r="AF280" s="11">
        <v>727236.68439793296</v>
      </c>
      <c r="AG280" s="11">
        <v>700484.49366674304</v>
      </c>
      <c r="AH280" s="21">
        <f t="shared" si="49"/>
        <v>1</v>
      </c>
    </row>
    <row r="281" spans="1:34" hidden="1">
      <c r="A281" t="s">
        <v>197</v>
      </c>
      <c r="B281" s="18">
        <v>2044</v>
      </c>
      <c r="C281" t="s">
        <v>197</v>
      </c>
      <c r="D281" t="s">
        <v>163</v>
      </c>
      <c r="E281" s="20" t="s">
        <v>282</v>
      </c>
      <c r="F281" s="20" t="s">
        <v>283</v>
      </c>
      <c r="G281" s="20" t="s">
        <v>200</v>
      </c>
      <c r="H281" s="20" t="s">
        <v>192</v>
      </c>
      <c r="I281" s="20" t="s">
        <v>264</v>
      </c>
      <c r="J281" s="15">
        <f>IFERROR(INDEX(Cost_Components!$K$2:$K$27,MATCH(E281,Cost_Components!$A$2:$A$27,0)),"")</f>
        <v>1</v>
      </c>
      <c r="K281" s="15">
        <f t="shared" si="40"/>
        <v>0.68692307692307697</v>
      </c>
      <c r="L281" s="15">
        <f>IFERROR(INDEX(Cost_Components!$S$2:$S$27,MATCH(E281,Cost_Components!$A$2:$A$27,0)),"")</f>
        <v>0.31</v>
      </c>
      <c r="M281" s="26">
        <f>IFERROR(INDEX(Cost_Components!$L$2:$L$27,MATCH(E281,Cost_Components!$A$2:$A$27,0)),"")</f>
        <v>1</v>
      </c>
      <c r="N281" s="27">
        <f>IFERROR(INDEX(Cost_Components!$P$2:$P$27,MATCH(E281,Cost_Components!$A$2:$A$27,0)),"")</f>
        <v>115.10623099999999</v>
      </c>
      <c r="O281" s="21">
        <f t="shared" si="41"/>
        <v>744080.66745836695</v>
      </c>
      <c r="P281" s="21">
        <f t="shared" si="42"/>
        <v>715030.25532085204</v>
      </c>
      <c r="Q281" s="21">
        <f t="shared" si="43"/>
        <v>25514375.699694801</v>
      </c>
      <c r="R281" s="21">
        <f t="shared" si="44"/>
        <v>58833808.325884305</v>
      </c>
      <c r="S281" s="21">
        <f t="shared" si="45"/>
        <v>33319432.626189504</v>
      </c>
      <c r="T281" s="14">
        <f>IFERROR(INDEX(Cost_Components!$R$2:$R$27,MATCH(E281,Cost_Components!$A$2:$A$27,0)),"")</f>
        <v>1</v>
      </c>
      <c r="U281" s="24">
        <f>IFERROR(INDEX(Cost_Components!$Q$2:$Q$27,MATCH(E281,Cost_Components!$A$2:$A$27,0)),"")</f>
        <v>2023</v>
      </c>
      <c r="V281" s="28">
        <f>1/(1+Calculation_Assumptions!$B$5)^(B281-Calculation_Assumptions!$B$2)</f>
        <v>0.57028602681192497</v>
      </c>
      <c r="W281" s="21">
        <f t="shared" si="46"/>
        <v>14550491.944365676</v>
      </c>
      <c r="X281" s="21">
        <f t="shared" si="47"/>
        <v>33552098.792382911</v>
      </c>
      <c r="Y281" s="21">
        <f t="shared" si="48"/>
        <v>19001606.848017234</v>
      </c>
      <c r="Z281" s="15">
        <f>IFERROR(INDEX(Cost_Components!$T$2:$T$27,MATCH(E281,Cost_Components!$A$2:$A$27,0)),"")</f>
        <v>0.8</v>
      </c>
      <c r="AA281" s="24">
        <f>IFERROR(INDEX(Cost_Components!$U$2:$U$27,MATCH(E281,Cost_Components!$A$2:$A$27,0)),"")</f>
        <v>2025</v>
      </c>
      <c r="AB281" s="24">
        <f>IFERROR(INDEX(Cost_Components!$V$2:$V$27,MATCH(E281,Cost_Components!$A$2:$A$27,0)),"")</f>
        <v>2050</v>
      </c>
      <c r="AC281" s="24">
        <f>IFERROR(INDEX(Cost_Components!$M$2:$M$27,MATCH(E281,Cost_Components!$A$2:$A$27,0)),"")</f>
        <v>0</v>
      </c>
      <c r="AD281" s="24">
        <f>IFERROR(INDEX(Cost_Components!$N$2:$N$27,MATCH(E281,Cost_Components!$A$2:$A$27,0)),"")</f>
        <v>95</v>
      </c>
      <c r="AE281" s="14" t="str">
        <f>IFERROR(INDEX(Cost_Components!$O$2:$O$27,MATCH(E281,Cost_Components!$A$2:$A$27,0)),"")</f>
        <v>Both</v>
      </c>
      <c r="AF281" s="11">
        <v>744080.66745836695</v>
      </c>
      <c r="AG281" s="11">
        <v>715030.25532085204</v>
      </c>
      <c r="AH281" s="21">
        <f t="shared" si="49"/>
        <v>1</v>
      </c>
    </row>
    <row r="282" spans="1:34" hidden="1">
      <c r="A282" t="s">
        <v>197</v>
      </c>
      <c r="B282" s="18">
        <v>2045</v>
      </c>
      <c r="C282" t="s">
        <v>197</v>
      </c>
      <c r="D282" t="s">
        <v>163</v>
      </c>
      <c r="E282" s="20" t="s">
        <v>282</v>
      </c>
      <c r="F282" s="20" t="s">
        <v>283</v>
      </c>
      <c r="G282" s="20" t="s">
        <v>200</v>
      </c>
      <c r="H282" s="20" t="s">
        <v>192</v>
      </c>
      <c r="I282" s="20" t="s">
        <v>264</v>
      </c>
      <c r="J282" s="15">
        <f>IFERROR(INDEX(Cost_Components!$K$2:$K$27,MATCH(E282,Cost_Components!$A$2:$A$27,0)),"")</f>
        <v>1</v>
      </c>
      <c r="K282" s="15">
        <f t="shared" si="40"/>
        <v>0.70576923076923082</v>
      </c>
      <c r="L282" s="15">
        <f>IFERROR(INDEX(Cost_Components!$S$2:$S$27,MATCH(E282,Cost_Components!$A$2:$A$27,0)),"")</f>
        <v>0.31</v>
      </c>
      <c r="M282" s="26">
        <f>IFERROR(INDEX(Cost_Components!$L$2:$L$27,MATCH(E282,Cost_Components!$A$2:$A$27,0)),"")</f>
        <v>1</v>
      </c>
      <c r="N282" s="27">
        <f>IFERROR(INDEX(Cost_Components!$P$2:$P$27,MATCH(E282,Cost_Components!$A$2:$A$27,0)),"")</f>
        <v>115.10623099999999</v>
      </c>
      <c r="O282" s="21">
        <f t="shared" si="41"/>
        <v>760749.63354970899</v>
      </c>
      <c r="P282" s="21">
        <f t="shared" si="42"/>
        <v>729342.10914457298</v>
      </c>
      <c r="Q282" s="21">
        <f t="shared" si="43"/>
        <v>26025064.600898951</v>
      </c>
      <c r="R282" s="21">
        <f t="shared" si="44"/>
        <v>61802110.500541359</v>
      </c>
      <c r="S282" s="21">
        <f t="shared" si="45"/>
        <v>35777045.899642408</v>
      </c>
      <c r="T282" s="14">
        <f>IFERROR(INDEX(Cost_Components!$R$2:$R$27,MATCH(E282,Cost_Components!$A$2:$A$27,0)),"")</f>
        <v>1</v>
      </c>
      <c r="U282" s="24">
        <f>IFERROR(INDEX(Cost_Components!$Q$2:$Q$27,MATCH(E282,Cost_Components!$A$2:$A$27,0)),"")</f>
        <v>2023</v>
      </c>
      <c r="V282" s="28">
        <f>1/(1+Calculation_Assumptions!$B$5)^(B282-Calculation_Assumptions!$B$2)</f>
        <v>0.55367575418633497</v>
      </c>
      <c r="W282" s="21">
        <f t="shared" si="46"/>
        <v>14409447.270650815</v>
      </c>
      <c r="X282" s="21">
        <f t="shared" si="47"/>
        <v>34218330.141694449</v>
      </c>
      <c r="Y282" s="21">
        <f t="shared" si="48"/>
        <v>19808882.871043634</v>
      </c>
      <c r="Z282" s="15">
        <f>IFERROR(INDEX(Cost_Components!$T$2:$T$27,MATCH(E282,Cost_Components!$A$2:$A$27,0)),"")</f>
        <v>0.8</v>
      </c>
      <c r="AA282" s="24">
        <f>IFERROR(INDEX(Cost_Components!$U$2:$U$27,MATCH(E282,Cost_Components!$A$2:$A$27,0)),"")</f>
        <v>2025</v>
      </c>
      <c r="AB282" s="24">
        <f>IFERROR(INDEX(Cost_Components!$V$2:$V$27,MATCH(E282,Cost_Components!$A$2:$A$27,0)),"")</f>
        <v>2050</v>
      </c>
      <c r="AC282" s="24">
        <f>IFERROR(INDEX(Cost_Components!$M$2:$M$27,MATCH(E282,Cost_Components!$A$2:$A$27,0)),"")</f>
        <v>0</v>
      </c>
      <c r="AD282" s="24">
        <f>IFERROR(INDEX(Cost_Components!$N$2:$N$27,MATCH(E282,Cost_Components!$A$2:$A$27,0)),"")</f>
        <v>95</v>
      </c>
      <c r="AE282" s="14" t="str">
        <f>IFERROR(INDEX(Cost_Components!$O$2:$O$27,MATCH(E282,Cost_Components!$A$2:$A$27,0)),"")</f>
        <v>Both</v>
      </c>
      <c r="AF282" s="11">
        <v>760749.63354970899</v>
      </c>
      <c r="AG282" s="11">
        <v>729342.10914457298</v>
      </c>
      <c r="AH282" s="21">
        <f t="shared" si="49"/>
        <v>1</v>
      </c>
    </row>
    <row r="283" spans="1:34" hidden="1">
      <c r="A283" t="s">
        <v>197</v>
      </c>
      <c r="B283" s="18">
        <v>2046</v>
      </c>
      <c r="C283" t="s">
        <v>197</v>
      </c>
      <c r="D283" t="s">
        <v>163</v>
      </c>
      <c r="E283" s="20" t="s">
        <v>282</v>
      </c>
      <c r="F283" s="20" t="s">
        <v>283</v>
      </c>
      <c r="G283" s="20" t="s">
        <v>200</v>
      </c>
      <c r="H283" s="20" t="s">
        <v>192</v>
      </c>
      <c r="I283" s="20" t="s">
        <v>264</v>
      </c>
      <c r="J283" s="15">
        <f>IFERROR(INDEX(Cost_Components!$K$2:$K$27,MATCH(E283,Cost_Components!$A$2:$A$27,0)),"")</f>
        <v>1</v>
      </c>
      <c r="K283" s="15">
        <f t="shared" si="40"/>
        <v>0.72461538461538466</v>
      </c>
      <c r="L283" s="15">
        <f>IFERROR(INDEX(Cost_Components!$S$2:$S$27,MATCH(E283,Cost_Components!$A$2:$A$27,0)),"")</f>
        <v>0.31</v>
      </c>
      <c r="M283" s="26">
        <f>IFERROR(INDEX(Cost_Components!$L$2:$L$27,MATCH(E283,Cost_Components!$A$2:$A$27,0)),"")</f>
        <v>1</v>
      </c>
      <c r="N283" s="27">
        <f>IFERROR(INDEX(Cost_Components!$P$2:$P$27,MATCH(E283,Cost_Components!$A$2:$A$27,0)),"")</f>
        <v>115.10623099999999</v>
      </c>
      <c r="O283" s="21">
        <f t="shared" si="41"/>
        <v>777174.12906710501</v>
      </c>
      <c r="P283" s="21">
        <f t="shared" si="42"/>
        <v>743355.38018249802</v>
      </c>
      <c r="Q283" s="21">
        <f t="shared" si="43"/>
        <v>26525099.192977622</v>
      </c>
      <c r="R283" s="21">
        <f t="shared" si="44"/>
        <v>64822342.236630723</v>
      </c>
      <c r="S283" s="21">
        <f t="shared" si="45"/>
        <v>38297243.043653101</v>
      </c>
      <c r="T283" s="14">
        <f>IFERROR(INDEX(Cost_Components!$R$2:$R$27,MATCH(E283,Cost_Components!$A$2:$A$27,0)),"")</f>
        <v>1</v>
      </c>
      <c r="U283" s="24">
        <f>IFERROR(INDEX(Cost_Components!$Q$2:$Q$27,MATCH(E283,Cost_Components!$A$2:$A$27,0)),"")</f>
        <v>2023</v>
      </c>
      <c r="V283" s="28">
        <f>1/(1+Calculation_Assumptions!$B$5)^(B283-Calculation_Assumptions!$B$2)</f>
        <v>0.5375492759090631</v>
      </c>
      <c r="W283" s="21">
        <f t="shared" si="46"/>
        <v>14258547.864601195</v>
      </c>
      <c r="X283" s="21">
        <f t="shared" si="47"/>
        <v>34845203.132030323</v>
      </c>
      <c r="Y283" s="21">
        <f t="shared" si="48"/>
        <v>20586655.267429128</v>
      </c>
      <c r="Z283" s="15">
        <f>IFERROR(INDEX(Cost_Components!$T$2:$T$27,MATCH(E283,Cost_Components!$A$2:$A$27,0)),"")</f>
        <v>0.8</v>
      </c>
      <c r="AA283" s="24">
        <f>IFERROR(INDEX(Cost_Components!$U$2:$U$27,MATCH(E283,Cost_Components!$A$2:$A$27,0)),"")</f>
        <v>2025</v>
      </c>
      <c r="AB283" s="24">
        <f>IFERROR(INDEX(Cost_Components!$V$2:$V$27,MATCH(E283,Cost_Components!$A$2:$A$27,0)),"")</f>
        <v>2050</v>
      </c>
      <c r="AC283" s="24">
        <f>IFERROR(INDEX(Cost_Components!$M$2:$M$27,MATCH(E283,Cost_Components!$A$2:$A$27,0)),"")</f>
        <v>0</v>
      </c>
      <c r="AD283" s="24">
        <f>IFERROR(INDEX(Cost_Components!$N$2:$N$27,MATCH(E283,Cost_Components!$A$2:$A$27,0)),"")</f>
        <v>95</v>
      </c>
      <c r="AE283" s="14" t="str">
        <f>IFERROR(INDEX(Cost_Components!$O$2:$O$27,MATCH(E283,Cost_Components!$A$2:$A$27,0)),"")</f>
        <v>Both</v>
      </c>
      <c r="AF283" s="11">
        <v>777174.12906710501</v>
      </c>
      <c r="AG283" s="11">
        <v>743355.38018249802</v>
      </c>
      <c r="AH283" s="21">
        <f t="shared" si="49"/>
        <v>1</v>
      </c>
    </row>
    <row r="284" spans="1:34" hidden="1">
      <c r="A284" t="s">
        <v>197</v>
      </c>
      <c r="B284" s="18">
        <v>2047</v>
      </c>
      <c r="C284" t="s">
        <v>197</v>
      </c>
      <c r="D284" t="s">
        <v>163</v>
      </c>
      <c r="E284" s="20" t="s">
        <v>282</v>
      </c>
      <c r="F284" s="20" t="s">
        <v>283</v>
      </c>
      <c r="G284" s="20" t="s">
        <v>200</v>
      </c>
      <c r="H284" s="20" t="s">
        <v>192</v>
      </c>
      <c r="I284" s="20" t="s">
        <v>264</v>
      </c>
      <c r="J284" s="15">
        <f>IFERROR(INDEX(Cost_Components!$K$2:$K$27,MATCH(E284,Cost_Components!$A$2:$A$27,0)),"")</f>
        <v>1</v>
      </c>
      <c r="K284" s="15">
        <f t="shared" si="40"/>
        <v>0.74346153846153851</v>
      </c>
      <c r="L284" s="15">
        <f>IFERROR(INDEX(Cost_Components!$S$2:$S$27,MATCH(E284,Cost_Components!$A$2:$A$27,0)),"")</f>
        <v>0.31</v>
      </c>
      <c r="M284" s="26">
        <f>IFERROR(INDEX(Cost_Components!$L$2:$L$27,MATCH(E284,Cost_Components!$A$2:$A$27,0)),"")</f>
        <v>1</v>
      </c>
      <c r="N284" s="27">
        <f>IFERROR(INDEX(Cost_Components!$P$2:$P$27,MATCH(E284,Cost_Components!$A$2:$A$27,0)),"")</f>
        <v>115.10623099999999</v>
      </c>
      <c r="O284" s="21">
        <f t="shared" si="41"/>
        <v>793297.55843955802</v>
      </c>
      <c r="P284" s="21">
        <f t="shared" si="42"/>
        <v>757019.86084513098</v>
      </c>
      <c r="Q284" s="21">
        <f t="shared" si="43"/>
        <v>27012687.921948522</v>
      </c>
      <c r="R284" s="21">
        <f t="shared" si="44"/>
        <v>67888069.254637077</v>
      </c>
      <c r="S284" s="21">
        <f t="shared" si="45"/>
        <v>40875381.332688555</v>
      </c>
      <c r="T284" s="14">
        <f>IFERROR(INDEX(Cost_Components!$R$2:$R$27,MATCH(E284,Cost_Components!$A$2:$A$27,0)),"")</f>
        <v>1</v>
      </c>
      <c r="U284" s="24">
        <f>IFERROR(INDEX(Cost_Components!$Q$2:$Q$27,MATCH(E284,Cost_Components!$A$2:$A$27,0)),"")</f>
        <v>2023</v>
      </c>
      <c r="V284" s="28">
        <f>1/(1+Calculation_Assumptions!$B$5)^(B284-Calculation_Assumptions!$B$2)</f>
        <v>0.52189250088258554</v>
      </c>
      <c r="W284" s="21">
        <f t="shared" si="46"/>
        <v>14097719.255146528</v>
      </c>
      <c r="X284" s="21">
        <f t="shared" si="47"/>
        <v>35430274.243392706</v>
      </c>
      <c r="Y284" s="21">
        <f t="shared" si="48"/>
        <v>21332554.988246184</v>
      </c>
      <c r="Z284" s="15">
        <f>IFERROR(INDEX(Cost_Components!$T$2:$T$27,MATCH(E284,Cost_Components!$A$2:$A$27,0)),"")</f>
        <v>0.8</v>
      </c>
      <c r="AA284" s="24">
        <f>IFERROR(INDEX(Cost_Components!$U$2:$U$27,MATCH(E284,Cost_Components!$A$2:$A$27,0)),"")</f>
        <v>2025</v>
      </c>
      <c r="AB284" s="24">
        <f>IFERROR(INDEX(Cost_Components!$V$2:$V$27,MATCH(E284,Cost_Components!$A$2:$A$27,0)),"")</f>
        <v>2050</v>
      </c>
      <c r="AC284" s="24">
        <f>IFERROR(INDEX(Cost_Components!$M$2:$M$27,MATCH(E284,Cost_Components!$A$2:$A$27,0)),"")</f>
        <v>0</v>
      </c>
      <c r="AD284" s="24">
        <f>IFERROR(INDEX(Cost_Components!$N$2:$N$27,MATCH(E284,Cost_Components!$A$2:$A$27,0)),"")</f>
        <v>95</v>
      </c>
      <c r="AE284" s="14" t="str">
        <f>IFERROR(INDEX(Cost_Components!$O$2:$O$27,MATCH(E284,Cost_Components!$A$2:$A$27,0)),"")</f>
        <v>Both</v>
      </c>
      <c r="AF284" s="11">
        <v>793297.55843955802</v>
      </c>
      <c r="AG284" s="11">
        <v>757019.86084513098</v>
      </c>
      <c r="AH284" s="21">
        <f t="shared" si="49"/>
        <v>1</v>
      </c>
    </row>
    <row r="285" spans="1:34" hidden="1">
      <c r="A285" t="s">
        <v>197</v>
      </c>
      <c r="B285" s="18">
        <v>2048</v>
      </c>
      <c r="C285" t="s">
        <v>197</v>
      </c>
      <c r="D285" t="s">
        <v>163</v>
      </c>
      <c r="E285" s="20" t="s">
        <v>282</v>
      </c>
      <c r="F285" s="20" t="s">
        <v>283</v>
      </c>
      <c r="G285" s="20" t="s">
        <v>200</v>
      </c>
      <c r="H285" s="20" t="s">
        <v>192</v>
      </c>
      <c r="I285" s="20" t="s">
        <v>264</v>
      </c>
      <c r="J285" s="15">
        <f>IFERROR(INDEX(Cost_Components!$K$2:$K$27,MATCH(E285,Cost_Components!$A$2:$A$27,0)),"")</f>
        <v>1</v>
      </c>
      <c r="K285" s="15">
        <f t="shared" si="40"/>
        <v>0.76230769230769235</v>
      </c>
      <c r="L285" s="15">
        <f>IFERROR(INDEX(Cost_Components!$S$2:$S$27,MATCH(E285,Cost_Components!$A$2:$A$27,0)),"")</f>
        <v>0.31</v>
      </c>
      <c r="M285" s="26">
        <f>IFERROR(INDEX(Cost_Components!$L$2:$L$27,MATCH(E285,Cost_Components!$A$2:$A$27,0)),"")</f>
        <v>1</v>
      </c>
      <c r="N285" s="27">
        <f>IFERROR(INDEX(Cost_Components!$P$2:$P$27,MATCH(E285,Cost_Components!$A$2:$A$27,0)),"")</f>
        <v>115.10623099999999</v>
      </c>
      <c r="O285" s="21">
        <f t="shared" si="41"/>
        <v>809063.38245934097</v>
      </c>
      <c r="P285" s="21">
        <f t="shared" si="42"/>
        <v>770285.19810741395</v>
      </c>
      <c r="Q285" s="21">
        <f t="shared" si="43"/>
        <v>27486034.044262148</v>
      </c>
      <c r="R285" s="21">
        <f t="shared" si="44"/>
        <v>70992371.127423987</v>
      </c>
      <c r="S285" s="21">
        <f t="shared" si="45"/>
        <v>43506337.083161838</v>
      </c>
      <c r="T285" s="14">
        <f>IFERROR(INDEX(Cost_Components!$R$2:$R$27,MATCH(E285,Cost_Components!$A$2:$A$27,0)),"")</f>
        <v>1</v>
      </c>
      <c r="U285" s="24">
        <f>IFERROR(INDEX(Cost_Components!$Q$2:$Q$27,MATCH(E285,Cost_Components!$A$2:$A$27,0)),"")</f>
        <v>2023</v>
      </c>
      <c r="V285" s="28">
        <f>1/(1+Calculation_Assumptions!$B$5)^(B285-Calculation_Assumptions!$B$2)</f>
        <v>0.50669174842969467</v>
      </c>
      <c r="W285" s="21">
        <f t="shared" si="46"/>
        <v>13926946.647285299</v>
      </c>
      <c r="X285" s="21">
        <f t="shared" si="47"/>
        <v>35971248.651724234</v>
      </c>
      <c r="Y285" s="21">
        <f t="shared" si="48"/>
        <v>22044302.004438933</v>
      </c>
      <c r="Z285" s="15">
        <f>IFERROR(INDEX(Cost_Components!$T$2:$T$27,MATCH(E285,Cost_Components!$A$2:$A$27,0)),"")</f>
        <v>0.8</v>
      </c>
      <c r="AA285" s="24">
        <f>IFERROR(INDEX(Cost_Components!$U$2:$U$27,MATCH(E285,Cost_Components!$A$2:$A$27,0)),"")</f>
        <v>2025</v>
      </c>
      <c r="AB285" s="24">
        <f>IFERROR(INDEX(Cost_Components!$V$2:$V$27,MATCH(E285,Cost_Components!$A$2:$A$27,0)),"")</f>
        <v>2050</v>
      </c>
      <c r="AC285" s="24">
        <f>IFERROR(INDEX(Cost_Components!$M$2:$M$27,MATCH(E285,Cost_Components!$A$2:$A$27,0)),"")</f>
        <v>0</v>
      </c>
      <c r="AD285" s="24">
        <f>IFERROR(INDEX(Cost_Components!$N$2:$N$27,MATCH(E285,Cost_Components!$A$2:$A$27,0)),"")</f>
        <v>95</v>
      </c>
      <c r="AE285" s="14" t="str">
        <f>IFERROR(INDEX(Cost_Components!$O$2:$O$27,MATCH(E285,Cost_Components!$A$2:$A$27,0)),"")</f>
        <v>Both</v>
      </c>
      <c r="AF285" s="11">
        <v>809063.38245934097</v>
      </c>
      <c r="AG285" s="11">
        <v>770285.19810741395</v>
      </c>
      <c r="AH285" s="21">
        <f t="shared" si="49"/>
        <v>1</v>
      </c>
    </row>
    <row r="286" spans="1:34" hidden="1">
      <c r="A286" t="s">
        <v>197</v>
      </c>
      <c r="B286" s="18">
        <v>2049</v>
      </c>
      <c r="C286" t="s">
        <v>197</v>
      </c>
      <c r="D286" t="s">
        <v>163</v>
      </c>
      <c r="E286" s="20" t="s">
        <v>282</v>
      </c>
      <c r="F286" s="20" t="s">
        <v>283</v>
      </c>
      <c r="G286" s="20" t="s">
        <v>200</v>
      </c>
      <c r="H286" s="20" t="s">
        <v>192</v>
      </c>
      <c r="I286" s="20" t="s">
        <v>264</v>
      </c>
      <c r="J286" s="15">
        <f>IFERROR(INDEX(Cost_Components!$K$2:$K$27,MATCH(E286,Cost_Components!$A$2:$A$27,0)),"")</f>
        <v>1</v>
      </c>
      <c r="K286" s="15">
        <f t="shared" si="40"/>
        <v>0.7811538461538462</v>
      </c>
      <c r="L286" s="15">
        <f>IFERROR(INDEX(Cost_Components!$S$2:$S$27,MATCH(E286,Cost_Components!$A$2:$A$27,0)),"")</f>
        <v>0.31</v>
      </c>
      <c r="M286" s="26">
        <f>IFERROR(INDEX(Cost_Components!$L$2:$L$27,MATCH(E286,Cost_Components!$A$2:$A$27,0)),"")</f>
        <v>1</v>
      </c>
      <c r="N286" s="27">
        <f>IFERROR(INDEX(Cost_Components!$P$2:$P$27,MATCH(E286,Cost_Components!$A$2:$A$27,0)),"")</f>
        <v>115.10623099999999</v>
      </c>
      <c r="O286" s="21">
        <f t="shared" si="41"/>
        <v>824423.07413387601</v>
      </c>
      <c r="P286" s="21">
        <f t="shared" si="42"/>
        <v>783107.16490218102</v>
      </c>
      <c r="Q286" s="21">
        <f t="shared" si="43"/>
        <v>27943559.408505514</v>
      </c>
      <c r="R286" s="21">
        <f t="shared" si="44"/>
        <v>74128557.247373313</v>
      </c>
      <c r="S286" s="21">
        <f t="shared" si="45"/>
        <v>46184997.838867798</v>
      </c>
      <c r="T286" s="14">
        <f>IFERROR(INDEX(Cost_Components!$R$2:$R$27,MATCH(E286,Cost_Components!$A$2:$A$27,0)),"")</f>
        <v>1</v>
      </c>
      <c r="U286" s="24">
        <f>IFERROR(INDEX(Cost_Components!$Q$2:$Q$27,MATCH(E286,Cost_Components!$A$2:$A$27,0)),"")</f>
        <v>2023</v>
      </c>
      <c r="V286" s="28">
        <f>1/(1+Calculation_Assumptions!$B$5)^(B286-Calculation_Assumptions!$B$2)</f>
        <v>0.49193373633950943</v>
      </c>
      <c r="W286" s="21">
        <f t="shared" si="46"/>
        <v>13746379.586451169</v>
      </c>
      <c r="X286" s="21">
        <f t="shared" si="47"/>
        <v>36466338.136157572</v>
      </c>
      <c r="Y286" s="21">
        <f t="shared" si="48"/>
        <v>22719958.549706403</v>
      </c>
      <c r="Z286" s="15">
        <f>IFERROR(INDEX(Cost_Components!$T$2:$T$27,MATCH(E286,Cost_Components!$A$2:$A$27,0)),"")</f>
        <v>0.8</v>
      </c>
      <c r="AA286" s="24">
        <f>IFERROR(INDEX(Cost_Components!$U$2:$U$27,MATCH(E286,Cost_Components!$A$2:$A$27,0)),"")</f>
        <v>2025</v>
      </c>
      <c r="AB286" s="24">
        <f>IFERROR(INDEX(Cost_Components!$V$2:$V$27,MATCH(E286,Cost_Components!$A$2:$A$27,0)),"")</f>
        <v>2050</v>
      </c>
      <c r="AC286" s="24">
        <f>IFERROR(INDEX(Cost_Components!$M$2:$M$27,MATCH(E286,Cost_Components!$A$2:$A$27,0)),"")</f>
        <v>0</v>
      </c>
      <c r="AD286" s="24">
        <f>IFERROR(INDEX(Cost_Components!$N$2:$N$27,MATCH(E286,Cost_Components!$A$2:$A$27,0)),"")</f>
        <v>95</v>
      </c>
      <c r="AE286" s="14" t="str">
        <f>IFERROR(INDEX(Cost_Components!$O$2:$O$27,MATCH(E286,Cost_Components!$A$2:$A$27,0)),"")</f>
        <v>Both</v>
      </c>
      <c r="AF286" s="11">
        <v>824423.07413387601</v>
      </c>
      <c r="AG286" s="11">
        <v>783107.16490218102</v>
      </c>
      <c r="AH286" s="21">
        <f t="shared" si="49"/>
        <v>1</v>
      </c>
    </row>
    <row r="287" spans="1:34" hidden="1">
      <c r="A287" t="s">
        <v>197</v>
      </c>
      <c r="B287" s="18">
        <v>2050</v>
      </c>
      <c r="C287" t="s">
        <v>197</v>
      </c>
      <c r="D287" t="s">
        <v>163</v>
      </c>
      <c r="E287" s="20" t="s">
        <v>282</v>
      </c>
      <c r="F287" s="20" t="s">
        <v>283</v>
      </c>
      <c r="G287" s="20" t="s">
        <v>200</v>
      </c>
      <c r="H287" s="20" t="s">
        <v>192</v>
      </c>
      <c r="I287" s="20" t="s">
        <v>264</v>
      </c>
      <c r="J287" s="15">
        <f>IFERROR(INDEX(Cost_Components!$K$2:$K$27,MATCH(E287,Cost_Components!$A$2:$A$27,0)),"")</f>
        <v>1</v>
      </c>
      <c r="K287" s="15">
        <f t="shared" si="40"/>
        <v>0.8</v>
      </c>
      <c r="L287" s="15">
        <f>IFERROR(INDEX(Cost_Components!$S$2:$S$27,MATCH(E287,Cost_Components!$A$2:$A$27,0)),"")</f>
        <v>0.31</v>
      </c>
      <c r="M287" s="26">
        <f>IFERROR(INDEX(Cost_Components!$L$2:$L$27,MATCH(E287,Cost_Components!$A$2:$A$27,0)),"")</f>
        <v>1</v>
      </c>
      <c r="N287" s="27">
        <f>IFERROR(INDEX(Cost_Components!$P$2:$P$27,MATCH(E287,Cost_Components!$A$2:$A$27,0)),"")</f>
        <v>115.10623099999999</v>
      </c>
      <c r="O287" s="21">
        <f t="shared" si="41"/>
        <v>839366.350908419</v>
      </c>
      <c r="P287" s="21">
        <f t="shared" si="42"/>
        <v>795479.78410570498</v>
      </c>
      <c r="Q287" s="21">
        <f t="shared" si="43"/>
        <v>28385050.733381435</v>
      </c>
      <c r="R287" s="21">
        <f t="shared" si="44"/>
        <v>77293037.665033236</v>
      </c>
      <c r="S287" s="21">
        <f t="shared" si="45"/>
        <v>48907986.931651801</v>
      </c>
      <c r="T287" s="14">
        <f>IFERROR(INDEX(Cost_Components!$R$2:$R$27,MATCH(E287,Cost_Components!$A$2:$A$27,0)),"")</f>
        <v>1</v>
      </c>
      <c r="U287" s="24">
        <f>IFERROR(INDEX(Cost_Components!$Q$2:$Q$27,MATCH(E287,Cost_Components!$A$2:$A$27,0)),"")</f>
        <v>2023</v>
      </c>
      <c r="V287" s="28">
        <f>1/(1+Calculation_Assumptions!$B$5)^(B287-Calculation_Assumptions!$B$2)</f>
        <v>0.47760556926165965</v>
      </c>
      <c r="W287" s="21">
        <f t="shared" si="46"/>
        <v>13556858.314037731</v>
      </c>
      <c r="X287" s="21">
        <f t="shared" si="47"/>
        <v>36915585.2539711</v>
      </c>
      <c r="Y287" s="21">
        <f t="shared" si="48"/>
        <v>23358726.939933371</v>
      </c>
      <c r="Z287" s="15">
        <f>IFERROR(INDEX(Cost_Components!$T$2:$T$27,MATCH(E287,Cost_Components!$A$2:$A$27,0)),"")</f>
        <v>0.8</v>
      </c>
      <c r="AA287" s="24">
        <f>IFERROR(INDEX(Cost_Components!$U$2:$U$27,MATCH(E287,Cost_Components!$A$2:$A$27,0)),"")</f>
        <v>2025</v>
      </c>
      <c r="AB287" s="24">
        <f>IFERROR(INDEX(Cost_Components!$V$2:$V$27,MATCH(E287,Cost_Components!$A$2:$A$27,0)),"")</f>
        <v>2050</v>
      </c>
      <c r="AC287" s="24">
        <f>IFERROR(INDEX(Cost_Components!$M$2:$M$27,MATCH(E287,Cost_Components!$A$2:$A$27,0)),"")</f>
        <v>0</v>
      </c>
      <c r="AD287" s="24">
        <f>IFERROR(INDEX(Cost_Components!$N$2:$N$27,MATCH(E287,Cost_Components!$A$2:$A$27,0)),"")</f>
        <v>95</v>
      </c>
      <c r="AE287" s="14" t="str">
        <f>IFERROR(INDEX(Cost_Components!$O$2:$O$27,MATCH(E287,Cost_Components!$A$2:$A$27,0)),"")</f>
        <v>Both</v>
      </c>
      <c r="AF287" s="11">
        <v>839366.350908419</v>
      </c>
      <c r="AG287" s="11">
        <v>795479.78410570498</v>
      </c>
      <c r="AH287" s="21">
        <f t="shared" si="49"/>
        <v>1</v>
      </c>
    </row>
    <row r="288" spans="1:34" hidden="1">
      <c r="A288" t="s">
        <v>197</v>
      </c>
      <c r="B288" s="18">
        <v>2025</v>
      </c>
      <c r="C288" t="s">
        <v>197</v>
      </c>
      <c r="D288" t="s">
        <v>177</v>
      </c>
      <c r="E288" s="20" t="s">
        <v>284</v>
      </c>
      <c r="F288" s="20" t="s">
        <v>285</v>
      </c>
      <c r="G288" s="20" t="s">
        <v>201</v>
      </c>
      <c r="H288" s="20" t="s">
        <v>192</v>
      </c>
      <c r="I288" s="20" t="s">
        <v>264</v>
      </c>
      <c r="J288" s="15">
        <f>IFERROR(INDEX(Cost_Components!$K$2:$K$27,MATCH(E288,Cost_Components!$A$2:$A$27,0)),"")</f>
        <v>0.2</v>
      </c>
      <c r="K288" s="15">
        <f t="shared" si="40"/>
        <v>0.32884615384615384</v>
      </c>
      <c r="L288" s="15">
        <f>IFERROR(INDEX(Cost_Components!$S$2:$S$27,MATCH(E288,Cost_Components!$A$2:$A$27,0)),"")</f>
        <v>0.31</v>
      </c>
      <c r="M288" s="26">
        <f>IFERROR(INDEX(Cost_Components!$L$2:$L$27,MATCH(E288,Cost_Components!$A$2:$A$27,0)),"")</f>
        <v>1</v>
      </c>
      <c r="N288" s="27">
        <f>IFERROR(INDEX(Cost_Components!$P$2:$P$27,MATCH(E288,Cost_Components!$A$2:$A$27,0)),"")</f>
        <v>5.133311</v>
      </c>
      <c r="O288" s="21">
        <f t="shared" si="41"/>
        <v>1041394.4765552121</v>
      </c>
      <c r="P288" s="21">
        <f t="shared" si="42"/>
        <v>1041375.033644954</v>
      </c>
      <c r="Q288" s="21">
        <f t="shared" si="43"/>
        <v>1657167.5937538536</v>
      </c>
      <c r="R288" s="21">
        <f t="shared" si="44"/>
        <v>1757946.3354512674</v>
      </c>
      <c r="S288" s="21">
        <f t="shared" si="45"/>
        <v>100778.74169741385</v>
      </c>
      <c r="T288" s="14">
        <f>IFERROR(INDEX(Cost_Components!$R$2:$R$27,MATCH(E288,Cost_Components!$A$2:$A$27,0)),"")</f>
        <v>1</v>
      </c>
      <c r="U288" s="24">
        <f>IFERROR(INDEX(Cost_Components!$Q$2:$Q$27,MATCH(E288,Cost_Components!$A$2:$A$27,0)),"")</f>
        <v>2023</v>
      </c>
      <c r="V288" s="28">
        <f>1/(1+Calculation_Assumptions!$B$5)^(B288-Calculation_Assumptions!$B$2)</f>
        <v>1</v>
      </c>
      <c r="W288" s="21">
        <f t="shared" si="46"/>
        <v>1657167.5937538536</v>
      </c>
      <c r="X288" s="21">
        <f t="shared" si="47"/>
        <v>1757946.3354512674</v>
      </c>
      <c r="Y288" s="21">
        <f t="shared" si="48"/>
        <v>100778.74169741385</v>
      </c>
      <c r="Z288" s="15">
        <f>IFERROR(INDEX(Cost_Components!$T$2:$T$27,MATCH(E288,Cost_Components!$A$2:$A$27,0)),"")</f>
        <v>0.8</v>
      </c>
      <c r="AA288" s="24">
        <f>IFERROR(INDEX(Cost_Components!$U$2:$U$27,MATCH(E288,Cost_Components!$A$2:$A$27,0)),"")</f>
        <v>2025</v>
      </c>
      <c r="AB288" s="24">
        <f>IFERROR(INDEX(Cost_Components!$V$2:$V$27,MATCH(E288,Cost_Components!$A$2:$A$27,0)),"")</f>
        <v>2050</v>
      </c>
      <c r="AC288" s="24">
        <f>IFERROR(INDEX(Cost_Components!$M$2:$M$27,MATCH(E288,Cost_Components!$A$2:$A$27,0)),"")</f>
        <v>30</v>
      </c>
      <c r="AD288" s="24">
        <f>IFERROR(INDEX(Cost_Components!$N$2:$N$27,MATCH(E288,Cost_Components!$A$2:$A$27,0)),"")</f>
        <v>95</v>
      </c>
      <c r="AE288" s="14" t="str">
        <f>IFERROR(INDEX(Cost_Components!$O$2:$O$27,MATCH(E288,Cost_Components!$A$2:$A$27,0)),"")</f>
        <v>Both</v>
      </c>
      <c r="AF288" s="11">
        <v>5206972.3827760601</v>
      </c>
      <c r="AG288" s="11">
        <v>5206875.1682247696</v>
      </c>
      <c r="AH288" s="21">
        <f t="shared" si="49"/>
        <v>1</v>
      </c>
    </row>
    <row r="289" spans="1:34" hidden="1">
      <c r="A289" t="s">
        <v>197</v>
      </c>
      <c r="B289" s="18">
        <v>2026</v>
      </c>
      <c r="C289" t="s">
        <v>197</v>
      </c>
      <c r="D289" t="s">
        <v>177</v>
      </c>
      <c r="E289" s="20" t="s">
        <v>284</v>
      </c>
      <c r="F289" s="20" t="s">
        <v>285</v>
      </c>
      <c r="G289" s="20" t="s">
        <v>201</v>
      </c>
      <c r="H289" s="20" t="s">
        <v>192</v>
      </c>
      <c r="I289" s="20" t="s">
        <v>264</v>
      </c>
      <c r="J289" s="15">
        <f>IFERROR(INDEX(Cost_Components!$K$2:$K$27,MATCH(E289,Cost_Components!$A$2:$A$27,0)),"")</f>
        <v>0.2</v>
      </c>
      <c r="K289" s="15">
        <f t="shared" si="40"/>
        <v>0.34769230769230769</v>
      </c>
      <c r="L289" s="15">
        <f>IFERROR(INDEX(Cost_Components!$S$2:$S$27,MATCH(E289,Cost_Components!$A$2:$A$27,0)),"")</f>
        <v>0.31</v>
      </c>
      <c r="M289" s="26">
        <f>IFERROR(INDEX(Cost_Components!$L$2:$L$27,MATCH(E289,Cost_Components!$A$2:$A$27,0)),"")</f>
        <v>1</v>
      </c>
      <c r="N289" s="27">
        <f>IFERROR(INDEX(Cost_Components!$P$2:$P$27,MATCH(E289,Cost_Components!$A$2:$A$27,0)),"")</f>
        <v>5.133311</v>
      </c>
      <c r="O289" s="21">
        <f t="shared" si="41"/>
        <v>1066929.383789398</v>
      </c>
      <c r="P289" s="21">
        <f t="shared" si="42"/>
        <v>1066871.057007208</v>
      </c>
      <c r="Q289" s="21">
        <f t="shared" si="43"/>
        <v>1697740.0890801856</v>
      </c>
      <c r="R289" s="21">
        <f t="shared" si="44"/>
        <v>1904269.165074816</v>
      </c>
      <c r="S289" s="21">
        <f t="shared" si="45"/>
        <v>206529.07599463034</v>
      </c>
      <c r="T289" s="14">
        <f>IFERROR(INDEX(Cost_Components!$R$2:$R$27,MATCH(E289,Cost_Components!$A$2:$A$27,0)),"")</f>
        <v>1</v>
      </c>
      <c r="U289" s="24">
        <f>IFERROR(INDEX(Cost_Components!$Q$2:$Q$27,MATCH(E289,Cost_Components!$A$2:$A$27,0)),"")</f>
        <v>2023</v>
      </c>
      <c r="V289" s="28">
        <f>1/(1+Calculation_Assumptions!$B$5)^(B289-Calculation_Assumptions!$B$2)</f>
        <v>0.970873786407767</v>
      </c>
      <c r="W289" s="21">
        <f t="shared" si="46"/>
        <v>1648291.3486215395</v>
      </c>
      <c r="X289" s="21">
        <f t="shared" si="47"/>
        <v>1848805.0146357436</v>
      </c>
      <c r="Y289" s="21">
        <f t="shared" si="48"/>
        <v>200513.66601420421</v>
      </c>
      <c r="Z289" s="15">
        <f>IFERROR(INDEX(Cost_Components!$T$2:$T$27,MATCH(E289,Cost_Components!$A$2:$A$27,0)),"")</f>
        <v>0.8</v>
      </c>
      <c r="AA289" s="24">
        <f>IFERROR(INDEX(Cost_Components!$U$2:$U$27,MATCH(E289,Cost_Components!$A$2:$A$27,0)),"")</f>
        <v>2025</v>
      </c>
      <c r="AB289" s="24">
        <f>IFERROR(INDEX(Cost_Components!$V$2:$V$27,MATCH(E289,Cost_Components!$A$2:$A$27,0)),"")</f>
        <v>2050</v>
      </c>
      <c r="AC289" s="24">
        <f>IFERROR(INDEX(Cost_Components!$M$2:$M$27,MATCH(E289,Cost_Components!$A$2:$A$27,0)),"")</f>
        <v>30</v>
      </c>
      <c r="AD289" s="24">
        <f>IFERROR(INDEX(Cost_Components!$N$2:$N$27,MATCH(E289,Cost_Components!$A$2:$A$27,0)),"")</f>
        <v>95</v>
      </c>
      <c r="AE289" s="14" t="str">
        <f>IFERROR(INDEX(Cost_Components!$O$2:$O$27,MATCH(E289,Cost_Components!$A$2:$A$27,0)),"")</f>
        <v>Both</v>
      </c>
      <c r="AF289" s="11">
        <v>5334646.9189469898</v>
      </c>
      <c r="AG289" s="11">
        <v>5334355.2850360395</v>
      </c>
      <c r="AH289" s="21">
        <f t="shared" si="49"/>
        <v>1</v>
      </c>
    </row>
    <row r="290" spans="1:34" hidden="1">
      <c r="A290" t="s">
        <v>197</v>
      </c>
      <c r="B290" s="18">
        <v>2027</v>
      </c>
      <c r="C290" t="s">
        <v>197</v>
      </c>
      <c r="D290" t="s">
        <v>177</v>
      </c>
      <c r="E290" s="20" t="s">
        <v>284</v>
      </c>
      <c r="F290" s="20" t="s">
        <v>285</v>
      </c>
      <c r="G290" s="20" t="s">
        <v>201</v>
      </c>
      <c r="H290" s="20" t="s">
        <v>192</v>
      </c>
      <c r="I290" s="20" t="s">
        <v>264</v>
      </c>
      <c r="J290" s="15">
        <f>IFERROR(INDEX(Cost_Components!$K$2:$K$27,MATCH(E290,Cost_Components!$A$2:$A$27,0)),"")</f>
        <v>0.2</v>
      </c>
      <c r="K290" s="15">
        <f t="shared" si="40"/>
        <v>0.36653846153846154</v>
      </c>
      <c r="L290" s="15">
        <f>IFERROR(INDEX(Cost_Components!$S$2:$S$27,MATCH(E290,Cost_Components!$A$2:$A$27,0)),"")</f>
        <v>0.31</v>
      </c>
      <c r="M290" s="26">
        <f>IFERROR(INDEX(Cost_Components!$L$2:$L$27,MATCH(E290,Cost_Components!$A$2:$A$27,0)),"")</f>
        <v>1</v>
      </c>
      <c r="N290" s="27">
        <f>IFERROR(INDEX(Cost_Components!$P$2:$P$27,MATCH(E290,Cost_Components!$A$2:$A$27,0)),"")</f>
        <v>5.133311</v>
      </c>
      <c r="O290" s="21">
        <f t="shared" si="41"/>
        <v>1092393.0332508041</v>
      </c>
      <c r="P290" s="21">
        <f t="shared" si="42"/>
        <v>1092276.4661504922</v>
      </c>
      <c r="Q290" s="21">
        <f t="shared" si="43"/>
        <v>1738168.3876067493</v>
      </c>
      <c r="R290" s="21">
        <f t="shared" si="44"/>
        <v>2055398.5748984467</v>
      </c>
      <c r="S290" s="21">
        <f t="shared" si="45"/>
        <v>317230.18729169737</v>
      </c>
      <c r="T290" s="14">
        <f>IFERROR(INDEX(Cost_Components!$R$2:$R$27,MATCH(E290,Cost_Components!$A$2:$A$27,0)),"")</f>
        <v>1</v>
      </c>
      <c r="U290" s="24">
        <f>IFERROR(INDEX(Cost_Components!$Q$2:$Q$27,MATCH(E290,Cost_Components!$A$2:$A$27,0)),"")</f>
        <v>2023</v>
      </c>
      <c r="V290" s="28">
        <f>1/(1+Calculation_Assumptions!$B$5)^(B290-Calculation_Assumptions!$B$2)</f>
        <v>0.94259590913375435</v>
      </c>
      <c r="W290" s="21">
        <f t="shared" si="46"/>
        <v>1638390.4115437358</v>
      </c>
      <c r="X290" s="21">
        <f t="shared" si="47"/>
        <v>1937410.2883386244</v>
      </c>
      <c r="Y290" s="21">
        <f t="shared" si="48"/>
        <v>299019.87679488864</v>
      </c>
      <c r="Z290" s="15">
        <f>IFERROR(INDEX(Cost_Components!$T$2:$T$27,MATCH(E290,Cost_Components!$A$2:$A$27,0)),"")</f>
        <v>0.8</v>
      </c>
      <c r="AA290" s="24">
        <f>IFERROR(INDEX(Cost_Components!$U$2:$U$27,MATCH(E290,Cost_Components!$A$2:$A$27,0)),"")</f>
        <v>2025</v>
      </c>
      <c r="AB290" s="24">
        <f>IFERROR(INDEX(Cost_Components!$V$2:$V$27,MATCH(E290,Cost_Components!$A$2:$A$27,0)),"")</f>
        <v>2050</v>
      </c>
      <c r="AC290" s="24">
        <f>IFERROR(INDEX(Cost_Components!$M$2:$M$27,MATCH(E290,Cost_Components!$A$2:$A$27,0)),"")</f>
        <v>30</v>
      </c>
      <c r="AD290" s="24">
        <f>IFERROR(INDEX(Cost_Components!$N$2:$N$27,MATCH(E290,Cost_Components!$A$2:$A$27,0)),"")</f>
        <v>95</v>
      </c>
      <c r="AE290" s="14" t="str">
        <f>IFERROR(INDEX(Cost_Components!$O$2:$O$27,MATCH(E290,Cost_Components!$A$2:$A$27,0)),"")</f>
        <v>Both</v>
      </c>
      <c r="AF290" s="11">
        <v>5461965.1662540203</v>
      </c>
      <c r="AG290" s="11">
        <v>5461382.3307524603</v>
      </c>
      <c r="AH290" s="21">
        <f t="shared" si="49"/>
        <v>1</v>
      </c>
    </row>
    <row r="291" spans="1:34" hidden="1">
      <c r="A291" t="s">
        <v>197</v>
      </c>
      <c r="B291" s="18">
        <v>2028</v>
      </c>
      <c r="C291" t="s">
        <v>197</v>
      </c>
      <c r="D291" t="s">
        <v>177</v>
      </c>
      <c r="E291" s="20" t="s">
        <v>284</v>
      </c>
      <c r="F291" s="20" t="s">
        <v>285</v>
      </c>
      <c r="G291" s="20" t="s">
        <v>201</v>
      </c>
      <c r="H291" s="20" t="s">
        <v>192</v>
      </c>
      <c r="I291" s="20" t="s">
        <v>264</v>
      </c>
      <c r="J291" s="15">
        <f>IFERROR(INDEX(Cost_Components!$K$2:$K$27,MATCH(E291,Cost_Components!$A$2:$A$27,0)),"")</f>
        <v>0.2</v>
      </c>
      <c r="K291" s="15">
        <f t="shared" si="40"/>
        <v>0.38538461538461538</v>
      </c>
      <c r="L291" s="15">
        <f>IFERROR(INDEX(Cost_Components!$S$2:$S$27,MATCH(E291,Cost_Components!$A$2:$A$27,0)),"")</f>
        <v>0.31</v>
      </c>
      <c r="M291" s="26">
        <f>IFERROR(INDEX(Cost_Components!$L$2:$L$27,MATCH(E291,Cost_Components!$A$2:$A$27,0)),"")</f>
        <v>1</v>
      </c>
      <c r="N291" s="27">
        <f>IFERROR(INDEX(Cost_Components!$P$2:$P$27,MATCH(E291,Cost_Components!$A$2:$A$27,0)),"")</f>
        <v>5.133311</v>
      </c>
      <c r="O291" s="21">
        <f t="shared" si="41"/>
        <v>1117583.954388866</v>
      </c>
      <c r="P291" s="21">
        <f t="shared" si="42"/>
        <v>1117389.9460450362</v>
      </c>
      <c r="Q291" s="21">
        <f t="shared" si="43"/>
        <v>1778132.131409941</v>
      </c>
      <c r="R291" s="21">
        <f t="shared" si="44"/>
        <v>2210915.3148080152</v>
      </c>
      <c r="S291" s="21">
        <f t="shared" si="45"/>
        <v>432783.18339807424</v>
      </c>
      <c r="T291" s="14">
        <f>IFERROR(INDEX(Cost_Components!$R$2:$R$27,MATCH(E291,Cost_Components!$A$2:$A$27,0)),"")</f>
        <v>1</v>
      </c>
      <c r="U291" s="24">
        <f>IFERROR(INDEX(Cost_Components!$Q$2:$Q$27,MATCH(E291,Cost_Components!$A$2:$A$27,0)),"")</f>
        <v>2023</v>
      </c>
      <c r="V291" s="28">
        <f>1/(1+Calculation_Assumptions!$B$5)^(B291-Calculation_Assumptions!$B$2)</f>
        <v>0.91514165935315961</v>
      </c>
      <c r="W291" s="21">
        <f t="shared" si="46"/>
        <v>1627242.7892876638</v>
      </c>
      <c r="X291" s="21">
        <f t="shared" si="47"/>
        <v>2023300.7098827204</v>
      </c>
      <c r="Y291" s="21">
        <f t="shared" si="48"/>
        <v>396057.92059505644</v>
      </c>
      <c r="Z291" s="15">
        <f>IFERROR(INDEX(Cost_Components!$T$2:$T$27,MATCH(E291,Cost_Components!$A$2:$A$27,0)),"")</f>
        <v>0.8</v>
      </c>
      <c r="AA291" s="24">
        <f>IFERROR(INDEX(Cost_Components!$U$2:$U$27,MATCH(E291,Cost_Components!$A$2:$A$27,0)),"")</f>
        <v>2025</v>
      </c>
      <c r="AB291" s="24">
        <f>IFERROR(INDEX(Cost_Components!$V$2:$V$27,MATCH(E291,Cost_Components!$A$2:$A$27,0)),"")</f>
        <v>2050</v>
      </c>
      <c r="AC291" s="24">
        <f>IFERROR(INDEX(Cost_Components!$M$2:$M$27,MATCH(E291,Cost_Components!$A$2:$A$27,0)),"")</f>
        <v>30</v>
      </c>
      <c r="AD291" s="24">
        <f>IFERROR(INDEX(Cost_Components!$N$2:$N$27,MATCH(E291,Cost_Components!$A$2:$A$27,0)),"")</f>
        <v>95</v>
      </c>
      <c r="AE291" s="14" t="str">
        <f>IFERROR(INDEX(Cost_Components!$O$2:$O$27,MATCH(E291,Cost_Components!$A$2:$A$27,0)),"")</f>
        <v>Both</v>
      </c>
      <c r="AF291" s="11">
        <v>5587919.7719443301</v>
      </c>
      <c r="AG291" s="11">
        <v>5586949.7302251803</v>
      </c>
      <c r="AH291" s="21">
        <f t="shared" si="49"/>
        <v>1</v>
      </c>
    </row>
    <row r="292" spans="1:34" hidden="1">
      <c r="A292" t="s">
        <v>197</v>
      </c>
      <c r="B292" s="18">
        <v>2029</v>
      </c>
      <c r="C292" t="s">
        <v>197</v>
      </c>
      <c r="D292" t="s">
        <v>177</v>
      </c>
      <c r="E292" s="20" t="s">
        <v>284</v>
      </c>
      <c r="F292" s="20" t="s">
        <v>285</v>
      </c>
      <c r="G292" s="20" t="s">
        <v>201</v>
      </c>
      <c r="H292" s="20" t="s">
        <v>192</v>
      </c>
      <c r="I292" s="20" t="s">
        <v>264</v>
      </c>
      <c r="J292" s="15">
        <f>IFERROR(INDEX(Cost_Components!$K$2:$K$27,MATCH(E292,Cost_Components!$A$2:$A$27,0)),"")</f>
        <v>0.2</v>
      </c>
      <c r="K292" s="15">
        <f t="shared" si="40"/>
        <v>0.40423076923076923</v>
      </c>
      <c r="L292" s="15">
        <f>IFERROR(INDEX(Cost_Components!$S$2:$S$27,MATCH(E292,Cost_Components!$A$2:$A$27,0)),"")</f>
        <v>0.31</v>
      </c>
      <c r="M292" s="26">
        <f>IFERROR(INDEX(Cost_Components!$L$2:$L$27,MATCH(E292,Cost_Components!$A$2:$A$27,0)),"")</f>
        <v>1</v>
      </c>
      <c r="N292" s="27">
        <f>IFERROR(INDEX(Cost_Components!$P$2:$P$27,MATCH(E292,Cost_Components!$A$2:$A$27,0)),"")</f>
        <v>5.133311</v>
      </c>
      <c r="O292" s="21">
        <f t="shared" si="41"/>
        <v>1142398.4385035841</v>
      </c>
      <c r="P292" s="21">
        <f t="shared" si="42"/>
        <v>1142107.993713924</v>
      </c>
      <c r="Q292" s="21">
        <f t="shared" si="43"/>
        <v>1817466.613469081</v>
      </c>
      <c r="R292" s="21">
        <f t="shared" si="44"/>
        <v>2370525.0310621881</v>
      </c>
      <c r="S292" s="21">
        <f t="shared" si="45"/>
        <v>553058.41759310709</v>
      </c>
      <c r="T292" s="14">
        <f>IFERROR(INDEX(Cost_Components!$R$2:$R$27,MATCH(E292,Cost_Components!$A$2:$A$27,0)),"")</f>
        <v>1</v>
      </c>
      <c r="U292" s="24">
        <f>IFERROR(INDEX(Cost_Components!$Q$2:$Q$27,MATCH(E292,Cost_Components!$A$2:$A$27,0)),"")</f>
        <v>2023</v>
      </c>
      <c r="V292" s="28">
        <f>1/(1+Calculation_Assumptions!$B$5)^(B292-Calculation_Assumptions!$B$2)</f>
        <v>0.888487047915689</v>
      </c>
      <c r="W292" s="21">
        <f t="shared" si="46"/>
        <v>1614795.5460864685</v>
      </c>
      <c r="X292" s="21">
        <f t="shared" si="47"/>
        <v>2106180.7868586904</v>
      </c>
      <c r="Y292" s="21">
        <f t="shared" si="48"/>
        <v>491385.24077222205</v>
      </c>
      <c r="Z292" s="15">
        <f>IFERROR(INDEX(Cost_Components!$T$2:$T$27,MATCH(E292,Cost_Components!$A$2:$A$27,0)),"")</f>
        <v>0.8</v>
      </c>
      <c r="AA292" s="24">
        <f>IFERROR(INDEX(Cost_Components!$U$2:$U$27,MATCH(E292,Cost_Components!$A$2:$A$27,0)),"")</f>
        <v>2025</v>
      </c>
      <c r="AB292" s="24">
        <f>IFERROR(INDEX(Cost_Components!$V$2:$V$27,MATCH(E292,Cost_Components!$A$2:$A$27,0)),"")</f>
        <v>2050</v>
      </c>
      <c r="AC292" s="24">
        <f>IFERROR(INDEX(Cost_Components!$M$2:$M$27,MATCH(E292,Cost_Components!$A$2:$A$27,0)),"")</f>
        <v>30</v>
      </c>
      <c r="AD292" s="24">
        <f>IFERROR(INDEX(Cost_Components!$N$2:$N$27,MATCH(E292,Cost_Components!$A$2:$A$27,0)),"")</f>
        <v>95</v>
      </c>
      <c r="AE292" s="14" t="str">
        <f>IFERROR(INDEX(Cost_Components!$O$2:$O$27,MATCH(E292,Cost_Components!$A$2:$A$27,0)),"")</f>
        <v>Both</v>
      </c>
      <c r="AF292" s="11">
        <v>5711992.1925179204</v>
      </c>
      <c r="AG292" s="11">
        <v>5710539.9685696196</v>
      </c>
      <c r="AH292" s="21">
        <f t="shared" si="49"/>
        <v>1</v>
      </c>
    </row>
    <row r="293" spans="1:34" hidden="1">
      <c r="A293" t="s">
        <v>197</v>
      </c>
      <c r="B293" s="18">
        <v>2030</v>
      </c>
      <c r="C293" t="s">
        <v>197</v>
      </c>
      <c r="D293" t="s">
        <v>177</v>
      </c>
      <c r="E293" s="20" t="s">
        <v>284</v>
      </c>
      <c r="F293" s="20" t="s">
        <v>285</v>
      </c>
      <c r="G293" s="20" t="s">
        <v>201</v>
      </c>
      <c r="H293" s="20" t="s">
        <v>192</v>
      </c>
      <c r="I293" s="20" t="s">
        <v>264</v>
      </c>
      <c r="J293" s="15">
        <f>IFERROR(INDEX(Cost_Components!$K$2:$K$27,MATCH(E293,Cost_Components!$A$2:$A$27,0)),"")</f>
        <v>0.2</v>
      </c>
      <c r="K293" s="15">
        <f t="shared" si="40"/>
        <v>0.42307692307692307</v>
      </c>
      <c r="L293" s="15">
        <f>IFERROR(INDEX(Cost_Components!$S$2:$S$27,MATCH(E293,Cost_Components!$A$2:$A$27,0)),"")</f>
        <v>0.31</v>
      </c>
      <c r="M293" s="26">
        <f>IFERROR(INDEX(Cost_Components!$L$2:$L$27,MATCH(E293,Cost_Components!$A$2:$A$27,0)),"")</f>
        <v>1</v>
      </c>
      <c r="N293" s="27">
        <f>IFERROR(INDEX(Cost_Components!$P$2:$P$27,MATCH(E293,Cost_Components!$A$2:$A$27,0)),"")</f>
        <v>5.133311</v>
      </c>
      <c r="O293" s="21">
        <f t="shared" si="41"/>
        <v>1166798.7611753</v>
      </c>
      <c r="P293" s="21">
        <f t="shared" si="42"/>
        <v>1166393.197493982</v>
      </c>
      <c r="Q293" s="21">
        <f t="shared" si="43"/>
        <v>1856112.2996165194</v>
      </c>
      <c r="R293" s="21">
        <f t="shared" si="44"/>
        <v>2534036.5411847285</v>
      </c>
      <c r="S293" s="21">
        <f t="shared" si="45"/>
        <v>677924.24156820914</v>
      </c>
      <c r="T293" s="14">
        <f>IFERROR(INDEX(Cost_Components!$R$2:$R$27,MATCH(E293,Cost_Components!$A$2:$A$27,0)),"")</f>
        <v>1</v>
      </c>
      <c r="U293" s="24">
        <f>IFERROR(INDEX(Cost_Components!$Q$2:$Q$27,MATCH(E293,Cost_Components!$A$2:$A$27,0)),"")</f>
        <v>2023</v>
      </c>
      <c r="V293" s="28">
        <f>1/(1+Calculation_Assumptions!$B$5)^(B293-Calculation_Assumptions!$B$2)</f>
        <v>0.86260878438416411</v>
      </c>
      <c r="W293" s="21">
        <f t="shared" si="46"/>
        <v>1601098.7744527012</v>
      </c>
      <c r="X293" s="21">
        <f t="shared" si="47"/>
        <v>2185882.1803764105</v>
      </c>
      <c r="Y293" s="21">
        <f t="shared" si="48"/>
        <v>584783.40592370927</v>
      </c>
      <c r="Z293" s="15">
        <f>IFERROR(INDEX(Cost_Components!$T$2:$T$27,MATCH(E293,Cost_Components!$A$2:$A$27,0)),"")</f>
        <v>0.8</v>
      </c>
      <c r="AA293" s="24">
        <f>IFERROR(INDEX(Cost_Components!$U$2:$U$27,MATCH(E293,Cost_Components!$A$2:$A$27,0)),"")</f>
        <v>2025</v>
      </c>
      <c r="AB293" s="24">
        <f>IFERROR(INDEX(Cost_Components!$V$2:$V$27,MATCH(E293,Cost_Components!$A$2:$A$27,0)),"")</f>
        <v>2050</v>
      </c>
      <c r="AC293" s="24">
        <f>IFERROR(INDEX(Cost_Components!$M$2:$M$27,MATCH(E293,Cost_Components!$A$2:$A$27,0)),"")</f>
        <v>30</v>
      </c>
      <c r="AD293" s="24">
        <f>IFERROR(INDEX(Cost_Components!$N$2:$N$27,MATCH(E293,Cost_Components!$A$2:$A$27,0)),"")</f>
        <v>95</v>
      </c>
      <c r="AE293" s="14" t="str">
        <f>IFERROR(INDEX(Cost_Components!$O$2:$O$27,MATCH(E293,Cost_Components!$A$2:$A$27,0)),"")</f>
        <v>Both</v>
      </c>
      <c r="AF293" s="11">
        <v>5833993.8058765</v>
      </c>
      <c r="AG293" s="11">
        <v>5831965.9874699097</v>
      </c>
      <c r="AH293" s="21">
        <f t="shared" si="49"/>
        <v>1</v>
      </c>
    </row>
    <row r="294" spans="1:34" hidden="1">
      <c r="A294" t="s">
        <v>197</v>
      </c>
      <c r="B294" s="18">
        <v>2031</v>
      </c>
      <c r="C294" t="s">
        <v>197</v>
      </c>
      <c r="D294" t="s">
        <v>177</v>
      </c>
      <c r="E294" s="20" t="s">
        <v>284</v>
      </c>
      <c r="F294" s="20" t="s">
        <v>285</v>
      </c>
      <c r="G294" s="20" t="s">
        <v>201</v>
      </c>
      <c r="H294" s="20" t="s">
        <v>192</v>
      </c>
      <c r="I294" s="20" t="s">
        <v>264</v>
      </c>
      <c r="J294" s="15">
        <f>IFERROR(INDEX(Cost_Components!$K$2:$K$27,MATCH(E294,Cost_Components!$A$2:$A$27,0)),"")</f>
        <v>0.2</v>
      </c>
      <c r="K294" s="15">
        <f t="shared" si="40"/>
        <v>0.44192307692307692</v>
      </c>
      <c r="L294" s="15">
        <f>IFERROR(INDEX(Cost_Components!$S$2:$S$27,MATCH(E294,Cost_Components!$A$2:$A$27,0)),"")</f>
        <v>0.31</v>
      </c>
      <c r="M294" s="26">
        <f>IFERROR(INDEX(Cost_Components!$L$2:$L$27,MATCH(E294,Cost_Components!$A$2:$A$27,0)),"")</f>
        <v>1</v>
      </c>
      <c r="N294" s="27">
        <f>IFERROR(INDEX(Cost_Components!$P$2:$P$27,MATCH(E294,Cost_Components!$A$2:$A$27,0)),"")</f>
        <v>5.133311</v>
      </c>
      <c r="O294" s="21">
        <f t="shared" si="41"/>
        <v>1190831.33704509</v>
      </c>
      <c r="P294" s="21">
        <f t="shared" si="42"/>
        <v>1190292.3125829461</v>
      </c>
      <c r="Q294" s="21">
        <f t="shared" si="43"/>
        <v>1894143.5926332176</v>
      </c>
      <c r="R294" s="21">
        <f t="shared" si="44"/>
        <v>2701434.9362447732</v>
      </c>
      <c r="S294" s="21">
        <f t="shared" si="45"/>
        <v>807291.34361155564</v>
      </c>
      <c r="T294" s="14">
        <f>IFERROR(INDEX(Cost_Components!$R$2:$R$27,MATCH(E294,Cost_Components!$A$2:$A$27,0)),"")</f>
        <v>1</v>
      </c>
      <c r="U294" s="24">
        <f>IFERROR(INDEX(Cost_Components!$Q$2:$Q$27,MATCH(E294,Cost_Components!$A$2:$A$27,0)),"")</f>
        <v>2023</v>
      </c>
      <c r="V294" s="28">
        <f>1/(1+Calculation_Assumptions!$B$5)^(B294-Calculation_Assumptions!$B$2)</f>
        <v>0.83748425668365445</v>
      </c>
      <c r="W294" s="21">
        <f t="shared" si="46"/>
        <v>1586315.4387285369</v>
      </c>
      <c r="X294" s="21">
        <f t="shared" si="47"/>
        <v>2262409.2295602094</v>
      </c>
      <c r="Y294" s="21">
        <f t="shared" si="48"/>
        <v>676093.79083167238</v>
      </c>
      <c r="Z294" s="15">
        <f>IFERROR(INDEX(Cost_Components!$T$2:$T$27,MATCH(E294,Cost_Components!$A$2:$A$27,0)),"")</f>
        <v>0.8</v>
      </c>
      <c r="AA294" s="24">
        <f>IFERROR(INDEX(Cost_Components!$U$2:$U$27,MATCH(E294,Cost_Components!$A$2:$A$27,0)),"")</f>
        <v>2025</v>
      </c>
      <c r="AB294" s="24">
        <f>IFERROR(INDEX(Cost_Components!$V$2:$V$27,MATCH(E294,Cost_Components!$A$2:$A$27,0)),"")</f>
        <v>2050</v>
      </c>
      <c r="AC294" s="24">
        <f>IFERROR(INDEX(Cost_Components!$M$2:$M$27,MATCH(E294,Cost_Components!$A$2:$A$27,0)),"")</f>
        <v>30</v>
      </c>
      <c r="AD294" s="24">
        <f>IFERROR(INDEX(Cost_Components!$N$2:$N$27,MATCH(E294,Cost_Components!$A$2:$A$27,0)),"")</f>
        <v>95</v>
      </c>
      <c r="AE294" s="14" t="str">
        <f>IFERROR(INDEX(Cost_Components!$O$2:$O$27,MATCH(E294,Cost_Components!$A$2:$A$27,0)),"")</f>
        <v>Both</v>
      </c>
      <c r="AF294" s="11">
        <v>5954156.6852254504</v>
      </c>
      <c r="AG294" s="11">
        <v>5951461.56291473</v>
      </c>
      <c r="AH294" s="21">
        <f t="shared" si="49"/>
        <v>1</v>
      </c>
    </row>
    <row r="295" spans="1:34" hidden="1">
      <c r="A295" t="s">
        <v>197</v>
      </c>
      <c r="B295" s="18">
        <v>2032</v>
      </c>
      <c r="C295" t="s">
        <v>197</v>
      </c>
      <c r="D295" t="s">
        <v>177</v>
      </c>
      <c r="E295" s="20" t="s">
        <v>284</v>
      </c>
      <c r="F295" s="20" t="s">
        <v>285</v>
      </c>
      <c r="G295" s="20" t="s">
        <v>201</v>
      </c>
      <c r="H295" s="20" t="s">
        <v>192</v>
      </c>
      <c r="I295" s="20" t="s">
        <v>264</v>
      </c>
      <c r="J295" s="15">
        <f>IFERROR(INDEX(Cost_Components!$K$2:$K$27,MATCH(E295,Cost_Components!$A$2:$A$27,0)),"")</f>
        <v>0.2</v>
      </c>
      <c r="K295" s="15">
        <f t="shared" si="40"/>
        <v>0.46076923076923082</v>
      </c>
      <c r="L295" s="15">
        <f>IFERROR(INDEX(Cost_Components!$S$2:$S$27,MATCH(E295,Cost_Components!$A$2:$A$27,0)),"")</f>
        <v>0.31</v>
      </c>
      <c r="M295" s="26">
        <f>IFERROR(INDEX(Cost_Components!$L$2:$L$27,MATCH(E295,Cost_Components!$A$2:$A$27,0)),"")</f>
        <v>1</v>
      </c>
      <c r="N295" s="27">
        <f>IFERROR(INDEX(Cost_Components!$P$2:$P$27,MATCH(E295,Cost_Components!$A$2:$A$27,0)),"")</f>
        <v>5.133311</v>
      </c>
      <c r="O295" s="21">
        <f t="shared" si="41"/>
        <v>1214468.817976298</v>
      </c>
      <c r="P295" s="21">
        <f t="shared" si="42"/>
        <v>1213778.436165842</v>
      </c>
      <c r="Q295" s="21">
        <f t="shared" si="43"/>
        <v>1931517.6813592035</v>
      </c>
      <c r="R295" s="21">
        <f t="shared" si="44"/>
        <v>2872548.7994941249</v>
      </c>
      <c r="S295" s="21">
        <f t="shared" si="45"/>
        <v>941031.11813492142</v>
      </c>
      <c r="T295" s="14">
        <f>IFERROR(INDEX(Cost_Components!$R$2:$R$27,MATCH(E295,Cost_Components!$A$2:$A$27,0)),"")</f>
        <v>1</v>
      </c>
      <c r="U295" s="24">
        <f>IFERROR(INDEX(Cost_Components!$Q$2:$Q$27,MATCH(E295,Cost_Components!$A$2:$A$27,0)),"")</f>
        <v>2023</v>
      </c>
      <c r="V295" s="28">
        <f>1/(1+Calculation_Assumptions!$B$5)^(B295-Calculation_Assumptions!$B$2)</f>
        <v>0.81309151134335378</v>
      </c>
      <c r="W295" s="21">
        <f t="shared" si="46"/>
        <v>1570500.6307227653</v>
      </c>
      <c r="X295" s="21">
        <f t="shared" si="47"/>
        <v>2335645.0447882144</v>
      </c>
      <c r="Y295" s="21">
        <f t="shared" si="48"/>
        <v>765144.41406544938</v>
      </c>
      <c r="Z295" s="15">
        <f>IFERROR(INDEX(Cost_Components!$T$2:$T$27,MATCH(E295,Cost_Components!$A$2:$A$27,0)),"")</f>
        <v>0.8</v>
      </c>
      <c r="AA295" s="24">
        <f>IFERROR(INDEX(Cost_Components!$U$2:$U$27,MATCH(E295,Cost_Components!$A$2:$A$27,0)),"")</f>
        <v>2025</v>
      </c>
      <c r="AB295" s="24">
        <f>IFERROR(INDEX(Cost_Components!$V$2:$V$27,MATCH(E295,Cost_Components!$A$2:$A$27,0)),"")</f>
        <v>2050</v>
      </c>
      <c r="AC295" s="24">
        <f>IFERROR(INDEX(Cost_Components!$M$2:$M$27,MATCH(E295,Cost_Components!$A$2:$A$27,0)),"")</f>
        <v>30</v>
      </c>
      <c r="AD295" s="24">
        <f>IFERROR(INDEX(Cost_Components!$N$2:$N$27,MATCH(E295,Cost_Components!$A$2:$A$27,0)),"")</f>
        <v>95</v>
      </c>
      <c r="AE295" s="14" t="str">
        <f>IFERROR(INDEX(Cost_Components!$O$2:$O$27,MATCH(E295,Cost_Components!$A$2:$A$27,0)),"")</f>
        <v>Both</v>
      </c>
      <c r="AF295" s="11">
        <v>6072344.08988149</v>
      </c>
      <c r="AG295" s="11">
        <v>6068892.1808292102</v>
      </c>
      <c r="AH295" s="21">
        <f t="shared" si="49"/>
        <v>1</v>
      </c>
    </row>
    <row r="296" spans="1:34" hidden="1">
      <c r="A296" t="s">
        <v>197</v>
      </c>
      <c r="B296" s="18">
        <v>2033</v>
      </c>
      <c r="C296" t="s">
        <v>197</v>
      </c>
      <c r="D296" t="s">
        <v>177</v>
      </c>
      <c r="E296" s="20" t="s">
        <v>284</v>
      </c>
      <c r="F296" s="20" t="s">
        <v>285</v>
      </c>
      <c r="G296" s="20" t="s">
        <v>201</v>
      </c>
      <c r="H296" s="20" t="s">
        <v>192</v>
      </c>
      <c r="I296" s="20" t="s">
        <v>264</v>
      </c>
      <c r="J296" s="15">
        <f>IFERROR(INDEX(Cost_Components!$K$2:$K$27,MATCH(E296,Cost_Components!$A$2:$A$27,0)),"")</f>
        <v>0.2</v>
      </c>
      <c r="K296" s="15">
        <f t="shared" si="40"/>
        <v>0.47961538461538467</v>
      </c>
      <c r="L296" s="15">
        <f>IFERROR(INDEX(Cost_Components!$S$2:$S$27,MATCH(E296,Cost_Components!$A$2:$A$27,0)),"")</f>
        <v>0.31</v>
      </c>
      <c r="M296" s="26">
        <f>IFERROR(INDEX(Cost_Components!$L$2:$L$27,MATCH(E296,Cost_Components!$A$2:$A$27,0)),"")</f>
        <v>1</v>
      </c>
      <c r="N296" s="27">
        <f>IFERROR(INDEX(Cost_Components!$P$2:$P$27,MATCH(E296,Cost_Components!$A$2:$A$27,0)),"")</f>
        <v>5.133311</v>
      </c>
      <c r="O296" s="21">
        <f t="shared" si="41"/>
        <v>1237648.2425245361</v>
      </c>
      <c r="P296" s="21">
        <f t="shared" si="42"/>
        <v>1236789.2477787901</v>
      </c>
      <c r="Q296" s="21">
        <f t="shared" si="43"/>
        <v>1968135.3935944226</v>
      </c>
      <c r="R296" s="21">
        <f t="shared" si="44"/>
        <v>3047108.4507076507</v>
      </c>
      <c r="S296" s="21">
        <f t="shared" si="45"/>
        <v>1078973.0571132281</v>
      </c>
      <c r="T296" s="14">
        <f>IFERROR(INDEX(Cost_Components!$R$2:$R$27,MATCH(E296,Cost_Components!$A$2:$A$27,0)),"")</f>
        <v>1</v>
      </c>
      <c r="U296" s="24">
        <f>IFERROR(INDEX(Cost_Components!$Q$2:$Q$27,MATCH(E296,Cost_Components!$A$2:$A$27,0)),"")</f>
        <v>2023</v>
      </c>
      <c r="V296" s="28">
        <f>1/(1+Calculation_Assumptions!$B$5)^(B296-Calculation_Assumptions!$B$2)</f>
        <v>0.78940923431393573</v>
      </c>
      <c r="W296" s="21">
        <f t="shared" si="46"/>
        <v>1553664.2540835296</v>
      </c>
      <c r="X296" s="21">
        <f t="shared" si="47"/>
        <v>2405415.5489446498</v>
      </c>
      <c r="Y296" s="21">
        <f t="shared" si="48"/>
        <v>851751.29486111982</v>
      </c>
      <c r="Z296" s="15">
        <f>IFERROR(INDEX(Cost_Components!$T$2:$T$27,MATCH(E296,Cost_Components!$A$2:$A$27,0)),"")</f>
        <v>0.8</v>
      </c>
      <c r="AA296" s="24">
        <f>IFERROR(INDEX(Cost_Components!$U$2:$U$27,MATCH(E296,Cost_Components!$A$2:$A$27,0)),"")</f>
        <v>2025</v>
      </c>
      <c r="AB296" s="24">
        <f>IFERROR(INDEX(Cost_Components!$V$2:$V$27,MATCH(E296,Cost_Components!$A$2:$A$27,0)),"")</f>
        <v>2050</v>
      </c>
      <c r="AC296" s="24">
        <f>IFERROR(INDEX(Cost_Components!$M$2:$M$27,MATCH(E296,Cost_Components!$A$2:$A$27,0)),"")</f>
        <v>30</v>
      </c>
      <c r="AD296" s="24">
        <f>IFERROR(INDEX(Cost_Components!$N$2:$N$27,MATCH(E296,Cost_Components!$A$2:$A$27,0)),"")</f>
        <v>95</v>
      </c>
      <c r="AE296" s="14" t="str">
        <f>IFERROR(INDEX(Cost_Components!$O$2:$O$27,MATCH(E296,Cost_Components!$A$2:$A$27,0)),"")</f>
        <v>Both</v>
      </c>
      <c r="AF296" s="11">
        <v>6188241.2126226798</v>
      </c>
      <c r="AG296" s="11">
        <v>6183946.2388939504</v>
      </c>
      <c r="AH296" s="21">
        <f t="shared" si="49"/>
        <v>1</v>
      </c>
    </row>
    <row r="297" spans="1:34" hidden="1">
      <c r="A297" t="s">
        <v>197</v>
      </c>
      <c r="B297" s="18">
        <v>2034</v>
      </c>
      <c r="C297" t="s">
        <v>197</v>
      </c>
      <c r="D297" t="s">
        <v>177</v>
      </c>
      <c r="E297" s="20" t="s">
        <v>284</v>
      </c>
      <c r="F297" s="20" t="s">
        <v>285</v>
      </c>
      <c r="G297" s="20" t="s">
        <v>201</v>
      </c>
      <c r="H297" s="20" t="s">
        <v>192</v>
      </c>
      <c r="I297" s="20" t="s">
        <v>264</v>
      </c>
      <c r="J297" s="15">
        <f>IFERROR(INDEX(Cost_Components!$K$2:$K$27,MATCH(E297,Cost_Components!$A$2:$A$27,0)),"")</f>
        <v>0.2</v>
      </c>
      <c r="K297" s="15">
        <f t="shared" si="40"/>
        <v>0.49846153846153851</v>
      </c>
      <c r="L297" s="15">
        <f>IFERROR(INDEX(Cost_Components!$S$2:$S$27,MATCH(E297,Cost_Components!$A$2:$A$27,0)),"")</f>
        <v>0.31</v>
      </c>
      <c r="M297" s="26">
        <f>IFERROR(INDEX(Cost_Components!$L$2:$L$27,MATCH(E297,Cost_Components!$A$2:$A$27,0)),"")</f>
        <v>1</v>
      </c>
      <c r="N297" s="27">
        <f>IFERROR(INDEX(Cost_Components!$P$2:$P$27,MATCH(E297,Cost_Components!$A$2:$A$27,0)),"")</f>
        <v>5.133311</v>
      </c>
      <c r="O297" s="21">
        <f t="shared" si="41"/>
        <v>1260330.4546742281</v>
      </c>
      <c r="P297" s="21">
        <f t="shared" si="42"/>
        <v>1259286.2600290061</v>
      </c>
      <c r="Q297" s="21">
        <f t="shared" si="43"/>
        <v>2003935.4833342847</v>
      </c>
      <c r="R297" s="21">
        <f t="shared" si="44"/>
        <v>3224880.7576353941</v>
      </c>
      <c r="S297" s="21">
        <f t="shared" si="45"/>
        <v>1220945.2743011094</v>
      </c>
      <c r="T297" s="14">
        <f>IFERROR(INDEX(Cost_Components!$R$2:$R$27,MATCH(E297,Cost_Components!$A$2:$A$27,0)),"")</f>
        <v>1</v>
      </c>
      <c r="U297" s="24">
        <f>IFERROR(INDEX(Cost_Components!$Q$2:$Q$27,MATCH(E297,Cost_Components!$A$2:$A$27,0)),"")</f>
        <v>2023</v>
      </c>
      <c r="V297" s="28">
        <f>1/(1+Calculation_Assumptions!$B$5)^(B297-Calculation_Assumptions!$B$2)</f>
        <v>0.76641673234362695</v>
      </c>
      <c r="W297" s="21">
        <f t="shared" si="46"/>
        <v>1535849.6849645092</v>
      </c>
      <c r="X297" s="21">
        <f t="shared" si="47"/>
        <v>2471602.5724647585</v>
      </c>
      <c r="Y297" s="21">
        <f t="shared" si="48"/>
        <v>935752.88750024955</v>
      </c>
      <c r="Z297" s="15">
        <f>IFERROR(INDEX(Cost_Components!$T$2:$T$27,MATCH(E297,Cost_Components!$A$2:$A$27,0)),"")</f>
        <v>0.8</v>
      </c>
      <c r="AA297" s="24">
        <f>IFERROR(INDEX(Cost_Components!$U$2:$U$27,MATCH(E297,Cost_Components!$A$2:$A$27,0)),"")</f>
        <v>2025</v>
      </c>
      <c r="AB297" s="24">
        <f>IFERROR(INDEX(Cost_Components!$V$2:$V$27,MATCH(E297,Cost_Components!$A$2:$A$27,0)),"")</f>
        <v>2050</v>
      </c>
      <c r="AC297" s="24">
        <f>IFERROR(INDEX(Cost_Components!$M$2:$M$27,MATCH(E297,Cost_Components!$A$2:$A$27,0)),"")</f>
        <v>30</v>
      </c>
      <c r="AD297" s="24">
        <f>IFERROR(INDEX(Cost_Components!$N$2:$N$27,MATCH(E297,Cost_Components!$A$2:$A$27,0)),"")</f>
        <v>95</v>
      </c>
      <c r="AE297" s="14" t="str">
        <f>IFERROR(INDEX(Cost_Components!$O$2:$O$27,MATCH(E297,Cost_Components!$A$2:$A$27,0)),"")</f>
        <v>Both</v>
      </c>
      <c r="AF297" s="11">
        <v>6301652.2733711395</v>
      </c>
      <c r="AG297" s="11">
        <v>6296431.30014503</v>
      </c>
      <c r="AH297" s="21">
        <f t="shared" si="49"/>
        <v>1</v>
      </c>
    </row>
    <row r="298" spans="1:34" hidden="1">
      <c r="A298" t="s">
        <v>197</v>
      </c>
      <c r="B298" s="18">
        <v>2035</v>
      </c>
      <c r="C298" t="s">
        <v>197</v>
      </c>
      <c r="D298" t="s">
        <v>177</v>
      </c>
      <c r="E298" s="20" t="s">
        <v>284</v>
      </c>
      <c r="F298" s="20" t="s">
        <v>285</v>
      </c>
      <c r="G298" s="20" t="s">
        <v>201</v>
      </c>
      <c r="H298" s="20" t="s">
        <v>192</v>
      </c>
      <c r="I298" s="20" t="s">
        <v>264</v>
      </c>
      <c r="J298" s="15">
        <f>IFERROR(INDEX(Cost_Components!$K$2:$K$27,MATCH(E298,Cost_Components!$A$2:$A$27,0)),"")</f>
        <v>0.2</v>
      </c>
      <c r="K298" s="15">
        <f t="shared" si="40"/>
        <v>0.51730769230769236</v>
      </c>
      <c r="L298" s="15">
        <f>IFERROR(INDEX(Cost_Components!$S$2:$S$27,MATCH(E298,Cost_Components!$A$2:$A$27,0)),"")</f>
        <v>0.31</v>
      </c>
      <c r="M298" s="26">
        <f>IFERROR(INDEX(Cost_Components!$L$2:$L$27,MATCH(E298,Cost_Components!$A$2:$A$27,0)),"")</f>
        <v>1</v>
      </c>
      <c r="N298" s="27">
        <f>IFERROR(INDEX(Cost_Components!$P$2:$P$27,MATCH(E298,Cost_Components!$A$2:$A$27,0)),"")</f>
        <v>5.133311</v>
      </c>
      <c r="O298" s="21">
        <f t="shared" si="41"/>
        <v>1282514.9942089003</v>
      </c>
      <c r="P298" s="21">
        <f t="shared" si="42"/>
        <v>1281269.6540089762</v>
      </c>
      <c r="Q298" s="21">
        <f t="shared" si="43"/>
        <v>2038918.2387560462</v>
      </c>
      <c r="R298" s="21">
        <f t="shared" si="44"/>
        <v>3405720.1924628522</v>
      </c>
      <c r="S298" s="21">
        <f t="shared" si="45"/>
        <v>1366801.9537068061</v>
      </c>
      <c r="T298" s="14">
        <f>IFERROR(INDEX(Cost_Components!$R$2:$R$27,MATCH(E298,Cost_Components!$A$2:$A$27,0)),"")</f>
        <v>1</v>
      </c>
      <c r="U298" s="24">
        <f>IFERROR(INDEX(Cost_Components!$Q$2:$Q$27,MATCH(E298,Cost_Components!$A$2:$A$27,0)),"")</f>
        <v>2023</v>
      </c>
      <c r="V298" s="28">
        <f>1/(1+Calculation_Assumptions!$B$5)^(B298-Calculation_Assumptions!$B$2)</f>
        <v>0.74409391489672516</v>
      </c>
      <c r="W298" s="21">
        <f t="shared" si="46"/>
        <v>1517146.6544303221</v>
      </c>
      <c r="X298" s="21">
        <f t="shared" si="47"/>
        <v>2534175.6710525118</v>
      </c>
      <c r="Y298" s="21">
        <f t="shared" si="48"/>
        <v>1017029.0166221898</v>
      </c>
      <c r="Z298" s="15">
        <f>IFERROR(INDEX(Cost_Components!$T$2:$T$27,MATCH(E298,Cost_Components!$A$2:$A$27,0)),"")</f>
        <v>0.8</v>
      </c>
      <c r="AA298" s="24">
        <f>IFERROR(INDEX(Cost_Components!$U$2:$U$27,MATCH(E298,Cost_Components!$A$2:$A$27,0)),"")</f>
        <v>2025</v>
      </c>
      <c r="AB298" s="24">
        <f>IFERROR(INDEX(Cost_Components!$V$2:$V$27,MATCH(E298,Cost_Components!$A$2:$A$27,0)),"")</f>
        <v>2050</v>
      </c>
      <c r="AC298" s="24">
        <f>IFERROR(INDEX(Cost_Components!$M$2:$M$27,MATCH(E298,Cost_Components!$A$2:$A$27,0)),"")</f>
        <v>30</v>
      </c>
      <c r="AD298" s="24">
        <f>IFERROR(INDEX(Cost_Components!$N$2:$N$27,MATCH(E298,Cost_Components!$A$2:$A$27,0)),"")</f>
        <v>95</v>
      </c>
      <c r="AE298" s="14" t="str">
        <f>IFERROR(INDEX(Cost_Components!$O$2:$O$27,MATCH(E298,Cost_Components!$A$2:$A$27,0)),"")</f>
        <v>Both</v>
      </c>
      <c r="AF298" s="11">
        <v>6412574.9710445004</v>
      </c>
      <c r="AG298" s="11">
        <v>6406348.27004488</v>
      </c>
      <c r="AH298" s="21">
        <f t="shared" si="49"/>
        <v>1</v>
      </c>
    </row>
    <row r="299" spans="1:34" hidden="1">
      <c r="A299" t="s">
        <v>197</v>
      </c>
      <c r="B299" s="18">
        <v>2036</v>
      </c>
      <c r="C299" t="s">
        <v>197</v>
      </c>
      <c r="D299" t="s">
        <v>177</v>
      </c>
      <c r="E299" s="20" t="s">
        <v>284</v>
      </c>
      <c r="F299" s="20" t="s">
        <v>285</v>
      </c>
      <c r="G299" s="20" t="s">
        <v>201</v>
      </c>
      <c r="H299" s="20" t="s">
        <v>192</v>
      </c>
      <c r="I299" s="20" t="s">
        <v>264</v>
      </c>
      <c r="J299" s="15">
        <f>IFERROR(INDEX(Cost_Components!$K$2:$K$27,MATCH(E299,Cost_Components!$A$2:$A$27,0)),"")</f>
        <v>0.2</v>
      </c>
      <c r="K299" s="15">
        <f t="shared" si="40"/>
        <v>0.5361538461538462</v>
      </c>
      <c r="L299" s="15">
        <f>IFERROR(INDEX(Cost_Components!$S$2:$S$27,MATCH(E299,Cost_Components!$A$2:$A$27,0)),"")</f>
        <v>0.31</v>
      </c>
      <c r="M299" s="26">
        <f>IFERROR(INDEX(Cost_Components!$L$2:$L$27,MATCH(E299,Cost_Components!$A$2:$A$27,0)),"")</f>
        <v>1</v>
      </c>
      <c r="N299" s="27">
        <f>IFERROR(INDEX(Cost_Components!$P$2:$P$27,MATCH(E299,Cost_Components!$A$2:$A$27,0)),"")</f>
        <v>5.133311</v>
      </c>
      <c r="O299" s="21">
        <f t="shared" si="41"/>
        <v>1304241.6920203241</v>
      </c>
      <c r="P299" s="21">
        <f t="shared" si="42"/>
        <v>1302779.9398582922</v>
      </c>
      <c r="Q299" s="21">
        <f t="shared" si="43"/>
        <v>2073148.1247147121</v>
      </c>
      <c r="R299" s="21">
        <f t="shared" si="44"/>
        <v>3589591.9402628154</v>
      </c>
      <c r="S299" s="21">
        <f t="shared" si="45"/>
        <v>1516443.8155481033</v>
      </c>
      <c r="T299" s="14">
        <f>IFERROR(INDEX(Cost_Components!$R$2:$R$27,MATCH(E299,Cost_Components!$A$2:$A$27,0)),"")</f>
        <v>1</v>
      </c>
      <c r="U299" s="24">
        <f>IFERROR(INDEX(Cost_Components!$Q$2:$Q$27,MATCH(E299,Cost_Components!$A$2:$A$27,0)),"")</f>
        <v>2023</v>
      </c>
      <c r="V299" s="28">
        <f>1/(1+Calculation_Assumptions!$B$5)^(B299-Calculation_Assumptions!$B$2)</f>
        <v>0.72242127659876232</v>
      </c>
      <c r="W299" s="21">
        <f t="shared" si="46"/>
        <v>1497686.3148347326</v>
      </c>
      <c r="X299" s="21">
        <f t="shared" si="47"/>
        <v>2593197.5919532911</v>
      </c>
      <c r="Y299" s="21">
        <f t="shared" si="48"/>
        <v>1095511.2771185588</v>
      </c>
      <c r="Z299" s="15">
        <f>IFERROR(INDEX(Cost_Components!$T$2:$T$27,MATCH(E299,Cost_Components!$A$2:$A$27,0)),"")</f>
        <v>0.8</v>
      </c>
      <c r="AA299" s="24">
        <f>IFERROR(INDEX(Cost_Components!$U$2:$U$27,MATCH(E299,Cost_Components!$A$2:$A$27,0)),"")</f>
        <v>2025</v>
      </c>
      <c r="AB299" s="24">
        <f>IFERROR(INDEX(Cost_Components!$V$2:$V$27,MATCH(E299,Cost_Components!$A$2:$A$27,0)),"")</f>
        <v>2050</v>
      </c>
      <c r="AC299" s="24">
        <f>IFERROR(INDEX(Cost_Components!$M$2:$M$27,MATCH(E299,Cost_Components!$A$2:$A$27,0)),"")</f>
        <v>30</v>
      </c>
      <c r="AD299" s="24">
        <f>IFERROR(INDEX(Cost_Components!$N$2:$N$27,MATCH(E299,Cost_Components!$A$2:$A$27,0)),"")</f>
        <v>95</v>
      </c>
      <c r="AE299" s="14" t="str">
        <f>IFERROR(INDEX(Cost_Components!$O$2:$O$27,MATCH(E299,Cost_Components!$A$2:$A$27,0)),"")</f>
        <v>Both</v>
      </c>
      <c r="AF299" s="11">
        <v>6521208.4601016203</v>
      </c>
      <c r="AG299" s="11">
        <v>6513899.6992914602</v>
      </c>
      <c r="AH299" s="21">
        <f t="shared" si="49"/>
        <v>1</v>
      </c>
    </row>
    <row r="300" spans="1:34" hidden="1">
      <c r="A300" t="s">
        <v>197</v>
      </c>
      <c r="B300" s="18">
        <v>2037</v>
      </c>
      <c r="C300" t="s">
        <v>197</v>
      </c>
      <c r="D300" t="s">
        <v>177</v>
      </c>
      <c r="E300" s="20" t="s">
        <v>284</v>
      </c>
      <c r="F300" s="20" t="s">
        <v>285</v>
      </c>
      <c r="G300" s="20" t="s">
        <v>201</v>
      </c>
      <c r="H300" s="20" t="s">
        <v>192</v>
      </c>
      <c r="I300" s="20" t="s">
        <v>264</v>
      </c>
      <c r="J300" s="15">
        <f>IFERROR(INDEX(Cost_Components!$K$2:$K$27,MATCH(E300,Cost_Components!$A$2:$A$27,0)),"")</f>
        <v>0.2</v>
      </c>
      <c r="K300" s="15">
        <f t="shared" si="40"/>
        <v>0.55500000000000005</v>
      </c>
      <c r="L300" s="15">
        <f>IFERROR(INDEX(Cost_Components!$S$2:$S$27,MATCH(E300,Cost_Components!$A$2:$A$27,0)),"")</f>
        <v>0.31</v>
      </c>
      <c r="M300" s="26">
        <f>IFERROR(INDEX(Cost_Components!$L$2:$L$27,MATCH(E300,Cost_Components!$A$2:$A$27,0)),"")</f>
        <v>1</v>
      </c>
      <c r="N300" s="27">
        <f>IFERROR(INDEX(Cost_Components!$P$2:$P$27,MATCH(E300,Cost_Components!$A$2:$A$27,0)),"")</f>
        <v>5.133311</v>
      </c>
      <c r="O300" s="21">
        <f t="shared" si="41"/>
        <v>1325470.4798990681</v>
      </c>
      <c r="P300" s="21">
        <f t="shared" si="42"/>
        <v>1323777.749244608</v>
      </c>
      <c r="Q300" s="21">
        <f t="shared" si="43"/>
        <v>2106562.493343302</v>
      </c>
      <c r="R300" s="21">
        <f t="shared" si="44"/>
        <v>3776248.9680258469</v>
      </c>
      <c r="S300" s="21">
        <f t="shared" si="45"/>
        <v>1669686.4746825448</v>
      </c>
      <c r="T300" s="14">
        <f>IFERROR(INDEX(Cost_Components!$R$2:$R$27,MATCH(E300,Cost_Components!$A$2:$A$27,0)),"")</f>
        <v>1</v>
      </c>
      <c r="U300" s="24">
        <f>IFERROR(INDEX(Cost_Components!$Q$2:$Q$27,MATCH(E300,Cost_Components!$A$2:$A$27,0)),"")</f>
        <v>2023</v>
      </c>
      <c r="V300" s="28">
        <f>1/(1+Calculation_Assumptions!$B$5)^(B300-Calculation_Assumptions!$B$2)</f>
        <v>0.70137988019297326</v>
      </c>
      <c r="W300" s="21">
        <f t="shared" si="46"/>
        <v>1477500.5492001362</v>
      </c>
      <c r="X300" s="21">
        <f t="shared" si="47"/>
        <v>2648585.0487728072</v>
      </c>
      <c r="Y300" s="21">
        <f t="shared" si="48"/>
        <v>1171084.4995726713</v>
      </c>
      <c r="Z300" s="15">
        <f>IFERROR(INDEX(Cost_Components!$T$2:$T$27,MATCH(E300,Cost_Components!$A$2:$A$27,0)),"")</f>
        <v>0.8</v>
      </c>
      <c r="AA300" s="24">
        <f>IFERROR(INDEX(Cost_Components!$U$2:$U$27,MATCH(E300,Cost_Components!$A$2:$A$27,0)),"")</f>
        <v>2025</v>
      </c>
      <c r="AB300" s="24">
        <f>IFERROR(INDEX(Cost_Components!$V$2:$V$27,MATCH(E300,Cost_Components!$A$2:$A$27,0)),"")</f>
        <v>2050</v>
      </c>
      <c r="AC300" s="24">
        <f>IFERROR(INDEX(Cost_Components!$M$2:$M$27,MATCH(E300,Cost_Components!$A$2:$A$27,0)),"")</f>
        <v>30</v>
      </c>
      <c r="AD300" s="24">
        <f>IFERROR(INDEX(Cost_Components!$N$2:$N$27,MATCH(E300,Cost_Components!$A$2:$A$27,0)),"")</f>
        <v>95</v>
      </c>
      <c r="AE300" s="14" t="str">
        <f>IFERROR(INDEX(Cost_Components!$O$2:$O$27,MATCH(E300,Cost_Components!$A$2:$A$27,0)),"")</f>
        <v>Both</v>
      </c>
      <c r="AF300" s="11">
        <v>6627352.39949534</v>
      </c>
      <c r="AG300" s="11">
        <v>6618888.7462230399</v>
      </c>
      <c r="AH300" s="21">
        <f t="shared" si="49"/>
        <v>1</v>
      </c>
    </row>
    <row r="301" spans="1:34" hidden="1">
      <c r="A301" t="s">
        <v>197</v>
      </c>
      <c r="B301" s="18">
        <v>2038</v>
      </c>
      <c r="C301" t="s">
        <v>197</v>
      </c>
      <c r="D301" t="s">
        <v>177</v>
      </c>
      <c r="E301" s="20" t="s">
        <v>284</v>
      </c>
      <c r="F301" s="20" t="s">
        <v>285</v>
      </c>
      <c r="G301" s="20" t="s">
        <v>201</v>
      </c>
      <c r="H301" s="20" t="s">
        <v>192</v>
      </c>
      <c r="I301" s="20" t="s">
        <v>264</v>
      </c>
      <c r="J301" s="15">
        <f>IFERROR(INDEX(Cost_Components!$K$2:$K$27,MATCH(E301,Cost_Components!$A$2:$A$27,0)),"")</f>
        <v>0.2</v>
      </c>
      <c r="K301" s="15">
        <f t="shared" si="40"/>
        <v>0.57384615384615389</v>
      </c>
      <c r="L301" s="15">
        <f>IFERROR(INDEX(Cost_Components!$S$2:$S$27,MATCH(E301,Cost_Components!$A$2:$A$27,0)),"")</f>
        <v>0.31</v>
      </c>
      <c r="M301" s="26">
        <f>IFERROR(INDEX(Cost_Components!$L$2:$L$27,MATCH(E301,Cost_Components!$A$2:$A$27,0)),"")</f>
        <v>1</v>
      </c>
      <c r="N301" s="27">
        <f>IFERROR(INDEX(Cost_Components!$P$2:$P$27,MATCH(E301,Cost_Components!$A$2:$A$27,0)),"")</f>
        <v>5.133311</v>
      </c>
      <c r="O301" s="21">
        <f t="shared" si="41"/>
        <v>1346146.495983154</v>
      </c>
      <c r="P301" s="21">
        <f t="shared" si="42"/>
        <v>1344208.9517388882</v>
      </c>
      <c r="Q301" s="21">
        <f t="shared" si="43"/>
        <v>2139075.2054605079</v>
      </c>
      <c r="R301" s="21">
        <f t="shared" si="44"/>
        <v>3965385.1593227452</v>
      </c>
      <c r="S301" s="21">
        <f t="shared" si="45"/>
        <v>1826309.9538622373</v>
      </c>
      <c r="T301" s="14">
        <f>IFERROR(INDEX(Cost_Components!$R$2:$R$27,MATCH(E301,Cost_Components!$A$2:$A$27,0)),"")</f>
        <v>1</v>
      </c>
      <c r="U301" s="24">
        <f>IFERROR(INDEX(Cost_Components!$Q$2:$Q$27,MATCH(E301,Cost_Components!$A$2:$A$27,0)),"")</f>
        <v>2023</v>
      </c>
      <c r="V301" s="28">
        <f>1/(1+Calculation_Assumptions!$B$5)^(B301-Calculation_Assumptions!$B$2)</f>
        <v>0.68095133999317792</v>
      </c>
      <c r="W301" s="21">
        <f t="shared" si="46"/>
        <v>1456606.1275045152</v>
      </c>
      <c r="X301" s="21">
        <f t="shared" si="47"/>
        <v>2700234.3378298846</v>
      </c>
      <c r="Y301" s="21">
        <f t="shared" si="48"/>
        <v>1243628.2103253694</v>
      </c>
      <c r="Z301" s="15">
        <f>IFERROR(INDEX(Cost_Components!$T$2:$T$27,MATCH(E301,Cost_Components!$A$2:$A$27,0)),"")</f>
        <v>0.8</v>
      </c>
      <c r="AA301" s="24">
        <f>IFERROR(INDEX(Cost_Components!$U$2:$U$27,MATCH(E301,Cost_Components!$A$2:$A$27,0)),"")</f>
        <v>2025</v>
      </c>
      <c r="AB301" s="24">
        <f>IFERROR(INDEX(Cost_Components!$V$2:$V$27,MATCH(E301,Cost_Components!$A$2:$A$27,0)),"")</f>
        <v>2050</v>
      </c>
      <c r="AC301" s="24">
        <f>IFERROR(INDEX(Cost_Components!$M$2:$M$27,MATCH(E301,Cost_Components!$A$2:$A$27,0)),"")</f>
        <v>30</v>
      </c>
      <c r="AD301" s="24">
        <f>IFERROR(INDEX(Cost_Components!$N$2:$N$27,MATCH(E301,Cost_Components!$A$2:$A$27,0)),"")</f>
        <v>95</v>
      </c>
      <c r="AE301" s="14" t="str">
        <f>IFERROR(INDEX(Cost_Components!$O$2:$O$27,MATCH(E301,Cost_Components!$A$2:$A$27,0)),"")</f>
        <v>Both</v>
      </c>
      <c r="AF301" s="11">
        <v>6730732.4799157698</v>
      </c>
      <c r="AG301" s="11">
        <v>6721044.7586944401</v>
      </c>
      <c r="AH301" s="21">
        <f t="shared" si="49"/>
        <v>1</v>
      </c>
    </row>
    <row r="302" spans="1:34" hidden="1">
      <c r="A302" t="s">
        <v>197</v>
      </c>
      <c r="B302" s="18">
        <v>2039</v>
      </c>
      <c r="C302" t="s">
        <v>197</v>
      </c>
      <c r="D302" t="s">
        <v>177</v>
      </c>
      <c r="E302" s="20" t="s">
        <v>284</v>
      </c>
      <c r="F302" s="20" t="s">
        <v>285</v>
      </c>
      <c r="G302" s="20" t="s">
        <v>201</v>
      </c>
      <c r="H302" s="20" t="s">
        <v>192</v>
      </c>
      <c r="I302" s="20" t="s">
        <v>264</v>
      </c>
      <c r="J302" s="15">
        <f>IFERROR(INDEX(Cost_Components!$K$2:$K$27,MATCH(E302,Cost_Components!$A$2:$A$27,0)),"")</f>
        <v>0.2</v>
      </c>
      <c r="K302" s="15">
        <f t="shared" si="40"/>
        <v>0.59269230769230763</v>
      </c>
      <c r="L302" s="15">
        <f>IFERROR(INDEX(Cost_Components!$S$2:$S$27,MATCH(E302,Cost_Components!$A$2:$A$27,0)),"")</f>
        <v>0.31</v>
      </c>
      <c r="M302" s="26">
        <f>IFERROR(INDEX(Cost_Components!$L$2:$L$27,MATCH(E302,Cost_Components!$A$2:$A$27,0)),"")</f>
        <v>1</v>
      </c>
      <c r="N302" s="27">
        <f>IFERROR(INDEX(Cost_Components!$P$2:$P$27,MATCH(E302,Cost_Components!$A$2:$A$27,0)),"")</f>
        <v>5.133311</v>
      </c>
      <c r="O302" s="21">
        <f t="shared" si="41"/>
        <v>1366242.4132744679</v>
      </c>
      <c r="P302" s="21">
        <f t="shared" si="42"/>
        <v>1364046.9820496221</v>
      </c>
      <c r="Q302" s="21">
        <f t="shared" si="43"/>
        <v>2170643.9870163593</v>
      </c>
      <c r="R302" s="21">
        <f t="shared" si="44"/>
        <v>4156756.9417886236</v>
      </c>
      <c r="S302" s="21">
        <f t="shared" si="45"/>
        <v>1986112.9547722642</v>
      </c>
      <c r="T302" s="14">
        <f>IFERROR(INDEX(Cost_Components!$R$2:$R$27,MATCH(E302,Cost_Components!$A$2:$A$27,0)),"")</f>
        <v>1</v>
      </c>
      <c r="U302" s="24">
        <f>IFERROR(INDEX(Cost_Components!$Q$2:$Q$27,MATCH(E302,Cost_Components!$A$2:$A$27,0)),"")</f>
        <v>2023</v>
      </c>
      <c r="V302" s="28">
        <f>1/(1+Calculation_Assumptions!$B$5)^(B302-Calculation_Assumptions!$B$2)</f>
        <v>0.66111780581861923</v>
      </c>
      <c r="W302" s="21">
        <f t="shared" si="46"/>
        <v>1435051.3899096348</v>
      </c>
      <c r="X302" s="21">
        <f t="shared" si="47"/>
        <v>2748106.0286766086</v>
      </c>
      <c r="Y302" s="21">
        <f t="shared" si="48"/>
        <v>1313054.638766974</v>
      </c>
      <c r="Z302" s="15">
        <f>IFERROR(INDEX(Cost_Components!$T$2:$T$27,MATCH(E302,Cost_Components!$A$2:$A$27,0)),"")</f>
        <v>0.8</v>
      </c>
      <c r="AA302" s="24">
        <f>IFERROR(INDEX(Cost_Components!$U$2:$U$27,MATCH(E302,Cost_Components!$A$2:$A$27,0)),"")</f>
        <v>2025</v>
      </c>
      <c r="AB302" s="24">
        <f>IFERROR(INDEX(Cost_Components!$V$2:$V$27,MATCH(E302,Cost_Components!$A$2:$A$27,0)),"")</f>
        <v>2050</v>
      </c>
      <c r="AC302" s="24">
        <f>IFERROR(INDEX(Cost_Components!$M$2:$M$27,MATCH(E302,Cost_Components!$A$2:$A$27,0)),"")</f>
        <v>30</v>
      </c>
      <c r="AD302" s="24">
        <f>IFERROR(INDEX(Cost_Components!$N$2:$N$27,MATCH(E302,Cost_Components!$A$2:$A$27,0)),"")</f>
        <v>95</v>
      </c>
      <c r="AE302" s="14" t="str">
        <f>IFERROR(INDEX(Cost_Components!$O$2:$O$27,MATCH(E302,Cost_Components!$A$2:$A$27,0)),"")</f>
        <v>Both</v>
      </c>
      <c r="AF302" s="11">
        <v>6831212.0663723396</v>
      </c>
      <c r="AG302" s="11">
        <v>6820234.9102481101</v>
      </c>
      <c r="AH302" s="21">
        <f t="shared" si="49"/>
        <v>1</v>
      </c>
    </row>
    <row r="303" spans="1:34" hidden="1">
      <c r="A303" t="s">
        <v>197</v>
      </c>
      <c r="B303" s="18">
        <v>2040</v>
      </c>
      <c r="C303" t="s">
        <v>197</v>
      </c>
      <c r="D303" t="s">
        <v>177</v>
      </c>
      <c r="E303" s="20" t="s">
        <v>284</v>
      </c>
      <c r="F303" s="20" t="s">
        <v>285</v>
      </c>
      <c r="G303" s="20" t="s">
        <v>201</v>
      </c>
      <c r="H303" s="20" t="s">
        <v>192</v>
      </c>
      <c r="I303" s="20" t="s">
        <v>264</v>
      </c>
      <c r="J303" s="15">
        <f>IFERROR(INDEX(Cost_Components!$K$2:$K$27,MATCH(E303,Cost_Components!$A$2:$A$27,0)),"")</f>
        <v>0.2</v>
      </c>
      <c r="K303" s="15">
        <f t="shared" si="40"/>
        <v>0.61153846153846159</v>
      </c>
      <c r="L303" s="15">
        <f>IFERROR(INDEX(Cost_Components!$S$2:$S$27,MATCH(E303,Cost_Components!$A$2:$A$27,0)),"")</f>
        <v>0.31</v>
      </c>
      <c r="M303" s="26">
        <f>IFERROR(INDEX(Cost_Components!$L$2:$L$27,MATCH(E303,Cost_Components!$A$2:$A$27,0)),"")</f>
        <v>1</v>
      </c>
      <c r="N303" s="27">
        <f>IFERROR(INDEX(Cost_Components!$P$2:$P$27,MATCH(E303,Cost_Components!$A$2:$A$27,0)),"")</f>
        <v>5.133311</v>
      </c>
      <c r="O303" s="21">
        <f t="shared" si="41"/>
        <v>1385783.497139252</v>
      </c>
      <c r="P303" s="21">
        <f t="shared" si="42"/>
        <v>1383317.9406127601</v>
      </c>
      <c r="Q303" s="21">
        <f t="shared" si="43"/>
        <v>2201310.3723238967</v>
      </c>
      <c r="R303" s="21">
        <f t="shared" si="44"/>
        <v>4350275.2671071514</v>
      </c>
      <c r="S303" s="21">
        <f t="shared" si="45"/>
        <v>2148964.8947832547</v>
      </c>
      <c r="T303" s="14">
        <f>IFERROR(INDEX(Cost_Components!$R$2:$R$27,MATCH(E303,Cost_Components!$A$2:$A$27,0)),"")</f>
        <v>1</v>
      </c>
      <c r="U303" s="24">
        <f>IFERROR(INDEX(Cost_Components!$Q$2:$Q$27,MATCH(E303,Cost_Components!$A$2:$A$27,0)),"")</f>
        <v>2023</v>
      </c>
      <c r="V303" s="28">
        <f>1/(1+Calculation_Assumptions!$B$5)^(B303-Calculation_Assumptions!$B$2)</f>
        <v>0.64186194739671765</v>
      </c>
      <c r="W303" s="21">
        <f t="shared" si="46"/>
        <v>1412937.36240441</v>
      </c>
      <c r="X303" s="21">
        <f t="shared" si="47"/>
        <v>2792276.154657172</v>
      </c>
      <c r="Y303" s="21">
        <f t="shared" si="48"/>
        <v>1379338.7922527622</v>
      </c>
      <c r="Z303" s="15">
        <f>IFERROR(INDEX(Cost_Components!$T$2:$T$27,MATCH(E303,Cost_Components!$A$2:$A$27,0)),"")</f>
        <v>0.8</v>
      </c>
      <c r="AA303" s="24">
        <f>IFERROR(INDEX(Cost_Components!$U$2:$U$27,MATCH(E303,Cost_Components!$A$2:$A$27,0)),"")</f>
        <v>2025</v>
      </c>
      <c r="AB303" s="24">
        <f>IFERROR(INDEX(Cost_Components!$V$2:$V$27,MATCH(E303,Cost_Components!$A$2:$A$27,0)),"")</f>
        <v>2050</v>
      </c>
      <c r="AC303" s="24">
        <f>IFERROR(INDEX(Cost_Components!$M$2:$M$27,MATCH(E303,Cost_Components!$A$2:$A$27,0)),"")</f>
        <v>30</v>
      </c>
      <c r="AD303" s="24">
        <f>IFERROR(INDEX(Cost_Components!$N$2:$N$27,MATCH(E303,Cost_Components!$A$2:$A$27,0)),"")</f>
        <v>95</v>
      </c>
      <c r="AE303" s="14" t="str">
        <f>IFERROR(INDEX(Cost_Components!$O$2:$O$27,MATCH(E303,Cost_Components!$A$2:$A$27,0)),"")</f>
        <v>Both</v>
      </c>
      <c r="AF303" s="11">
        <v>6928917.4856962599</v>
      </c>
      <c r="AG303" s="11">
        <v>6916589.7030638</v>
      </c>
      <c r="AH303" s="21">
        <f t="shared" si="49"/>
        <v>1</v>
      </c>
    </row>
    <row r="304" spans="1:34" hidden="1">
      <c r="A304" t="s">
        <v>197</v>
      </c>
      <c r="B304" s="18">
        <v>2041</v>
      </c>
      <c r="C304" t="s">
        <v>197</v>
      </c>
      <c r="D304" t="s">
        <v>177</v>
      </c>
      <c r="E304" s="20" t="s">
        <v>284</v>
      </c>
      <c r="F304" s="20" t="s">
        <v>285</v>
      </c>
      <c r="G304" s="20" t="s">
        <v>201</v>
      </c>
      <c r="H304" s="20" t="s">
        <v>192</v>
      </c>
      <c r="I304" s="20" t="s">
        <v>264</v>
      </c>
      <c r="J304" s="15">
        <f>IFERROR(INDEX(Cost_Components!$K$2:$K$27,MATCH(E304,Cost_Components!$A$2:$A$27,0)),"")</f>
        <v>0.2</v>
      </c>
      <c r="K304" s="15">
        <f t="shared" si="40"/>
        <v>0.63038461538461543</v>
      </c>
      <c r="L304" s="15">
        <f>IFERROR(INDEX(Cost_Components!$S$2:$S$27,MATCH(E304,Cost_Components!$A$2:$A$27,0)),"")</f>
        <v>0.31</v>
      </c>
      <c r="M304" s="26">
        <f>IFERROR(INDEX(Cost_Components!$L$2:$L$27,MATCH(E304,Cost_Components!$A$2:$A$27,0)),"")</f>
        <v>1</v>
      </c>
      <c r="N304" s="27">
        <f>IFERROR(INDEX(Cost_Components!$P$2:$P$27,MATCH(E304,Cost_Components!$A$2:$A$27,0)),"")</f>
        <v>5.133311</v>
      </c>
      <c r="O304" s="21">
        <f t="shared" si="41"/>
        <v>1404797.71331276</v>
      </c>
      <c r="P304" s="21">
        <f t="shared" si="42"/>
        <v>1402050.6689237403</v>
      </c>
      <c r="Q304" s="21">
        <f t="shared" si="43"/>
        <v>2231120.2576165143</v>
      </c>
      <c r="R304" s="21">
        <f t="shared" si="44"/>
        <v>4545869.6022552261</v>
      </c>
      <c r="S304" s="21">
        <f t="shared" si="45"/>
        <v>2314749.3446387118</v>
      </c>
      <c r="T304" s="14">
        <f>IFERROR(INDEX(Cost_Components!$R$2:$R$27,MATCH(E304,Cost_Components!$A$2:$A$27,0)),"")</f>
        <v>1</v>
      </c>
      <c r="U304" s="24">
        <f>IFERROR(INDEX(Cost_Components!$Q$2:$Q$27,MATCH(E304,Cost_Components!$A$2:$A$27,0)),"")</f>
        <v>2023</v>
      </c>
      <c r="V304" s="28">
        <f>1/(1+Calculation_Assumptions!$B$5)^(B304-Calculation_Assumptions!$B$2)</f>
        <v>0.62316693922011435</v>
      </c>
      <c r="W304" s="21">
        <f t="shared" si="46"/>
        <v>1390360.3819708764</v>
      </c>
      <c r="X304" s="21">
        <f t="shared" si="47"/>
        <v>2832835.6461311481</v>
      </c>
      <c r="Y304" s="21">
        <f t="shared" si="48"/>
        <v>1442475.2641602715</v>
      </c>
      <c r="Z304" s="15">
        <f>IFERROR(INDEX(Cost_Components!$T$2:$T$27,MATCH(E304,Cost_Components!$A$2:$A$27,0)),"")</f>
        <v>0.8</v>
      </c>
      <c r="AA304" s="24">
        <f>IFERROR(INDEX(Cost_Components!$U$2:$U$27,MATCH(E304,Cost_Components!$A$2:$A$27,0)),"")</f>
        <v>2025</v>
      </c>
      <c r="AB304" s="24">
        <f>IFERROR(INDEX(Cost_Components!$V$2:$V$27,MATCH(E304,Cost_Components!$A$2:$A$27,0)),"")</f>
        <v>2050</v>
      </c>
      <c r="AC304" s="24">
        <f>IFERROR(INDEX(Cost_Components!$M$2:$M$27,MATCH(E304,Cost_Components!$A$2:$A$27,0)),"")</f>
        <v>30</v>
      </c>
      <c r="AD304" s="24">
        <f>IFERROR(INDEX(Cost_Components!$N$2:$N$27,MATCH(E304,Cost_Components!$A$2:$A$27,0)),"")</f>
        <v>95</v>
      </c>
      <c r="AE304" s="14" t="str">
        <f>IFERROR(INDEX(Cost_Components!$O$2:$O$27,MATCH(E304,Cost_Components!$A$2:$A$27,0)),"")</f>
        <v>Both</v>
      </c>
      <c r="AF304" s="11">
        <v>7023988.5665638</v>
      </c>
      <c r="AG304" s="11">
        <v>7010253.3446187004</v>
      </c>
      <c r="AH304" s="21">
        <f t="shared" si="49"/>
        <v>1</v>
      </c>
    </row>
    <row r="305" spans="1:34" hidden="1">
      <c r="A305" t="s">
        <v>197</v>
      </c>
      <c r="B305" s="18">
        <v>2042</v>
      </c>
      <c r="C305" t="s">
        <v>197</v>
      </c>
      <c r="D305" t="s">
        <v>177</v>
      </c>
      <c r="E305" s="20" t="s">
        <v>284</v>
      </c>
      <c r="F305" s="20" t="s">
        <v>285</v>
      </c>
      <c r="G305" s="20" t="s">
        <v>201</v>
      </c>
      <c r="H305" s="20" t="s">
        <v>192</v>
      </c>
      <c r="I305" s="20" t="s">
        <v>264</v>
      </c>
      <c r="J305" s="15">
        <f>IFERROR(INDEX(Cost_Components!$K$2:$K$27,MATCH(E305,Cost_Components!$A$2:$A$27,0)),"")</f>
        <v>0.2</v>
      </c>
      <c r="K305" s="15">
        <f t="shared" si="40"/>
        <v>0.64923076923076928</v>
      </c>
      <c r="L305" s="15">
        <f>IFERROR(INDEX(Cost_Components!$S$2:$S$27,MATCH(E305,Cost_Components!$A$2:$A$27,0)),"")</f>
        <v>0.31</v>
      </c>
      <c r="M305" s="26">
        <f>IFERROR(INDEX(Cost_Components!$L$2:$L$27,MATCH(E305,Cost_Components!$A$2:$A$27,0)),"")</f>
        <v>1</v>
      </c>
      <c r="N305" s="27">
        <f>IFERROR(INDEX(Cost_Components!$P$2:$P$27,MATCH(E305,Cost_Components!$A$2:$A$27,0)),"")</f>
        <v>5.133311</v>
      </c>
      <c r="O305" s="21">
        <f t="shared" si="41"/>
        <v>1423257.782320498</v>
      </c>
      <c r="P305" s="21">
        <f t="shared" si="42"/>
        <v>1420218.8079404521</v>
      </c>
      <c r="Q305" s="21">
        <f t="shared" si="43"/>
        <v>2260031.6970543591</v>
      </c>
      <c r="R305" s="21">
        <f t="shared" si="44"/>
        <v>4743296.1202840591</v>
      </c>
      <c r="S305" s="21">
        <f t="shared" si="45"/>
        <v>2483264.4232297</v>
      </c>
      <c r="T305" s="14">
        <f>IFERROR(INDEX(Cost_Components!$R$2:$R$27,MATCH(E305,Cost_Components!$A$2:$A$27,0)),"")</f>
        <v>1</v>
      </c>
      <c r="U305" s="24">
        <f>IFERROR(INDEX(Cost_Components!$Q$2:$Q$27,MATCH(E305,Cost_Components!$A$2:$A$27,0)),"")</f>
        <v>2023</v>
      </c>
      <c r="V305" s="28">
        <f>1/(1+Calculation_Assumptions!$B$5)^(B305-Calculation_Assumptions!$B$2)</f>
        <v>0.60501644584477121</v>
      </c>
      <c r="W305" s="21">
        <f t="shared" si="46"/>
        <v>1367356.344848355</v>
      </c>
      <c r="X305" s="21">
        <f t="shared" si="47"/>
        <v>2869772.1602835539</v>
      </c>
      <c r="Y305" s="21">
        <f t="shared" si="48"/>
        <v>1502415.8154351988</v>
      </c>
      <c r="Z305" s="15">
        <f>IFERROR(INDEX(Cost_Components!$T$2:$T$27,MATCH(E305,Cost_Components!$A$2:$A$27,0)),"")</f>
        <v>0.8</v>
      </c>
      <c r="AA305" s="24">
        <f>IFERROR(INDEX(Cost_Components!$U$2:$U$27,MATCH(E305,Cost_Components!$A$2:$A$27,0)),"")</f>
        <v>2025</v>
      </c>
      <c r="AB305" s="24">
        <f>IFERROR(INDEX(Cost_Components!$V$2:$V$27,MATCH(E305,Cost_Components!$A$2:$A$27,0)),"")</f>
        <v>2050</v>
      </c>
      <c r="AC305" s="24">
        <f>IFERROR(INDEX(Cost_Components!$M$2:$M$27,MATCH(E305,Cost_Components!$A$2:$A$27,0)),"")</f>
        <v>30</v>
      </c>
      <c r="AD305" s="24">
        <f>IFERROR(INDEX(Cost_Components!$N$2:$N$27,MATCH(E305,Cost_Components!$A$2:$A$27,0)),"")</f>
        <v>95</v>
      </c>
      <c r="AE305" s="14" t="str">
        <f>IFERROR(INDEX(Cost_Components!$O$2:$O$27,MATCH(E305,Cost_Components!$A$2:$A$27,0)),"")</f>
        <v>Both</v>
      </c>
      <c r="AF305" s="11">
        <v>7116288.9116024897</v>
      </c>
      <c r="AG305" s="11">
        <v>7101094.0397022599</v>
      </c>
      <c r="AH305" s="21">
        <f t="shared" si="49"/>
        <v>1</v>
      </c>
    </row>
    <row r="306" spans="1:34" hidden="1">
      <c r="A306" t="s">
        <v>197</v>
      </c>
      <c r="B306" s="18">
        <v>2043</v>
      </c>
      <c r="C306" t="s">
        <v>197</v>
      </c>
      <c r="D306" t="s">
        <v>177</v>
      </c>
      <c r="E306" s="20" t="s">
        <v>284</v>
      </c>
      <c r="F306" s="20" t="s">
        <v>285</v>
      </c>
      <c r="G306" s="20" t="s">
        <v>201</v>
      </c>
      <c r="H306" s="20" t="s">
        <v>192</v>
      </c>
      <c r="I306" s="20" t="s">
        <v>264</v>
      </c>
      <c r="J306" s="15">
        <f>IFERROR(INDEX(Cost_Components!$K$2:$K$27,MATCH(E306,Cost_Components!$A$2:$A$27,0)),"")</f>
        <v>0.2</v>
      </c>
      <c r="K306" s="15">
        <f t="shared" si="40"/>
        <v>0.66807692307692301</v>
      </c>
      <c r="L306" s="15">
        <f>IFERROR(INDEX(Cost_Components!$S$2:$S$27,MATCH(E306,Cost_Components!$A$2:$A$27,0)),"")</f>
        <v>0.31</v>
      </c>
      <c r="M306" s="26">
        <f>IFERROR(INDEX(Cost_Components!$L$2:$L$27,MATCH(E306,Cost_Components!$A$2:$A$27,0)),"")</f>
        <v>1</v>
      </c>
      <c r="N306" s="27">
        <f>IFERROR(INDEX(Cost_Components!$P$2:$P$27,MATCH(E306,Cost_Components!$A$2:$A$27,0)),"")</f>
        <v>5.133311</v>
      </c>
      <c r="O306" s="21">
        <f t="shared" si="41"/>
        <v>1441031.0275476421</v>
      </c>
      <c r="P306" s="21">
        <f t="shared" si="42"/>
        <v>1437690.5460530601</v>
      </c>
      <c r="Q306" s="21">
        <f t="shared" si="43"/>
        <v>2287834.9353415556</v>
      </c>
      <c r="R306" s="21">
        <f t="shared" si="44"/>
        <v>4941938.9839671738</v>
      </c>
      <c r="S306" s="21">
        <f t="shared" si="45"/>
        <v>2654104.0486256182</v>
      </c>
      <c r="T306" s="14">
        <f>IFERROR(INDEX(Cost_Components!$R$2:$R$27,MATCH(E306,Cost_Components!$A$2:$A$27,0)),"")</f>
        <v>1</v>
      </c>
      <c r="U306" s="24">
        <f>IFERROR(INDEX(Cost_Components!$Q$2:$Q$27,MATCH(E306,Cost_Components!$A$2:$A$27,0)),"")</f>
        <v>2023</v>
      </c>
      <c r="V306" s="28">
        <f>1/(1+Calculation_Assumptions!$B$5)^(B306-Calculation_Assumptions!$B$2)</f>
        <v>0.5873946076162827</v>
      </c>
      <c r="W306" s="21">
        <f t="shared" si="46"/>
        <v>1343861.9041357767</v>
      </c>
      <c r="X306" s="21">
        <f t="shared" si="47"/>
        <v>2902868.310351009</v>
      </c>
      <c r="Y306" s="21">
        <f t="shared" si="48"/>
        <v>1559006.4062152323</v>
      </c>
      <c r="Z306" s="15">
        <f>IFERROR(INDEX(Cost_Components!$T$2:$T$27,MATCH(E306,Cost_Components!$A$2:$A$27,0)),"")</f>
        <v>0.8</v>
      </c>
      <c r="AA306" s="24">
        <f>IFERROR(INDEX(Cost_Components!$U$2:$U$27,MATCH(E306,Cost_Components!$A$2:$A$27,0)),"")</f>
        <v>2025</v>
      </c>
      <c r="AB306" s="24">
        <f>IFERROR(INDEX(Cost_Components!$V$2:$V$27,MATCH(E306,Cost_Components!$A$2:$A$27,0)),"")</f>
        <v>2050</v>
      </c>
      <c r="AC306" s="24">
        <f>IFERROR(INDEX(Cost_Components!$M$2:$M$27,MATCH(E306,Cost_Components!$A$2:$A$27,0)),"")</f>
        <v>30</v>
      </c>
      <c r="AD306" s="24">
        <f>IFERROR(INDEX(Cost_Components!$N$2:$N$27,MATCH(E306,Cost_Components!$A$2:$A$27,0)),"")</f>
        <v>95</v>
      </c>
      <c r="AE306" s="14" t="str">
        <f>IFERROR(INDEX(Cost_Components!$O$2:$O$27,MATCH(E306,Cost_Components!$A$2:$A$27,0)),"")</f>
        <v>Both</v>
      </c>
      <c r="AF306" s="11">
        <v>7205155.1377382101</v>
      </c>
      <c r="AG306" s="11">
        <v>7188452.7302652998</v>
      </c>
      <c r="AH306" s="21">
        <f t="shared" si="49"/>
        <v>1</v>
      </c>
    </row>
    <row r="307" spans="1:34" hidden="1">
      <c r="A307" t="s">
        <v>197</v>
      </c>
      <c r="B307" s="18">
        <v>2044</v>
      </c>
      <c r="C307" t="s">
        <v>197</v>
      </c>
      <c r="D307" t="s">
        <v>177</v>
      </c>
      <c r="E307" s="20" t="s">
        <v>284</v>
      </c>
      <c r="F307" s="20" t="s">
        <v>285</v>
      </c>
      <c r="G307" s="20" t="s">
        <v>201</v>
      </c>
      <c r="H307" s="20" t="s">
        <v>192</v>
      </c>
      <c r="I307" s="20" t="s">
        <v>264</v>
      </c>
      <c r="J307" s="15">
        <f>IFERROR(INDEX(Cost_Components!$K$2:$K$27,MATCH(E307,Cost_Components!$A$2:$A$27,0)),"")</f>
        <v>0.2</v>
      </c>
      <c r="K307" s="15">
        <f t="shared" si="40"/>
        <v>0.68692307692307697</v>
      </c>
      <c r="L307" s="15">
        <f>IFERROR(INDEX(Cost_Components!$S$2:$S$27,MATCH(E307,Cost_Components!$A$2:$A$27,0)),"")</f>
        <v>0.31</v>
      </c>
      <c r="M307" s="26">
        <f>IFERROR(INDEX(Cost_Components!$L$2:$L$27,MATCH(E307,Cost_Components!$A$2:$A$27,0)),"")</f>
        <v>1</v>
      </c>
      <c r="N307" s="27">
        <f>IFERROR(INDEX(Cost_Components!$P$2:$P$27,MATCH(E307,Cost_Components!$A$2:$A$27,0)),"")</f>
        <v>5.133311</v>
      </c>
      <c r="O307" s="21">
        <f t="shared" si="41"/>
        <v>1458086.0022363681</v>
      </c>
      <c r="P307" s="21">
        <f t="shared" si="42"/>
        <v>1454435.2716829921</v>
      </c>
      <c r="Q307" s="21">
        <f t="shared" si="43"/>
        <v>2314481.2594646704</v>
      </c>
      <c r="R307" s="21">
        <f t="shared" si="44"/>
        <v>5141487.9695413802</v>
      </c>
      <c r="S307" s="21">
        <f t="shared" si="45"/>
        <v>2827006.7100767097</v>
      </c>
      <c r="T307" s="14">
        <f>IFERROR(INDEX(Cost_Components!$R$2:$R$27,MATCH(E307,Cost_Components!$A$2:$A$27,0)),"")</f>
        <v>1</v>
      </c>
      <c r="U307" s="24">
        <f>IFERROR(INDEX(Cost_Components!$Q$2:$Q$27,MATCH(E307,Cost_Components!$A$2:$A$27,0)),"")</f>
        <v>2023</v>
      </c>
      <c r="V307" s="28">
        <f>1/(1+Calculation_Assumptions!$B$5)^(B307-Calculation_Assumptions!$B$2)</f>
        <v>0.57028602681192497</v>
      </c>
      <c r="W307" s="21">
        <f t="shared" si="46"/>
        <v>1319916.321590767</v>
      </c>
      <c r="X307" s="21">
        <f t="shared" si="47"/>
        <v>2932118.7460510652</v>
      </c>
      <c r="Y307" s="21">
        <f t="shared" si="48"/>
        <v>1612202.4244602984</v>
      </c>
      <c r="Z307" s="15">
        <f>IFERROR(INDEX(Cost_Components!$T$2:$T$27,MATCH(E307,Cost_Components!$A$2:$A$27,0)),"")</f>
        <v>0.8</v>
      </c>
      <c r="AA307" s="24">
        <f>IFERROR(INDEX(Cost_Components!$U$2:$U$27,MATCH(E307,Cost_Components!$A$2:$A$27,0)),"")</f>
        <v>2025</v>
      </c>
      <c r="AB307" s="24">
        <f>IFERROR(INDEX(Cost_Components!$V$2:$V$27,MATCH(E307,Cost_Components!$A$2:$A$27,0)),"")</f>
        <v>2050</v>
      </c>
      <c r="AC307" s="24">
        <f>IFERROR(INDEX(Cost_Components!$M$2:$M$27,MATCH(E307,Cost_Components!$A$2:$A$27,0)),"")</f>
        <v>30</v>
      </c>
      <c r="AD307" s="24">
        <f>IFERROR(INDEX(Cost_Components!$N$2:$N$27,MATCH(E307,Cost_Components!$A$2:$A$27,0)),"")</f>
        <v>95</v>
      </c>
      <c r="AE307" s="14" t="str">
        <f>IFERROR(INDEX(Cost_Components!$O$2:$O$27,MATCH(E307,Cost_Components!$A$2:$A$27,0)),"")</f>
        <v>Both</v>
      </c>
      <c r="AF307" s="11">
        <v>7290430.0111818397</v>
      </c>
      <c r="AG307" s="11">
        <v>7272176.3584149601</v>
      </c>
      <c r="AH307" s="21">
        <f t="shared" si="49"/>
        <v>1</v>
      </c>
    </row>
    <row r="308" spans="1:34" hidden="1">
      <c r="A308" t="s">
        <v>197</v>
      </c>
      <c r="B308" s="18">
        <v>2045</v>
      </c>
      <c r="C308" t="s">
        <v>197</v>
      </c>
      <c r="D308" t="s">
        <v>177</v>
      </c>
      <c r="E308" s="20" t="s">
        <v>284</v>
      </c>
      <c r="F308" s="20" t="s">
        <v>285</v>
      </c>
      <c r="G308" s="20" t="s">
        <v>201</v>
      </c>
      <c r="H308" s="20" t="s">
        <v>192</v>
      </c>
      <c r="I308" s="20" t="s">
        <v>264</v>
      </c>
      <c r="J308" s="15">
        <f>IFERROR(INDEX(Cost_Components!$K$2:$K$27,MATCH(E308,Cost_Components!$A$2:$A$27,0)),"")</f>
        <v>0.2</v>
      </c>
      <c r="K308" s="15">
        <f t="shared" si="40"/>
        <v>0.70576923076923082</v>
      </c>
      <c r="L308" s="15">
        <f>IFERROR(INDEX(Cost_Components!$S$2:$S$27,MATCH(E308,Cost_Components!$A$2:$A$27,0)),"")</f>
        <v>0.31</v>
      </c>
      <c r="M308" s="26">
        <f>IFERROR(INDEX(Cost_Components!$L$2:$L$27,MATCH(E308,Cost_Components!$A$2:$A$27,0)),"")</f>
        <v>1</v>
      </c>
      <c r="N308" s="27">
        <f>IFERROR(INDEX(Cost_Components!$P$2:$P$27,MATCH(E308,Cost_Components!$A$2:$A$27,0)),"")</f>
        <v>5.133311</v>
      </c>
      <c r="O308" s="21">
        <f t="shared" si="41"/>
        <v>1474477.161681666</v>
      </c>
      <c r="P308" s="21">
        <f t="shared" si="42"/>
        <v>1470508.2374509983</v>
      </c>
      <c r="Q308" s="21">
        <f t="shared" si="43"/>
        <v>2340058.5943783247</v>
      </c>
      <c r="R308" s="21">
        <f t="shared" si="44"/>
        <v>5341931.9015855845</v>
      </c>
      <c r="S308" s="21">
        <f t="shared" si="45"/>
        <v>3001873.3072072598</v>
      </c>
      <c r="T308" s="14">
        <f>IFERROR(INDEX(Cost_Components!$R$2:$R$27,MATCH(E308,Cost_Components!$A$2:$A$27,0)),"")</f>
        <v>1</v>
      </c>
      <c r="U308" s="24">
        <f>IFERROR(INDEX(Cost_Components!$Q$2:$Q$27,MATCH(E308,Cost_Components!$A$2:$A$27,0)),"")</f>
        <v>2023</v>
      </c>
      <c r="V308" s="28">
        <f>1/(1+Calculation_Assumptions!$B$5)^(B308-Calculation_Assumptions!$B$2)</f>
        <v>0.55367575418633497</v>
      </c>
      <c r="W308" s="21">
        <f t="shared" si="46"/>
        <v>1295633.7070826339</v>
      </c>
      <c r="X308" s="21">
        <f t="shared" si="47"/>
        <v>2957698.1744224411</v>
      </c>
      <c r="Y308" s="21">
        <f t="shared" si="48"/>
        <v>1662064.4673398072</v>
      </c>
      <c r="Z308" s="15">
        <f>IFERROR(INDEX(Cost_Components!$T$2:$T$27,MATCH(E308,Cost_Components!$A$2:$A$27,0)),"")</f>
        <v>0.8</v>
      </c>
      <c r="AA308" s="24">
        <f>IFERROR(INDEX(Cost_Components!$U$2:$U$27,MATCH(E308,Cost_Components!$A$2:$A$27,0)),"")</f>
        <v>2025</v>
      </c>
      <c r="AB308" s="24">
        <f>IFERROR(INDEX(Cost_Components!$V$2:$V$27,MATCH(E308,Cost_Components!$A$2:$A$27,0)),"")</f>
        <v>2050</v>
      </c>
      <c r="AC308" s="24">
        <f>IFERROR(INDEX(Cost_Components!$M$2:$M$27,MATCH(E308,Cost_Components!$A$2:$A$27,0)),"")</f>
        <v>30</v>
      </c>
      <c r="AD308" s="24">
        <f>IFERROR(INDEX(Cost_Components!$N$2:$N$27,MATCH(E308,Cost_Components!$A$2:$A$27,0)),"")</f>
        <v>95</v>
      </c>
      <c r="AE308" s="14" t="str">
        <f>IFERROR(INDEX(Cost_Components!$O$2:$O$27,MATCH(E308,Cost_Components!$A$2:$A$27,0)),"")</f>
        <v>Both</v>
      </c>
      <c r="AF308" s="11">
        <v>7372385.8084083302</v>
      </c>
      <c r="AG308" s="11">
        <v>7352541.1872549905</v>
      </c>
      <c r="AH308" s="21">
        <f t="shared" si="49"/>
        <v>1</v>
      </c>
    </row>
    <row r="309" spans="1:34" hidden="1">
      <c r="A309" t="s">
        <v>197</v>
      </c>
      <c r="B309" s="18">
        <v>2046</v>
      </c>
      <c r="C309" t="s">
        <v>197</v>
      </c>
      <c r="D309" t="s">
        <v>177</v>
      </c>
      <c r="E309" s="20" t="s">
        <v>284</v>
      </c>
      <c r="F309" s="20" t="s">
        <v>285</v>
      </c>
      <c r="G309" s="20" t="s">
        <v>201</v>
      </c>
      <c r="H309" s="20" t="s">
        <v>192</v>
      </c>
      <c r="I309" s="20" t="s">
        <v>264</v>
      </c>
      <c r="J309" s="15">
        <f>IFERROR(INDEX(Cost_Components!$K$2:$K$27,MATCH(E309,Cost_Components!$A$2:$A$27,0)),"")</f>
        <v>0.2</v>
      </c>
      <c r="K309" s="15">
        <f t="shared" si="40"/>
        <v>0.72461538461538466</v>
      </c>
      <c r="L309" s="15">
        <f>IFERROR(INDEX(Cost_Components!$S$2:$S$27,MATCH(E309,Cost_Components!$A$2:$A$27,0)),"")</f>
        <v>0.31</v>
      </c>
      <c r="M309" s="26">
        <f>IFERROR(INDEX(Cost_Components!$L$2:$L$27,MATCH(E309,Cost_Components!$A$2:$A$27,0)),"")</f>
        <v>1</v>
      </c>
      <c r="N309" s="27">
        <f>IFERROR(INDEX(Cost_Components!$P$2:$P$27,MATCH(E309,Cost_Components!$A$2:$A$27,0)),"")</f>
        <v>5.133311</v>
      </c>
      <c r="O309" s="21">
        <f t="shared" si="41"/>
        <v>1490187.978600258</v>
      </c>
      <c r="P309" s="21">
        <f t="shared" si="42"/>
        <v>1485893.6984560781</v>
      </c>
      <c r="Q309" s="21">
        <f t="shared" si="43"/>
        <v>2364541.8848057333</v>
      </c>
      <c r="R309" s="21">
        <f t="shared" si="44"/>
        <v>5543016.6451882422</v>
      </c>
      <c r="S309" s="21">
        <f t="shared" si="45"/>
        <v>3178474.7603825089</v>
      </c>
      <c r="T309" s="14">
        <f>IFERROR(INDEX(Cost_Components!$R$2:$R$27,MATCH(E309,Cost_Components!$A$2:$A$27,0)),"")</f>
        <v>1</v>
      </c>
      <c r="U309" s="24">
        <f>IFERROR(INDEX(Cost_Components!$Q$2:$Q$27,MATCH(E309,Cost_Components!$A$2:$A$27,0)),"")</f>
        <v>2023</v>
      </c>
      <c r="V309" s="28">
        <f>1/(1+Calculation_Assumptions!$B$5)^(B309-Calculation_Assumptions!$B$2)</f>
        <v>0.5375492759090631</v>
      </c>
      <c r="W309" s="21">
        <f t="shared" si="46"/>
        <v>1271057.7780339732</v>
      </c>
      <c r="X309" s="21">
        <f t="shared" si="47"/>
        <v>2979644.5839728238</v>
      </c>
      <c r="Y309" s="21">
        <f t="shared" si="48"/>
        <v>1708586.8059388504</v>
      </c>
      <c r="Z309" s="15">
        <f>IFERROR(INDEX(Cost_Components!$T$2:$T$27,MATCH(E309,Cost_Components!$A$2:$A$27,0)),"")</f>
        <v>0.8</v>
      </c>
      <c r="AA309" s="24">
        <f>IFERROR(INDEX(Cost_Components!$U$2:$U$27,MATCH(E309,Cost_Components!$A$2:$A$27,0)),"")</f>
        <v>2025</v>
      </c>
      <c r="AB309" s="24">
        <f>IFERROR(INDEX(Cost_Components!$V$2:$V$27,MATCH(E309,Cost_Components!$A$2:$A$27,0)),"")</f>
        <v>2050</v>
      </c>
      <c r="AC309" s="24">
        <f>IFERROR(INDEX(Cost_Components!$M$2:$M$27,MATCH(E309,Cost_Components!$A$2:$A$27,0)),"")</f>
        <v>30</v>
      </c>
      <c r="AD309" s="24">
        <f>IFERROR(INDEX(Cost_Components!$N$2:$N$27,MATCH(E309,Cost_Components!$A$2:$A$27,0)),"")</f>
        <v>95</v>
      </c>
      <c r="AE309" s="14" t="str">
        <f>IFERROR(INDEX(Cost_Components!$O$2:$O$27,MATCH(E309,Cost_Components!$A$2:$A$27,0)),"")</f>
        <v>Both</v>
      </c>
      <c r="AF309" s="11">
        <v>7450939.89300129</v>
      </c>
      <c r="AG309" s="11">
        <v>7429468.4922803901</v>
      </c>
      <c r="AH309" s="21">
        <f t="shared" si="49"/>
        <v>1</v>
      </c>
    </row>
    <row r="310" spans="1:34" hidden="1">
      <c r="A310" t="s">
        <v>197</v>
      </c>
      <c r="B310" s="18">
        <v>2047</v>
      </c>
      <c r="C310" t="s">
        <v>197</v>
      </c>
      <c r="D310" t="s">
        <v>177</v>
      </c>
      <c r="E310" s="20" t="s">
        <v>284</v>
      </c>
      <c r="F310" s="20" t="s">
        <v>285</v>
      </c>
      <c r="G310" s="20" t="s">
        <v>201</v>
      </c>
      <c r="H310" s="20" t="s">
        <v>192</v>
      </c>
      <c r="I310" s="20" t="s">
        <v>264</v>
      </c>
      <c r="J310" s="15">
        <f>IFERROR(INDEX(Cost_Components!$K$2:$K$27,MATCH(E310,Cost_Components!$A$2:$A$27,0)),"")</f>
        <v>0.2</v>
      </c>
      <c r="K310" s="15">
        <f t="shared" si="40"/>
        <v>0.74346153846153851</v>
      </c>
      <c r="L310" s="15">
        <f>IFERROR(INDEX(Cost_Components!$S$2:$S$27,MATCH(E310,Cost_Components!$A$2:$A$27,0)),"")</f>
        <v>0.31</v>
      </c>
      <c r="M310" s="26">
        <f>IFERROR(INDEX(Cost_Components!$L$2:$L$27,MATCH(E310,Cost_Components!$A$2:$A$27,0)),"")</f>
        <v>1</v>
      </c>
      <c r="N310" s="27">
        <f>IFERROR(INDEX(Cost_Components!$P$2:$P$27,MATCH(E310,Cost_Components!$A$2:$A$27,0)),"")</f>
        <v>5.133311</v>
      </c>
      <c r="O310" s="21">
        <f t="shared" si="41"/>
        <v>1504978.9855927841</v>
      </c>
      <c r="P310" s="21">
        <f t="shared" si="42"/>
        <v>1500352.9263124783</v>
      </c>
      <c r="Q310" s="21">
        <f t="shared" si="43"/>
        <v>2387551.2359618307</v>
      </c>
      <c r="R310" s="21">
        <f t="shared" si="44"/>
        <v>5743630.8368704757</v>
      </c>
      <c r="S310" s="21">
        <f t="shared" si="45"/>
        <v>3356079.600908645</v>
      </c>
      <c r="T310" s="14">
        <f>IFERROR(INDEX(Cost_Components!$R$2:$R$27,MATCH(E310,Cost_Components!$A$2:$A$27,0)),"")</f>
        <v>1</v>
      </c>
      <c r="U310" s="24">
        <f>IFERROR(INDEX(Cost_Components!$Q$2:$Q$27,MATCH(E310,Cost_Components!$A$2:$A$27,0)),"")</f>
        <v>2023</v>
      </c>
      <c r="V310" s="28">
        <f>1/(1+Calculation_Assumptions!$B$5)^(B310-Calculation_Assumptions!$B$2)</f>
        <v>0.52189250088258554</v>
      </c>
      <c r="W310" s="21">
        <f t="shared" si="46"/>
        <v>1246045.0855214279</v>
      </c>
      <c r="X310" s="21">
        <f t="shared" si="47"/>
        <v>2997557.86160067</v>
      </c>
      <c r="Y310" s="21">
        <f t="shared" si="48"/>
        <v>1751512.7760792424</v>
      </c>
      <c r="Z310" s="15">
        <f>IFERROR(INDEX(Cost_Components!$T$2:$T$27,MATCH(E310,Cost_Components!$A$2:$A$27,0)),"")</f>
        <v>0.8</v>
      </c>
      <c r="AA310" s="24">
        <f>IFERROR(INDEX(Cost_Components!$U$2:$U$27,MATCH(E310,Cost_Components!$A$2:$A$27,0)),"")</f>
        <v>2025</v>
      </c>
      <c r="AB310" s="24">
        <f>IFERROR(INDEX(Cost_Components!$V$2:$V$27,MATCH(E310,Cost_Components!$A$2:$A$27,0)),"")</f>
        <v>2050</v>
      </c>
      <c r="AC310" s="24">
        <f>IFERROR(INDEX(Cost_Components!$M$2:$M$27,MATCH(E310,Cost_Components!$A$2:$A$27,0)),"")</f>
        <v>30</v>
      </c>
      <c r="AD310" s="24">
        <f>IFERROR(INDEX(Cost_Components!$N$2:$N$27,MATCH(E310,Cost_Components!$A$2:$A$27,0)),"")</f>
        <v>95</v>
      </c>
      <c r="AE310" s="14" t="str">
        <f>IFERROR(INDEX(Cost_Components!$O$2:$O$27,MATCH(E310,Cost_Components!$A$2:$A$27,0)),"")</f>
        <v>Both</v>
      </c>
      <c r="AF310" s="11">
        <v>7524894.9279639199</v>
      </c>
      <c r="AG310" s="11">
        <v>7501764.6315623904</v>
      </c>
      <c r="AH310" s="21">
        <f t="shared" si="49"/>
        <v>1</v>
      </c>
    </row>
    <row r="311" spans="1:34" hidden="1">
      <c r="A311" t="s">
        <v>197</v>
      </c>
      <c r="B311" s="18">
        <v>2048</v>
      </c>
      <c r="C311" t="s">
        <v>197</v>
      </c>
      <c r="D311" t="s">
        <v>177</v>
      </c>
      <c r="E311" s="20" t="s">
        <v>284</v>
      </c>
      <c r="F311" s="20" t="s">
        <v>285</v>
      </c>
      <c r="G311" s="20" t="s">
        <v>201</v>
      </c>
      <c r="H311" s="20" t="s">
        <v>192</v>
      </c>
      <c r="I311" s="20" t="s">
        <v>264</v>
      </c>
      <c r="J311" s="15">
        <f>IFERROR(INDEX(Cost_Components!$K$2:$K$27,MATCH(E311,Cost_Components!$A$2:$A$27,0)),"")</f>
        <v>0.2</v>
      </c>
      <c r="K311" s="15">
        <f t="shared" si="40"/>
        <v>0.76230769230769235</v>
      </c>
      <c r="L311" s="15">
        <f>IFERROR(INDEX(Cost_Components!$S$2:$S$27,MATCH(E311,Cost_Components!$A$2:$A$27,0)),"")</f>
        <v>0.31</v>
      </c>
      <c r="M311" s="26">
        <f>IFERROR(INDEX(Cost_Components!$L$2:$L$27,MATCH(E311,Cost_Components!$A$2:$A$27,0)),"")</f>
        <v>1</v>
      </c>
      <c r="N311" s="27">
        <f>IFERROR(INDEX(Cost_Components!$P$2:$P$27,MATCH(E311,Cost_Components!$A$2:$A$27,0)),"")</f>
        <v>5.133311</v>
      </c>
      <c r="O311" s="21">
        <f t="shared" si="41"/>
        <v>1519002.2714024521</v>
      </c>
      <c r="P311" s="21">
        <f t="shared" si="42"/>
        <v>1514038.8829286881</v>
      </c>
      <c r="Q311" s="21">
        <f t="shared" si="43"/>
        <v>2409330.0601713196</v>
      </c>
      <c r="R311" s="21">
        <f t="shared" si="44"/>
        <v>5944102.668612198</v>
      </c>
      <c r="S311" s="21">
        <f t="shared" si="45"/>
        <v>3534772.6084408783</v>
      </c>
      <c r="T311" s="14">
        <f>IFERROR(INDEX(Cost_Components!$R$2:$R$27,MATCH(E311,Cost_Components!$A$2:$A$27,0)),"")</f>
        <v>1</v>
      </c>
      <c r="U311" s="24">
        <f>IFERROR(INDEX(Cost_Components!$Q$2:$Q$27,MATCH(E311,Cost_Components!$A$2:$A$27,0)),"")</f>
        <v>2023</v>
      </c>
      <c r="V311" s="28">
        <f>1/(1+Calculation_Assumptions!$B$5)^(B311-Calculation_Assumptions!$B$2)</f>
        <v>0.50669174842969467</v>
      </c>
      <c r="W311" s="21">
        <f t="shared" si="46"/>
        <v>1220787.6607324274</v>
      </c>
      <c r="X311" s="21">
        <f t="shared" si="47"/>
        <v>3011827.7740047285</v>
      </c>
      <c r="Y311" s="21">
        <f t="shared" si="48"/>
        <v>1791040.1132723012</v>
      </c>
      <c r="Z311" s="15">
        <f>IFERROR(INDEX(Cost_Components!$T$2:$T$27,MATCH(E311,Cost_Components!$A$2:$A$27,0)),"")</f>
        <v>0.8</v>
      </c>
      <c r="AA311" s="24">
        <f>IFERROR(INDEX(Cost_Components!$U$2:$U$27,MATCH(E311,Cost_Components!$A$2:$A$27,0)),"")</f>
        <v>2025</v>
      </c>
      <c r="AB311" s="24">
        <f>IFERROR(INDEX(Cost_Components!$V$2:$V$27,MATCH(E311,Cost_Components!$A$2:$A$27,0)),"")</f>
        <v>2050</v>
      </c>
      <c r="AC311" s="24">
        <f>IFERROR(INDEX(Cost_Components!$M$2:$M$27,MATCH(E311,Cost_Components!$A$2:$A$27,0)),"")</f>
        <v>30</v>
      </c>
      <c r="AD311" s="24">
        <f>IFERROR(INDEX(Cost_Components!$N$2:$N$27,MATCH(E311,Cost_Components!$A$2:$A$27,0)),"")</f>
        <v>95</v>
      </c>
      <c r="AE311" s="14" t="str">
        <f>IFERROR(INDEX(Cost_Components!$O$2:$O$27,MATCH(E311,Cost_Components!$A$2:$A$27,0)),"")</f>
        <v>Both</v>
      </c>
      <c r="AF311" s="11">
        <v>7595011.3570122598</v>
      </c>
      <c r="AG311" s="11">
        <v>7570194.4146434404</v>
      </c>
      <c r="AH311" s="21">
        <f t="shared" si="49"/>
        <v>1</v>
      </c>
    </row>
    <row r="312" spans="1:34" hidden="1">
      <c r="A312" t="s">
        <v>197</v>
      </c>
      <c r="B312" s="18">
        <v>2049</v>
      </c>
      <c r="C312" t="s">
        <v>197</v>
      </c>
      <c r="D312" t="s">
        <v>177</v>
      </c>
      <c r="E312" s="20" t="s">
        <v>284</v>
      </c>
      <c r="F312" s="20" t="s">
        <v>285</v>
      </c>
      <c r="G312" s="20" t="s">
        <v>201</v>
      </c>
      <c r="H312" s="20" t="s">
        <v>192</v>
      </c>
      <c r="I312" s="20" t="s">
        <v>264</v>
      </c>
      <c r="J312" s="15">
        <f>IFERROR(INDEX(Cost_Components!$K$2:$K$27,MATCH(E312,Cost_Components!$A$2:$A$27,0)),"")</f>
        <v>0.2</v>
      </c>
      <c r="K312" s="15">
        <f t="shared" si="40"/>
        <v>0.7811538461538462</v>
      </c>
      <c r="L312" s="15">
        <f>IFERROR(INDEX(Cost_Components!$S$2:$S$27,MATCH(E312,Cost_Components!$A$2:$A$27,0)),"")</f>
        <v>0.31</v>
      </c>
      <c r="M312" s="26">
        <f>IFERROR(INDEX(Cost_Components!$L$2:$L$27,MATCH(E312,Cost_Components!$A$2:$A$27,0)),"")</f>
        <v>1</v>
      </c>
      <c r="N312" s="27">
        <f>IFERROR(INDEX(Cost_Components!$P$2:$P$27,MATCH(E312,Cost_Components!$A$2:$A$27,0)),"")</f>
        <v>5.133311</v>
      </c>
      <c r="O312" s="21">
        <f t="shared" si="41"/>
        <v>1532255.6107697601</v>
      </c>
      <c r="P312" s="21">
        <f t="shared" si="42"/>
        <v>1526950.0790214061</v>
      </c>
      <c r="Q312" s="21">
        <f t="shared" si="43"/>
        <v>2429875.9874983504</v>
      </c>
      <c r="R312" s="21">
        <f t="shared" si="44"/>
        <v>6144200.4019927364</v>
      </c>
      <c r="S312" s="21">
        <f t="shared" si="45"/>
        <v>3714324.4144943859</v>
      </c>
      <c r="T312" s="14">
        <f>IFERROR(INDEX(Cost_Components!$R$2:$R$27,MATCH(E312,Cost_Components!$A$2:$A$27,0)),"")</f>
        <v>1</v>
      </c>
      <c r="U312" s="24">
        <f>IFERROR(INDEX(Cost_Components!$Q$2:$Q$27,MATCH(E312,Cost_Components!$A$2:$A$27,0)),"")</f>
        <v>2023</v>
      </c>
      <c r="V312" s="28">
        <f>1/(1+Calculation_Assumptions!$B$5)^(B312-Calculation_Assumptions!$B$2)</f>
        <v>0.49193373633950943</v>
      </c>
      <c r="W312" s="21">
        <f t="shared" si="46"/>
        <v>1195337.9733717185</v>
      </c>
      <c r="X312" s="21">
        <f t="shared" si="47"/>
        <v>3022539.4605710027</v>
      </c>
      <c r="Y312" s="21">
        <f t="shared" si="48"/>
        <v>1827201.4871992839</v>
      </c>
      <c r="Z312" s="15">
        <f>IFERROR(INDEX(Cost_Components!$T$2:$T$27,MATCH(E312,Cost_Components!$A$2:$A$27,0)),"")</f>
        <v>0.8</v>
      </c>
      <c r="AA312" s="24">
        <f>IFERROR(INDEX(Cost_Components!$U$2:$U$27,MATCH(E312,Cost_Components!$A$2:$A$27,0)),"")</f>
        <v>2025</v>
      </c>
      <c r="AB312" s="24">
        <f>IFERROR(INDEX(Cost_Components!$V$2:$V$27,MATCH(E312,Cost_Components!$A$2:$A$27,0)),"")</f>
        <v>2050</v>
      </c>
      <c r="AC312" s="24">
        <f>IFERROR(INDEX(Cost_Components!$M$2:$M$27,MATCH(E312,Cost_Components!$A$2:$A$27,0)),"")</f>
        <v>30</v>
      </c>
      <c r="AD312" s="24">
        <f>IFERROR(INDEX(Cost_Components!$N$2:$N$27,MATCH(E312,Cost_Components!$A$2:$A$27,0)),"")</f>
        <v>95</v>
      </c>
      <c r="AE312" s="14" t="str">
        <f>IFERROR(INDEX(Cost_Components!$O$2:$O$27,MATCH(E312,Cost_Components!$A$2:$A$27,0)),"")</f>
        <v>Both</v>
      </c>
      <c r="AF312" s="11">
        <v>7661278.0538488002</v>
      </c>
      <c r="AG312" s="11">
        <v>7634750.3951070299</v>
      </c>
      <c r="AH312" s="21">
        <f t="shared" si="49"/>
        <v>1</v>
      </c>
    </row>
    <row r="313" spans="1:34" hidden="1">
      <c r="A313" t="s">
        <v>197</v>
      </c>
      <c r="B313" s="18">
        <v>2050</v>
      </c>
      <c r="C313" t="s">
        <v>197</v>
      </c>
      <c r="D313" t="s">
        <v>177</v>
      </c>
      <c r="E313" s="20" t="s">
        <v>284</v>
      </c>
      <c r="F313" s="20" t="s">
        <v>285</v>
      </c>
      <c r="G313" s="20" t="s">
        <v>201</v>
      </c>
      <c r="H313" s="20" t="s">
        <v>192</v>
      </c>
      <c r="I313" s="20" t="s">
        <v>264</v>
      </c>
      <c r="J313" s="15">
        <f>IFERROR(INDEX(Cost_Components!$K$2:$K$27,MATCH(E313,Cost_Components!$A$2:$A$27,0)),"")</f>
        <v>0.2</v>
      </c>
      <c r="K313" s="15">
        <f t="shared" si="40"/>
        <v>0.8</v>
      </c>
      <c r="L313" s="15">
        <f>IFERROR(INDEX(Cost_Components!$S$2:$S$27,MATCH(E313,Cost_Components!$A$2:$A$27,0)),"")</f>
        <v>0.31</v>
      </c>
      <c r="M313" s="26">
        <f>IFERROR(INDEX(Cost_Components!$L$2:$L$27,MATCH(E313,Cost_Components!$A$2:$A$27,0)),"")</f>
        <v>1</v>
      </c>
      <c r="N313" s="27">
        <f>IFERROR(INDEX(Cost_Components!$P$2:$P$27,MATCH(E313,Cost_Components!$A$2:$A$27,0)),"")</f>
        <v>5.133311</v>
      </c>
      <c r="O313" s="21">
        <f t="shared" si="41"/>
        <v>1544750.6022126982</v>
      </c>
      <c r="P313" s="21">
        <f t="shared" si="42"/>
        <v>1539098.6433192221</v>
      </c>
      <c r="Q313" s="21">
        <f t="shared" si="43"/>
        <v>2449208.3187090484</v>
      </c>
      <c r="R313" s="21">
        <f t="shared" si="44"/>
        <v>6343748.2068760544</v>
      </c>
      <c r="S313" s="21">
        <f t="shared" si="45"/>
        <v>3894539.888167006</v>
      </c>
      <c r="T313" s="14">
        <f>IFERROR(INDEX(Cost_Components!$R$2:$R$27,MATCH(E313,Cost_Components!$A$2:$A$27,0)),"")</f>
        <v>1</v>
      </c>
      <c r="U313" s="24">
        <f>IFERROR(INDEX(Cost_Components!$Q$2:$Q$27,MATCH(E313,Cost_Components!$A$2:$A$27,0)),"")</f>
        <v>2023</v>
      </c>
      <c r="V313" s="28">
        <f>1/(1+Calculation_Assumptions!$B$5)^(B313-Calculation_Assumptions!$B$2)</f>
        <v>0.47760556926165965</v>
      </c>
      <c r="W313" s="21">
        <f t="shared" si="46"/>
        <v>1169755.5332974275</v>
      </c>
      <c r="X313" s="21">
        <f t="shared" si="47"/>
        <v>3029809.4735976704</v>
      </c>
      <c r="Y313" s="21">
        <f t="shared" si="48"/>
        <v>1860053.9403002432</v>
      </c>
      <c r="Z313" s="15">
        <f>IFERROR(INDEX(Cost_Components!$T$2:$T$27,MATCH(E313,Cost_Components!$A$2:$A$27,0)),"")</f>
        <v>0.8</v>
      </c>
      <c r="AA313" s="24">
        <f>IFERROR(INDEX(Cost_Components!$U$2:$U$27,MATCH(E313,Cost_Components!$A$2:$A$27,0)),"")</f>
        <v>2025</v>
      </c>
      <c r="AB313" s="24">
        <f>IFERROR(INDEX(Cost_Components!$V$2:$V$27,MATCH(E313,Cost_Components!$A$2:$A$27,0)),"")</f>
        <v>2050</v>
      </c>
      <c r="AC313" s="24">
        <f>IFERROR(INDEX(Cost_Components!$M$2:$M$27,MATCH(E313,Cost_Components!$A$2:$A$27,0)),"")</f>
        <v>30</v>
      </c>
      <c r="AD313" s="24">
        <f>IFERROR(INDEX(Cost_Components!$N$2:$N$27,MATCH(E313,Cost_Components!$A$2:$A$27,0)),"")</f>
        <v>95</v>
      </c>
      <c r="AE313" s="14" t="str">
        <f>IFERROR(INDEX(Cost_Components!$O$2:$O$27,MATCH(E313,Cost_Components!$A$2:$A$27,0)),"")</f>
        <v>Both</v>
      </c>
      <c r="AF313" s="11">
        <v>7723753.0110634901</v>
      </c>
      <c r="AG313" s="11">
        <v>7695493.2165961098</v>
      </c>
      <c r="AH313" s="21">
        <f t="shared" si="49"/>
        <v>1</v>
      </c>
    </row>
    <row r="314" spans="1:34" hidden="1">
      <c r="A314" t="s">
        <v>197</v>
      </c>
      <c r="B314" s="18">
        <v>2025</v>
      </c>
      <c r="C314" t="s">
        <v>197</v>
      </c>
      <c r="D314" t="s">
        <v>177</v>
      </c>
      <c r="E314" s="20" t="s">
        <v>286</v>
      </c>
      <c r="F314" s="20" t="s">
        <v>287</v>
      </c>
      <c r="G314" s="20" t="s">
        <v>201</v>
      </c>
      <c r="H314" s="20" t="s">
        <v>192</v>
      </c>
      <c r="I314" s="20" t="s">
        <v>264</v>
      </c>
      <c r="J314" s="15">
        <f>IFERROR(INDEX(Cost_Components!$K$2:$K$27,MATCH(E314,Cost_Components!$A$2:$A$27,0)),"")</f>
        <v>0.2</v>
      </c>
      <c r="K314" s="15">
        <f t="shared" si="40"/>
        <v>0.32884615384615384</v>
      </c>
      <c r="L314" s="15">
        <f>IFERROR(INDEX(Cost_Components!$S$2:$S$27,MATCH(E314,Cost_Components!$A$2:$A$27,0)),"")</f>
        <v>0.31</v>
      </c>
      <c r="M314" s="26">
        <f>IFERROR(INDEX(Cost_Components!$L$2:$L$27,MATCH(E314,Cost_Components!$A$2:$A$27,0)),"")</f>
        <v>1</v>
      </c>
      <c r="N314" s="27">
        <f>IFERROR(INDEX(Cost_Components!$P$2:$P$27,MATCH(E314,Cost_Components!$A$2:$A$27,0)),"")</f>
        <v>7</v>
      </c>
      <c r="O314" s="21">
        <f t="shared" si="41"/>
        <v>1041394.4765552121</v>
      </c>
      <c r="P314" s="21">
        <f t="shared" si="42"/>
        <v>1041375.033644954</v>
      </c>
      <c r="Q314" s="21">
        <f t="shared" si="43"/>
        <v>2259783.8230095501</v>
      </c>
      <c r="R314" s="21">
        <f t="shared" si="44"/>
        <v>2397209.9777626707</v>
      </c>
      <c r="S314" s="21">
        <f t="shared" si="45"/>
        <v>137426.15475312062</v>
      </c>
      <c r="T314" s="14">
        <f>IFERROR(INDEX(Cost_Components!$R$2:$R$27,MATCH(E314,Cost_Components!$A$2:$A$27,0)),"")</f>
        <v>1</v>
      </c>
      <c r="U314" s="24">
        <f>IFERROR(INDEX(Cost_Components!$Q$2:$Q$27,MATCH(E314,Cost_Components!$A$2:$A$27,0)),"")</f>
        <v>2023</v>
      </c>
      <c r="V314" s="28">
        <f>1/(1+Calculation_Assumptions!$B$5)^(B314-Calculation_Assumptions!$B$2)</f>
        <v>1</v>
      </c>
      <c r="W314" s="21">
        <f t="shared" si="46"/>
        <v>2259783.8230095501</v>
      </c>
      <c r="X314" s="21">
        <f t="shared" si="47"/>
        <v>2397209.9777626707</v>
      </c>
      <c r="Y314" s="21">
        <f t="shared" si="48"/>
        <v>137426.15475312062</v>
      </c>
      <c r="Z314" s="15">
        <f>IFERROR(INDEX(Cost_Components!$T$2:$T$27,MATCH(E314,Cost_Components!$A$2:$A$27,0)),"")</f>
        <v>0.8</v>
      </c>
      <c r="AA314" s="24">
        <f>IFERROR(INDEX(Cost_Components!$U$2:$U$27,MATCH(E314,Cost_Components!$A$2:$A$27,0)),"")</f>
        <v>2025</v>
      </c>
      <c r="AB314" s="24">
        <f>IFERROR(INDEX(Cost_Components!$V$2:$V$27,MATCH(E314,Cost_Components!$A$2:$A$27,0)),"")</f>
        <v>2050</v>
      </c>
      <c r="AC314" s="24">
        <f>IFERROR(INDEX(Cost_Components!$M$2:$M$27,MATCH(E314,Cost_Components!$A$2:$A$27,0)),"")</f>
        <v>30</v>
      </c>
      <c r="AD314" s="24">
        <f>IFERROR(INDEX(Cost_Components!$N$2:$N$27,MATCH(E314,Cost_Components!$A$2:$A$27,0)),"")</f>
        <v>95</v>
      </c>
      <c r="AE314" s="14" t="str">
        <f>IFERROR(INDEX(Cost_Components!$O$2:$O$27,MATCH(E314,Cost_Components!$A$2:$A$27,0)),"")</f>
        <v>Both</v>
      </c>
      <c r="AF314" s="11">
        <v>5206972.3827760601</v>
      </c>
      <c r="AG314" s="11">
        <v>5206875.1682247696</v>
      </c>
      <c r="AH314" s="21">
        <f t="shared" si="49"/>
        <v>1</v>
      </c>
    </row>
    <row r="315" spans="1:34" hidden="1">
      <c r="A315" t="s">
        <v>197</v>
      </c>
      <c r="B315" s="18">
        <v>2026</v>
      </c>
      <c r="C315" t="s">
        <v>197</v>
      </c>
      <c r="D315" t="s">
        <v>177</v>
      </c>
      <c r="E315" s="20" t="s">
        <v>286</v>
      </c>
      <c r="F315" s="20" t="s">
        <v>287</v>
      </c>
      <c r="G315" s="20" t="s">
        <v>201</v>
      </c>
      <c r="H315" s="20" t="s">
        <v>192</v>
      </c>
      <c r="I315" s="20" t="s">
        <v>264</v>
      </c>
      <c r="J315" s="15">
        <f>IFERROR(INDEX(Cost_Components!$K$2:$K$27,MATCH(E315,Cost_Components!$A$2:$A$27,0)),"")</f>
        <v>0.2</v>
      </c>
      <c r="K315" s="15">
        <f t="shared" si="40"/>
        <v>0.34769230769230769</v>
      </c>
      <c r="L315" s="15">
        <f>IFERROR(INDEX(Cost_Components!$S$2:$S$27,MATCH(E315,Cost_Components!$A$2:$A$27,0)),"")</f>
        <v>0.31</v>
      </c>
      <c r="M315" s="26">
        <f>IFERROR(INDEX(Cost_Components!$L$2:$L$27,MATCH(E315,Cost_Components!$A$2:$A$27,0)),"")</f>
        <v>1</v>
      </c>
      <c r="N315" s="27">
        <f>IFERROR(INDEX(Cost_Components!$P$2:$P$27,MATCH(E315,Cost_Components!$A$2:$A$27,0)),"")</f>
        <v>7</v>
      </c>
      <c r="O315" s="21">
        <f t="shared" si="41"/>
        <v>1066929.383789398</v>
      </c>
      <c r="P315" s="21">
        <f t="shared" si="42"/>
        <v>1066871.057007208</v>
      </c>
      <c r="Q315" s="21">
        <f t="shared" si="43"/>
        <v>2315110.1937056412</v>
      </c>
      <c r="R315" s="21">
        <f t="shared" si="44"/>
        <v>2596741.9771612734</v>
      </c>
      <c r="S315" s="21">
        <f t="shared" si="45"/>
        <v>281631.78345563216</v>
      </c>
      <c r="T315" s="14">
        <f>IFERROR(INDEX(Cost_Components!$R$2:$R$27,MATCH(E315,Cost_Components!$A$2:$A$27,0)),"")</f>
        <v>1</v>
      </c>
      <c r="U315" s="24">
        <f>IFERROR(INDEX(Cost_Components!$Q$2:$Q$27,MATCH(E315,Cost_Components!$A$2:$A$27,0)),"")</f>
        <v>2023</v>
      </c>
      <c r="V315" s="28">
        <f>1/(1+Calculation_Assumptions!$B$5)^(B315-Calculation_Assumptions!$B$2)</f>
        <v>0.970873786407767</v>
      </c>
      <c r="W315" s="21">
        <f t="shared" si="46"/>
        <v>2247679.7997142146</v>
      </c>
      <c r="X315" s="21">
        <f t="shared" si="47"/>
        <v>2521108.7156905569</v>
      </c>
      <c r="Y315" s="21">
        <f t="shared" si="48"/>
        <v>273428.91597634193</v>
      </c>
      <c r="Z315" s="15">
        <f>IFERROR(INDEX(Cost_Components!$T$2:$T$27,MATCH(E315,Cost_Components!$A$2:$A$27,0)),"")</f>
        <v>0.8</v>
      </c>
      <c r="AA315" s="24">
        <f>IFERROR(INDEX(Cost_Components!$U$2:$U$27,MATCH(E315,Cost_Components!$A$2:$A$27,0)),"")</f>
        <v>2025</v>
      </c>
      <c r="AB315" s="24">
        <f>IFERROR(INDEX(Cost_Components!$V$2:$V$27,MATCH(E315,Cost_Components!$A$2:$A$27,0)),"")</f>
        <v>2050</v>
      </c>
      <c r="AC315" s="24">
        <f>IFERROR(INDEX(Cost_Components!$M$2:$M$27,MATCH(E315,Cost_Components!$A$2:$A$27,0)),"")</f>
        <v>30</v>
      </c>
      <c r="AD315" s="24">
        <f>IFERROR(INDEX(Cost_Components!$N$2:$N$27,MATCH(E315,Cost_Components!$A$2:$A$27,0)),"")</f>
        <v>95</v>
      </c>
      <c r="AE315" s="14" t="str">
        <f>IFERROR(INDEX(Cost_Components!$O$2:$O$27,MATCH(E315,Cost_Components!$A$2:$A$27,0)),"")</f>
        <v>Both</v>
      </c>
      <c r="AF315" s="11">
        <v>5334646.9189469898</v>
      </c>
      <c r="AG315" s="11">
        <v>5334355.2850360395</v>
      </c>
      <c r="AH315" s="21">
        <f t="shared" si="49"/>
        <v>1</v>
      </c>
    </row>
    <row r="316" spans="1:34" hidden="1">
      <c r="A316" t="s">
        <v>197</v>
      </c>
      <c r="B316" s="18">
        <v>2027</v>
      </c>
      <c r="C316" t="s">
        <v>197</v>
      </c>
      <c r="D316" t="s">
        <v>177</v>
      </c>
      <c r="E316" s="20" t="s">
        <v>286</v>
      </c>
      <c r="F316" s="20" t="s">
        <v>287</v>
      </c>
      <c r="G316" s="20" t="s">
        <v>201</v>
      </c>
      <c r="H316" s="20" t="s">
        <v>192</v>
      </c>
      <c r="I316" s="20" t="s">
        <v>264</v>
      </c>
      <c r="J316" s="15">
        <f>IFERROR(INDEX(Cost_Components!$K$2:$K$27,MATCH(E316,Cost_Components!$A$2:$A$27,0)),"")</f>
        <v>0.2</v>
      </c>
      <c r="K316" s="15">
        <f t="shared" si="40"/>
        <v>0.36653846153846154</v>
      </c>
      <c r="L316" s="15">
        <f>IFERROR(INDEX(Cost_Components!$S$2:$S$27,MATCH(E316,Cost_Components!$A$2:$A$27,0)),"")</f>
        <v>0.31</v>
      </c>
      <c r="M316" s="26">
        <f>IFERROR(INDEX(Cost_Components!$L$2:$L$27,MATCH(E316,Cost_Components!$A$2:$A$27,0)),"")</f>
        <v>1</v>
      </c>
      <c r="N316" s="27">
        <f>IFERROR(INDEX(Cost_Components!$P$2:$P$27,MATCH(E316,Cost_Components!$A$2:$A$27,0)),"")</f>
        <v>7</v>
      </c>
      <c r="O316" s="21">
        <f t="shared" si="41"/>
        <v>1092393.0332508041</v>
      </c>
      <c r="P316" s="21">
        <f t="shared" si="42"/>
        <v>1092276.4661504922</v>
      </c>
      <c r="Q316" s="21">
        <f t="shared" si="43"/>
        <v>2370239.9315465684</v>
      </c>
      <c r="R316" s="21">
        <f t="shared" si="44"/>
        <v>2802828.4326215824</v>
      </c>
      <c r="S316" s="21">
        <f t="shared" si="45"/>
        <v>432588.50107501401</v>
      </c>
      <c r="T316" s="14">
        <f>IFERROR(INDEX(Cost_Components!$R$2:$R$27,MATCH(E316,Cost_Components!$A$2:$A$27,0)),"")</f>
        <v>1</v>
      </c>
      <c r="U316" s="24">
        <f>IFERROR(INDEX(Cost_Components!$Q$2:$Q$27,MATCH(E316,Cost_Components!$A$2:$A$27,0)),"")</f>
        <v>2023</v>
      </c>
      <c r="V316" s="28">
        <f>1/(1+Calculation_Assumptions!$B$5)^(B316-Calculation_Assumptions!$B$2)</f>
        <v>0.94259590913375435</v>
      </c>
      <c r="W316" s="21">
        <f t="shared" si="46"/>
        <v>2234178.4631412653</v>
      </c>
      <c r="X316" s="21">
        <f t="shared" si="47"/>
        <v>2641934.6145928763</v>
      </c>
      <c r="Y316" s="21">
        <f t="shared" si="48"/>
        <v>407756.1514516109</v>
      </c>
      <c r="Z316" s="15">
        <f>IFERROR(INDEX(Cost_Components!$T$2:$T$27,MATCH(E316,Cost_Components!$A$2:$A$27,0)),"")</f>
        <v>0.8</v>
      </c>
      <c r="AA316" s="24">
        <f>IFERROR(INDEX(Cost_Components!$U$2:$U$27,MATCH(E316,Cost_Components!$A$2:$A$27,0)),"")</f>
        <v>2025</v>
      </c>
      <c r="AB316" s="24">
        <f>IFERROR(INDEX(Cost_Components!$V$2:$V$27,MATCH(E316,Cost_Components!$A$2:$A$27,0)),"")</f>
        <v>2050</v>
      </c>
      <c r="AC316" s="24">
        <f>IFERROR(INDEX(Cost_Components!$M$2:$M$27,MATCH(E316,Cost_Components!$A$2:$A$27,0)),"")</f>
        <v>30</v>
      </c>
      <c r="AD316" s="24">
        <f>IFERROR(INDEX(Cost_Components!$N$2:$N$27,MATCH(E316,Cost_Components!$A$2:$A$27,0)),"")</f>
        <v>95</v>
      </c>
      <c r="AE316" s="14" t="str">
        <f>IFERROR(INDEX(Cost_Components!$O$2:$O$27,MATCH(E316,Cost_Components!$A$2:$A$27,0)),"")</f>
        <v>Both</v>
      </c>
      <c r="AF316" s="11">
        <v>5461965.1662540203</v>
      </c>
      <c r="AG316" s="11">
        <v>5461382.3307524603</v>
      </c>
      <c r="AH316" s="21">
        <f t="shared" si="49"/>
        <v>1</v>
      </c>
    </row>
    <row r="317" spans="1:34" hidden="1">
      <c r="A317" t="s">
        <v>197</v>
      </c>
      <c r="B317" s="18">
        <v>2028</v>
      </c>
      <c r="C317" t="s">
        <v>197</v>
      </c>
      <c r="D317" t="s">
        <v>177</v>
      </c>
      <c r="E317" s="20" t="s">
        <v>286</v>
      </c>
      <c r="F317" s="20" t="s">
        <v>287</v>
      </c>
      <c r="G317" s="20" t="s">
        <v>201</v>
      </c>
      <c r="H317" s="20" t="s">
        <v>192</v>
      </c>
      <c r="I317" s="20" t="s">
        <v>264</v>
      </c>
      <c r="J317" s="15">
        <f>IFERROR(INDEX(Cost_Components!$K$2:$K$27,MATCH(E317,Cost_Components!$A$2:$A$27,0)),"")</f>
        <v>0.2</v>
      </c>
      <c r="K317" s="15">
        <f t="shared" si="40"/>
        <v>0.38538461538461538</v>
      </c>
      <c r="L317" s="15">
        <f>IFERROR(INDEX(Cost_Components!$S$2:$S$27,MATCH(E317,Cost_Components!$A$2:$A$27,0)),"")</f>
        <v>0.31</v>
      </c>
      <c r="M317" s="26">
        <f>IFERROR(INDEX(Cost_Components!$L$2:$L$27,MATCH(E317,Cost_Components!$A$2:$A$27,0)),"")</f>
        <v>1</v>
      </c>
      <c r="N317" s="27">
        <f>IFERROR(INDEX(Cost_Components!$P$2:$P$27,MATCH(E317,Cost_Components!$A$2:$A$27,0)),"")</f>
        <v>7</v>
      </c>
      <c r="O317" s="21">
        <f t="shared" si="41"/>
        <v>1117583.954388866</v>
      </c>
      <c r="P317" s="21">
        <f t="shared" si="42"/>
        <v>1117389.9460450362</v>
      </c>
      <c r="Q317" s="21">
        <f t="shared" si="43"/>
        <v>2424736.1829177286</v>
      </c>
      <c r="R317" s="21">
        <f t="shared" si="44"/>
        <v>3014897.6369551942</v>
      </c>
      <c r="S317" s="21">
        <f t="shared" si="45"/>
        <v>590161.45403746562</v>
      </c>
      <c r="T317" s="14">
        <f>IFERROR(INDEX(Cost_Components!$R$2:$R$27,MATCH(E317,Cost_Components!$A$2:$A$27,0)),"")</f>
        <v>1</v>
      </c>
      <c r="U317" s="24">
        <f>IFERROR(INDEX(Cost_Components!$Q$2:$Q$27,MATCH(E317,Cost_Components!$A$2:$A$27,0)),"")</f>
        <v>2023</v>
      </c>
      <c r="V317" s="28">
        <f>1/(1+Calculation_Assumptions!$B$5)^(B317-Calculation_Assumptions!$B$2)</f>
        <v>0.91514165935315961</v>
      </c>
      <c r="W317" s="21">
        <f t="shared" si="46"/>
        <v>2218977.0939289765</v>
      </c>
      <c r="X317" s="21">
        <f t="shared" si="47"/>
        <v>2759058.4262630963</v>
      </c>
      <c r="Y317" s="21">
        <f t="shared" si="48"/>
        <v>540081.33233411971</v>
      </c>
      <c r="Z317" s="15">
        <f>IFERROR(INDEX(Cost_Components!$T$2:$T$27,MATCH(E317,Cost_Components!$A$2:$A$27,0)),"")</f>
        <v>0.8</v>
      </c>
      <c r="AA317" s="24">
        <f>IFERROR(INDEX(Cost_Components!$U$2:$U$27,MATCH(E317,Cost_Components!$A$2:$A$27,0)),"")</f>
        <v>2025</v>
      </c>
      <c r="AB317" s="24">
        <f>IFERROR(INDEX(Cost_Components!$V$2:$V$27,MATCH(E317,Cost_Components!$A$2:$A$27,0)),"")</f>
        <v>2050</v>
      </c>
      <c r="AC317" s="24">
        <f>IFERROR(INDEX(Cost_Components!$M$2:$M$27,MATCH(E317,Cost_Components!$A$2:$A$27,0)),"")</f>
        <v>30</v>
      </c>
      <c r="AD317" s="24">
        <f>IFERROR(INDEX(Cost_Components!$N$2:$N$27,MATCH(E317,Cost_Components!$A$2:$A$27,0)),"")</f>
        <v>95</v>
      </c>
      <c r="AE317" s="14" t="str">
        <f>IFERROR(INDEX(Cost_Components!$O$2:$O$27,MATCH(E317,Cost_Components!$A$2:$A$27,0)),"")</f>
        <v>Both</v>
      </c>
      <c r="AF317" s="11">
        <v>5587919.7719443301</v>
      </c>
      <c r="AG317" s="11">
        <v>5586949.7302251803</v>
      </c>
      <c r="AH317" s="21">
        <f t="shared" si="49"/>
        <v>1</v>
      </c>
    </row>
    <row r="318" spans="1:34" hidden="1">
      <c r="A318" t="s">
        <v>197</v>
      </c>
      <c r="B318" s="18">
        <v>2029</v>
      </c>
      <c r="C318" t="s">
        <v>197</v>
      </c>
      <c r="D318" t="s">
        <v>177</v>
      </c>
      <c r="E318" s="20" t="s">
        <v>286</v>
      </c>
      <c r="F318" s="20" t="s">
        <v>287</v>
      </c>
      <c r="G318" s="20" t="s">
        <v>201</v>
      </c>
      <c r="H318" s="20" t="s">
        <v>192</v>
      </c>
      <c r="I318" s="20" t="s">
        <v>264</v>
      </c>
      <c r="J318" s="15">
        <f>IFERROR(INDEX(Cost_Components!$K$2:$K$27,MATCH(E318,Cost_Components!$A$2:$A$27,0)),"")</f>
        <v>0.2</v>
      </c>
      <c r="K318" s="15">
        <f t="shared" si="40"/>
        <v>0.40423076923076923</v>
      </c>
      <c r="L318" s="15">
        <f>IFERROR(INDEX(Cost_Components!$S$2:$S$27,MATCH(E318,Cost_Components!$A$2:$A$27,0)),"")</f>
        <v>0.31</v>
      </c>
      <c r="M318" s="26">
        <f>IFERROR(INDEX(Cost_Components!$L$2:$L$27,MATCH(E318,Cost_Components!$A$2:$A$27,0)),"")</f>
        <v>1</v>
      </c>
      <c r="N318" s="27">
        <f>IFERROR(INDEX(Cost_Components!$P$2:$P$27,MATCH(E318,Cost_Components!$A$2:$A$27,0)),"")</f>
        <v>7</v>
      </c>
      <c r="O318" s="21">
        <f t="shared" si="41"/>
        <v>1142398.4385035841</v>
      </c>
      <c r="P318" s="21">
        <f t="shared" si="42"/>
        <v>1142107.993713924</v>
      </c>
      <c r="Q318" s="21">
        <f t="shared" si="43"/>
        <v>2478374.3463592147</v>
      </c>
      <c r="R318" s="21">
        <f t="shared" si="44"/>
        <v>3232548.1969503341</v>
      </c>
      <c r="S318" s="21">
        <f t="shared" si="45"/>
        <v>754173.85059111938</v>
      </c>
      <c r="T318" s="14">
        <f>IFERROR(INDEX(Cost_Components!$R$2:$R$27,MATCH(E318,Cost_Components!$A$2:$A$27,0)),"")</f>
        <v>1</v>
      </c>
      <c r="U318" s="24">
        <f>IFERROR(INDEX(Cost_Components!$Q$2:$Q$27,MATCH(E318,Cost_Components!$A$2:$A$27,0)),"")</f>
        <v>2023</v>
      </c>
      <c r="V318" s="28">
        <f>1/(1+Calculation_Assumptions!$B$5)^(B318-Calculation_Assumptions!$B$2)</f>
        <v>0.888487047915689</v>
      </c>
      <c r="W318" s="21">
        <f t="shared" si="46"/>
        <v>2202003.506626674</v>
      </c>
      <c r="X318" s="21">
        <f t="shared" si="47"/>
        <v>2872077.2047535856</v>
      </c>
      <c r="Y318" s="21">
        <f t="shared" si="48"/>
        <v>670073.69812691153</v>
      </c>
      <c r="Z318" s="15">
        <f>IFERROR(INDEX(Cost_Components!$T$2:$T$27,MATCH(E318,Cost_Components!$A$2:$A$27,0)),"")</f>
        <v>0.8</v>
      </c>
      <c r="AA318" s="24">
        <f>IFERROR(INDEX(Cost_Components!$U$2:$U$27,MATCH(E318,Cost_Components!$A$2:$A$27,0)),"")</f>
        <v>2025</v>
      </c>
      <c r="AB318" s="24">
        <f>IFERROR(INDEX(Cost_Components!$V$2:$V$27,MATCH(E318,Cost_Components!$A$2:$A$27,0)),"")</f>
        <v>2050</v>
      </c>
      <c r="AC318" s="24">
        <f>IFERROR(INDEX(Cost_Components!$M$2:$M$27,MATCH(E318,Cost_Components!$A$2:$A$27,0)),"")</f>
        <v>30</v>
      </c>
      <c r="AD318" s="24">
        <f>IFERROR(INDEX(Cost_Components!$N$2:$N$27,MATCH(E318,Cost_Components!$A$2:$A$27,0)),"")</f>
        <v>95</v>
      </c>
      <c r="AE318" s="14" t="str">
        <f>IFERROR(INDEX(Cost_Components!$O$2:$O$27,MATCH(E318,Cost_Components!$A$2:$A$27,0)),"")</f>
        <v>Both</v>
      </c>
      <c r="AF318" s="11">
        <v>5711992.1925179204</v>
      </c>
      <c r="AG318" s="11">
        <v>5710539.9685696196</v>
      </c>
      <c r="AH318" s="21">
        <f t="shared" si="49"/>
        <v>1</v>
      </c>
    </row>
    <row r="319" spans="1:34" hidden="1">
      <c r="A319" t="s">
        <v>197</v>
      </c>
      <c r="B319" s="18">
        <v>2030</v>
      </c>
      <c r="C319" t="s">
        <v>197</v>
      </c>
      <c r="D319" t="s">
        <v>177</v>
      </c>
      <c r="E319" s="20" t="s">
        <v>286</v>
      </c>
      <c r="F319" s="20" t="s">
        <v>287</v>
      </c>
      <c r="G319" s="20" t="s">
        <v>201</v>
      </c>
      <c r="H319" s="20" t="s">
        <v>192</v>
      </c>
      <c r="I319" s="20" t="s">
        <v>264</v>
      </c>
      <c r="J319" s="15">
        <f>IFERROR(INDEX(Cost_Components!$K$2:$K$27,MATCH(E319,Cost_Components!$A$2:$A$27,0)),"")</f>
        <v>0.2</v>
      </c>
      <c r="K319" s="15">
        <f t="shared" si="40"/>
        <v>0.42307692307692307</v>
      </c>
      <c r="L319" s="15">
        <f>IFERROR(INDEX(Cost_Components!$S$2:$S$27,MATCH(E319,Cost_Components!$A$2:$A$27,0)),"")</f>
        <v>0.31</v>
      </c>
      <c r="M319" s="26">
        <f>IFERROR(INDEX(Cost_Components!$L$2:$L$27,MATCH(E319,Cost_Components!$A$2:$A$27,0)),"")</f>
        <v>1</v>
      </c>
      <c r="N319" s="27">
        <f>IFERROR(INDEX(Cost_Components!$P$2:$P$27,MATCH(E319,Cost_Components!$A$2:$A$27,0)),"")</f>
        <v>7</v>
      </c>
      <c r="O319" s="21">
        <f t="shared" si="41"/>
        <v>1166798.7611753</v>
      </c>
      <c r="P319" s="21">
        <f t="shared" si="42"/>
        <v>1166393.197493982</v>
      </c>
      <c r="Q319" s="21">
        <f t="shared" si="43"/>
        <v>2531073.2385619408</v>
      </c>
      <c r="R319" s="21">
        <f t="shared" si="44"/>
        <v>3455519.4080960806</v>
      </c>
      <c r="S319" s="21">
        <f t="shared" si="45"/>
        <v>924446.1695341398</v>
      </c>
      <c r="T319" s="14">
        <f>IFERROR(INDEX(Cost_Components!$R$2:$R$27,MATCH(E319,Cost_Components!$A$2:$A$27,0)),"")</f>
        <v>1</v>
      </c>
      <c r="U319" s="24">
        <f>IFERROR(INDEX(Cost_Components!$Q$2:$Q$27,MATCH(E319,Cost_Components!$A$2:$A$27,0)),"")</f>
        <v>2023</v>
      </c>
      <c r="V319" s="28">
        <f>1/(1+Calculation_Assumptions!$B$5)^(B319-Calculation_Assumptions!$B$2)</f>
        <v>0.86260878438416411</v>
      </c>
      <c r="W319" s="21">
        <f t="shared" si="46"/>
        <v>2183326.0095032053</v>
      </c>
      <c r="X319" s="21">
        <f t="shared" si="47"/>
        <v>2980761.3960336465</v>
      </c>
      <c r="Y319" s="21">
        <f t="shared" si="48"/>
        <v>797435.38653044123</v>
      </c>
      <c r="Z319" s="15">
        <f>IFERROR(INDEX(Cost_Components!$T$2:$T$27,MATCH(E319,Cost_Components!$A$2:$A$27,0)),"")</f>
        <v>0.8</v>
      </c>
      <c r="AA319" s="24">
        <f>IFERROR(INDEX(Cost_Components!$U$2:$U$27,MATCH(E319,Cost_Components!$A$2:$A$27,0)),"")</f>
        <v>2025</v>
      </c>
      <c r="AB319" s="24">
        <f>IFERROR(INDEX(Cost_Components!$V$2:$V$27,MATCH(E319,Cost_Components!$A$2:$A$27,0)),"")</f>
        <v>2050</v>
      </c>
      <c r="AC319" s="24">
        <f>IFERROR(INDEX(Cost_Components!$M$2:$M$27,MATCH(E319,Cost_Components!$A$2:$A$27,0)),"")</f>
        <v>30</v>
      </c>
      <c r="AD319" s="24">
        <f>IFERROR(INDEX(Cost_Components!$N$2:$N$27,MATCH(E319,Cost_Components!$A$2:$A$27,0)),"")</f>
        <v>95</v>
      </c>
      <c r="AE319" s="14" t="str">
        <f>IFERROR(INDEX(Cost_Components!$O$2:$O$27,MATCH(E319,Cost_Components!$A$2:$A$27,0)),"")</f>
        <v>Both</v>
      </c>
      <c r="AF319" s="11">
        <v>5833993.8058765</v>
      </c>
      <c r="AG319" s="11">
        <v>5831965.9874699097</v>
      </c>
      <c r="AH319" s="21">
        <f t="shared" si="49"/>
        <v>1</v>
      </c>
    </row>
    <row r="320" spans="1:34" hidden="1">
      <c r="A320" t="s">
        <v>197</v>
      </c>
      <c r="B320" s="18">
        <v>2031</v>
      </c>
      <c r="C320" t="s">
        <v>197</v>
      </c>
      <c r="D320" t="s">
        <v>177</v>
      </c>
      <c r="E320" s="20" t="s">
        <v>286</v>
      </c>
      <c r="F320" s="20" t="s">
        <v>287</v>
      </c>
      <c r="G320" s="20" t="s">
        <v>201</v>
      </c>
      <c r="H320" s="20" t="s">
        <v>192</v>
      </c>
      <c r="I320" s="20" t="s">
        <v>264</v>
      </c>
      <c r="J320" s="15">
        <f>IFERROR(INDEX(Cost_Components!$K$2:$K$27,MATCH(E320,Cost_Components!$A$2:$A$27,0)),"")</f>
        <v>0.2</v>
      </c>
      <c r="K320" s="15">
        <f t="shared" si="40"/>
        <v>0.44192307692307692</v>
      </c>
      <c r="L320" s="15">
        <f>IFERROR(INDEX(Cost_Components!$S$2:$S$27,MATCH(E320,Cost_Components!$A$2:$A$27,0)),"")</f>
        <v>0.31</v>
      </c>
      <c r="M320" s="26">
        <f>IFERROR(INDEX(Cost_Components!$L$2:$L$27,MATCH(E320,Cost_Components!$A$2:$A$27,0)),"")</f>
        <v>1</v>
      </c>
      <c r="N320" s="27">
        <f>IFERROR(INDEX(Cost_Components!$P$2:$P$27,MATCH(E320,Cost_Components!$A$2:$A$27,0)),"")</f>
        <v>7</v>
      </c>
      <c r="O320" s="21">
        <f t="shared" si="41"/>
        <v>1190831.33704509</v>
      </c>
      <c r="P320" s="21">
        <f t="shared" si="42"/>
        <v>1190292.3125829461</v>
      </c>
      <c r="Q320" s="21">
        <f t="shared" si="43"/>
        <v>2582934.3183049932</v>
      </c>
      <c r="R320" s="21">
        <f t="shared" si="44"/>
        <v>3683790.939943715</v>
      </c>
      <c r="S320" s="21">
        <f t="shared" si="45"/>
        <v>1100856.6216387218</v>
      </c>
      <c r="T320" s="14">
        <f>IFERROR(INDEX(Cost_Components!$R$2:$R$27,MATCH(E320,Cost_Components!$A$2:$A$27,0)),"")</f>
        <v>1</v>
      </c>
      <c r="U320" s="24">
        <f>IFERROR(INDEX(Cost_Components!$Q$2:$Q$27,MATCH(E320,Cost_Components!$A$2:$A$27,0)),"")</f>
        <v>2023</v>
      </c>
      <c r="V320" s="28">
        <f>1/(1+Calculation_Assumptions!$B$5)^(B320-Calculation_Assumptions!$B$2)</f>
        <v>0.83748425668365445</v>
      </c>
      <c r="W320" s="21">
        <f t="shared" si="46"/>
        <v>2163166.8276283587</v>
      </c>
      <c r="X320" s="21">
        <f t="shared" si="47"/>
        <v>3085116.917116743</v>
      </c>
      <c r="Y320" s="21">
        <f t="shared" si="48"/>
        <v>921950.08948838396</v>
      </c>
      <c r="Z320" s="15">
        <f>IFERROR(INDEX(Cost_Components!$T$2:$T$27,MATCH(E320,Cost_Components!$A$2:$A$27,0)),"")</f>
        <v>0.8</v>
      </c>
      <c r="AA320" s="24">
        <f>IFERROR(INDEX(Cost_Components!$U$2:$U$27,MATCH(E320,Cost_Components!$A$2:$A$27,0)),"")</f>
        <v>2025</v>
      </c>
      <c r="AB320" s="24">
        <f>IFERROR(INDEX(Cost_Components!$V$2:$V$27,MATCH(E320,Cost_Components!$A$2:$A$27,0)),"")</f>
        <v>2050</v>
      </c>
      <c r="AC320" s="24">
        <f>IFERROR(INDEX(Cost_Components!$M$2:$M$27,MATCH(E320,Cost_Components!$A$2:$A$27,0)),"")</f>
        <v>30</v>
      </c>
      <c r="AD320" s="24">
        <f>IFERROR(INDEX(Cost_Components!$N$2:$N$27,MATCH(E320,Cost_Components!$A$2:$A$27,0)),"")</f>
        <v>95</v>
      </c>
      <c r="AE320" s="14" t="str">
        <f>IFERROR(INDEX(Cost_Components!$O$2:$O$27,MATCH(E320,Cost_Components!$A$2:$A$27,0)),"")</f>
        <v>Both</v>
      </c>
      <c r="AF320" s="11">
        <v>5954156.6852254504</v>
      </c>
      <c r="AG320" s="11">
        <v>5951461.56291473</v>
      </c>
      <c r="AH320" s="21">
        <f t="shared" si="49"/>
        <v>1</v>
      </c>
    </row>
    <row r="321" spans="1:34" hidden="1">
      <c r="A321" t="s">
        <v>197</v>
      </c>
      <c r="B321" s="18">
        <v>2032</v>
      </c>
      <c r="C321" t="s">
        <v>197</v>
      </c>
      <c r="D321" t="s">
        <v>177</v>
      </c>
      <c r="E321" s="20" t="s">
        <v>286</v>
      </c>
      <c r="F321" s="20" t="s">
        <v>287</v>
      </c>
      <c r="G321" s="20" t="s">
        <v>201</v>
      </c>
      <c r="H321" s="20" t="s">
        <v>192</v>
      </c>
      <c r="I321" s="20" t="s">
        <v>264</v>
      </c>
      <c r="J321" s="15">
        <f>IFERROR(INDEX(Cost_Components!$K$2:$K$27,MATCH(E321,Cost_Components!$A$2:$A$27,0)),"")</f>
        <v>0.2</v>
      </c>
      <c r="K321" s="15">
        <f t="shared" si="40"/>
        <v>0.46076923076923082</v>
      </c>
      <c r="L321" s="15">
        <f>IFERROR(INDEX(Cost_Components!$S$2:$S$27,MATCH(E321,Cost_Components!$A$2:$A$27,0)),"")</f>
        <v>0.31</v>
      </c>
      <c r="M321" s="26">
        <f>IFERROR(INDEX(Cost_Components!$L$2:$L$27,MATCH(E321,Cost_Components!$A$2:$A$27,0)),"")</f>
        <v>1</v>
      </c>
      <c r="N321" s="27">
        <f>IFERROR(INDEX(Cost_Components!$P$2:$P$27,MATCH(E321,Cost_Components!$A$2:$A$27,0)),"")</f>
        <v>7</v>
      </c>
      <c r="O321" s="21">
        <f t="shared" si="41"/>
        <v>1214468.817976298</v>
      </c>
      <c r="P321" s="21">
        <f t="shared" si="42"/>
        <v>1213778.436165842</v>
      </c>
      <c r="Q321" s="21">
        <f t="shared" si="43"/>
        <v>2633899.2064798772</v>
      </c>
      <c r="R321" s="21">
        <f t="shared" si="44"/>
        <v>3917129.0413650908</v>
      </c>
      <c r="S321" s="21">
        <f t="shared" si="45"/>
        <v>1283229.8348852135</v>
      </c>
      <c r="T321" s="14">
        <f>IFERROR(INDEX(Cost_Components!$R$2:$R$27,MATCH(E321,Cost_Components!$A$2:$A$27,0)),"")</f>
        <v>1</v>
      </c>
      <c r="U321" s="24">
        <f>IFERROR(INDEX(Cost_Components!$Q$2:$Q$27,MATCH(E321,Cost_Components!$A$2:$A$27,0)),"")</f>
        <v>2023</v>
      </c>
      <c r="V321" s="28">
        <f>1/(1+Calculation_Assumptions!$B$5)^(B321-Calculation_Assumptions!$B$2)</f>
        <v>0.81309151134335378</v>
      </c>
      <c r="W321" s="21">
        <f t="shared" si="46"/>
        <v>2141601.0865227836</v>
      </c>
      <c r="X321" s="21">
        <f t="shared" si="47"/>
        <v>3184984.3723704843</v>
      </c>
      <c r="Y321" s="21">
        <f t="shared" si="48"/>
        <v>1043383.2858477006</v>
      </c>
      <c r="Z321" s="15">
        <f>IFERROR(INDEX(Cost_Components!$T$2:$T$27,MATCH(E321,Cost_Components!$A$2:$A$27,0)),"")</f>
        <v>0.8</v>
      </c>
      <c r="AA321" s="24">
        <f>IFERROR(INDEX(Cost_Components!$U$2:$U$27,MATCH(E321,Cost_Components!$A$2:$A$27,0)),"")</f>
        <v>2025</v>
      </c>
      <c r="AB321" s="24">
        <f>IFERROR(INDEX(Cost_Components!$V$2:$V$27,MATCH(E321,Cost_Components!$A$2:$A$27,0)),"")</f>
        <v>2050</v>
      </c>
      <c r="AC321" s="24">
        <f>IFERROR(INDEX(Cost_Components!$M$2:$M$27,MATCH(E321,Cost_Components!$A$2:$A$27,0)),"")</f>
        <v>30</v>
      </c>
      <c r="AD321" s="24">
        <f>IFERROR(INDEX(Cost_Components!$N$2:$N$27,MATCH(E321,Cost_Components!$A$2:$A$27,0)),"")</f>
        <v>95</v>
      </c>
      <c r="AE321" s="14" t="str">
        <f>IFERROR(INDEX(Cost_Components!$O$2:$O$27,MATCH(E321,Cost_Components!$A$2:$A$27,0)),"")</f>
        <v>Both</v>
      </c>
      <c r="AF321" s="11">
        <v>6072344.08988149</v>
      </c>
      <c r="AG321" s="11">
        <v>6068892.1808292102</v>
      </c>
      <c r="AH321" s="21">
        <f t="shared" si="49"/>
        <v>1</v>
      </c>
    </row>
    <row r="322" spans="1:34" hidden="1">
      <c r="A322" t="s">
        <v>197</v>
      </c>
      <c r="B322" s="18">
        <v>2033</v>
      </c>
      <c r="C322" t="s">
        <v>197</v>
      </c>
      <c r="D322" t="s">
        <v>177</v>
      </c>
      <c r="E322" s="20" t="s">
        <v>286</v>
      </c>
      <c r="F322" s="20" t="s">
        <v>287</v>
      </c>
      <c r="G322" s="20" t="s">
        <v>201</v>
      </c>
      <c r="H322" s="20" t="s">
        <v>192</v>
      </c>
      <c r="I322" s="20" t="s">
        <v>264</v>
      </c>
      <c r="J322" s="15">
        <f>IFERROR(INDEX(Cost_Components!$K$2:$K$27,MATCH(E322,Cost_Components!$A$2:$A$27,0)),"")</f>
        <v>0.2</v>
      </c>
      <c r="K322" s="15">
        <f t="shared" ref="K322:K385" si="50">IF(OR(L322="",Z322="",AA322="",AB322=""),"",IF(B322&lt;AA322,L322,IF(B322&gt;AB322,Z322,L322+(Z322-L322)*MIN(MAX((B322-AA322+1)/MAX(AB322-AA322+1,1),0),1))))</f>
        <v>0.47961538461538467</v>
      </c>
      <c r="L322" s="15">
        <f>IFERROR(INDEX(Cost_Components!$S$2:$S$27,MATCH(E322,Cost_Components!$A$2:$A$27,0)),"")</f>
        <v>0.31</v>
      </c>
      <c r="M322" s="26">
        <f>IFERROR(INDEX(Cost_Components!$L$2:$L$27,MATCH(E322,Cost_Components!$A$2:$A$27,0)),"")</f>
        <v>1</v>
      </c>
      <c r="N322" s="27">
        <f>IFERROR(INDEX(Cost_Components!$P$2:$P$27,MATCH(E322,Cost_Components!$A$2:$A$27,0)),"")</f>
        <v>7</v>
      </c>
      <c r="O322" s="21">
        <f t="shared" ref="O322:O385" si="51">AF322*J322</f>
        <v>1237648.2425245361</v>
      </c>
      <c r="P322" s="21">
        <f t="shared" ref="P322:P385" si="52">AG322*J322</f>
        <v>1236789.2477787901</v>
      </c>
      <c r="Q322" s="21">
        <f t="shared" ref="Q322:Q385" si="53">P322*L322*M322*N322</f>
        <v>2683832.6676799748</v>
      </c>
      <c r="R322" s="21">
        <f t="shared" ref="R322:R385" si="54">O322*K322*M322*N322</f>
        <v>4155165.9649987221</v>
      </c>
      <c r="S322" s="21">
        <f t="shared" ref="S322:S385" si="55">R322-Q322</f>
        <v>1471333.2973187473</v>
      </c>
      <c r="T322" s="14">
        <f>IFERROR(INDEX(Cost_Components!$R$2:$R$27,MATCH(E322,Cost_Components!$A$2:$A$27,0)),"")</f>
        <v>1</v>
      </c>
      <c r="U322" s="24">
        <f>IFERROR(INDEX(Cost_Components!$Q$2:$Q$27,MATCH(E322,Cost_Components!$A$2:$A$27,0)),"")</f>
        <v>2023</v>
      </c>
      <c r="V322" s="28">
        <f>1/(1+Calculation_Assumptions!$B$5)^(B322-Calculation_Assumptions!$B$2)</f>
        <v>0.78940923431393573</v>
      </c>
      <c r="W322" s="21">
        <f t="shared" ref="W322:W385" si="56">Q322*V322</f>
        <v>2118642.2912199763</v>
      </c>
      <c r="X322" s="21">
        <f t="shared" ref="X322:X385" si="57">R322*V322</f>
        <v>3280126.3828769671</v>
      </c>
      <c r="Y322" s="21">
        <f t="shared" ref="Y322:Y385" si="58">S322*V322</f>
        <v>1161484.0916569906</v>
      </c>
      <c r="Z322" s="15">
        <f>IFERROR(INDEX(Cost_Components!$T$2:$T$27,MATCH(E322,Cost_Components!$A$2:$A$27,0)),"")</f>
        <v>0.8</v>
      </c>
      <c r="AA322" s="24">
        <f>IFERROR(INDEX(Cost_Components!$U$2:$U$27,MATCH(E322,Cost_Components!$A$2:$A$27,0)),"")</f>
        <v>2025</v>
      </c>
      <c r="AB322" s="24">
        <f>IFERROR(INDEX(Cost_Components!$V$2:$V$27,MATCH(E322,Cost_Components!$A$2:$A$27,0)),"")</f>
        <v>2050</v>
      </c>
      <c r="AC322" s="24">
        <f>IFERROR(INDEX(Cost_Components!$M$2:$M$27,MATCH(E322,Cost_Components!$A$2:$A$27,0)),"")</f>
        <v>30</v>
      </c>
      <c r="AD322" s="24">
        <f>IFERROR(INDEX(Cost_Components!$N$2:$N$27,MATCH(E322,Cost_Components!$A$2:$A$27,0)),"")</f>
        <v>95</v>
      </c>
      <c r="AE322" s="14" t="str">
        <f>IFERROR(INDEX(Cost_Components!$O$2:$O$27,MATCH(E322,Cost_Components!$A$2:$A$27,0)),"")</f>
        <v>Both</v>
      </c>
      <c r="AF322" s="11">
        <v>6188241.2126226798</v>
      </c>
      <c r="AG322" s="11">
        <v>6183946.2388939504</v>
      </c>
      <c r="AH322" s="21">
        <f t="shared" ref="AH322:AH385" si="59">IF(H322="shared-count-once",COUNTIFS($A$2:$A$1353,A322,$B$2:$B$1353,B322,$E$2:$E$1353,E322),1)</f>
        <v>1</v>
      </c>
    </row>
    <row r="323" spans="1:34" hidden="1">
      <c r="A323" t="s">
        <v>197</v>
      </c>
      <c r="B323" s="18">
        <v>2034</v>
      </c>
      <c r="C323" t="s">
        <v>197</v>
      </c>
      <c r="D323" t="s">
        <v>177</v>
      </c>
      <c r="E323" s="20" t="s">
        <v>286</v>
      </c>
      <c r="F323" s="20" t="s">
        <v>287</v>
      </c>
      <c r="G323" s="20" t="s">
        <v>201</v>
      </c>
      <c r="H323" s="20" t="s">
        <v>192</v>
      </c>
      <c r="I323" s="20" t="s">
        <v>264</v>
      </c>
      <c r="J323" s="15">
        <f>IFERROR(INDEX(Cost_Components!$K$2:$K$27,MATCH(E323,Cost_Components!$A$2:$A$27,0)),"")</f>
        <v>0.2</v>
      </c>
      <c r="K323" s="15">
        <f t="shared" si="50"/>
        <v>0.49846153846153851</v>
      </c>
      <c r="L323" s="15">
        <f>IFERROR(INDEX(Cost_Components!$S$2:$S$27,MATCH(E323,Cost_Components!$A$2:$A$27,0)),"")</f>
        <v>0.31</v>
      </c>
      <c r="M323" s="26">
        <f>IFERROR(INDEX(Cost_Components!$L$2:$L$27,MATCH(E323,Cost_Components!$A$2:$A$27,0)),"")</f>
        <v>1</v>
      </c>
      <c r="N323" s="27">
        <f>IFERROR(INDEX(Cost_Components!$P$2:$P$27,MATCH(E323,Cost_Components!$A$2:$A$27,0)),"")</f>
        <v>7</v>
      </c>
      <c r="O323" s="21">
        <f t="shared" si="51"/>
        <v>1260330.4546742281</v>
      </c>
      <c r="P323" s="21">
        <f t="shared" si="52"/>
        <v>1259286.2600290061</v>
      </c>
      <c r="Q323" s="21">
        <f t="shared" si="53"/>
        <v>2732651.184262943</v>
      </c>
      <c r="R323" s="21">
        <f t="shared" si="54"/>
        <v>4397583.8018479226</v>
      </c>
      <c r="S323" s="21">
        <f t="shared" si="55"/>
        <v>1664932.6175849796</v>
      </c>
      <c r="T323" s="14">
        <f>IFERROR(INDEX(Cost_Components!$R$2:$R$27,MATCH(E323,Cost_Components!$A$2:$A$27,0)),"")</f>
        <v>1</v>
      </c>
      <c r="U323" s="24">
        <f>IFERROR(INDEX(Cost_Components!$Q$2:$Q$27,MATCH(E323,Cost_Components!$A$2:$A$27,0)),"")</f>
        <v>2023</v>
      </c>
      <c r="V323" s="28">
        <f>1/(1+Calculation_Assumptions!$B$5)^(B323-Calculation_Assumptions!$B$2)</f>
        <v>0.76641673234362695</v>
      </c>
      <c r="W323" s="21">
        <f t="shared" si="56"/>
        <v>2094349.5912777472</v>
      </c>
      <c r="X323" s="21">
        <f t="shared" si="57"/>
        <v>3370381.8076195489</v>
      </c>
      <c r="Y323" s="21">
        <f t="shared" si="58"/>
        <v>1276032.2163418015</v>
      </c>
      <c r="Z323" s="15">
        <f>IFERROR(INDEX(Cost_Components!$T$2:$T$27,MATCH(E323,Cost_Components!$A$2:$A$27,0)),"")</f>
        <v>0.8</v>
      </c>
      <c r="AA323" s="24">
        <f>IFERROR(INDEX(Cost_Components!$U$2:$U$27,MATCH(E323,Cost_Components!$A$2:$A$27,0)),"")</f>
        <v>2025</v>
      </c>
      <c r="AB323" s="24">
        <f>IFERROR(INDEX(Cost_Components!$V$2:$V$27,MATCH(E323,Cost_Components!$A$2:$A$27,0)),"")</f>
        <v>2050</v>
      </c>
      <c r="AC323" s="24">
        <f>IFERROR(INDEX(Cost_Components!$M$2:$M$27,MATCH(E323,Cost_Components!$A$2:$A$27,0)),"")</f>
        <v>30</v>
      </c>
      <c r="AD323" s="24">
        <f>IFERROR(INDEX(Cost_Components!$N$2:$N$27,MATCH(E323,Cost_Components!$A$2:$A$27,0)),"")</f>
        <v>95</v>
      </c>
      <c r="AE323" s="14" t="str">
        <f>IFERROR(INDEX(Cost_Components!$O$2:$O$27,MATCH(E323,Cost_Components!$A$2:$A$27,0)),"")</f>
        <v>Both</v>
      </c>
      <c r="AF323" s="11">
        <v>6301652.2733711395</v>
      </c>
      <c r="AG323" s="11">
        <v>6296431.30014503</v>
      </c>
      <c r="AH323" s="21">
        <f t="shared" si="59"/>
        <v>1</v>
      </c>
    </row>
    <row r="324" spans="1:34" hidden="1">
      <c r="A324" t="s">
        <v>197</v>
      </c>
      <c r="B324" s="18">
        <v>2035</v>
      </c>
      <c r="C324" t="s">
        <v>197</v>
      </c>
      <c r="D324" t="s">
        <v>177</v>
      </c>
      <c r="E324" s="20" t="s">
        <v>286</v>
      </c>
      <c r="F324" s="20" t="s">
        <v>287</v>
      </c>
      <c r="G324" s="20" t="s">
        <v>201</v>
      </c>
      <c r="H324" s="20" t="s">
        <v>192</v>
      </c>
      <c r="I324" s="20" t="s">
        <v>264</v>
      </c>
      <c r="J324" s="15">
        <f>IFERROR(INDEX(Cost_Components!$K$2:$K$27,MATCH(E324,Cost_Components!$A$2:$A$27,0)),"")</f>
        <v>0.2</v>
      </c>
      <c r="K324" s="15">
        <f t="shared" si="50"/>
        <v>0.51730769230769236</v>
      </c>
      <c r="L324" s="15">
        <f>IFERROR(INDEX(Cost_Components!$S$2:$S$27,MATCH(E324,Cost_Components!$A$2:$A$27,0)),"")</f>
        <v>0.31</v>
      </c>
      <c r="M324" s="26">
        <f>IFERROR(INDEX(Cost_Components!$L$2:$L$27,MATCH(E324,Cost_Components!$A$2:$A$27,0)),"")</f>
        <v>1</v>
      </c>
      <c r="N324" s="27">
        <f>IFERROR(INDEX(Cost_Components!$P$2:$P$27,MATCH(E324,Cost_Components!$A$2:$A$27,0)),"")</f>
        <v>7</v>
      </c>
      <c r="O324" s="21">
        <f t="shared" si="51"/>
        <v>1282514.9942089003</v>
      </c>
      <c r="P324" s="21">
        <f t="shared" si="52"/>
        <v>1281269.6540089762</v>
      </c>
      <c r="Q324" s="21">
        <f t="shared" si="53"/>
        <v>2780355.1491994783</v>
      </c>
      <c r="R324" s="21">
        <f t="shared" si="54"/>
        <v>4644184.1040295372</v>
      </c>
      <c r="S324" s="21">
        <f t="shared" si="55"/>
        <v>1863828.9548300589</v>
      </c>
      <c r="T324" s="14">
        <f>IFERROR(INDEX(Cost_Components!$R$2:$R$27,MATCH(E324,Cost_Components!$A$2:$A$27,0)),"")</f>
        <v>1</v>
      </c>
      <c r="U324" s="24">
        <f>IFERROR(INDEX(Cost_Components!$Q$2:$Q$27,MATCH(E324,Cost_Components!$A$2:$A$27,0)),"")</f>
        <v>2023</v>
      </c>
      <c r="V324" s="28">
        <f>1/(1+Calculation_Assumptions!$B$5)^(B324-Calculation_Assumptions!$B$2)</f>
        <v>0.74409391489672516</v>
      </c>
      <c r="W324" s="21">
        <f t="shared" si="56"/>
        <v>2068845.3477711082</v>
      </c>
      <c r="X324" s="21">
        <f t="shared" si="57"/>
        <v>3455709.1314684781</v>
      </c>
      <c r="Y324" s="21">
        <f t="shared" si="58"/>
        <v>1386863.78369737</v>
      </c>
      <c r="Z324" s="15">
        <f>IFERROR(INDEX(Cost_Components!$T$2:$T$27,MATCH(E324,Cost_Components!$A$2:$A$27,0)),"")</f>
        <v>0.8</v>
      </c>
      <c r="AA324" s="24">
        <f>IFERROR(INDEX(Cost_Components!$U$2:$U$27,MATCH(E324,Cost_Components!$A$2:$A$27,0)),"")</f>
        <v>2025</v>
      </c>
      <c r="AB324" s="24">
        <f>IFERROR(INDEX(Cost_Components!$V$2:$V$27,MATCH(E324,Cost_Components!$A$2:$A$27,0)),"")</f>
        <v>2050</v>
      </c>
      <c r="AC324" s="24">
        <f>IFERROR(INDEX(Cost_Components!$M$2:$M$27,MATCH(E324,Cost_Components!$A$2:$A$27,0)),"")</f>
        <v>30</v>
      </c>
      <c r="AD324" s="24">
        <f>IFERROR(INDEX(Cost_Components!$N$2:$N$27,MATCH(E324,Cost_Components!$A$2:$A$27,0)),"")</f>
        <v>95</v>
      </c>
      <c r="AE324" s="14" t="str">
        <f>IFERROR(INDEX(Cost_Components!$O$2:$O$27,MATCH(E324,Cost_Components!$A$2:$A$27,0)),"")</f>
        <v>Both</v>
      </c>
      <c r="AF324" s="11">
        <v>6412574.9710445004</v>
      </c>
      <c r="AG324" s="11">
        <v>6406348.27004488</v>
      </c>
      <c r="AH324" s="21">
        <f t="shared" si="59"/>
        <v>1</v>
      </c>
    </row>
    <row r="325" spans="1:34" hidden="1">
      <c r="A325" t="s">
        <v>197</v>
      </c>
      <c r="B325" s="18">
        <v>2036</v>
      </c>
      <c r="C325" t="s">
        <v>197</v>
      </c>
      <c r="D325" t="s">
        <v>177</v>
      </c>
      <c r="E325" s="20" t="s">
        <v>286</v>
      </c>
      <c r="F325" s="20" t="s">
        <v>287</v>
      </c>
      <c r="G325" s="20" t="s">
        <v>201</v>
      </c>
      <c r="H325" s="20" t="s">
        <v>192</v>
      </c>
      <c r="I325" s="20" t="s">
        <v>264</v>
      </c>
      <c r="J325" s="15">
        <f>IFERROR(INDEX(Cost_Components!$K$2:$K$27,MATCH(E325,Cost_Components!$A$2:$A$27,0)),"")</f>
        <v>0.2</v>
      </c>
      <c r="K325" s="15">
        <f t="shared" si="50"/>
        <v>0.5361538461538462</v>
      </c>
      <c r="L325" s="15">
        <f>IFERROR(INDEX(Cost_Components!$S$2:$S$27,MATCH(E325,Cost_Components!$A$2:$A$27,0)),"")</f>
        <v>0.31</v>
      </c>
      <c r="M325" s="26">
        <f>IFERROR(INDEX(Cost_Components!$L$2:$L$27,MATCH(E325,Cost_Components!$A$2:$A$27,0)),"")</f>
        <v>1</v>
      </c>
      <c r="N325" s="27">
        <f>IFERROR(INDEX(Cost_Components!$P$2:$P$27,MATCH(E325,Cost_Components!$A$2:$A$27,0)),"")</f>
        <v>7</v>
      </c>
      <c r="O325" s="21">
        <f t="shared" si="51"/>
        <v>1304241.6920203241</v>
      </c>
      <c r="P325" s="21">
        <f t="shared" si="52"/>
        <v>1302779.9398582922</v>
      </c>
      <c r="Q325" s="21">
        <f t="shared" si="53"/>
        <v>2827032.4694924941</v>
      </c>
      <c r="R325" s="21">
        <f t="shared" si="54"/>
        <v>4894919.3964362778</v>
      </c>
      <c r="S325" s="21">
        <f t="shared" si="55"/>
        <v>2067886.9269437836</v>
      </c>
      <c r="T325" s="14">
        <f>IFERROR(INDEX(Cost_Components!$R$2:$R$27,MATCH(E325,Cost_Components!$A$2:$A$27,0)),"")</f>
        <v>1</v>
      </c>
      <c r="U325" s="24">
        <f>IFERROR(INDEX(Cost_Components!$Q$2:$Q$27,MATCH(E325,Cost_Components!$A$2:$A$27,0)),"")</f>
        <v>2023</v>
      </c>
      <c r="V325" s="28">
        <f>1/(1+Calculation_Assumptions!$B$5)^(B325-Calculation_Assumptions!$B$2)</f>
        <v>0.72242127659876232</v>
      </c>
      <c r="W325" s="21">
        <f t="shared" si="56"/>
        <v>2042308.4055969191</v>
      </c>
      <c r="X325" s="21">
        <f t="shared" si="57"/>
        <v>3536193.9192215391</v>
      </c>
      <c r="Y325" s="21">
        <f t="shared" si="58"/>
        <v>1493885.5136246197</v>
      </c>
      <c r="Z325" s="15">
        <f>IFERROR(INDEX(Cost_Components!$T$2:$T$27,MATCH(E325,Cost_Components!$A$2:$A$27,0)),"")</f>
        <v>0.8</v>
      </c>
      <c r="AA325" s="24">
        <f>IFERROR(INDEX(Cost_Components!$U$2:$U$27,MATCH(E325,Cost_Components!$A$2:$A$27,0)),"")</f>
        <v>2025</v>
      </c>
      <c r="AB325" s="24">
        <f>IFERROR(INDEX(Cost_Components!$V$2:$V$27,MATCH(E325,Cost_Components!$A$2:$A$27,0)),"")</f>
        <v>2050</v>
      </c>
      <c r="AC325" s="24">
        <f>IFERROR(INDEX(Cost_Components!$M$2:$M$27,MATCH(E325,Cost_Components!$A$2:$A$27,0)),"")</f>
        <v>30</v>
      </c>
      <c r="AD325" s="24">
        <f>IFERROR(INDEX(Cost_Components!$N$2:$N$27,MATCH(E325,Cost_Components!$A$2:$A$27,0)),"")</f>
        <v>95</v>
      </c>
      <c r="AE325" s="14" t="str">
        <f>IFERROR(INDEX(Cost_Components!$O$2:$O$27,MATCH(E325,Cost_Components!$A$2:$A$27,0)),"")</f>
        <v>Both</v>
      </c>
      <c r="AF325" s="11">
        <v>6521208.4601016203</v>
      </c>
      <c r="AG325" s="11">
        <v>6513899.6992914602</v>
      </c>
      <c r="AH325" s="21">
        <f t="shared" si="59"/>
        <v>1</v>
      </c>
    </row>
    <row r="326" spans="1:34" hidden="1">
      <c r="A326" t="s">
        <v>197</v>
      </c>
      <c r="B326" s="18">
        <v>2037</v>
      </c>
      <c r="C326" t="s">
        <v>197</v>
      </c>
      <c r="D326" t="s">
        <v>177</v>
      </c>
      <c r="E326" s="20" t="s">
        <v>286</v>
      </c>
      <c r="F326" s="20" t="s">
        <v>287</v>
      </c>
      <c r="G326" s="20" t="s">
        <v>201</v>
      </c>
      <c r="H326" s="20" t="s">
        <v>192</v>
      </c>
      <c r="I326" s="20" t="s">
        <v>264</v>
      </c>
      <c r="J326" s="15">
        <f>IFERROR(INDEX(Cost_Components!$K$2:$K$27,MATCH(E326,Cost_Components!$A$2:$A$27,0)),"")</f>
        <v>0.2</v>
      </c>
      <c r="K326" s="15">
        <f t="shared" si="50"/>
        <v>0.55500000000000005</v>
      </c>
      <c r="L326" s="15">
        <f>IFERROR(INDEX(Cost_Components!$S$2:$S$27,MATCH(E326,Cost_Components!$A$2:$A$27,0)),"")</f>
        <v>0.31</v>
      </c>
      <c r="M326" s="26">
        <f>IFERROR(INDEX(Cost_Components!$L$2:$L$27,MATCH(E326,Cost_Components!$A$2:$A$27,0)),"")</f>
        <v>1</v>
      </c>
      <c r="N326" s="27">
        <f>IFERROR(INDEX(Cost_Components!$P$2:$P$27,MATCH(E326,Cost_Components!$A$2:$A$27,0)),"")</f>
        <v>7</v>
      </c>
      <c r="O326" s="21">
        <f t="shared" si="51"/>
        <v>1325470.4798990681</v>
      </c>
      <c r="P326" s="21">
        <f t="shared" si="52"/>
        <v>1323777.749244608</v>
      </c>
      <c r="Q326" s="21">
        <f t="shared" si="53"/>
        <v>2872597.7158607994</v>
      </c>
      <c r="R326" s="21">
        <f t="shared" si="54"/>
        <v>5149452.8144078804</v>
      </c>
      <c r="S326" s="21">
        <f t="shared" si="55"/>
        <v>2276855.098547081</v>
      </c>
      <c r="T326" s="14">
        <f>IFERROR(INDEX(Cost_Components!$R$2:$R$27,MATCH(E326,Cost_Components!$A$2:$A$27,0)),"")</f>
        <v>1</v>
      </c>
      <c r="U326" s="24">
        <f>IFERROR(INDEX(Cost_Components!$Q$2:$Q$27,MATCH(E326,Cost_Components!$A$2:$A$27,0)),"")</f>
        <v>2023</v>
      </c>
      <c r="V326" s="28">
        <f>1/(1+Calculation_Assumptions!$B$5)^(B326-Calculation_Assumptions!$B$2)</f>
        <v>0.70137988019297326</v>
      </c>
      <c r="W326" s="21">
        <f t="shared" si="56"/>
        <v>2014782.2417930563</v>
      </c>
      <c r="X326" s="21">
        <f t="shared" si="57"/>
        <v>3611722.5980287683</v>
      </c>
      <c r="Y326" s="21">
        <f t="shared" si="58"/>
        <v>1596940.3562357121</v>
      </c>
      <c r="Z326" s="15">
        <f>IFERROR(INDEX(Cost_Components!$T$2:$T$27,MATCH(E326,Cost_Components!$A$2:$A$27,0)),"")</f>
        <v>0.8</v>
      </c>
      <c r="AA326" s="24">
        <f>IFERROR(INDEX(Cost_Components!$U$2:$U$27,MATCH(E326,Cost_Components!$A$2:$A$27,0)),"")</f>
        <v>2025</v>
      </c>
      <c r="AB326" s="24">
        <f>IFERROR(INDEX(Cost_Components!$V$2:$V$27,MATCH(E326,Cost_Components!$A$2:$A$27,0)),"")</f>
        <v>2050</v>
      </c>
      <c r="AC326" s="24">
        <f>IFERROR(INDEX(Cost_Components!$M$2:$M$27,MATCH(E326,Cost_Components!$A$2:$A$27,0)),"")</f>
        <v>30</v>
      </c>
      <c r="AD326" s="24">
        <f>IFERROR(INDEX(Cost_Components!$N$2:$N$27,MATCH(E326,Cost_Components!$A$2:$A$27,0)),"")</f>
        <v>95</v>
      </c>
      <c r="AE326" s="14" t="str">
        <f>IFERROR(INDEX(Cost_Components!$O$2:$O$27,MATCH(E326,Cost_Components!$A$2:$A$27,0)),"")</f>
        <v>Both</v>
      </c>
      <c r="AF326" s="11">
        <v>6627352.39949534</v>
      </c>
      <c r="AG326" s="11">
        <v>6618888.7462230399</v>
      </c>
      <c r="AH326" s="21">
        <f t="shared" si="59"/>
        <v>1</v>
      </c>
    </row>
    <row r="327" spans="1:34" hidden="1">
      <c r="A327" t="s">
        <v>197</v>
      </c>
      <c r="B327" s="18">
        <v>2038</v>
      </c>
      <c r="C327" t="s">
        <v>197</v>
      </c>
      <c r="D327" t="s">
        <v>177</v>
      </c>
      <c r="E327" s="20" t="s">
        <v>286</v>
      </c>
      <c r="F327" s="20" t="s">
        <v>287</v>
      </c>
      <c r="G327" s="20" t="s">
        <v>201</v>
      </c>
      <c r="H327" s="20" t="s">
        <v>192</v>
      </c>
      <c r="I327" s="20" t="s">
        <v>264</v>
      </c>
      <c r="J327" s="15">
        <f>IFERROR(INDEX(Cost_Components!$K$2:$K$27,MATCH(E327,Cost_Components!$A$2:$A$27,0)),"")</f>
        <v>0.2</v>
      </c>
      <c r="K327" s="15">
        <f t="shared" si="50"/>
        <v>0.57384615384615389</v>
      </c>
      <c r="L327" s="15">
        <f>IFERROR(INDEX(Cost_Components!$S$2:$S$27,MATCH(E327,Cost_Components!$A$2:$A$27,0)),"")</f>
        <v>0.31</v>
      </c>
      <c r="M327" s="26">
        <f>IFERROR(INDEX(Cost_Components!$L$2:$L$27,MATCH(E327,Cost_Components!$A$2:$A$27,0)),"")</f>
        <v>1</v>
      </c>
      <c r="N327" s="27">
        <f>IFERROR(INDEX(Cost_Components!$P$2:$P$27,MATCH(E327,Cost_Components!$A$2:$A$27,0)),"")</f>
        <v>7</v>
      </c>
      <c r="O327" s="21">
        <f t="shared" si="51"/>
        <v>1346146.495983154</v>
      </c>
      <c r="P327" s="21">
        <f t="shared" si="52"/>
        <v>1344208.9517388882</v>
      </c>
      <c r="Q327" s="21">
        <f t="shared" si="53"/>
        <v>2916933.4252733872</v>
      </c>
      <c r="R327" s="21">
        <f t="shared" si="54"/>
        <v>5407366.9246338699</v>
      </c>
      <c r="S327" s="21">
        <f t="shared" si="55"/>
        <v>2490433.4993604827</v>
      </c>
      <c r="T327" s="14">
        <f>IFERROR(INDEX(Cost_Components!$R$2:$R$27,MATCH(E327,Cost_Components!$A$2:$A$27,0)),"")</f>
        <v>1</v>
      </c>
      <c r="U327" s="24">
        <f>IFERROR(INDEX(Cost_Components!$Q$2:$Q$27,MATCH(E327,Cost_Components!$A$2:$A$27,0)),"")</f>
        <v>2023</v>
      </c>
      <c r="V327" s="28">
        <f>1/(1+Calculation_Assumptions!$B$5)^(B327-Calculation_Assumptions!$B$2)</f>
        <v>0.68095133999317792</v>
      </c>
      <c r="W327" s="21">
        <f t="shared" si="56"/>
        <v>1986289.7246108034</v>
      </c>
      <c r="X327" s="21">
        <f t="shared" si="57"/>
        <v>3682153.7531642234</v>
      </c>
      <c r="Y327" s="21">
        <f t="shared" si="58"/>
        <v>1695864.02855342</v>
      </c>
      <c r="Z327" s="15">
        <f>IFERROR(INDEX(Cost_Components!$T$2:$T$27,MATCH(E327,Cost_Components!$A$2:$A$27,0)),"")</f>
        <v>0.8</v>
      </c>
      <c r="AA327" s="24">
        <f>IFERROR(INDEX(Cost_Components!$U$2:$U$27,MATCH(E327,Cost_Components!$A$2:$A$27,0)),"")</f>
        <v>2025</v>
      </c>
      <c r="AB327" s="24">
        <f>IFERROR(INDEX(Cost_Components!$V$2:$V$27,MATCH(E327,Cost_Components!$A$2:$A$27,0)),"")</f>
        <v>2050</v>
      </c>
      <c r="AC327" s="24">
        <f>IFERROR(INDEX(Cost_Components!$M$2:$M$27,MATCH(E327,Cost_Components!$A$2:$A$27,0)),"")</f>
        <v>30</v>
      </c>
      <c r="AD327" s="24">
        <f>IFERROR(INDEX(Cost_Components!$N$2:$N$27,MATCH(E327,Cost_Components!$A$2:$A$27,0)),"")</f>
        <v>95</v>
      </c>
      <c r="AE327" s="14" t="str">
        <f>IFERROR(INDEX(Cost_Components!$O$2:$O$27,MATCH(E327,Cost_Components!$A$2:$A$27,0)),"")</f>
        <v>Both</v>
      </c>
      <c r="AF327" s="11">
        <v>6730732.4799157698</v>
      </c>
      <c r="AG327" s="11">
        <v>6721044.7586944401</v>
      </c>
      <c r="AH327" s="21">
        <f t="shared" si="59"/>
        <v>1</v>
      </c>
    </row>
    <row r="328" spans="1:34" hidden="1">
      <c r="A328" t="s">
        <v>197</v>
      </c>
      <c r="B328" s="18">
        <v>2039</v>
      </c>
      <c r="C328" t="s">
        <v>197</v>
      </c>
      <c r="D328" t="s">
        <v>177</v>
      </c>
      <c r="E328" s="20" t="s">
        <v>286</v>
      </c>
      <c r="F328" s="20" t="s">
        <v>287</v>
      </c>
      <c r="G328" s="20" t="s">
        <v>201</v>
      </c>
      <c r="H328" s="20" t="s">
        <v>192</v>
      </c>
      <c r="I328" s="20" t="s">
        <v>264</v>
      </c>
      <c r="J328" s="15">
        <f>IFERROR(INDEX(Cost_Components!$K$2:$K$27,MATCH(E328,Cost_Components!$A$2:$A$27,0)),"")</f>
        <v>0.2</v>
      </c>
      <c r="K328" s="15">
        <f t="shared" si="50"/>
        <v>0.59269230769230763</v>
      </c>
      <c r="L328" s="15">
        <f>IFERROR(INDEX(Cost_Components!$S$2:$S$27,MATCH(E328,Cost_Components!$A$2:$A$27,0)),"")</f>
        <v>0.31</v>
      </c>
      <c r="M328" s="26">
        <f>IFERROR(INDEX(Cost_Components!$L$2:$L$27,MATCH(E328,Cost_Components!$A$2:$A$27,0)),"")</f>
        <v>1</v>
      </c>
      <c r="N328" s="27">
        <f>IFERROR(INDEX(Cost_Components!$P$2:$P$27,MATCH(E328,Cost_Components!$A$2:$A$27,0)),"")</f>
        <v>7</v>
      </c>
      <c r="O328" s="21">
        <f t="shared" si="51"/>
        <v>1366242.4132744679</v>
      </c>
      <c r="P328" s="21">
        <f t="shared" si="52"/>
        <v>1364046.9820496221</v>
      </c>
      <c r="Q328" s="21">
        <f t="shared" si="53"/>
        <v>2959981.9510476799</v>
      </c>
      <c r="R328" s="21">
        <f t="shared" si="54"/>
        <v>5668329.581535263</v>
      </c>
      <c r="S328" s="21">
        <f t="shared" si="55"/>
        <v>2708347.6304875831</v>
      </c>
      <c r="T328" s="14">
        <f>IFERROR(INDEX(Cost_Components!$R$2:$R$27,MATCH(E328,Cost_Components!$A$2:$A$27,0)),"")</f>
        <v>1</v>
      </c>
      <c r="U328" s="24">
        <f>IFERROR(INDEX(Cost_Components!$Q$2:$Q$27,MATCH(E328,Cost_Components!$A$2:$A$27,0)),"")</f>
        <v>2023</v>
      </c>
      <c r="V328" s="28">
        <f>1/(1+Calculation_Assumptions!$B$5)^(B328-Calculation_Assumptions!$B$2)</f>
        <v>0.66111780581861923</v>
      </c>
      <c r="W328" s="21">
        <f t="shared" si="56"/>
        <v>1956896.7727393578</v>
      </c>
      <c r="X328" s="21">
        <f t="shared" si="57"/>
        <v>3747433.615601365</v>
      </c>
      <c r="Y328" s="21">
        <f t="shared" si="58"/>
        <v>1790536.8428620074</v>
      </c>
      <c r="Z328" s="15">
        <f>IFERROR(INDEX(Cost_Components!$T$2:$T$27,MATCH(E328,Cost_Components!$A$2:$A$27,0)),"")</f>
        <v>0.8</v>
      </c>
      <c r="AA328" s="24">
        <f>IFERROR(INDEX(Cost_Components!$U$2:$U$27,MATCH(E328,Cost_Components!$A$2:$A$27,0)),"")</f>
        <v>2025</v>
      </c>
      <c r="AB328" s="24">
        <f>IFERROR(INDEX(Cost_Components!$V$2:$V$27,MATCH(E328,Cost_Components!$A$2:$A$27,0)),"")</f>
        <v>2050</v>
      </c>
      <c r="AC328" s="24">
        <f>IFERROR(INDEX(Cost_Components!$M$2:$M$27,MATCH(E328,Cost_Components!$A$2:$A$27,0)),"")</f>
        <v>30</v>
      </c>
      <c r="AD328" s="24">
        <f>IFERROR(INDEX(Cost_Components!$N$2:$N$27,MATCH(E328,Cost_Components!$A$2:$A$27,0)),"")</f>
        <v>95</v>
      </c>
      <c r="AE328" s="14" t="str">
        <f>IFERROR(INDEX(Cost_Components!$O$2:$O$27,MATCH(E328,Cost_Components!$A$2:$A$27,0)),"")</f>
        <v>Both</v>
      </c>
      <c r="AF328" s="11">
        <v>6831212.0663723396</v>
      </c>
      <c r="AG328" s="11">
        <v>6820234.9102481101</v>
      </c>
      <c r="AH328" s="21">
        <f t="shared" si="59"/>
        <v>1</v>
      </c>
    </row>
    <row r="329" spans="1:34" hidden="1">
      <c r="A329" t="s">
        <v>197</v>
      </c>
      <c r="B329" s="18">
        <v>2040</v>
      </c>
      <c r="C329" t="s">
        <v>197</v>
      </c>
      <c r="D329" t="s">
        <v>177</v>
      </c>
      <c r="E329" s="20" t="s">
        <v>286</v>
      </c>
      <c r="F329" s="20" t="s">
        <v>287</v>
      </c>
      <c r="G329" s="20" t="s">
        <v>201</v>
      </c>
      <c r="H329" s="20" t="s">
        <v>192</v>
      </c>
      <c r="I329" s="20" t="s">
        <v>264</v>
      </c>
      <c r="J329" s="15">
        <f>IFERROR(INDEX(Cost_Components!$K$2:$K$27,MATCH(E329,Cost_Components!$A$2:$A$27,0)),"")</f>
        <v>0.2</v>
      </c>
      <c r="K329" s="15">
        <f t="shared" si="50"/>
        <v>0.61153846153846159</v>
      </c>
      <c r="L329" s="15">
        <f>IFERROR(INDEX(Cost_Components!$S$2:$S$27,MATCH(E329,Cost_Components!$A$2:$A$27,0)),"")</f>
        <v>0.31</v>
      </c>
      <c r="M329" s="26">
        <f>IFERROR(INDEX(Cost_Components!$L$2:$L$27,MATCH(E329,Cost_Components!$A$2:$A$27,0)),"")</f>
        <v>1</v>
      </c>
      <c r="N329" s="27">
        <f>IFERROR(INDEX(Cost_Components!$P$2:$P$27,MATCH(E329,Cost_Components!$A$2:$A$27,0)),"")</f>
        <v>7</v>
      </c>
      <c r="O329" s="21">
        <f t="shared" si="51"/>
        <v>1385783.497139252</v>
      </c>
      <c r="P329" s="21">
        <f t="shared" si="52"/>
        <v>1383317.9406127601</v>
      </c>
      <c r="Q329" s="21">
        <f t="shared" si="53"/>
        <v>3001799.9311296893</v>
      </c>
      <c r="R329" s="21">
        <f t="shared" si="54"/>
        <v>5932219.355061491</v>
      </c>
      <c r="S329" s="21">
        <f t="shared" si="55"/>
        <v>2930419.4239318017</v>
      </c>
      <c r="T329" s="14">
        <f>IFERROR(INDEX(Cost_Components!$R$2:$R$27,MATCH(E329,Cost_Components!$A$2:$A$27,0)),"")</f>
        <v>1</v>
      </c>
      <c r="U329" s="24">
        <f>IFERROR(INDEX(Cost_Components!$Q$2:$Q$27,MATCH(E329,Cost_Components!$A$2:$A$27,0)),"")</f>
        <v>2023</v>
      </c>
      <c r="V329" s="28">
        <f>1/(1+Calculation_Assumptions!$B$5)^(B329-Calculation_Assumptions!$B$2)</f>
        <v>0.64186194739671765</v>
      </c>
      <c r="W329" s="21">
        <f t="shared" si="56"/>
        <v>1926741.1494902354</v>
      </c>
      <c r="X329" s="21">
        <f t="shared" si="57"/>
        <v>3807665.8676242689</v>
      </c>
      <c r="Y329" s="21">
        <f t="shared" si="58"/>
        <v>1880924.7181340337</v>
      </c>
      <c r="Z329" s="15">
        <f>IFERROR(INDEX(Cost_Components!$T$2:$T$27,MATCH(E329,Cost_Components!$A$2:$A$27,0)),"")</f>
        <v>0.8</v>
      </c>
      <c r="AA329" s="24">
        <f>IFERROR(INDEX(Cost_Components!$U$2:$U$27,MATCH(E329,Cost_Components!$A$2:$A$27,0)),"")</f>
        <v>2025</v>
      </c>
      <c r="AB329" s="24">
        <f>IFERROR(INDEX(Cost_Components!$V$2:$V$27,MATCH(E329,Cost_Components!$A$2:$A$27,0)),"")</f>
        <v>2050</v>
      </c>
      <c r="AC329" s="24">
        <f>IFERROR(INDEX(Cost_Components!$M$2:$M$27,MATCH(E329,Cost_Components!$A$2:$A$27,0)),"")</f>
        <v>30</v>
      </c>
      <c r="AD329" s="24">
        <f>IFERROR(INDEX(Cost_Components!$N$2:$N$27,MATCH(E329,Cost_Components!$A$2:$A$27,0)),"")</f>
        <v>95</v>
      </c>
      <c r="AE329" s="14" t="str">
        <f>IFERROR(INDEX(Cost_Components!$O$2:$O$27,MATCH(E329,Cost_Components!$A$2:$A$27,0)),"")</f>
        <v>Both</v>
      </c>
      <c r="AF329" s="11">
        <v>6928917.4856962599</v>
      </c>
      <c r="AG329" s="11">
        <v>6916589.7030638</v>
      </c>
      <c r="AH329" s="21">
        <f t="shared" si="59"/>
        <v>1</v>
      </c>
    </row>
    <row r="330" spans="1:34" hidden="1">
      <c r="A330" t="s">
        <v>197</v>
      </c>
      <c r="B330" s="18">
        <v>2041</v>
      </c>
      <c r="C330" t="s">
        <v>197</v>
      </c>
      <c r="D330" t="s">
        <v>177</v>
      </c>
      <c r="E330" s="20" t="s">
        <v>286</v>
      </c>
      <c r="F330" s="20" t="s">
        <v>287</v>
      </c>
      <c r="G330" s="20" t="s">
        <v>201</v>
      </c>
      <c r="H330" s="20" t="s">
        <v>192</v>
      </c>
      <c r="I330" s="20" t="s">
        <v>264</v>
      </c>
      <c r="J330" s="15">
        <f>IFERROR(INDEX(Cost_Components!$K$2:$K$27,MATCH(E330,Cost_Components!$A$2:$A$27,0)),"")</f>
        <v>0.2</v>
      </c>
      <c r="K330" s="15">
        <f t="shared" si="50"/>
        <v>0.63038461538461543</v>
      </c>
      <c r="L330" s="15">
        <f>IFERROR(INDEX(Cost_Components!$S$2:$S$27,MATCH(E330,Cost_Components!$A$2:$A$27,0)),"")</f>
        <v>0.31</v>
      </c>
      <c r="M330" s="26">
        <f>IFERROR(INDEX(Cost_Components!$L$2:$L$27,MATCH(E330,Cost_Components!$A$2:$A$27,0)),"")</f>
        <v>1</v>
      </c>
      <c r="N330" s="27">
        <f>IFERROR(INDEX(Cost_Components!$P$2:$P$27,MATCH(E330,Cost_Components!$A$2:$A$27,0)),"")</f>
        <v>7</v>
      </c>
      <c r="O330" s="21">
        <f t="shared" si="51"/>
        <v>1404797.71331276</v>
      </c>
      <c r="P330" s="21">
        <f t="shared" si="52"/>
        <v>1402050.6689237403</v>
      </c>
      <c r="Q330" s="21">
        <f t="shared" si="53"/>
        <v>3042449.9515645164</v>
      </c>
      <c r="R330" s="21">
        <f t="shared" si="54"/>
        <v>6198940.063398961</v>
      </c>
      <c r="S330" s="21">
        <f t="shared" si="55"/>
        <v>3156490.1118344446</v>
      </c>
      <c r="T330" s="14">
        <f>IFERROR(INDEX(Cost_Components!$R$2:$R$27,MATCH(E330,Cost_Components!$A$2:$A$27,0)),"")</f>
        <v>1</v>
      </c>
      <c r="U330" s="24">
        <f>IFERROR(INDEX(Cost_Components!$Q$2:$Q$27,MATCH(E330,Cost_Components!$A$2:$A$27,0)),"")</f>
        <v>2023</v>
      </c>
      <c r="V330" s="28">
        <f>1/(1+Calculation_Assumptions!$B$5)^(B330-Calculation_Assumptions!$B$2)</f>
        <v>0.62316693922011435</v>
      </c>
      <c r="W330" s="21">
        <f t="shared" si="56"/>
        <v>1895954.2240468448</v>
      </c>
      <c r="X330" s="21">
        <f t="shared" si="57"/>
        <v>3862974.5057172719</v>
      </c>
      <c r="Y330" s="21">
        <f t="shared" si="58"/>
        <v>1967020.2816704272</v>
      </c>
      <c r="Z330" s="15">
        <f>IFERROR(INDEX(Cost_Components!$T$2:$T$27,MATCH(E330,Cost_Components!$A$2:$A$27,0)),"")</f>
        <v>0.8</v>
      </c>
      <c r="AA330" s="24">
        <f>IFERROR(INDEX(Cost_Components!$U$2:$U$27,MATCH(E330,Cost_Components!$A$2:$A$27,0)),"")</f>
        <v>2025</v>
      </c>
      <c r="AB330" s="24">
        <f>IFERROR(INDEX(Cost_Components!$V$2:$V$27,MATCH(E330,Cost_Components!$A$2:$A$27,0)),"")</f>
        <v>2050</v>
      </c>
      <c r="AC330" s="24">
        <f>IFERROR(INDEX(Cost_Components!$M$2:$M$27,MATCH(E330,Cost_Components!$A$2:$A$27,0)),"")</f>
        <v>30</v>
      </c>
      <c r="AD330" s="24">
        <f>IFERROR(INDEX(Cost_Components!$N$2:$N$27,MATCH(E330,Cost_Components!$A$2:$A$27,0)),"")</f>
        <v>95</v>
      </c>
      <c r="AE330" s="14" t="str">
        <f>IFERROR(INDEX(Cost_Components!$O$2:$O$27,MATCH(E330,Cost_Components!$A$2:$A$27,0)),"")</f>
        <v>Both</v>
      </c>
      <c r="AF330" s="11">
        <v>7023988.5665638</v>
      </c>
      <c r="AG330" s="11">
        <v>7010253.3446187004</v>
      </c>
      <c r="AH330" s="21">
        <f t="shared" si="59"/>
        <v>1</v>
      </c>
    </row>
    <row r="331" spans="1:34" hidden="1">
      <c r="A331" t="s">
        <v>197</v>
      </c>
      <c r="B331" s="18">
        <v>2042</v>
      </c>
      <c r="C331" t="s">
        <v>197</v>
      </c>
      <c r="D331" t="s">
        <v>177</v>
      </c>
      <c r="E331" s="20" t="s">
        <v>286</v>
      </c>
      <c r="F331" s="20" t="s">
        <v>287</v>
      </c>
      <c r="G331" s="20" t="s">
        <v>201</v>
      </c>
      <c r="H331" s="20" t="s">
        <v>192</v>
      </c>
      <c r="I331" s="20" t="s">
        <v>264</v>
      </c>
      <c r="J331" s="15">
        <f>IFERROR(INDEX(Cost_Components!$K$2:$K$27,MATCH(E331,Cost_Components!$A$2:$A$27,0)),"")</f>
        <v>0.2</v>
      </c>
      <c r="K331" s="15">
        <f t="shared" si="50"/>
        <v>0.64923076923076928</v>
      </c>
      <c r="L331" s="15">
        <f>IFERROR(INDEX(Cost_Components!$S$2:$S$27,MATCH(E331,Cost_Components!$A$2:$A$27,0)),"")</f>
        <v>0.31</v>
      </c>
      <c r="M331" s="26">
        <f>IFERROR(INDEX(Cost_Components!$L$2:$L$27,MATCH(E331,Cost_Components!$A$2:$A$27,0)),"")</f>
        <v>1</v>
      </c>
      <c r="N331" s="27">
        <f>IFERROR(INDEX(Cost_Components!$P$2:$P$27,MATCH(E331,Cost_Components!$A$2:$A$27,0)),"")</f>
        <v>7</v>
      </c>
      <c r="O331" s="21">
        <f t="shared" si="51"/>
        <v>1423257.782320498</v>
      </c>
      <c r="P331" s="21">
        <f t="shared" si="52"/>
        <v>1420218.8079404521</v>
      </c>
      <c r="Q331" s="21">
        <f t="shared" si="53"/>
        <v>3081874.8132307809</v>
      </c>
      <c r="R331" s="21">
        <f t="shared" si="54"/>
        <v>6468159.21380731</v>
      </c>
      <c r="S331" s="21">
        <f t="shared" si="55"/>
        <v>3386284.4005765291</v>
      </c>
      <c r="T331" s="14">
        <f>IFERROR(INDEX(Cost_Components!$R$2:$R$27,MATCH(E331,Cost_Components!$A$2:$A$27,0)),"")</f>
        <v>1</v>
      </c>
      <c r="U331" s="24">
        <f>IFERROR(INDEX(Cost_Components!$Q$2:$Q$27,MATCH(E331,Cost_Components!$A$2:$A$27,0)),"")</f>
        <v>2023</v>
      </c>
      <c r="V331" s="28">
        <f>1/(1+Calculation_Assumptions!$B$5)^(B331-Calculation_Assumptions!$B$2)</f>
        <v>0.60501644584477121</v>
      </c>
      <c r="W331" s="21">
        <f t="shared" si="56"/>
        <v>1864584.9460394052</v>
      </c>
      <c r="X331" s="21">
        <f t="shared" si="57"/>
        <v>3913342.6986958082</v>
      </c>
      <c r="Y331" s="21">
        <f t="shared" si="58"/>
        <v>2048757.7526564032</v>
      </c>
      <c r="Z331" s="15">
        <f>IFERROR(INDEX(Cost_Components!$T$2:$T$27,MATCH(E331,Cost_Components!$A$2:$A$27,0)),"")</f>
        <v>0.8</v>
      </c>
      <c r="AA331" s="24">
        <f>IFERROR(INDEX(Cost_Components!$U$2:$U$27,MATCH(E331,Cost_Components!$A$2:$A$27,0)),"")</f>
        <v>2025</v>
      </c>
      <c r="AB331" s="24">
        <f>IFERROR(INDEX(Cost_Components!$V$2:$V$27,MATCH(E331,Cost_Components!$A$2:$A$27,0)),"")</f>
        <v>2050</v>
      </c>
      <c r="AC331" s="24">
        <f>IFERROR(INDEX(Cost_Components!$M$2:$M$27,MATCH(E331,Cost_Components!$A$2:$A$27,0)),"")</f>
        <v>30</v>
      </c>
      <c r="AD331" s="24">
        <f>IFERROR(INDEX(Cost_Components!$N$2:$N$27,MATCH(E331,Cost_Components!$A$2:$A$27,0)),"")</f>
        <v>95</v>
      </c>
      <c r="AE331" s="14" t="str">
        <f>IFERROR(INDEX(Cost_Components!$O$2:$O$27,MATCH(E331,Cost_Components!$A$2:$A$27,0)),"")</f>
        <v>Both</v>
      </c>
      <c r="AF331" s="11">
        <v>7116288.9116024897</v>
      </c>
      <c r="AG331" s="11">
        <v>7101094.0397022599</v>
      </c>
      <c r="AH331" s="21">
        <f t="shared" si="59"/>
        <v>1</v>
      </c>
    </row>
    <row r="332" spans="1:34" hidden="1">
      <c r="A332" t="s">
        <v>197</v>
      </c>
      <c r="B332" s="18">
        <v>2043</v>
      </c>
      <c r="C332" t="s">
        <v>197</v>
      </c>
      <c r="D332" t="s">
        <v>177</v>
      </c>
      <c r="E332" s="20" t="s">
        <v>286</v>
      </c>
      <c r="F332" s="20" t="s">
        <v>287</v>
      </c>
      <c r="G332" s="20" t="s">
        <v>201</v>
      </c>
      <c r="H332" s="20" t="s">
        <v>192</v>
      </c>
      <c r="I332" s="20" t="s">
        <v>264</v>
      </c>
      <c r="J332" s="15">
        <f>IFERROR(INDEX(Cost_Components!$K$2:$K$27,MATCH(E332,Cost_Components!$A$2:$A$27,0)),"")</f>
        <v>0.2</v>
      </c>
      <c r="K332" s="15">
        <f t="shared" si="50"/>
        <v>0.66807692307692301</v>
      </c>
      <c r="L332" s="15">
        <f>IFERROR(INDEX(Cost_Components!$S$2:$S$27,MATCH(E332,Cost_Components!$A$2:$A$27,0)),"")</f>
        <v>0.31</v>
      </c>
      <c r="M332" s="26">
        <f>IFERROR(INDEX(Cost_Components!$L$2:$L$27,MATCH(E332,Cost_Components!$A$2:$A$27,0)),"")</f>
        <v>1</v>
      </c>
      <c r="N332" s="27">
        <f>IFERROR(INDEX(Cost_Components!$P$2:$P$27,MATCH(E332,Cost_Components!$A$2:$A$27,0)),"")</f>
        <v>7</v>
      </c>
      <c r="O332" s="21">
        <f t="shared" si="51"/>
        <v>1441031.0275476421</v>
      </c>
      <c r="P332" s="21">
        <f t="shared" si="52"/>
        <v>1437690.5460530601</v>
      </c>
      <c r="Q332" s="21">
        <f t="shared" si="53"/>
        <v>3119788.4849351402</v>
      </c>
      <c r="R332" s="21">
        <f t="shared" si="54"/>
        <v>6739037.0245968383</v>
      </c>
      <c r="S332" s="21">
        <f t="shared" si="55"/>
        <v>3619248.539661698</v>
      </c>
      <c r="T332" s="14">
        <f>IFERROR(INDEX(Cost_Components!$R$2:$R$27,MATCH(E332,Cost_Components!$A$2:$A$27,0)),"")</f>
        <v>1</v>
      </c>
      <c r="U332" s="24">
        <f>IFERROR(INDEX(Cost_Components!$Q$2:$Q$27,MATCH(E332,Cost_Components!$A$2:$A$27,0)),"")</f>
        <v>2023</v>
      </c>
      <c r="V332" s="28">
        <f>1/(1+Calculation_Assumptions!$B$5)^(B332-Calculation_Assumptions!$B$2)</f>
        <v>0.5873946076162827</v>
      </c>
      <c r="W332" s="21">
        <f t="shared" si="56"/>
        <v>1832546.9329542739</v>
      </c>
      <c r="X332" s="21">
        <f t="shared" si="57"/>
        <v>3958474.008774661</v>
      </c>
      <c r="Y332" s="21">
        <f t="shared" si="58"/>
        <v>2125927.0758203873</v>
      </c>
      <c r="Z332" s="15">
        <f>IFERROR(INDEX(Cost_Components!$T$2:$T$27,MATCH(E332,Cost_Components!$A$2:$A$27,0)),"")</f>
        <v>0.8</v>
      </c>
      <c r="AA332" s="24">
        <f>IFERROR(INDEX(Cost_Components!$U$2:$U$27,MATCH(E332,Cost_Components!$A$2:$A$27,0)),"")</f>
        <v>2025</v>
      </c>
      <c r="AB332" s="24">
        <f>IFERROR(INDEX(Cost_Components!$V$2:$V$27,MATCH(E332,Cost_Components!$A$2:$A$27,0)),"")</f>
        <v>2050</v>
      </c>
      <c r="AC332" s="24">
        <f>IFERROR(INDEX(Cost_Components!$M$2:$M$27,MATCH(E332,Cost_Components!$A$2:$A$27,0)),"")</f>
        <v>30</v>
      </c>
      <c r="AD332" s="24">
        <f>IFERROR(INDEX(Cost_Components!$N$2:$N$27,MATCH(E332,Cost_Components!$A$2:$A$27,0)),"")</f>
        <v>95</v>
      </c>
      <c r="AE332" s="14" t="str">
        <f>IFERROR(INDEX(Cost_Components!$O$2:$O$27,MATCH(E332,Cost_Components!$A$2:$A$27,0)),"")</f>
        <v>Both</v>
      </c>
      <c r="AF332" s="11">
        <v>7205155.1377382101</v>
      </c>
      <c r="AG332" s="11">
        <v>7188452.7302652998</v>
      </c>
      <c r="AH332" s="21">
        <f t="shared" si="59"/>
        <v>1</v>
      </c>
    </row>
    <row r="333" spans="1:34" hidden="1">
      <c r="A333" t="s">
        <v>197</v>
      </c>
      <c r="B333" s="18">
        <v>2044</v>
      </c>
      <c r="C333" t="s">
        <v>197</v>
      </c>
      <c r="D333" t="s">
        <v>177</v>
      </c>
      <c r="E333" s="20" t="s">
        <v>286</v>
      </c>
      <c r="F333" s="20" t="s">
        <v>287</v>
      </c>
      <c r="G333" s="20" t="s">
        <v>201</v>
      </c>
      <c r="H333" s="20" t="s">
        <v>192</v>
      </c>
      <c r="I333" s="20" t="s">
        <v>264</v>
      </c>
      <c r="J333" s="15">
        <f>IFERROR(INDEX(Cost_Components!$K$2:$K$27,MATCH(E333,Cost_Components!$A$2:$A$27,0)),"")</f>
        <v>0.2</v>
      </c>
      <c r="K333" s="15">
        <f t="shared" si="50"/>
        <v>0.68692307692307697</v>
      </c>
      <c r="L333" s="15">
        <f>IFERROR(INDEX(Cost_Components!$S$2:$S$27,MATCH(E333,Cost_Components!$A$2:$A$27,0)),"")</f>
        <v>0.31</v>
      </c>
      <c r="M333" s="26">
        <f>IFERROR(INDEX(Cost_Components!$L$2:$L$27,MATCH(E333,Cost_Components!$A$2:$A$27,0)),"")</f>
        <v>1</v>
      </c>
      <c r="N333" s="27">
        <f>IFERROR(INDEX(Cost_Components!$P$2:$P$27,MATCH(E333,Cost_Components!$A$2:$A$27,0)),"")</f>
        <v>7</v>
      </c>
      <c r="O333" s="21">
        <f t="shared" si="51"/>
        <v>1458086.0022363681</v>
      </c>
      <c r="P333" s="21">
        <f t="shared" si="52"/>
        <v>1454435.2716829921</v>
      </c>
      <c r="Q333" s="21">
        <f t="shared" si="53"/>
        <v>3156124.5395520926</v>
      </c>
      <c r="R333" s="21">
        <f t="shared" si="54"/>
        <v>7011150.4615227208</v>
      </c>
      <c r="S333" s="21">
        <f t="shared" si="55"/>
        <v>3855025.9219706282</v>
      </c>
      <c r="T333" s="14">
        <f>IFERROR(INDEX(Cost_Components!$R$2:$R$27,MATCH(E333,Cost_Components!$A$2:$A$27,0)),"")</f>
        <v>1</v>
      </c>
      <c r="U333" s="24">
        <f>IFERROR(INDEX(Cost_Components!$Q$2:$Q$27,MATCH(E333,Cost_Components!$A$2:$A$27,0)),"")</f>
        <v>2023</v>
      </c>
      <c r="V333" s="28">
        <f>1/(1+Calculation_Assumptions!$B$5)^(B333-Calculation_Assumptions!$B$2)</f>
        <v>0.57028602681192497</v>
      </c>
      <c r="W333" s="21">
        <f t="shared" si="56"/>
        <v>1799893.723784779</v>
      </c>
      <c r="X333" s="21">
        <f t="shared" si="57"/>
        <v>3998361.1400823863</v>
      </c>
      <c r="Y333" s="21">
        <f t="shared" si="58"/>
        <v>2198467.4162976076</v>
      </c>
      <c r="Z333" s="15">
        <f>IFERROR(INDEX(Cost_Components!$T$2:$T$27,MATCH(E333,Cost_Components!$A$2:$A$27,0)),"")</f>
        <v>0.8</v>
      </c>
      <c r="AA333" s="24">
        <f>IFERROR(INDEX(Cost_Components!$U$2:$U$27,MATCH(E333,Cost_Components!$A$2:$A$27,0)),"")</f>
        <v>2025</v>
      </c>
      <c r="AB333" s="24">
        <f>IFERROR(INDEX(Cost_Components!$V$2:$V$27,MATCH(E333,Cost_Components!$A$2:$A$27,0)),"")</f>
        <v>2050</v>
      </c>
      <c r="AC333" s="24">
        <f>IFERROR(INDEX(Cost_Components!$M$2:$M$27,MATCH(E333,Cost_Components!$A$2:$A$27,0)),"")</f>
        <v>30</v>
      </c>
      <c r="AD333" s="24">
        <f>IFERROR(INDEX(Cost_Components!$N$2:$N$27,MATCH(E333,Cost_Components!$A$2:$A$27,0)),"")</f>
        <v>95</v>
      </c>
      <c r="AE333" s="14" t="str">
        <f>IFERROR(INDEX(Cost_Components!$O$2:$O$27,MATCH(E333,Cost_Components!$A$2:$A$27,0)),"")</f>
        <v>Both</v>
      </c>
      <c r="AF333" s="11">
        <v>7290430.0111818397</v>
      </c>
      <c r="AG333" s="11">
        <v>7272176.3584149601</v>
      </c>
      <c r="AH333" s="21">
        <f t="shared" si="59"/>
        <v>1</v>
      </c>
    </row>
    <row r="334" spans="1:34" hidden="1">
      <c r="A334" t="s">
        <v>197</v>
      </c>
      <c r="B334" s="18">
        <v>2045</v>
      </c>
      <c r="C334" t="s">
        <v>197</v>
      </c>
      <c r="D334" t="s">
        <v>177</v>
      </c>
      <c r="E334" s="20" t="s">
        <v>286</v>
      </c>
      <c r="F334" s="20" t="s">
        <v>287</v>
      </c>
      <c r="G334" s="20" t="s">
        <v>201</v>
      </c>
      <c r="H334" s="20" t="s">
        <v>192</v>
      </c>
      <c r="I334" s="20" t="s">
        <v>264</v>
      </c>
      <c r="J334" s="15">
        <f>IFERROR(INDEX(Cost_Components!$K$2:$K$27,MATCH(E334,Cost_Components!$A$2:$A$27,0)),"")</f>
        <v>0.2</v>
      </c>
      <c r="K334" s="15">
        <f t="shared" si="50"/>
        <v>0.70576923076923082</v>
      </c>
      <c r="L334" s="15">
        <f>IFERROR(INDEX(Cost_Components!$S$2:$S$27,MATCH(E334,Cost_Components!$A$2:$A$27,0)),"")</f>
        <v>0.31</v>
      </c>
      <c r="M334" s="26">
        <f>IFERROR(INDEX(Cost_Components!$L$2:$L$27,MATCH(E334,Cost_Components!$A$2:$A$27,0)),"")</f>
        <v>1</v>
      </c>
      <c r="N334" s="27">
        <f>IFERROR(INDEX(Cost_Components!$P$2:$P$27,MATCH(E334,Cost_Components!$A$2:$A$27,0)),"")</f>
        <v>7</v>
      </c>
      <c r="O334" s="21">
        <f t="shared" si="51"/>
        <v>1474477.161681666</v>
      </c>
      <c r="P334" s="21">
        <f t="shared" si="52"/>
        <v>1470508.2374509983</v>
      </c>
      <c r="Q334" s="21">
        <f t="shared" si="53"/>
        <v>3191002.8752686665</v>
      </c>
      <c r="R334" s="21">
        <f t="shared" si="54"/>
        <v>7284484.2853080779</v>
      </c>
      <c r="S334" s="21">
        <f t="shared" si="55"/>
        <v>4093481.4100394114</v>
      </c>
      <c r="T334" s="14">
        <f>IFERROR(INDEX(Cost_Components!$R$2:$R$27,MATCH(E334,Cost_Components!$A$2:$A$27,0)),"")</f>
        <v>1</v>
      </c>
      <c r="U334" s="24">
        <f>IFERROR(INDEX(Cost_Components!$Q$2:$Q$27,MATCH(E334,Cost_Components!$A$2:$A$27,0)),"")</f>
        <v>2023</v>
      </c>
      <c r="V334" s="28">
        <f>1/(1+Calculation_Assumptions!$B$5)^(B334-Calculation_Assumptions!$B$2)</f>
        <v>0.55367575418633497</v>
      </c>
      <c r="W334" s="21">
        <f t="shared" si="56"/>
        <v>1766780.9235751424</v>
      </c>
      <c r="X334" s="21">
        <f t="shared" si="57"/>
        <v>4033242.3305264553</v>
      </c>
      <c r="Y334" s="21">
        <f t="shared" si="58"/>
        <v>2266461.4069513129</v>
      </c>
      <c r="Z334" s="15">
        <f>IFERROR(INDEX(Cost_Components!$T$2:$T$27,MATCH(E334,Cost_Components!$A$2:$A$27,0)),"")</f>
        <v>0.8</v>
      </c>
      <c r="AA334" s="24">
        <f>IFERROR(INDEX(Cost_Components!$U$2:$U$27,MATCH(E334,Cost_Components!$A$2:$A$27,0)),"")</f>
        <v>2025</v>
      </c>
      <c r="AB334" s="24">
        <f>IFERROR(INDEX(Cost_Components!$V$2:$V$27,MATCH(E334,Cost_Components!$A$2:$A$27,0)),"")</f>
        <v>2050</v>
      </c>
      <c r="AC334" s="24">
        <f>IFERROR(INDEX(Cost_Components!$M$2:$M$27,MATCH(E334,Cost_Components!$A$2:$A$27,0)),"")</f>
        <v>30</v>
      </c>
      <c r="AD334" s="24">
        <f>IFERROR(INDEX(Cost_Components!$N$2:$N$27,MATCH(E334,Cost_Components!$A$2:$A$27,0)),"")</f>
        <v>95</v>
      </c>
      <c r="AE334" s="14" t="str">
        <f>IFERROR(INDEX(Cost_Components!$O$2:$O$27,MATCH(E334,Cost_Components!$A$2:$A$27,0)),"")</f>
        <v>Both</v>
      </c>
      <c r="AF334" s="11">
        <v>7372385.8084083302</v>
      </c>
      <c r="AG334" s="11">
        <v>7352541.1872549905</v>
      </c>
      <c r="AH334" s="21">
        <f t="shared" si="59"/>
        <v>1</v>
      </c>
    </row>
    <row r="335" spans="1:34" hidden="1">
      <c r="A335" t="s">
        <v>197</v>
      </c>
      <c r="B335" s="18">
        <v>2046</v>
      </c>
      <c r="C335" t="s">
        <v>197</v>
      </c>
      <c r="D335" t="s">
        <v>177</v>
      </c>
      <c r="E335" s="20" t="s">
        <v>286</v>
      </c>
      <c r="F335" s="20" t="s">
        <v>287</v>
      </c>
      <c r="G335" s="20" t="s">
        <v>201</v>
      </c>
      <c r="H335" s="20" t="s">
        <v>192</v>
      </c>
      <c r="I335" s="20" t="s">
        <v>264</v>
      </c>
      <c r="J335" s="15">
        <f>IFERROR(INDEX(Cost_Components!$K$2:$K$27,MATCH(E335,Cost_Components!$A$2:$A$27,0)),"")</f>
        <v>0.2</v>
      </c>
      <c r="K335" s="15">
        <f t="shared" si="50"/>
        <v>0.72461538461538466</v>
      </c>
      <c r="L335" s="15">
        <f>IFERROR(INDEX(Cost_Components!$S$2:$S$27,MATCH(E335,Cost_Components!$A$2:$A$27,0)),"")</f>
        <v>0.31</v>
      </c>
      <c r="M335" s="26">
        <f>IFERROR(INDEX(Cost_Components!$L$2:$L$27,MATCH(E335,Cost_Components!$A$2:$A$27,0)),"")</f>
        <v>1</v>
      </c>
      <c r="N335" s="27">
        <f>IFERROR(INDEX(Cost_Components!$P$2:$P$27,MATCH(E335,Cost_Components!$A$2:$A$27,0)),"")</f>
        <v>7</v>
      </c>
      <c r="O335" s="21">
        <f t="shared" si="51"/>
        <v>1490187.978600258</v>
      </c>
      <c r="P335" s="21">
        <f t="shared" si="52"/>
        <v>1485893.6984560781</v>
      </c>
      <c r="Q335" s="21">
        <f t="shared" si="53"/>
        <v>3224389.3256496894</v>
      </c>
      <c r="R335" s="21">
        <f t="shared" si="54"/>
        <v>7558691.94683854</v>
      </c>
      <c r="S335" s="21">
        <f t="shared" si="55"/>
        <v>4334302.6211888511</v>
      </c>
      <c r="T335" s="14">
        <f>IFERROR(INDEX(Cost_Components!$R$2:$R$27,MATCH(E335,Cost_Components!$A$2:$A$27,0)),"")</f>
        <v>1</v>
      </c>
      <c r="U335" s="24">
        <f>IFERROR(INDEX(Cost_Components!$Q$2:$Q$27,MATCH(E335,Cost_Components!$A$2:$A$27,0)),"")</f>
        <v>2023</v>
      </c>
      <c r="V335" s="28">
        <f>1/(1+Calculation_Assumptions!$B$5)^(B335-Calculation_Assumptions!$B$2)</f>
        <v>0.5375492759090631</v>
      </c>
      <c r="W335" s="21">
        <f t="shared" si="56"/>
        <v>1733268.1472519028</v>
      </c>
      <c r="X335" s="21">
        <f t="shared" si="57"/>
        <v>4063169.3828427237</v>
      </c>
      <c r="Y335" s="21">
        <f t="shared" si="58"/>
        <v>2329901.2355908211</v>
      </c>
      <c r="Z335" s="15">
        <f>IFERROR(INDEX(Cost_Components!$T$2:$T$27,MATCH(E335,Cost_Components!$A$2:$A$27,0)),"")</f>
        <v>0.8</v>
      </c>
      <c r="AA335" s="24">
        <f>IFERROR(INDEX(Cost_Components!$U$2:$U$27,MATCH(E335,Cost_Components!$A$2:$A$27,0)),"")</f>
        <v>2025</v>
      </c>
      <c r="AB335" s="24">
        <f>IFERROR(INDEX(Cost_Components!$V$2:$V$27,MATCH(E335,Cost_Components!$A$2:$A$27,0)),"")</f>
        <v>2050</v>
      </c>
      <c r="AC335" s="24">
        <f>IFERROR(INDEX(Cost_Components!$M$2:$M$27,MATCH(E335,Cost_Components!$A$2:$A$27,0)),"")</f>
        <v>30</v>
      </c>
      <c r="AD335" s="24">
        <f>IFERROR(INDEX(Cost_Components!$N$2:$N$27,MATCH(E335,Cost_Components!$A$2:$A$27,0)),"")</f>
        <v>95</v>
      </c>
      <c r="AE335" s="14" t="str">
        <f>IFERROR(INDEX(Cost_Components!$O$2:$O$27,MATCH(E335,Cost_Components!$A$2:$A$27,0)),"")</f>
        <v>Both</v>
      </c>
      <c r="AF335" s="11">
        <v>7450939.89300129</v>
      </c>
      <c r="AG335" s="11">
        <v>7429468.4922803901</v>
      </c>
      <c r="AH335" s="21">
        <f t="shared" si="59"/>
        <v>1</v>
      </c>
    </row>
    <row r="336" spans="1:34" hidden="1">
      <c r="A336" t="s">
        <v>197</v>
      </c>
      <c r="B336" s="18">
        <v>2047</v>
      </c>
      <c r="C336" t="s">
        <v>197</v>
      </c>
      <c r="D336" t="s">
        <v>177</v>
      </c>
      <c r="E336" s="20" t="s">
        <v>286</v>
      </c>
      <c r="F336" s="20" t="s">
        <v>287</v>
      </c>
      <c r="G336" s="20" t="s">
        <v>201</v>
      </c>
      <c r="H336" s="20" t="s">
        <v>192</v>
      </c>
      <c r="I336" s="20" t="s">
        <v>264</v>
      </c>
      <c r="J336" s="15">
        <f>IFERROR(INDEX(Cost_Components!$K$2:$K$27,MATCH(E336,Cost_Components!$A$2:$A$27,0)),"")</f>
        <v>0.2</v>
      </c>
      <c r="K336" s="15">
        <f t="shared" si="50"/>
        <v>0.74346153846153851</v>
      </c>
      <c r="L336" s="15">
        <f>IFERROR(INDEX(Cost_Components!$S$2:$S$27,MATCH(E336,Cost_Components!$A$2:$A$27,0)),"")</f>
        <v>0.31</v>
      </c>
      <c r="M336" s="26">
        <f>IFERROR(INDEX(Cost_Components!$L$2:$L$27,MATCH(E336,Cost_Components!$A$2:$A$27,0)),"")</f>
        <v>1</v>
      </c>
      <c r="N336" s="27">
        <f>IFERROR(INDEX(Cost_Components!$P$2:$P$27,MATCH(E336,Cost_Components!$A$2:$A$27,0)),"")</f>
        <v>7</v>
      </c>
      <c r="O336" s="21">
        <f t="shared" si="51"/>
        <v>1504978.9855927841</v>
      </c>
      <c r="P336" s="21">
        <f t="shared" si="52"/>
        <v>1500352.9263124783</v>
      </c>
      <c r="Q336" s="21">
        <f t="shared" si="53"/>
        <v>3255765.8500980777</v>
      </c>
      <c r="R336" s="21">
        <f t="shared" si="54"/>
        <v>7832257.9438676778</v>
      </c>
      <c r="S336" s="21">
        <f t="shared" si="55"/>
        <v>4576492.0937696006</v>
      </c>
      <c r="T336" s="14">
        <f>IFERROR(INDEX(Cost_Components!$R$2:$R$27,MATCH(E336,Cost_Components!$A$2:$A$27,0)),"")</f>
        <v>1</v>
      </c>
      <c r="U336" s="24">
        <f>IFERROR(INDEX(Cost_Components!$Q$2:$Q$27,MATCH(E336,Cost_Components!$A$2:$A$27,0)),"")</f>
        <v>2023</v>
      </c>
      <c r="V336" s="28">
        <f>1/(1+Calculation_Assumptions!$B$5)^(B336-Calculation_Assumptions!$B$2)</f>
        <v>0.52189250088258554</v>
      </c>
      <c r="W336" s="21">
        <f t="shared" si="56"/>
        <v>1699159.7817958028</v>
      </c>
      <c r="X336" s="21">
        <f t="shared" si="57"/>
        <v>4087596.6858825996</v>
      </c>
      <c r="Y336" s="21">
        <f t="shared" si="58"/>
        <v>2388436.904086797</v>
      </c>
      <c r="Z336" s="15">
        <f>IFERROR(INDEX(Cost_Components!$T$2:$T$27,MATCH(E336,Cost_Components!$A$2:$A$27,0)),"")</f>
        <v>0.8</v>
      </c>
      <c r="AA336" s="24">
        <f>IFERROR(INDEX(Cost_Components!$U$2:$U$27,MATCH(E336,Cost_Components!$A$2:$A$27,0)),"")</f>
        <v>2025</v>
      </c>
      <c r="AB336" s="24">
        <f>IFERROR(INDEX(Cost_Components!$V$2:$V$27,MATCH(E336,Cost_Components!$A$2:$A$27,0)),"")</f>
        <v>2050</v>
      </c>
      <c r="AC336" s="24">
        <f>IFERROR(INDEX(Cost_Components!$M$2:$M$27,MATCH(E336,Cost_Components!$A$2:$A$27,0)),"")</f>
        <v>30</v>
      </c>
      <c r="AD336" s="24">
        <f>IFERROR(INDEX(Cost_Components!$N$2:$N$27,MATCH(E336,Cost_Components!$A$2:$A$27,0)),"")</f>
        <v>95</v>
      </c>
      <c r="AE336" s="14" t="str">
        <f>IFERROR(INDEX(Cost_Components!$O$2:$O$27,MATCH(E336,Cost_Components!$A$2:$A$27,0)),"")</f>
        <v>Both</v>
      </c>
      <c r="AF336" s="11">
        <v>7524894.9279639199</v>
      </c>
      <c r="AG336" s="11">
        <v>7501764.6315623904</v>
      </c>
      <c r="AH336" s="21">
        <f t="shared" si="59"/>
        <v>1</v>
      </c>
    </row>
    <row r="337" spans="1:34" hidden="1">
      <c r="A337" t="s">
        <v>197</v>
      </c>
      <c r="B337" s="18">
        <v>2048</v>
      </c>
      <c r="C337" t="s">
        <v>197</v>
      </c>
      <c r="D337" t="s">
        <v>177</v>
      </c>
      <c r="E337" s="20" t="s">
        <v>286</v>
      </c>
      <c r="F337" s="20" t="s">
        <v>287</v>
      </c>
      <c r="G337" s="20" t="s">
        <v>201</v>
      </c>
      <c r="H337" s="20" t="s">
        <v>192</v>
      </c>
      <c r="I337" s="20" t="s">
        <v>264</v>
      </c>
      <c r="J337" s="15">
        <f>IFERROR(INDEX(Cost_Components!$K$2:$K$27,MATCH(E337,Cost_Components!$A$2:$A$27,0)),"")</f>
        <v>0.2</v>
      </c>
      <c r="K337" s="15">
        <f t="shared" si="50"/>
        <v>0.76230769230769235</v>
      </c>
      <c r="L337" s="15">
        <f>IFERROR(INDEX(Cost_Components!$S$2:$S$27,MATCH(E337,Cost_Components!$A$2:$A$27,0)),"")</f>
        <v>0.31</v>
      </c>
      <c r="M337" s="26">
        <f>IFERROR(INDEX(Cost_Components!$L$2:$L$27,MATCH(E337,Cost_Components!$A$2:$A$27,0)),"")</f>
        <v>1</v>
      </c>
      <c r="N337" s="27">
        <f>IFERROR(INDEX(Cost_Components!$P$2:$P$27,MATCH(E337,Cost_Components!$A$2:$A$27,0)),"")</f>
        <v>7</v>
      </c>
      <c r="O337" s="21">
        <f t="shared" si="51"/>
        <v>1519002.2714024521</v>
      </c>
      <c r="P337" s="21">
        <f t="shared" si="52"/>
        <v>1514038.8829286881</v>
      </c>
      <c r="Q337" s="21">
        <f t="shared" si="53"/>
        <v>3285464.3759552529</v>
      </c>
      <c r="R337" s="21">
        <f t="shared" si="54"/>
        <v>8105629.8128606249</v>
      </c>
      <c r="S337" s="21">
        <f t="shared" si="55"/>
        <v>4820165.436905372</v>
      </c>
      <c r="T337" s="14">
        <f>IFERROR(INDEX(Cost_Components!$R$2:$R$27,MATCH(E337,Cost_Components!$A$2:$A$27,0)),"")</f>
        <v>1</v>
      </c>
      <c r="U337" s="24">
        <f>IFERROR(INDEX(Cost_Components!$Q$2:$Q$27,MATCH(E337,Cost_Components!$A$2:$A$27,0)),"")</f>
        <v>2023</v>
      </c>
      <c r="V337" s="28">
        <f>1/(1+Calculation_Assumptions!$B$5)^(B337-Calculation_Assumptions!$B$2)</f>
        <v>0.50669174842969467</v>
      </c>
      <c r="W337" s="21">
        <f t="shared" si="56"/>
        <v>1664717.6890562428</v>
      </c>
      <c r="X337" s="21">
        <f t="shared" si="57"/>
        <v>4107055.7420022087</v>
      </c>
      <c r="Y337" s="21">
        <f t="shared" si="58"/>
        <v>2442338.0529459659</v>
      </c>
      <c r="Z337" s="15">
        <f>IFERROR(INDEX(Cost_Components!$T$2:$T$27,MATCH(E337,Cost_Components!$A$2:$A$27,0)),"")</f>
        <v>0.8</v>
      </c>
      <c r="AA337" s="24">
        <f>IFERROR(INDEX(Cost_Components!$U$2:$U$27,MATCH(E337,Cost_Components!$A$2:$A$27,0)),"")</f>
        <v>2025</v>
      </c>
      <c r="AB337" s="24">
        <f>IFERROR(INDEX(Cost_Components!$V$2:$V$27,MATCH(E337,Cost_Components!$A$2:$A$27,0)),"")</f>
        <v>2050</v>
      </c>
      <c r="AC337" s="24">
        <f>IFERROR(INDEX(Cost_Components!$M$2:$M$27,MATCH(E337,Cost_Components!$A$2:$A$27,0)),"")</f>
        <v>30</v>
      </c>
      <c r="AD337" s="24">
        <f>IFERROR(INDEX(Cost_Components!$N$2:$N$27,MATCH(E337,Cost_Components!$A$2:$A$27,0)),"")</f>
        <v>95</v>
      </c>
      <c r="AE337" s="14" t="str">
        <f>IFERROR(INDEX(Cost_Components!$O$2:$O$27,MATCH(E337,Cost_Components!$A$2:$A$27,0)),"")</f>
        <v>Both</v>
      </c>
      <c r="AF337" s="11">
        <v>7595011.3570122598</v>
      </c>
      <c r="AG337" s="11">
        <v>7570194.4146434404</v>
      </c>
      <c r="AH337" s="21">
        <f t="shared" si="59"/>
        <v>1</v>
      </c>
    </row>
    <row r="338" spans="1:34" hidden="1">
      <c r="A338" t="s">
        <v>197</v>
      </c>
      <c r="B338" s="18">
        <v>2049</v>
      </c>
      <c r="C338" t="s">
        <v>197</v>
      </c>
      <c r="D338" t="s">
        <v>177</v>
      </c>
      <c r="E338" s="20" t="s">
        <v>286</v>
      </c>
      <c r="F338" s="20" t="s">
        <v>287</v>
      </c>
      <c r="G338" s="20" t="s">
        <v>201</v>
      </c>
      <c r="H338" s="20" t="s">
        <v>192</v>
      </c>
      <c r="I338" s="20" t="s">
        <v>264</v>
      </c>
      <c r="J338" s="15">
        <f>IFERROR(INDEX(Cost_Components!$K$2:$K$27,MATCH(E338,Cost_Components!$A$2:$A$27,0)),"")</f>
        <v>0.2</v>
      </c>
      <c r="K338" s="15">
        <f t="shared" si="50"/>
        <v>0.7811538461538462</v>
      </c>
      <c r="L338" s="15">
        <f>IFERROR(INDEX(Cost_Components!$S$2:$S$27,MATCH(E338,Cost_Components!$A$2:$A$27,0)),"")</f>
        <v>0.31</v>
      </c>
      <c r="M338" s="26">
        <f>IFERROR(INDEX(Cost_Components!$L$2:$L$27,MATCH(E338,Cost_Components!$A$2:$A$27,0)),"")</f>
        <v>1</v>
      </c>
      <c r="N338" s="27">
        <f>IFERROR(INDEX(Cost_Components!$P$2:$P$27,MATCH(E338,Cost_Components!$A$2:$A$27,0)),"")</f>
        <v>7</v>
      </c>
      <c r="O338" s="21">
        <f t="shared" si="51"/>
        <v>1532255.6107697601</v>
      </c>
      <c r="P338" s="21">
        <f t="shared" si="52"/>
        <v>1526950.0790214061</v>
      </c>
      <c r="Q338" s="21">
        <f t="shared" si="53"/>
        <v>3313481.6714764512</v>
      </c>
      <c r="R338" s="21">
        <f t="shared" si="54"/>
        <v>8378491.545505261</v>
      </c>
      <c r="S338" s="21">
        <f t="shared" si="55"/>
        <v>5065009.8740288094</v>
      </c>
      <c r="T338" s="14">
        <f>IFERROR(INDEX(Cost_Components!$R$2:$R$27,MATCH(E338,Cost_Components!$A$2:$A$27,0)),"")</f>
        <v>1</v>
      </c>
      <c r="U338" s="24">
        <f>IFERROR(INDEX(Cost_Components!$Q$2:$Q$27,MATCH(E338,Cost_Components!$A$2:$A$27,0)),"")</f>
        <v>2023</v>
      </c>
      <c r="V338" s="28">
        <f>1/(1+Calculation_Assumptions!$B$5)^(B338-Calculation_Assumptions!$B$2)</f>
        <v>0.49193373633950943</v>
      </c>
      <c r="W338" s="21">
        <f t="shared" si="56"/>
        <v>1630013.4189418936</v>
      </c>
      <c r="X338" s="21">
        <f t="shared" si="57"/>
        <v>4121662.6508693942</v>
      </c>
      <c r="Y338" s="21">
        <f t="shared" si="58"/>
        <v>2491649.2319275001</v>
      </c>
      <c r="Z338" s="15">
        <f>IFERROR(INDEX(Cost_Components!$T$2:$T$27,MATCH(E338,Cost_Components!$A$2:$A$27,0)),"")</f>
        <v>0.8</v>
      </c>
      <c r="AA338" s="24">
        <f>IFERROR(INDEX(Cost_Components!$U$2:$U$27,MATCH(E338,Cost_Components!$A$2:$A$27,0)),"")</f>
        <v>2025</v>
      </c>
      <c r="AB338" s="24">
        <f>IFERROR(INDEX(Cost_Components!$V$2:$V$27,MATCH(E338,Cost_Components!$A$2:$A$27,0)),"")</f>
        <v>2050</v>
      </c>
      <c r="AC338" s="24">
        <f>IFERROR(INDEX(Cost_Components!$M$2:$M$27,MATCH(E338,Cost_Components!$A$2:$A$27,0)),"")</f>
        <v>30</v>
      </c>
      <c r="AD338" s="24">
        <f>IFERROR(INDEX(Cost_Components!$N$2:$N$27,MATCH(E338,Cost_Components!$A$2:$A$27,0)),"")</f>
        <v>95</v>
      </c>
      <c r="AE338" s="14" t="str">
        <f>IFERROR(INDEX(Cost_Components!$O$2:$O$27,MATCH(E338,Cost_Components!$A$2:$A$27,0)),"")</f>
        <v>Both</v>
      </c>
      <c r="AF338" s="11">
        <v>7661278.0538488002</v>
      </c>
      <c r="AG338" s="11">
        <v>7634750.3951070299</v>
      </c>
      <c r="AH338" s="21">
        <f t="shared" si="59"/>
        <v>1</v>
      </c>
    </row>
    <row r="339" spans="1:34" hidden="1">
      <c r="A339" t="s">
        <v>197</v>
      </c>
      <c r="B339" s="18">
        <v>2050</v>
      </c>
      <c r="C339" t="s">
        <v>197</v>
      </c>
      <c r="D339" t="s">
        <v>177</v>
      </c>
      <c r="E339" s="20" t="s">
        <v>286</v>
      </c>
      <c r="F339" s="20" t="s">
        <v>287</v>
      </c>
      <c r="G339" s="20" t="s">
        <v>201</v>
      </c>
      <c r="H339" s="20" t="s">
        <v>192</v>
      </c>
      <c r="I339" s="20" t="s">
        <v>264</v>
      </c>
      <c r="J339" s="15">
        <f>IFERROR(INDEX(Cost_Components!$K$2:$K$27,MATCH(E339,Cost_Components!$A$2:$A$27,0)),"")</f>
        <v>0.2</v>
      </c>
      <c r="K339" s="15">
        <f t="shared" si="50"/>
        <v>0.8</v>
      </c>
      <c r="L339" s="15">
        <f>IFERROR(INDEX(Cost_Components!$S$2:$S$27,MATCH(E339,Cost_Components!$A$2:$A$27,0)),"")</f>
        <v>0.31</v>
      </c>
      <c r="M339" s="26">
        <f>IFERROR(INDEX(Cost_Components!$L$2:$L$27,MATCH(E339,Cost_Components!$A$2:$A$27,0)),"")</f>
        <v>1</v>
      </c>
      <c r="N339" s="27">
        <f>IFERROR(INDEX(Cost_Components!$P$2:$P$27,MATCH(E339,Cost_Components!$A$2:$A$27,0)),"")</f>
        <v>7</v>
      </c>
      <c r="O339" s="21">
        <f t="shared" si="51"/>
        <v>1544750.6022126982</v>
      </c>
      <c r="P339" s="21">
        <f t="shared" si="52"/>
        <v>1539098.6433192221</v>
      </c>
      <c r="Q339" s="21">
        <f t="shared" si="53"/>
        <v>3339844.0560027123</v>
      </c>
      <c r="R339" s="21">
        <f t="shared" si="54"/>
        <v>8650603.3723911103</v>
      </c>
      <c r="S339" s="21">
        <f t="shared" si="55"/>
        <v>5310759.3163883984</v>
      </c>
      <c r="T339" s="14">
        <f>IFERROR(INDEX(Cost_Components!$R$2:$R$27,MATCH(E339,Cost_Components!$A$2:$A$27,0)),"")</f>
        <v>1</v>
      </c>
      <c r="U339" s="24">
        <f>IFERROR(INDEX(Cost_Components!$Q$2:$Q$27,MATCH(E339,Cost_Components!$A$2:$A$27,0)),"")</f>
        <v>2023</v>
      </c>
      <c r="V339" s="28">
        <f>1/(1+Calculation_Assumptions!$B$5)^(B339-Calculation_Assumptions!$B$2)</f>
        <v>0.47760556926165965</v>
      </c>
      <c r="W339" s="21">
        <f t="shared" si="56"/>
        <v>1595128.1216123458</v>
      </c>
      <c r="X339" s="21">
        <f t="shared" si="57"/>
        <v>4131576.3481276887</v>
      </c>
      <c r="Y339" s="21">
        <f t="shared" si="58"/>
        <v>2536448.2265153434</v>
      </c>
      <c r="Z339" s="15">
        <f>IFERROR(INDEX(Cost_Components!$T$2:$T$27,MATCH(E339,Cost_Components!$A$2:$A$27,0)),"")</f>
        <v>0.8</v>
      </c>
      <c r="AA339" s="24">
        <f>IFERROR(INDEX(Cost_Components!$U$2:$U$27,MATCH(E339,Cost_Components!$A$2:$A$27,0)),"")</f>
        <v>2025</v>
      </c>
      <c r="AB339" s="24">
        <f>IFERROR(INDEX(Cost_Components!$V$2:$V$27,MATCH(E339,Cost_Components!$A$2:$A$27,0)),"")</f>
        <v>2050</v>
      </c>
      <c r="AC339" s="24">
        <f>IFERROR(INDEX(Cost_Components!$M$2:$M$27,MATCH(E339,Cost_Components!$A$2:$A$27,0)),"")</f>
        <v>30</v>
      </c>
      <c r="AD339" s="24">
        <f>IFERROR(INDEX(Cost_Components!$N$2:$N$27,MATCH(E339,Cost_Components!$A$2:$A$27,0)),"")</f>
        <v>95</v>
      </c>
      <c r="AE339" s="14" t="str">
        <f>IFERROR(INDEX(Cost_Components!$O$2:$O$27,MATCH(E339,Cost_Components!$A$2:$A$27,0)),"")</f>
        <v>Both</v>
      </c>
      <c r="AF339" s="11">
        <v>7723753.0110634901</v>
      </c>
      <c r="AG339" s="11">
        <v>7695493.2165961098</v>
      </c>
      <c r="AH339" s="21">
        <f t="shared" si="59"/>
        <v>1</v>
      </c>
    </row>
    <row r="340" spans="1:34" hidden="1">
      <c r="A340" t="s">
        <v>197</v>
      </c>
      <c r="B340" s="18">
        <v>2025</v>
      </c>
      <c r="C340" t="s">
        <v>197</v>
      </c>
      <c r="D340" t="s">
        <v>177</v>
      </c>
      <c r="E340" s="20" t="s">
        <v>289</v>
      </c>
      <c r="F340" s="20" t="s">
        <v>290</v>
      </c>
      <c r="G340" s="20" t="s">
        <v>201</v>
      </c>
      <c r="H340" s="20" t="s">
        <v>192</v>
      </c>
      <c r="I340" s="20" t="s">
        <v>264</v>
      </c>
      <c r="J340" s="15">
        <f>IFERROR(INDEX(Cost_Components!$K$2:$K$27,MATCH(E340,Cost_Components!$A$2:$A$27,0)),"")</f>
        <v>0.2</v>
      </c>
      <c r="K340" s="15">
        <f t="shared" si="50"/>
        <v>0.32884615384615384</v>
      </c>
      <c r="L340" s="15">
        <f>IFERROR(INDEX(Cost_Components!$S$2:$S$27,MATCH(E340,Cost_Components!$A$2:$A$27,0)),"")</f>
        <v>0.31</v>
      </c>
      <c r="M340" s="26">
        <f>IFERROR(INDEX(Cost_Components!$L$2:$L$27,MATCH(E340,Cost_Components!$A$2:$A$27,0)),"")</f>
        <v>1</v>
      </c>
      <c r="N340" s="27">
        <f>IFERROR(INDEX(Cost_Components!$P$2:$P$27,MATCH(E340,Cost_Components!$A$2:$A$27,0)),"")</f>
        <v>29.216218999999999</v>
      </c>
      <c r="O340" s="21">
        <f t="shared" si="51"/>
        <v>1041394.4765552121</v>
      </c>
      <c r="P340" s="21">
        <f t="shared" si="52"/>
        <v>1041375.033644954</v>
      </c>
      <c r="Q340" s="21">
        <f t="shared" si="53"/>
        <v>9431762.7236720361</v>
      </c>
      <c r="R340" s="21">
        <f t="shared" si="54"/>
        <v>10005344.52847133</v>
      </c>
      <c r="S340" s="21">
        <f t="shared" si="55"/>
        <v>573581.8047992941</v>
      </c>
      <c r="T340" s="14">
        <f>IFERROR(INDEX(Cost_Components!$R$2:$R$27,MATCH(E340,Cost_Components!$A$2:$A$27,0)),"")</f>
        <v>1</v>
      </c>
      <c r="U340" s="24">
        <f>IFERROR(INDEX(Cost_Components!$Q$2:$Q$27,MATCH(E340,Cost_Components!$A$2:$A$27,0)),"")</f>
        <v>2023</v>
      </c>
      <c r="V340" s="28">
        <f>1/(1+Calculation_Assumptions!$B$5)^(B340-Calculation_Assumptions!$B$2)</f>
        <v>1</v>
      </c>
      <c r="W340" s="21">
        <f t="shared" si="56"/>
        <v>9431762.7236720361</v>
      </c>
      <c r="X340" s="21">
        <f t="shared" si="57"/>
        <v>10005344.52847133</v>
      </c>
      <c r="Y340" s="21">
        <f t="shared" si="58"/>
        <v>573581.8047992941</v>
      </c>
      <c r="Z340" s="15">
        <f>IFERROR(INDEX(Cost_Components!$T$2:$T$27,MATCH(E340,Cost_Components!$A$2:$A$27,0)),"")</f>
        <v>0.8</v>
      </c>
      <c r="AA340" s="24">
        <f>IFERROR(INDEX(Cost_Components!$U$2:$U$27,MATCH(E340,Cost_Components!$A$2:$A$27,0)),"")</f>
        <v>2025</v>
      </c>
      <c r="AB340" s="24">
        <f>IFERROR(INDEX(Cost_Components!$V$2:$V$27,MATCH(E340,Cost_Components!$A$2:$A$27,0)),"")</f>
        <v>2050</v>
      </c>
      <c r="AC340" s="24">
        <f>IFERROR(INDEX(Cost_Components!$M$2:$M$27,MATCH(E340,Cost_Components!$A$2:$A$27,0)),"")</f>
        <v>30</v>
      </c>
      <c r="AD340" s="24">
        <f>IFERROR(INDEX(Cost_Components!$N$2:$N$27,MATCH(E340,Cost_Components!$A$2:$A$27,0)),"")</f>
        <v>95</v>
      </c>
      <c r="AE340" s="14" t="str">
        <f>IFERROR(INDEX(Cost_Components!$O$2:$O$27,MATCH(E340,Cost_Components!$A$2:$A$27,0)),"")</f>
        <v>Both</v>
      </c>
      <c r="AF340" s="11">
        <v>5206972.3827760601</v>
      </c>
      <c r="AG340" s="11">
        <v>5206875.1682247696</v>
      </c>
      <c r="AH340" s="21">
        <f t="shared" si="59"/>
        <v>1</v>
      </c>
    </row>
    <row r="341" spans="1:34" hidden="1">
      <c r="A341" t="s">
        <v>197</v>
      </c>
      <c r="B341" s="18">
        <v>2026</v>
      </c>
      <c r="C341" t="s">
        <v>197</v>
      </c>
      <c r="D341" t="s">
        <v>177</v>
      </c>
      <c r="E341" s="20" t="s">
        <v>289</v>
      </c>
      <c r="F341" s="20" t="s">
        <v>290</v>
      </c>
      <c r="G341" s="20" t="s">
        <v>201</v>
      </c>
      <c r="H341" s="20" t="s">
        <v>192</v>
      </c>
      <c r="I341" s="20" t="s">
        <v>264</v>
      </c>
      <c r="J341" s="15">
        <f>IFERROR(INDEX(Cost_Components!$K$2:$K$27,MATCH(E341,Cost_Components!$A$2:$A$27,0)),"")</f>
        <v>0.2</v>
      </c>
      <c r="K341" s="15">
        <f t="shared" si="50"/>
        <v>0.34769230769230769</v>
      </c>
      <c r="L341" s="15">
        <f>IFERROR(INDEX(Cost_Components!$S$2:$S$27,MATCH(E341,Cost_Components!$A$2:$A$27,0)),"")</f>
        <v>0.31</v>
      </c>
      <c r="M341" s="26">
        <f>IFERROR(INDEX(Cost_Components!$L$2:$L$27,MATCH(E341,Cost_Components!$A$2:$A$27,0)),"")</f>
        <v>1</v>
      </c>
      <c r="N341" s="27">
        <f>IFERROR(INDEX(Cost_Components!$P$2:$P$27,MATCH(E341,Cost_Components!$A$2:$A$27,0)),"")</f>
        <v>29.216218999999999</v>
      </c>
      <c r="O341" s="21">
        <f t="shared" si="51"/>
        <v>1066929.383789398</v>
      </c>
      <c r="P341" s="21">
        <f t="shared" si="52"/>
        <v>1066871.057007208</v>
      </c>
      <c r="Q341" s="21">
        <f t="shared" si="53"/>
        <v>9662680.9183480609</v>
      </c>
      <c r="R341" s="21">
        <f t="shared" si="54"/>
        <v>10838140.327319536</v>
      </c>
      <c r="S341" s="21">
        <f t="shared" si="55"/>
        <v>1175459.4089714754</v>
      </c>
      <c r="T341" s="14">
        <f>IFERROR(INDEX(Cost_Components!$R$2:$R$27,MATCH(E341,Cost_Components!$A$2:$A$27,0)),"")</f>
        <v>1</v>
      </c>
      <c r="U341" s="24">
        <f>IFERROR(INDEX(Cost_Components!$Q$2:$Q$27,MATCH(E341,Cost_Components!$A$2:$A$27,0)),"")</f>
        <v>2023</v>
      </c>
      <c r="V341" s="28">
        <f>1/(1+Calculation_Assumptions!$B$5)^(B341-Calculation_Assumptions!$B$2)</f>
        <v>0.970873786407767</v>
      </c>
      <c r="W341" s="21">
        <f t="shared" si="56"/>
        <v>9381243.6100466605</v>
      </c>
      <c r="X341" s="21">
        <f t="shared" si="57"/>
        <v>10522466.337203434</v>
      </c>
      <c r="Y341" s="21">
        <f t="shared" si="58"/>
        <v>1141222.7271567723</v>
      </c>
      <c r="Z341" s="15">
        <f>IFERROR(INDEX(Cost_Components!$T$2:$T$27,MATCH(E341,Cost_Components!$A$2:$A$27,0)),"")</f>
        <v>0.8</v>
      </c>
      <c r="AA341" s="24">
        <f>IFERROR(INDEX(Cost_Components!$U$2:$U$27,MATCH(E341,Cost_Components!$A$2:$A$27,0)),"")</f>
        <v>2025</v>
      </c>
      <c r="AB341" s="24">
        <f>IFERROR(INDEX(Cost_Components!$V$2:$V$27,MATCH(E341,Cost_Components!$A$2:$A$27,0)),"")</f>
        <v>2050</v>
      </c>
      <c r="AC341" s="24">
        <f>IFERROR(INDEX(Cost_Components!$M$2:$M$27,MATCH(E341,Cost_Components!$A$2:$A$27,0)),"")</f>
        <v>30</v>
      </c>
      <c r="AD341" s="24">
        <f>IFERROR(INDEX(Cost_Components!$N$2:$N$27,MATCH(E341,Cost_Components!$A$2:$A$27,0)),"")</f>
        <v>95</v>
      </c>
      <c r="AE341" s="14" t="str">
        <f>IFERROR(INDEX(Cost_Components!$O$2:$O$27,MATCH(E341,Cost_Components!$A$2:$A$27,0)),"")</f>
        <v>Both</v>
      </c>
      <c r="AF341" s="11">
        <v>5334646.9189469898</v>
      </c>
      <c r="AG341" s="11">
        <v>5334355.2850360395</v>
      </c>
      <c r="AH341" s="21">
        <f t="shared" si="59"/>
        <v>1</v>
      </c>
    </row>
    <row r="342" spans="1:34" hidden="1">
      <c r="A342" t="s">
        <v>197</v>
      </c>
      <c r="B342" s="18">
        <v>2027</v>
      </c>
      <c r="C342" t="s">
        <v>197</v>
      </c>
      <c r="D342" t="s">
        <v>177</v>
      </c>
      <c r="E342" s="20" t="s">
        <v>289</v>
      </c>
      <c r="F342" s="20" t="s">
        <v>290</v>
      </c>
      <c r="G342" s="20" t="s">
        <v>201</v>
      </c>
      <c r="H342" s="20" t="s">
        <v>192</v>
      </c>
      <c r="I342" s="20" t="s">
        <v>264</v>
      </c>
      <c r="J342" s="15">
        <f>IFERROR(INDEX(Cost_Components!$K$2:$K$27,MATCH(E342,Cost_Components!$A$2:$A$27,0)),"")</f>
        <v>0.2</v>
      </c>
      <c r="K342" s="15">
        <f t="shared" si="50"/>
        <v>0.36653846153846154</v>
      </c>
      <c r="L342" s="15">
        <f>IFERROR(INDEX(Cost_Components!$S$2:$S$27,MATCH(E342,Cost_Components!$A$2:$A$27,0)),"")</f>
        <v>0.31</v>
      </c>
      <c r="M342" s="26">
        <f>IFERROR(INDEX(Cost_Components!$L$2:$L$27,MATCH(E342,Cost_Components!$A$2:$A$27,0)),"")</f>
        <v>1</v>
      </c>
      <c r="N342" s="27">
        <f>IFERROR(INDEX(Cost_Components!$P$2:$P$27,MATCH(E342,Cost_Components!$A$2:$A$27,0)),"")</f>
        <v>29.216218999999999</v>
      </c>
      <c r="O342" s="21">
        <f t="shared" si="51"/>
        <v>1092393.0332508041</v>
      </c>
      <c r="P342" s="21">
        <f t="shared" si="52"/>
        <v>1092276.4661504922</v>
      </c>
      <c r="Q342" s="21">
        <f t="shared" si="53"/>
        <v>9892778.4175156485</v>
      </c>
      <c r="R342" s="21">
        <f t="shared" si="54"/>
        <v>11698292.758128412</v>
      </c>
      <c r="S342" s="21">
        <f t="shared" si="55"/>
        <v>1805514.3406127635</v>
      </c>
      <c r="T342" s="14">
        <f>IFERROR(INDEX(Cost_Components!$R$2:$R$27,MATCH(E342,Cost_Components!$A$2:$A$27,0)),"")</f>
        <v>1</v>
      </c>
      <c r="U342" s="24">
        <f>IFERROR(INDEX(Cost_Components!$Q$2:$Q$27,MATCH(E342,Cost_Components!$A$2:$A$27,0)),"")</f>
        <v>2023</v>
      </c>
      <c r="V342" s="28">
        <f>1/(1+Calculation_Assumptions!$B$5)^(B342-Calculation_Assumptions!$B$2)</f>
        <v>0.94259590913375435</v>
      </c>
      <c r="W342" s="21">
        <f t="shared" si="56"/>
        <v>9324892.4663169459</v>
      </c>
      <c r="X342" s="21">
        <f t="shared" si="57"/>
        <v>11026762.897660865</v>
      </c>
      <c r="Y342" s="21">
        <f t="shared" si="58"/>
        <v>1701870.4313439189</v>
      </c>
      <c r="Z342" s="15">
        <f>IFERROR(INDEX(Cost_Components!$T$2:$T$27,MATCH(E342,Cost_Components!$A$2:$A$27,0)),"")</f>
        <v>0.8</v>
      </c>
      <c r="AA342" s="24">
        <f>IFERROR(INDEX(Cost_Components!$U$2:$U$27,MATCH(E342,Cost_Components!$A$2:$A$27,0)),"")</f>
        <v>2025</v>
      </c>
      <c r="AB342" s="24">
        <f>IFERROR(INDEX(Cost_Components!$V$2:$V$27,MATCH(E342,Cost_Components!$A$2:$A$27,0)),"")</f>
        <v>2050</v>
      </c>
      <c r="AC342" s="24">
        <f>IFERROR(INDEX(Cost_Components!$M$2:$M$27,MATCH(E342,Cost_Components!$A$2:$A$27,0)),"")</f>
        <v>30</v>
      </c>
      <c r="AD342" s="24">
        <f>IFERROR(INDEX(Cost_Components!$N$2:$N$27,MATCH(E342,Cost_Components!$A$2:$A$27,0)),"")</f>
        <v>95</v>
      </c>
      <c r="AE342" s="14" t="str">
        <f>IFERROR(INDEX(Cost_Components!$O$2:$O$27,MATCH(E342,Cost_Components!$A$2:$A$27,0)),"")</f>
        <v>Both</v>
      </c>
      <c r="AF342" s="11">
        <v>5461965.1662540203</v>
      </c>
      <c r="AG342" s="11">
        <v>5461382.3307524603</v>
      </c>
      <c r="AH342" s="21">
        <f t="shared" si="59"/>
        <v>1</v>
      </c>
    </row>
    <row r="343" spans="1:34" hidden="1">
      <c r="A343" t="s">
        <v>197</v>
      </c>
      <c r="B343" s="18">
        <v>2028</v>
      </c>
      <c r="C343" t="s">
        <v>197</v>
      </c>
      <c r="D343" t="s">
        <v>177</v>
      </c>
      <c r="E343" s="20" t="s">
        <v>289</v>
      </c>
      <c r="F343" s="20" t="s">
        <v>290</v>
      </c>
      <c r="G343" s="20" t="s">
        <v>201</v>
      </c>
      <c r="H343" s="20" t="s">
        <v>192</v>
      </c>
      <c r="I343" s="20" t="s">
        <v>264</v>
      </c>
      <c r="J343" s="15">
        <f>IFERROR(INDEX(Cost_Components!$K$2:$K$27,MATCH(E343,Cost_Components!$A$2:$A$27,0)),"")</f>
        <v>0.2</v>
      </c>
      <c r="K343" s="15">
        <f t="shared" si="50"/>
        <v>0.38538461538461538</v>
      </c>
      <c r="L343" s="15">
        <f>IFERROR(INDEX(Cost_Components!$S$2:$S$27,MATCH(E343,Cost_Components!$A$2:$A$27,0)),"")</f>
        <v>0.31</v>
      </c>
      <c r="M343" s="26">
        <f>IFERROR(INDEX(Cost_Components!$L$2:$L$27,MATCH(E343,Cost_Components!$A$2:$A$27,0)),"")</f>
        <v>1</v>
      </c>
      <c r="N343" s="27">
        <f>IFERROR(INDEX(Cost_Components!$P$2:$P$27,MATCH(E343,Cost_Components!$A$2:$A$27,0)),"")</f>
        <v>29.216218999999999</v>
      </c>
      <c r="O343" s="21">
        <f t="shared" si="51"/>
        <v>1117583.954388866</v>
      </c>
      <c r="P343" s="21">
        <f t="shared" si="52"/>
        <v>1117389.9460450362</v>
      </c>
      <c r="Q343" s="21">
        <f t="shared" si="53"/>
        <v>10120231.905335488</v>
      </c>
      <c r="R343" s="21">
        <f t="shared" si="54"/>
        <v>12583415.660552207</v>
      </c>
      <c r="S343" s="21">
        <f t="shared" si="55"/>
        <v>2463183.7552167196</v>
      </c>
      <c r="T343" s="14">
        <f>IFERROR(INDEX(Cost_Components!$R$2:$R$27,MATCH(E343,Cost_Components!$A$2:$A$27,0)),"")</f>
        <v>1</v>
      </c>
      <c r="U343" s="24">
        <f>IFERROR(INDEX(Cost_Components!$Q$2:$Q$27,MATCH(E343,Cost_Components!$A$2:$A$27,0)),"")</f>
        <v>2023</v>
      </c>
      <c r="V343" s="28">
        <f>1/(1+Calculation_Assumptions!$B$5)^(B343-Calculation_Assumptions!$B$2)</f>
        <v>0.91514165935315961</v>
      </c>
      <c r="W343" s="21">
        <f t="shared" si="56"/>
        <v>9261445.8188875057</v>
      </c>
      <c r="X343" s="21">
        <f t="shared" si="57"/>
        <v>11515607.887928283</v>
      </c>
      <c r="Y343" s="21">
        <f t="shared" si="58"/>
        <v>2254162.0690407758</v>
      </c>
      <c r="Z343" s="15">
        <f>IFERROR(INDEX(Cost_Components!$T$2:$T$27,MATCH(E343,Cost_Components!$A$2:$A$27,0)),"")</f>
        <v>0.8</v>
      </c>
      <c r="AA343" s="24">
        <f>IFERROR(INDEX(Cost_Components!$U$2:$U$27,MATCH(E343,Cost_Components!$A$2:$A$27,0)),"")</f>
        <v>2025</v>
      </c>
      <c r="AB343" s="24">
        <f>IFERROR(INDEX(Cost_Components!$V$2:$V$27,MATCH(E343,Cost_Components!$A$2:$A$27,0)),"")</f>
        <v>2050</v>
      </c>
      <c r="AC343" s="24">
        <f>IFERROR(INDEX(Cost_Components!$M$2:$M$27,MATCH(E343,Cost_Components!$A$2:$A$27,0)),"")</f>
        <v>30</v>
      </c>
      <c r="AD343" s="24">
        <f>IFERROR(INDEX(Cost_Components!$N$2:$N$27,MATCH(E343,Cost_Components!$A$2:$A$27,0)),"")</f>
        <v>95</v>
      </c>
      <c r="AE343" s="14" t="str">
        <f>IFERROR(INDEX(Cost_Components!$O$2:$O$27,MATCH(E343,Cost_Components!$A$2:$A$27,0)),"")</f>
        <v>Both</v>
      </c>
      <c r="AF343" s="11">
        <v>5587919.7719443301</v>
      </c>
      <c r="AG343" s="11">
        <v>5586949.7302251803</v>
      </c>
      <c r="AH343" s="21">
        <f t="shared" si="59"/>
        <v>1</v>
      </c>
    </row>
    <row r="344" spans="1:34" hidden="1">
      <c r="A344" t="s">
        <v>197</v>
      </c>
      <c r="B344" s="18">
        <v>2029</v>
      </c>
      <c r="C344" t="s">
        <v>197</v>
      </c>
      <c r="D344" t="s">
        <v>177</v>
      </c>
      <c r="E344" s="20" t="s">
        <v>289</v>
      </c>
      <c r="F344" s="20" t="s">
        <v>290</v>
      </c>
      <c r="G344" s="20" t="s">
        <v>201</v>
      </c>
      <c r="H344" s="20" t="s">
        <v>192</v>
      </c>
      <c r="I344" s="20" t="s">
        <v>264</v>
      </c>
      <c r="J344" s="15">
        <f>IFERROR(INDEX(Cost_Components!$K$2:$K$27,MATCH(E344,Cost_Components!$A$2:$A$27,0)),"")</f>
        <v>0.2</v>
      </c>
      <c r="K344" s="15">
        <f t="shared" si="50"/>
        <v>0.40423076923076923</v>
      </c>
      <c r="L344" s="15">
        <f>IFERROR(INDEX(Cost_Components!$S$2:$S$27,MATCH(E344,Cost_Components!$A$2:$A$27,0)),"")</f>
        <v>0.31</v>
      </c>
      <c r="M344" s="26">
        <f>IFERROR(INDEX(Cost_Components!$L$2:$L$27,MATCH(E344,Cost_Components!$A$2:$A$27,0)),"")</f>
        <v>1</v>
      </c>
      <c r="N344" s="27">
        <f>IFERROR(INDEX(Cost_Components!$P$2:$P$27,MATCH(E344,Cost_Components!$A$2:$A$27,0)),"")</f>
        <v>29.216218999999999</v>
      </c>
      <c r="O344" s="21">
        <f t="shared" si="51"/>
        <v>1142398.4385035841</v>
      </c>
      <c r="P344" s="21">
        <f t="shared" si="52"/>
        <v>1142107.993713924</v>
      </c>
      <c r="Q344" s="21">
        <f t="shared" si="53"/>
        <v>10344103.952458953</v>
      </c>
      <c r="R344" s="21">
        <f t="shared" si="54"/>
        <v>13491833.721450871</v>
      </c>
      <c r="S344" s="21">
        <f t="shared" si="55"/>
        <v>3147729.7689919174</v>
      </c>
      <c r="T344" s="14">
        <f>IFERROR(INDEX(Cost_Components!$R$2:$R$27,MATCH(E344,Cost_Components!$A$2:$A$27,0)),"")</f>
        <v>1</v>
      </c>
      <c r="U344" s="24">
        <f>IFERROR(INDEX(Cost_Components!$Q$2:$Q$27,MATCH(E344,Cost_Components!$A$2:$A$27,0)),"")</f>
        <v>2023</v>
      </c>
      <c r="V344" s="28">
        <f>1/(1+Calculation_Assumptions!$B$5)^(B344-Calculation_Assumptions!$B$2)</f>
        <v>0.888487047915689</v>
      </c>
      <c r="W344" s="21">
        <f t="shared" si="56"/>
        <v>9190602.3840532657</v>
      </c>
      <c r="X344" s="21">
        <f t="shared" si="57"/>
        <v>11987319.514141228</v>
      </c>
      <c r="Y344" s="21">
        <f t="shared" si="58"/>
        <v>2796717.1300879624</v>
      </c>
      <c r="Z344" s="15">
        <f>IFERROR(INDEX(Cost_Components!$T$2:$T$27,MATCH(E344,Cost_Components!$A$2:$A$27,0)),"")</f>
        <v>0.8</v>
      </c>
      <c r="AA344" s="24">
        <f>IFERROR(INDEX(Cost_Components!$U$2:$U$27,MATCH(E344,Cost_Components!$A$2:$A$27,0)),"")</f>
        <v>2025</v>
      </c>
      <c r="AB344" s="24">
        <f>IFERROR(INDEX(Cost_Components!$V$2:$V$27,MATCH(E344,Cost_Components!$A$2:$A$27,0)),"")</f>
        <v>2050</v>
      </c>
      <c r="AC344" s="24">
        <f>IFERROR(INDEX(Cost_Components!$M$2:$M$27,MATCH(E344,Cost_Components!$A$2:$A$27,0)),"")</f>
        <v>30</v>
      </c>
      <c r="AD344" s="24">
        <f>IFERROR(INDEX(Cost_Components!$N$2:$N$27,MATCH(E344,Cost_Components!$A$2:$A$27,0)),"")</f>
        <v>95</v>
      </c>
      <c r="AE344" s="14" t="str">
        <f>IFERROR(INDEX(Cost_Components!$O$2:$O$27,MATCH(E344,Cost_Components!$A$2:$A$27,0)),"")</f>
        <v>Both</v>
      </c>
      <c r="AF344" s="11">
        <v>5711992.1925179204</v>
      </c>
      <c r="AG344" s="11">
        <v>5710539.9685696196</v>
      </c>
      <c r="AH344" s="21">
        <f t="shared" si="59"/>
        <v>1</v>
      </c>
    </row>
    <row r="345" spans="1:34" hidden="1">
      <c r="A345" t="s">
        <v>197</v>
      </c>
      <c r="B345" s="18">
        <v>2030</v>
      </c>
      <c r="C345" t="s">
        <v>197</v>
      </c>
      <c r="D345" t="s">
        <v>177</v>
      </c>
      <c r="E345" s="20" t="s">
        <v>289</v>
      </c>
      <c r="F345" s="20" t="s">
        <v>290</v>
      </c>
      <c r="G345" s="20" t="s">
        <v>201</v>
      </c>
      <c r="H345" s="20" t="s">
        <v>192</v>
      </c>
      <c r="I345" s="20" t="s">
        <v>264</v>
      </c>
      <c r="J345" s="15">
        <f>IFERROR(INDEX(Cost_Components!$K$2:$K$27,MATCH(E345,Cost_Components!$A$2:$A$27,0)),"")</f>
        <v>0.2</v>
      </c>
      <c r="K345" s="15">
        <f t="shared" si="50"/>
        <v>0.42307692307692307</v>
      </c>
      <c r="L345" s="15">
        <f>IFERROR(INDEX(Cost_Components!$S$2:$S$27,MATCH(E345,Cost_Components!$A$2:$A$27,0)),"")</f>
        <v>0.31</v>
      </c>
      <c r="M345" s="26">
        <f>IFERROR(INDEX(Cost_Components!$L$2:$L$27,MATCH(E345,Cost_Components!$A$2:$A$27,0)),"")</f>
        <v>1</v>
      </c>
      <c r="N345" s="27">
        <f>IFERROR(INDEX(Cost_Components!$P$2:$P$27,MATCH(E345,Cost_Components!$A$2:$A$27,0)),"")</f>
        <v>29.216218999999999</v>
      </c>
      <c r="O345" s="21">
        <f t="shared" si="51"/>
        <v>1166798.7611753</v>
      </c>
      <c r="P345" s="21">
        <f t="shared" si="52"/>
        <v>1166393.197493982</v>
      </c>
      <c r="Q345" s="21">
        <f t="shared" si="53"/>
        <v>10564055.720409272</v>
      </c>
      <c r="R345" s="21">
        <f t="shared" si="54"/>
        <v>14422458.826526495</v>
      </c>
      <c r="S345" s="21">
        <f t="shared" si="55"/>
        <v>3858403.1061172225</v>
      </c>
      <c r="T345" s="14">
        <f>IFERROR(INDEX(Cost_Components!$R$2:$R$27,MATCH(E345,Cost_Components!$A$2:$A$27,0)),"")</f>
        <v>1</v>
      </c>
      <c r="U345" s="24">
        <f>IFERROR(INDEX(Cost_Components!$Q$2:$Q$27,MATCH(E345,Cost_Components!$A$2:$A$27,0)),"")</f>
        <v>2023</v>
      </c>
      <c r="V345" s="28">
        <f>1/(1+Calculation_Assumptions!$B$5)^(B345-Calculation_Assumptions!$B$2)</f>
        <v>0.86260878438416411</v>
      </c>
      <c r="W345" s="21">
        <f t="shared" si="56"/>
        <v>9112647.2631488182</v>
      </c>
      <c r="X345" s="21">
        <f t="shared" si="57"/>
        <v>12440939.676180677</v>
      </c>
      <c r="Y345" s="21">
        <f t="shared" si="58"/>
        <v>3328292.4130318603</v>
      </c>
      <c r="Z345" s="15">
        <f>IFERROR(INDEX(Cost_Components!$T$2:$T$27,MATCH(E345,Cost_Components!$A$2:$A$27,0)),"")</f>
        <v>0.8</v>
      </c>
      <c r="AA345" s="24">
        <f>IFERROR(INDEX(Cost_Components!$U$2:$U$27,MATCH(E345,Cost_Components!$A$2:$A$27,0)),"")</f>
        <v>2025</v>
      </c>
      <c r="AB345" s="24">
        <f>IFERROR(INDEX(Cost_Components!$V$2:$V$27,MATCH(E345,Cost_Components!$A$2:$A$27,0)),"")</f>
        <v>2050</v>
      </c>
      <c r="AC345" s="24">
        <f>IFERROR(INDEX(Cost_Components!$M$2:$M$27,MATCH(E345,Cost_Components!$A$2:$A$27,0)),"")</f>
        <v>30</v>
      </c>
      <c r="AD345" s="24">
        <f>IFERROR(INDEX(Cost_Components!$N$2:$N$27,MATCH(E345,Cost_Components!$A$2:$A$27,0)),"")</f>
        <v>95</v>
      </c>
      <c r="AE345" s="14" t="str">
        <f>IFERROR(INDEX(Cost_Components!$O$2:$O$27,MATCH(E345,Cost_Components!$A$2:$A$27,0)),"")</f>
        <v>Both</v>
      </c>
      <c r="AF345" s="11">
        <v>5833993.8058765</v>
      </c>
      <c r="AG345" s="11">
        <v>5831965.9874699097</v>
      </c>
      <c r="AH345" s="21">
        <f t="shared" si="59"/>
        <v>1</v>
      </c>
    </row>
    <row r="346" spans="1:34" hidden="1">
      <c r="A346" t="s">
        <v>197</v>
      </c>
      <c r="B346" s="18">
        <v>2031</v>
      </c>
      <c r="C346" t="s">
        <v>197</v>
      </c>
      <c r="D346" t="s">
        <v>177</v>
      </c>
      <c r="E346" s="20" t="s">
        <v>289</v>
      </c>
      <c r="F346" s="20" t="s">
        <v>290</v>
      </c>
      <c r="G346" s="20" t="s">
        <v>201</v>
      </c>
      <c r="H346" s="20" t="s">
        <v>192</v>
      </c>
      <c r="I346" s="20" t="s">
        <v>264</v>
      </c>
      <c r="J346" s="15">
        <f>IFERROR(INDEX(Cost_Components!$K$2:$K$27,MATCH(E346,Cost_Components!$A$2:$A$27,0)),"")</f>
        <v>0.2</v>
      </c>
      <c r="K346" s="15">
        <f t="shared" si="50"/>
        <v>0.44192307692307692</v>
      </c>
      <c r="L346" s="15">
        <f>IFERROR(INDEX(Cost_Components!$S$2:$S$27,MATCH(E346,Cost_Components!$A$2:$A$27,0)),"")</f>
        <v>0.31</v>
      </c>
      <c r="M346" s="26">
        <f>IFERROR(INDEX(Cost_Components!$L$2:$L$27,MATCH(E346,Cost_Components!$A$2:$A$27,0)),"")</f>
        <v>1</v>
      </c>
      <c r="N346" s="27">
        <f>IFERROR(INDEX(Cost_Components!$P$2:$P$27,MATCH(E346,Cost_Components!$A$2:$A$27,0)),"")</f>
        <v>29.216218999999999</v>
      </c>
      <c r="O346" s="21">
        <f t="shared" si="51"/>
        <v>1190831.33704509</v>
      </c>
      <c r="P346" s="21">
        <f t="shared" si="52"/>
        <v>1190292.3125829461</v>
      </c>
      <c r="Q346" s="21">
        <f t="shared" si="53"/>
        <v>10780510.672316341</v>
      </c>
      <c r="R346" s="21">
        <f t="shared" si="54"/>
        <v>15375206.121658774</v>
      </c>
      <c r="S346" s="21">
        <f t="shared" si="55"/>
        <v>4594695.4493424334</v>
      </c>
      <c r="T346" s="14">
        <f>IFERROR(INDEX(Cost_Components!$R$2:$R$27,MATCH(E346,Cost_Components!$A$2:$A$27,0)),"")</f>
        <v>1</v>
      </c>
      <c r="U346" s="24">
        <f>IFERROR(INDEX(Cost_Components!$Q$2:$Q$27,MATCH(E346,Cost_Components!$A$2:$A$27,0)),"")</f>
        <v>2023</v>
      </c>
      <c r="V346" s="28">
        <f>1/(1+Calculation_Assumptions!$B$5)^(B346-Calculation_Assumptions!$B$2)</f>
        <v>0.83748425668365445</v>
      </c>
      <c r="W346" s="21">
        <f t="shared" si="56"/>
        <v>9028507.9670750536</v>
      </c>
      <c r="X346" s="21">
        <f t="shared" si="57"/>
        <v>12876493.070155373</v>
      </c>
      <c r="Y346" s="21">
        <f t="shared" si="58"/>
        <v>3847985.1030803174</v>
      </c>
      <c r="Z346" s="15">
        <f>IFERROR(INDEX(Cost_Components!$T$2:$T$27,MATCH(E346,Cost_Components!$A$2:$A$27,0)),"")</f>
        <v>0.8</v>
      </c>
      <c r="AA346" s="24">
        <f>IFERROR(INDEX(Cost_Components!$U$2:$U$27,MATCH(E346,Cost_Components!$A$2:$A$27,0)),"")</f>
        <v>2025</v>
      </c>
      <c r="AB346" s="24">
        <f>IFERROR(INDEX(Cost_Components!$V$2:$V$27,MATCH(E346,Cost_Components!$A$2:$A$27,0)),"")</f>
        <v>2050</v>
      </c>
      <c r="AC346" s="24">
        <f>IFERROR(INDEX(Cost_Components!$M$2:$M$27,MATCH(E346,Cost_Components!$A$2:$A$27,0)),"")</f>
        <v>30</v>
      </c>
      <c r="AD346" s="24">
        <f>IFERROR(INDEX(Cost_Components!$N$2:$N$27,MATCH(E346,Cost_Components!$A$2:$A$27,0)),"")</f>
        <v>95</v>
      </c>
      <c r="AE346" s="14" t="str">
        <f>IFERROR(INDEX(Cost_Components!$O$2:$O$27,MATCH(E346,Cost_Components!$A$2:$A$27,0)),"")</f>
        <v>Both</v>
      </c>
      <c r="AF346" s="11">
        <v>5954156.6852254504</v>
      </c>
      <c r="AG346" s="11">
        <v>5951461.56291473</v>
      </c>
      <c r="AH346" s="21">
        <f t="shared" si="59"/>
        <v>1</v>
      </c>
    </row>
    <row r="347" spans="1:34" hidden="1">
      <c r="A347" t="s">
        <v>197</v>
      </c>
      <c r="B347" s="18">
        <v>2032</v>
      </c>
      <c r="C347" t="s">
        <v>197</v>
      </c>
      <c r="D347" t="s">
        <v>177</v>
      </c>
      <c r="E347" s="20" t="s">
        <v>289</v>
      </c>
      <c r="F347" s="20" t="s">
        <v>290</v>
      </c>
      <c r="G347" s="20" t="s">
        <v>201</v>
      </c>
      <c r="H347" s="20" t="s">
        <v>192</v>
      </c>
      <c r="I347" s="20" t="s">
        <v>264</v>
      </c>
      <c r="J347" s="15">
        <f>IFERROR(INDEX(Cost_Components!$K$2:$K$27,MATCH(E347,Cost_Components!$A$2:$A$27,0)),"")</f>
        <v>0.2</v>
      </c>
      <c r="K347" s="15">
        <f t="shared" si="50"/>
        <v>0.46076923076923082</v>
      </c>
      <c r="L347" s="15">
        <f>IFERROR(INDEX(Cost_Components!$S$2:$S$27,MATCH(E347,Cost_Components!$A$2:$A$27,0)),"")</f>
        <v>0.31</v>
      </c>
      <c r="M347" s="26">
        <f>IFERROR(INDEX(Cost_Components!$L$2:$L$27,MATCH(E347,Cost_Components!$A$2:$A$27,0)),"")</f>
        <v>1</v>
      </c>
      <c r="N347" s="27">
        <f>IFERROR(INDEX(Cost_Components!$P$2:$P$27,MATCH(E347,Cost_Components!$A$2:$A$27,0)),"")</f>
        <v>29.216218999999999</v>
      </c>
      <c r="O347" s="21">
        <f t="shared" si="51"/>
        <v>1214468.817976298</v>
      </c>
      <c r="P347" s="21">
        <f t="shared" si="52"/>
        <v>1213778.436165842</v>
      </c>
      <c r="Q347" s="21">
        <f t="shared" si="53"/>
        <v>10993225.148634616</v>
      </c>
      <c r="R347" s="21">
        <f t="shared" si="54"/>
        <v>16349099.989111792</v>
      </c>
      <c r="S347" s="21">
        <f t="shared" si="55"/>
        <v>5355874.840477176</v>
      </c>
      <c r="T347" s="14">
        <f>IFERROR(INDEX(Cost_Components!$R$2:$R$27,MATCH(E347,Cost_Components!$A$2:$A$27,0)),"")</f>
        <v>1</v>
      </c>
      <c r="U347" s="24">
        <f>IFERROR(INDEX(Cost_Components!$Q$2:$Q$27,MATCH(E347,Cost_Components!$A$2:$A$27,0)),"")</f>
        <v>2023</v>
      </c>
      <c r="V347" s="28">
        <f>1/(1+Calculation_Assumptions!$B$5)^(B347-Calculation_Assumptions!$B$2)</f>
        <v>0.81309151134335378</v>
      </c>
      <c r="W347" s="21">
        <f t="shared" si="56"/>
        <v>8938498.050641086</v>
      </c>
      <c r="X347" s="21">
        <f t="shared" si="57"/>
        <v>13293314.419250516</v>
      </c>
      <c r="Y347" s="21">
        <f t="shared" si="58"/>
        <v>4354816.3686094312</v>
      </c>
      <c r="Z347" s="15">
        <f>IFERROR(INDEX(Cost_Components!$T$2:$T$27,MATCH(E347,Cost_Components!$A$2:$A$27,0)),"")</f>
        <v>0.8</v>
      </c>
      <c r="AA347" s="24">
        <f>IFERROR(INDEX(Cost_Components!$U$2:$U$27,MATCH(E347,Cost_Components!$A$2:$A$27,0)),"")</f>
        <v>2025</v>
      </c>
      <c r="AB347" s="24">
        <f>IFERROR(INDEX(Cost_Components!$V$2:$V$27,MATCH(E347,Cost_Components!$A$2:$A$27,0)),"")</f>
        <v>2050</v>
      </c>
      <c r="AC347" s="24">
        <f>IFERROR(INDEX(Cost_Components!$M$2:$M$27,MATCH(E347,Cost_Components!$A$2:$A$27,0)),"")</f>
        <v>30</v>
      </c>
      <c r="AD347" s="24">
        <f>IFERROR(INDEX(Cost_Components!$N$2:$N$27,MATCH(E347,Cost_Components!$A$2:$A$27,0)),"")</f>
        <v>95</v>
      </c>
      <c r="AE347" s="14" t="str">
        <f>IFERROR(INDEX(Cost_Components!$O$2:$O$27,MATCH(E347,Cost_Components!$A$2:$A$27,0)),"")</f>
        <v>Both</v>
      </c>
      <c r="AF347" s="11">
        <v>6072344.08988149</v>
      </c>
      <c r="AG347" s="11">
        <v>6068892.1808292102</v>
      </c>
      <c r="AH347" s="21">
        <f t="shared" si="59"/>
        <v>1</v>
      </c>
    </row>
    <row r="348" spans="1:34" hidden="1">
      <c r="A348" t="s">
        <v>197</v>
      </c>
      <c r="B348" s="18">
        <v>2033</v>
      </c>
      <c r="C348" t="s">
        <v>197</v>
      </c>
      <c r="D348" t="s">
        <v>177</v>
      </c>
      <c r="E348" s="20" t="s">
        <v>289</v>
      </c>
      <c r="F348" s="20" t="s">
        <v>290</v>
      </c>
      <c r="G348" s="20" t="s">
        <v>201</v>
      </c>
      <c r="H348" s="20" t="s">
        <v>192</v>
      </c>
      <c r="I348" s="20" t="s">
        <v>264</v>
      </c>
      <c r="J348" s="15">
        <f>IFERROR(INDEX(Cost_Components!$K$2:$K$27,MATCH(E348,Cost_Components!$A$2:$A$27,0)),"")</f>
        <v>0.2</v>
      </c>
      <c r="K348" s="15">
        <f t="shared" si="50"/>
        <v>0.47961538461538467</v>
      </c>
      <c r="L348" s="15">
        <f>IFERROR(INDEX(Cost_Components!$S$2:$S$27,MATCH(E348,Cost_Components!$A$2:$A$27,0)),"")</f>
        <v>0.31</v>
      </c>
      <c r="M348" s="26">
        <f>IFERROR(INDEX(Cost_Components!$L$2:$L$27,MATCH(E348,Cost_Components!$A$2:$A$27,0)),"")</f>
        <v>1</v>
      </c>
      <c r="N348" s="27">
        <f>IFERROR(INDEX(Cost_Components!$P$2:$P$27,MATCH(E348,Cost_Components!$A$2:$A$27,0)),"")</f>
        <v>29.216218999999999</v>
      </c>
      <c r="O348" s="21">
        <f t="shared" si="51"/>
        <v>1237648.2425245361</v>
      </c>
      <c r="P348" s="21">
        <f t="shared" si="52"/>
        <v>1236789.2477787901</v>
      </c>
      <c r="Q348" s="21">
        <f t="shared" si="53"/>
        <v>11201634.711184623</v>
      </c>
      <c r="R348" s="21">
        <f t="shared" si="54"/>
        <v>17342605.544964142</v>
      </c>
      <c r="S348" s="21">
        <f t="shared" si="55"/>
        <v>6140970.8337795194</v>
      </c>
      <c r="T348" s="14">
        <f>IFERROR(INDEX(Cost_Components!$R$2:$R$27,MATCH(E348,Cost_Components!$A$2:$A$27,0)),"")</f>
        <v>1</v>
      </c>
      <c r="U348" s="24">
        <f>IFERROR(INDEX(Cost_Components!$Q$2:$Q$27,MATCH(E348,Cost_Components!$A$2:$A$27,0)),"")</f>
        <v>2023</v>
      </c>
      <c r="V348" s="28">
        <f>1/(1+Calculation_Assumptions!$B$5)^(B348-Calculation_Assumptions!$B$2)</f>
        <v>0.78940923431393573</v>
      </c>
      <c r="W348" s="21">
        <f t="shared" si="56"/>
        <v>8842673.8804206569</v>
      </c>
      <c r="X348" s="21">
        <f t="shared" si="57"/>
        <v>13690412.96425876</v>
      </c>
      <c r="Y348" s="21">
        <f t="shared" si="58"/>
        <v>4847739.0838381015</v>
      </c>
      <c r="Z348" s="15">
        <f>IFERROR(INDEX(Cost_Components!$T$2:$T$27,MATCH(E348,Cost_Components!$A$2:$A$27,0)),"")</f>
        <v>0.8</v>
      </c>
      <c r="AA348" s="24">
        <f>IFERROR(INDEX(Cost_Components!$U$2:$U$27,MATCH(E348,Cost_Components!$A$2:$A$27,0)),"")</f>
        <v>2025</v>
      </c>
      <c r="AB348" s="24">
        <f>IFERROR(INDEX(Cost_Components!$V$2:$V$27,MATCH(E348,Cost_Components!$A$2:$A$27,0)),"")</f>
        <v>2050</v>
      </c>
      <c r="AC348" s="24">
        <f>IFERROR(INDEX(Cost_Components!$M$2:$M$27,MATCH(E348,Cost_Components!$A$2:$A$27,0)),"")</f>
        <v>30</v>
      </c>
      <c r="AD348" s="24">
        <f>IFERROR(INDEX(Cost_Components!$N$2:$N$27,MATCH(E348,Cost_Components!$A$2:$A$27,0)),"")</f>
        <v>95</v>
      </c>
      <c r="AE348" s="14" t="str">
        <f>IFERROR(INDEX(Cost_Components!$O$2:$O$27,MATCH(E348,Cost_Components!$A$2:$A$27,0)),"")</f>
        <v>Both</v>
      </c>
      <c r="AF348" s="11">
        <v>6188241.2126226798</v>
      </c>
      <c r="AG348" s="11">
        <v>6183946.2388939504</v>
      </c>
      <c r="AH348" s="21">
        <f t="shared" si="59"/>
        <v>1</v>
      </c>
    </row>
    <row r="349" spans="1:34" hidden="1">
      <c r="A349" t="s">
        <v>197</v>
      </c>
      <c r="B349" s="18">
        <v>2034</v>
      </c>
      <c r="C349" t="s">
        <v>197</v>
      </c>
      <c r="D349" t="s">
        <v>177</v>
      </c>
      <c r="E349" s="20" t="s">
        <v>289</v>
      </c>
      <c r="F349" s="20" t="s">
        <v>290</v>
      </c>
      <c r="G349" s="20" t="s">
        <v>201</v>
      </c>
      <c r="H349" s="20" t="s">
        <v>192</v>
      </c>
      <c r="I349" s="20" t="s">
        <v>264</v>
      </c>
      <c r="J349" s="15">
        <f>IFERROR(INDEX(Cost_Components!$K$2:$K$27,MATCH(E349,Cost_Components!$A$2:$A$27,0)),"")</f>
        <v>0.2</v>
      </c>
      <c r="K349" s="15">
        <f t="shared" si="50"/>
        <v>0.49846153846153851</v>
      </c>
      <c r="L349" s="15">
        <f>IFERROR(INDEX(Cost_Components!$S$2:$S$27,MATCH(E349,Cost_Components!$A$2:$A$27,0)),"")</f>
        <v>0.31</v>
      </c>
      <c r="M349" s="26">
        <f>IFERROR(INDEX(Cost_Components!$L$2:$L$27,MATCH(E349,Cost_Components!$A$2:$A$27,0)),"")</f>
        <v>1</v>
      </c>
      <c r="N349" s="27">
        <f>IFERROR(INDEX(Cost_Components!$P$2:$P$27,MATCH(E349,Cost_Components!$A$2:$A$27,0)),"")</f>
        <v>29.216218999999999</v>
      </c>
      <c r="O349" s="21">
        <f t="shared" si="51"/>
        <v>1260330.4546742281</v>
      </c>
      <c r="P349" s="21">
        <f t="shared" si="52"/>
        <v>1259286.2600290061</v>
      </c>
      <c r="Q349" s="21">
        <f t="shared" si="53"/>
        <v>11405390.778576499</v>
      </c>
      <c r="R349" s="21">
        <f t="shared" si="54"/>
        <v>18354395.917948786</v>
      </c>
      <c r="S349" s="21">
        <f t="shared" si="55"/>
        <v>6949005.1393722873</v>
      </c>
      <c r="T349" s="14">
        <f>IFERROR(INDEX(Cost_Components!$R$2:$R$27,MATCH(E349,Cost_Components!$A$2:$A$27,0)),"")</f>
        <v>1</v>
      </c>
      <c r="U349" s="24">
        <f>IFERROR(INDEX(Cost_Components!$Q$2:$Q$27,MATCH(E349,Cost_Components!$A$2:$A$27,0)),"")</f>
        <v>2023</v>
      </c>
      <c r="V349" s="28">
        <f>1/(1+Calculation_Assumptions!$B$5)^(B349-Calculation_Assumptions!$B$2)</f>
        <v>0.76641673234362695</v>
      </c>
      <c r="W349" s="21">
        <f t="shared" si="56"/>
        <v>8741282.3316187356</v>
      </c>
      <c r="X349" s="21">
        <f t="shared" si="57"/>
        <v>14067116.143575514</v>
      </c>
      <c r="Y349" s="21">
        <f t="shared" si="58"/>
        <v>5325833.8119567782</v>
      </c>
      <c r="Z349" s="15">
        <f>IFERROR(INDEX(Cost_Components!$T$2:$T$27,MATCH(E349,Cost_Components!$A$2:$A$27,0)),"")</f>
        <v>0.8</v>
      </c>
      <c r="AA349" s="24">
        <f>IFERROR(INDEX(Cost_Components!$U$2:$U$27,MATCH(E349,Cost_Components!$A$2:$A$27,0)),"")</f>
        <v>2025</v>
      </c>
      <c r="AB349" s="24">
        <f>IFERROR(INDEX(Cost_Components!$V$2:$V$27,MATCH(E349,Cost_Components!$A$2:$A$27,0)),"")</f>
        <v>2050</v>
      </c>
      <c r="AC349" s="24">
        <f>IFERROR(INDEX(Cost_Components!$M$2:$M$27,MATCH(E349,Cost_Components!$A$2:$A$27,0)),"")</f>
        <v>30</v>
      </c>
      <c r="AD349" s="24">
        <f>IFERROR(INDEX(Cost_Components!$N$2:$N$27,MATCH(E349,Cost_Components!$A$2:$A$27,0)),"")</f>
        <v>95</v>
      </c>
      <c r="AE349" s="14" t="str">
        <f>IFERROR(INDEX(Cost_Components!$O$2:$O$27,MATCH(E349,Cost_Components!$A$2:$A$27,0)),"")</f>
        <v>Both</v>
      </c>
      <c r="AF349" s="11">
        <v>6301652.2733711395</v>
      </c>
      <c r="AG349" s="11">
        <v>6296431.30014503</v>
      </c>
      <c r="AH349" s="21">
        <f t="shared" si="59"/>
        <v>1</v>
      </c>
    </row>
    <row r="350" spans="1:34" hidden="1">
      <c r="A350" t="s">
        <v>197</v>
      </c>
      <c r="B350" s="18">
        <v>2035</v>
      </c>
      <c r="C350" t="s">
        <v>197</v>
      </c>
      <c r="D350" t="s">
        <v>177</v>
      </c>
      <c r="E350" s="20" t="s">
        <v>289</v>
      </c>
      <c r="F350" s="20" t="s">
        <v>290</v>
      </c>
      <c r="G350" s="20" t="s">
        <v>201</v>
      </c>
      <c r="H350" s="20" t="s">
        <v>192</v>
      </c>
      <c r="I350" s="20" t="s">
        <v>264</v>
      </c>
      <c r="J350" s="15">
        <f>IFERROR(INDEX(Cost_Components!$K$2:$K$27,MATCH(E350,Cost_Components!$A$2:$A$27,0)),"")</f>
        <v>0.2</v>
      </c>
      <c r="K350" s="15">
        <f t="shared" si="50"/>
        <v>0.51730769230769236</v>
      </c>
      <c r="L350" s="15">
        <f>IFERROR(INDEX(Cost_Components!$S$2:$S$27,MATCH(E350,Cost_Components!$A$2:$A$27,0)),"")</f>
        <v>0.31</v>
      </c>
      <c r="M350" s="26">
        <f>IFERROR(INDEX(Cost_Components!$L$2:$L$27,MATCH(E350,Cost_Components!$A$2:$A$27,0)),"")</f>
        <v>1</v>
      </c>
      <c r="N350" s="27">
        <f>IFERROR(INDEX(Cost_Components!$P$2:$P$27,MATCH(E350,Cost_Components!$A$2:$A$27,0)),"")</f>
        <v>29.216218999999999</v>
      </c>
      <c r="O350" s="21">
        <f t="shared" si="51"/>
        <v>1282514.9942089003</v>
      </c>
      <c r="P350" s="21">
        <f t="shared" si="52"/>
        <v>1281269.6540089762</v>
      </c>
      <c r="Q350" s="21">
        <f t="shared" si="53"/>
        <v>11604494.990969947</v>
      </c>
      <c r="R350" s="21">
        <f t="shared" si="54"/>
        <v>19383642.837092247</v>
      </c>
      <c r="S350" s="21">
        <f t="shared" si="55"/>
        <v>7779147.8461223003</v>
      </c>
      <c r="T350" s="14">
        <f>IFERROR(INDEX(Cost_Components!$R$2:$R$27,MATCH(E350,Cost_Components!$A$2:$A$27,0)),"")</f>
        <v>1</v>
      </c>
      <c r="U350" s="24">
        <f>IFERROR(INDEX(Cost_Components!$Q$2:$Q$27,MATCH(E350,Cost_Components!$A$2:$A$27,0)),"")</f>
        <v>2023</v>
      </c>
      <c r="V350" s="28">
        <f>1/(1+Calculation_Assumptions!$B$5)^(B350-Calculation_Assumptions!$B$2)</f>
        <v>0.74409391489672516</v>
      </c>
      <c r="W350" s="21">
        <f t="shared" si="56"/>
        <v>8634834.1082302649</v>
      </c>
      <c r="X350" s="21">
        <f t="shared" si="57"/>
        <v>14423250.683611834</v>
      </c>
      <c r="Y350" s="21">
        <f t="shared" si="58"/>
        <v>5788416.5753815696</v>
      </c>
      <c r="Z350" s="15">
        <f>IFERROR(INDEX(Cost_Components!$T$2:$T$27,MATCH(E350,Cost_Components!$A$2:$A$27,0)),"")</f>
        <v>0.8</v>
      </c>
      <c r="AA350" s="24">
        <f>IFERROR(INDEX(Cost_Components!$U$2:$U$27,MATCH(E350,Cost_Components!$A$2:$A$27,0)),"")</f>
        <v>2025</v>
      </c>
      <c r="AB350" s="24">
        <f>IFERROR(INDEX(Cost_Components!$V$2:$V$27,MATCH(E350,Cost_Components!$A$2:$A$27,0)),"")</f>
        <v>2050</v>
      </c>
      <c r="AC350" s="24">
        <f>IFERROR(INDEX(Cost_Components!$M$2:$M$27,MATCH(E350,Cost_Components!$A$2:$A$27,0)),"")</f>
        <v>30</v>
      </c>
      <c r="AD350" s="24">
        <f>IFERROR(INDEX(Cost_Components!$N$2:$N$27,MATCH(E350,Cost_Components!$A$2:$A$27,0)),"")</f>
        <v>95</v>
      </c>
      <c r="AE350" s="14" t="str">
        <f>IFERROR(INDEX(Cost_Components!$O$2:$O$27,MATCH(E350,Cost_Components!$A$2:$A$27,0)),"")</f>
        <v>Both</v>
      </c>
      <c r="AF350" s="11">
        <v>6412574.9710445004</v>
      </c>
      <c r="AG350" s="11">
        <v>6406348.27004488</v>
      </c>
      <c r="AH350" s="21">
        <f t="shared" si="59"/>
        <v>1</v>
      </c>
    </row>
    <row r="351" spans="1:34" hidden="1">
      <c r="A351" t="s">
        <v>197</v>
      </c>
      <c r="B351" s="18">
        <v>2036</v>
      </c>
      <c r="C351" t="s">
        <v>197</v>
      </c>
      <c r="D351" t="s">
        <v>177</v>
      </c>
      <c r="E351" s="20" t="s">
        <v>289</v>
      </c>
      <c r="F351" s="20" t="s">
        <v>290</v>
      </c>
      <c r="G351" s="20" t="s">
        <v>201</v>
      </c>
      <c r="H351" s="20" t="s">
        <v>192</v>
      </c>
      <c r="I351" s="20" t="s">
        <v>264</v>
      </c>
      <c r="J351" s="15">
        <f>IFERROR(INDEX(Cost_Components!$K$2:$K$27,MATCH(E351,Cost_Components!$A$2:$A$27,0)),"")</f>
        <v>0.2</v>
      </c>
      <c r="K351" s="15">
        <f t="shared" si="50"/>
        <v>0.5361538461538462</v>
      </c>
      <c r="L351" s="15">
        <f>IFERROR(INDEX(Cost_Components!$S$2:$S$27,MATCH(E351,Cost_Components!$A$2:$A$27,0)),"")</f>
        <v>0.31</v>
      </c>
      <c r="M351" s="26">
        <f>IFERROR(INDEX(Cost_Components!$L$2:$L$27,MATCH(E351,Cost_Components!$A$2:$A$27,0)),"")</f>
        <v>1</v>
      </c>
      <c r="N351" s="27">
        <f>IFERROR(INDEX(Cost_Components!$P$2:$P$27,MATCH(E351,Cost_Components!$A$2:$A$27,0)),"")</f>
        <v>29.216218999999999</v>
      </c>
      <c r="O351" s="21">
        <f t="shared" si="51"/>
        <v>1304241.6920203241</v>
      </c>
      <c r="P351" s="21">
        <f t="shared" si="52"/>
        <v>1302779.9398582922</v>
      </c>
      <c r="Q351" s="21">
        <f t="shared" si="53"/>
        <v>11799314.249829074</v>
      </c>
      <c r="R351" s="21">
        <f t="shared" si="54"/>
        <v>20430148.15337573</v>
      </c>
      <c r="S351" s="21">
        <f t="shared" si="55"/>
        <v>8630833.9035466556</v>
      </c>
      <c r="T351" s="14">
        <f>IFERROR(INDEX(Cost_Components!$R$2:$R$27,MATCH(E351,Cost_Components!$A$2:$A$27,0)),"")</f>
        <v>1</v>
      </c>
      <c r="U351" s="24">
        <f>IFERROR(INDEX(Cost_Components!$Q$2:$Q$27,MATCH(E351,Cost_Components!$A$2:$A$27,0)),"")</f>
        <v>2023</v>
      </c>
      <c r="V351" s="28">
        <f>1/(1+Calculation_Assumptions!$B$5)^(B351-Calculation_Assumptions!$B$2)</f>
        <v>0.72242127659876232</v>
      </c>
      <c r="W351" s="21">
        <f t="shared" si="56"/>
        <v>8524075.6633514874</v>
      </c>
      <c r="X351" s="21">
        <f t="shared" si="57"/>
        <v>14759173.710063541</v>
      </c>
      <c r="Y351" s="21">
        <f t="shared" si="58"/>
        <v>6235098.0467120539</v>
      </c>
      <c r="Z351" s="15">
        <f>IFERROR(INDEX(Cost_Components!$T$2:$T$27,MATCH(E351,Cost_Components!$A$2:$A$27,0)),"")</f>
        <v>0.8</v>
      </c>
      <c r="AA351" s="24">
        <f>IFERROR(INDEX(Cost_Components!$U$2:$U$27,MATCH(E351,Cost_Components!$A$2:$A$27,0)),"")</f>
        <v>2025</v>
      </c>
      <c r="AB351" s="24">
        <f>IFERROR(INDEX(Cost_Components!$V$2:$V$27,MATCH(E351,Cost_Components!$A$2:$A$27,0)),"")</f>
        <v>2050</v>
      </c>
      <c r="AC351" s="24">
        <f>IFERROR(INDEX(Cost_Components!$M$2:$M$27,MATCH(E351,Cost_Components!$A$2:$A$27,0)),"")</f>
        <v>30</v>
      </c>
      <c r="AD351" s="24">
        <f>IFERROR(INDEX(Cost_Components!$N$2:$N$27,MATCH(E351,Cost_Components!$A$2:$A$27,0)),"")</f>
        <v>95</v>
      </c>
      <c r="AE351" s="14" t="str">
        <f>IFERROR(INDEX(Cost_Components!$O$2:$O$27,MATCH(E351,Cost_Components!$A$2:$A$27,0)),"")</f>
        <v>Both</v>
      </c>
      <c r="AF351" s="11">
        <v>6521208.4601016203</v>
      </c>
      <c r="AG351" s="11">
        <v>6513899.6992914602</v>
      </c>
      <c r="AH351" s="21">
        <f t="shared" si="59"/>
        <v>1</v>
      </c>
    </row>
    <row r="352" spans="1:34" hidden="1">
      <c r="A352" t="s">
        <v>197</v>
      </c>
      <c r="B352" s="18">
        <v>2037</v>
      </c>
      <c r="C352" t="s">
        <v>197</v>
      </c>
      <c r="D352" t="s">
        <v>177</v>
      </c>
      <c r="E352" s="20" t="s">
        <v>289</v>
      </c>
      <c r="F352" s="20" t="s">
        <v>290</v>
      </c>
      <c r="G352" s="20" t="s">
        <v>201</v>
      </c>
      <c r="H352" s="20" t="s">
        <v>192</v>
      </c>
      <c r="I352" s="20" t="s">
        <v>264</v>
      </c>
      <c r="J352" s="15">
        <f>IFERROR(INDEX(Cost_Components!$K$2:$K$27,MATCH(E352,Cost_Components!$A$2:$A$27,0)),"")</f>
        <v>0.2</v>
      </c>
      <c r="K352" s="15">
        <f t="shared" si="50"/>
        <v>0.55500000000000005</v>
      </c>
      <c r="L352" s="15">
        <f>IFERROR(INDEX(Cost_Components!$S$2:$S$27,MATCH(E352,Cost_Components!$A$2:$A$27,0)),"")</f>
        <v>0.31</v>
      </c>
      <c r="M352" s="26">
        <f>IFERROR(INDEX(Cost_Components!$L$2:$L$27,MATCH(E352,Cost_Components!$A$2:$A$27,0)),"")</f>
        <v>1</v>
      </c>
      <c r="N352" s="27">
        <f>IFERROR(INDEX(Cost_Components!$P$2:$P$27,MATCH(E352,Cost_Components!$A$2:$A$27,0)),"")</f>
        <v>29.216218999999999</v>
      </c>
      <c r="O352" s="21">
        <f t="shared" si="51"/>
        <v>1325470.4798990681</v>
      </c>
      <c r="P352" s="21">
        <f t="shared" si="52"/>
        <v>1323777.749244608</v>
      </c>
      <c r="Q352" s="21">
        <f t="shared" si="53"/>
        <v>11989491.995069841</v>
      </c>
      <c r="R352" s="21">
        <f t="shared" si="54"/>
        <v>21492505.879415281</v>
      </c>
      <c r="S352" s="21">
        <f t="shared" si="55"/>
        <v>9503013.8843454402</v>
      </c>
      <c r="T352" s="14">
        <f>IFERROR(INDEX(Cost_Components!$R$2:$R$27,MATCH(E352,Cost_Components!$A$2:$A$27,0)),"")</f>
        <v>1</v>
      </c>
      <c r="U352" s="24">
        <f>IFERROR(INDEX(Cost_Components!$Q$2:$Q$27,MATCH(E352,Cost_Components!$A$2:$A$27,0)),"")</f>
        <v>2023</v>
      </c>
      <c r="V352" s="28">
        <f>1/(1+Calculation_Assumptions!$B$5)^(B352-Calculation_Assumptions!$B$2)</f>
        <v>0.70137988019297326</v>
      </c>
      <c r="W352" s="21">
        <f t="shared" si="56"/>
        <v>8409188.459076697</v>
      </c>
      <c r="X352" s="21">
        <f t="shared" si="57"/>
        <v>15074411.198751064</v>
      </c>
      <c r="Y352" s="21">
        <f t="shared" si="58"/>
        <v>6665222.7396743661</v>
      </c>
      <c r="Z352" s="15">
        <f>IFERROR(INDEX(Cost_Components!$T$2:$T$27,MATCH(E352,Cost_Components!$A$2:$A$27,0)),"")</f>
        <v>0.8</v>
      </c>
      <c r="AA352" s="24">
        <f>IFERROR(INDEX(Cost_Components!$U$2:$U$27,MATCH(E352,Cost_Components!$A$2:$A$27,0)),"")</f>
        <v>2025</v>
      </c>
      <c r="AB352" s="24">
        <f>IFERROR(INDEX(Cost_Components!$V$2:$V$27,MATCH(E352,Cost_Components!$A$2:$A$27,0)),"")</f>
        <v>2050</v>
      </c>
      <c r="AC352" s="24">
        <f>IFERROR(INDEX(Cost_Components!$M$2:$M$27,MATCH(E352,Cost_Components!$A$2:$A$27,0)),"")</f>
        <v>30</v>
      </c>
      <c r="AD352" s="24">
        <f>IFERROR(INDEX(Cost_Components!$N$2:$N$27,MATCH(E352,Cost_Components!$A$2:$A$27,0)),"")</f>
        <v>95</v>
      </c>
      <c r="AE352" s="14" t="str">
        <f>IFERROR(INDEX(Cost_Components!$O$2:$O$27,MATCH(E352,Cost_Components!$A$2:$A$27,0)),"")</f>
        <v>Both</v>
      </c>
      <c r="AF352" s="11">
        <v>6627352.39949534</v>
      </c>
      <c r="AG352" s="11">
        <v>6618888.7462230399</v>
      </c>
      <c r="AH352" s="21">
        <f t="shared" si="59"/>
        <v>1</v>
      </c>
    </row>
    <row r="353" spans="1:34" hidden="1">
      <c r="A353" t="s">
        <v>197</v>
      </c>
      <c r="B353" s="18">
        <v>2038</v>
      </c>
      <c r="C353" t="s">
        <v>197</v>
      </c>
      <c r="D353" t="s">
        <v>177</v>
      </c>
      <c r="E353" s="20" t="s">
        <v>289</v>
      </c>
      <c r="F353" s="20" t="s">
        <v>290</v>
      </c>
      <c r="G353" s="20" t="s">
        <v>201</v>
      </c>
      <c r="H353" s="20" t="s">
        <v>192</v>
      </c>
      <c r="I353" s="20" t="s">
        <v>264</v>
      </c>
      <c r="J353" s="15">
        <f>IFERROR(INDEX(Cost_Components!$K$2:$K$27,MATCH(E353,Cost_Components!$A$2:$A$27,0)),"")</f>
        <v>0.2</v>
      </c>
      <c r="K353" s="15">
        <f t="shared" si="50"/>
        <v>0.57384615384615389</v>
      </c>
      <c r="L353" s="15">
        <f>IFERROR(INDEX(Cost_Components!$S$2:$S$27,MATCH(E353,Cost_Components!$A$2:$A$27,0)),"")</f>
        <v>0.31</v>
      </c>
      <c r="M353" s="26">
        <f>IFERROR(INDEX(Cost_Components!$L$2:$L$27,MATCH(E353,Cost_Components!$A$2:$A$27,0)),"")</f>
        <v>1</v>
      </c>
      <c r="N353" s="27">
        <f>IFERROR(INDEX(Cost_Components!$P$2:$P$27,MATCH(E353,Cost_Components!$A$2:$A$27,0)),"")</f>
        <v>29.216218999999999</v>
      </c>
      <c r="O353" s="21">
        <f t="shared" si="51"/>
        <v>1346146.495983154</v>
      </c>
      <c r="P353" s="21">
        <f t="shared" si="52"/>
        <v>1344208.9517388882</v>
      </c>
      <c r="Q353" s="21">
        <f t="shared" si="53"/>
        <v>12174537.965886774</v>
      </c>
      <c r="R353" s="21">
        <f t="shared" si="54"/>
        <v>22568973.754779946</v>
      </c>
      <c r="S353" s="21">
        <f t="shared" si="55"/>
        <v>10394435.788893173</v>
      </c>
      <c r="T353" s="14">
        <f>IFERROR(INDEX(Cost_Components!$R$2:$R$27,MATCH(E353,Cost_Components!$A$2:$A$27,0)),"")</f>
        <v>1</v>
      </c>
      <c r="U353" s="24">
        <f>IFERROR(INDEX(Cost_Components!$Q$2:$Q$27,MATCH(E353,Cost_Components!$A$2:$A$27,0)),"")</f>
        <v>2023</v>
      </c>
      <c r="V353" s="28">
        <f>1/(1+Calculation_Assumptions!$B$5)^(B353-Calculation_Assumptions!$B$2)</f>
        <v>0.68095133999317792</v>
      </c>
      <c r="W353" s="21">
        <f t="shared" si="56"/>
        <v>8290267.9416684173</v>
      </c>
      <c r="X353" s="21">
        <f t="shared" si="57"/>
        <v>15368372.920588268</v>
      </c>
      <c r="Y353" s="21">
        <f t="shared" si="58"/>
        <v>7078104.9789198516</v>
      </c>
      <c r="Z353" s="15">
        <f>IFERROR(INDEX(Cost_Components!$T$2:$T$27,MATCH(E353,Cost_Components!$A$2:$A$27,0)),"")</f>
        <v>0.8</v>
      </c>
      <c r="AA353" s="24">
        <f>IFERROR(INDEX(Cost_Components!$U$2:$U$27,MATCH(E353,Cost_Components!$A$2:$A$27,0)),"")</f>
        <v>2025</v>
      </c>
      <c r="AB353" s="24">
        <f>IFERROR(INDEX(Cost_Components!$V$2:$V$27,MATCH(E353,Cost_Components!$A$2:$A$27,0)),"")</f>
        <v>2050</v>
      </c>
      <c r="AC353" s="24">
        <f>IFERROR(INDEX(Cost_Components!$M$2:$M$27,MATCH(E353,Cost_Components!$A$2:$A$27,0)),"")</f>
        <v>30</v>
      </c>
      <c r="AD353" s="24">
        <f>IFERROR(INDEX(Cost_Components!$N$2:$N$27,MATCH(E353,Cost_Components!$A$2:$A$27,0)),"")</f>
        <v>95</v>
      </c>
      <c r="AE353" s="14" t="str">
        <f>IFERROR(INDEX(Cost_Components!$O$2:$O$27,MATCH(E353,Cost_Components!$A$2:$A$27,0)),"")</f>
        <v>Both</v>
      </c>
      <c r="AF353" s="11">
        <v>6730732.4799157698</v>
      </c>
      <c r="AG353" s="11">
        <v>6721044.7586944401</v>
      </c>
      <c r="AH353" s="21">
        <f t="shared" si="59"/>
        <v>1</v>
      </c>
    </row>
    <row r="354" spans="1:34" hidden="1">
      <c r="A354" t="s">
        <v>197</v>
      </c>
      <c r="B354" s="18">
        <v>2039</v>
      </c>
      <c r="C354" t="s">
        <v>197</v>
      </c>
      <c r="D354" t="s">
        <v>177</v>
      </c>
      <c r="E354" s="20" t="s">
        <v>289</v>
      </c>
      <c r="F354" s="20" t="s">
        <v>290</v>
      </c>
      <c r="G354" s="20" t="s">
        <v>201</v>
      </c>
      <c r="H354" s="20" t="s">
        <v>192</v>
      </c>
      <c r="I354" s="20" t="s">
        <v>264</v>
      </c>
      <c r="J354" s="15">
        <f>IFERROR(INDEX(Cost_Components!$K$2:$K$27,MATCH(E354,Cost_Components!$A$2:$A$27,0)),"")</f>
        <v>0.2</v>
      </c>
      <c r="K354" s="15">
        <f t="shared" si="50"/>
        <v>0.59269230769230763</v>
      </c>
      <c r="L354" s="15">
        <f>IFERROR(INDEX(Cost_Components!$S$2:$S$27,MATCH(E354,Cost_Components!$A$2:$A$27,0)),"")</f>
        <v>0.31</v>
      </c>
      <c r="M354" s="26">
        <f>IFERROR(INDEX(Cost_Components!$L$2:$L$27,MATCH(E354,Cost_Components!$A$2:$A$27,0)),"")</f>
        <v>1</v>
      </c>
      <c r="N354" s="27">
        <f>IFERROR(INDEX(Cost_Components!$P$2:$P$27,MATCH(E354,Cost_Components!$A$2:$A$27,0)),"")</f>
        <v>29.216218999999999</v>
      </c>
      <c r="O354" s="21">
        <f t="shared" si="51"/>
        <v>1366242.4132744679</v>
      </c>
      <c r="P354" s="21">
        <f t="shared" si="52"/>
        <v>1364046.9820496221</v>
      </c>
      <c r="Q354" s="21">
        <f t="shared" si="53"/>
        <v>12354211.559693756</v>
      </c>
      <c r="R354" s="21">
        <f t="shared" si="54"/>
        <v>23658165.488330372</v>
      </c>
      <c r="S354" s="21">
        <f t="shared" si="55"/>
        <v>11303953.928636616</v>
      </c>
      <c r="T354" s="14">
        <f>IFERROR(INDEX(Cost_Components!$R$2:$R$27,MATCH(E354,Cost_Components!$A$2:$A$27,0)),"")</f>
        <v>1</v>
      </c>
      <c r="U354" s="24">
        <f>IFERROR(INDEX(Cost_Components!$Q$2:$Q$27,MATCH(E354,Cost_Components!$A$2:$A$27,0)),"")</f>
        <v>2023</v>
      </c>
      <c r="V354" s="28">
        <f>1/(1+Calculation_Assumptions!$B$5)^(B354-Calculation_Assumptions!$B$2)</f>
        <v>0.66111780581861923</v>
      </c>
      <c r="W354" s="21">
        <f t="shared" si="56"/>
        <v>8167589.2389637576</v>
      </c>
      <c r="X354" s="21">
        <f t="shared" si="57"/>
        <v>15640834.457338758</v>
      </c>
      <c r="Y354" s="21">
        <f t="shared" si="58"/>
        <v>7473245.2183750002</v>
      </c>
      <c r="Z354" s="15">
        <f>IFERROR(INDEX(Cost_Components!$T$2:$T$27,MATCH(E354,Cost_Components!$A$2:$A$27,0)),"")</f>
        <v>0.8</v>
      </c>
      <c r="AA354" s="24">
        <f>IFERROR(INDEX(Cost_Components!$U$2:$U$27,MATCH(E354,Cost_Components!$A$2:$A$27,0)),"")</f>
        <v>2025</v>
      </c>
      <c r="AB354" s="24">
        <f>IFERROR(INDEX(Cost_Components!$V$2:$V$27,MATCH(E354,Cost_Components!$A$2:$A$27,0)),"")</f>
        <v>2050</v>
      </c>
      <c r="AC354" s="24">
        <f>IFERROR(INDEX(Cost_Components!$M$2:$M$27,MATCH(E354,Cost_Components!$A$2:$A$27,0)),"")</f>
        <v>30</v>
      </c>
      <c r="AD354" s="24">
        <f>IFERROR(INDEX(Cost_Components!$N$2:$N$27,MATCH(E354,Cost_Components!$A$2:$A$27,0)),"")</f>
        <v>95</v>
      </c>
      <c r="AE354" s="14" t="str">
        <f>IFERROR(INDEX(Cost_Components!$O$2:$O$27,MATCH(E354,Cost_Components!$A$2:$A$27,0)),"")</f>
        <v>Both</v>
      </c>
      <c r="AF354" s="11">
        <v>6831212.0663723396</v>
      </c>
      <c r="AG354" s="11">
        <v>6820234.9102481101</v>
      </c>
      <c r="AH354" s="21">
        <f t="shared" si="59"/>
        <v>1</v>
      </c>
    </row>
    <row r="355" spans="1:34" hidden="1">
      <c r="A355" t="s">
        <v>197</v>
      </c>
      <c r="B355" s="18">
        <v>2040</v>
      </c>
      <c r="C355" t="s">
        <v>197</v>
      </c>
      <c r="D355" t="s">
        <v>177</v>
      </c>
      <c r="E355" s="20" t="s">
        <v>289</v>
      </c>
      <c r="F355" s="20" t="s">
        <v>290</v>
      </c>
      <c r="G355" s="20" t="s">
        <v>201</v>
      </c>
      <c r="H355" s="20" t="s">
        <v>192</v>
      </c>
      <c r="I355" s="20" t="s">
        <v>264</v>
      </c>
      <c r="J355" s="15">
        <f>IFERROR(INDEX(Cost_Components!$K$2:$K$27,MATCH(E355,Cost_Components!$A$2:$A$27,0)),"")</f>
        <v>0.2</v>
      </c>
      <c r="K355" s="15">
        <f t="shared" si="50"/>
        <v>0.61153846153846159</v>
      </c>
      <c r="L355" s="15">
        <f>IFERROR(INDEX(Cost_Components!$S$2:$S$27,MATCH(E355,Cost_Components!$A$2:$A$27,0)),"")</f>
        <v>0.31</v>
      </c>
      <c r="M355" s="26">
        <f>IFERROR(INDEX(Cost_Components!$L$2:$L$27,MATCH(E355,Cost_Components!$A$2:$A$27,0)),"")</f>
        <v>1</v>
      </c>
      <c r="N355" s="27">
        <f>IFERROR(INDEX(Cost_Components!$P$2:$P$27,MATCH(E355,Cost_Components!$A$2:$A$27,0)),"")</f>
        <v>29.216218999999999</v>
      </c>
      <c r="O355" s="21">
        <f t="shared" si="51"/>
        <v>1385783.497139252</v>
      </c>
      <c r="P355" s="21">
        <f t="shared" si="52"/>
        <v>1383317.9406127601</v>
      </c>
      <c r="Q355" s="21">
        <f t="shared" si="53"/>
        <v>12528749.168867132</v>
      </c>
      <c r="R355" s="21">
        <f t="shared" si="54"/>
        <v>24759574.261930753</v>
      </c>
      <c r="S355" s="21">
        <f t="shared" si="55"/>
        <v>12230825.093063621</v>
      </c>
      <c r="T355" s="14">
        <f>IFERROR(INDEX(Cost_Components!$R$2:$R$27,MATCH(E355,Cost_Components!$A$2:$A$27,0)),"")</f>
        <v>1</v>
      </c>
      <c r="U355" s="24">
        <f>IFERROR(INDEX(Cost_Components!$Q$2:$Q$27,MATCH(E355,Cost_Components!$A$2:$A$27,0)),"")</f>
        <v>2023</v>
      </c>
      <c r="V355" s="28">
        <f>1/(1+Calculation_Assumptions!$B$5)^(B355-Calculation_Assumptions!$B$2)</f>
        <v>0.64186194739671765</v>
      </c>
      <c r="W355" s="21">
        <f t="shared" si="56"/>
        <v>8041727.3399740644</v>
      </c>
      <c r="X355" s="21">
        <f t="shared" si="57"/>
        <v>15892228.552476522</v>
      </c>
      <c r="Y355" s="21">
        <f t="shared" si="58"/>
        <v>7850501.2125024563</v>
      </c>
      <c r="Z355" s="15">
        <f>IFERROR(INDEX(Cost_Components!$T$2:$T$27,MATCH(E355,Cost_Components!$A$2:$A$27,0)),"")</f>
        <v>0.8</v>
      </c>
      <c r="AA355" s="24">
        <f>IFERROR(INDEX(Cost_Components!$U$2:$U$27,MATCH(E355,Cost_Components!$A$2:$A$27,0)),"")</f>
        <v>2025</v>
      </c>
      <c r="AB355" s="24">
        <f>IFERROR(INDEX(Cost_Components!$V$2:$V$27,MATCH(E355,Cost_Components!$A$2:$A$27,0)),"")</f>
        <v>2050</v>
      </c>
      <c r="AC355" s="24">
        <f>IFERROR(INDEX(Cost_Components!$M$2:$M$27,MATCH(E355,Cost_Components!$A$2:$A$27,0)),"")</f>
        <v>30</v>
      </c>
      <c r="AD355" s="24">
        <f>IFERROR(INDEX(Cost_Components!$N$2:$N$27,MATCH(E355,Cost_Components!$A$2:$A$27,0)),"")</f>
        <v>95</v>
      </c>
      <c r="AE355" s="14" t="str">
        <f>IFERROR(INDEX(Cost_Components!$O$2:$O$27,MATCH(E355,Cost_Components!$A$2:$A$27,0)),"")</f>
        <v>Both</v>
      </c>
      <c r="AF355" s="11">
        <v>6928917.4856962599</v>
      </c>
      <c r="AG355" s="11">
        <v>6916589.7030638</v>
      </c>
      <c r="AH355" s="21">
        <f t="shared" si="59"/>
        <v>1</v>
      </c>
    </row>
    <row r="356" spans="1:34" hidden="1">
      <c r="A356" t="s">
        <v>197</v>
      </c>
      <c r="B356" s="18">
        <v>2041</v>
      </c>
      <c r="C356" t="s">
        <v>197</v>
      </c>
      <c r="D356" t="s">
        <v>177</v>
      </c>
      <c r="E356" s="20" t="s">
        <v>289</v>
      </c>
      <c r="F356" s="20" t="s">
        <v>290</v>
      </c>
      <c r="G356" s="20" t="s">
        <v>201</v>
      </c>
      <c r="H356" s="20" t="s">
        <v>192</v>
      </c>
      <c r="I356" s="20" t="s">
        <v>264</v>
      </c>
      <c r="J356" s="15">
        <f>IFERROR(INDEX(Cost_Components!$K$2:$K$27,MATCH(E356,Cost_Components!$A$2:$A$27,0)),"")</f>
        <v>0.2</v>
      </c>
      <c r="K356" s="15">
        <f t="shared" si="50"/>
        <v>0.63038461538461543</v>
      </c>
      <c r="L356" s="15">
        <f>IFERROR(INDEX(Cost_Components!$S$2:$S$27,MATCH(E356,Cost_Components!$A$2:$A$27,0)),"")</f>
        <v>0.31</v>
      </c>
      <c r="M356" s="26">
        <f>IFERROR(INDEX(Cost_Components!$L$2:$L$27,MATCH(E356,Cost_Components!$A$2:$A$27,0)),"")</f>
        <v>1</v>
      </c>
      <c r="N356" s="27">
        <f>IFERROR(INDEX(Cost_Components!$P$2:$P$27,MATCH(E356,Cost_Components!$A$2:$A$27,0)),"")</f>
        <v>29.216218999999999</v>
      </c>
      <c r="O356" s="21">
        <f t="shared" si="51"/>
        <v>1404797.71331276</v>
      </c>
      <c r="P356" s="21">
        <f t="shared" si="52"/>
        <v>1402050.6689237403</v>
      </c>
      <c r="Q356" s="21">
        <f t="shared" si="53"/>
        <v>12698412.011635471</v>
      </c>
      <c r="R356" s="21">
        <f t="shared" si="54"/>
        <v>25872798.637162559</v>
      </c>
      <c r="S356" s="21">
        <f t="shared" si="55"/>
        <v>13174386.625527088</v>
      </c>
      <c r="T356" s="14">
        <f>IFERROR(INDEX(Cost_Components!$R$2:$R$27,MATCH(E356,Cost_Components!$A$2:$A$27,0)),"")</f>
        <v>1</v>
      </c>
      <c r="U356" s="24">
        <f>IFERROR(INDEX(Cost_Components!$Q$2:$Q$27,MATCH(E356,Cost_Components!$A$2:$A$27,0)),"")</f>
        <v>2023</v>
      </c>
      <c r="V356" s="28">
        <f>1/(1+Calculation_Assumptions!$B$5)^(B356-Calculation_Assumptions!$B$2)</f>
        <v>0.62316693922011435</v>
      </c>
      <c r="W356" s="21">
        <f t="shared" si="56"/>
        <v>7913230.5462468117</v>
      </c>
      <c r="X356" s="21">
        <f t="shared" si="57"/>
        <v>16123072.735778937</v>
      </c>
      <c r="Y356" s="21">
        <f t="shared" si="58"/>
        <v>8209842.1895321263</v>
      </c>
      <c r="Z356" s="15">
        <f>IFERROR(INDEX(Cost_Components!$T$2:$T$27,MATCH(E356,Cost_Components!$A$2:$A$27,0)),"")</f>
        <v>0.8</v>
      </c>
      <c r="AA356" s="24">
        <f>IFERROR(INDEX(Cost_Components!$U$2:$U$27,MATCH(E356,Cost_Components!$A$2:$A$27,0)),"")</f>
        <v>2025</v>
      </c>
      <c r="AB356" s="24">
        <f>IFERROR(INDEX(Cost_Components!$V$2:$V$27,MATCH(E356,Cost_Components!$A$2:$A$27,0)),"")</f>
        <v>2050</v>
      </c>
      <c r="AC356" s="24">
        <f>IFERROR(INDEX(Cost_Components!$M$2:$M$27,MATCH(E356,Cost_Components!$A$2:$A$27,0)),"")</f>
        <v>30</v>
      </c>
      <c r="AD356" s="24">
        <f>IFERROR(INDEX(Cost_Components!$N$2:$N$27,MATCH(E356,Cost_Components!$A$2:$A$27,0)),"")</f>
        <v>95</v>
      </c>
      <c r="AE356" s="14" t="str">
        <f>IFERROR(INDEX(Cost_Components!$O$2:$O$27,MATCH(E356,Cost_Components!$A$2:$A$27,0)),"")</f>
        <v>Both</v>
      </c>
      <c r="AF356" s="11">
        <v>7023988.5665638</v>
      </c>
      <c r="AG356" s="11">
        <v>7010253.3446187004</v>
      </c>
      <c r="AH356" s="21">
        <f t="shared" si="59"/>
        <v>1</v>
      </c>
    </row>
    <row r="357" spans="1:34" hidden="1">
      <c r="A357" t="s">
        <v>197</v>
      </c>
      <c r="B357" s="18">
        <v>2042</v>
      </c>
      <c r="C357" t="s">
        <v>197</v>
      </c>
      <c r="D357" t="s">
        <v>177</v>
      </c>
      <c r="E357" s="20" t="s">
        <v>289</v>
      </c>
      <c r="F357" s="20" t="s">
        <v>290</v>
      </c>
      <c r="G357" s="20" t="s">
        <v>201</v>
      </c>
      <c r="H357" s="20" t="s">
        <v>192</v>
      </c>
      <c r="I357" s="20" t="s">
        <v>264</v>
      </c>
      <c r="J357" s="15">
        <f>IFERROR(INDEX(Cost_Components!$K$2:$K$27,MATCH(E357,Cost_Components!$A$2:$A$27,0)),"")</f>
        <v>0.2</v>
      </c>
      <c r="K357" s="15">
        <f t="shared" si="50"/>
        <v>0.64923076923076928</v>
      </c>
      <c r="L357" s="15">
        <f>IFERROR(INDEX(Cost_Components!$S$2:$S$27,MATCH(E357,Cost_Components!$A$2:$A$27,0)),"")</f>
        <v>0.31</v>
      </c>
      <c r="M357" s="26">
        <f>IFERROR(INDEX(Cost_Components!$L$2:$L$27,MATCH(E357,Cost_Components!$A$2:$A$27,0)),"")</f>
        <v>1</v>
      </c>
      <c r="N357" s="27">
        <f>IFERROR(INDEX(Cost_Components!$P$2:$P$27,MATCH(E357,Cost_Components!$A$2:$A$27,0)),"")</f>
        <v>29.216218999999999</v>
      </c>
      <c r="O357" s="21">
        <f t="shared" si="51"/>
        <v>1423257.782320498</v>
      </c>
      <c r="P357" s="21">
        <f t="shared" si="52"/>
        <v>1420218.8079404521</v>
      </c>
      <c r="Q357" s="21">
        <f t="shared" si="53"/>
        <v>12862961.353419228</v>
      </c>
      <c r="R357" s="21">
        <f t="shared" si="54"/>
        <v>26996450.873923168</v>
      </c>
      <c r="S357" s="21">
        <f t="shared" si="55"/>
        <v>14133489.52050394</v>
      </c>
      <c r="T357" s="14">
        <f>IFERROR(INDEX(Cost_Components!$R$2:$R$27,MATCH(E357,Cost_Components!$A$2:$A$27,0)),"")</f>
        <v>1</v>
      </c>
      <c r="U357" s="24">
        <f>IFERROR(INDEX(Cost_Components!$Q$2:$Q$27,MATCH(E357,Cost_Components!$A$2:$A$27,0)),"")</f>
        <v>2023</v>
      </c>
      <c r="V357" s="28">
        <f>1/(1+Calculation_Assumptions!$B$5)^(B357-Calculation_Assumptions!$B$2)</f>
        <v>0.60501644584477121</v>
      </c>
      <c r="W357" s="21">
        <f t="shared" si="56"/>
        <v>7782303.1610843493</v>
      </c>
      <c r="X357" s="21">
        <f t="shared" si="57"/>
        <v>16333296.758163963</v>
      </c>
      <c r="Y357" s="21">
        <f t="shared" si="58"/>
        <v>8550993.5970796142</v>
      </c>
      <c r="Z357" s="15">
        <f>IFERROR(INDEX(Cost_Components!$T$2:$T$27,MATCH(E357,Cost_Components!$A$2:$A$27,0)),"")</f>
        <v>0.8</v>
      </c>
      <c r="AA357" s="24">
        <f>IFERROR(INDEX(Cost_Components!$U$2:$U$27,MATCH(E357,Cost_Components!$A$2:$A$27,0)),"")</f>
        <v>2025</v>
      </c>
      <c r="AB357" s="24">
        <f>IFERROR(INDEX(Cost_Components!$V$2:$V$27,MATCH(E357,Cost_Components!$A$2:$A$27,0)),"")</f>
        <v>2050</v>
      </c>
      <c r="AC357" s="24">
        <f>IFERROR(INDEX(Cost_Components!$M$2:$M$27,MATCH(E357,Cost_Components!$A$2:$A$27,0)),"")</f>
        <v>30</v>
      </c>
      <c r="AD357" s="24">
        <f>IFERROR(INDEX(Cost_Components!$N$2:$N$27,MATCH(E357,Cost_Components!$A$2:$A$27,0)),"")</f>
        <v>95</v>
      </c>
      <c r="AE357" s="14" t="str">
        <f>IFERROR(INDEX(Cost_Components!$O$2:$O$27,MATCH(E357,Cost_Components!$A$2:$A$27,0)),"")</f>
        <v>Both</v>
      </c>
      <c r="AF357" s="11">
        <v>7116288.9116024897</v>
      </c>
      <c r="AG357" s="11">
        <v>7101094.0397022599</v>
      </c>
      <c r="AH357" s="21">
        <f t="shared" si="59"/>
        <v>1</v>
      </c>
    </row>
    <row r="358" spans="1:34" hidden="1">
      <c r="A358" t="s">
        <v>197</v>
      </c>
      <c r="B358" s="18">
        <v>2043</v>
      </c>
      <c r="C358" t="s">
        <v>197</v>
      </c>
      <c r="D358" t="s">
        <v>177</v>
      </c>
      <c r="E358" s="20" t="s">
        <v>289</v>
      </c>
      <c r="F358" s="20" t="s">
        <v>290</v>
      </c>
      <c r="G358" s="20" t="s">
        <v>201</v>
      </c>
      <c r="H358" s="20" t="s">
        <v>192</v>
      </c>
      <c r="I358" s="20" t="s">
        <v>264</v>
      </c>
      <c r="J358" s="15">
        <f>IFERROR(INDEX(Cost_Components!$K$2:$K$27,MATCH(E358,Cost_Components!$A$2:$A$27,0)),"")</f>
        <v>0.2</v>
      </c>
      <c r="K358" s="15">
        <f t="shared" si="50"/>
        <v>0.66807692307692301</v>
      </c>
      <c r="L358" s="15">
        <f>IFERROR(INDEX(Cost_Components!$S$2:$S$27,MATCH(E358,Cost_Components!$A$2:$A$27,0)),"")</f>
        <v>0.31</v>
      </c>
      <c r="M358" s="26">
        <f>IFERROR(INDEX(Cost_Components!$L$2:$L$27,MATCH(E358,Cost_Components!$A$2:$A$27,0)),"")</f>
        <v>1</v>
      </c>
      <c r="N358" s="27">
        <f>IFERROR(INDEX(Cost_Components!$P$2:$P$27,MATCH(E358,Cost_Components!$A$2:$A$27,0)),"")</f>
        <v>29.216218999999999</v>
      </c>
      <c r="O358" s="21">
        <f t="shared" si="51"/>
        <v>1441031.0275476421</v>
      </c>
      <c r="P358" s="21">
        <f t="shared" si="52"/>
        <v>1437690.5460530601</v>
      </c>
      <c r="Q358" s="21">
        <f t="shared" si="53"/>
        <v>13021203.372791894</v>
      </c>
      <c r="R358" s="21">
        <f t="shared" si="54"/>
        <v>28127025.937104229</v>
      </c>
      <c r="S358" s="21">
        <f t="shared" si="55"/>
        <v>15105822.564312335</v>
      </c>
      <c r="T358" s="14">
        <f>IFERROR(INDEX(Cost_Components!$R$2:$R$27,MATCH(E358,Cost_Components!$A$2:$A$27,0)),"")</f>
        <v>1</v>
      </c>
      <c r="U358" s="24">
        <f>IFERROR(INDEX(Cost_Components!$Q$2:$Q$27,MATCH(E358,Cost_Components!$A$2:$A$27,0)),"")</f>
        <v>2023</v>
      </c>
      <c r="V358" s="28">
        <f>1/(1+Calculation_Assumptions!$B$5)^(B358-Calculation_Assumptions!$B$2)</f>
        <v>0.5873946076162827</v>
      </c>
      <c r="W358" s="21">
        <f t="shared" si="56"/>
        <v>7648584.6458529113</v>
      </c>
      <c r="X358" s="21">
        <f t="shared" si="57"/>
        <v>16521663.363738345</v>
      </c>
      <c r="Y358" s="21">
        <f t="shared" si="58"/>
        <v>8873078.7178854328</v>
      </c>
      <c r="Z358" s="15">
        <f>IFERROR(INDEX(Cost_Components!$T$2:$T$27,MATCH(E358,Cost_Components!$A$2:$A$27,0)),"")</f>
        <v>0.8</v>
      </c>
      <c r="AA358" s="24">
        <f>IFERROR(INDEX(Cost_Components!$U$2:$U$27,MATCH(E358,Cost_Components!$A$2:$A$27,0)),"")</f>
        <v>2025</v>
      </c>
      <c r="AB358" s="24">
        <f>IFERROR(INDEX(Cost_Components!$V$2:$V$27,MATCH(E358,Cost_Components!$A$2:$A$27,0)),"")</f>
        <v>2050</v>
      </c>
      <c r="AC358" s="24">
        <f>IFERROR(INDEX(Cost_Components!$M$2:$M$27,MATCH(E358,Cost_Components!$A$2:$A$27,0)),"")</f>
        <v>30</v>
      </c>
      <c r="AD358" s="24">
        <f>IFERROR(INDEX(Cost_Components!$N$2:$N$27,MATCH(E358,Cost_Components!$A$2:$A$27,0)),"")</f>
        <v>95</v>
      </c>
      <c r="AE358" s="14" t="str">
        <f>IFERROR(INDEX(Cost_Components!$O$2:$O$27,MATCH(E358,Cost_Components!$A$2:$A$27,0)),"")</f>
        <v>Both</v>
      </c>
      <c r="AF358" s="11">
        <v>7205155.1377382101</v>
      </c>
      <c r="AG358" s="11">
        <v>7188452.7302652998</v>
      </c>
      <c r="AH358" s="21">
        <f t="shared" si="59"/>
        <v>1</v>
      </c>
    </row>
    <row r="359" spans="1:34" hidden="1">
      <c r="A359" t="s">
        <v>197</v>
      </c>
      <c r="B359" s="18">
        <v>2044</v>
      </c>
      <c r="C359" t="s">
        <v>197</v>
      </c>
      <c r="D359" t="s">
        <v>177</v>
      </c>
      <c r="E359" s="20" t="s">
        <v>289</v>
      </c>
      <c r="F359" s="20" t="s">
        <v>290</v>
      </c>
      <c r="G359" s="20" t="s">
        <v>201</v>
      </c>
      <c r="H359" s="20" t="s">
        <v>192</v>
      </c>
      <c r="I359" s="20" t="s">
        <v>264</v>
      </c>
      <c r="J359" s="15">
        <f>IFERROR(INDEX(Cost_Components!$K$2:$K$27,MATCH(E359,Cost_Components!$A$2:$A$27,0)),"")</f>
        <v>0.2</v>
      </c>
      <c r="K359" s="15">
        <f t="shared" si="50"/>
        <v>0.68692307692307697</v>
      </c>
      <c r="L359" s="15">
        <f>IFERROR(INDEX(Cost_Components!$S$2:$S$27,MATCH(E359,Cost_Components!$A$2:$A$27,0)),"")</f>
        <v>0.31</v>
      </c>
      <c r="M359" s="26">
        <f>IFERROR(INDEX(Cost_Components!$L$2:$L$27,MATCH(E359,Cost_Components!$A$2:$A$27,0)),"")</f>
        <v>1</v>
      </c>
      <c r="N359" s="27">
        <f>IFERROR(INDEX(Cost_Components!$P$2:$P$27,MATCH(E359,Cost_Components!$A$2:$A$27,0)),"")</f>
        <v>29.216218999999999</v>
      </c>
      <c r="O359" s="21">
        <f t="shared" si="51"/>
        <v>1458086.0022363681</v>
      </c>
      <c r="P359" s="21">
        <f t="shared" si="52"/>
        <v>1454435.2716829921</v>
      </c>
      <c r="Q359" s="21">
        <f t="shared" si="53"/>
        <v>13172860.819832586</v>
      </c>
      <c r="R359" s="21">
        <f t="shared" si="54"/>
        <v>29262758.189399842</v>
      </c>
      <c r="S359" s="21">
        <f t="shared" si="55"/>
        <v>16089897.369567256</v>
      </c>
      <c r="T359" s="14">
        <f>IFERROR(INDEX(Cost_Components!$R$2:$R$27,MATCH(E359,Cost_Components!$A$2:$A$27,0)),"")</f>
        <v>1</v>
      </c>
      <c r="U359" s="24">
        <f>IFERROR(INDEX(Cost_Components!$Q$2:$Q$27,MATCH(E359,Cost_Components!$A$2:$A$27,0)),"")</f>
        <v>2023</v>
      </c>
      <c r="V359" s="28">
        <f>1/(1+Calculation_Assumptions!$B$5)^(B359-Calculation_Assumptions!$B$2)</f>
        <v>0.57028602681192497</v>
      </c>
      <c r="W359" s="21">
        <f t="shared" si="56"/>
        <v>7512298.4586888021</v>
      </c>
      <c r="X359" s="21">
        <f t="shared" si="57"/>
        <v>16688142.101390956</v>
      </c>
      <c r="Y359" s="21">
        <f t="shared" si="58"/>
        <v>9175843.642702153</v>
      </c>
      <c r="Z359" s="15">
        <f>IFERROR(INDEX(Cost_Components!$T$2:$T$27,MATCH(E359,Cost_Components!$A$2:$A$27,0)),"")</f>
        <v>0.8</v>
      </c>
      <c r="AA359" s="24">
        <f>IFERROR(INDEX(Cost_Components!$U$2:$U$27,MATCH(E359,Cost_Components!$A$2:$A$27,0)),"")</f>
        <v>2025</v>
      </c>
      <c r="AB359" s="24">
        <f>IFERROR(INDEX(Cost_Components!$V$2:$V$27,MATCH(E359,Cost_Components!$A$2:$A$27,0)),"")</f>
        <v>2050</v>
      </c>
      <c r="AC359" s="24">
        <f>IFERROR(INDEX(Cost_Components!$M$2:$M$27,MATCH(E359,Cost_Components!$A$2:$A$27,0)),"")</f>
        <v>30</v>
      </c>
      <c r="AD359" s="24">
        <f>IFERROR(INDEX(Cost_Components!$N$2:$N$27,MATCH(E359,Cost_Components!$A$2:$A$27,0)),"")</f>
        <v>95</v>
      </c>
      <c r="AE359" s="14" t="str">
        <f>IFERROR(INDEX(Cost_Components!$O$2:$O$27,MATCH(E359,Cost_Components!$A$2:$A$27,0)),"")</f>
        <v>Both</v>
      </c>
      <c r="AF359" s="11">
        <v>7290430.0111818397</v>
      </c>
      <c r="AG359" s="11">
        <v>7272176.3584149601</v>
      </c>
      <c r="AH359" s="21">
        <f t="shared" si="59"/>
        <v>1</v>
      </c>
    </row>
    <row r="360" spans="1:34" hidden="1">
      <c r="A360" t="s">
        <v>197</v>
      </c>
      <c r="B360" s="18">
        <v>2045</v>
      </c>
      <c r="C360" t="s">
        <v>197</v>
      </c>
      <c r="D360" t="s">
        <v>177</v>
      </c>
      <c r="E360" s="20" t="s">
        <v>289</v>
      </c>
      <c r="F360" s="20" t="s">
        <v>290</v>
      </c>
      <c r="G360" s="20" t="s">
        <v>201</v>
      </c>
      <c r="H360" s="20" t="s">
        <v>192</v>
      </c>
      <c r="I360" s="20" t="s">
        <v>264</v>
      </c>
      <c r="J360" s="15">
        <f>IFERROR(INDEX(Cost_Components!$K$2:$K$27,MATCH(E360,Cost_Components!$A$2:$A$27,0)),"")</f>
        <v>0.2</v>
      </c>
      <c r="K360" s="15">
        <f t="shared" si="50"/>
        <v>0.70576923076923082</v>
      </c>
      <c r="L360" s="15">
        <f>IFERROR(INDEX(Cost_Components!$S$2:$S$27,MATCH(E360,Cost_Components!$A$2:$A$27,0)),"")</f>
        <v>0.31</v>
      </c>
      <c r="M360" s="26">
        <f>IFERROR(INDEX(Cost_Components!$L$2:$L$27,MATCH(E360,Cost_Components!$A$2:$A$27,0)),"")</f>
        <v>1</v>
      </c>
      <c r="N360" s="27">
        <f>IFERROR(INDEX(Cost_Components!$P$2:$P$27,MATCH(E360,Cost_Components!$A$2:$A$27,0)),"")</f>
        <v>29.216218999999999</v>
      </c>
      <c r="O360" s="21">
        <f t="shared" si="51"/>
        <v>1474477.161681666</v>
      </c>
      <c r="P360" s="21">
        <f t="shared" si="52"/>
        <v>1470508.2374509983</v>
      </c>
      <c r="Q360" s="21">
        <f t="shared" si="53"/>
        <v>13318434.119068434</v>
      </c>
      <c r="R360" s="21">
        <f t="shared" si="54"/>
        <v>30403584.025945608</v>
      </c>
      <c r="S360" s="21">
        <f t="shared" si="55"/>
        <v>17085149.906877175</v>
      </c>
      <c r="T360" s="14">
        <f>IFERROR(INDEX(Cost_Components!$R$2:$R$27,MATCH(E360,Cost_Components!$A$2:$A$27,0)),"")</f>
        <v>1</v>
      </c>
      <c r="U360" s="24">
        <f>IFERROR(INDEX(Cost_Components!$Q$2:$Q$27,MATCH(E360,Cost_Components!$A$2:$A$27,0)),"")</f>
        <v>2023</v>
      </c>
      <c r="V360" s="28">
        <f>1/(1+Calculation_Assumptions!$B$5)^(B360-Calculation_Assumptions!$B$2)</f>
        <v>0.55367575418633497</v>
      </c>
      <c r="W360" s="21">
        <f t="shared" si="56"/>
        <v>7374094.0554562313</v>
      </c>
      <c r="X360" s="21">
        <f t="shared" si="57"/>
        <v>16833727.315533042</v>
      </c>
      <c r="Y360" s="21">
        <f t="shared" si="58"/>
        <v>9459633.2600768097</v>
      </c>
      <c r="Z360" s="15">
        <f>IFERROR(INDEX(Cost_Components!$T$2:$T$27,MATCH(E360,Cost_Components!$A$2:$A$27,0)),"")</f>
        <v>0.8</v>
      </c>
      <c r="AA360" s="24">
        <f>IFERROR(INDEX(Cost_Components!$U$2:$U$27,MATCH(E360,Cost_Components!$A$2:$A$27,0)),"")</f>
        <v>2025</v>
      </c>
      <c r="AB360" s="24">
        <f>IFERROR(INDEX(Cost_Components!$V$2:$V$27,MATCH(E360,Cost_Components!$A$2:$A$27,0)),"")</f>
        <v>2050</v>
      </c>
      <c r="AC360" s="24">
        <f>IFERROR(INDEX(Cost_Components!$M$2:$M$27,MATCH(E360,Cost_Components!$A$2:$A$27,0)),"")</f>
        <v>30</v>
      </c>
      <c r="AD360" s="24">
        <f>IFERROR(INDEX(Cost_Components!$N$2:$N$27,MATCH(E360,Cost_Components!$A$2:$A$27,0)),"")</f>
        <v>95</v>
      </c>
      <c r="AE360" s="14" t="str">
        <f>IFERROR(INDEX(Cost_Components!$O$2:$O$27,MATCH(E360,Cost_Components!$A$2:$A$27,0)),"")</f>
        <v>Both</v>
      </c>
      <c r="AF360" s="11">
        <v>7372385.8084083302</v>
      </c>
      <c r="AG360" s="11">
        <v>7352541.1872549905</v>
      </c>
      <c r="AH360" s="21">
        <f t="shared" si="59"/>
        <v>1</v>
      </c>
    </row>
    <row r="361" spans="1:34" hidden="1">
      <c r="A361" t="s">
        <v>197</v>
      </c>
      <c r="B361" s="18">
        <v>2046</v>
      </c>
      <c r="C361" t="s">
        <v>197</v>
      </c>
      <c r="D361" t="s">
        <v>177</v>
      </c>
      <c r="E361" s="20" t="s">
        <v>289</v>
      </c>
      <c r="F361" s="20" t="s">
        <v>290</v>
      </c>
      <c r="G361" s="20" t="s">
        <v>201</v>
      </c>
      <c r="H361" s="20" t="s">
        <v>192</v>
      </c>
      <c r="I361" s="20" t="s">
        <v>264</v>
      </c>
      <c r="J361" s="15">
        <f>IFERROR(INDEX(Cost_Components!$K$2:$K$27,MATCH(E361,Cost_Components!$A$2:$A$27,0)),"")</f>
        <v>0.2</v>
      </c>
      <c r="K361" s="15">
        <f t="shared" si="50"/>
        <v>0.72461538461538466</v>
      </c>
      <c r="L361" s="15">
        <f>IFERROR(INDEX(Cost_Components!$S$2:$S$27,MATCH(E361,Cost_Components!$A$2:$A$27,0)),"")</f>
        <v>0.31</v>
      </c>
      <c r="M361" s="26">
        <f>IFERROR(INDEX(Cost_Components!$L$2:$L$27,MATCH(E361,Cost_Components!$A$2:$A$27,0)),"")</f>
        <v>1</v>
      </c>
      <c r="N361" s="27">
        <f>IFERROR(INDEX(Cost_Components!$P$2:$P$27,MATCH(E361,Cost_Components!$A$2:$A$27,0)),"")</f>
        <v>29.216218999999999</v>
      </c>
      <c r="O361" s="21">
        <f t="shared" si="51"/>
        <v>1490187.978600258</v>
      </c>
      <c r="P361" s="21">
        <f t="shared" si="52"/>
        <v>1485893.6984560781</v>
      </c>
      <c r="Q361" s="21">
        <f t="shared" si="53"/>
        <v>13457780.668491948</v>
      </c>
      <c r="R361" s="21">
        <f t="shared" si="54"/>
        <v>31548057.038910162</v>
      </c>
      <c r="S361" s="21">
        <f t="shared" si="55"/>
        <v>18090276.370418213</v>
      </c>
      <c r="T361" s="14">
        <f>IFERROR(INDEX(Cost_Components!$R$2:$R$27,MATCH(E361,Cost_Components!$A$2:$A$27,0)),"")</f>
        <v>1</v>
      </c>
      <c r="U361" s="24">
        <f>IFERROR(INDEX(Cost_Components!$Q$2:$Q$27,MATCH(E361,Cost_Components!$A$2:$A$27,0)),"")</f>
        <v>2023</v>
      </c>
      <c r="V361" s="28">
        <f>1/(1+Calculation_Assumptions!$B$5)^(B361-Calculation_Assumptions!$B$2)</f>
        <v>0.5375492759090631</v>
      </c>
      <c r="W361" s="21">
        <f t="shared" si="56"/>
        <v>7234220.2536908342</v>
      </c>
      <c r="X361" s="21">
        <f t="shared" si="57"/>
        <v>16958635.217603978</v>
      </c>
      <c r="Y361" s="21">
        <f t="shared" si="58"/>
        <v>9724414.9639131445</v>
      </c>
      <c r="Z361" s="15">
        <f>IFERROR(INDEX(Cost_Components!$T$2:$T$27,MATCH(E361,Cost_Components!$A$2:$A$27,0)),"")</f>
        <v>0.8</v>
      </c>
      <c r="AA361" s="24">
        <f>IFERROR(INDEX(Cost_Components!$U$2:$U$27,MATCH(E361,Cost_Components!$A$2:$A$27,0)),"")</f>
        <v>2025</v>
      </c>
      <c r="AB361" s="24">
        <f>IFERROR(INDEX(Cost_Components!$V$2:$V$27,MATCH(E361,Cost_Components!$A$2:$A$27,0)),"")</f>
        <v>2050</v>
      </c>
      <c r="AC361" s="24">
        <f>IFERROR(INDEX(Cost_Components!$M$2:$M$27,MATCH(E361,Cost_Components!$A$2:$A$27,0)),"")</f>
        <v>30</v>
      </c>
      <c r="AD361" s="24">
        <f>IFERROR(INDEX(Cost_Components!$N$2:$N$27,MATCH(E361,Cost_Components!$A$2:$A$27,0)),"")</f>
        <v>95</v>
      </c>
      <c r="AE361" s="14" t="str">
        <f>IFERROR(INDEX(Cost_Components!$O$2:$O$27,MATCH(E361,Cost_Components!$A$2:$A$27,0)),"")</f>
        <v>Both</v>
      </c>
      <c r="AF361" s="11">
        <v>7450939.89300129</v>
      </c>
      <c r="AG361" s="11">
        <v>7429468.4922803901</v>
      </c>
      <c r="AH361" s="21">
        <f t="shared" si="59"/>
        <v>1</v>
      </c>
    </row>
    <row r="362" spans="1:34" hidden="1">
      <c r="A362" t="s">
        <v>197</v>
      </c>
      <c r="B362" s="18">
        <v>2047</v>
      </c>
      <c r="C362" t="s">
        <v>197</v>
      </c>
      <c r="D362" t="s">
        <v>177</v>
      </c>
      <c r="E362" s="20" t="s">
        <v>289</v>
      </c>
      <c r="F362" s="20" t="s">
        <v>290</v>
      </c>
      <c r="G362" s="20" t="s">
        <v>201</v>
      </c>
      <c r="H362" s="20" t="s">
        <v>192</v>
      </c>
      <c r="I362" s="20" t="s">
        <v>264</v>
      </c>
      <c r="J362" s="15">
        <f>IFERROR(INDEX(Cost_Components!$K$2:$K$27,MATCH(E362,Cost_Components!$A$2:$A$27,0)),"")</f>
        <v>0.2</v>
      </c>
      <c r="K362" s="15">
        <f t="shared" si="50"/>
        <v>0.74346153846153851</v>
      </c>
      <c r="L362" s="15">
        <f>IFERROR(INDEX(Cost_Components!$S$2:$S$27,MATCH(E362,Cost_Components!$A$2:$A$27,0)),"")</f>
        <v>0.31</v>
      </c>
      <c r="M362" s="26">
        <f>IFERROR(INDEX(Cost_Components!$L$2:$L$27,MATCH(E362,Cost_Components!$A$2:$A$27,0)),"")</f>
        <v>1</v>
      </c>
      <c r="N362" s="27">
        <f>IFERROR(INDEX(Cost_Components!$P$2:$P$27,MATCH(E362,Cost_Components!$A$2:$A$27,0)),"")</f>
        <v>29.216218999999999</v>
      </c>
      <c r="O362" s="21">
        <f t="shared" si="51"/>
        <v>1504978.9855927841</v>
      </c>
      <c r="P362" s="21">
        <f t="shared" si="52"/>
        <v>1500352.9263124783</v>
      </c>
      <c r="Q362" s="21">
        <f t="shared" si="53"/>
        <v>13588738.298455229</v>
      </c>
      <c r="R362" s="21">
        <f t="shared" si="54"/>
        <v>32689851.907503966</v>
      </c>
      <c r="S362" s="21">
        <f t="shared" si="55"/>
        <v>19101113.609048739</v>
      </c>
      <c r="T362" s="14">
        <f>IFERROR(INDEX(Cost_Components!$R$2:$R$27,MATCH(E362,Cost_Components!$A$2:$A$27,0)),"")</f>
        <v>1</v>
      </c>
      <c r="U362" s="24">
        <f>IFERROR(INDEX(Cost_Components!$Q$2:$Q$27,MATCH(E362,Cost_Components!$A$2:$A$27,0)),"")</f>
        <v>2023</v>
      </c>
      <c r="V362" s="28">
        <f>1/(1+Calculation_Assumptions!$B$5)^(B362-Calculation_Assumptions!$B$2)</f>
        <v>0.52189250088258554</v>
      </c>
      <c r="W362" s="21">
        <f t="shared" si="56"/>
        <v>7091860.6144197695</v>
      </c>
      <c r="X362" s="21">
        <f t="shared" si="57"/>
        <v>17060588.565488603</v>
      </c>
      <c r="Y362" s="21">
        <f t="shared" si="58"/>
        <v>9968727.9510688353</v>
      </c>
      <c r="Z362" s="15">
        <f>IFERROR(INDEX(Cost_Components!$T$2:$T$27,MATCH(E362,Cost_Components!$A$2:$A$27,0)),"")</f>
        <v>0.8</v>
      </c>
      <c r="AA362" s="24">
        <f>IFERROR(INDEX(Cost_Components!$U$2:$U$27,MATCH(E362,Cost_Components!$A$2:$A$27,0)),"")</f>
        <v>2025</v>
      </c>
      <c r="AB362" s="24">
        <f>IFERROR(INDEX(Cost_Components!$V$2:$V$27,MATCH(E362,Cost_Components!$A$2:$A$27,0)),"")</f>
        <v>2050</v>
      </c>
      <c r="AC362" s="24">
        <f>IFERROR(INDEX(Cost_Components!$M$2:$M$27,MATCH(E362,Cost_Components!$A$2:$A$27,0)),"")</f>
        <v>30</v>
      </c>
      <c r="AD362" s="24">
        <f>IFERROR(INDEX(Cost_Components!$N$2:$N$27,MATCH(E362,Cost_Components!$A$2:$A$27,0)),"")</f>
        <v>95</v>
      </c>
      <c r="AE362" s="14" t="str">
        <f>IFERROR(INDEX(Cost_Components!$O$2:$O$27,MATCH(E362,Cost_Components!$A$2:$A$27,0)),"")</f>
        <v>Both</v>
      </c>
      <c r="AF362" s="11">
        <v>7524894.9279639199</v>
      </c>
      <c r="AG362" s="11">
        <v>7501764.6315623904</v>
      </c>
      <c r="AH362" s="21">
        <f t="shared" si="59"/>
        <v>1</v>
      </c>
    </row>
    <row r="363" spans="1:34" hidden="1">
      <c r="A363" t="s">
        <v>197</v>
      </c>
      <c r="B363" s="18">
        <v>2048</v>
      </c>
      <c r="C363" t="s">
        <v>197</v>
      </c>
      <c r="D363" t="s">
        <v>177</v>
      </c>
      <c r="E363" s="20" t="s">
        <v>289</v>
      </c>
      <c r="F363" s="20" t="s">
        <v>290</v>
      </c>
      <c r="G363" s="20" t="s">
        <v>201</v>
      </c>
      <c r="H363" s="20" t="s">
        <v>192</v>
      </c>
      <c r="I363" s="20" t="s">
        <v>264</v>
      </c>
      <c r="J363" s="15">
        <f>IFERROR(INDEX(Cost_Components!$K$2:$K$27,MATCH(E363,Cost_Components!$A$2:$A$27,0)),"")</f>
        <v>0.2</v>
      </c>
      <c r="K363" s="15">
        <f t="shared" si="50"/>
        <v>0.76230769230769235</v>
      </c>
      <c r="L363" s="15">
        <f>IFERROR(INDEX(Cost_Components!$S$2:$S$27,MATCH(E363,Cost_Components!$A$2:$A$27,0)),"")</f>
        <v>0.31</v>
      </c>
      <c r="M363" s="26">
        <f>IFERROR(INDEX(Cost_Components!$L$2:$L$27,MATCH(E363,Cost_Components!$A$2:$A$27,0)),"")</f>
        <v>1</v>
      </c>
      <c r="N363" s="27">
        <f>IFERROR(INDEX(Cost_Components!$P$2:$P$27,MATCH(E363,Cost_Components!$A$2:$A$27,0)),"")</f>
        <v>29.216218999999999</v>
      </c>
      <c r="O363" s="21">
        <f t="shared" si="51"/>
        <v>1519002.2714024521</v>
      </c>
      <c r="P363" s="21">
        <f t="shared" si="52"/>
        <v>1514038.8829286881</v>
      </c>
      <c r="Q363" s="21">
        <f t="shared" si="53"/>
        <v>13712692.389229571</v>
      </c>
      <c r="R363" s="21">
        <f t="shared" si="54"/>
        <v>33830836.535066433</v>
      </c>
      <c r="S363" s="21">
        <f t="shared" si="55"/>
        <v>20118144.14583686</v>
      </c>
      <c r="T363" s="14">
        <f>IFERROR(INDEX(Cost_Components!$R$2:$R$27,MATCH(E363,Cost_Components!$A$2:$A$27,0)),"")</f>
        <v>1</v>
      </c>
      <c r="U363" s="24">
        <f>IFERROR(INDEX(Cost_Components!$Q$2:$Q$27,MATCH(E363,Cost_Components!$A$2:$A$27,0)),"")</f>
        <v>2023</v>
      </c>
      <c r="V363" s="28">
        <f>1/(1+Calculation_Assumptions!$B$5)^(B363-Calculation_Assumptions!$B$2)</f>
        <v>0.50669174842969467</v>
      </c>
      <c r="W363" s="21">
        <f t="shared" si="56"/>
        <v>6948108.0823772987</v>
      </c>
      <c r="X363" s="21">
        <f t="shared" si="57"/>
        <v>17141805.714792006</v>
      </c>
      <c r="Y363" s="21">
        <f t="shared" si="58"/>
        <v>10193697.632414704</v>
      </c>
      <c r="Z363" s="15">
        <f>IFERROR(INDEX(Cost_Components!$T$2:$T$27,MATCH(E363,Cost_Components!$A$2:$A$27,0)),"")</f>
        <v>0.8</v>
      </c>
      <c r="AA363" s="24">
        <f>IFERROR(INDEX(Cost_Components!$U$2:$U$27,MATCH(E363,Cost_Components!$A$2:$A$27,0)),"")</f>
        <v>2025</v>
      </c>
      <c r="AB363" s="24">
        <f>IFERROR(INDEX(Cost_Components!$V$2:$V$27,MATCH(E363,Cost_Components!$A$2:$A$27,0)),"")</f>
        <v>2050</v>
      </c>
      <c r="AC363" s="24">
        <f>IFERROR(INDEX(Cost_Components!$M$2:$M$27,MATCH(E363,Cost_Components!$A$2:$A$27,0)),"")</f>
        <v>30</v>
      </c>
      <c r="AD363" s="24">
        <f>IFERROR(INDEX(Cost_Components!$N$2:$N$27,MATCH(E363,Cost_Components!$A$2:$A$27,0)),"")</f>
        <v>95</v>
      </c>
      <c r="AE363" s="14" t="str">
        <f>IFERROR(INDEX(Cost_Components!$O$2:$O$27,MATCH(E363,Cost_Components!$A$2:$A$27,0)),"")</f>
        <v>Both</v>
      </c>
      <c r="AF363" s="11">
        <v>7595011.3570122598</v>
      </c>
      <c r="AG363" s="11">
        <v>7570194.4146434404</v>
      </c>
      <c r="AH363" s="21">
        <f t="shared" si="59"/>
        <v>1</v>
      </c>
    </row>
    <row r="364" spans="1:34" hidden="1">
      <c r="A364" t="s">
        <v>197</v>
      </c>
      <c r="B364" s="18">
        <v>2049</v>
      </c>
      <c r="C364" t="s">
        <v>197</v>
      </c>
      <c r="D364" t="s">
        <v>177</v>
      </c>
      <c r="E364" s="20" t="s">
        <v>289</v>
      </c>
      <c r="F364" s="20" t="s">
        <v>290</v>
      </c>
      <c r="G364" s="20" t="s">
        <v>201</v>
      </c>
      <c r="H364" s="20" t="s">
        <v>192</v>
      </c>
      <c r="I364" s="20" t="s">
        <v>264</v>
      </c>
      <c r="J364" s="15">
        <f>IFERROR(INDEX(Cost_Components!$K$2:$K$27,MATCH(E364,Cost_Components!$A$2:$A$27,0)),"")</f>
        <v>0.2</v>
      </c>
      <c r="K364" s="15">
        <f t="shared" si="50"/>
        <v>0.7811538461538462</v>
      </c>
      <c r="L364" s="15">
        <f>IFERROR(INDEX(Cost_Components!$S$2:$S$27,MATCH(E364,Cost_Components!$A$2:$A$27,0)),"")</f>
        <v>0.31</v>
      </c>
      <c r="M364" s="26">
        <f>IFERROR(INDEX(Cost_Components!$L$2:$L$27,MATCH(E364,Cost_Components!$A$2:$A$27,0)),"")</f>
        <v>1</v>
      </c>
      <c r="N364" s="27">
        <f>IFERROR(INDEX(Cost_Components!$P$2:$P$27,MATCH(E364,Cost_Components!$A$2:$A$27,0)),"")</f>
        <v>29.216218999999999</v>
      </c>
      <c r="O364" s="21">
        <f t="shared" si="51"/>
        <v>1532255.6107697601</v>
      </c>
      <c r="P364" s="21">
        <f t="shared" si="52"/>
        <v>1526950.0790214061</v>
      </c>
      <c r="Q364" s="21">
        <f t="shared" si="53"/>
        <v>13829629.452334579</v>
      </c>
      <c r="R364" s="21">
        <f t="shared" si="54"/>
        <v>34969691.983304307</v>
      </c>
      <c r="S364" s="21">
        <f t="shared" si="55"/>
        <v>21140062.530969728</v>
      </c>
      <c r="T364" s="14">
        <f>IFERROR(INDEX(Cost_Components!$R$2:$R$27,MATCH(E364,Cost_Components!$A$2:$A$27,0)),"")</f>
        <v>1</v>
      </c>
      <c r="U364" s="24">
        <f>IFERROR(INDEX(Cost_Components!$Q$2:$Q$27,MATCH(E364,Cost_Components!$A$2:$A$27,0)),"")</f>
        <v>2023</v>
      </c>
      <c r="V364" s="28">
        <f>1/(1+Calculation_Assumptions!$B$5)^(B364-Calculation_Assumptions!$B$2)</f>
        <v>0.49193373633950943</v>
      </c>
      <c r="W364" s="21">
        <f t="shared" si="56"/>
        <v>6803261.2886778731</v>
      </c>
      <c r="X364" s="21">
        <f t="shared" si="57"/>
        <v>17202771.235988677</v>
      </c>
      <c r="Y364" s="21">
        <f t="shared" si="58"/>
        <v>10399509.947310805</v>
      </c>
      <c r="Z364" s="15">
        <f>IFERROR(INDEX(Cost_Components!$T$2:$T$27,MATCH(E364,Cost_Components!$A$2:$A$27,0)),"")</f>
        <v>0.8</v>
      </c>
      <c r="AA364" s="24">
        <f>IFERROR(INDEX(Cost_Components!$U$2:$U$27,MATCH(E364,Cost_Components!$A$2:$A$27,0)),"")</f>
        <v>2025</v>
      </c>
      <c r="AB364" s="24">
        <f>IFERROR(INDEX(Cost_Components!$V$2:$V$27,MATCH(E364,Cost_Components!$A$2:$A$27,0)),"")</f>
        <v>2050</v>
      </c>
      <c r="AC364" s="24">
        <f>IFERROR(INDEX(Cost_Components!$M$2:$M$27,MATCH(E364,Cost_Components!$A$2:$A$27,0)),"")</f>
        <v>30</v>
      </c>
      <c r="AD364" s="24">
        <f>IFERROR(INDEX(Cost_Components!$N$2:$N$27,MATCH(E364,Cost_Components!$A$2:$A$27,0)),"")</f>
        <v>95</v>
      </c>
      <c r="AE364" s="14" t="str">
        <f>IFERROR(INDEX(Cost_Components!$O$2:$O$27,MATCH(E364,Cost_Components!$A$2:$A$27,0)),"")</f>
        <v>Both</v>
      </c>
      <c r="AF364" s="11">
        <v>7661278.0538488002</v>
      </c>
      <c r="AG364" s="11">
        <v>7634750.3951070299</v>
      </c>
      <c r="AH364" s="21">
        <f t="shared" si="59"/>
        <v>1</v>
      </c>
    </row>
    <row r="365" spans="1:34" hidden="1">
      <c r="A365" t="s">
        <v>197</v>
      </c>
      <c r="B365" s="18">
        <v>2050</v>
      </c>
      <c r="C365" t="s">
        <v>197</v>
      </c>
      <c r="D365" t="s">
        <v>177</v>
      </c>
      <c r="E365" s="20" t="s">
        <v>289</v>
      </c>
      <c r="F365" s="20" t="s">
        <v>290</v>
      </c>
      <c r="G365" s="20" t="s">
        <v>201</v>
      </c>
      <c r="H365" s="20" t="s">
        <v>192</v>
      </c>
      <c r="I365" s="20" t="s">
        <v>264</v>
      </c>
      <c r="J365" s="15">
        <f>IFERROR(INDEX(Cost_Components!$K$2:$K$27,MATCH(E365,Cost_Components!$A$2:$A$27,0)),"")</f>
        <v>0.2</v>
      </c>
      <c r="K365" s="15">
        <f t="shared" si="50"/>
        <v>0.8</v>
      </c>
      <c r="L365" s="15">
        <f>IFERROR(INDEX(Cost_Components!$S$2:$S$27,MATCH(E365,Cost_Components!$A$2:$A$27,0)),"")</f>
        <v>0.31</v>
      </c>
      <c r="M365" s="26">
        <f>IFERROR(INDEX(Cost_Components!$L$2:$L$27,MATCH(E365,Cost_Components!$A$2:$A$27,0)),"")</f>
        <v>1</v>
      </c>
      <c r="N365" s="27">
        <f>IFERROR(INDEX(Cost_Components!$P$2:$P$27,MATCH(E365,Cost_Components!$A$2:$A$27,0)),"")</f>
        <v>29.216218999999999</v>
      </c>
      <c r="O365" s="21">
        <f t="shared" si="51"/>
        <v>1544750.6022126982</v>
      </c>
      <c r="P365" s="21">
        <f t="shared" si="52"/>
        <v>1539098.6433192221</v>
      </c>
      <c r="Q365" s="21">
        <f t="shared" si="53"/>
        <v>13939659.338003358</v>
      </c>
      <c r="R365" s="21">
        <f t="shared" si="54"/>
        <v>36105417.515702456</v>
      </c>
      <c r="S365" s="21">
        <f t="shared" si="55"/>
        <v>22165758.177699097</v>
      </c>
      <c r="T365" s="14">
        <f>IFERROR(INDEX(Cost_Components!$R$2:$R$27,MATCH(E365,Cost_Components!$A$2:$A$27,0)),"")</f>
        <v>1</v>
      </c>
      <c r="U365" s="24">
        <f>IFERROR(INDEX(Cost_Components!$Q$2:$Q$27,MATCH(E365,Cost_Components!$A$2:$A$27,0)),"")</f>
        <v>2023</v>
      </c>
      <c r="V365" s="28">
        <f>1/(1+Calculation_Assumptions!$B$5)^(B365-Calculation_Assumptions!$B$2)</f>
        <v>0.47760556926165965</v>
      </c>
      <c r="W365" s="21">
        <f t="shared" si="56"/>
        <v>6657658.933440703</v>
      </c>
      <c r="X365" s="21">
        <f t="shared" si="57"/>
        <v>17244148.48601697</v>
      </c>
      <c r="Y365" s="21">
        <f t="shared" si="58"/>
        <v>10586489.552576264</v>
      </c>
      <c r="Z365" s="15">
        <f>IFERROR(INDEX(Cost_Components!$T$2:$T$27,MATCH(E365,Cost_Components!$A$2:$A$27,0)),"")</f>
        <v>0.8</v>
      </c>
      <c r="AA365" s="24">
        <f>IFERROR(INDEX(Cost_Components!$U$2:$U$27,MATCH(E365,Cost_Components!$A$2:$A$27,0)),"")</f>
        <v>2025</v>
      </c>
      <c r="AB365" s="24">
        <f>IFERROR(INDEX(Cost_Components!$V$2:$V$27,MATCH(E365,Cost_Components!$A$2:$A$27,0)),"")</f>
        <v>2050</v>
      </c>
      <c r="AC365" s="24">
        <f>IFERROR(INDEX(Cost_Components!$M$2:$M$27,MATCH(E365,Cost_Components!$A$2:$A$27,0)),"")</f>
        <v>30</v>
      </c>
      <c r="AD365" s="24">
        <f>IFERROR(INDEX(Cost_Components!$N$2:$N$27,MATCH(E365,Cost_Components!$A$2:$A$27,0)),"")</f>
        <v>95</v>
      </c>
      <c r="AE365" s="14" t="str">
        <f>IFERROR(INDEX(Cost_Components!$O$2:$O$27,MATCH(E365,Cost_Components!$A$2:$A$27,0)),"")</f>
        <v>Both</v>
      </c>
      <c r="AF365" s="11">
        <v>7723753.0110634901</v>
      </c>
      <c r="AG365" s="11">
        <v>7695493.2165961098</v>
      </c>
      <c r="AH365" s="21">
        <f t="shared" si="59"/>
        <v>1</v>
      </c>
    </row>
    <row r="366" spans="1:34" hidden="1">
      <c r="A366" t="s">
        <v>202</v>
      </c>
      <c r="B366" s="18">
        <v>2025</v>
      </c>
      <c r="C366" t="s">
        <v>202</v>
      </c>
      <c r="D366" t="s">
        <v>177</v>
      </c>
      <c r="E366" s="20" t="s">
        <v>291</v>
      </c>
      <c r="F366" s="20" t="s">
        <v>292</v>
      </c>
      <c r="G366" s="20" t="s">
        <v>203</v>
      </c>
      <c r="H366" s="20" t="s">
        <v>192</v>
      </c>
      <c r="I366" s="20" t="s">
        <v>167</v>
      </c>
      <c r="J366" s="15">
        <f>IFERROR(INDEX(Cost_Components!$K$2:$K$27,MATCH(E366,Cost_Components!$A$2:$A$27,0)),"")</f>
        <v>0.52</v>
      </c>
      <c r="K366" s="15">
        <f t="shared" si="50"/>
        <v>0.32884615384615384</v>
      </c>
      <c r="L366" s="15">
        <f>IFERROR(INDEX(Cost_Components!$S$2:$S$27,MATCH(E366,Cost_Components!$A$2:$A$27,0)),"")</f>
        <v>0.31</v>
      </c>
      <c r="M366" s="26">
        <f>IFERROR(INDEX(Cost_Components!$L$2:$L$27,MATCH(E366,Cost_Components!$A$2:$A$27,0)),"")</f>
        <v>1</v>
      </c>
      <c r="N366" s="27">
        <f>IFERROR(INDEX(Cost_Components!$P$2:$P$27,MATCH(E366,Cost_Components!$A$2:$A$27,0)),"")</f>
        <v>35.362648999999998</v>
      </c>
      <c r="O366" s="21">
        <f t="shared" si="51"/>
        <v>293261.34704300098</v>
      </c>
      <c r="P366" s="21">
        <f t="shared" si="52"/>
        <v>293261.34704300098</v>
      </c>
      <c r="Q366" s="21">
        <f t="shared" si="53"/>
        <v>3214854.4050321379</v>
      </c>
      <c r="R366" s="21">
        <f t="shared" si="54"/>
        <v>3410298.4073231732</v>
      </c>
      <c r="S366" s="21">
        <f t="shared" si="55"/>
        <v>195444.00229103537</v>
      </c>
      <c r="T366" s="14">
        <f>IFERROR(INDEX(Cost_Components!$R$2:$R$27,MATCH(E366,Cost_Components!$A$2:$A$27,0)),"")</f>
        <v>1</v>
      </c>
      <c r="U366" s="24">
        <f>IFERROR(INDEX(Cost_Components!$Q$2:$Q$27,MATCH(E366,Cost_Components!$A$2:$A$27,0)),"")</f>
        <v>2023</v>
      </c>
      <c r="V366" s="28">
        <f>1/(1+Calculation_Assumptions!$B$5)^(B366-Calculation_Assumptions!$B$2)</f>
        <v>1</v>
      </c>
      <c r="W366" s="21">
        <f t="shared" si="56"/>
        <v>3214854.4050321379</v>
      </c>
      <c r="X366" s="21">
        <f t="shared" si="57"/>
        <v>3410298.4073231732</v>
      </c>
      <c r="Y366" s="21">
        <f t="shared" si="58"/>
        <v>195444.00229103537</v>
      </c>
      <c r="Z366" s="15">
        <f>IFERROR(INDEX(Cost_Components!$T$2:$T$27,MATCH(E366,Cost_Components!$A$2:$A$27,0)),"")</f>
        <v>0.8</v>
      </c>
      <c r="AA366" s="24">
        <f>IFERROR(INDEX(Cost_Components!$U$2:$U$27,MATCH(E366,Cost_Components!$A$2:$A$27,0)),"")</f>
        <v>2025</v>
      </c>
      <c r="AB366" s="24">
        <f>IFERROR(INDEX(Cost_Components!$V$2:$V$27,MATCH(E366,Cost_Components!$A$2:$A$27,0)),"")</f>
        <v>2050</v>
      </c>
      <c r="AC366" s="24">
        <f>IFERROR(INDEX(Cost_Components!$M$2:$M$27,MATCH(E366,Cost_Components!$A$2:$A$27,0)),"")</f>
        <v>0</v>
      </c>
      <c r="AD366" s="24">
        <f>IFERROR(INDEX(Cost_Components!$N$2:$N$27,MATCH(E366,Cost_Components!$A$2:$A$27,0)),"")</f>
        <v>95</v>
      </c>
      <c r="AE366" s="14" t="str">
        <f>IFERROR(INDEX(Cost_Components!$O$2:$O$27,MATCH(E366,Cost_Components!$A$2:$A$27,0)),"")</f>
        <v>Both</v>
      </c>
      <c r="AF366" s="11">
        <v>563964.12892884796</v>
      </c>
      <c r="AG366" s="11">
        <v>563964.12892884796</v>
      </c>
      <c r="AH366" s="21">
        <f t="shared" si="59"/>
        <v>1</v>
      </c>
    </row>
    <row r="367" spans="1:34" hidden="1">
      <c r="A367" t="s">
        <v>202</v>
      </c>
      <c r="B367" s="18">
        <v>2026</v>
      </c>
      <c r="C367" t="s">
        <v>202</v>
      </c>
      <c r="D367" t="s">
        <v>177</v>
      </c>
      <c r="E367" s="20" t="s">
        <v>291</v>
      </c>
      <c r="F367" s="20" t="s">
        <v>292</v>
      </c>
      <c r="G367" s="20" t="s">
        <v>203</v>
      </c>
      <c r="H367" s="20" t="s">
        <v>192</v>
      </c>
      <c r="I367" s="20" t="s">
        <v>167</v>
      </c>
      <c r="J367" s="15">
        <f>IFERROR(INDEX(Cost_Components!$K$2:$K$27,MATCH(E367,Cost_Components!$A$2:$A$27,0)),"")</f>
        <v>0.52</v>
      </c>
      <c r="K367" s="15">
        <f t="shared" si="50"/>
        <v>0.34769230769230769</v>
      </c>
      <c r="L367" s="15">
        <f>IFERROR(INDEX(Cost_Components!$S$2:$S$27,MATCH(E367,Cost_Components!$A$2:$A$27,0)),"")</f>
        <v>0.31</v>
      </c>
      <c r="M367" s="26">
        <f>IFERROR(INDEX(Cost_Components!$L$2:$L$27,MATCH(E367,Cost_Components!$A$2:$A$27,0)),"")</f>
        <v>1</v>
      </c>
      <c r="N367" s="27">
        <f>IFERROR(INDEX(Cost_Components!$P$2:$P$27,MATCH(E367,Cost_Components!$A$2:$A$27,0)),"")</f>
        <v>35.362648999999998</v>
      </c>
      <c r="O367" s="21">
        <f t="shared" si="51"/>
        <v>301658.00181797752</v>
      </c>
      <c r="P367" s="21">
        <f t="shared" si="52"/>
        <v>301658.00181797752</v>
      </c>
      <c r="Q367" s="21">
        <f t="shared" si="53"/>
        <v>3306902.0712624551</v>
      </c>
      <c r="R367" s="21">
        <f t="shared" si="54"/>
        <v>3708981.9757087589</v>
      </c>
      <c r="S367" s="21">
        <f t="shared" si="55"/>
        <v>402079.90444630384</v>
      </c>
      <c r="T367" s="14">
        <f>IFERROR(INDEX(Cost_Components!$R$2:$R$27,MATCH(E367,Cost_Components!$A$2:$A$27,0)),"")</f>
        <v>1</v>
      </c>
      <c r="U367" s="24">
        <f>IFERROR(INDEX(Cost_Components!$Q$2:$Q$27,MATCH(E367,Cost_Components!$A$2:$A$27,0)),"")</f>
        <v>2023</v>
      </c>
      <c r="V367" s="28">
        <f>1/(1+Calculation_Assumptions!$B$5)^(B367-Calculation_Assumptions!$B$2)</f>
        <v>0.970873786407767</v>
      </c>
      <c r="W367" s="21">
        <f t="shared" si="56"/>
        <v>3210584.5352062671</v>
      </c>
      <c r="X367" s="21">
        <f t="shared" si="57"/>
        <v>3600953.3744745231</v>
      </c>
      <c r="Y367" s="21">
        <f t="shared" si="58"/>
        <v>390368.83926825615</v>
      </c>
      <c r="Z367" s="15">
        <f>IFERROR(INDEX(Cost_Components!$T$2:$T$27,MATCH(E367,Cost_Components!$A$2:$A$27,0)),"")</f>
        <v>0.8</v>
      </c>
      <c r="AA367" s="24">
        <f>IFERROR(INDEX(Cost_Components!$U$2:$U$27,MATCH(E367,Cost_Components!$A$2:$A$27,0)),"")</f>
        <v>2025</v>
      </c>
      <c r="AB367" s="24">
        <f>IFERROR(INDEX(Cost_Components!$V$2:$V$27,MATCH(E367,Cost_Components!$A$2:$A$27,0)),"")</f>
        <v>2050</v>
      </c>
      <c r="AC367" s="24">
        <f>IFERROR(INDEX(Cost_Components!$M$2:$M$27,MATCH(E367,Cost_Components!$A$2:$A$27,0)),"")</f>
        <v>0</v>
      </c>
      <c r="AD367" s="24">
        <f>IFERROR(INDEX(Cost_Components!$N$2:$N$27,MATCH(E367,Cost_Components!$A$2:$A$27,0)),"")</f>
        <v>95</v>
      </c>
      <c r="AE367" s="14" t="str">
        <f>IFERROR(INDEX(Cost_Components!$O$2:$O$27,MATCH(E367,Cost_Components!$A$2:$A$27,0)),"")</f>
        <v>Both</v>
      </c>
      <c r="AF367" s="11">
        <v>580111.54195764905</v>
      </c>
      <c r="AG367" s="11">
        <v>580111.54195764905</v>
      </c>
      <c r="AH367" s="21">
        <f t="shared" si="59"/>
        <v>1</v>
      </c>
    </row>
    <row r="368" spans="1:34" hidden="1">
      <c r="A368" t="s">
        <v>202</v>
      </c>
      <c r="B368" s="18">
        <v>2027</v>
      </c>
      <c r="C368" t="s">
        <v>202</v>
      </c>
      <c r="D368" t="s">
        <v>177</v>
      </c>
      <c r="E368" s="20" t="s">
        <v>291</v>
      </c>
      <c r="F368" s="20" t="s">
        <v>292</v>
      </c>
      <c r="G368" s="20" t="s">
        <v>203</v>
      </c>
      <c r="H368" s="20" t="s">
        <v>192</v>
      </c>
      <c r="I368" s="20" t="s">
        <v>167</v>
      </c>
      <c r="J368" s="15">
        <f>IFERROR(INDEX(Cost_Components!$K$2:$K$27,MATCH(E368,Cost_Components!$A$2:$A$27,0)),"")</f>
        <v>0.52</v>
      </c>
      <c r="K368" s="15">
        <f t="shared" si="50"/>
        <v>0.36653846153846154</v>
      </c>
      <c r="L368" s="15">
        <f>IFERROR(INDEX(Cost_Components!$S$2:$S$27,MATCH(E368,Cost_Components!$A$2:$A$27,0)),"")</f>
        <v>0.31</v>
      </c>
      <c r="M368" s="26">
        <f>IFERROR(INDEX(Cost_Components!$L$2:$L$27,MATCH(E368,Cost_Components!$A$2:$A$27,0)),"")</f>
        <v>1</v>
      </c>
      <c r="N368" s="27">
        <f>IFERROR(INDEX(Cost_Components!$P$2:$P$27,MATCH(E368,Cost_Components!$A$2:$A$27,0)),"")</f>
        <v>35.362648999999998</v>
      </c>
      <c r="O368" s="21">
        <f t="shared" si="51"/>
        <v>309997.41451246</v>
      </c>
      <c r="P368" s="21">
        <f t="shared" si="52"/>
        <v>309997.39281403151</v>
      </c>
      <c r="Q368" s="21">
        <f t="shared" si="53"/>
        <v>3398321.9878292922</v>
      </c>
      <c r="R368" s="21">
        <f t="shared" si="54"/>
        <v>4018115.4852219163</v>
      </c>
      <c r="S368" s="21">
        <f t="shared" si="55"/>
        <v>619793.49739262415</v>
      </c>
      <c r="T368" s="14">
        <f>IFERROR(INDEX(Cost_Components!$R$2:$R$27,MATCH(E368,Cost_Components!$A$2:$A$27,0)),"")</f>
        <v>1</v>
      </c>
      <c r="U368" s="24">
        <f>IFERROR(INDEX(Cost_Components!$Q$2:$Q$27,MATCH(E368,Cost_Components!$A$2:$A$27,0)),"")</f>
        <v>2023</v>
      </c>
      <c r="V368" s="28">
        <f>1/(1+Calculation_Assumptions!$B$5)^(B368-Calculation_Assumptions!$B$2)</f>
        <v>0.94259590913375435</v>
      </c>
      <c r="W368" s="21">
        <f t="shared" si="56"/>
        <v>3203244.4036471788</v>
      </c>
      <c r="X368" s="21">
        <f t="shared" si="57"/>
        <v>3787459.2187971687</v>
      </c>
      <c r="Y368" s="21">
        <f t="shared" si="58"/>
        <v>584214.81514998979</v>
      </c>
      <c r="Z368" s="15">
        <f>IFERROR(INDEX(Cost_Components!$T$2:$T$27,MATCH(E368,Cost_Components!$A$2:$A$27,0)),"")</f>
        <v>0.8</v>
      </c>
      <c r="AA368" s="24">
        <f>IFERROR(INDEX(Cost_Components!$U$2:$U$27,MATCH(E368,Cost_Components!$A$2:$A$27,0)),"")</f>
        <v>2025</v>
      </c>
      <c r="AB368" s="24">
        <f>IFERROR(INDEX(Cost_Components!$V$2:$V$27,MATCH(E368,Cost_Components!$A$2:$A$27,0)),"")</f>
        <v>2050</v>
      </c>
      <c r="AC368" s="24">
        <f>IFERROR(INDEX(Cost_Components!$M$2:$M$27,MATCH(E368,Cost_Components!$A$2:$A$27,0)),"")</f>
        <v>0</v>
      </c>
      <c r="AD368" s="24">
        <f>IFERROR(INDEX(Cost_Components!$N$2:$N$27,MATCH(E368,Cost_Components!$A$2:$A$27,0)),"")</f>
        <v>95</v>
      </c>
      <c r="AE368" s="14" t="str">
        <f>IFERROR(INDEX(Cost_Components!$O$2:$O$27,MATCH(E368,Cost_Components!$A$2:$A$27,0)),"")</f>
        <v>Both</v>
      </c>
      <c r="AF368" s="11">
        <v>596148.87406242301</v>
      </c>
      <c r="AG368" s="11">
        <v>596148.83233467594</v>
      </c>
      <c r="AH368" s="21">
        <f t="shared" si="59"/>
        <v>1</v>
      </c>
    </row>
    <row r="369" spans="1:34" hidden="1">
      <c r="A369" t="s">
        <v>202</v>
      </c>
      <c r="B369" s="18">
        <v>2028</v>
      </c>
      <c r="C369" t="s">
        <v>202</v>
      </c>
      <c r="D369" t="s">
        <v>177</v>
      </c>
      <c r="E369" s="20" t="s">
        <v>291</v>
      </c>
      <c r="F369" s="20" t="s">
        <v>292</v>
      </c>
      <c r="G369" s="20" t="s">
        <v>203</v>
      </c>
      <c r="H369" s="20" t="s">
        <v>192</v>
      </c>
      <c r="I369" s="20" t="s">
        <v>167</v>
      </c>
      <c r="J369" s="15">
        <f>IFERROR(INDEX(Cost_Components!$K$2:$K$27,MATCH(E369,Cost_Components!$A$2:$A$27,0)),"")</f>
        <v>0.52</v>
      </c>
      <c r="K369" s="15">
        <f t="shared" si="50"/>
        <v>0.38538461538461538</v>
      </c>
      <c r="L369" s="15">
        <f>IFERROR(INDEX(Cost_Components!$S$2:$S$27,MATCH(E369,Cost_Components!$A$2:$A$27,0)),"")</f>
        <v>0.31</v>
      </c>
      <c r="M369" s="26">
        <f>IFERROR(INDEX(Cost_Components!$L$2:$L$27,MATCH(E369,Cost_Components!$A$2:$A$27,0)),"")</f>
        <v>1</v>
      </c>
      <c r="N369" s="27">
        <f>IFERROR(INDEX(Cost_Components!$P$2:$P$27,MATCH(E369,Cost_Components!$A$2:$A$27,0)),"")</f>
        <v>35.362648999999998</v>
      </c>
      <c r="O369" s="21">
        <f t="shared" si="51"/>
        <v>318256.54257817421</v>
      </c>
      <c r="P369" s="21">
        <f t="shared" si="52"/>
        <v>318256.4629112705</v>
      </c>
      <c r="Q369" s="21">
        <f t="shared" si="53"/>
        <v>3488861.3928729608</v>
      </c>
      <c r="R369" s="21">
        <f t="shared" si="54"/>
        <v>4337270.4599845456</v>
      </c>
      <c r="S369" s="21">
        <f t="shared" si="55"/>
        <v>848409.06711158482</v>
      </c>
      <c r="T369" s="14">
        <f>IFERROR(INDEX(Cost_Components!$R$2:$R$27,MATCH(E369,Cost_Components!$A$2:$A$27,0)),"")</f>
        <v>1</v>
      </c>
      <c r="U369" s="24">
        <f>IFERROR(INDEX(Cost_Components!$Q$2:$Q$27,MATCH(E369,Cost_Components!$A$2:$A$27,0)),"")</f>
        <v>2023</v>
      </c>
      <c r="V369" s="28">
        <f>1/(1+Calculation_Assumptions!$B$5)^(B369-Calculation_Assumptions!$B$2)</f>
        <v>0.91514165935315961</v>
      </c>
      <c r="W369" s="21">
        <f t="shared" si="56"/>
        <v>3192802.4043269372</v>
      </c>
      <c r="X369" s="21">
        <f t="shared" si="57"/>
        <v>3969216.8858136991</v>
      </c>
      <c r="Y369" s="21">
        <f t="shared" si="58"/>
        <v>776414.48148676194</v>
      </c>
      <c r="Z369" s="15">
        <f>IFERROR(INDEX(Cost_Components!$T$2:$T$27,MATCH(E369,Cost_Components!$A$2:$A$27,0)),"")</f>
        <v>0.8</v>
      </c>
      <c r="AA369" s="24">
        <f>IFERROR(INDEX(Cost_Components!$U$2:$U$27,MATCH(E369,Cost_Components!$A$2:$A$27,0)),"")</f>
        <v>2025</v>
      </c>
      <c r="AB369" s="24">
        <f>IFERROR(INDEX(Cost_Components!$V$2:$V$27,MATCH(E369,Cost_Components!$A$2:$A$27,0)),"")</f>
        <v>2050</v>
      </c>
      <c r="AC369" s="24">
        <f>IFERROR(INDEX(Cost_Components!$M$2:$M$27,MATCH(E369,Cost_Components!$A$2:$A$27,0)),"")</f>
        <v>0</v>
      </c>
      <c r="AD369" s="24">
        <f>IFERROR(INDEX(Cost_Components!$N$2:$N$27,MATCH(E369,Cost_Components!$A$2:$A$27,0)),"")</f>
        <v>95</v>
      </c>
      <c r="AE369" s="14" t="str">
        <f>IFERROR(INDEX(Cost_Components!$O$2:$O$27,MATCH(E369,Cost_Components!$A$2:$A$27,0)),"")</f>
        <v>Both</v>
      </c>
      <c r="AF369" s="11">
        <v>612031.81265033502</v>
      </c>
      <c r="AG369" s="11">
        <v>612031.65944475099</v>
      </c>
      <c r="AH369" s="21">
        <f t="shared" si="59"/>
        <v>1</v>
      </c>
    </row>
    <row r="370" spans="1:34" hidden="1">
      <c r="A370" t="s">
        <v>202</v>
      </c>
      <c r="B370" s="18">
        <v>2029</v>
      </c>
      <c r="C370" t="s">
        <v>202</v>
      </c>
      <c r="D370" t="s">
        <v>177</v>
      </c>
      <c r="E370" s="20" t="s">
        <v>291</v>
      </c>
      <c r="F370" s="20" t="s">
        <v>292</v>
      </c>
      <c r="G370" s="20" t="s">
        <v>203</v>
      </c>
      <c r="H370" s="20" t="s">
        <v>192</v>
      </c>
      <c r="I370" s="20" t="s">
        <v>167</v>
      </c>
      <c r="J370" s="15">
        <f>IFERROR(INDEX(Cost_Components!$K$2:$K$27,MATCH(E370,Cost_Components!$A$2:$A$27,0)),"")</f>
        <v>0.52</v>
      </c>
      <c r="K370" s="15">
        <f t="shared" si="50"/>
        <v>0.40423076923076923</v>
      </c>
      <c r="L370" s="15">
        <f>IFERROR(INDEX(Cost_Components!$S$2:$S$27,MATCH(E370,Cost_Components!$A$2:$A$27,0)),"")</f>
        <v>0.31</v>
      </c>
      <c r="M370" s="26">
        <f>IFERROR(INDEX(Cost_Components!$L$2:$L$27,MATCH(E370,Cost_Components!$A$2:$A$27,0)),"")</f>
        <v>1</v>
      </c>
      <c r="N370" s="27">
        <f>IFERROR(INDEX(Cost_Components!$P$2:$P$27,MATCH(E370,Cost_Components!$A$2:$A$27,0)),"")</f>
        <v>35.362648999999998</v>
      </c>
      <c r="O370" s="21">
        <f t="shared" si="51"/>
        <v>326417.88122823986</v>
      </c>
      <c r="P370" s="21">
        <f t="shared" si="52"/>
        <v>326417.69518737338</v>
      </c>
      <c r="Q370" s="21">
        <f t="shared" si="53"/>
        <v>3578328.2585130227</v>
      </c>
      <c r="R370" s="21">
        <f t="shared" si="54"/>
        <v>4666036.1577765495</v>
      </c>
      <c r="S370" s="21">
        <f t="shared" si="55"/>
        <v>1087707.8992635268</v>
      </c>
      <c r="T370" s="14">
        <f>IFERROR(INDEX(Cost_Components!$R$2:$R$27,MATCH(E370,Cost_Components!$A$2:$A$27,0)),"")</f>
        <v>1</v>
      </c>
      <c r="U370" s="24">
        <f>IFERROR(INDEX(Cost_Components!$Q$2:$Q$27,MATCH(E370,Cost_Components!$A$2:$A$27,0)),"")</f>
        <v>2023</v>
      </c>
      <c r="V370" s="28">
        <f>1/(1+Calculation_Assumptions!$B$5)^(B370-Calculation_Assumptions!$B$2)</f>
        <v>0.888487047915689</v>
      </c>
      <c r="W370" s="21">
        <f t="shared" si="56"/>
        <v>3179298.3108795239</v>
      </c>
      <c r="X370" s="21">
        <f t="shared" si="57"/>
        <v>4145712.6912907506</v>
      </c>
      <c r="Y370" s="21">
        <f t="shared" si="58"/>
        <v>966414.38041122654</v>
      </c>
      <c r="Z370" s="15">
        <f>IFERROR(INDEX(Cost_Components!$T$2:$T$27,MATCH(E370,Cost_Components!$A$2:$A$27,0)),"")</f>
        <v>0.8</v>
      </c>
      <c r="AA370" s="24">
        <f>IFERROR(INDEX(Cost_Components!$U$2:$U$27,MATCH(E370,Cost_Components!$A$2:$A$27,0)),"")</f>
        <v>2025</v>
      </c>
      <c r="AB370" s="24">
        <f>IFERROR(INDEX(Cost_Components!$V$2:$V$27,MATCH(E370,Cost_Components!$A$2:$A$27,0)),"")</f>
        <v>2050</v>
      </c>
      <c r="AC370" s="24">
        <f>IFERROR(INDEX(Cost_Components!$M$2:$M$27,MATCH(E370,Cost_Components!$A$2:$A$27,0)),"")</f>
        <v>0</v>
      </c>
      <c r="AD370" s="24">
        <f>IFERROR(INDEX(Cost_Components!$N$2:$N$27,MATCH(E370,Cost_Components!$A$2:$A$27,0)),"")</f>
        <v>95</v>
      </c>
      <c r="AE370" s="14" t="str">
        <f>IFERROR(INDEX(Cost_Components!$O$2:$O$27,MATCH(E370,Cost_Components!$A$2:$A$27,0)),"")</f>
        <v>Both</v>
      </c>
      <c r="AF370" s="11">
        <v>627726.69466969196</v>
      </c>
      <c r="AG370" s="11">
        <v>627726.33689879498</v>
      </c>
      <c r="AH370" s="21">
        <f t="shared" si="59"/>
        <v>1</v>
      </c>
    </row>
    <row r="371" spans="1:34" hidden="1">
      <c r="A371" t="s">
        <v>202</v>
      </c>
      <c r="B371" s="18">
        <v>2030</v>
      </c>
      <c r="C371" t="s">
        <v>202</v>
      </c>
      <c r="D371" t="s">
        <v>177</v>
      </c>
      <c r="E371" s="20" t="s">
        <v>291</v>
      </c>
      <c r="F371" s="20" t="s">
        <v>292</v>
      </c>
      <c r="G371" s="20" t="s">
        <v>203</v>
      </c>
      <c r="H371" s="20" t="s">
        <v>192</v>
      </c>
      <c r="I371" s="20" t="s">
        <v>167</v>
      </c>
      <c r="J371" s="15">
        <f>IFERROR(INDEX(Cost_Components!$K$2:$K$27,MATCH(E371,Cost_Components!$A$2:$A$27,0)),"")</f>
        <v>0.52</v>
      </c>
      <c r="K371" s="15">
        <f t="shared" si="50"/>
        <v>0.42307692307692307</v>
      </c>
      <c r="L371" s="15">
        <f>IFERROR(INDEX(Cost_Components!$S$2:$S$27,MATCH(E371,Cost_Components!$A$2:$A$27,0)),"")</f>
        <v>0.31</v>
      </c>
      <c r="M371" s="26">
        <f>IFERROR(INDEX(Cost_Components!$L$2:$L$27,MATCH(E371,Cost_Components!$A$2:$A$27,0)),"")</f>
        <v>1</v>
      </c>
      <c r="N371" s="27">
        <f>IFERROR(INDEX(Cost_Components!$P$2:$P$27,MATCH(E371,Cost_Components!$A$2:$A$27,0)),"")</f>
        <v>35.362648999999998</v>
      </c>
      <c r="O371" s="21">
        <f t="shared" si="51"/>
        <v>334440.5423343546</v>
      </c>
      <c r="P371" s="21">
        <f t="shared" si="52"/>
        <v>334440.18987892708</v>
      </c>
      <c r="Q371" s="21">
        <f t="shared" si="53"/>
        <v>3666274.2243163735</v>
      </c>
      <c r="R371" s="21">
        <f t="shared" si="54"/>
        <v>5003605.3311282163</v>
      </c>
      <c r="S371" s="21">
        <f t="shared" si="55"/>
        <v>1337331.1068118429</v>
      </c>
      <c r="T371" s="14">
        <f>IFERROR(INDEX(Cost_Components!$R$2:$R$27,MATCH(E371,Cost_Components!$A$2:$A$27,0)),"")</f>
        <v>1</v>
      </c>
      <c r="U371" s="24">
        <f>IFERROR(INDEX(Cost_Components!$Q$2:$Q$27,MATCH(E371,Cost_Components!$A$2:$A$27,0)),"")</f>
        <v>2023</v>
      </c>
      <c r="V371" s="28">
        <f>1/(1+Calculation_Assumptions!$B$5)^(B371-Calculation_Assumptions!$B$2)</f>
        <v>0.86260878438416411</v>
      </c>
      <c r="W371" s="21">
        <f t="shared" si="56"/>
        <v>3162560.3518565409</v>
      </c>
      <c r="X371" s="21">
        <f t="shared" si="57"/>
        <v>4316153.9122226341</v>
      </c>
      <c r="Y371" s="21">
        <f t="shared" si="58"/>
        <v>1153593.5603660925</v>
      </c>
      <c r="Z371" s="15">
        <f>IFERROR(INDEX(Cost_Components!$T$2:$T$27,MATCH(E371,Cost_Components!$A$2:$A$27,0)),"")</f>
        <v>0.8</v>
      </c>
      <c r="AA371" s="24">
        <f>IFERROR(INDEX(Cost_Components!$U$2:$U$27,MATCH(E371,Cost_Components!$A$2:$A$27,0)),"")</f>
        <v>2025</v>
      </c>
      <c r="AB371" s="24">
        <f>IFERROR(INDEX(Cost_Components!$V$2:$V$27,MATCH(E371,Cost_Components!$A$2:$A$27,0)),"")</f>
        <v>2050</v>
      </c>
      <c r="AC371" s="24">
        <f>IFERROR(INDEX(Cost_Components!$M$2:$M$27,MATCH(E371,Cost_Components!$A$2:$A$27,0)),"")</f>
        <v>0</v>
      </c>
      <c r="AD371" s="24">
        <f>IFERROR(INDEX(Cost_Components!$N$2:$N$27,MATCH(E371,Cost_Components!$A$2:$A$27,0)),"")</f>
        <v>95</v>
      </c>
      <c r="AE371" s="14" t="str">
        <f>IFERROR(INDEX(Cost_Components!$O$2:$O$27,MATCH(E371,Cost_Components!$A$2:$A$27,0)),"")</f>
        <v>Both</v>
      </c>
      <c r="AF371" s="11">
        <v>643154.889104528</v>
      </c>
      <c r="AG371" s="11">
        <v>643154.211305629</v>
      </c>
      <c r="AH371" s="21">
        <f t="shared" si="59"/>
        <v>1</v>
      </c>
    </row>
    <row r="372" spans="1:34" hidden="1">
      <c r="A372" t="s">
        <v>202</v>
      </c>
      <c r="B372" s="18">
        <v>2031</v>
      </c>
      <c r="C372" t="s">
        <v>202</v>
      </c>
      <c r="D372" t="s">
        <v>177</v>
      </c>
      <c r="E372" s="20" t="s">
        <v>291</v>
      </c>
      <c r="F372" s="20" t="s">
        <v>292</v>
      </c>
      <c r="G372" s="20" t="s">
        <v>203</v>
      </c>
      <c r="H372" s="20" t="s">
        <v>192</v>
      </c>
      <c r="I372" s="20" t="s">
        <v>167</v>
      </c>
      <c r="J372" s="15">
        <f>IFERROR(INDEX(Cost_Components!$K$2:$K$27,MATCH(E372,Cost_Components!$A$2:$A$27,0)),"")</f>
        <v>0.52</v>
      </c>
      <c r="K372" s="15">
        <f t="shared" si="50"/>
        <v>0.44192307692307692</v>
      </c>
      <c r="L372" s="15">
        <f>IFERROR(INDEX(Cost_Components!$S$2:$S$27,MATCH(E372,Cost_Components!$A$2:$A$27,0)),"")</f>
        <v>0.31</v>
      </c>
      <c r="M372" s="26">
        <f>IFERROR(INDEX(Cost_Components!$L$2:$L$27,MATCH(E372,Cost_Components!$A$2:$A$27,0)),"")</f>
        <v>1</v>
      </c>
      <c r="N372" s="27">
        <f>IFERROR(INDEX(Cost_Components!$P$2:$P$27,MATCH(E372,Cost_Components!$A$2:$A$27,0)),"")</f>
        <v>35.362648999999998</v>
      </c>
      <c r="O372" s="21">
        <f t="shared" si="51"/>
        <v>342307.30702969269</v>
      </c>
      <c r="P372" s="21">
        <f t="shared" si="52"/>
        <v>342306.7176197833</v>
      </c>
      <c r="Q372" s="21">
        <f t="shared" si="53"/>
        <v>3752510.4147144584</v>
      </c>
      <c r="R372" s="21">
        <f t="shared" si="54"/>
        <v>5349431.6260659872</v>
      </c>
      <c r="S372" s="21">
        <f t="shared" si="55"/>
        <v>1596921.2113515288</v>
      </c>
      <c r="T372" s="14">
        <f>IFERROR(INDEX(Cost_Components!$R$2:$R$27,MATCH(E372,Cost_Components!$A$2:$A$27,0)),"")</f>
        <v>1</v>
      </c>
      <c r="U372" s="24">
        <f>IFERROR(INDEX(Cost_Components!$Q$2:$Q$27,MATCH(E372,Cost_Components!$A$2:$A$27,0)),"")</f>
        <v>2023</v>
      </c>
      <c r="V372" s="28">
        <f>1/(1+Calculation_Assumptions!$B$5)^(B372-Calculation_Assumptions!$B$2)</f>
        <v>0.83748425668365445</v>
      </c>
      <c r="W372" s="21">
        <f t="shared" si="56"/>
        <v>3142668.3953648102</v>
      </c>
      <c r="X372" s="21">
        <f t="shared" si="57"/>
        <v>4480064.7690359065</v>
      </c>
      <c r="Y372" s="21">
        <f t="shared" si="58"/>
        <v>1337396.3736710961</v>
      </c>
      <c r="Z372" s="15">
        <f>IFERROR(INDEX(Cost_Components!$T$2:$T$27,MATCH(E372,Cost_Components!$A$2:$A$27,0)),"")</f>
        <v>0.8</v>
      </c>
      <c r="AA372" s="24">
        <f>IFERROR(INDEX(Cost_Components!$U$2:$U$27,MATCH(E372,Cost_Components!$A$2:$A$27,0)),"")</f>
        <v>2025</v>
      </c>
      <c r="AB372" s="24">
        <f>IFERROR(INDEX(Cost_Components!$V$2:$V$27,MATCH(E372,Cost_Components!$A$2:$A$27,0)),"")</f>
        <v>2050</v>
      </c>
      <c r="AC372" s="24">
        <f>IFERROR(INDEX(Cost_Components!$M$2:$M$27,MATCH(E372,Cost_Components!$A$2:$A$27,0)),"")</f>
        <v>0</v>
      </c>
      <c r="AD372" s="24">
        <f>IFERROR(INDEX(Cost_Components!$N$2:$N$27,MATCH(E372,Cost_Components!$A$2:$A$27,0)),"")</f>
        <v>95</v>
      </c>
      <c r="AE372" s="14" t="str">
        <f>IFERROR(INDEX(Cost_Components!$O$2:$O$27,MATCH(E372,Cost_Components!$A$2:$A$27,0)),"")</f>
        <v>Both</v>
      </c>
      <c r="AF372" s="11">
        <v>658283.28274940897</v>
      </c>
      <c r="AG372" s="11">
        <v>658282.14926881401</v>
      </c>
      <c r="AH372" s="21">
        <f t="shared" si="59"/>
        <v>1</v>
      </c>
    </row>
    <row r="373" spans="1:34" hidden="1">
      <c r="A373" t="s">
        <v>202</v>
      </c>
      <c r="B373" s="18">
        <v>2032</v>
      </c>
      <c r="C373" t="s">
        <v>202</v>
      </c>
      <c r="D373" t="s">
        <v>177</v>
      </c>
      <c r="E373" s="20" t="s">
        <v>291</v>
      </c>
      <c r="F373" s="20" t="s">
        <v>292</v>
      </c>
      <c r="G373" s="20" t="s">
        <v>203</v>
      </c>
      <c r="H373" s="20" t="s">
        <v>192</v>
      </c>
      <c r="I373" s="20" t="s">
        <v>167</v>
      </c>
      <c r="J373" s="15">
        <f>IFERROR(INDEX(Cost_Components!$K$2:$K$27,MATCH(E373,Cost_Components!$A$2:$A$27,0)),"")</f>
        <v>0.52</v>
      </c>
      <c r="K373" s="15">
        <f t="shared" si="50"/>
        <v>0.46076923076923082</v>
      </c>
      <c r="L373" s="15">
        <f>IFERROR(INDEX(Cost_Components!$S$2:$S$27,MATCH(E373,Cost_Components!$A$2:$A$27,0)),"")</f>
        <v>0.31</v>
      </c>
      <c r="M373" s="26">
        <f>IFERROR(INDEX(Cost_Components!$L$2:$L$27,MATCH(E373,Cost_Components!$A$2:$A$27,0)),"")</f>
        <v>1</v>
      </c>
      <c r="N373" s="27">
        <f>IFERROR(INDEX(Cost_Components!$P$2:$P$27,MATCH(E373,Cost_Components!$A$2:$A$27,0)),"")</f>
        <v>35.362648999999998</v>
      </c>
      <c r="O373" s="21">
        <f t="shared" si="51"/>
        <v>350030.52816765435</v>
      </c>
      <c r="P373" s="21">
        <f t="shared" si="52"/>
        <v>350029.62190209836</v>
      </c>
      <c r="Q373" s="21">
        <f t="shared" si="53"/>
        <v>3837172.1442672508</v>
      </c>
      <c r="R373" s="21">
        <f t="shared" si="54"/>
        <v>5703404.6287842672</v>
      </c>
      <c r="S373" s="21">
        <f t="shared" si="55"/>
        <v>1866232.4845170164</v>
      </c>
      <c r="T373" s="14">
        <f>IFERROR(INDEX(Cost_Components!$R$2:$R$27,MATCH(E373,Cost_Components!$A$2:$A$27,0)),"")</f>
        <v>1</v>
      </c>
      <c r="U373" s="24">
        <f>IFERROR(INDEX(Cost_Components!$Q$2:$Q$27,MATCH(E373,Cost_Components!$A$2:$A$27,0)),"")</f>
        <v>2023</v>
      </c>
      <c r="V373" s="28">
        <f>1/(1+Calculation_Assumptions!$B$5)^(B373-Calculation_Assumptions!$B$2)</f>
        <v>0.81309151134335378</v>
      </c>
      <c r="W373" s="21">
        <f t="shared" si="56"/>
        <v>3119972.0980668766</v>
      </c>
      <c r="X373" s="21">
        <f t="shared" si="57"/>
        <v>4637389.8894208791</v>
      </c>
      <c r="Y373" s="21">
        <f t="shared" si="58"/>
        <v>1517417.7913540029</v>
      </c>
      <c r="Z373" s="15">
        <f>IFERROR(INDEX(Cost_Components!$T$2:$T$27,MATCH(E373,Cost_Components!$A$2:$A$27,0)),"")</f>
        <v>0.8</v>
      </c>
      <c r="AA373" s="24">
        <f>IFERROR(INDEX(Cost_Components!$U$2:$U$27,MATCH(E373,Cost_Components!$A$2:$A$27,0)),"")</f>
        <v>2025</v>
      </c>
      <c r="AB373" s="24">
        <f>IFERROR(INDEX(Cost_Components!$V$2:$V$27,MATCH(E373,Cost_Components!$A$2:$A$27,0)),"")</f>
        <v>2050</v>
      </c>
      <c r="AC373" s="24">
        <f>IFERROR(INDEX(Cost_Components!$M$2:$M$27,MATCH(E373,Cost_Components!$A$2:$A$27,0)),"")</f>
        <v>0</v>
      </c>
      <c r="AD373" s="24">
        <f>IFERROR(INDEX(Cost_Components!$N$2:$N$27,MATCH(E373,Cost_Components!$A$2:$A$27,0)),"")</f>
        <v>95</v>
      </c>
      <c r="AE373" s="14" t="str">
        <f>IFERROR(INDEX(Cost_Components!$O$2:$O$27,MATCH(E373,Cost_Components!$A$2:$A$27,0)),"")</f>
        <v>Both</v>
      </c>
      <c r="AF373" s="11">
        <v>673135.63109164301</v>
      </c>
      <c r="AG373" s="11">
        <v>673133.88827326603</v>
      </c>
      <c r="AH373" s="21">
        <f t="shared" si="59"/>
        <v>1</v>
      </c>
    </row>
    <row r="374" spans="1:34" hidden="1">
      <c r="A374" t="s">
        <v>202</v>
      </c>
      <c r="B374" s="18">
        <v>2033</v>
      </c>
      <c r="C374" t="s">
        <v>202</v>
      </c>
      <c r="D374" t="s">
        <v>177</v>
      </c>
      <c r="E374" s="20" t="s">
        <v>291</v>
      </c>
      <c r="F374" s="20" t="s">
        <v>292</v>
      </c>
      <c r="G374" s="20" t="s">
        <v>203</v>
      </c>
      <c r="H374" s="20" t="s">
        <v>192</v>
      </c>
      <c r="I374" s="20" t="s">
        <v>167</v>
      </c>
      <c r="J374" s="15">
        <f>IFERROR(INDEX(Cost_Components!$K$2:$K$27,MATCH(E374,Cost_Components!$A$2:$A$27,0)),"")</f>
        <v>0.52</v>
      </c>
      <c r="K374" s="15">
        <f t="shared" si="50"/>
        <v>0.47961538461538467</v>
      </c>
      <c r="L374" s="15">
        <f>IFERROR(INDEX(Cost_Components!$S$2:$S$27,MATCH(E374,Cost_Components!$A$2:$A$27,0)),"")</f>
        <v>0.31</v>
      </c>
      <c r="M374" s="26">
        <f>IFERROR(INDEX(Cost_Components!$L$2:$L$27,MATCH(E374,Cost_Components!$A$2:$A$27,0)),"")</f>
        <v>1</v>
      </c>
      <c r="N374" s="27">
        <f>IFERROR(INDEX(Cost_Components!$P$2:$P$27,MATCH(E374,Cost_Components!$A$2:$A$27,0)),"")</f>
        <v>35.362648999999998</v>
      </c>
      <c r="O374" s="21">
        <f t="shared" si="51"/>
        <v>357571.35611413169</v>
      </c>
      <c r="P374" s="21">
        <f t="shared" si="52"/>
        <v>357570.04376440152</v>
      </c>
      <c r="Q374" s="21">
        <f t="shared" si="53"/>
        <v>3919833.4246721021</v>
      </c>
      <c r="R374" s="21">
        <f t="shared" si="54"/>
        <v>6064578.4374313084</v>
      </c>
      <c r="S374" s="21">
        <f t="shared" si="55"/>
        <v>2144745.0127592064</v>
      </c>
      <c r="T374" s="14">
        <f>IFERROR(INDEX(Cost_Components!$R$2:$R$27,MATCH(E374,Cost_Components!$A$2:$A$27,0)),"")</f>
        <v>1</v>
      </c>
      <c r="U374" s="24">
        <f>IFERROR(INDEX(Cost_Components!$Q$2:$Q$27,MATCH(E374,Cost_Components!$A$2:$A$27,0)),"")</f>
        <v>2023</v>
      </c>
      <c r="V374" s="28">
        <f>1/(1+Calculation_Assumptions!$B$5)^(B374-Calculation_Assumptions!$B$2)</f>
        <v>0.78940923431393573</v>
      </c>
      <c r="W374" s="21">
        <f t="shared" si="56"/>
        <v>3094352.7024085764</v>
      </c>
      <c r="X374" s="21">
        <f t="shared" si="57"/>
        <v>4787434.2207294544</v>
      </c>
      <c r="Y374" s="21">
        <f t="shared" si="58"/>
        <v>1693081.5183208773</v>
      </c>
      <c r="Z374" s="15">
        <f>IFERROR(INDEX(Cost_Components!$T$2:$T$27,MATCH(E374,Cost_Components!$A$2:$A$27,0)),"")</f>
        <v>0.8</v>
      </c>
      <c r="AA374" s="24">
        <f>IFERROR(INDEX(Cost_Components!$U$2:$U$27,MATCH(E374,Cost_Components!$A$2:$A$27,0)),"")</f>
        <v>2025</v>
      </c>
      <c r="AB374" s="24">
        <f>IFERROR(INDEX(Cost_Components!$V$2:$V$27,MATCH(E374,Cost_Components!$A$2:$A$27,0)),"")</f>
        <v>2050</v>
      </c>
      <c r="AC374" s="24">
        <f>IFERROR(INDEX(Cost_Components!$M$2:$M$27,MATCH(E374,Cost_Components!$A$2:$A$27,0)),"")</f>
        <v>0</v>
      </c>
      <c r="AD374" s="24">
        <f>IFERROR(INDEX(Cost_Components!$N$2:$N$27,MATCH(E374,Cost_Components!$A$2:$A$27,0)),"")</f>
        <v>95</v>
      </c>
      <c r="AE374" s="14" t="str">
        <f>IFERROR(INDEX(Cost_Components!$O$2:$O$27,MATCH(E374,Cost_Components!$A$2:$A$27,0)),"")</f>
        <v>Both</v>
      </c>
      <c r="AF374" s="11">
        <v>687637.22329640703</v>
      </c>
      <c r="AG374" s="11">
        <v>687634.69954692596</v>
      </c>
      <c r="AH374" s="21">
        <f t="shared" si="59"/>
        <v>1</v>
      </c>
    </row>
    <row r="375" spans="1:34" hidden="1">
      <c r="A375" t="s">
        <v>202</v>
      </c>
      <c r="B375" s="18">
        <v>2034</v>
      </c>
      <c r="C375" t="s">
        <v>202</v>
      </c>
      <c r="D375" t="s">
        <v>177</v>
      </c>
      <c r="E375" s="20" t="s">
        <v>291</v>
      </c>
      <c r="F375" s="20" t="s">
        <v>292</v>
      </c>
      <c r="G375" s="20" t="s">
        <v>203</v>
      </c>
      <c r="H375" s="20" t="s">
        <v>192</v>
      </c>
      <c r="I375" s="20" t="s">
        <v>167</v>
      </c>
      <c r="J375" s="15">
        <f>IFERROR(INDEX(Cost_Components!$K$2:$K$27,MATCH(E375,Cost_Components!$A$2:$A$27,0)),"")</f>
        <v>0.52</v>
      </c>
      <c r="K375" s="15">
        <f t="shared" si="50"/>
        <v>0.49846153846153851</v>
      </c>
      <c r="L375" s="15">
        <f>IFERROR(INDEX(Cost_Components!$S$2:$S$27,MATCH(E375,Cost_Components!$A$2:$A$27,0)),"")</f>
        <v>0.31</v>
      </c>
      <c r="M375" s="26">
        <f>IFERROR(INDEX(Cost_Components!$L$2:$L$27,MATCH(E375,Cost_Components!$A$2:$A$27,0)),"")</f>
        <v>1</v>
      </c>
      <c r="N375" s="27">
        <f>IFERROR(INDEX(Cost_Components!$P$2:$P$27,MATCH(E375,Cost_Components!$A$2:$A$27,0)),"")</f>
        <v>35.362648999999998</v>
      </c>
      <c r="O375" s="21">
        <f t="shared" si="51"/>
        <v>364881.48988827539</v>
      </c>
      <c r="P375" s="21">
        <f t="shared" si="52"/>
        <v>364879.67222655937</v>
      </c>
      <c r="Q375" s="21">
        <f t="shared" si="53"/>
        <v>3999964.6506166887</v>
      </c>
      <c r="R375" s="21">
        <f t="shared" si="54"/>
        <v>6431736.9866757337</v>
      </c>
      <c r="S375" s="21">
        <f t="shared" si="55"/>
        <v>2431772.336059045</v>
      </c>
      <c r="T375" s="14">
        <f>IFERROR(INDEX(Cost_Components!$R$2:$R$27,MATCH(E375,Cost_Components!$A$2:$A$27,0)),"")</f>
        <v>1</v>
      </c>
      <c r="U375" s="24">
        <f>IFERROR(INDEX(Cost_Components!$Q$2:$Q$27,MATCH(E375,Cost_Components!$A$2:$A$27,0)),"")</f>
        <v>2023</v>
      </c>
      <c r="V375" s="28">
        <f>1/(1+Calculation_Assumptions!$B$5)^(B375-Calculation_Assumptions!$B$2)</f>
        <v>0.76641673234362695</v>
      </c>
      <c r="W375" s="21">
        <f t="shared" si="56"/>
        <v>3065639.83701566</v>
      </c>
      <c r="X375" s="21">
        <f t="shared" si="57"/>
        <v>4929390.8446216611</v>
      </c>
      <c r="Y375" s="21">
        <f t="shared" si="58"/>
        <v>1863751.0076060016</v>
      </c>
      <c r="Z375" s="15">
        <f>IFERROR(INDEX(Cost_Components!$T$2:$T$27,MATCH(E375,Cost_Components!$A$2:$A$27,0)),"")</f>
        <v>0.8</v>
      </c>
      <c r="AA375" s="24">
        <f>IFERROR(INDEX(Cost_Components!$U$2:$U$27,MATCH(E375,Cost_Components!$A$2:$A$27,0)),"")</f>
        <v>2025</v>
      </c>
      <c r="AB375" s="24">
        <f>IFERROR(INDEX(Cost_Components!$V$2:$V$27,MATCH(E375,Cost_Components!$A$2:$A$27,0)),"")</f>
        <v>2050</v>
      </c>
      <c r="AC375" s="24">
        <f>IFERROR(INDEX(Cost_Components!$M$2:$M$27,MATCH(E375,Cost_Components!$A$2:$A$27,0)),"")</f>
        <v>0</v>
      </c>
      <c r="AD375" s="24">
        <f>IFERROR(INDEX(Cost_Components!$N$2:$N$27,MATCH(E375,Cost_Components!$A$2:$A$27,0)),"")</f>
        <v>95</v>
      </c>
      <c r="AE375" s="14" t="str">
        <f>IFERROR(INDEX(Cost_Components!$O$2:$O$27,MATCH(E375,Cost_Components!$A$2:$A$27,0)),"")</f>
        <v>Both</v>
      </c>
      <c r="AF375" s="11">
        <v>701695.17286206805</v>
      </c>
      <c r="AG375" s="11">
        <v>701691.67735876795</v>
      </c>
      <c r="AH375" s="21">
        <f t="shared" si="59"/>
        <v>1</v>
      </c>
    </row>
    <row r="376" spans="1:34" hidden="1">
      <c r="A376" t="s">
        <v>202</v>
      </c>
      <c r="B376" s="18">
        <v>2035</v>
      </c>
      <c r="C376" t="s">
        <v>202</v>
      </c>
      <c r="D376" t="s">
        <v>177</v>
      </c>
      <c r="E376" s="20" t="s">
        <v>291</v>
      </c>
      <c r="F376" s="20" t="s">
        <v>292</v>
      </c>
      <c r="G376" s="20" t="s">
        <v>203</v>
      </c>
      <c r="H376" s="20" t="s">
        <v>192</v>
      </c>
      <c r="I376" s="20" t="s">
        <v>167</v>
      </c>
      <c r="J376" s="15">
        <f>IFERROR(INDEX(Cost_Components!$K$2:$K$27,MATCH(E376,Cost_Components!$A$2:$A$27,0)),"")</f>
        <v>0.52</v>
      </c>
      <c r="K376" s="15">
        <f t="shared" si="50"/>
        <v>0.51730769230769236</v>
      </c>
      <c r="L376" s="15">
        <f>IFERROR(INDEX(Cost_Components!$S$2:$S$27,MATCH(E376,Cost_Components!$A$2:$A$27,0)),"")</f>
        <v>0.31</v>
      </c>
      <c r="M376" s="26">
        <f>IFERROR(INDEX(Cost_Components!$L$2:$L$27,MATCH(E376,Cost_Components!$A$2:$A$27,0)),"")</f>
        <v>1</v>
      </c>
      <c r="N376" s="27">
        <f>IFERROR(INDEX(Cost_Components!$P$2:$P$27,MATCH(E376,Cost_Components!$A$2:$A$27,0)),"")</f>
        <v>35.362648999999998</v>
      </c>
      <c r="O376" s="21">
        <f t="shared" si="51"/>
        <v>371974.96421212039</v>
      </c>
      <c r="P376" s="21">
        <f t="shared" si="52"/>
        <v>371972.53018749307</v>
      </c>
      <c r="Q376" s="21">
        <f t="shared" si="53"/>
        <v>4077719.5470252885</v>
      </c>
      <c r="R376" s="21">
        <f t="shared" si="54"/>
        <v>6804675.7805449776</v>
      </c>
      <c r="S376" s="21">
        <f t="shared" si="55"/>
        <v>2726956.2335196892</v>
      </c>
      <c r="T376" s="14">
        <f>IFERROR(INDEX(Cost_Components!$R$2:$R$27,MATCH(E376,Cost_Components!$A$2:$A$27,0)),"")</f>
        <v>1</v>
      </c>
      <c r="U376" s="24">
        <f>IFERROR(INDEX(Cost_Components!$Q$2:$Q$27,MATCH(E376,Cost_Components!$A$2:$A$27,0)),"")</f>
        <v>2023</v>
      </c>
      <c r="V376" s="28">
        <f>1/(1+Calculation_Assumptions!$B$5)^(B376-Calculation_Assumptions!$B$2)</f>
        <v>0.74409391489672516</v>
      </c>
      <c r="W376" s="21">
        <f t="shared" si="56"/>
        <v>3034206.3015969475</v>
      </c>
      <c r="X376" s="21">
        <f t="shared" si="57"/>
        <v>5063317.8411486419</v>
      </c>
      <c r="Y376" s="21">
        <f t="shared" si="58"/>
        <v>2029111.5395516937</v>
      </c>
      <c r="Z376" s="15">
        <f>IFERROR(INDEX(Cost_Components!$T$2:$T$27,MATCH(E376,Cost_Components!$A$2:$A$27,0)),"")</f>
        <v>0.8</v>
      </c>
      <c r="AA376" s="24">
        <f>IFERROR(INDEX(Cost_Components!$U$2:$U$27,MATCH(E376,Cost_Components!$A$2:$A$27,0)),"")</f>
        <v>2025</v>
      </c>
      <c r="AB376" s="24">
        <f>IFERROR(INDEX(Cost_Components!$V$2:$V$27,MATCH(E376,Cost_Components!$A$2:$A$27,0)),"")</f>
        <v>2050</v>
      </c>
      <c r="AC376" s="24">
        <f>IFERROR(INDEX(Cost_Components!$M$2:$M$27,MATCH(E376,Cost_Components!$A$2:$A$27,0)),"")</f>
        <v>0</v>
      </c>
      <c r="AD376" s="24">
        <f>IFERROR(INDEX(Cost_Components!$N$2:$N$27,MATCH(E376,Cost_Components!$A$2:$A$27,0)),"")</f>
        <v>95</v>
      </c>
      <c r="AE376" s="14" t="str">
        <f>IFERROR(INDEX(Cost_Components!$O$2:$O$27,MATCH(E376,Cost_Components!$A$2:$A$27,0)),"")</f>
        <v>Both</v>
      </c>
      <c r="AF376" s="11">
        <v>715336.46963869303</v>
      </c>
      <c r="AG376" s="11">
        <v>715331.78882210201</v>
      </c>
      <c r="AH376" s="21">
        <f t="shared" si="59"/>
        <v>1</v>
      </c>
    </row>
    <row r="377" spans="1:34" hidden="1">
      <c r="A377" t="s">
        <v>202</v>
      </c>
      <c r="B377" s="18">
        <v>2036</v>
      </c>
      <c r="C377" t="s">
        <v>202</v>
      </c>
      <c r="D377" t="s">
        <v>177</v>
      </c>
      <c r="E377" s="20" t="s">
        <v>291</v>
      </c>
      <c r="F377" s="20" t="s">
        <v>292</v>
      </c>
      <c r="G377" s="20" t="s">
        <v>203</v>
      </c>
      <c r="H377" s="20" t="s">
        <v>192</v>
      </c>
      <c r="I377" s="20" t="s">
        <v>167</v>
      </c>
      <c r="J377" s="15">
        <f>IFERROR(INDEX(Cost_Components!$K$2:$K$27,MATCH(E377,Cost_Components!$A$2:$A$27,0)),"")</f>
        <v>0.52</v>
      </c>
      <c r="K377" s="15">
        <f t="shared" si="50"/>
        <v>0.5361538461538462</v>
      </c>
      <c r="L377" s="15">
        <f>IFERROR(INDEX(Cost_Components!$S$2:$S$27,MATCH(E377,Cost_Components!$A$2:$A$27,0)),"")</f>
        <v>0.31</v>
      </c>
      <c r="M377" s="26">
        <f>IFERROR(INDEX(Cost_Components!$L$2:$L$27,MATCH(E377,Cost_Components!$A$2:$A$27,0)),"")</f>
        <v>1</v>
      </c>
      <c r="N377" s="27">
        <f>IFERROR(INDEX(Cost_Components!$P$2:$P$27,MATCH(E377,Cost_Components!$A$2:$A$27,0)),"")</f>
        <v>35.362648999999998</v>
      </c>
      <c r="O377" s="21">
        <f t="shared" si="51"/>
        <v>378839.60913981369</v>
      </c>
      <c r="P377" s="21">
        <f t="shared" si="52"/>
        <v>378836.4372836384</v>
      </c>
      <c r="Q377" s="21">
        <f t="shared" si="53"/>
        <v>4152964.5876222635</v>
      </c>
      <c r="R377" s="21">
        <f t="shared" si="54"/>
        <v>7182730.9010307472</v>
      </c>
      <c r="S377" s="21">
        <f t="shared" si="55"/>
        <v>3029766.3134084838</v>
      </c>
      <c r="T377" s="14">
        <f>IFERROR(INDEX(Cost_Components!$R$2:$R$27,MATCH(E377,Cost_Components!$A$2:$A$27,0)),"")</f>
        <v>1</v>
      </c>
      <c r="U377" s="24">
        <f>IFERROR(INDEX(Cost_Components!$Q$2:$Q$27,MATCH(E377,Cost_Components!$A$2:$A$27,0)),"")</f>
        <v>2023</v>
      </c>
      <c r="V377" s="28">
        <f>1/(1+Calculation_Assumptions!$B$5)^(B377-Calculation_Assumptions!$B$2)</f>
        <v>0.72242127659876232</v>
      </c>
      <c r="W377" s="21">
        <f t="shared" si="56"/>
        <v>3000189.9790595281</v>
      </c>
      <c r="X377" s="21">
        <f t="shared" si="57"/>
        <v>5188957.6269880105</v>
      </c>
      <c r="Y377" s="21">
        <f t="shared" si="58"/>
        <v>2188767.6479284829</v>
      </c>
      <c r="Z377" s="15">
        <f>IFERROR(INDEX(Cost_Components!$T$2:$T$27,MATCH(E377,Cost_Components!$A$2:$A$27,0)),"")</f>
        <v>0.8</v>
      </c>
      <c r="AA377" s="24">
        <f>IFERROR(INDEX(Cost_Components!$U$2:$U$27,MATCH(E377,Cost_Components!$A$2:$A$27,0)),"")</f>
        <v>2025</v>
      </c>
      <c r="AB377" s="24">
        <f>IFERROR(INDEX(Cost_Components!$V$2:$V$27,MATCH(E377,Cost_Components!$A$2:$A$27,0)),"")</f>
        <v>2050</v>
      </c>
      <c r="AC377" s="24">
        <f>IFERROR(INDEX(Cost_Components!$M$2:$M$27,MATCH(E377,Cost_Components!$A$2:$A$27,0)),"")</f>
        <v>0</v>
      </c>
      <c r="AD377" s="24">
        <f>IFERROR(INDEX(Cost_Components!$N$2:$N$27,MATCH(E377,Cost_Components!$A$2:$A$27,0)),"")</f>
        <v>95</v>
      </c>
      <c r="AE377" s="14" t="str">
        <f>IFERROR(INDEX(Cost_Components!$O$2:$O$27,MATCH(E377,Cost_Components!$A$2:$A$27,0)),"")</f>
        <v>Both</v>
      </c>
      <c r="AF377" s="11">
        <v>728537.70988425706</v>
      </c>
      <c r="AG377" s="11">
        <v>728531.610160843</v>
      </c>
      <c r="AH377" s="21">
        <f t="shared" si="59"/>
        <v>1</v>
      </c>
    </row>
    <row r="378" spans="1:34" hidden="1">
      <c r="A378" t="s">
        <v>202</v>
      </c>
      <c r="B378" s="18">
        <v>2037</v>
      </c>
      <c r="C378" t="s">
        <v>202</v>
      </c>
      <c r="D378" t="s">
        <v>177</v>
      </c>
      <c r="E378" s="20" t="s">
        <v>291</v>
      </c>
      <c r="F378" s="20" t="s">
        <v>292</v>
      </c>
      <c r="G378" s="20" t="s">
        <v>203</v>
      </c>
      <c r="H378" s="20" t="s">
        <v>192</v>
      </c>
      <c r="I378" s="20" t="s">
        <v>167</v>
      </c>
      <c r="J378" s="15">
        <f>IFERROR(INDEX(Cost_Components!$K$2:$K$27,MATCH(E378,Cost_Components!$A$2:$A$27,0)),"")</f>
        <v>0.52</v>
      </c>
      <c r="K378" s="15">
        <f t="shared" si="50"/>
        <v>0.55500000000000005</v>
      </c>
      <c r="L378" s="15">
        <f>IFERROR(INDEX(Cost_Components!$S$2:$S$27,MATCH(E378,Cost_Components!$A$2:$A$27,0)),"")</f>
        <v>0.31</v>
      </c>
      <c r="M378" s="26">
        <f>IFERROR(INDEX(Cost_Components!$L$2:$L$27,MATCH(E378,Cost_Components!$A$2:$A$27,0)),"")</f>
        <v>1</v>
      </c>
      <c r="N378" s="27">
        <f>IFERROR(INDEX(Cost_Components!$P$2:$P$27,MATCH(E378,Cost_Components!$A$2:$A$27,0)),"")</f>
        <v>35.362648999999998</v>
      </c>
      <c r="O378" s="21">
        <f t="shared" si="51"/>
        <v>385459.98315071675</v>
      </c>
      <c r="P378" s="21">
        <f t="shared" si="52"/>
        <v>385455.94216219638</v>
      </c>
      <c r="Q378" s="21">
        <f t="shared" si="53"/>
        <v>4225530.3881702758</v>
      </c>
      <c r="R378" s="21">
        <f t="shared" si="54"/>
        <v>7565141.778676115</v>
      </c>
      <c r="S378" s="21">
        <f t="shared" si="55"/>
        <v>3339611.3905058391</v>
      </c>
      <c r="T378" s="14">
        <f>IFERROR(INDEX(Cost_Components!$R$2:$R$27,MATCH(E378,Cost_Components!$A$2:$A$27,0)),"")</f>
        <v>1</v>
      </c>
      <c r="U378" s="24">
        <f>IFERROR(INDEX(Cost_Components!$Q$2:$Q$27,MATCH(E378,Cost_Components!$A$2:$A$27,0)),"")</f>
        <v>2023</v>
      </c>
      <c r="V378" s="28">
        <f>1/(1+Calculation_Assumptions!$B$5)^(B378-Calculation_Assumptions!$B$2)</f>
        <v>0.70137988019297326</v>
      </c>
      <c r="W378" s="21">
        <f t="shared" si="56"/>
        <v>2963701.9974066359</v>
      </c>
      <c r="X378" s="21">
        <f t="shared" si="57"/>
        <v>5306038.2343707103</v>
      </c>
      <c r="Y378" s="21">
        <f t="shared" si="58"/>
        <v>2342336.2369640744</v>
      </c>
      <c r="Z378" s="15">
        <f>IFERROR(INDEX(Cost_Components!$T$2:$T$27,MATCH(E378,Cost_Components!$A$2:$A$27,0)),"")</f>
        <v>0.8</v>
      </c>
      <c r="AA378" s="24">
        <f>IFERROR(INDEX(Cost_Components!$U$2:$U$27,MATCH(E378,Cost_Components!$A$2:$A$27,0)),"")</f>
        <v>2025</v>
      </c>
      <c r="AB378" s="24">
        <f>IFERROR(INDEX(Cost_Components!$V$2:$V$27,MATCH(E378,Cost_Components!$A$2:$A$27,0)),"")</f>
        <v>2050</v>
      </c>
      <c r="AC378" s="24">
        <f>IFERROR(INDEX(Cost_Components!$M$2:$M$27,MATCH(E378,Cost_Components!$A$2:$A$27,0)),"")</f>
        <v>0</v>
      </c>
      <c r="AD378" s="24">
        <f>IFERROR(INDEX(Cost_Components!$N$2:$N$27,MATCH(E378,Cost_Components!$A$2:$A$27,0)),"")</f>
        <v>95</v>
      </c>
      <c r="AE378" s="14" t="str">
        <f>IFERROR(INDEX(Cost_Components!$O$2:$O$27,MATCH(E378,Cost_Components!$A$2:$A$27,0)),"")</f>
        <v>Both</v>
      </c>
      <c r="AF378" s="11">
        <v>741269.19836676295</v>
      </c>
      <c r="AG378" s="11">
        <v>741261.42723499297</v>
      </c>
      <c r="AH378" s="21">
        <f t="shared" si="59"/>
        <v>1</v>
      </c>
    </row>
    <row r="379" spans="1:34" hidden="1">
      <c r="A379" t="s">
        <v>202</v>
      </c>
      <c r="B379" s="18">
        <v>2038</v>
      </c>
      <c r="C379" t="s">
        <v>202</v>
      </c>
      <c r="D379" t="s">
        <v>177</v>
      </c>
      <c r="E379" s="20" t="s">
        <v>291</v>
      </c>
      <c r="F379" s="20" t="s">
        <v>292</v>
      </c>
      <c r="G379" s="20" t="s">
        <v>203</v>
      </c>
      <c r="H379" s="20" t="s">
        <v>192</v>
      </c>
      <c r="I379" s="20" t="s">
        <v>167</v>
      </c>
      <c r="J379" s="15">
        <f>IFERROR(INDEX(Cost_Components!$K$2:$K$27,MATCH(E379,Cost_Components!$A$2:$A$27,0)),"")</f>
        <v>0.52</v>
      </c>
      <c r="K379" s="15">
        <f t="shared" si="50"/>
        <v>0.57384615384615389</v>
      </c>
      <c r="L379" s="15">
        <f>IFERROR(INDEX(Cost_Components!$S$2:$S$27,MATCH(E379,Cost_Components!$A$2:$A$27,0)),"")</f>
        <v>0.31</v>
      </c>
      <c r="M379" s="26">
        <f>IFERROR(INDEX(Cost_Components!$L$2:$L$27,MATCH(E379,Cost_Components!$A$2:$A$27,0)),"")</f>
        <v>1</v>
      </c>
      <c r="N379" s="27">
        <f>IFERROR(INDEX(Cost_Components!$P$2:$P$27,MATCH(E379,Cost_Components!$A$2:$A$27,0)),"")</f>
        <v>35.362648999999998</v>
      </c>
      <c r="O379" s="21">
        <f t="shared" si="51"/>
        <v>391856.67701324302</v>
      </c>
      <c r="P379" s="21">
        <f t="shared" si="52"/>
        <v>391851.62751633237</v>
      </c>
      <c r="Q379" s="21">
        <f t="shared" si="53"/>
        <v>4295642.5848210286</v>
      </c>
      <c r="R379" s="21">
        <f t="shared" si="54"/>
        <v>7951837.8731801221</v>
      </c>
      <c r="S379" s="21">
        <f t="shared" si="55"/>
        <v>3656195.2883590935</v>
      </c>
      <c r="T379" s="14">
        <f>IFERROR(INDEX(Cost_Components!$R$2:$R$27,MATCH(E379,Cost_Components!$A$2:$A$27,0)),"")</f>
        <v>1</v>
      </c>
      <c r="U379" s="24">
        <f>IFERROR(INDEX(Cost_Components!$Q$2:$Q$27,MATCH(E379,Cost_Components!$A$2:$A$27,0)),"")</f>
        <v>2023</v>
      </c>
      <c r="V379" s="28">
        <f>1/(1+Calculation_Assumptions!$B$5)^(B379-Calculation_Assumptions!$B$2)</f>
        <v>0.68095133999317792</v>
      </c>
      <c r="W379" s="21">
        <f t="shared" si="56"/>
        <v>2925123.5742656379</v>
      </c>
      <c r="X379" s="21">
        <f t="shared" si="57"/>
        <v>5414814.6551505057</v>
      </c>
      <c r="Y379" s="21">
        <f t="shared" si="58"/>
        <v>2489691.0808848683</v>
      </c>
      <c r="Z379" s="15">
        <f>IFERROR(INDEX(Cost_Components!$T$2:$T$27,MATCH(E379,Cost_Components!$A$2:$A$27,0)),"")</f>
        <v>0.8</v>
      </c>
      <c r="AA379" s="24">
        <f>IFERROR(INDEX(Cost_Components!$U$2:$U$27,MATCH(E379,Cost_Components!$A$2:$A$27,0)),"")</f>
        <v>2025</v>
      </c>
      <c r="AB379" s="24">
        <f>IFERROR(INDEX(Cost_Components!$V$2:$V$27,MATCH(E379,Cost_Components!$A$2:$A$27,0)),"")</f>
        <v>2050</v>
      </c>
      <c r="AC379" s="24">
        <f>IFERROR(INDEX(Cost_Components!$M$2:$M$27,MATCH(E379,Cost_Components!$A$2:$A$27,0)),"")</f>
        <v>0</v>
      </c>
      <c r="AD379" s="24">
        <f>IFERROR(INDEX(Cost_Components!$N$2:$N$27,MATCH(E379,Cost_Components!$A$2:$A$27,0)),"")</f>
        <v>95</v>
      </c>
      <c r="AE379" s="14" t="str">
        <f>IFERROR(INDEX(Cost_Components!$O$2:$O$27,MATCH(E379,Cost_Components!$A$2:$A$27,0)),"")</f>
        <v>Both</v>
      </c>
      <c r="AF379" s="11">
        <v>753570.53271777497</v>
      </c>
      <c r="AG379" s="11">
        <v>753560.82214679301</v>
      </c>
      <c r="AH379" s="21">
        <f t="shared" si="59"/>
        <v>1</v>
      </c>
    </row>
    <row r="380" spans="1:34" hidden="1">
      <c r="A380" t="s">
        <v>202</v>
      </c>
      <c r="B380" s="18">
        <v>2039</v>
      </c>
      <c r="C380" t="s">
        <v>202</v>
      </c>
      <c r="D380" t="s">
        <v>177</v>
      </c>
      <c r="E380" s="20" t="s">
        <v>291</v>
      </c>
      <c r="F380" s="20" t="s">
        <v>292</v>
      </c>
      <c r="G380" s="20" t="s">
        <v>203</v>
      </c>
      <c r="H380" s="20" t="s">
        <v>192</v>
      </c>
      <c r="I380" s="20" t="s">
        <v>167</v>
      </c>
      <c r="J380" s="15">
        <f>IFERROR(INDEX(Cost_Components!$K$2:$K$27,MATCH(E380,Cost_Components!$A$2:$A$27,0)),"")</f>
        <v>0.52</v>
      </c>
      <c r="K380" s="15">
        <f t="shared" si="50"/>
        <v>0.59269230769230763</v>
      </c>
      <c r="L380" s="15">
        <f>IFERROR(INDEX(Cost_Components!$S$2:$S$27,MATCH(E380,Cost_Components!$A$2:$A$27,0)),"")</f>
        <v>0.31</v>
      </c>
      <c r="M380" s="26">
        <f>IFERROR(INDEX(Cost_Components!$L$2:$L$27,MATCH(E380,Cost_Components!$A$2:$A$27,0)),"")</f>
        <v>1</v>
      </c>
      <c r="N380" s="27">
        <f>IFERROR(INDEX(Cost_Components!$P$2:$P$27,MATCH(E380,Cost_Components!$A$2:$A$27,0)),"")</f>
        <v>35.362648999999998</v>
      </c>
      <c r="O380" s="21">
        <f t="shared" si="51"/>
        <v>398081.00867999514</v>
      </c>
      <c r="P380" s="21">
        <f t="shared" si="52"/>
        <v>398074.80327620567</v>
      </c>
      <c r="Q380" s="21">
        <f t="shared" si="53"/>
        <v>4363863.6586401574</v>
      </c>
      <c r="R380" s="21">
        <f t="shared" si="54"/>
        <v>8343447.551384273</v>
      </c>
      <c r="S380" s="21">
        <f t="shared" si="55"/>
        <v>3979583.8927441156</v>
      </c>
      <c r="T380" s="14">
        <f>IFERROR(INDEX(Cost_Components!$R$2:$R$27,MATCH(E380,Cost_Components!$A$2:$A$27,0)),"")</f>
        <v>1</v>
      </c>
      <c r="U380" s="24">
        <f>IFERROR(INDEX(Cost_Components!$Q$2:$Q$27,MATCH(E380,Cost_Components!$A$2:$A$27,0)),"")</f>
        <v>2023</v>
      </c>
      <c r="V380" s="28">
        <f>1/(1+Calculation_Assumptions!$B$5)^(B380-Calculation_Assumptions!$B$2)</f>
        <v>0.66111780581861923</v>
      </c>
      <c r="W380" s="21">
        <f t="shared" si="56"/>
        <v>2885027.9668917931</v>
      </c>
      <c r="X380" s="21">
        <f t="shared" si="57"/>
        <v>5516001.7381339017</v>
      </c>
      <c r="Y380" s="21">
        <f t="shared" si="58"/>
        <v>2630973.7712421091</v>
      </c>
      <c r="Z380" s="15">
        <f>IFERROR(INDEX(Cost_Components!$T$2:$T$27,MATCH(E380,Cost_Components!$A$2:$A$27,0)),"")</f>
        <v>0.8</v>
      </c>
      <c r="AA380" s="24">
        <f>IFERROR(INDEX(Cost_Components!$U$2:$U$27,MATCH(E380,Cost_Components!$A$2:$A$27,0)),"")</f>
        <v>2025</v>
      </c>
      <c r="AB380" s="24">
        <f>IFERROR(INDEX(Cost_Components!$V$2:$V$27,MATCH(E380,Cost_Components!$A$2:$A$27,0)),"")</f>
        <v>2050</v>
      </c>
      <c r="AC380" s="24">
        <f>IFERROR(INDEX(Cost_Components!$M$2:$M$27,MATCH(E380,Cost_Components!$A$2:$A$27,0)),"")</f>
        <v>0</v>
      </c>
      <c r="AD380" s="24">
        <f>IFERROR(INDEX(Cost_Components!$N$2:$N$27,MATCH(E380,Cost_Components!$A$2:$A$27,0)),"")</f>
        <v>95</v>
      </c>
      <c r="AE380" s="14" t="str">
        <f>IFERROR(INDEX(Cost_Components!$O$2:$O$27,MATCH(E380,Cost_Components!$A$2:$A$27,0)),"")</f>
        <v>Both</v>
      </c>
      <c r="AF380" s="11">
        <v>765540.40130768297</v>
      </c>
      <c r="AG380" s="11">
        <v>765528.46783885697</v>
      </c>
      <c r="AH380" s="21">
        <f t="shared" si="59"/>
        <v>1</v>
      </c>
    </row>
    <row r="381" spans="1:34" hidden="1">
      <c r="A381" t="s">
        <v>202</v>
      </c>
      <c r="B381" s="18">
        <v>2040</v>
      </c>
      <c r="C381" t="s">
        <v>202</v>
      </c>
      <c r="D381" t="s">
        <v>177</v>
      </c>
      <c r="E381" s="20" t="s">
        <v>291</v>
      </c>
      <c r="F381" s="20" t="s">
        <v>292</v>
      </c>
      <c r="G381" s="20" t="s">
        <v>203</v>
      </c>
      <c r="H381" s="20" t="s">
        <v>192</v>
      </c>
      <c r="I381" s="20" t="s">
        <v>167</v>
      </c>
      <c r="J381" s="15">
        <f>IFERROR(INDEX(Cost_Components!$K$2:$K$27,MATCH(E381,Cost_Components!$A$2:$A$27,0)),"")</f>
        <v>0.52</v>
      </c>
      <c r="K381" s="15">
        <f t="shared" si="50"/>
        <v>0.61153846153846159</v>
      </c>
      <c r="L381" s="15">
        <f>IFERROR(INDEX(Cost_Components!$S$2:$S$27,MATCH(E381,Cost_Components!$A$2:$A$27,0)),"")</f>
        <v>0.31</v>
      </c>
      <c r="M381" s="26">
        <f>IFERROR(INDEX(Cost_Components!$L$2:$L$27,MATCH(E381,Cost_Components!$A$2:$A$27,0)),"")</f>
        <v>1</v>
      </c>
      <c r="N381" s="27">
        <f>IFERROR(INDEX(Cost_Components!$P$2:$P$27,MATCH(E381,Cost_Components!$A$2:$A$27,0)),"")</f>
        <v>35.362648999999998</v>
      </c>
      <c r="O381" s="21">
        <f t="shared" si="51"/>
        <v>404093.53160753311</v>
      </c>
      <c r="P381" s="21">
        <f t="shared" si="52"/>
        <v>404086.01828508731</v>
      </c>
      <c r="Q381" s="21">
        <f t="shared" si="53"/>
        <v>4429761.1294311685</v>
      </c>
      <c r="R381" s="21">
        <f t="shared" si="54"/>
        <v>8738773.1450146474</v>
      </c>
      <c r="S381" s="21">
        <f t="shared" si="55"/>
        <v>4309012.0155834788</v>
      </c>
      <c r="T381" s="14">
        <f>IFERROR(INDEX(Cost_Components!$R$2:$R$27,MATCH(E381,Cost_Components!$A$2:$A$27,0)),"")</f>
        <v>1</v>
      </c>
      <c r="U381" s="24">
        <f>IFERROR(INDEX(Cost_Components!$Q$2:$Q$27,MATCH(E381,Cost_Components!$A$2:$A$27,0)),"")</f>
        <v>2023</v>
      </c>
      <c r="V381" s="28">
        <f>1/(1+Calculation_Assumptions!$B$5)^(B381-Calculation_Assumptions!$B$2)</f>
        <v>0.64186194739671765</v>
      </c>
      <c r="W381" s="21">
        <f t="shared" si="56"/>
        <v>2843295.105038973</v>
      </c>
      <c r="X381" s="21">
        <f t="shared" si="57"/>
        <v>5609085.9487172402</v>
      </c>
      <c r="Y381" s="21">
        <f t="shared" si="58"/>
        <v>2765790.8436782672</v>
      </c>
      <c r="Z381" s="15">
        <f>IFERROR(INDEX(Cost_Components!$T$2:$T$27,MATCH(E381,Cost_Components!$A$2:$A$27,0)),"")</f>
        <v>0.8</v>
      </c>
      <c r="AA381" s="24">
        <f>IFERROR(INDEX(Cost_Components!$U$2:$U$27,MATCH(E381,Cost_Components!$A$2:$A$27,0)),"")</f>
        <v>2025</v>
      </c>
      <c r="AB381" s="24">
        <f>IFERROR(INDEX(Cost_Components!$V$2:$V$27,MATCH(E381,Cost_Components!$A$2:$A$27,0)),"")</f>
        <v>2050</v>
      </c>
      <c r="AC381" s="24">
        <f>IFERROR(INDEX(Cost_Components!$M$2:$M$27,MATCH(E381,Cost_Components!$A$2:$A$27,0)),"")</f>
        <v>0</v>
      </c>
      <c r="AD381" s="24">
        <f>IFERROR(INDEX(Cost_Components!$N$2:$N$27,MATCH(E381,Cost_Components!$A$2:$A$27,0)),"")</f>
        <v>95</v>
      </c>
      <c r="AE381" s="14" t="str">
        <f>IFERROR(INDEX(Cost_Components!$O$2:$O$27,MATCH(E381,Cost_Components!$A$2:$A$27,0)),"")</f>
        <v>Both</v>
      </c>
      <c r="AF381" s="11">
        <v>777102.94539910206</v>
      </c>
      <c r="AG381" s="11">
        <v>777088.49670209095</v>
      </c>
      <c r="AH381" s="21">
        <f t="shared" si="59"/>
        <v>1</v>
      </c>
    </row>
    <row r="382" spans="1:34" hidden="1">
      <c r="A382" t="s">
        <v>202</v>
      </c>
      <c r="B382" s="18">
        <v>2041</v>
      </c>
      <c r="C382" t="s">
        <v>202</v>
      </c>
      <c r="D382" t="s">
        <v>177</v>
      </c>
      <c r="E382" s="20" t="s">
        <v>291</v>
      </c>
      <c r="F382" s="20" t="s">
        <v>292</v>
      </c>
      <c r="G382" s="20" t="s">
        <v>203</v>
      </c>
      <c r="H382" s="20" t="s">
        <v>192</v>
      </c>
      <c r="I382" s="20" t="s">
        <v>167</v>
      </c>
      <c r="J382" s="15">
        <f>IFERROR(INDEX(Cost_Components!$K$2:$K$27,MATCH(E382,Cost_Components!$A$2:$A$27,0)),"")</f>
        <v>0.52</v>
      </c>
      <c r="K382" s="15">
        <f t="shared" si="50"/>
        <v>0.63038461538461543</v>
      </c>
      <c r="L382" s="15">
        <f>IFERROR(INDEX(Cost_Components!$S$2:$S$27,MATCH(E382,Cost_Components!$A$2:$A$27,0)),"")</f>
        <v>0.31</v>
      </c>
      <c r="M382" s="26">
        <f>IFERROR(INDEX(Cost_Components!$L$2:$L$27,MATCH(E382,Cost_Components!$A$2:$A$27,0)),"")</f>
        <v>1</v>
      </c>
      <c r="N382" s="27">
        <f>IFERROR(INDEX(Cost_Components!$P$2:$P$27,MATCH(E382,Cost_Components!$A$2:$A$27,0)),"")</f>
        <v>35.362648999999998</v>
      </c>
      <c r="O382" s="21">
        <f t="shared" si="51"/>
        <v>409921.46601728606</v>
      </c>
      <c r="P382" s="21">
        <f t="shared" si="52"/>
        <v>409912.4862334783</v>
      </c>
      <c r="Q382" s="21">
        <f t="shared" si="53"/>
        <v>4493633.3251314657</v>
      </c>
      <c r="R382" s="21">
        <f t="shared" si="54"/>
        <v>9137997.9693956152</v>
      </c>
      <c r="S382" s="21">
        <f t="shared" si="55"/>
        <v>4644364.6442641495</v>
      </c>
      <c r="T382" s="14">
        <f>IFERROR(INDEX(Cost_Components!$R$2:$R$27,MATCH(E382,Cost_Components!$A$2:$A$27,0)),"")</f>
        <v>1</v>
      </c>
      <c r="U382" s="24">
        <f>IFERROR(INDEX(Cost_Components!$Q$2:$Q$27,MATCH(E382,Cost_Components!$A$2:$A$27,0)),"")</f>
        <v>2023</v>
      </c>
      <c r="V382" s="28">
        <f>1/(1+Calculation_Assumptions!$B$5)^(B382-Calculation_Assumptions!$B$2)</f>
        <v>0.62316693922011435</v>
      </c>
      <c r="W382" s="21">
        <f t="shared" si="56"/>
        <v>2800283.7251996803</v>
      </c>
      <c r="X382" s="21">
        <f t="shared" si="57"/>
        <v>5694498.2251878856</v>
      </c>
      <c r="Y382" s="21">
        <f t="shared" si="58"/>
        <v>2894214.4999882053</v>
      </c>
      <c r="Z382" s="15">
        <f>IFERROR(INDEX(Cost_Components!$T$2:$T$27,MATCH(E382,Cost_Components!$A$2:$A$27,0)),"")</f>
        <v>0.8</v>
      </c>
      <c r="AA382" s="24">
        <f>IFERROR(INDEX(Cost_Components!$U$2:$U$27,MATCH(E382,Cost_Components!$A$2:$A$27,0)),"")</f>
        <v>2025</v>
      </c>
      <c r="AB382" s="24">
        <f>IFERROR(INDEX(Cost_Components!$V$2:$V$27,MATCH(E382,Cost_Components!$A$2:$A$27,0)),"")</f>
        <v>2050</v>
      </c>
      <c r="AC382" s="24">
        <f>IFERROR(INDEX(Cost_Components!$M$2:$M$27,MATCH(E382,Cost_Components!$A$2:$A$27,0)),"")</f>
        <v>0</v>
      </c>
      <c r="AD382" s="24">
        <f>IFERROR(INDEX(Cost_Components!$N$2:$N$27,MATCH(E382,Cost_Components!$A$2:$A$27,0)),"")</f>
        <v>95</v>
      </c>
      <c r="AE382" s="14" t="str">
        <f>IFERROR(INDEX(Cost_Components!$O$2:$O$27,MATCH(E382,Cost_Components!$A$2:$A$27,0)),"")</f>
        <v>Both</v>
      </c>
      <c r="AF382" s="11">
        <v>788310.51157170394</v>
      </c>
      <c r="AG382" s="11">
        <v>788293.24275668897</v>
      </c>
      <c r="AH382" s="21">
        <f t="shared" si="59"/>
        <v>1</v>
      </c>
    </row>
    <row r="383" spans="1:34" hidden="1">
      <c r="A383" t="s">
        <v>202</v>
      </c>
      <c r="B383" s="18">
        <v>2042</v>
      </c>
      <c r="C383" t="s">
        <v>202</v>
      </c>
      <c r="D383" t="s">
        <v>177</v>
      </c>
      <c r="E383" s="20" t="s">
        <v>291</v>
      </c>
      <c r="F383" s="20" t="s">
        <v>292</v>
      </c>
      <c r="G383" s="20" t="s">
        <v>203</v>
      </c>
      <c r="H383" s="20" t="s">
        <v>192</v>
      </c>
      <c r="I383" s="20" t="s">
        <v>167</v>
      </c>
      <c r="J383" s="15">
        <f>IFERROR(INDEX(Cost_Components!$K$2:$K$27,MATCH(E383,Cost_Components!$A$2:$A$27,0)),"")</f>
        <v>0.52</v>
      </c>
      <c r="K383" s="15">
        <f t="shared" si="50"/>
        <v>0.64923076923076928</v>
      </c>
      <c r="L383" s="15">
        <f>IFERROR(INDEX(Cost_Components!$S$2:$S$27,MATCH(E383,Cost_Components!$A$2:$A$27,0)),"")</f>
        <v>0.31</v>
      </c>
      <c r="M383" s="26">
        <f>IFERROR(INDEX(Cost_Components!$L$2:$L$27,MATCH(E383,Cost_Components!$A$2:$A$27,0)),"")</f>
        <v>1</v>
      </c>
      <c r="N383" s="27">
        <f>IFERROR(INDEX(Cost_Components!$P$2:$P$27,MATCH(E383,Cost_Components!$A$2:$A$27,0)),"")</f>
        <v>35.362648999999998</v>
      </c>
      <c r="O383" s="21">
        <f t="shared" si="51"/>
        <v>415607.870522546</v>
      </c>
      <c r="P383" s="21">
        <f t="shared" si="52"/>
        <v>415597.25954325544</v>
      </c>
      <c r="Q383" s="21">
        <f t="shared" si="53"/>
        <v>4555952.2045229133</v>
      </c>
      <c r="R383" s="21">
        <f t="shared" si="54"/>
        <v>9541741.529542882</v>
      </c>
      <c r="S383" s="21">
        <f t="shared" si="55"/>
        <v>4985789.3250199687</v>
      </c>
      <c r="T383" s="14">
        <f>IFERROR(INDEX(Cost_Components!$R$2:$R$27,MATCH(E383,Cost_Components!$A$2:$A$27,0)),"")</f>
        <v>1</v>
      </c>
      <c r="U383" s="24">
        <f>IFERROR(INDEX(Cost_Components!$Q$2:$Q$27,MATCH(E383,Cost_Components!$A$2:$A$27,0)),"")</f>
        <v>2023</v>
      </c>
      <c r="V383" s="28">
        <f>1/(1+Calculation_Assumptions!$B$5)^(B383-Calculation_Assumptions!$B$2)</f>
        <v>0.60501644584477121</v>
      </c>
      <c r="W383" s="21">
        <f t="shared" si="56"/>
        <v>2756426.0102191032</v>
      </c>
      <c r="X383" s="21">
        <f t="shared" si="57"/>
        <v>5772910.5473734858</v>
      </c>
      <c r="Y383" s="21">
        <f t="shared" si="58"/>
        <v>3016484.5371543821</v>
      </c>
      <c r="Z383" s="15">
        <f>IFERROR(INDEX(Cost_Components!$T$2:$T$27,MATCH(E383,Cost_Components!$A$2:$A$27,0)),"")</f>
        <v>0.8</v>
      </c>
      <c r="AA383" s="24">
        <f>IFERROR(INDEX(Cost_Components!$U$2:$U$27,MATCH(E383,Cost_Components!$A$2:$A$27,0)),"")</f>
        <v>2025</v>
      </c>
      <c r="AB383" s="24">
        <f>IFERROR(INDEX(Cost_Components!$V$2:$V$27,MATCH(E383,Cost_Components!$A$2:$A$27,0)),"")</f>
        <v>2050</v>
      </c>
      <c r="AC383" s="24">
        <f>IFERROR(INDEX(Cost_Components!$M$2:$M$27,MATCH(E383,Cost_Components!$A$2:$A$27,0)),"")</f>
        <v>0</v>
      </c>
      <c r="AD383" s="24">
        <f>IFERROR(INDEX(Cost_Components!$N$2:$N$27,MATCH(E383,Cost_Components!$A$2:$A$27,0)),"")</f>
        <v>95</v>
      </c>
      <c r="AE383" s="14" t="str">
        <f>IFERROR(INDEX(Cost_Components!$O$2:$O$27,MATCH(E383,Cost_Components!$A$2:$A$27,0)),"")</f>
        <v>Both</v>
      </c>
      <c r="AF383" s="11">
        <v>799245.90485105</v>
      </c>
      <c r="AG383" s="11">
        <v>799225.499121645</v>
      </c>
      <c r="AH383" s="21">
        <f t="shared" si="59"/>
        <v>1</v>
      </c>
    </row>
    <row r="384" spans="1:34" hidden="1">
      <c r="A384" t="s">
        <v>202</v>
      </c>
      <c r="B384" s="18">
        <v>2043</v>
      </c>
      <c r="C384" t="s">
        <v>202</v>
      </c>
      <c r="D384" t="s">
        <v>177</v>
      </c>
      <c r="E384" s="20" t="s">
        <v>291</v>
      </c>
      <c r="F384" s="20" t="s">
        <v>292</v>
      </c>
      <c r="G384" s="20" t="s">
        <v>203</v>
      </c>
      <c r="H384" s="20" t="s">
        <v>192</v>
      </c>
      <c r="I384" s="20" t="s">
        <v>167</v>
      </c>
      <c r="J384" s="15">
        <f>IFERROR(INDEX(Cost_Components!$K$2:$K$27,MATCH(E384,Cost_Components!$A$2:$A$27,0)),"")</f>
        <v>0.52</v>
      </c>
      <c r="K384" s="15">
        <f t="shared" si="50"/>
        <v>0.66807692307692301</v>
      </c>
      <c r="L384" s="15">
        <f>IFERROR(INDEX(Cost_Components!$S$2:$S$27,MATCH(E384,Cost_Components!$A$2:$A$27,0)),"")</f>
        <v>0.31</v>
      </c>
      <c r="M384" s="26">
        <f>IFERROR(INDEX(Cost_Components!$L$2:$L$27,MATCH(E384,Cost_Components!$A$2:$A$27,0)),"")</f>
        <v>1</v>
      </c>
      <c r="N384" s="27">
        <f>IFERROR(INDEX(Cost_Components!$P$2:$P$27,MATCH(E384,Cost_Components!$A$2:$A$27,0)),"")</f>
        <v>35.362648999999998</v>
      </c>
      <c r="O384" s="21">
        <f t="shared" si="51"/>
        <v>421220.08806443075</v>
      </c>
      <c r="P384" s="21">
        <f t="shared" si="52"/>
        <v>421207.68187384593</v>
      </c>
      <c r="Q384" s="21">
        <f t="shared" si="53"/>
        <v>4617456.0171646271</v>
      </c>
      <c r="R384" s="21">
        <f t="shared" si="54"/>
        <v>9951311.8326202258</v>
      </c>
      <c r="S384" s="21">
        <f t="shared" si="55"/>
        <v>5333855.8154555988</v>
      </c>
      <c r="T384" s="14">
        <f>IFERROR(INDEX(Cost_Components!$R$2:$R$27,MATCH(E384,Cost_Components!$A$2:$A$27,0)),"")</f>
        <v>1</v>
      </c>
      <c r="U384" s="24">
        <f>IFERROR(INDEX(Cost_Components!$Q$2:$Q$27,MATCH(E384,Cost_Components!$A$2:$A$27,0)),"")</f>
        <v>2023</v>
      </c>
      <c r="V384" s="28">
        <f>1/(1+Calculation_Assumptions!$B$5)^(B384-Calculation_Assumptions!$B$2)</f>
        <v>0.5873946076162827</v>
      </c>
      <c r="W384" s="21">
        <f t="shared" si="56"/>
        <v>2712268.7653878597</v>
      </c>
      <c r="X384" s="21">
        <f t="shared" si="57"/>
        <v>5845346.9091892289</v>
      </c>
      <c r="Y384" s="21">
        <f t="shared" si="58"/>
        <v>3133078.1438013692</v>
      </c>
      <c r="Z384" s="15">
        <f>IFERROR(INDEX(Cost_Components!$T$2:$T$27,MATCH(E384,Cost_Components!$A$2:$A$27,0)),"")</f>
        <v>0.8</v>
      </c>
      <c r="AA384" s="24">
        <f>IFERROR(INDEX(Cost_Components!$U$2:$U$27,MATCH(E384,Cost_Components!$A$2:$A$27,0)),"")</f>
        <v>2025</v>
      </c>
      <c r="AB384" s="24">
        <f>IFERROR(INDEX(Cost_Components!$V$2:$V$27,MATCH(E384,Cost_Components!$A$2:$A$27,0)),"")</f>
        <v>2050</v>
      </c>
      <c r="AC384" s="24">
        <f>IFERROR(INDEX(Cost_Components!$M$2:$M$27,MATCH(E384,Cost_Components!$A$2:$A$27,0)),"")</f>
        <v>0</v>
      </c>
      <c r="AD384" s="24">
        <f>IFERROR(INDEX(Cost_Components!$N$2:$N$27,MATCH(E384,Cost_Components!$A$2:$A$27,0)),"")</f>
        <v>95</v>
      </c>
      <c r="AE384" s="14" t="str">
        <f>IFERROR(INDEX(Cost_Components!$O$2:$O$27,MATCH(E384,Cost_Components!$A$2:$A$27,0)),"")</f>
        <v>Both</v>
      </c>
      <c r="AF384" s="11">
        <v>810038.63089313603</v>
      </c>
      <c r="AG384" s="11">
        <v>810014.77283431904</v>
      </c>
      <c r="AH384" s="21">
        <f t="shared" si="59"/>
        <v>1</v>
      </c>
    </row>
    <row r="385" spans="1:34" hidden="1">
      <c r="A385" t="s">
        <v>202</v>
      </c>
      <c r="B385" s="18">
        <v>2044</v>
      </c>
      <c r="C385" t="s">
        <v>202</v>
      </c>
      <c r="D385" t="s">
        <v>177</v>
      </c>
      <c r="E385" s="20" t="s">
        <v>291</v>
      </c>
      <c r="F385" s="20" t="s">
        <v>292</v>
      </c>
      <c r="G385" s="20" t="s">
        <v>203</v>
      </c>
      <c r="H385" s="20" t="s">
        <v>192</v>
      </c>
      <c r="I385" s="20" t="s">
        <v>167</v>
      </c>
      <c r="J385" s="15">
        <f>IFERROR(INDEX(Cost_Components!$K$2:$K$27,MATCH(E385,Cost_Components!$A$2:$A$27,0)),"")</f>
        <v>0.52</v>
      </c>
      <c r="K385" s="15">
        <f t="shared" si="50"/>
        <v>0.68692307692307697</v>
      </c>
      <c r="L385" s="15">
        <f>IFERROR(INDEX(Cost_Components!$S$2:$S$27,MATCH(E385,Cost_Components!$A$2:$A$27,0)),"")</f>
        <v>0.31</v>
      </c>
      <c r="M385" s="26">
        <f>IFERROR(INDEX(Cost_Components!$L$2:$L$27,MATCH(E385,Cost_Components!$A$2:$A$27,0)),"")</f>
        <v>1</v>
      </c>
      <c r="N385" s="27">
        <f>IFERROR(INDEX(Cost_Components!$P$2:$P$27,MATCH(E385,Cost_Components!$A$2:$A$27,0)),"")</f>
        <v>35.362648999999998</v>
      </c>
      <c r="O385" s="21">
        <f t="shared" si="51"/>
        <v>426800.39391015418</v>
      </c>
      <c r="P385" s="21">
        <f t="shared" si="52"/>
        <v>426786.03246340569</v>
      </c>
      <c r="Q385" s="21">
        <f t="shared" si="53"/>
        <v>4678608.2458728664</v>
      </c>
      <c r="R385" s="21">
        <f t="shared" si="54"/>
        <v>10367587.479196556</v>
      </c>
      <c r="S385" s="21">
        <f t="shared" si="55"/>
        <v>5688979.2333236896</v>
      </c>
      <c r="T385" s="14">
        <f>IFERROR(INDEX(Cost_Components!$R$2:$R$27,MATCH(E385,Cost_Components!$A$2:$A$27,0)),"")</f>
        <v>1</v>
      </c>
      <c r="U385" s="24">
        <f>IFERROR(INDEX(Cost_Components!$Q$2:$Q$27,MATCH(E385,Cost_Components!$A$2:$A$27,0)),"")</f>
        <v>2023</v>
      </c>
      <c r="V385" s="28">
        <f>1/(1+Calculation_Assumptions!$B$5)^(B385-Calculation_Assumptions!$B$2)</f>
        <v>0.57028602681192497</v>
      </c>
      <c r="W385" s="21">
        <f t="shared" si="56"/>
        <v>2668144.9075483466</v>
      </c>
      <c r="X385" s="21">
        <f t="shared" si="57"/>
        <v>5912490.271136065</v>
      </c>
      <c r="Y385" s="21">
        <f t="shared" si="58"/>
        <v>3244345.363587718</v>
      </c>
      <c r="Z385" s="15">
        <f>IFERROR(INDEX(Cost_Components!$T$2:$T$27,MATCH(E385,Cost_Components!$A$2:$A$27,0)),"")</f>
        <v>0.8</v>
      </c>
      <c r="AA385" s="24">
        <f>IFERROR(INDEX(Cost_Components!$U$2:$U$27,MATCH(E385,Cost_Components!$A$2:$A$27,0)),"")</f>
        <v>2025</v>
      </c>
      <c r="AB385" s="24">
        <f>IFERROR(INDEX(Cost_Components!$V$2:$V$27,MATCH(E385,Cost_Components!$A$2:$A$27,0)),"")</f>
        <v>2050</v>
      </c>
      <c r="AC385" s="24">
        <f>IFERROR(INDEX(Cost_Components!$M$2:$M$27,MATCH(E385,Cost_Components!$A$2:$A$27,0)),"")</f>
        <v>0</v>
      </c>
      <c r="AD385" s="24">
        <f>IFERROR(INDEX(Cost_Components!$N$2:$N$27,MATCH(E385,Cost_Components!$A$2:$A$27,0)),"")</f>
        <v>95</v>
      </c>
      <c r="AE385" s="14" t="str">
        <f>IFERROR(INDEX(Cost_Components!$O$2:$O$27,MATCH(E385,Cost_Components!$A$2:$A$27,0)),"")</f>
        <v>Both</v>
      </c>
      <c r="AF385" s="11">
        <v>820769.98828875797</v>
      </c>
      <c r="AG385" s="11">
        <v>820742.37012193399</v>
      </c>
      <c r="AH385" s="21">
        <f t="shared" si="59"/>
        <v>1</v>
      </c>
    </row>
    <row r="386" spans="1:34" hidden="1">
      <c r="A386" t="s">
        <v>202</v>
      </c>
      <c r="B386" s="18">
        <v>2045</v>
      </c>
      <c r="C386" t="s">
        <v>202</v>
      </c>
      <c r="D386" t="s">
        <v>177</v>
      </c>
      <c r="E386" s="20" t="s">
        <v>291</v>
      </c>
      <c r="F386" s="20" t="s">
        <v>292</v>
      </c>
      <c r="G386" s="20" t="s">
        <v>203</v>
      </c>
      <c r="H386" s="20" t="s">
        <v>192</v>
      </c>
      <c r="I386" s="20" t="s">
        <v>167</v>
      </c>
      <c r="J386" s="15">
        <f>IFERROR(INDEX(Cost_Components!$K$2:$K$27,MATCH(E386,Cost_Components!$A$2:$A$27,0)),"")</f>
        <v>0.52</v>
      </c>
      <c r="K386" s="15">
        <f t="shared" ref="K386:K449" si="60">IF(OR(L386="",Z386="",AA386="",AB386=""),"",IF(B386&lt;AA386,L386,IF(B386&gt;AB386,Z386,L386+(Z386-L386)*MIN(MAX((B386-AA386+1)/MAX(AB386-AA386+1,1),0),1))))</f>
        <v>0.70576923076923082</v>
      </c>
      <c r="L386" s="15">
        <f>IFERROR(INDEX(Cost_Components!$S$2:$S$27,MATCH(E386,Cost_Components!$A$2:$A$27,0)),"")</f>
        <v>0.31</v>
      </c>
      <c r="M386" s="26">
        <f>IFERROR(INDEX(Cost_Components!$L$2:$L$27,MATCH(E386,Cost_Components!$A$2:$A$27,0)),"")</f>
        <v>1</v>
      </c>
      <c r="N386" s="27">
        <f>IFERROR(INDEX(Cost_Components!$P$2:$P$27,MATCH(E386,Cost_Components!$A$2:$A$27,0)),"")</f>
        <v>35.362648999999998</v>
      </c>
      <c r="O386" s="21">
        <f t="shared" ref="O386:O449" si="61">AF386*J386</f>
        <v>432380.98324573465</v>
      </c>
      <c r="P386" s="21">
        <f t="shared" ref="P386:P449" si="62">AG386*J386</f>
        <v>432364.50925105205</v>
      </c>
      <c r="Q386" s="21">
        <f t="shared" ref="Q386:Q449" si="63">P386*L386*M386*N386</f>
        <v>4739761.858017684</v>
      </c>
      <c r="R386" s="21">
        <f t="shared" ref="R386:R449" si="64">O386*K386*M386*N386</f>
        <v>10791308.189883312</v>
      </c>
      <c r="S386" s="21">
        <f t="shared" ref="S386:S449" si="65">R386-Q386</f>
        <v>6051546.3318656282</v>
      </c>
      <c r="T386" s="14">
        <f>IFERROR(INDEX(Cost_Components!$R$2:$R$27,MATCH(E386,Cost_Components!$A$2:$A$27,0)),"")</f>
        <v>1</v>
      </c>
      <c r="U386" s="24">
        <f>IFERROR(INDEX(Cost_Components!$Q$2:$Q$27,MATCH(E386,Cost_Components!$A$2:$A$27,0)),"")</f>
        <v>2023</v>
      </c>
      <c r="V386" s="28">
        <f>1/(1+Calculation_Assumptions!$B$5)^(B386-Calculation_Assumptions!$B$2)</f>
        <v>0.55367575418633497</v>
      </c>
      <c r="W386" s="21">
        <f t="shared" ref="W386:W449" si="66">Q386*V386</f>
        <v>2624291.2214015657</v>
      </c>
      <c r="X386" s="21">
        <f t="shared" ref="X386:X449" si="67">R386*V386</f>
        <v>5974885.7006908162</v>
      </c>
      <c r="Y386" s="21">
        <f t="shared" ref="Y386:Y449" si="68">S386*V386</f>
        <v>3350594.4792892504</v>
      </c>
      <c r="Z386" s="15">
        <f>IFERROR(INDEX(Cost_Components!$T$2:$T$27,MATCH(E386,Cost_Components!$A$2:$A$27,0)),"")</f>
        <v>0.8</v>
      </c>
      <c r="AA386" s="24">
        <f>IFERROR(INDEX(Cost_Components!$U$2:$U$27,MATCH(E386,Cost_Components!$A$2:$A$27,0)),"")</f>
        <v>2025</v>
      </c>
      <c r="AB386" s="24">
        <f>IFERROR(INDEX(Cost_Components!$V$2:$V$27,MATCH(E386,Cost_Components!$A$2:$A$27,0)),"")</f>
        <v>2050</v>
      </c>
      <c r="AC386" s="24">
        <f>IFERROR(INDEX(Cost_Components!$M$2:$M$27,MATCH(E386,Cost_Components!$A$2:$A$27,0)),"")</f>
        <v>0</v>
      </c>
      <c r="AD386" s="24">
        <f>IFERROR(INDEX(Cost_Components!$N$2:$N$27,MATCH(E386,Cost_Components!$A$2:$A$27,0)),"")</f>
        <v>95</v>
      </c>
      <c r="AE386" s="14" t="str">
        <f>IFERROR(INDEX(Cost_Components!$O$2:$O$27,MATCH(E386,Cost_Components!$A$2:$A$27,0)),"")</f>
        <v>Both</v>
      </c>
      <c r="AF386" s="11">
        <v>831501.89085718198</v>
      </c>
      <c r="AG386" s="11">
        <v>831470.21009817696</v>
      </c>
      <c r="AH386" s="21">
        <f t="shared" ref="AH386:AH449" si="69">IF(H386="shared-count-once",COUNTIFS($A$2:$A$1353,A386,$B$2:$B$1353,B386,$E$2:$E$1353,E386),1)</f>
        <v>1</v>
      </c>
    </row>
    <row r="387" spans="1:34" hidden="1">
      <c r="A387" t="s">
        <v>202</v>
      </c>
      <c r="B387" s="18">
        <v>2046</v>
      </c>
      <c r="C387" t="s">
        <v>202</v>
      </c>
      <c r="D387" t="s">
        <v>177</v>
      </c>
      <c r="E387" s="20" t="s">
        <v>291</v>
      </c>
      <c r="F387" s="20" t="s">
        <v>292</v>
      </c>
      <c r="G387" s="20" t="s">
        <v>203</v>
      </c>
      <c r="H387" s="20" t="s">
        <v>192</v>
      </c>
      <c r="I387" s="20" t="s">
        <v>167</v>
      </c>
      <c r="J387" s="15">
        <f>IFERROR(INDEX(Cost_Components!$K$2:$K$27,MATCH(E387,Cost_Components!$A$2:$A$27,0)),"")</f>
        <v>0.52</v>
      </c>
      <c r="K387" s="15">
        <f t="shared" si="60"/>
        <v>0.72461538461538466</v>
      </c>
      <c r="L387" s="15">
        <f>IFERROR(INDEX(Cost_Components!$S$2:$S$27,MATCH(E387,Cost_Components!$A$2:$A$27,0)),"")</f>
        <v>0.31</v>
      </c>
      <c r="M387" s="26">
        <f>IFERROR(INDEX(Cost_Components!$L$2:$L$27,MATCH(E387,Cost_Components!$A$2:$A$27,0)),"")</f>
        <v>1</v>
      </c>
      <c r="N387" s="27">
        <f>IFERROR(INDEX(Cost_Components!$P$2:$P$27,MATCH(E387,Cost_Components!$A$2:$A$27,0)),"")</f>
        <v>35.362648999999998</v>
      </c>
      <c r="O387" s="21">
        <f t="shared" si="61"/>
        <v>437870.28795618162</v>
      </c>
      <c r="P387" s="21">
        <f t="shared" si="62"/>
        <v>437851.54979593877</v>
      </c>
      <c r="Q387" s="21">
        <f t="shared" si="63"/>
        <v>4799913.1075573396</v>
      </c>
      <c r="R387" s="21">
        <f t="shared" si="64"/>
        <v>11220128.160840787</v>
      </c>
      <c r="S387" s="21">
        <f t="shared" si="65"/>
        <v>6420215.0532834474</v>
      </c>
      <c r="T387" s="14">
        <f>IFERROR(INDEX(Cost_Components!$R$2:$R$27,MATCH(E387,Cost_Components!$A$2:$A$27,0)),"")</f>
        <v>1</v>
      </c>
      <c r="U387" s="24">
        <f>IFERROR(INDEX(Cost_Components!$Q$2:$Q$27,MATCH(E387,Cost_Components!$A$2:$A$27,0)),"")</f>
        <v>2023</v>
      </c>
      <c r="V387" s="28">
        <f>1/(1+Calculation_Assumptions!$B$5)^(B387-Calculation_Assumptions!$B$2)</f>
        <v>0.5375492759090631</v>
      </c>
      <c r="W387" s="21">
        <f t="shared" si="66"/>
        <v>2580189.8153938688</v>
      </c>
      <c r="X387" s="21">
        <f t="shared" si="67"/>
        <v>6031371.7684668526</v>
      </c>
      <c r="Y387" s="21">
        <f t="shared" si="68"/>
        <v>3451181.9530729842</v>
      </c>
      <c r="Z387" s="15">
        <f>IFERROR(INDEX(Cost_Components!$T$2:$T$27,MATCH(E387,Cost_Components!$A$2:$A$27,0)),"")</f>
        <v>0.8</v>
      </c>
      <c r="AA387" s="24">
        <f>IFERROR(INDEX(Cost_Components!$U$2:$U$27,MATCH(E387,Cost_Components!$A$2:$A$27,0)),"")</f>
        <v>2025</v>
      </c>
      <c r="AB387" s="24">
        <f>IFERROR(INDEX(Cost_Components!$V$2:$V$27,MATCH(E387,Cost_Components!$A$2:$A$27,0)),"")</f>
        <v>2050</v>
      </c>
      <c r="AC387" s="24">
        <f>IFERROR(INDEX(Cost_Components!$M$2:$M$27,MATCH(E387,Cost_Components!$A$2:$A$27,0)),"")</f>
        <v>0</v>
      </c>
      <c r="AD387" s="24">
        <f>IFERROR(INDEX(Cost_Components!$N$2:$N$27,MATCH(E387,Cost_Components!$A$2:$A$27,0)),"")</f>
        <v>95</v>
      </c>
      <c r="AE387" s="14" t="str">
        <f>IFERROR(INDEX(Cost_Components!$O$2:$O$27,MATCH(E387,Cost_Components!$A$2:$A$27,0)),"")</f>
        <v>Both</v>
      </c>
      <c r="AF387" s="11">
        <v>842058.24606957997</v>
      </c>
      <c r="AG387" s="11">
        <v>842022.21114603605</v>
      </c>
      <c r="AH387" s="21">
        <f t="shared" si="69"/>
        <v>1</v>
      </c>
    </row>
    <row r="388" spans="1:34" hidden="1">
      <c r="A388" t="s">
        <v>202</v>
      </c>
      <c r="B388" s="18">
        <v>2047</v>
      </c>
      <c r="C388" t="s">
        <v>202</v>
      </c>
      <c r="D388" t="s">
        <v>177</v>
      </c>
      <c r="E388" s="20" t="s">
        <v>291</v>
      </c>
      <c r="F388" s="20" t="s">
        <v>292</v>
      </c>
      <c r="G388" s="20" t="s">
        <v>203</v>
      </c>
      <c r="H388" s="20" t="s">
        <v>192</v>
      </c>
      <c r="I388" s="20" t="s">
        <v>167</v>
      </c>
      <c r="J388" s="15">
        <f>IFERROR(INDEX(Cost_Components!$K$2:$K$27,MATCH(E388,Cost_Components!$A$2:$A$27,0)),"")</f>
        <v>0.52</v>
      </c>
      <c r="K388" s="15">
        <f t="shared" si="60"/>
        <v>0.74346153846153851</v>
      </c>
      <c r="L388" s="15">
        <f>IFERROR(INDEX(Cost_Components!$S$2:$S$27,MATCH(E388,Cost_Components!$A$2:$A$27,0)),"")</f>
        <v>0.31</v>
      </c>
      <c r="M388" s="26">
        <f>IFERROR(INDEX(Cost_Components!$L$2:$L$27,MATCH(E388,Cost_Components!$A$2:$A$27,0)),"")</f>
        <v>1</v>
      </c>
      <c r="N388" s="27">
        <f>IFERROR(INDEX(Cost_Components!$P$2:$P$27,MATCH(E388,Cost_Components!$A$2:$A$27,0)),"")</f>
        <v>35.362648999999998</v>
      </c>
      <c r="O388" s="21">
        <f t="shared" si="61"/>
        <v>443246.80621264054</v>
      </c>
      <c r="P388" s="21">
        <f t="shared" si="62"/>
        <v>443225.65918624762</v>
      </c>
      <c r="Q388" s="21">
        <f t="shared" si="63"/>
        <v>4858826.3582150387</v>
      </c>
      <c r="R388" s="21">
        <f t="shared" si="64"/>
        <v>11653299.582549943</v>
      </c>
      <c r="S388" s="21">
        <f t="shared" si="65"/>
        <v>6794473.224334904</v>
      </c>
      <c r="T388" s="14">
        <f>IFERROR(INDEX(Cost_Components!$R$2:$R$27,MATCH(E388,Cost_Components!$A$2:$A$27,0)),"")</f>
        <v>1</v>
      </c>
      <c r="U388" s="24">
        <f>IFERROR(INDEX(Cost_Components!$Q$2:$Q$27,MATCH(E388,Cost_Components!$A$2:$A$27,0)),"")</f>
        <v>2023</v>
      </c>
      <c r="V388" s="28">
        <f>1/(1+Calculation_Assumptions!$B$5)^(B388-Calculation_Assumptions!$B$2)</f>
        <v>0.52189250088258554</v>
      </c>
      <c r="W388" s="21">
        <f t="shared" si="66"/>
        <v>2535785.0394430719</v>
      </c>
      <c r="X388" s="21">
        <f t="shared" si="67"/>
        <v>6081769.6626709793</v>
      </c>
      <c r="Y388" s="21">
        <f t="shared" si="68"/>
        <v>3545984.6232279078</v>
      </c>
      <c r="Z388" s="15">
        <f>IFERROR(INDEX(Cost_Components!$T$2:$T$27,MATCH(E388,Cost_Components!$A$2:$A$27,0)),"")</f>
        <v>0.8</v>
      </c>
      <c r="AA388" s="24">
        <f>IFERROR(INDEX(Cost_Components!$U$2:$U$27,MATCH(E388,Cost_Components!$A$2:$A$27,0)),"")</f>
        <v>2025</v>
      </c>
      <c r="AB388" s="24">
        <f>IFERROR(INDEX(Cost_Components!$V$2:$V$27,MATCH(E388,Cost_Components!$A$2:$A$27,0)),"")</f>
        <v>2050</v>
      </c>
      <c r="AC388" s="24">
        <f>IFERROR(INDEX(Cost_Components!$M$2:$M$27,MATCH(E388,Cost_Components!$A$2:$A$27,0)),"")</f>
        <v>0</v>
      </c>
      <c r="AD388" s="24">
        <f>IFERROR(INDEX(Cost_Components!$N$2:$N$27,MATCH(E388,Cost_Components!$A$2:$A$27,0)),"")</f>
        <v>95</v>
      </c>
      <c r="AE388" s="14" t="str">
        <f>IFERROR(INDEX(Cost_Components!$O$2:$O$27,MATCH(E388,Cost_Components!$A$2:$A$27,0)),"")</f>
        <v>Both</v>
      </c>
      <c r="AF388" s="11">
        <v>852397.70425507799</v>
      </c>
      <c r="AG388" s="11">
        <v>852357.03689662996</v>
      </c>
      <c r="AH388" s="21">
        <f t="shared" si="69"/>
        <v>1</v>
      </c>
    </row>
    <row r="389" spans="1:34" hidden="1">
      <c r="A389" t="s">
        <v>202</v>
      </c>
      <c r="B389" s="18">
        <v>2048</v>
      </c>
      <c r="C389" t="s">
        <v>202</v>
      </c>
      <c r="D389" t="s">
        <v>177</v>
      </c>
      <c r="E389" s="20" t="s">
        <v>291</v>
      </c>
      <c r="F389" s="20" t="s">
        <v>292</v>
      </c>
      <c r="G389" s="20" t="s">
        <v>203</v>
      </c>
      <c r="H389" s="20" t="s">
        <v>192</v>
      </c>
      <c r="I389" s="20" t="s">
        <v>167</v>
      </c>
      <c r="J389" s="15">
        <f>IFERROR(INDEX(Cost_Components!$K$2:$K$27,MATCH(E389,Cost_Components!$A$2:$A$27,0)),"")</f>
        <v>0.52</v>
      </c>
      <c r="K389" s="15">
        <f t="shared" si="60"/>
        <v>0.76230769230769235</v>
      </c>
      <c r="L389" s="15">
        <f>IFERROR(INDEX(Cost_Components!$S$2:$S$27,MATCH(E389,Cost_Components!$A$2:$A$27,0)),"")</f>
        <v>0.31</v>
      </c>
      <c r="M389" s="26">
        <f>IFERROR(INDEX(Cost_Components!$L$2:$L$27,MATCH(E389,Cost_Components!$A$2:$A$27,0)),"")</f>
        <v>1</v>
      </c>
      <c r="N389" s="27">
        <f>IFERROR(INDEX(Cost_Components!$P$2:$P$27,MATCH(E389,Cost_Components!$A$2:$A$27,0)),"")</f>
        <v>35.362648999999998</v>
      </c>
      <c r="O389" s="21">
        <f t="shared" si="61"/>
        <v>448482.71869576449</v>
      </c>
      <c r="P389" s="21">
        <f t="shared" si="62"/>
        <v>448459.02278635534</v>
      </c>
      <c r="Q389" s="21">
        <f t="shared" si="63"/>
        <v>4916196.6942398343</v>
      </c>
      <c r="R389" s="21">
        <f t="shared" si="64"/>
        <v>12089847.023946017</v>
      </c>
      <c r="S389" s="21">
        <f t="shared" si="65"/>
        <v>7173650.3297061827</v>
      </c>
      <c r="T389" s="14">
        <f>IFERROR(INDEX(Cost_Components!$R$2:$R$27,MATCH(E389,Cost_Components!$A$2:$A$27,0)),"")</f>
        <v>1</v>
      </c>
      <c r="U389" s="24">
        <f>IFERROR(INDEX(Cost_Components!$Q$2:$Q$27,MATCH(E389,Cost_Components!$A$2:$A$27,0)),"")</f>
        <v>2023</v>
      </c>
      <c r="V389" s="28">
        <f>1/(1+Calculation_Assumptions!$B$5)^(B389-Calculation_Assumptions!$B$2)</f>
        <v>0.50669174842969467</v>
      </c>
      <c r="W389" s="21">
        <f t="shared" si="66"/>
        <v>2490996.2986286669</v>
      </c>
      <c r="X389" s="21">
        <f t="shared" si="67"/>
        <v>6125825.7268107478</v>
      </c>
      <c r="Y389" s="21">
        <f t="shared" si="68"/>
        <v>3634829.4281820813</v>
      </c>
      <c r="Z389" s="15">
        <f>IFERROR(INDEX(Cost_Components!$T$2:$T$27,MATCH(E389,Cost_Components!$A$2:$A$27,0)),"")</f>
        <v>0.8</v>
      </c>
      <c r="AA389" s="24">
        <f>IFERROR(INDEX(Cost_Components!$U$2:$U$27,MATCH(E389,Cost_Components!$A$2:$A$27,0)),"")</f>
        <v>2025</v>
      </c>
      <c r="AB389" s="24">
        <f>IFERROR(INDEX(Cost_Components!$V$2:$V$27,MATCH(E389,Cost_Components!$A$2:$A$27,0)),"")</f>
        <v>2050</v>
      </c>
      <c r="AC389" s="24">
        <f>IFERROR(INDEX(Cost_Components!$M$2:$M$27,MATCH(E389,Cost_Components!$A$2:$A$27,0)),"")</f>
        <v>0</v>
      </c>
      <c r="AD389" s="24">
        <f>IFERROR(INDEX(Cost_Components!$N$2:$N$27,MATCH(E389,Cost_Components!$A$2:$A$27,0)),"")</f>
        <v>95</v>
      </c>
      <c r="AE389" s="14" t="str">
        <f>IFERROR(INDEX(Cost_Components!$O$2:$O$27,MATCH(E389,Cost_Components!$A$2:$A$27,0)),"")</f>
        <v>Both</v>
      </c>
      <c r="AF389" s="11">
        <v>862466.76672262396</v>
      </c>
      <c r="AG389" s="11">
        <v>862421.19766606798</v>
      </c>
      <c r="AH389" s="21">
        <f t="shared" si="69"/>
        <v>1</v>
      </c>
    </row>
    <row r="390" spans="1:34" hidden="1">
      <c r="A390" t="s">
        <v>202</v>
      </c>
      <c r="B390" s="18">
        <v>2049</v>
      </c>
      <c r="C390" t="s">
        <v>202</v>
      </c>
      <c r="D390" t="s">
        <v>177</v>
      </c>
      <c r="E390" s="20" t="s">
        <v>291</v>
      </c>
      <c r="F390" s="20" t="s">
        <v>292</v>
      </c>
      <c r="G390" s="20" t="s">
        <v>203</v>
      </c>
      <c r="H390" s="20" t="s">
        <v>192</v>
      </c>
      <c r="I390" s="20" t="s">
        <v>167</v>
      </c>
      <c r="J390" s="15">
        <f>IFERROR(INDEX(Cost_Components!$K$2:$K$27,MATCH(E390,Cost_Components!$A$2:$A$27,0)),"")</f>
        <v>0.52</v>
      </c>
      <c r="K390" s="15">
        <f t="shared" si="60"/>
        <v>0.7811538461538462</v>
      </c>
      <c r="L390" s="15">
        <f>IFERROR(INDEX(Cost_Components!$S$2:$S$27,MATCH(E390,Cost_Components!$A$2:$A$27,0)),"")</f>
        <v>0.31</v>
      </c>
      <c r="M390" s="26">
        <f>IFERROR(INDEX(Cost_Components!$L$2:$L$27,MATCH(E390,Cost_Components!$A$2:$A$27,0)),"")</f>
        <v>1</v>
      </c>
      <c r="N390" s="27">
        <f>IFERROR(INDEX(Cost_Components!$P$2:$P$27,MATCH(E390,Cost_Components!$A$2:$A$27,0)),"")</f>
        <v>35.362648999999998</v>
      </c>
      <c r="O390" s="21">
        <f t="shared" si="61"/>
        <v>453486.87387059734</v>
      </c>
      <c r="P390" s="21">
        <f t="shared" si="62"/>
        <v>453460.49453219218</v>
      </c>
      <c r="Q390" s="21">
        <f t="shared" si="63"/>
        <v>4971024.9340875829</v>
      </c>
      <c r="R390" s="21">
        <f t="shared" si="64"/>
        <v>12526971.425052691</v>
      </c>
      <c r="S390" s="21">
        <f t="shared" si="65"/>
        <v>7555946.4909651084</v>
      </c>
      <c r="T390" s="14">
        <f>IFERROR(INDEX(Cost_Components!$R$2:$R$27,MATCH(E390,Cost_Components!$A$2:$A$27,0)),"")</f>
        <v>1</v>
      </c>
      <c r="U390" s="24">
        <f>IFERROR(INDEX(Cost_Components!$Q$2:$Q$27,MATCH(E390,Cost_Components!$A$2:$A$27,0)),"")</f>
        <v>2023</v>
      </c>
      <c r="V390" s="28">
        <f>1/(1+Calculation_Assumptions!$B$5)^(B390-Calculation_Assumptions!$B$2)</f>
        <v>0.49193373633950943</v>
      </c>
      <c r="W390" s="21">
        <f t="shared" si="66"/>
        <v>2445414.8692625682</v>
      </c>
      <c r="X390" s="21">
        <f t="shared" si="67"/>
        <v>6162439.8581444398</v>
      </c>
      <c r="Y390" s="21">
        <f t="shared" si="68"/>
        <v>3717024.9888818711</v>
      </c>
      <c r="Z390" s="15">
        <f>IFERROR(INDEX(Cost_Components!$T$2:$T$27,MATCH(E390,Cost_Components!$A$2:$A$27,0)),"")</f>
        <v>0.8</v>
      </c>
      <c r="AA390" s="24">
        <f>IFERROR(INDEX(Cost_Components!$U$2:$U$27,MATCH(E390,Cost_Components!$A$2:$A$27,0)),"")</f>
        <v>2025</v>
      </c>
      <c r="AB390" s="24">
        <f>IFERROR(INDEX(Cost_Components!$V$2:$V$27,MATCH(E390,Cost_Components!$A$2:$A$27,0)),"")</f>
        <v>2050</v>
      </c>
      <c r="AC390" s="24">
        <f>IFERROR(INDEX(Cost_Components!$M$2:$M$27,MATCH(E390,Cost_Components!$A$2:$A$27,0)),"")</f>
        <v>0</v>
      </c>
      <c r="AD390" s="24">
        <f>IFERROR(INDEX(Cost_Components!$N$2:$N$27,MATCH(E390,Cost_Components!$A$2:$A$27,0)),"")</f>
        <v>95</v>
      </c>
      <c r="AE390" s="14" t="str">
        <f>IFERROR(INDEX(Cost_Components!$O$2:$O$27,MATCH(E390,Cost_Components!$A$2:$A$27,0)),"")</f>
        <v>Both</v>
      </c>
      <c r="AF390" s="11">
        <v>872090.14205884095</v>
      </c>
      <c r="AG390" s="11">
        <v>872039.41256190802</v>
      </c>
      <c r="AH390" s="21">
        <f t="shared" si="69"/>
        <v>1</v>
      </c>
    </row>
    <row r="391" spans="1:34" hidden="1">
      <c r="A391" t="s">
        <v>202</v>
      </c>
      <c r="B391" s="18">
        <v>2050</v>
      </c>
      <c r="C391" t="s">
        <v>202</v>
      </c>
      <c r="D391" t="s">
        <v>177</v>
      </c>
      <c r="E391" s="20" t="s">
        <v>291</v>
      </c>
      <c r="F391" s="20" t="s">
        <v>292</v>
      </c>
      <c r="G391" s="20" t="s">
        <v>203</v>
      </c>
      <c r="H391" s="20" t="s">
        <v>192</v>
      </c>
      <c r="I391" s="20" t="s">
        <v>167</v>
      </c>
      <c r="J391" s="15">
        <f>IFERROR(INDEX(Cost_Components!$K$2:$K$27,MATCH(E391,Cost_Components!$A$2:$A$27,0)),"")</f>
        <v>0.52</v>
      </c>
      <c r="K391" s="15">
        <f t="shared" si="60"/>
        <v>0.8</v>
      </c>
      <c r="L391" s="15">
        <f>IFERROR(INDEX(Cost_Components!$S$2:$S$27,MATCH(E391,Cost_Components!$A$2:$A$27,0)),"")</f>
        <v>0.31</v>
      </c>
      <c r="M391" s="26">
        <f>IFERROR(INDEX(Cost_Components!$L$2:$L$27,MATCH(E391,Cost_Components!$A$2:$A$27,0)),"")</f>
        <v>1</v>
      </c>
      <c r="N391" s="27">
        <f>IFERROR(INDEX(Cost_Components!$P$2:$P$27,MATCH(E391,Cost_Components!$A$2:$A$27,0)),"")</f>
        <v>35.362648999999998</v>
      </c>
      <c r="O391" s="21">
        <f t="shared" si="61"/>
        <v>458263.70110159757</v>
      </c>
      <c r="P391" s="21">
        <f t="shared" si="62"/>
        <v>458234.50929288031</v>
      </c>
      <c r="Q391" s="21">
        <f t="shared" si="63"/>
        <v>5023359.6946615223</v>
      </c>
      <c r="R391" s="21">
        <f t="shared" si="64"/>
        <v>12964334.729197366</v>
      </c>
      <c r="S391" s="21">
        <f t="shared" si="65"/>
        <v>7940975.0345358439</v>
      </c>
      <c r="T391" s="14">
        <f>IFERROR(INDEX(Cost_Components!$R$2:$R$27,MATCH(E391,Cost_Components!$A$2:$A$27,0)),"")</f>
        <v>1</v>
      </c>
      <c r="U391" s="24">
        <f>IFERROR(INDEX(Cost_Components!$Q$2:$Q$27,MATCH(E391,Cost_Components!$A$2:$A$27,0)),"")</f>
        <v>2023</v>
      </c>
      <c r="V391" s="28">
        <f>1/(1+Calculation_Assumptions!$B$5)^(B391-Calculation_Assumptions!$B$2)</f>
        <v>0.47760556926165965</v>
      </c>
      <c r="W391" s="21">
        <f t="shared" si="66"/>
        <v>2399184.566574893</v>
      </c>
      <c r="X391" s="21">
        <f t="shared" si="67"/>
        <v>6191838.4684370123</v>
      </c>
      <c r="Y391" s="21">
        <f t="shared" si="68"/>
        <v>3792653.9018621189</v>
      </c>
      <c r="Z391" s="15">
        <f>IFERROR(INDEX(Cost_Components!$T$2:$T$27,MATCH(E391,Cost_Components!$A$2:$A$27,0)),"")</f>
        <v>0.8</v>
      </c>
      <c r="AA391" s="24">
        <f>IFERROR(INDEX(Cost_Components!$U$2:$U$27,MATCH(E391,Cost_Components!$A$2:$A$27,0)),"")</f>
        <v>2025</v>
      </c>
      <c r="AB391" s="24">
        <f>IFERROR(INDEX(Cost_Components!$V$2:$V$27,MATCH(E391,Cost_Components!$A$2:$A$27,0)),"")</f>
        <v>2050</v>
      </c>
      <c r="AC391" s="24">
        <f>IFERROR(INDEX(Cost_Components!$M$2:$M$27,MATCH(E391,Cost_Components!$A$2:$A$27,0)),"")</f>
        <v>0</v>
      </c>
      <c r="AD391" s="24">
        <f>IFERROR(INDEX(Cost_Components!$N$2:$N$27,MATCH(E391,Cost_Components!$A$2:$A$27,0)),"")</f>
        <v>95</v>
      </c>
      <c r="AE391" s="14" t="str">
        <f>IFERROR(INDEX(Cost_Components!$O$2:$O$27,MATCH(E391,Cost_Components!$A$2:$A$27,0)),"")</f>
        <v>Both</v>
      </c>
      <c r="AF391" s="11">
        <v>881276.348272303</v>
      </c>
      <c r="AG391" s="11">
        <v>881220.21017861599</v>
      </c>
      <c r="AH391" s="21">
        <f t="shared" si="69"/>
        <v>1</v>
      </c>
    </row>
    <row r="392" spans="1:34" hidden="1">
      <c r="A392" t="s">
        <v>202</v>
      </c>
      <c r="B392" s="18">
        <v>2025</v>
      </c>
      <c r="C392" t="s">
        <v>202</v>
      </c>
      <c r="D392" t="s">
        <v>177</v>
      </c>
      <c r="E392" s="20" t="s">
        <v>294</v>
      </c>
      <c r="F392" s="20" t="s">
        <v>295</v>
      </c>
      <c r="G392" s="20" t="s">
        <v>203</v>
      </c>
      <c r="H392" s="20" t="s">
        <v>192</v>
      </c>
      <c r="I392" s="20" t="s">
        <v>264</v>
      </c>
      <c r="J392" s="15">
        <f>IFERROR(INDEX(Cost_Components!$K$2:$K$27,MATCH(E392,Cost_Components!$A$2:$A$27,0)),"")</f>
        <v>1</v>
      </c>
      <c r="K392" s="15">
        <f t="shared" si="60"/>
        <v>0.32884615384615384</v>
      </c>
      <c r="L392" s="15">
        <f>IFERROR(INDEX(Cost_Components!$S$2:$S$27,MATCH(E392,Cost_Components!$A$2:$A$27,0)),"")</f>
        <v>0.31</v>
      </c>
      <c r="M392" s="26">
        <f>IFERROR(INDEX(Cost_Components!$L$2:$L$27,MATCH(E392,Cost_Components!$A$2:$A$27,0)),"")</f>
        <v>1</v>
      </c>
      <c r="N392" s="27">
        <f>IFERROR(INDEX(Cost_Components!$P$2:$P$27,MATCH(E392,Cost_Components!$A$2:$A$27,0)),"")</f>
        <v>119.721487</v>
      </c>
      <c r="O392" s="21">
        <f t="shared" si="61"/>
        <v>5396461.3575237598</v>
      </c>
      <c r="P392" s="21">
        <f t="shared" si="62"/>
        <v>5395740.1549134701</v>
      </c>
      <c r="Q392" s="21">
        <f t="shared" si="63"/>
        <v>200255670.79167381</v>
      </c>
      <c r="R392" s="21">
        <f t="shared" si="64"/>
        <v>212458416.69729599</v>
      </c>
      <c r="S392" s="21">
        <f t="shared" si="65"/>
        <v>12202745.905622184</v>
      </c>
      <c r="T392" s="14">
        <f>IFERROR(INDEX(Cost_Components!$R$2:$R$27,MATCH(E392,Cost_Components!$A$2:$A$27,0)),"")</f>
        <v>1</v>
      </c>
      <c r="U392" s="24">
        <f>IFERROR(INDEX(Cost_Components!$Q$2:$Q$27,MATCH(E392,Cost_Components!$A$2:$A$27,0)),"")</f>
        <v>2023</v>
      </c>
      <c r="V392" s="28">
        <f>1/(1+Calculation_Assumptions!$B$5)^(B392-Calculation_Assumptions!$B$2)</f>
        <v>1</v>
      </c>
      <c r="W392" s="21">
        <f t="shared" si="66"/>
        <v>200255670.79167381</v>
      </c>
      <c r="X392" s="21">
        <f t="shared" si="67"/>
        <v>212458416.69729599</v>
      </c>
      <c r="Y392" s="21">
        <f t="shared" si="68"/>
        <v>12202745.905622184</v>
      </c>
      <c r="Z392" s="15">
        <f>IFERROR(INDEX(Cost_Components!$T$2:$T$27,MATCH(E392,Cost_Components!$A$2:$A$27,0)),"")</f>
        <v>0.8</v>
      </c>
      <c r="AA392" s="24">
        <f>IFERROR(INDEX(Cost_Components!$U$2:$U$27,MATCH(E392,Cost_Components!$A$2:$A$27,0)),"")</f>
        <v>2025</v>
      </c>
      <c r="AB392" s="24">
        <f>IFERROR(INDEX(Cost_Components!$V$2:$V$27,MATCH(E392,Cost_Components!$A$2:$A$27,0)),"")</f>
        <v>2050</v>
      </c>
      <c r="AC392" s="24">
        <f>IFERROR(INDEX(Cost_Components!$M$2:$M$27,MATCH(E392,Cost_Components!$A$2:$A$27,0)),"")</f>
        <v>0</v>
      </c>
      <c r="AD392" s="24">
        <f>IFERROR(INDEX(Cost_Components!$N$2:$N$27,MATCH(E392,Cost_Components!$A$2:$A$27,0)),"")</f>
        <v>95</v>
      </c>
      <c r="AE392" s="14" t="str">
        <f>IFERROR(INDEX(Cost_Components!$O$2:$O$27,MATCH(E392,Cost_Components!$A$2:$A$27,0)),"")</f>
        <v>Both</v>
      </c>
      <c r="AF392" s="11">
        <v>5396461.3575237598</v>
      </c>
      <c r="AG392" s="11">
        <v>5395740.1549134701</v>
      </c>
      <c r="AH392" s="21">
        <f t="shared" si="69"/>
        <v>1</v>
      </c>
    </row>
    <row r="393" spans="1:34" hidden="1">
      <c r="A393" t="s">
        <v>202</v>
      </c>
      <c r="B393" s="18">
        <v>2026</v>
      </c>
      <c r="C393" t="s">
        <v>202</v>
      </c>
      <c r="D393" t="s">
        <v>177</v>
      </c>
      <c r="E393" s="20" t="s">
        <v>294</v>
      </c>
      <c r="F393" s="20" t="s">
        <v>295</v>
      </c>
      <c r="G393" s="20" t="s">
        <v>203</v>
      </c>
      <c r="H393" s="20" t="s">
        <v>192</v>
      </c>
      <c r="I393" s="20" t="s">
        <v>264</v>
      </c>
      <c r="J393" s="15">
        <f>IFERROR(INDEX(Cost_Components!$K$2:$K$27,MATCH(E393,Cost_Components!$A$2:$A$27,0)),"")</f>
        <v>1</v>
      </c>
      <c r="K393" s="15">
        <f t="shared" si="60"/>
        <v>0.34769230769230769</v>
      </c>
      <c r="L393" s="15">
        <f>IFERROR(INDEX(Cost_Components!$S$2:$S$27,MATCH(E393,Cost_Components!$A$2:$A$27,0)),"")</f>
        <v>0.31</v>
      </c>
      <c r="M393" s="26">
        <f>IFERROR(INDEX(Cost_Components!$L$2:$L$27,MATCH(E393,Cost_Components!$A$2:$A$27,0)),"")</f>
        <v>1</v>
      </c>
      <c r="N393" s="27">
        <f>IFERROR(INDEX(Cost_Components!$P$2:$P$27,MATCH(E393,Cost_Components!$A$2:$A$27,0)),"")</f>
        <v>119.721487</v>
      </c>
      <c r="O393" s="21">
        <f t="shared" si="61"/>
        <v>5525007.7286883201</v>
      </c>
      <c r="P393" s="21">
        <f t="shared" si="62"/>
        <v>5522859.2156802304</v>
      </c>
      <c r="Q393" s="21">
        <f t="shared" si="63"/>
        <v>204973524.51579618</v>
      </c>
      <c r="R393" s="21">
        <f t="shared" si="64"/>
        <v>229985298.24323562</v>
      </c>
      <c r="S393" s="21">
        <f t="shared" si="65"/>
        <v>25011773.727439433</v>
      </c>
      <c r="T393" s="14">
        <f>IFERROR(INDEX(Cost_Components!$R$2:$R$27,MATCH(E393,Cost_Components!$A$2:$A$27,0)),"")</f>
        <v>1</v>
      </c>
      <c r="U393" s="24">
        <f>IFERROR(INDEX(Cost_Components!$Q$2:$Q$27,MATCH(E393,Cost_Components!$A$2:$A$27,0)),"")</f>
        <v>2023</v>
      </c>
      <c r="V393" s="28">
        <f>1/(1+Calculation_Assumptions!$B$5)^(B393-Calculation_Assumptions!$B$2)</f>
        <v>0.970873786407767</v>
      </c>
      <c r="W393" s="21">
        <f t="shared" si="66"/>
        <v>199003421.85999629</v>
      </c>
      <c r="X393" s="21">
        <f t="shared" si="67"/>
        <v>223286697.32352972</v>
      </c>
      <c r="Y393" s="21">
        <f t="shared" si="68"/>
        <v>24283275.463533431</v>
      </c>
      <c r="Z393" s="15">
        <f>IFERROR(INDEX(Cost_Components!$T$2:$T$27,MATCH(E393,Cost_Components!$A$2:$A$27,0)),"")</f>
        <v>0.8</v>
      </c>
      <c r="AA393" s="24">
        <f>IFERROR(INDEX(Cost_Components!$U$2:$U$27,MATCH(E393,Cost_Components!$A$2:$A$27,0)),"")</f>
        <v>2025</v>
      </c>
      <c r="AB393" s="24">
        <f>IFERROR(INDEX(Cost_Components!$V$2:$V$27,MATCH(E393,Cost_Components!$A$2:$A$27,0)),"")</f>
        <v>2050</v>
      </c>
      <c r="AC393" s="24">
        <f>IFERROR(INDEX(Cost_Components!$M$2:$M$27,MATCH(E393,Cost_Components!$A$2:$A$27,0)),"")</f>
        <v>0</v>
      </c>
      <c r="AD393" s="24">
        <f>IFERROR(INDEX(Cost_Components!$N$2:$N$27,MATCH(E393,Cost_Components!$A$2:$A$27,0)),"")</f>
        <v>95</v>
      </c>
      <c r="AE393" s="14" t="str">
        <f>IFERROR(INDEX(Cost_Components!$O$2:$O$27,MATCH(E393,Cost_Components!$A$2:$A$27,0)),"")</f>
        <v>Both</v>
      </c>
      <c r="AF393" s="11">
        <v>5525007.7286883201</v>
      </c>
      <c r="AG393" s="11">
        <v>5522859.2156802304</v>
      </c>
      <c r="AH393" s="21">
        <f t="shared" si="69"/>
        <v>1</v>
      </c>
    </row>
    <row r="394" spans="1:34" hidden="1">
      <c r="A394" t="s">
        <v>202</v>
      </c>
      <c r="B394" s="18">
        <v>2027</v>
      </c>
      <c r="C394" t="s">
        <v>202</v>
      </c>
      <c r="D394" t="s">
        <v>177</v>
      </c>
      <c r="E394" s="20" t="s">
        <v>294</v>
      </c>
      <c r="F394" s="20" t="s">
        <v>295</v>
      </c>
      <c r="G394" s="20" t="s">
        <v>203</v>
      </c>
      <c r="H394" s="20" t="s">
        <v>192</v>
      </c>
      <c r="I394" s="20" t="s">
        <v>264</v>
      </c>
      <c r="J394" s="15">
        <f>IFERROR(INDEX(Cost_Components!$K$2:$K$27,MATCH(E394,Cost_Components!$A$2:$A$27,0)),"")</f>
        <v>1</v>
      </c>
      <c r="K394" s="15">
        <f t="shared" si="60"/>
        <v>0.36653846153846154</v>
      </c>
      <c r="L394" s="15">
        <f>IFERROR(INDEX(Cost_Components!$S$2:$S$27,MATCH(E394,Cost_Components!$A$2:$A$27,0)),"")</f>
        <v>0.31</v>
      </c>
      <c r="M394" s="26">
        <f>IFERROR(INDEX(Cost_Components!$L$2:$L$27,MATCH(E394,Cost_Components!$A$2:$A$27,0)),"")</f>
        <v>1</v>
      </c>
      <c r="N394" s="27">
        <f>IFERROR(INDEX(Cost_Components!$P$2:$P$27,MATCH(E394,Cost_Components!$A$2:$A$27,0)),"")</f>
        <v>119.721487</v>
      </c>
      <c r="O394" s="21">
        <f t="shared" si="61"/>
        <v>5653047.5469594803</v>
      </c>
      <c r="P394" s="21">
        <f t="shared" si="62"/>
        <v>5648779.9055859298</v>
      </c>
      <c r="Q394" s="21">
        <f t="shared" si="63"/>
        <v>209646902.31006479</v>
      </c>
      <c r="R394" s="21">
        <f t="shared" si="64"/>
        <v>248070026.63796836</v>
      </c>
      <c r="S394" s="21">
        <f t="shared" si="65"/>
        <v>38423124.327903569</v>
      </c>
      <c r="T394" s="14">
        <f>IFERROR(INDEX(Cost_Components!$R$2:$R$27,MATCH(E394,Cost_Components!$A$2:$A$27,0)),"")</f>
        <v>1</v>
      </c>
      <c r="U394" s="24">
        <f>IFERROR(INDEX(Cost_Components!$Q$2:$Q$27,MATCH(E394,Cost_Components!$A$2:$A$27,0)),"")</f>
        <v>2023</v>
      </c>
      <c r="V394" s="28">
        <f>1/(1+Calculation_Assumptions!$B$5)^(B394-Calculation_Assumptions!$B$2)</f>
        <v>0.94259590913375435</v>
      </c>
      <c r="W394" s="21">
        <f t="shared" si="66"/>
        <v>197612312.48003089</v>
      </c>
      <c r="X394" s="21">
        <f t="shared" si="67"/>
        <v>233829792.28765044</v>
      </c>
      <c r="Y394" s="21">
        <f t="shared" si="68"/>
        <v>36217479.807619542</v>
      </c>
      <c r="Z394" s="15">
        <f>IFERROR(INDEX(Cost_Components!$T$2:$T$27,MATCH(E394,Cost_Components!$A$2:$A$27,0)),"")</f>
        <v>0.8</v>
      </c>
      <c r="AA394" s="24">
        <f>IFERROR(INDEX(Cost_Components!$U$2:$U$27,MATCH(E394,Cost_Components!$A$2:$A$27,0)),"")</f>
        <v>2025</v>
      </c>
      <c r="AB394" s="24">
        <f>IFERROR(INDEX(Cost_Components!$V$2:$V$27,MATCH(E394,Cost_Components!$A$2:$A$27,0)),"")</f>
        <v>2050</v>
      </c>
      <c r="AC394" s="24">
        <f>IFERROR(INDEX(Cost_Components!$M$2:$M$27,MATCH(E394,Cost_Components!$A$2:$A$27,0)),"")</f>
        <v>0</v>
      </c>
      <c r="AD394" s="24">
        <f>IFERROR(INDEX(Cost_Components!$N$2:$N$27,MATCH(E394,Cost_Components!$A$2:$A$27,0)),"")</f>
        <v>95</v>
      </c>
      <c r="AE394" s="14" t="str">
        <f>IFERROR(INDEX(Cost_Components!$O$2:$O$27,MATCH(E394,Cost_Components!$A$2:$A$27,0)),"")</f>
        <v>Both</v>
      </c>
      <c r="AF394" s="11">
        <v>5653047.5469594803</v>
      </c>
      <c r="AG394" s="11">
        <v>5648779.9055859298</v>
      </c>
      <c r="AH394" s="21">
        <f t="shared" si="69"/>
        <v>1</v>
      </c>
    </row>
    <row r="395" spans="1:34" hidden="1">
      <c r="A395" t="s">
        <v>202</v>
      </c>
      <c r="B395" s="18">
        <v>2028</v>
      </c>
      <c r="C395" t="s">
        <v>202</v>
      </c>
      <c r="D395" t="s">
        <v>177</v>
      </c>
      <c r="E395" s="20" t="s">
        <v>294</v>
      </c>
      <c r="F395" s="20" t="s">
        <v>295</v>
      </c>
      <c r="G395" s="20" t="s">
        <v>203</v>
      </c>
      <c r="H395" s="20" t="s">
        <v>192</v>
      </c>
      <c r="I395" s="20" t="s">
        <v>264</v>
      </c>
      <c r="J395" s="15">
        <f>IFERROR(INDEX(Cost_Components!$K$2:$K$27,MATCH(E395,Cost_Components!$A$2:$A$27,0)),"")</f>
        <v>1</v>
      </c>
      <c r="K395" s="15">
        <f t="shared" si="60"/>
        <v>0.38538461538461538</v>
      </c>
      <c r="L395" s="15">
        <f>IFERROR(INDEX(Cost_Components!$S$2:$S$27,MATCH(E395,Cost_Components!$A$2:$A$27,0)),"")</f>
        <v>0.31</v>
      </c>
      <c r="M395" s="26">
        <f>IFERROR(INDEX(Cost_Components!$L$2:$L$27,MATCH(E395,Cost_Components!$A$2:$A$27,0)),"")</f>
        <v>1</v>
      </c>
      <c r="N395" s="27">
        <f>IFERROR(INDEX(Cost_Components!$P$2:$P$27,MATCH(E395,Cost_Components!$A$2:$A$27,0)),"")</f>
        <v>119.721487</v>
      </c>
      <c r="O395" s="21">
        <f t="shared" si="61"/>
        <v>5780442.6794508398</v>
      </c>
      <c r="P395" s="21">
        <f t="shared" si="62"/>
        <v>5773377.9802549696</v>
      </c>
      <c r="Q395" s="21">
        <f t="shared" si="63"/>
        <v>214271193.01084629</v>
      </c>
      <c r="R395" s="21">
        <f t="shared" si="64"/>
        <v>266702799.8032012</v>
      </c>
      <c r="S395" s="21">
        <f t="shared" si="65"/>
        <v>52431606.792354912</v>
      </c>
      <c r="T395" s="14">
        <f>IFERROR(INDEX(Cost_Components!$R$2:$R$27,MATCH(E395,Cost_Components!$A$2:$A$27,0)),"")</f>
        <v>1</v>
      </c>
      <c r="U395" s="24">
        <f>IFERROR(INDEX(Cost_Components!$Q$2:$Q$27,MATCH(E395,Cost_Components!$A$2:$A$27,0)),"")</f>
        <v>2023</v>
      </c>
      <c r="V395" s="28">
        <f>1/(1+Calculation_Assumptions!$B$5)^(B395-Calculation_Assumptions!$B$2)</f>
        <v>0.91514165935315961</v>
      </c>
      <c r="W395" s="21">
        <f t="shared" si="66"/>
        <v>196088495.12352702</v>
      </c>
      <c r="X395" s="21">
        <f t="shared" si="67"/>
        <v>244070842.76603508</v>
      </c>
      <c r="Y395" s="21">
        <f t="shared" si="68"/>
        <v>47982347.642508067</v>
      </c>
      <c r="Z395" s="15">
        <f>IFERROR(INDEX(Cost_Components!$T$2:$T$27,MATCH(E395,Cost_Components!$A$2:$A$27,0)),"")</f>
        <v>0.8</v>
      </c>
      <c r="AA395" s="24">
        <f>IFERROR(INDEX(Cost_Components!$U$2:$U$27,MATCH(E395,Cost_Components!$A$2:$A$27,0)),"")</f>
        <v>2025</v>
      </c>
      <c r="AB395" s="24">
        <f>IFERROR(INDEX(Cost_Components!$V$2:$V$27,MATCH(E395,Cost_Components!$A$2:$A$27,0)),"")</f>
        <v>2050</v>
      </c>
      <c r="AC395" s="24">
        <f>IFERROR(INDEX(Cost_Components!$M$2:$M$27,MATCH(E395,Cost_Components!$A$2:$A$27,0)),"")</f>
        <v>0</v>
      </c>
      <c r="AD395" s="24">
        <f>IFERROR(INDEX(Cost_Components!$N$2:$N$27,MATCH(E395,Cost_Components!$A$2:$A$27,0)),"")</f>
        <v>95</v>
      </c>
      <c r="AE395" s="14" t="str">
        <f>IFERROR(INDEX(Cost_Components!$O$2:$O$27,MATCH(E395,Cost_Components!$A$2:$A$27,0)),"")</f>
        <v>Both</v>
      </c>
      <c r="AF395" s="11">
        <v>5780442.6794508398</v>
      </c>
      <c r="AG395" s="11">
        <v>5773377.9802549696</v>
      </c>
      <c r="AH395" s="21">
        <f t="shared" si="69"/>
        <v>1</v>
      </c>
    </row>
    <row r="396" spans="1:34" hidden="1">
      <c r="A396" t="s">
        <v>202</v>
      </c>
      <c r="B396" s="18">
        <v>2029</v>
      </c>
      <c r="C396" t="s">
        <v>202</v>
      </c>
      <c r="D396" t="s">
        <v>177</v>
      </c>
      <c r="E396" s="20" t="s">
        <v>294</v>
      </c>
      <c r="F396" s="20" t="s">
        <v>295</v>
      </c>
      <c r="G396" s="20" t="s">
        <v>203</v>
      </c>
      <c r="H396" s="20" t="s">
        <v>192</v>
      </c>
      <c r="I396" s="20" t="s">
        <v>264</v>
      </c>
      <c r="J396" s="15">
        <f>IFERROR(INDEX(Cost_Components!$K$2:$K$27,MATCH(E396,Cost_Components!$A$2:$A$27,0)),"")</f>
        <v>1</v>
      </c>
      <c r="K396" s="15">
        <f t="shared" si="60"/>
        <v>0.40423076923076923</v>
      </c>
      <c r="L396" s="15">
        <f>IFERROR(INDEX(Cost_Components!$S$2:$S$27,MATCH(E396,Cost_Components!$A$2:$A$27,0)),"")</f>
        <v>0.31</v>
      </c>
      <c r="M396" s="26">
        <f>IFERROR(INDEX(Cost_Components!$L$2:$L$27,MATCH(E396,Cost_Components!$A$2:$A$27,0)),"")</f>
        <v>1</v>
      </c>
      <c r="N396" s="27">
        <f>IFERROR(INDEX(Cost_Components!$P$2:$P$27,MATCH(E396,Cost_Components!$A$2:$A$27,0)),"")</f>
        <v>119.721487</v>
      </c>
      <c r="O396" s="21">
        <f t="shared" si="61"/>
        <v>5907029.4173639901</v>
      </c>
      <c r="P396" s="21">
        <f t="shared" si="62"/>
        <v>5896503.1983499797</v>
      </c>
      <c r="Q396" s="21">
        <f t="shared" si="63"/>
        <v>218840820.6120818</v>
      </c>
      <c r="R396" s="21">
        <f t="shared" si="64"/>
        <v>285871331.24043769</v>
      </c>
      <c r="S396" s="21">
        <f t="shared" si="65"/>
        <v>67030510.628355891</v>
      </c>
      <c r="T396" s="14">
        <f>IFERROR(INDEX(Cost_Components!$R$2:$R$27,MATCH(E396,Cost_Components!$A$2:$A$27,0)),"")</f>
        <v>1</v>
      </c>
      <c r="U396" s="24">
        <f>IFERROR(INDEX(Cost_Components!$Q$2:$Q$27,MATCH(E396,Cost_Components!$A$2:$A$27,0)),"")</f>
        <v>2023</v>
      </c>
      <c r="V396" s="28">
        <f>1/(1+Calculation_Assumptions!$B$5)^(B396-Calculation_Assumptions!$B$2)</f>
        <v>0.888487047915689</v>
      </c>
      <c r="W396" s="21">
        <f t="shared" si="66"/>
        <v>194437234.66907543</v>
      </c>
      <c r="X396" s="21">
        <f t="shared" si="67"/>
        <v>253992975.17754456</v>
      </c>
      <c r="Y396" s="21">
        <f t="shared" si="68"/>
        <v>59555740.508469142</v>
      </c>
      <c r="Z396" s="15">
        <f>IFERROR(INDEX(Cost_Components!$T$2:$T$27,MATCH(E396,Cost_Components!$A$2:$A$27,0)),"")</f>
        <v>0.8</v>
      </c>
      <c r="AA396" s="24">
        <f>IFERROR(INDEX(Cost_Components!$U$2:$U$27,MATCH(E396,Cost_Components!$A$2:$A$27,0)),"")</f>
        <v>2025</v>
      </c>
      <c r="AB396" s="24">
        <f>IFERROR(INDEX(Cost_Components!$V$2:$V$27,MATCH(E396,Cost_Components!$A$2:$A$27,0)),"")</f>
        <v>2050</v>
      </c>
      <c r="AC396" s="24">
        <f>IFERROR(INDEX(Cost_Components!$M$2:$M$27,MATCH(E396,Cost_Components!$A$2:$A$27,0)),"")</f>
        <v>0</v>
      </c>
      <c r="AD396" s="24">
        <f>IFERROR(INDEX(Cost_Components!$N$2:$N$27,MATCH(E396,Cost_Components!$A$2:$A$27,0)),"")</f>
        <v>95</v>
      </c>
      <c r="AE396" s="14" t="str">
        <f>IFERROR(INDEX(Cost_Components!$O$2:$O$27,MATCH(E396,Cost_Components!$A$2:$A$27,0)),"")</f>
        <v>Both</v>
      </c>
      <c r="AF396" s="11">
        <v>5907029.4173639901</v>
      </c>
      <c r="AG396" s="11">
        <v>5896503.1983499797</v>
      </c>
      <c r="AH396" s="21">
        <f t="shared" si="69"/>
        <v>1</v>
      </c>
    </row>
    <row r="397" spans="1:34" hidden="1">
      <c r="A397" t="s">
        <v>202</v>
      </c>
      <c r="B397" s="18">
        <v>2030</v>
      </c>
      <c r="C397" t="s">
        <v>202</v>
      </c>
      <c r="D397" t="s">
        <v>177</v>
      </c>
      <c r="E397" s="20" t="s">
        <v>294</v>
      </c>
      <c r="F397" s="20" t="s">
        <v>295</v>
      </c>
      <c r="G397" s="20" t="s">
        <v>203</v>
      </c>
      <c r="H397" s="20" t="s">
        <v>192</v>
      </c>
      <c r="I397" s="20" t="s">
        <v>264</v>
      </c>
      <c r="J397" s="15">
        <f>IFERROR(INDEX(Cost_Components!$K$2:$K$27,MATCH(E397,Cost_Components!$A$2:$A$27,0)),"")</f>
        <v>1</v>
      </c>
      <c r="K397" s="15">
        <f t="shared" si="60"/>
        <v>0.42307692307692307</v>
      </c>
      <c r="L397" s="15">
        <f>IFERROR(INDEX(Cost_Components!$S$2:$S$27,MATCH(E397,Cost_Components!$A$2:$A$27,0)),"")</f>
        <v>0.31</v>
      </c>
      <c r="M397" s="26">
        <f>IFERROR(INDEX(Cost_Components!$L$2:$L$27,MATCH(E397,Cost_Components!$A$2:$A$27,0)),"")</f>
        <v>1</v>
      </c>
      <c r="N397" s="27">
        <f>IFERROR(INDEX(Cost_Components!$P$2:$P$27,MATCH(E397,Cost_Components!$A$2:$A$27,0)),"")</f>
        <v>119.721487</v>
      </c>
      <c r="O397" s="21">
        <f t="shared" si="61"/>
        <v>6032652.0652286597</v>
      </c>
      <c r="P397" s="21">
        <f t="shared" si="62"/>
        <v>6018015.6694641598</v>
      </c>
      <c r="Q397" s="21">
        <f t="shared" si="63"/>
        <v>223350593.2686404</v>
      </c>
      <c r="R397" s="21">
        <f t="shared" si="64"/>
        <v>305562262.83964449</v>
      </c>
      <c r="S397" s="21">
        <f t="shared" si="65"/>
        <v>82211669.571004093</v>
      </c>
      <c r="T397" s="14">
        <f>IFERROR(INDEX(Cost_Components!$R$2:$R$27,MATCH(E397,Cost_Components!$A$2:$A$27,0)),"")</f>
        <v>1</v>
      </c>
      <c r="U397" s="24">
        <f>IFERROR(INDEX(Cost_Components!$Q$2:$Q$27,MATCH(E397,Cost_Components!$A$2:$A$27,0)),"")</f>
        <v>2023</v>
      </c>
      <c r="V397" s="28">
        <f>1/(1+Calculation_Assumptions!$B$5)^(B397-Calculation_Assumptions!$B$2)</f>
        <v>0.86260878438416411</v>
      </c>
      <c r="W397" s="21">
        <f t="shared" si="66"/>
        <v>192664183.75094375</v>
      </c>
      <c r="X397" s="21">
        <f t="shared" si="67"/>
        <v>263580692.10178018</v>
      </c>
      <c r="Y397" s="21">
        <f t="shared" si="68"/>
        <v>70916508.350836411</v>
      </c>
      <c r="Z397" s="15">
        <f>IFERROR(INDEX(Cost_Components!$T$2:$T$27,MATCH(E397,Cost_Components!$A$2:$A$27,0)),"")</f>
        <v>0.8</v>
      </c>
      <c r="AA397" s="24">
        <f>IFERROR(INDEX(Cost_Components!$U$2:$U$27,MATCH(E397,Cost_Components!$A$2:$A$27,0)),"")</f>
        <v>2025</v>
      </c>
      <c r="AB397" s="24">
        <f>IFERROR(INDEX(Cost_Components!$V$2:$V$27,MATCH(E397,Cost_Components!$A$2:$A$27,0)),"")</f>
        <v>2050</v>
      </c>
      <c r="AC397" s="24">
        <f>IFERROR(INDEX(Cost_Components!$M$2:$M$27,MATCH(E397,Cost_Components!$A$2:$A$27,0)),"")</f>
        <v>0</v>
      </c>
      <c r="AD397" s="24">
        <f>IFERROR(INDEX(Cost_Components!$N$2:$N$27,MATCH(E397,Cost_Components!$A$2:$A$27,0)),"")</f>
        <v>95</v>
      </c>
      <c r="AE397" s="14" t="str">
        <f>IFERROR(INDEX(Cost_Components!$O$2:$O$27,MATCH(E397,Cost_Components!$A$2:$A$27,0)),"")</f>
        <v>Both</v>
      </c>
      <c r="AF397" s="11">
        <v>6032652.0652286597</v>
      </c>
      <c r="AG397" s="11">
        <v>6018015.6694641598</v>
      </c>
      <c r="AH397" s="21">
        <f t="shared" si="69"/>
        <v>1</v>
      </c>
    </row>
    <row r="398" spans="1:34" hidden="1">
      <c r="A398" t="s">
        <v>202</v>
      </c>
      <c r="B398" s="18">
        <v>2031</v>
      </c>
      <c r="C398" t="s">
        <v>202</v>
      </c>
      <c r="D398" t="s">
        <v>177</v>
      </c>
      <c r="E398" s="20" t="s">
        <v>294</v>
      </c>
      <c r="F398" s="20" t="s">
        <v>295</v>
      </c>
      <c r="G398" s="20" t="s">
        <v>203</v>
      </c>
      <c r="H398" s="20" t="s">
        <v>192</v>
      </c>
      <c r="I398" s="20" t="s">
        <v>264</v>
      </c>
      <c r="J398" s="15">
        <f>IFERROR(INDEX(Cost_Components!$K$2:$K$27,MATCH(E398,Cost_Components!$A$2:$A$27,0)),"")</f>
        <v>1</v>
      </c>
      <c r="K398" s="15">
        <f t="shared" si="60"/>
        <v>0.44192307692307692</v>
      </c>
      <c r="L398" s="15">
        <f>IFERROR(INDEX(Cost_Components!$S$2:$S$27,MATCH(E398,Cost_Components!$A$2:$A$27,0)),"")</f>
        <v>0.31</v>
      </c>
      <c r="M398" s="26">
        <f>IFERROR(INDEX(Cost_Components!$L$2:$L$27,MATCH(E398,Cost_Components!$A$2:$A$27,0)),"")</f>
        <v>1</v>
      </c>
      <c r="N398" s="27">
        <f>IFERROR(INDEX(Cost_Components!$P$2:$P$27,MATCH(E398,Cost_Components!$A$2:$A$27,0)),"")</f>
        <v>119.721487</v>
      </c>
      <c r="O398" s="21">
        <f t="shared" si="61"/>
        <v>6157112.3216295997</v>
      </c>
      <c r="P398" s="21">
        <f t="shared" si="62"/>
        <v>6137732.8378397403</v>
      </c>
      <c r="Q398" s="21">
        <f t="shared" si="63"/>
        <v>227793735.6680201</v>
      </c>
      <c r="R398" s="21">
        <f t="shared" si="64"/>
        <v>325758577.13249004</v>
      </c>
      <c r="S398" s="21">
        <f t="shared" si="65"/>
        <v>97964841.464469939</v>
      </c>
      <c r="T398" s="14">
        <f>IFERROR(INDEX(Cost_Components!$R$2:$R$27,MATCH(E398,Cost_Components!$A$2:$A$27,0)),"")</f>
        <v>1</v>
      </c>
      <c r="U398" s="24">
        <f>IFERROR(INDEX(Cost_Components!$Q$2:$Q$27,MATCH(E398,Cost_Components!$A$2:$A$27,0)),"")</f>
        <v>2023</v>
      </c>
      <c r="V398" s="28">
        <f>1/(1+Calculation_Assumptions!$B$5)^(B398-Calculation_Assumptions!$B$2)</f>
        <v>0.83748425668365445</v>
      </c>
      <c r="W398" s="21">
        <f t="shared" si="66"/>
        <v>190773667.39312467</v>
      </c>
      <c r="X398" s="21">
        <f t="shared" si="67"/>
        <v>272817679.82812834</v>
      </c>
      <c r="Y398" s="21">
        <f t="shared" si="68"/>
        <v>82044012.435003653</v>
      </c>
      <c r="Z398" s="15">
        <f>IFERROR(INDEX(Cost_Components!$T$2:$T$27,MATCH(E398,Cost_Components!$A$2:$A$27,0)),"")</f>
        <v>0.8</v>
      </c>
      <c r="AA398" s="24">
        <f>IFERROR(INDEX(Cost_Components!$U$2:$U$27,MATCH(E398,Cost_Components!$A$2:$A$27,0)),"")</f>
        <v>2025</v>
      </c>
      <c r="AB398" s="24">
        <f>IFERROR(INDEX(Cost_Components!$V$2:$V$27,MATCH(E398,Cost_Components!$A$2:$A$27,0)),"")</f>
        <v>2050</v>
      </c>
      <c r="AC398" s="24">
        <f>IFERROR(INDEX(Cost_Components!$M$2:$M$27,MATCH(E398,Cost_Components!$A$2:$A$27,0)),"")</f>
        <v>0</v>
      </c>
      <c r="AD398" s="24">
        <f>IFERROR(INDEX(Cost_Components!$N$2:$N$27,MATCH(E398,Cost_Components!$A$2:$A$27,0)),"")</f>
        <v>95</v>
      </c>
      <c r="AE398" s="14" t="str">
        <f>IFERROR(INDEX(Cost_Components!$O$2:$O$27,MATCH(E398,Cost_Components!$A$2:$A$27,0)),"")</f>
        <v>Both</v>
      </c>
      <c r="AF398" s="11">
        <v>6157112.3216295997</v>
      </c>
      <c r="AG398" s="11">
        <v>6137732.8378397403</v>
      </c>
      <c r="AH398" s="21">
        <f t="shared" si="69"/>
        <v>1</v>
      </c>
    </row>
    <row r="399" spans="1:34" hidden="1">
      <c r="A399" t="s">
        <v>202</v>
      </c>
      <c r="B399" s="18">
        <v>2032</v>
      </c>
      <c r="C399" t="s">
        <v>202</v>
      </c>
      <c r="D399" t="s">
        <v>177</v>
      </c>
      <c r="E399" s="20" t="s">
        <v>294</v>
      </c>
      <c r="F399" s="20" t="s">
        <v>295</v>
      </c>
      <c r="G399" s="20" t="s">
        <v>203</v>
      </c>
      <c r="H399" s="20" t="s">
        <v>192</v>
      </c>
      <c r="I399" s="20" t="s">
        <v>264</v>
      </c>
      <c r="J399" s="15">
        <f>IFERROR(INDEX(Cost_Components!$K$2:$K$27,MATCH(E399,Cost_Components!$A$2:$A$27,0)),"")</f>
        <v>1</v>
      </c>
      <c r="K399" s="15">
        <f t="shared" si="60"/>
        <v>0.46076923076923082</v>
      </c>
      <c r="L399" s="15">
        <f>IFERROR(INDEX(Cost_Components!$S$2:$S$27,MATCH(E399,Cost_Components!$A$2:$A$27,0)),"")</f>
        <v>0.31</v>
      </c>
      <c r="M399" s="26">
        <f>IFERROR(INDEX(Cost_Components!$L$2:$L$27,MATCH(E399,Cost_Components!$A$2:$A$27,0)),"")</f>
        <v>1</v>
      </c>
      <c r="N399" s="27">
        <f>IFERROR(INDEX(Cost_Components!$P$2:$P$27,MATCH(E399,Cost_Components!$A$2:$A$27,0)),"")</f>
        <v>119.721487</v>
      </c>
      <c r="O399" s="21">
        <f t="shared" si="61"/>
        <v>6280224.8209683299</v>
      </c>
      <c r="P399" s="21">
        <f t="shared" si="62"/>
        <v>6255488.0433799597</v>
      </c>
      <c r="Q399" s="21">
        <f t="shared" si="63"/>
        <v>232164062.44389245</v>
      </c>
      <c r="R399" s="21">
        <f t="shared" si="64"/>
        <v>346442180.5400936</v>
      </c>
      <c r="S399" s="21">
        <f t="shared" si="65"/>
        <v>114278118.09620115</v>
      </c>
      <c r="T399" s="14">
        <f>IFERROR(INDEX(Cost_Components!$R$2:$R$27,MATCH(E399,Cost_Components!$A$2:$A$27,0)),"")</f>
        <v>1</v>
      </c>
      <c r="U399" s="24">
        <f>IFERROR(INDEX(Cost_Components!$Q$2:$Q$27,MATCH(E399,Cost_Components!$A$2:$A$27,0)),"")</f>
        <v>2023</v>
      </c>
      <c r="V399" s="28">
        <f>1/(1+Calculation_Assumptions!$B$5)^(B399-Calculation_Assumptions!$B$2)</f>
        <v>0.81309151134335378</v>
      </c>
      <c r="W399" s="21">
        <f t="shared" si="66"/>
        <v>188770628.41211727</v>
      </c>
      <c r="X399" s="21">
        <f t="shared" si="67"/>
        <v>281689196.16843176</v>
      </c>
      <c r="Y399" s="21">
        <f t="shared" si="68"/>
        <v>92918567.756314456</v>
      </c>
      <c r="Z399" s="15">
        <f>IFERROR(INDEX(Cost_Components!$T$2:$T$27,MATCH(E399,Cost_Components!$A$2:$A$27,0)),"")</f>
        <v>0.8</v>
      </c>
      <c r="AA399" s="24">
        <f>IFERROR(INDEX(Cost_Components!$U$2:$U$27,MATCH(E399,Cost_Components!$A$2:$A$27,0)),"")</f>
        <v>2025</v>
      </c>
      <c r="AB399" s="24">
        <f>IFERROR(INDEX(Cost_Components!$V$2:$V$27,MATCH(E399,Cost_Components!$A$2:$A$27,0)),"")</f>
        <v>2050</v>
      </c>
      <c r="AC399" s="24">
        <f>IFERROR(INDEX(Cost_Components!$M$2:$M$27,MATCH(E399,Cost_Components!$A$2:$A$27,0)),"")</f>
        <v>0</v>
      </c>
      <c r="AD399" s="24">
        <f>IFERROR(INDEX(Cost_Components!$N$2:$N$27,MATCH(E399,Cost_Components!$A$2:$A$27,0)),"")</f>
        <v>95</v>
      </c>
      <c r="AE399" s="14" t="str">
        <f>IFERROR(INDEX(Cost_Components!$O$2:$O$27,MATCH(E399,Cost_Components!$A$2:$A$27,0)),"")</f>
        <v>Both</v>
      </c>
      <c r="AF399" s="11">
        <v>6280224.8209683299</v>
      </c>
      <c r="AG399" s="11">
        <v>6255488.0433799597</v>
      </c>
      <c r="AH399" s="21">
        <f t="shared" si="69"/>
        <v>1</v>
      </c>
    </row>
    <row r="400" spans="1:34" hidden="1">
      <c r="A400" t="s">
        <v>202</v>
      </c>
      <c r="B400" s="18">
        <v>2033</v>
      </c>
      <c r="C400" t="s">
        <v>202</v>
      </c>
      <c r="D400" t="s">
        <v>177</v>
      </c>
      <c r="E400" s="20" t="s">
        <v>294</v>
      </c>
      <c r="F400" s="20" t="s">
        <v>295</v>
      </c>
      <c r="G400" s="20" t="s">
        <v>203</v>
      </c>
      <c r="H400" s="20" t="s">
        <v>192</v>
      </c>
      <c r="I400" s="20" t="s">
        <v>264</v>
      </c>
      <c r="J400" s="15">
        <f>IFERROR(INDEX(Cost_Components!$K$2:$K$27,MATCH(E400,Cost_Components!$A$2:$A$27,0)),"")</f>
        <v>1</v>
      </c>
      <c r="K400" s="15">
        <f t="shared" si="60"/>
        <v>0.47961538461538467</v>
      </c>
      <c r="L400" s="15">
        <f>IFERROR(INDEX(Cost_Components!$S$2:$S$27,MATCH(E400,Cost_Components!$A$2:$A$27,0)),"")</f>
        <v>0.31</v>
      </c>
      <c r="M400" s="26">
        <f>IFERROR(INDEX(Cost_Components!$L$2:$L$27,MATCH(E400,Cost_Components!$A$2:$A$27,0)),"")</f>
        <v>1</v>
      </c>
      <c r="N400" s="27">
        <f>IFERROR(INDEX(Cost_Components!$P$2:$P$27,MATCH(E400,Cost_Components!$A$2:$A$27,0)),"")</f>
        <v>119.721487</v>
      </c>
      <c r="O400" s="21">
        <f t="shared" si="61"/>
        <v>6401743.88028483</v>
      </c>
      <c r="P400" s="21">
        <f t="shared" si="62"/>
        <v>6371060.8472563596</v>
      </c>
      <c r="Q400" s="21">
        <f t="shared" si="63"/>
        <v>236453392.30431348</v>
      </c>
      <c r="R400" s="21">
        <f t="shared" si="64"/>
        <v>367589843.09070766</v>
      </c>
      <c r="S400" s="21">
        <f t="shared" si="65"/>
        <v>131136450.78639418</v>
      </c>
      <c r="T400" s="14">
        <f>IFERROR(INDEX(Cost_Components!$R$2:$R$27,MATCH(E400,Cost_Components!$A$2:$A$27,0)),"")</f>
        <v>1</v>
      </c>
      <c r="U400" s="24">
        <f>IFERROR(INDEX(Cost_Components!$Q$2:$Q$27,MATCH(E400,Cost_Components!$A$2:$A$27,0)),"")</f>
        <v>2023</v>
      </c>
      <c r="V400" s="28">
        <f>1/(1+Calculation_Assumptions!$B$5)^(B400-Calculation_Assumptions!$B$2)</f>
        <v>0.78940923431393573</v>
      </c>
      <c r="W400" s="21">
        <f t="shared" si="66"/>
        <v>186658491.36988077</v>
      </c>
      <c r="X400" s="21">
        <f t="shared" si="67"/>
        <v>290178816.57581532</v>
      </c>
      <c r="Y400" s="21">
        <f t="shared" si="68"/>
        <v>103520325.20593454</v>
      </c>
      <c r="Z400" s="15">
        <f>IFERROR(INDEX(Cost_Components!$T$2:$T$27,MATCH(E400,Cost_Components!$A$2:$A$27,0)),"")</f>
        <v>0.8</v>
      </c>
      <c r="AA400" s="24">
        <f>IFERROR(INDEX(Cost_Components!$U$2:$U$27,MATCH(E400,Cost_Components!$A$2:$A$27,0)),"")</f>
        <v>2025</v>
      </c>
      <c r="AB400" s="24">
        <f>IFERROR(INDEX(Cost_Components!$V$2:$V$27,MATCH(E400,Cost_Components!$A$2:$A$27,0)),"")</f>
        <v>2050</v>
      </c>
      <c r="AC400" s="24">
        <f>IFERROR(INDEX(Cost_Components!$M$2:$M$27,MATCH(E400,Cost_Components!$A$2:$A$27,0)),"")</f>
        <v>0</v>
      </c>
      <c r="AD400" s="24">
        <f>IFERROR(INDEX(Cost_Components!$N$2:$N$27,MATCH(E400,Cost_Components!$A$2:$A$27,0)),"")</f>
        <v>95</v>
      </c>
      <c r="AE400" s="14" t="str">
        <f>IFERROR(INDEX(Cost_Components!$O$2:$O$27,MATCH(E400,Cost_Components!$A$2:$A$27,0)),"")</f>
        <v>Both</v>
      </c>
      <c r="AF400" s="11">
        <v>6401743.88028483</v>
      </c>
      <c r="AG400" s="11">
        <v>6371060.8472563596</v>
      </c>
      <c r="AH400" s="21">
        <f t="shared" si="69"/>
        <v>1</v>
      </c>
    </row>
    <row r="401" spans="1:34" hidden="1">
      <c r="A401" t="s">
        <v>202</v>
      </c>
      <c r="B401" s="18">
        <v>2034</v>
      </c>
      <c r="C401" t="s">
        <v>202</v>
      </c>
      <c r="D401" t="s">
        <v>177</v>
      </c>
      <c r="E401" s="20" t="s">
        <v>294</v>
      </c>
      <c r="F401" s="20" t="s">
        <v>295</v>
      </c>
      <c r="G401" s="20" t="s">
        <v>203</v>
      </c>
      <c r="H401" s="20" t="s">
        <v>192</v>
      </c>
      <c r="I401" s="20" t="s">
        <v>264</v>
      </c>
      <c r="J401" s="15">
        <f>IFERROR(INDEX(Cost_Components!$K$2:$K$27,MATCH(E401,Cost_Components!$A$2:$A$27,0)),"")</f>
        <v>1</v>
      </c>
      <c r="K401" s="15">
        <f t="shared" si="60"/>
        <v>0.49846153846153851</v>
      </c>
      <c r="L401" s="15">
        <f>IFERROR(INDEX(Cost_Components!$S$2:$S$27,MATCH(E401,Cost_Components!$A$2:$A$27,0)),"")</f>
        <v>0.31</v>
      </c>
      <c r="M401" s="26">
        <f>IFERROR(INDEX(Cost_Components!$L$2:$L$27,MATCH(E401,Cost_Components!$A$2:$A$27,0)),"")</f>
        <v>1</v>
      </c>
      <c r="N401" s="27">
        <f>IFERROR(INDEX(Cost_Components!$P$2:$P$27,MATCH(E401,Cost_Components!$A$2:$A$27,0)),"")</f>
        <v>119.721487</v>
      </c>
      <c r="O401" s="21">
        <f t="shared" si="61"/>
        <v>6521364.8259375496</v>
      </c>
      <c r="P401" s="21">
        <f t="shared" si="62"/>
        <v>6484171.91355599</v>
      </c>
      <c r="Q401" s="21">
        <f t="shared" si="63"/>
        <v>240651358.07091317</v>
      </c>
      <c r="R401" s="21">
        <f t="shared" si="64"/>
        <v>389172597.12424564</v>
      </c>
      <c r="S401" s="21">
        <f t="shared" si="65"/>
        <v>148521239.05333248</v>
      </c>
      <c r="T401" s="14">
        <f>IFERROR(INDEX(Cost_Components!$R$2:$R$27,MATCH(E401,Cost_Components!$A$2:$A$27,0)),"")</f>
        <v>1</v>
      </c>
      <c r="U401" s="24">
        <f>IFERROR(INDEX(Cost_Components!$Q$2:$Q$27,MATCH(E401,Cost_Components!$A$2:$A$27,0)),"")</f>
        <v>2023</v>
      </c>
      <c r="V401" s="28">
        <f>1/(1+Calculation_Assumptions!$B$5)^(B401-Calculation_Assumptions!$B$2)</f>
        <v>0.76641673234362695</v>
      </c>
      <c r="W401" s="21">
        <f t="shared" si="66"/>
        <v>184439227.48676538</v>
      </c>
      <c r="X401" s="21">
        <f t="shared" si="67"/>
        <v>298268390.20564711</v>
      </c>
      <c r="Y401" s="21">
        <f t="shared" si="68"/>
        <v>113829162.71888176</v>
      </c>
      <c r="Z401" s="15">
        <f>IFERROR(INDEX(Cost_Components!$T$2:$T$27,MATCH(E401,Cost_Components!$A$2:$A$27,0)),"")</f>
        <v>0.8</v>
      </c>
      <c r="AA401" s="24">
        <f>IFERROR(INDEX(Cost_Components!$U$2:$U$27,MATCH(E401,Cost_Components!$A$2:$A$27,0)),"")</f>
        <v>2025</v>
      </c>
      <c r="AB401" s="24">
        <f>IFERROR(INDEX(Cost_Components!$V$2:$V$27,MATCH(E401,Cost_Components!$A$2:$A$27,0)),"")</f>
        <v>2050</v>
      </c>
      <c r="AC401" s="24">
        <f>IFERROR(INDEX(Cost_Components!$M$2:$M$27,MATCH(E401,Cost_Components!$A$2:$A$27,0)),"")</f>
        <v>0</v>
      </c>
      <c r="AD401" s="24">
        <f>IFERROR(INDEX(Cost_Components!$N$2:$N$27,MATCH(E401,Cost_Components!$A$2:$A$27,0)),"")</f>
        <v>95</v>
      </c>
      <c r="AE401" s="14" t="str">
        <f>IFERROR(INDEX(Cost_Components!$O$2:$O$27,MATCH(E401,Cost_Components!$A$2:$A$27,0)),"")</f>
        <v>Both</v>
      </c>
      <c r="AF401" s="11">
        <v>6521364.8259375496</v>
      </c>
      <c r="AG401" s="11">
        <v>6484171.91355599</v>
      </c>
      <c r="AH401" s="21">
        <f t="shared" si="69"/>
        <v>1</v>
      </c>
    </row>
    <row r="402" spans="1:34" hidden="1">
      <c r="A402" t="s">
        <v>202</v>
      </c>
      <c r="B402" s="18">
        <v>2035</v>
      </c>
      <c r="C402" t="s">
        <v>202</v>
      </c>
      <c r="D402" t="s">
        <v>177</v>
      </c>
      <c r="E402" s="20" t="s">
        <v>294</v>
      </c>
      <c r="F402" s="20" t="s">
        <v>295</v>
      </c>
      <c r="G402" s="20" t="s">
        <v>203</v>
      </c>
      <c r="H402" s="20" t="s">
        <v>192</v>
      </c>
      <c r="I402" s="20" t="s">
        <v>264</v>
      </c>
      <c r="J402" s="15">
        <f>IFERROR(INDEX(Cost_Components!$K$2:$K$27,MATCH(E402,Cost_Components!$A$2:$A$27,0)),"")</f>
        <v>1</v>
      </c>
      <c r="K402" s="15">
        <f t="shared" si="60"/>
        <v>0.51730769230769236</v>
      </c>
      <c r="L402" s="15">
        <f>IFERROR(INDEX(Cost_Components!$S$2:$S$27,MATCH(E402,Cost_Components!$A$2:$A$27,0)),"")</f>
        <v>0.31</v>
      </c>
      <c r="M402" s="26">
        <f>IFERROR(INDEX(Cost_Components!$L$2:$L$27,MATCH(E402,Cost_Components!$A$2:$A$27,0)),"")</f>
        <v>1</v>
      </c>
      <c r="N402" s="27">
        <f>IFERROR(INDEX(Cost_Components!$P$2:$P$27,MATCH(E402,Cost_Components!$A$2:$A$27,0)),"")</f>
        <v>119.721487</v>
      </c>
      <c r="O402" s="21">
        <f t="shared" si="61"/>
        <v>6638797.4934170004</v>
      </c>
      <c r="P402" s="21">
        <f t="shared" si="62"/>
        <v>6594554.7330099801</v>
      </c>
      <c r="Q402" s="21">
        <f t="shared" si="63"/>
        <v>244748068.60904124</v>
      </c>
      <c r="R402" s="21">
        <f t="shared" si="64"/>
        <v>411159623.84463537</v>
      </c>
      <c r="S402" s="21">
        <f t="shared" si="65"/>
        <v>166411555.23559412</v>
      </c>
      <c r="T402" s="14">
        <f>IFERROR(INDEX(Cost_Components!$R$2:$R$27,MATCH(E402,Cost_Components!$A$2:$A$27,0)),"")</f>
        <v>1</v>
      </c>
      <c r="U402" s="24">
        <f>IFERROR(INDEX(Cost_Components!$Q$2:$Q$27,MATCH(E402,Cost_Components!$A$2:$A$27,0)),"")</f>
        <v>2023</v>
      </c>
      <c r="V402" s="28">
        <f>1/(1+Calculation_Assumptions!$B$5)^(B402-Calculation_Assumptions!$B$2)</f>
        <v>0.74409391489672516</v>
      </c>
      <c r="W402" s="21">
        <f t="shared" si="66"/>
        <v>182115548.53471377</v>
      </c>
      <c r="X402" s="21">
        <f t="shared" si="67"/>
        <v>305941374.15401965</v>
      </c>
      <c r="Y402" s="21">
        <f t="shared" si="68"/>
        <v>123825825.61930585</v>
      </c>
      <c r="Z402" s="15">
        <f>IFERROR(INDEX(Cost_Components!$T$2:$T$27,MATCH(E402,Cost_Components!$A$2:$A$27,0)),"")</f>
        <v>0.8</v>
      </c>
      <c r="AA402" s="24">
        <f>IFERROR(INDEX(Cost_Components!$U$2:$U$27,MATCH(E402,Cost_Components!$A$2:$A$27,0)),"")</f>
        <v>2025</v>
      </c>
      <c r="AB402" s="24">
        <f>IFERROR(INDEX(Cost_Components!$V$2:$V$27,MATCH(E402,Cost_Components!$A$2:$A$27,0)),"")</f>
        <v>2050</v>
      </c>
      <c r="AC402" s="24">
        <f>IFERROR(INDEX(Cost_Components!$M$2:$M$27,MATCH(E402,Cost_Components!$A$2:$A$27,0)),"")</f>
        <v>0</v>
      </c>
      <c r="AD402" s="24">
        <f>IFERROR(INDEX(Cost_Components!$N$2:$N$27,MATCH(E402,Cost_Components!$A$2:$A$27,0)),"")</f>
        <v>95</v>
      </c>
      <c r="AE402" s="14" t="str">
        <f>IFERROR(INDEX(Cost_Components!$O$2:$O$27,MATCH(E402,Cost_Components!$A$2:$A$27,0)),"")</f>
        <v>Both</v>
      </c>
      <c r="AF402" s="11">
        <v>6638797.4934170004</v>
      </c>
      <c r="AG402" s="11">
        <v>6594554.7330099801</v>
      </c>
      <c r="AH402" s="21">
        <f t="shared" si="69"/>
        <v>1</v>
      </c>
    </row>
    <row r="403" spans="1:34" hidden="1">
      <c r="A403" t="s">
        <v>202</v>
      </c>
      <c r="B403" s="18">
        <v>2036</v>
      </c>
      <c r="C403" t="s">
        <v>202</v>
      </c>
      <c r="D403" t="s">
        <v>177</v>
      </c>
      <c r="E403" s="20" t="s">
        <v>294</v>
      </c>
      <c r="F403" s="20" t="s">
        <v>295</v>
      </c>
      <c r="G403" s="20" t="s">
        <v>203</v>
      </c>
      <c r="H403" s="20" t="s">
        <v>192</v>
      </c>
      <c r="I403" s="20" t="s">
        <v>264</v>
      </c>
      <c r="J403" s="15">
        <f>IFERROR(INDEX(Cost_Components!$K$2:$K$27,MATCH(E403,Cost_Components!$A$2:$A$27,0)),"")</f>
        <v>1</v>
      </c>
      <c r="K403" s="15">
        <f t="shared" si="60"/>
        <v>0.5361538461538462</v>
      </c>
      <c r="L403" s="15">
        <f>IFERROR(INDEX(Cost_Components!$S$2:$S$27,MATCH(E403,Cost_Components!$A$2:$A$27,0)),"")</f>
        <v>0.31</v>
      </c>
      <c r="M403" s="26">
        <f>IFERROR(INDEX(Cost_Components!$L$2:$L$27,MATCH(E403,Cost_Components!$A$2:$A$27,0)),"")</f>
        <v>1</v>
      </c>
      <c r="N403" s="27">
        <f>IFERROR(INDEX(Cost_Components!$P$2:$P$27,MATCH(E403,Cost_Components!$A$2:$A$27,0)),"")</f>
        <v>119.721487</v>
      </c>
      <c r="O403" s="21">
        <f t="shared" si="61"/>
        <v>6753809.8266054299</v>
      </c>
      <c r="P403" s="21">
        <f t="shared" si="62"/>
        <v>6702001.5718828104</v>
      </c>
      <c r="Q403" s="21">
        <f t="shared" si="63"/>
        <v>248735814.1592657</v>
      </c>
      <c r="R403" s="21">
        <f t="shared" si="64"/>
        <v>433521215.60263139</v>
      </c>
      <c r="S403" s="21">
        <f t="shared" si="65"/>
        <v>184785401.44336569</v>
      </c>
      <c r="T403" s="14">
        <f>IFERROR(INDEX(Cost_Components!$R$2:$R$27,MATCH(E403,Cost_Components!$A$2:$A$27,0)),"")</f>
        <v>1</v>
      </c>
      <c r="U403" s="24">
        <f>IFERROR(INDEX(Cost_Components!$Q$2:$Q$27,MATCH(E403,Cost_Components!$A$2:$A$27,0)),"")</f>
        <v>2023</v>
      </c>
      <c r="V403" s="28">
        <f>1/(1+Calculation_Assumptions!$B$5)^(B403-Calculation_Assumptions!$B$2)</f>
        <v>0.72242127659876232</v>
      </c>
      <c r="W403" s="21">
        <f t="shared" si="66"/>
        <v>179692044.40076923</v>
      </c>
      <c r="X403" s="21">
        <f t="shared" si="67"/>
        <v>313184950.00830024</v>
      </c>
      <c r="Y403" s="21">
        <f t="shared" si="68"/>
        <v>133492905.60753103</v>
      </c>
      <c r="Z403" s="15">
        <f>IFERROR(INDEX(Cost_Components!$T$2:$T$27,MATCH(E403,Cost_Components!$A$2:$A$27,0)),"")</f>
        <v>0.8</v>
      </c>
      <c r="AA403" s="24">
        <f>IFERROR(INDEX(Cost_Components!$U$2:$U$27,MATCH(E403,Cost_Components!$A$2:$A$27,0)),"")</f>
        <v>2025</v>
      </c>
      <c r="AB403" s="24">
        <f>IFERROR(INDEX(Cost_Components!$V$2:$V$27,MATCH(E403,Cost_Components!$A$2:$A$27,0)),"")</f>
        <v>2050</v>
      </c>
      <c r="AC403" s="24">
        <f>IFERROR(INDEX(Cost_Components!$M$2:$M$27,MATCH(E403,Cost_Components!$A$2:$A$27,0)),"")</f>
        <v>0</v>
      </c>
      <c r="AD403" s="24">
        <f>IFERROR(INDEX(Cost_Components!$N$2:$N$27,MATCH(E403,Cost_Components!$A$2:$A$27,0)),"")</f>
        <v>95</v>
      </c>
      <c r="AE403" s="14" t="str">
        <f>IFERROR(INDEX(Cost_Components!$O$2:$O$27,MATCH(E403,Cost_Components!$A$2:$A$27,0)),"")</f>
        <v>Both</v>
      </c>
      <c r="AF403" s="11">
        <v>6753809.8266054299</v>
      </c>
      <c r="AG403" s="11">
        <v>6702001.5718828104</v>
      </c>
      <c r="AH403" s="21">
        <f t="shared" si="69"/>
        <v>1</v>
      </c>
    </row>
    <row r="404" spans="1:34" hidden="1">
      <c r="A404" t="s">
        <v>202</v>
      </c>
      <c r="B404" s="18">
        <v>2037</v>
      </c>
      <c r="C404" t="s">
        <v>202</v>
      </c>
      <c r="D404" t="s">
        <v>177</v>
      </c>
      <c r="E404" s="20" t="s">
        <v>294</v>
      </c>
      <c r="F404" s="20" t="s">
        <v>295</v>
      </c>
      <c r="G404" s="20" t="s">
        <v>203</v>
      </c>
      <c r="H404" s="20" t="s">
        <v>192</v>
      </c>
      <c r="I404" s="20" t="s">
        <v>264</v>
      </c>
      <c r="J404" s="15">
        <f>IFERROR(INDEX(Cost_Components!$K$2:$K$27,MATCH(E404,Cost_Components!$A$2:$A$27,0)),"")</f>
        <v>1</v>
      </c>
      <c r="K404" s="15">
        <f t="shared" si="60"/>
        <v>0.55500000000000005</v>
      </c>
      <c r="L404" s="15">
        <f>IFERROR(INDEX(Cost_Components!$S$2:$S$27,MATCH(E404,Cost_Components!$A$2:$A$27,0)),"")</f>
        <v>0.31</v>
      </c>
      <c r="M404" s="26">
        <f>IFERROR(INDEX(Cost_Components!$L$2:$L$27,MATCH(E404,Cost_Components!$A$2:$A$27,0)),"")</f>
        <v>1</v>
      </c>
      <c r="N404" s="27">
        <f>IFERROR(INDEX(Cost_Components!$P$2:$P$27,MATCH(E404,Cost_Components!$A$2:$A$27,0)),"")</f>
        <v>119.721487</v>
      </c>
      <c r="O404" s="21">
        <f t="shared" si="61"/>
        <v>6866232.2333544698</v>
      </c>
      <c r="P404" s="21">
        <f t="shared" si="62"/>
        <v>6806367.1973426901</v>
      </c>
      <c r="Q404" s="21">
        <f t="shared" si="63"/>
        <v>252609204.59950569</v>
      </c>
      <c r="R404" s="21">
        <f t="shared" si="64"/>
        <v>456229720.85081315</v>
      </c>
      <c r="S404" s="21">
        <f t="shared" si="65"/>
        <v>203620516.25130746</v>
      </c>
      <c r="T404" s="14">
        <f>IFERROR(INDEX(Cost_Components!$R$2:$R$27,MATCH(E404,Cost_Components!$A$2:$A$27,0)),"")</f>
        <v>1</v>
      </c>
      <c r="U404" s="24">
        <f>IFERROR(INDEX(Cost_Components!$Q$2:$Q$27,MATCH(E404,Cost_Components!$A$2:$A$27,0)),"")</f>
        <v>2023</v>
      </c>
      <c r="V404" s="28">
        <f>1/(1+Calculation_Assumptions!$B$5)^(B404-Calculation_Assumptions!$B$2)</f>
        <v>0.70137988019297326</v>
      </c>
      <c r="W404" s="21">
        <f t="shared" si="66"/>
        <v>177175013.65764359</v>
      </c>
      <c r="X404" s="21">
        <f t="shared" si="67"/>
        <v>319990346.95081699</v>
      </c>
      <c r="Y404" s="21">
        <f t="shared" si="68"/>
        <v>142815333.2931734</v>
      </c>
      <c r="Z404" s="15">
        <f>IFERROR(INDEX(Cost_Components!$T$2:$T$27,MATCH(E404,Cost_Components!$A$2:$A$27,0)),"")</f>
        <v>0.8</v>
      </c>
      <c r="AA404" s="24">
        <f>IFERROR(INDEX(Cost_Components!$U$2:$U$27,MATCH(E404,Cost_Components!$A$2:$A$27,0)),"")</f>
        <v>2025</v>
      </c>
      <c r="AB404" s="24">
        <f>IFERROR(INDEX(Cost_Components!$V$2:$V$27,MATCH(E404,Cost_Components!$A$2:$A$27,0)),"")</f>
        <v>2050</v>
      </c>
      <c r="AC404" s="24">
        <f>IFERROR(INDEX(Cost_Components!$M$2:$M$27,MATCH(E404,Cost_Components!$A$2:$A$27,0)),"")</f>
        <v>0</v>
      </c>
      <c r="AD404" s="24">
        <f>IFERROR(INDEX(Cost_Components!$N$2:$N$27,MATCH(E404,Cost_Components!$A$2:$A$27,0)),"")</f>
        <v>95</v>
      </c>
      <c r="AE404" s="14" t="str">
        <f>IFERROR(INDEX(Cost_Components!$O$2:$O$27,MATCH(E404,Cost_Components!$A$2:$A$27,0)),"")</f>
        <v>Both</v>
      </c>
      <c r="AF404" s="11">
        <v>6866232.2333544698</v>
      </c>
      <c r="AG404" s="11">
        <v>6806367.1973426901</v>
      </c>
      <c r="AH404" s="21">
        <f t="shared" si="69"/>
        <v>1</v>
      </c>
    </row>
    <row r="405" spans="1:34" hidden="1">
      <c r="A405" t="s">
        <v>202</v>
      </c>
      <c r="B405" s="18">
        <v>2038</v>
      </c>
      <c r="C405" t="s">
        <v>202</v>
      </c>
      <c r="D405" t="s">
        <v>177</v>
      </c>
      <c r="E405" s="20" t="s">
        <v>294</v>
      </c>
      <c r="F405" s="20" t="s">
        <v>295</v>
      </c>
      <c r="G405" s="20" t="s">
        <v>203</v>
      </c>
      <c r="H405" s="20" t="s">
        <v>192</v>
      </c>
      <c r="I405" s="20" t="s">
        <v>264</v>
      </c>
      <c r="J405" s="15">
        <f>IFERROR(INDEX(Cost_Components!$K$2:$K$27,MATCH(E405,Cost_Components!$A$2:$A$27,0)),"")</f>
        <v>1</v>
      </c>
      <c r="K405" s="15">
        <f t="shared" si="60"/>
        <v>0.57384615384615389</v>
      </c>
      <c r="L405" s="15">
        <f>IFERROR(INDEX(Cost_Components!$S$2:$S$27,MATCH(E405,Cost_Components!$A$2:$A$27,0)),"")</f>
        <v>0.31</v>
      </c>
      <c r="M405" s="26">
        <f>IFERROR(INDEX(Cost_Components!$L$2:$L$27,MATCH(E405,Cost_Components!$A$2:$A$27,0)),"")</f>
        <v>1</v>
      </c>
      <c r="N405" s="27">
        <f>IFERROR(INDEX(Cost_Components!$P$2:$P$27,MATCH(E405,Cost_Components!$A$2:$A$27,0)),"")</f>
        <v>119.721487</v>
      </c>
      <c r="O405" s="21">
        <f t="shared" si="61"/>
        <v>6975922.51850513</v>
      </c>
      <c r="P405" s="21">
        <f t="shared" si="62"/>
        <v>6907534.3884944804</v>
      </c>
      <c r="Q405" s="21">
        <f t="shared" si="63"/>
        <v>256363889.43320042</v>
      </c>
      <c r="R405" s="21">
        <f t="shared" si="64"/>
        <v>479257839.66593504</v>
      </c>
      <c r="S405" s="21">
        <f t="shared" si="65"/>
        <v>222893950.23273462</v>
      </c>
      <c r="T405" s="14">
        <f>IFERROR(INDEX(Cost_Components!$R$2:$R$27,MATCH(E405,Cost_Components!$A$2:$A$27,0)),"")</f>
        <v>1</v>
      </c>
      <c r="U405" s="24">
        <f>IFERROR(INDEX(Cost_Components!$Q$2:$Q$27,MATCH(E405,Cost_Components!$A$2:$A$27,0)),"")</f>
        <v>2023</v>
      </c>
      <c r="V405" s="28">
        <f>1/(1+Calculation_Assumptions!$B$5)^(B405-Calculation_Assumptions!$B$2)</f>
        <v>0.68095133999317792</v>
      </c>
      <c r="W405" s="21">
        <f t="shared" si="66"/>
        <v>174571334.03540072</v>
      </c>
      <c r="X405" s="21">
        <f t="shared" si="67"/>
        <v>326351268.1227541</v>
      </c>
      <c r="Y405" s="21">
        <f t="shared" si="68"/>
        <v>151779934.08735335</v>
      </c>
      <c r="Z405" s="15">
        <f>IFERROR(INDEX(Cost_Components!$T$2:$T$27,MATCH(E405,Cost_Components!$A$2:$A$27,0)),"")</f>
        <v>0.8</v>
      </c>
      <c r="AA405" s="24">
        <f>IFERROR(INDEX(Cost_Components!$U$2:$U$27,MATCH(E405,Cost_Components!$A$2:$A$27,0)),"")</f>
        <v>2025</v>
      </c>
      <c r="AB405" s="24">
        <f>IFERROR(INDEX(Cost_Components!$V$2:$V$27,MATCH(E405,Cost_Components!$A$2:$A$27,0)),"")</f>
        <v>2050</v>
      </c>
      <c r="AC405" s="24">
        <f>IFERROR(INDEX(Cost_Components!$M$2:$M$27,MATCH(E405,Cost_Components!$A$2:$A$27,0)),"")</f>
        <v>0</v>
      </c>
      <c r="AD405" s="24">
        <f>IFERROR(INDEX(Cost_Components!$N$2:$N$27,MATCH(E405,Cost_Components!$A$2:$A$27,0)),"")</f>
        <v>95</v>
      </c>
      <c r="AE405" s="14" t="str">
        <f>IFERROR(INDEX(Cost_Components!$O$2:$O$27,MATCH(E405,Cost_Components!$A$2:$A$27,0)),"")</f>
        <v>Both</v>
      </c>
      <c r="AF405" s="11">
        <v>6975922.51850513</v>
      </c>
      <c r="AG405" s="11">
        <v>6907534.3884944804</v>
      </c>
      <c r="AH405" s="21">
        <f t="shared" si="69"/>
        <v>1</v>
      </c>
    </row>
    <row r="406" spans="1:34" hidden="1">
      <c r="A406" t="s">
        <v>202</v>
      </c>
      <c r="B406" s="18">
        <v>2039</v>
      </c>
      <c r="C406" t="s">
        <v>202</v>
      </c>
      <c r="D406" t="s">
        <v>177</v>
      </c>
      <c r="E406" s="20" t="s">
        <v>294</v>
      </c>
      <c r="F406" s="20" t="s">
        <v>295</v>
      </c>
      <c r="G406" s="20" t="s">
        <v>203</v>
      </c>
      <c r="H406" s="20" t="s">
        <v>192</v>
      </c>
      <c r="I406" s="20" t="s">
        <v>264</v>
      </c>
      <c r="J406" s="15">
        <f>IFERROR(INDEX(Cost_Components!$K$2:$K$27,MATCH(E406,Cost_Components!$A$2:$A$27,0)),"")</f>
        <v>1</v>
      </c>
      <c r="K406" s="15">
        <f t="shared" si="60"/>
        <v>0.59269230769230763</v>
      </c>
      <c r="L406" s="15">
        <f>IFERROR(INDEX(Cost_Components!$S$2:$S$27,MATCH(E406,Cost_Components!$A$2:$A$27,0)),"")</f>
        <v>0.31</v>
      </c>
      <c r="M406" s="26">
        <f>IFERROR(INDEX(Cost_Components!$L$2:$L$27,MATCH(E406,Cost_Components!$A$2:$A$27,0)),"")</f>
        <v>1</v>
      </c>
      <c r="N406" s="27">
        <f>IFERROR(INDEX(Cost_Components!$P$2:$P$27,MATCH(E406,Cost_Components!$A$2:$A$27,0)),"")</f>
        <v>119.721487</v>
      </c>
      <c r="O406" s="21">
        <f t="shared" si="61"/>
        <v>7082823.0573254004</v>
      </c>
      <c r="P406" s="21">
        <f t="shared" si="62"/>
        <v>7005471.2740789996</v>
      </c>
      <c r="Q406" s="21">
        <f t="shared" si="63"/>
        <v>259998685.80124193</v>
      </c>
      <c r="R406" s="21">
        <f t="shared" si="64"/>
        <v>502582989.73966956</v>
      </c>
      <c r="S406" s="21">
        <f t="shared" si="65"/>
        <v>242584303.93842763</v>
      </c>
      <c r="T406" s="14">
        <f>IFERROR(INDEX(Cost_Components!$R$2:$R$27,MATCH(E406,Cost_Components!$A$2:$A$27,0)),"")</f>
        <v>1</v>
      </c>
      <c r="U406" s="24">
        <f>IFERROR(INDEX(Cost_Components!$Q$2:$Q$27,MATCH(E406,Cost_Components!$A$2:$A$27,0)),"")</f>
        <v>2023</v>
      </c>
      <c r="V406" s="28">
        <f>1/(1+Calculation_Assumptions!$B$5)^(B406-Calculation_Assumptions!$B$2)</f>
        <v>0.66111780581861923</v>
      </c>
      <c r="W406" s="21">
        <f t="shared" si="66"/>
        <v>171889760.67264166</v>
      </c>
      <c r="X406" s="21">
        <f t="shared" si="67"/>
        <v>332266563.41845196</v>
      </c>
      <c r="Y406" s="21">
        <f t="shared" si="68"/>
        <v>160376802.7458103</v>
      </c>
      <c r="Z406" s="15">
        <f>IFERROR(INDEX(Cost_Components!$T$2:$T$27,MATCH(E406,Cost_Components!$A$2:$A$27,0)),"")</f>
        <v>0.8</v>
      </c>
      <c r="AA406" s="24">
        <f>IFERROR(INDEX(Cost_Components!$U$2:$U$27,MATCH(E406,Cost_Components!$A$2:$A$27,0)),"")</f>
        <v>2025</v>
      </c>
      <c r="AB406" s="24">
        <f>IFERROR(INDEX(Cost_Components!$V$2:$V$27,MATCH(E406,Cost_Components!$A$2:$A$27,0)),"")</f>
        <v>2050</v>
      </c>
      <c r="AC406" s="24">
        <f>IFERROR(INDEX(Cost_Components!$M$2:$M$27,MATCH(E406,Cost_Components!$A$2:$A$27,0)),"")</f>
        <v>0</v>
      </c>
      <c r="AD406" s="24">
        <f>IFERROR(INDEX(Cost_Components!$N$2:$N$27,MATCH(E406,Cost_Components!$A$2:$A$27,0)),"")</f>
        <v>95</v>
      </c>
      <c r="AE406" s="14" t="str">
        <f>IFERROR(INDEX(Cost_Components!$O$2:$O$27,MATCH(E406,Cost_Components!$A$2:$A$27,0)),"")</f>
        <v>Both</v>
      </c>
      <c r="AF406" s="11">
        <v>7082823.0573254004</v>
      </c>
      <c r="AG406" s="11">
        <v>7005471.2740789996</v>
      </c>
      <c r="AH406" s="21">
        <f t="shared" si="69"/>
        <v>1</v>
      </c>
    </row>
    <row r="407" spans="1:34" hidden="1">
      <c r="A407" t="s">
        <v>202</v>
      </c>
      <c r="B407" s="18">
        <v>2040</v>
      </c>
      <c r="C407" t="s">
        <v>202</v>
      </c>
      <c r="D407" t="s">
        <v>177</v>
      </c>
      <c r="E407" s="20" t="s">
        <v>294</v>
      </c>
      <c r="F407" s="20" t="s">
        <v>295</v>
      </c>
      <c r="G407" s="20" t="s">
        <v>203</v>
      </c>
      <c r="H407" s="20" t="s">
        <v>192</v>
      </c>
      <c r="I407" s="20" t="s">
        <v>264</v>
      </c>
      <c r="J407" s="15">
        <f>IFERROR(INDEX(Cost_Components!$K$2:$K$27,MATCH(E407,Cost_Components!$A$2:$A$27,0)),"")</f>
        <v>1</v>
      </c>
      <c r="K407" s="15">
        <f t="shared" si="60"/>
        <v>0.61153846153846159</v>
      </c>
      <c r="L407" s="15">
        <f>IFERROR(INDEX(Cost_Components!$S$2:$S$27,MATCH(E407,Cost_Components!$A$2:$A$27,0)),"")</f>
        <v>0.31</v>
      </c>
      <c r="M407" s="26">
        <f>IFERROR(INDEX(Cost_Components!$L$2:$L$27,MATCH(E407,Cost_Components!$A$2:$A$27,0)),"")</f>
        <v>1</v>
      </c>
      <c r="N407" s="27">
        <f>IFERROR(INDEX(Cost_Components!$P$2:$P$27,MATCH(E407,Cost_Components!$A$2:$A$27,0)),"")</f>
        <v>119.721487</v>
      </c>
      <c r="O407" s="21">
        <f t="shared" si="61"/>
        <v>7186781.2630277704</v>
      </c>
      <c r="P407" s="21">
        <f t="shared" si="62"/>
        <v>7100053.1006421903</v>
      </c>
      <c r="Q407" s="21">
        <f t="shared" si="63"/>
        <v>263508963.64623156</v>
      </c>
      <c r="R407" s="21">
        <f t="shared" si="64"/>
        <v>526175116.11151624</v>
      </c>
      <c r="S407" s="21">
        <f t="shared" si="65"/>
        <v>262666152.46528468</v>
      </c>
      <c r="T407" s="14">
        <f>IFERROR(INDEX(Cost_Components!$R$2:$R$27,MATCH(E407,Cost_Components!$A$2:$A$27,0)),"")</f>
        <v>1</v>
      </c>
      <c r="U407" s="24">
        <f>IFERROR(INDEX(Cost_Components!$Q$2:$Q$27,MATCH(E407,Cost_Components!$A$2:$A$27,0)),"")</f>
        <v>2023</v>
      </c>
      <c r="V407" s="28">
        <f>1/(1+Calculation_Assumptions!$B$5)^(B407-Calculation_Assumptions!$B$2)</f>
        <v>0.64186194739671765</v>
      </c>
      <c r="W407" s="21">
        <f t="shared" si="66"/>
        <v>169136376.56246108</v>
      </c>
      <c r="X407" s="21">
        <f t="shared" si="67"/>
        <v>337731784.69903183</v>
      </c>
      <c r="Y407" s="21">
        <f t="shared" si="68"/>
        <v>168595408.13657078</v>
      </c>
      <c r="Z407" s="15">
        <f>IFERROR(INDEX(Cost_Components!$T$2:$T$27,MATCH(E407,Cost_Components!$A$2:$A$27,0)),"")</f>
        <v>0.8</v>
      </c>
      <c r="AA407" s="24">
        <f>IFERROR(INDEX(Cost_Components!$U$2:$U$27,MATCH(E407,Cost_Components!$A$2:$A$27,0)),"")</f>
        <v>2025</v>
      </c>
      <c r="AB407" s="24">
        <f>IFERROR(INDEX(Cost_Components!$V$2:$V$27,MATCH(E407,Cost_Components!$A$2:$A$27,0)),"")</f>
        <v>2050</v>
      </c>
      <c r="AC407" s="24">
        <f>IFERROR(INDEX(Cost_Components!$M$2:$M$27,MATCH(E407,Cost_Components!$A$2:$A$27,0)),"")</f>
        <v>0</v>
      </c>
      <c r="AD407" s="24">
        <f>IFERROR(INDEX(Cost_Components!$N$2:$N$27,MATCH(E407,Cost_Components!$A$2:$A$27,0)),"")</f>
        <v>95</v>
      </c>
      <c r="AE407" s="14" t="str">
        <f>IFERROR(INDEX(Cost_Components!$O$2:$O$27,MATCH(E407,Cost_Components!$A$2:$A$27,0)),"")</f>
        <v>Both</v>
      </c>
      <c r="AF407" s="11">
        <v>7186781.2630277704</v>
      </c>
      <c r="AG407" s="11">
        <v>7100053.1006421903</v>
      </c>
      <c r="AH407" s="21">
        <f t="shared" si="69"/>
        <v>1</v>
      </c>
    </row>
    <row r="408" spans="1:34" hidden="1">
      <c r="A408" t="s">
        <v>202</v>
      </c>
      <c r="B408" s="18">
        <v>2041</v>
      </c>
      <c r="C408" t="s">
        <v>202</v>
      </c>
      <c r="D408" t="s">
        <v>177</v>
      </c>
      <c r="E408" s="20" t="s">
        <v>294</v>
      </c>
      <c r="F408" s="20" t="s">
        <v>295</v>
      </c>
      <c r="G408" s="20" t="s">
        <v>203</v>
      </c>
      <c r="H408" s="20" t="s">
        <v>192</v>
      </c>
      <c r="I408" s="20" t="s">
        <v>264</v>
      </c>
      <c r="J408" s="15">
        <f>IFERROR(INDEX(Cost_Components!$K$2:$K$27,MATCH(E408,Cost_Components!$A$2:$A$27,0)),"")</f>
        <v>1</v>
      </c>
      <c r="K408" s="15">
        <f t="shared" si="60"/>
        <v>0.63038461538461543</v>
      </c>
      <c r="L408" s="15">
        <f>IFERROR(INDEX(Cost_Components!$S$2:$S$27,MATCH(E408,Cost_Components!$A$2:$A$27,0)),"")</f>
        <v>0.31</v>
      </c>
      <c r="M408" s="26">
        <f>IFERROR(INDEX(Cost_Components!$L$2:$L$27,MATCH(E408,Cost_Components!$A$2:$A$27,0)),"")</f>
        <v>1</v>
      </c>
      <c r="N408" s="27">
        <f>IFERROR(INDEX(Cost_Components!$P$2:$P$27,MATCH(E408,Cost_Components!$A$2:$A$27,0)),"")</f>
        <v>119.721487</v>
      </c>
      <c r="O408" s="21">
        <f t="shared" si="61"/>
        <v>7287673.0214357898</v>
      </c>
      <c r="P408" s="21">
        <f t="shared" si="62"/>
        <v>7191184.7407554798</v>
      </c>
      <c r="Q408" s="21">
        <f t="shared" si="63"/>
        <v>266891192.44103622</v>
      </c>
      <c r="R408" s="21">
        <f t="shared" si="64"/>
        <v>550004935.54564154</v>
      </c>
      <c r="S408" s="21">
        <f t="shared" si="65"/>
        <v>283113743.10460532</v>
      </c>
      <c r="T408" s="14">
        <f>IFERROR(INDEX(Cost_Components!$R$2:$R$27,MATCH(E408,Cost_Components!$A$2:$A$27,0)),"")</f>
        <v>1</v>
      </c>
      <c r="U408" s="24">
        <f>IFERROR(INDEX(Cost_Components!$Q$2:$Q$27,MATCH(E408,Cost_Components!$A$2:$A$27,0)),"")</f>
        <v>2023</v>
      </c>
      <c r="V408" s="28">
        <f>1/(1+Calculation_Assumptions!$B$5)^(B408-Calculation_Assumptions!$B$2)</f>
        <v>0.62316693922011435</v>
      </c>
      <c r="W408" s="21">
        <f t="shared" si="66"/>
        <v>166317767.49828705</v>
      </c>
      <c r="X408" s="21">
        <f t="shared" si="67"/>
        <v>342744892.23993373</v>
      </c>
      <c r="Y408" s="21">
        <f t="shared" si="68"/>
        <v>176427124.74164665</v>
      </c>
      <c r="Z408" s="15">
        <f>IFERROR(INDEX(Cost_Components!$T$2:$T$27,MATCH(E408,Cost_Components!$A$2:$A$27,0)),"")</f>
        <v>0.8</v>
      </c>
      <c r="AA408" s="24">
        <f>IFERROR(INDEX(Cost_Components!$U$2:$U$27,MATCH(E408,Cost_Components!$A$2:$A$27,0)),"")</f>
        <v>2025</v>
      </c>
      <c r="AB408" s="24">
        <f>IFERROR(INDEX(Cost_Components!$V$2:$V$27,MATCH(E408,Cost_Components!$A$2:$A$27,0)),"")</f>
        <v>2050</v>
      </c>
      <c r="AC408" s="24">
        <f>IFERROR(INDEX(Cost_Components!$M$2:$M$27,MATCH(E408,Cost_Components!$A$2:$A$27,0)),"")</f>
        <v>0</v>
      </c>
      <c r="AD408" s="24">
        <f>IFERROR(INDEX(Cost_Components!$N$2:$N$27,MATCH(E408,Cost_Components!$A$2:$A$27,0)),"")</f>
        <v>95</v>
      </c>
      <c r="AE408" s="14" t="str">
        <f>IFERROR(INDEX(Cost_Components!$O$2:$O$27,MATCH(E408,Cost_Components!$A$2:$A$27,0)),"")</f>
        <v>Both</v>
      </c>
      <c r="AF408" s="11">
        <v>7287673.0214357898</v>
      </c>
      <c r="AG408" s="11">
        <v>7191184.7407554798</v>
      </c>
      <c r="AH408" s="21">
        <f t="shared" si="69"/>
        <v>1</v>
      </c>
    </row>
    <row r="409" spans="1:34" hidden="1">
      <c r="A409" t="s">
        <v>202</v>
      </c>
      <c r="B409" s="18">
        <v>2042</v>
      </c>
      <c r="C409" t="s">
        <v>202</v>
      </c>
      <c r="D409" t="s">
        <v>177</v>
      </c>
      <c r="E409" s="20" t="s">
        <v>294</v>
      </c>
      <c r="F409" s="20" t="s">
        <v>295</v>
      </c>
      <c r="G409" s="20" t="s">
        <v>203</v>
      </c>
      <c r="H409" s="20" t="s">
        <v>192</v>
      </c>
      <c r="I409" s="20" t="s">
        <v>264</v>
      </c>
      <c r="J409" s="15">
        <f>IFERROR(INDEX(Cost_Components!$K$2:$K$27,MATCH(E409,Cost_Components!$A$2:$A$27,0)),"")</f>
        <v>1</v>
      </c>
      <c r="K409" s="15">
        <f t="shared" si="60"/>
        <v>0.64923076923076928</v>
      </c>
      <c r="L409" s="15">
        <f>IFERROR(INDEX(Cost_Components!$S$2:$S$27,MATCH(E409,Cost_Components!$A$2:$A$27,0)),"")</f>
        <v>0.31</v>
      </c>
      <c r="M409" s="26">
        <f>IFERROR(INDEX(Cost_Components!$L$2:$L$27,MATCH(E409,Cost_Components!$A$2:$A$27,0)),"")</f>
        <v>1</v>
      </c>
      <c r="N409" s="27">
        <f>IFERROR(INDEX(Cost_Components!$P$2:$P$27,MATCH(E409,Cost_Components!$A$2:$A$27,0)),"")</f>
        <v>119.721487</v>
      </c>
      <c r="O409" s="21">
        <f t="shared" si="61"/>
        <v>7385449.8287052298</v>
      </c>
      <c r="P409" s="21">
        <f t="shared" si="62"/>
        <v>7278848.4937819</v>
      </c>
      <c r="Q409" s="21">
        <f t="shared" si="63"/>
        <v>270144715.2502166</v>
      </c>
      <c r="R409" s="21">
        <f t="shared" si="64"/>
        <v>574047921.6108259</v>
      </c>
      <c r="S409" s="21">
        <f t="shared" si="65"/>
        <v>303903206.36060929</v>
      </c>
      <c r="T409" s="14">
        <f>IFERROR(INDEX(Cost_Components!$R$2:$R$27,MATCH(E409,Cost_Components!$A$2:$A$27,0)),"")</f>
        <v>1</v>
      </c>
      <c r="U409" s="24">
        <f>IFERROR(INDEX(Cost_Components!$Q$2:$Q$27,MATCH(E409,Cost_Components!$A$2:$A$27,0)),"")</f>
        <v>2023</v>
      </c>
      <c r="V409" s="28">
        <f>1/(1+Calculation_Assumptions!$B$5)^(B409-Calculation_Assumptions!$B$2)</f>
        <v>0.60501644584477121</v>
      </c>
      <c r="W409" s="21">
        <f t="shared" si="66"/>
        <v>163441995.4844338</v>
      </c>
      <c r="X409" s="21">
        <f t="shared" si="67"/>
        <v>347308433.2775597</v>
      </c>
      <c r="Y409" s="21">
        <f t="shared" si="68"/>
        <v>183866437.7931259</v>
      </c>
      <c r="Z409" s="15">
        <f>IFERROR(INDEX(Cost_Components!$T$2:$T$27,MATCH(E409,Cost_Components!$A$2:$A$27,0)),"")</f>
        <v>0.8</v>
      </c>
      <c r="AA409" s="24">
        <f>IFERROR(INDEX(Cost_Components!$U$2:$U$27,MATCH(E409,Cost_Components!$A$2:$A$27,0)),"")</f>
        <v>2025</v>
      </c>
      <c r="AB409" s="24">
        <f>IFERROR(INDEX(Cost_Components!$V$2:$V$27,MATCH(E409,Cost_Components!$A$2:$A$27,0)),"")</f>
        <v>2050</v>
      </c>
      <c r="AC409" s="24">
        <f>IFERROR(INDEX(Cost_Components!$M$2:$M$27,MATCH(E409,Cost_Components!$A$2:$A$27,0)),"")</f>
        <v>0</v>
      </c>
      <c r="AD409" s="24">
        <f>IFERROR(INDEX(Cost_Components!$N$2:$N$27,MATCH(E409,Cost_Components!$A$2:$A$27,0)),"")</f>
        <v>95</v>
      </c>
      <c r="AE409" s="14" t="str">
        <f>IFERROR(INDEX(Cost_Components!$O$2:$O$27,MATCH(E409,Cost_Components!$A$2:$A$27,0)),"")</f>
        <v>Both</v>
      </c>
      <c r="AF409" s="11">
        <v>7385449.8287052298</v>
      </c>
      <c r="AG409" s="11">
        <v>7278848.4937819</v>
      </c>
      <c r="AH409" s="21">
        <f t="shared" si="69"/>
        <v>1</v>
      </c>
    </row>
    <row r="410" spans="1:34" hidden="1">
      <c r="A410" t="s">
        <v>202</v>
      </c>
      <c r="B410" s="18">
        <v>2043</v>
      </c>
      <c r="C410" t="s">
        <v>202</v>
      </c>
      <c r="D410" t="s">
        <v>177</v>
      </c>
      <c r="E410" s="20" t="s">
        <v>294</v>
      </c>
      <c r="F410" s="20" t="s">
        <v>295</v>
      </c>
      <c r="G410" s="20" t="s">
        <v>203</v>
      </c>
      <c r="H410" s="20" t="s">
        <v>192</v>
      </c>
      <c r="I410" s="20" t="s">
        <v>264</v>
      </c>
      <c r="J410" s="15">
        <f>IFERROR(INDEX(Cost_Components!$K$2:$K$27,MATCH(E410,Cost_Components!$A$2:$A$27,0)),"")</f>
        <v>1</v>
      </c>
      <c r="K410" s="15">
        <f t="shared" si="60"/>
        <v>0.66807692307692301</v>
      </c>
      <c r="L410" s="15">
        <f>IFERROR(INDEX(Cost_Components!$S$2:$S$27,MATCH(E410,Cost_Components!$A$2:$A$27,0)),"")</f>
        <v>0.31</v>
      </c>
      <c r="M410" s="26">
        <f>IFERROR(INDEX(Cost_Components!$L$2:$L$27,MATCH(E410,Cost_Components!$A$2:$A$27,0)),"")</f>
        <v>1</v>
      </c>
      <c r="N410" s="27">
        <f>IFERROR(INDEX(Cost_Components!$P$2:$P$27,MATCH(E410,Cost_Components!$A$2:$A$27,0)),"")</f>
        <v>119.721487</v>
      </c>
      <c r="O410" s="21">
        <f t="shared" si="61"/>
        <v>7480174.3250447502</v>
      </c>
      <c r="P410" s="21">
        <f t="shared" si="62"/>
        <v>7363135.7158966605</v>
      </c>
      <c r="Q410" s="21">
        <f t="shared" si="63"/>
        <v>273272922.63588691</v>
      </c>
      <c r="R410" s="21">
        <f t="shared" si="64"/>
        <v>598287999.77384079</v>
      </c>
      <c r="S410" s="21">
        <f t="shared" si="65"/>
        <v>325015077.13795388</v>
      </c>
      <c r="T410" s="14">
        <f>IFERROR(INDEX(Cost_Components!$R$2:$R$27,MATCH(E410,Cost_Components!$A$2:$A$27,0)),"")</f>
        <v>1</v>
      </c>
      <c r="U410" s="24">
        <f>IFERROR(INDEX(Cost_Components!$Q$2:$Q$27,MATCH(E410,Cost_Components!$A$2:$A$27,0)),"")</f>
        <v>2023</v>
      </c>
      <c r="V410" s="28">
        <f>1/(1+Calculation_Assumptions!$B$5)^(B410-Calculation_Assumptions!$B$2)</f>
        <v>0.5873946076162827</v>
      </c>
      <c r="W410" s="21">
        <f t="shared" si="66"/>
        <v>160519041.16386157</v>
      </c>
      <c r="X410" s="21">
        <f t="shared" si="67"/>
        <v>351431144.86868584</v>
      </c>
      <c r="Y410" s="21">
        <f t="shared" si="68"/>
        <v>190912103.70482427</v>
      </c>
      <c r="Z410" s="15">
        <f>IFERROR(INDEX(Cost_Components!$T$2:$T$27,MATCH(E410,Cost_Components!$A$2:$A$27,0)),"")</f>
        <v>0.8</v>
      </c>
      <c r="AA410" s="24">
        <f>IFERROR(INDEX(Cost_Components!$U$2:$U$27,MATCH(E410,Cost_Components!$A$2:$A$27,0)),"")</f>
        <v>2025</v>
      </c>
      <c r="AB410" s="24">
        <f>IFERROR(INDEX(Cost_Components!$V$2:$V$27,MATCH(E410,Cost_Components!$A$2:$A$27,0)),"")</f>
        <v>2050</v>
      </c>
      <c r="AC410" s="24">
        <f>IFERROR(INDEX(Cost_Components!$M$2:$M$27,MATCH(E410,Cost_Components!$A$2:$A$27,0)),"")</f>
        <v>0</v>
      </c>
      <c r="AD410" s="24">
        <f>IFERROR(INDEX(Cost_Components!$N$2:$N$27,MATCH(E410,Cost_Components!$A$2:$A$27,0)),"")</f>
        <v>95</v>
      </c>
      <c r="AE410" s="14" t="str">
        <f>IFERROR(INDEX(Cost_Components!$O$2:$O$27,MATCH(E410,Cost_Components!$A$2:$A$27,0)),"")</f>
        <v>Both</v>
      </c>
      <c r="AF410" s="11">
        <v>7480174.3250447502</v>
      </c>
      <c r="AG410" s="11">
        <v>7363135.7158966605</v>
      </c>
      <c r="AH410" s="21">
        <f t="shared" si="69"/>
        <v>1</v>
      </c>
    </row>
    <row r="411" spans="1:34" hidden="1">
      <c r="A411" t="s">
        <v>202</v>
      </c>
      <c r="B411" s="18">
        <v>2044</v>
      </c>
      <c r="C411" t="s">
        <v>202</v>
      </c>
      <c r="D411" t="s">
        <v>177</v>
      </c>
      <c r="E411" s="20" t="s">
        <v>294</v>
      </c>
      <c r="F411" s="20" t="s">
        <v>295</v>
      </c>
      <c r="G411" s="20" t="s">
        <v>203</v>
      </c>
      <c r="H411" s="20" t="s">
        <v>192</v>
      </c>
      <c r="I411" s="20" t="s">
        <v>264</v>
      </c>
      <c r="J411" s="15">
        <f>IFERROR(INDEX(Cost_Components!$K$2:$K$27,MATCH(E411,Cost_Components!$A$2:$A$27,0)),"")</f>
        <v>1</v>
      </c>
      <c r="K411" s="15">
        <f t="shared" si="60"/>
        <v>0.68692307692307697</v>
      </c>
      <c r="L411" s="15">
        <f>IFERROR(INDEX(Cost_Components!$S$2:$S$27,MATCH(E411,Cost_Components!$A$2:$A$27,0)),"")</f>
        <v>0.31</v>
      </c>
      <c r="M411" s="26">
        <f>IFERROR(INDEX(Cost_Components!$L$2:$L$27,MATCH(E411,Cost_Components!$A$2:$A$27,0)),"")</f>
        <v>1</v>
      </c>
      <c r="N411" s="27">
        <f>IFERROR(INDEX(Cost_Components!$P$2:$P$27,MATCH(E411,Cost_Components!$A$2:$A$27,0)),"")</f>
        <v>119.721487</v>
      </c>
      <c r="O411" s="21">
        <f t="shared" si="61"/>
        <v>7571962.7758545503</v>
      </c>
      <c r="P411" s="21">
        <f t="shared" si="62"/>
        <v>7444190.3459455604</v>
      </c>
      <c r="Q411" s="21">
        <f t="shared" si="63"/>
        <v>276281156.69557053</v>
      </c>
      <c r="R411" s="21">
        <f t="shared" si="64"/>
        <v>622714070.94563186</v>
      </c>
      <c r="S411" s="21">
        <f t="shared" si="65"/>
        <v>346432914.25006133</v>
      </c>
      <c r="T411" s="14">
        <f>IFERROR(INDEX(Cost_Components!$R$2:$R$27,MATCH(E411,Cost_Components!$A$2:$A$27,0)),"")</f>
        <v>1</v>
      </c>
      <c r="U411" s="24">
        <f>IFERROR(INDEX(Cost_Components!$Q$2:$Q$27,MATCH(E411,Cost_Components!$A$2:$A$27,0)),"")</f>
        <v>2023</v>
      </c>
      <c r="V411" s="28">
        <f>1/(1+Calculation_Assumptions!$B$5)^(B411-Calculation_Assumptions!$B$2)</f>
        <v>0.57028602681192497</v>
      </c>
      <c r="W411" s="21">
        <f t="shared" si="66"/>
        <v>157559283.13491979</v>
      </c>
      <c r="X411" s="21">
        <f t="shared" si="67"/>
        <v>355125133.35946357</v>
      </c>
      <c r="Y411" s="21">
        <f t="shared" si="68"/>
        <v>197565850.22454378</v>
      </c>
      <c r="Z411" s="15">
        <f>IFERROR(INDEX(Cost_Components!$T$2:$T$27,MATCH(E411,Cost_Components!$A$2:$A$27,0)),"")</f>
        <v>0.8</v>
      </c>
      <c r="AA411" s="24">
        <f>IFERROR(INDEX(Cost_Components!$U$2:$U$27,MATCH(E411,Cost_Components!$A$2:$A$27,0)),"")</f>
        <v>2025</v>
      </c>
      <c r="AB411" s="24">
        <f>IFERROR(INDEX(Cost_Components!$V$2:$V$27,MATCH(E411,Cost_Components!$A$2:$A$27,0)),"")</f>
        <v>2050</v>
      </c>
      <c r="AC411" s="24">
        <f>IFERROR(INDEX(Cost_Components!$M$2:$M$27,MATCH(E411,Cost_Components!$A$2:$A$27,0)),"")</f>
        <v>0</v>
      </c>
      <c r="AD411" s="24">
        <f>IFERROR(INDEX(Cost_Components!$N$2:$N$27,MATCH(E411,Cost_Components!$A$2:$A$27,0)),"")</f>
        <v>95</v>
      </c>
      <c r="AE411" s="14" t="str">
        <f>IFERROR(INDEX(Cost_Components!$O$2:$O$27,MATCH(E411,Cost_Components!$A$2:$A$27,0)),"")</f>
        <v>Both</v>
      </c>
      <c r="AF411" s="11">
        <v>7571962.7758545503</v>
      </c>
      <c r="AG411" s="11">
        <v>7444190.3459455604</v>
      </c>
      <c r="AH411" s="21">
        <f t="shared" si="69"/>
        <v>1</v>
      </c>
    </row>
    <row r="412" spans="1:34" hidden="1">
      <c r="A412" t="s">
        <v>202</v>
      </c>
      <c r="B412" s="18">
        <v>2045</v>
      </c>
      <c r="C412" t="s">
        <v>202</v>
      </c>
      <c r="D412" t="s">
        <v>177</v>
      </c>
      <c r="E412" s="20" t="s">
        <v>294</v>
      </c>
      <c r="F412" s="20" t="s">
        <v>295</v>
      </c>
      <c r="G412" s="20" t="s">
        <v>203</v>
      </c>
      <c r="H412" s="20" t="s">
        <v>192</v>
      </c>
      <c r="I412" s="20" t="s">
        <v>264</v>
      </c>
      <c r="J412" s="15">
        <f>IFERROR(INDEX(Cost_Components!$K$2:$K$27,MATCH(E412,Cost_Components!$A$2:$A$27,0)),"")</f>
        <v>1</v>
      </c>
      <c r="K412" s="15">
        <f t="shared" si="60"/>
        <v>0.70576923076923082</v>
      </c>
      <c r="L412" s="15">
        <f>IFERROR(INDEX(Cost_Components!$S$2:$S$27,MATCH(E412,Cost_Components!$A$2:$A$27,0)),"")</f>
        <v>0.31</v>
      </c>
      <c r="M412" s="26">
        <f>IFERROR(INDEX(Cost_Components!$L$2:$L$27,MATCH(E412,Cost_Components!$A$2:$A$27,0)),"")</f>
        <v>1</v>
      </c>
      <c r="N412" s="27">
        <f>IFERROR(INDEX(Cost_Components!$P$2:$P$27,MATCH(E412,Cost_Components!$A$2:$A$27,0)),"")</f>
        <v>119.721487</v>
      </c>
      <c r="O412" s="21">
        <f t="shared" si="61"/>
        <v>7660991.2551179202</v>
      </c>
      <c r="P412" s="21">
        <f t="shared" si="62"/>
        <v>7522215.0936579499</v>
      </c>
      <c r="Q412" s="21">
        <f t="shared" si="63"/>
        <v>279176940.72943795</v>
      </c>
      <c r="R412" s="21">
        <f t="shared" si="64"/>
        <v>647321138.92137301</v>
      </c>
      <c r="S412" s="21">
        <f t="shared" si="65"/>
        <v>368144198.19193506</v>
      </c>
      <c r="T412" s="14">
        <f>IFERROR(INDEX(Cost_Components!$R$2:$R$27,MATCH(E412,Cost_Components!$A$2:$A$27,0)),"")</f>
        <v>1</v>
      </c>
      <c r="U412" s="24">
        <f>IFERROR(INDEX(Cost_Components!$Q$2:$Q$27,MATCH(E412,Cost_Components!$A$2:$A$27,0)),"")</f>
        <v>2023</v>
      </c>
      <c r="V412" s="28">
        <f>1/(1+Calculation_Assumptions!$B$5)^(B412-Calculation_Assumptions!$B$2)</f>
        <v>0.55367575418633497</v>
      </c>
      <c r="W412" s="21">
        <f t="shared" si="66"/>
        <v>154573503.20980528</v>
      </c>
      <c r="X412" s="21">
        <f t="shared" si="67"/>
        <v>358406019.7930485</v>
      </c>
      <c r="Y412" s="21">
        <f t="shared" si="68"/>
        <v>203832516.58324322</v>
      </c>
      <c r="Z412" s="15">
        <f>IFERROR(INDEX(Cost_Components!$T$2:$T$27,MATCH(E412,Cost_Components!$A$2:$A$27,0)),"")</f>
        <v>0.8</v>
      </c>
      <c r="AA412" s="24">
        <f>IFERROR(INDEX(Cost_Components!$U$2:$U$27,MATCH(E412,Cost_Components!$A$2:$A$27,0)),"")</f>
        <v>2025</v>
      </c>
      <c r="AB412" s="24">
        <f>IFERROR(INDEX(Cost_Components!$V$2:$V$27,MATCH(E412,Cost_Components!$A$2:$A$27,0)),"")</f>
        <v>2050</v>
      </c>
      <c r="AC412" s="24">
        <f>IFERROR(INDEX(Cost_Components!$M$2:$M$27,MATCH(E412,Cost_Components!$A$2:$A$27,0)),"")</f>
        <v>0</v>
      </c>
      <c r="AD412" s="24">
        <f>IFERROR(INDEX(Cost_Components!$N$2:$N$27,MATCH(E412,Cost_Components!$A$2:$A$27,0)),"")</f>
        <v>95</v>
      </c>
      <c r="AE412" s="14" t="str">
        <f>IFERROR(INDEX(Cost_Components!$O$2:$O$27,MATCH(E412,Cost_Components!$A$2:$A$27,0)),"")</f>
        <v>Both</v>
      </c>
      <c r="AF412" s="11">
        <v>7660991.2551179202</v>
      </c>
      <c r="AG412" s="11">
        <v>7522215.0936579499</v>
      </c>
      <c r="AH412" s="21">
        <f t="shared" si="69"/>
        <v>1</v>
      </c>
    </row>
    <row r="413" spans="1:34" hidden="1">
      <c r="A413" t="s">
        <v>202</v>
      </c>
      <c r="B413" s="18">
        <v>2046</v>
      </c>
      <c r="C413" t="s">
        <v>202</v>
      </c>
      <c r="D413" t="s">
        <v>177</v>
      </c>
      <c r="E413" s="20" t="s">
        <v>294</v>
      </c>
      <c r="F413" s="20" t="s">
        <v>295</v>
      </c>
      <c r="G413" s="20" t="s">
        <v>203</v>
      </c>
      <c r="H413" s="20" t="s">
        <v>192</v>
      </c>
      <c r="I413" s="20" t="s">
        <v>264</v>
      </c>
      <c r="J413" s="15">
        <f>IFERROR(INDEX(Cost_Components!$K$2:$K$27,MATCH(E413,Cost_Components!$A$2:$A$27,0)),"")</f>
        <v>1</v>
      </c>
      <c r="K413" s="15">
        <f t="shared" si="60"/>
        <v>0.72461538461538466</v>
      </c>
      <c r="L413" s="15">
        <f>IFERROR(INDEX(Cost_Components!$S$2:$S$27,MATCH(E413,Cost_Components!$A$2:$A$27,0)),"")</f>
        <v>0.31</v>
      </c>
      <c r="M413" s="26">
        <f>IFERROR(INDEX(Cost_Components!$L$2:$L$27,MATCH(E413,Cost_Components!$A$2:$A$27,0)),"")</f>
        <v>1</v>
      </c>
      <c r="N413" s="27">
        <f>IFERROR(INDEX(Cost_Components!$P$2:$P$27,MATCH(E413,Cost_Components!$A$2:$A$27,0)),"")</f>
        <v>119.721487</v>
      </c>
      <c r="O413" s="21">
        <f t="shared" si="61"/>
        <v>7747123.6389056602</v>
      </c>
      <c r="P413" s="21">
        <f t="shared" si="62"/>
        <v>7597099.71033228</v>
      </c>
      <c r="Q413" s="21">
        <f t="shared" si="63"/>
        <v>281956183.00455743</v>
      </c>
      <c r="R413" s="21">
        <f t="shared" si="64"/>
        <v>672078712.78871059</v>
      </c>
      <c r="S413" s="21">
        <f t="shared" si="65"/>
        <v>390122529.78415316</v>
      </c>
      <c r="T413" s="14">
        <f>IFERROR(INDEX(Cost_Components!$R$2:$R$27,MATCH(E413,Cost_Components!$A$2:$A$27,0)),"")</f>
        <v>1</v>
      </c>
      <c r="U413" s="24">
        <f>IFERROR(INDEX(Cost_Components!$Q$2:$Q$27,MATCH(E413,Cost_Components!$A$2:$A$27,0)),"")</f>
        <v>2023</v>
      </c>
      <c r="V413" s="28">
        <f>1/(1+Calculation_Assumptions!$B$5)^(B413-Calculation_Assumptions!$B$2)</f>
        <v>0.5375492759090631</v>
      </c>
      <c r="W413" s="21">
        <f t="shared" si="66"/>
        <v>151565342.01218313</v>
      </c>
      <c r="X413" s="21">
        <f t="shared" si="67"/>
        <v>361275425.41346657</v>
      </c>
      <c r="Y413" s="21">
        <f t="shared" si="68"/>
        <v>209710083.40128344</v>
      </c>
      <c r="Z413" s="15">
        <f>IFERROR(INDEX(Cost_Components!$T$2:$T$27,MATCH(E413,Cost_Components!$A$2:$A$27,0)),"")</f>
        <v>0.8</v>
      </c>
      <c r="AA413" s="24">
        <f>IFERROR(INDEX(Cost_Components!$U$2:$U$27,MATCH(E413,Cost_Components!$A$2:$A$27,0)),"")</f>
        <v>2025</v>
      </c>
      <c r="AB413" s="24">
        <f>IFERROR(INDEX(Cost_Components!$V$2:$V$27,MATCH(E413,Cost_Components!$A$2:$A$27,0)),"")</f>
        <v>2050</v>
      </c>
      <c r="AC413" s="24">
        <f>IFERROR(INDEX(Cost_Components!$M$2:$M$27,MATCH(E413,Cost_Components!$A$2:$A$27,0)),"")</f>
        <v>0</v>
      </c>
      <c r="AD413" s="24">
        <f>IFERROR(INDEX(Cost_Components!$N$2:$N$27,MATCH(E413,Cost_Components!$A$2:$A$27,0)),"")</f>
        <v>95</v>
      </c>
      <c r="AE413" s="14" t="str">
        <f>IFERROR(INDEX(Cost_Components!$O$2:$O$27,MATCH(E413,Cost_Components!$A$2:$A$27,0)),"")</f>
        <v>Both</v>
      </c>
      <c r="AF413" s="11">
        <v>7747123.6389056602</v>
      </c>
      <c r="AG413" s="11">
        <v>7597099.71033228</v>
      </c>
      <c r="AH413" s="21">
        <f t="shared" si="69"/>
        <v>1</v>
      </c>
    </row>
    <row r="414" spans="1:34" hidden="1">
      <c r="A414" t="s">
        <v>202</v>
      </c>
      <c r="B414" s="18">
        <v>2047</v>
      </c>
      <c r="C414" t="s">
        <v>202</v>
      </c>
      <c r="D414" t="s">
        <v>177</v>
      </c>
      <c r="E414" s="20" t="s">
        <v>294</v>
      </c>
      <c r="F414" s="20" t="s">
        <v>295</v>
      </c>
      <c r="G414" s="20" t="s">
        <v>203</v>
      </c>
      <c r="H414" s="20" t="s">
        <v>192</v>
      </c>
      <c r="I414" s="20" t="s">
        <v>264</v>
      </c>
      <c r="J414" s="15">
        <f>IFERROR(INDEX(Cost_Components!$K$2:$K$27,MATCH(E414,Cost_Components!$A$2:$A$27,0)),"")</f>
        <v>1</v>
      </c>
      <c r="K414" s="15">
        <f t="shared" si="60"/>
        <v>0.74346153846153851</v>
      </c>
      <c r="L414" s="15">
        <f>IFERROR(INDEX(Cost_Components!$S$2:$S$27,MATCH(E414,Cost_Components!$A$2:$A$27,0)),"")</f>
        <v>0.31</v>
      </c>
      <c r="M414" s="26">
        <f>IFERROR(INDEX(Cost_Components!$L$2:$L$27,MATCH(E414,Cost_Components!$A$2:$A$27,0)),"")</f>
        <v>1</v>
      </c>
      <c r="N414" s="27">
        <f>IFERROR(INDEX(Cost_Components!$P$2:$P$27,MATCH(E414,Cost_Components!$A$2:$A$27,0)),"")</f>
        <v>119.721487</v>
      </c>
      <c r="O414" s="21">
        <f t="shared" si="61"/>
        <v>7830084.4265189497</v>
      </c>
      <c r="P414" s="21">
        <f t="shared" si="62"/>
        <v>7668592.5773811797</v>
      </c>
      <c r="Q414" s="21">
        <f t="shared" si="63"/>
        <v>284609545.03398359</v>
      </c>
      <c r="R414" s="21">
        <f t="shared" si="64"/>
        <v>696942667.40304995</v>
      </c>
      <c r="S414" s="21">
        <f t="shared" si="65"/>
        <v>412333122.36906636</v>
      </c>
      <c r="T414" s="14">
        <f>IFERROR(INDEX(Cost_Components!$R$2:$R$27,MATCH(E414,Cost_Components!$A$2:$A$27,0)),"")</f>
        <v>1</v>
      </c>
      <c r="U414" s="24">
        <f>IFERROR(INDEX(Cost_Components!$Q$2:$Q$27,MATCH(E414,Cost_Components!$A$2:$A$27,0)),"")</f>
        <v>2023</v>
      </c>
      <c r="V414" s="28">
        <f>1/(1+Calculation_Assumptions!$B$5)^(B414-Calculation_Assumptions!$B$2)</f>
        <v>0.52189250088258554</v>
      </c>
      <c r="W414" s="21">
        <f t="shared" si="66"/>
        <v>148535587.23284054</v>
      </c>
      <c r="X414" s="21">
        <f t="shared" si="67"/>
        <v>363729151.66275775</v>
      </c>
      <c r="Y414" s="21">
        <f t="shared" si="68"/>
        <v>215193564.42991722</v>
      </c>
      <c r="Z414" s="15">
        <f>IFERROR(INDEX(Cost_Components!$T$2:$T$27,MATCH(E414,Cost_Components!$A$2:$A$27,0)),"")</f>
        <v>0.8</v>
      </c>
      <c r="AA414" s="24">
        <f>IFERROR(INDEX(Cost_Components!$U$2:$U$27,MATCH(E414,Cost_Components!$A$2:$A$27,0)),"")</f>
        <v>2025</v>
      </c>
      <c r="AB414" s="24">
        <f>IFERROR(INDEX(Cost_Components!$V$2:$V$27,MATCH(E414,Cost_Components!$A$2:$A$27,0)),"")</f>
        <v>2050</v>
      </c>
      <c r="AC414" s="24">
        <f>IFERROR(INDEX(Cost_Components!$M$2:$M$27,MATCH(E414,Cost_Components!$A$2:$A$27,0)),"")</f>
        <v>0</v>
      </c>
      <c r="AD414" s="24">
        <f>IFERROR(INDEX(Cost_Components!$N$2:$N$27,MATCH(E414,Cost_Components!$A$2:$A$27,0)),"")</f>
        <v>95</v>
      </c>
      <c r="AE414" s="14" t="str">
        <f>IFERROR(INDEX(Cost_Components!$O$2:$O$27,MATCH(E414,Cost_Components!$A$2:$A$27,0)),"")</f>
        <v>Both</v>
      </c>
      <c r="AF414" s="11">
        <v>7830084.4265189497</v>
      </c>
      <c r="AG414" s="11">
        <v>7668592.5773811797</v>
      </c>
      <c r="AH414" s="21">
        <f t="shared" si="69"/>
        <v>1</v>
      </c>
    </row>
    <row r="415" spans="1:34" hidden="1">
      <c r="A415" t="s">
        <v>202</v>
      </c>
      <c r="B415" s="18">
        <v>2048</v>
      </c>
      <c r="C415" t="s">
        <v>202</v>
      </c>
      <c r="D415" t="s">
        <v>177</v>
      </c>
      <c r="E415" s="20" t="s">
        <v>294</v>
      </c>
      <c r="F415" s="20" t="s">
        <v>295</v>
      </c>
      <c r="G415" s="20" t="s">
        <v>203</v>
      </c>
      <c r="H415" s="20" t="s">
        <v>192</v>
      </c>
      <c r="I415" s="20" t="s">
        <v>264</v>
      </c>
      <c r="J415" s="15">
        <f>IFERROR(INDEX(Cost_Components!$K$2:$K$27,MATCH(E415,Cost_Components!$A$2:$A$27,0)),"")</f>
        <v>1</v>
      </c>
      <c r="K415" s="15">
        <f t="shared" si="60"/>
        <v>0.76230769230769235</v>
      </c>
      <c r="L415" s="15">
        <f>IFERROR(INDEX(Cost_Components!$S$2:$S$27,MATCH(E415,Cost_Components!$A$2:$A$27,0)),"")</f>
        <v>0.31</v>
      </c>
      <c r="M415" s="26">
        <f>IFERROR(INDEX(Cost_Components!$L$2:$L$27,MATCH(E415,Cost_Components!$A$2:$A$27,0)),"")</f>
        <v>1</v>
      </c>
      <c r="N415" s="27">
        <f>IFERROR(INDEX(Cost_Components!$P$2:$P$27,MATCH(E415,Cost_Components!$A$2:$A$27,0)),"")</f>
        <v>119.721487</v>
      </c>
      <c r="O415" s="21">
        <f t="shared" si="61"/>
        <v>7909747.9056023099</v>
      </c>
      <c r="P415" s="21">
        <f t="shared" si="62"/>
        <v>7736597.0552434502</v>
      </c>
      <c r="Q415" s="21">
        <f t="shared" si="63"/>
        <v>287133440.16980577</v>
      </c>
      <c r="R415" s="21">
        <f t="shared" si="64"/>
        <v>721880061.5571996</v>
      </c>
      <c r="S415" s="21">
        <f t="shared" si="65"/>
        <v>434746621.38739383</v>
      </c>
      <c r="T415" s="14">
        <f>IFERROR(INDEX(Cost_Components!$R$2:$R$27,MATCH(E415,Cost_Components!$A$2:$A$27,0)),"")</f>
        <v>1</v>
      </c>
      <c r="U415" s="24">
        <f>IFERROR(INDEX(Cost_Components!$Q$2:$Q$27,MATCH(E415,Cost_Components!$A$2:$A$27,0)),"")</f>
        <v>2023</v>
      </c>
      <c r="V415" s="28">
        <f>1/(1+Calculation_Assumptions!$B$5)^(B415-Calculation_Assumptions!$B$2)</f>
        <v>0.50669174842969467</v>
      </c>
      <c r="W415" s="21">
        <f t="shared" si="66"/>
        <v>145488144.83227199</v>
      </c>
      <c r="X415" s="21">
        <f t="shared" si="67"/>
        <v>365770670.54695308</v>
      </c>
      <c r="Y415" s="21">
        <f t="shared" si="68"/>
        <v>220282525.71468106</v>
      </c>
      <c r="Z415" s="15">
        <f>IFERROR(INDEX(Cost_Components!$T$2:$T$27,MATCH(E415,Cost_Components!$A$2:$A$27,0)),"")</f>
        <v>0.8</v>
      </c>
      <c r="AA415" s="24">
        <f>IFERROR(INDEX(Cost_Components!$U$2:$U$27,MATCH(E415,Cost_Components!$A$2:$A$27,0)),"")</f>
        <v>2025</v>
      </c>
      <c r="AB415" s="24">
        <f>IFERROR(INDEX(Cost_Components!$V$2:$V$27,MATCH(E415,Cost_Components!$A$2:$A$27,0)),"")</f>
        <v>2050</v>
      </c>
      <c r="AC415" s="24">
        <f>IFERROR(INDEX(Cost_Components!$M$2:$M$27,MATCH(E415,Cost_Components!$A$2:$A$27,0)),"")</f>
        <v>0</v>
      </c>
      <c r="AD415" s="24">
        <f>IFERROR(INDEX(Cost_Components!$N$2:$N$27,MATCH(E415,Cost_Components!$A$2:$A$27,0)),"")</f>
        <v>95</v>
      </c>
      <c r="AE415" s="14" t="str">
        <f>IFERROR(INDEX(Cost_Components!$O$2:$O$27,MATCH(E415,Cost_Components!$A$2:$A$27,0)),"")</f>
        <v>Both</v>
      </c>
      <c r="AF415" s="11">
        <v>7909747.9056023099</v>
      </c>
      <c r="AG415" s="11">
        <v>7736597.0552434502</v>
      </c>
      <c r="AH415" s="21">
        <f t="shared" si="69"/>
        <v>1</v>
      </c>
    </row>
    <row r="416" spans="1:34" hidden="1">
      <c r="A416" t="s">
        <v>202</v>
      </c>
      <c r="B416" s="18">
        <v>2049</v>
      </c>
      <c r="C416" t="s">
        <v>202</v>
      </c>
      <c r="D416" t="s">
        <v>177</v>
      </c>
      <c r="E416" s="20" t="s">
        <v>294</v>
      </c>
      <c r="F416" s="20" t="s">
        <v>295</v>
      </c>
      <c r="G416" s="20" t="s">
        <v>203</v>
      </c>
      <c r="H416" s="20" t="s">
        <v>192</v>
      </c>
      <c r="I416" s="20" t="s">
        <v>264</v>
      </c>
      <c r="J416" s="15">
        <f>IFERROR(INDEX(Cost_Components!$K$2:$K$27,MATCH(E416,Cost_Components!$A$2:$A$27,0)),"")</f>
        <v>1</v>
      </c>
      <c r="K416" s="15">
        <f t="shared" si="60"/>
        <v>0.7811538461538462</v>
      </c>
      <c r="L416" s="15">
        <f>IFERROR(INDEX(Cost_Components!$S$2:$S$27,MATCH(E416,Cost_Components!$A$2:$A$27,0)),"")</f>
        <v>0.31</v>
      </c>
      <c r="M416" s="26">
        <f>IFERROR(INDEX(Cost_Components!$L$2:$L$27,MATCH(E416,Cost_Components!$A$2:$A$27,0)),"")</f>
        <v>1</v>
      </c>
      <c r="N416" s="27">
        <f>IFERROR(INDEX(Cost_Components!$P$2:$P$27,MATCH(E416,Cost_Components!$A$2:$A$27,0)),"")</f>
        <v>119.721487</v>
      </c>
      <c r="O416" s="21">
        <f t="shared" si="61"/>
        <v>7985940.4144960903</v>
      </c>
      <c r="P416" s="21">
        <f t="shared" si="62"/>
        <v>7800963.0468724202</v>
      </c>
      <c r="Q416" s="21">
        <f t="shared" si="63"/>
        <v>289522297.76112121</v>
      </c>
      <c r="R416" s="21">
        <f t="shared" si="64"/>
        <v>746852335.20798445</v>
      </c>
      <c r="S416" s="21">
        <f t="shared" si="65"/>
        <v>457330037.44686323</v>
      </c>
      <c r="T416" s="14">
        <f>IFERROR(INDEX(Cost_Components!$R$2:$R$27,MATCH(E416,Cost_Components!$A$2:$A$27,0)),"")</f>
        <v>1</v>
      </c>
      <c r="U416" s="24">
        <f>IFERROR(INDEX(Cost_Components!$Q$2:$Q$27,MATCH(E416,Cost_Components!$A$2:$A$27,0)),"")</f>
        <v>2023</v>
      </c>
      <c r="V416" s="28">
        <f>1/(1+Calculation_Assumptions!$B$5)^(B416-Calculation_Assumptions!$B$2)</f>
        <v>0.49193373633950943</v>
      </c>
      <c r="W416" s="21">
        <f t="shared" si="66"/>
        <v>142425785.69122833</v>
      </c>
      <c r="X416" s="21">
        <f t="shared" si="67"/>
        <v>367401859.75275153</v>
      </c>
      <c r="Y416" s="21">
        <f t="shared" si="68"/>
        <v>224976074.0615232</v>
      </c>
      <c r="Z416" s="15">
        <f>IFERROR(INDEX(Cost_Components!$T$2:$T$27,MATCH(E416,Cost_Components!$A$2:$A$27,0)),"")</f>
        <v>0.8</v>
      </c>
      <c r="AA416" s="24">
        <f>IFERROR(INDEX(Cost_Components!$U$2:$U$27,MATCH(E416,Cost_Components!$A$2:$A$27,0)),"")</f>
        <v>2025</v>
      </c>
      <c r="AB416" s="24">
        <f>IFERROR(INDEX(Cost_Components!$V$2:$V$27,MATCH(E416,Cost_Components!$A$2:$A$27,0)),"")</f>
        <v>2050</v>
      </c>
      <c r="AC416" s="24">
        <f>IFERROR(INDEX(Cost_Components!$M$2:$M$27,MATCH(E416,Cost_Components!$A$2:$A$27,0)),"")</f>
        <v>0</v>
      </c>
      <c r="AD416" s="24">
        <f>IFERROR(INDEX(Cost_Components!$N$2:$N$27,MATCH(E416,Cost_Components!$A$2:$A$27,0)),"")</f>
        <v>95</v>
      </c>
      <c r="AE416" s="14" t="str">
        <f>IFERROR(INDEX(Cost_Components!$O$2:$O$27,MATCH(E416,Cost_Components!$A$2:$A$27,0)),"")</f>
        <v>Both</v>
      </c>
      <c r="AF416" s="11">
        <v>7985940.4144960903</v>
      </c>
      <c r="AG416" s="11">
        <v>7800963.0468724202</v>
      </c>
      <c r="AH416" s="21">
        <f t="shared" si="69"/>
        <v>1</v>
      </c>
    </row>
    <row r="417" spans="1:34" hidden="1">
      <c r="A417" t="s">
        <v>202</v>
      </c>
      <c r="B417" s="18">
        <v>2050</v>
      </c>
      <c r="C417" t="s">
        <v>202</v>
      </c>
      <c r="D417" t="s">
        <v>177</v>
      </c>
      <c r="E417" s="20" t="s">
        <v>294</v>
      </c>
      <c r="F417" s="20" t="s">
        <v>295</v>
      </c>
      <c r="G417" s="20" t="s">
        <v>203</v>
      </c>
      <c r="H417" s="20" t="s">
        <v>192</v>
      </c>
      <c r="I417" s="20" t="s">
        <v>264</v>
      </c>
      <c r="J417" s="15">
        <f>IFERROR(INDEX(Cost_Components!$K$2:$K$27,MATCH(E417,Cost_Components!$A$2:$A$27,0)),"")</f>
        <v>1</v>
      </c>
      <c r="K417" s="15">
        <f t="shared" si="60"/>
        <v>0.8</v>
      </c>
      <c r="L417" s="15">
        <f>IFERROR(INDEX(Cost_Components!$S$2:$S$27,MATCH(E417,Cost_Components!$A$2:$A$27,0)),"")</f>
        <v>0.31</v>
      </c>
      <c r="M417" s="26">
        <f>IFERROR(INDEX(Cost_Components!$L$2:$L$27,MATCH(E417,Cost_Components!$A$2:$A$27,0)),"")</f>
        <v>1</v>
      </c>
      <c r="N417" s="27">
        <f>IFERROR(INDEX(Cost_Components!$P$2:$P$27,MATCH(E417,Cost_Components!$A$2:$A$27,0)),"")</f>
        <v>119.721487</v>
      </c>
      <c r="O417" s="21">
        <f t="shared" si="61"/>
        <v>8058472.3869476197</v>
      </c>
      <c r="P417" s="21">
        <f t="shared" si="62"/>
        <v>7861516.4843823304</v>
      </c>
      <c r="Q417" s="21">
        <f t="shared" si="63"/>
        <v>291769657.51143211</v>
      </c>
      <c r="R417" s="21">
        <f t="shared" si="64"/>
        <v>771817837.69104671</v>
      </c>
      <c r="S417" s="21">
        <f t="shared" si="65"/>
        <v>480048180.1796146</v>
      </c>
      <c r="T417" s="14">
        <f>IFERROR(INDEX(Cost_Components!$R$2:$R$27,MATCH(E417,Cost_Components!$A$2:$A$27,0)),"")</f>
        <v>1</v>
      </c>
      <c r="U417" s="24">
        <f>IFERROR(INDEX(Cost_Components!$Q$2:$Q$27,MATCH(E417,Cost_Components!$A$2:$A$27,0)),"")</f>
        <v>2023</v>
      </c>
      <c r="V417" s="28">
        <f>1/(1+Calculation_Assumptions!$B$5)^(B417-Calculation_Assumptions!$B$2)</f>
        <v>0.47760556926165965</v>
      </c>
      <c r="W417" s="21">
        <f t="shared" si="66"/>
        <v>139350813.36902699</v>
      </c>
      <c r="X417" s="21">
        <f t="shared" si="67"/>
        <v>368624497.73673558</v>
      </c>
      <c r="Y417" s="21">
        <f t="shared" si="68"/>
        <v>229273684.36770859</v>
      </c>
      <c r="Z417" s="15">
        <f>IFERROR(INDEX(Cost_Components!$T$2:$T$27,MATCH(E417,Cost_Components!$A$2:$A$27,0)),"")</f>
        <v>0.8</v>
      </c>
      <c r="AA417" s="24">
        <f>IFERROR(INDEX(Cost_Components!$U$2:$U$27,MATCH(E417,Cost_Components!$A$2:$A$27,0)),"")</f>
        <v>2025</v>
      </c>
      <c r="AB417" s="24">
        <f>IFERROR(INDEX(Cost_Components!$V$2:$V$27,MATCH(E417,Cost_Components!$A$2:$A$27,0)),"")</f>
        <v>2050</v>
      </c>
      <c r="AC417" s="24">
        <f>IFERROR(INDEX(Cost_Components!$M$2:$M$27,MATCH(E417,Cost_Components!$A$2:$A$27,0)),"")</f>
        <v>0</v>
      </c>
      <c r="AD417" s="24">
        <f>IFERROR(INDEX(Cost_Components!$N$2:$N$27,MATCH(E417,Cost_Components!$A$2:$A$27,0)),"")</f>
        <v>95</v>
      </c>
      <c r="AE417" s="14" t="str">
        <f>IFERROR(INDEX(Cost_Components!$O$2:$O$27,MATCH(E417,Cost_Components!$A$2:$A$27,0)),"")</f>
        <v>Both</v>
      </c>
      <c r="AF417" s="11">
        <v>8058472.3869476197</v>
      </c>
      <c r="AG417" s="11">
        <v>7861516.4843823304</v>
      </c>
      <c r="AH417" s="21">
        <f t="shared" si="69"/>
        <v>1</v>
      </c>
    </row>
    <row r="418" spans="1:34" hidden="1">
      <c r="A418" t="s">
        <v>202</v>
      </c>
      <c r="B418" s="18">
        <v>2025</v>
      </c>
      <c r="C418" t="s">
        <v>202</v>
      </c>
      <c r="D418" t="s">
        <v>177</v>
      </c>
      <c r="E418" s="20" t="s">
        <v>297</v>
      </c>
      <c r="F418" s="20" t="s">
        <v>298</v>
      </c>
      <c r="G418" s="20" t="s">
        <v>203</v>
      </c>
      <c r="H418" s="20" t="s">
        <v>192</v>
      </c>
      <c r="I418" s="20" t="s">
        <v>264</v>
      </c>
      <c r="J418" s="15">
        <f>IFERROR(INDEX(Cost_Components!$K$2:$K$27,MATCH(E418,Cost_Components!$A$2:$A$27,0)),"")</f>
        <v>1</v>
      </c>
      <c r="K418" s="15">
        <f t="shared" si="60"/>
        <v>0.32884615384615384</v>
      </c>
      <c r="L418" s="15">
        <f>IFERROR(INDEX(Cost_Components!$S$2:$S$27,MATCH(E418,Cost_Components!$A$2:$A$27,0)),"")</f>
        <v>0.31</v>
      </c>
      <c r="M418" s="26">
        <f>IFERROR(INDEX(Cost_Components!$L$2:$L$27,MATCH(E418,Cost_Components!$A$2:$A$27,0)),"")</f>
        <v>1</v>
      </c>
      <c r="N418" s="27">
        <f>IFERROR(INDEX(Cost_Components!$P$2:$P$27,MATCH(E418,Cost_Components!$A$2:$A$27,0)),"")</f>
        <v>36.463997999999997</v>
      </c>
      <c r="O418" s="21">
        <f t="shared" si="61"/>
        <v>5396461.3575237598</v>
      </c>
      <c r="P418" s="21">
        <f t="shared" si="62"/>
        <v>5395740.1549134701</v>
      </c>
      <c r="Q418" s="21">
        <f t="shared" si="63"/>
        <v>60992580.047358185</v>
      </c>
      <c r="R418" s="21">
        <f t="shared" si="64"/>
        <v>64709213.65630354</v>
      </c>
      <c r="S418" s="21">
        <f t="shared" si="65"/>
        <v>3716633.6089453548</v>
      </c>
      <c r="T418" s="14">
        <f>IFERROR(INDEX(Cost_Components!$R$2:$R$27,MATCH(E418,Cost_Components!$A$2:$A$27,0)),"")</f>
        <v>1</v>
      </c>
      <c r="U418" s="24">
        <f>IFERROR(INDEX(Cost_Components!$Q$2:$Q$27,MATCH(E418,Cost_Components!$A$2:$A$27,0)),"")</f>
        <v>2023</v>
      </c>
      <c r="V418" s="28">
        <f>1/(1+Calculation_Assumptions!$B$5)^(B418-Calculation_Assumptions!$B$2)</f>
        <v>1</v>
      </c>
      <c r="W418" s="21">
        <f t="shared" si="66"/>
        <v>60992580.047358185</v>
      </c>
      <c r="X418" s="21">
        <f t="shared" si="67"/>
        <v>64709213.65630354</v>
      </c>
      <c r="Y418" s="21">
        <f t="shared" si="68"/>
        <v>3716633.6089453548</v>
      </c>
      <c r="Z418" s="15">
        <f>IFERROR(INDEX(Cost_Components!$T$2:$T$27,MATCH(E418,Cost_Components!$A$2:$A$27,0)),"")</f>
        <v>0.8</v>
      </c>
      <c r="AA418" s="24">
        <f>IFERROR(INDEX(Cost_Components!$U$2:$U$27,MATCH(E418,Cost_Components!$A$2:$A$27,0)),"")</f>
        <v>2025</v>
      </c>
      <c r="AB418" s="24">
        <f>IFERROR(INDEX(Cost_Components!$V$2:$V$27,MATCH(E418,Cost_Components!$A$2:$A$27,0)),"")</f>
        <v>2050</v>
      </c>
      <c r="AC418" s="24">
        <f>IFERROR(INDEX(Cost_Components!$M$2:$M$27,MATCH(E418,Cost_Components!$A$2:$A$27,0)),"")</f>
        <v>0</v>
      </c>
      <c r="AD418" s="24">
        <f>IFERROR(INDEX(Cost_Components!$N$2:$N$27,MATCH(E418,Cost_Components!$A$2:$A$27,0)),"")</f>
        <v>95</v>
      </c>
      <c r="AE418" s="14" t="str">
        <f>IFERROR(INDEX(Cost_Components!$O$2:$O$27,MATCH(E418,Cost_Components!$A$2:$A$27,0)),"")</f>
        <v>Both</v>
      </c>
      <c r="AF418" s="11">
        <v>5396461.3575237598</v>
      </c>
      <c r="AG418" s="11">
        <v>5395740.1549134701</v>
      </c>
      <c r="AH418" s="21">
        <f t="shared" si="69"/>
        <v>1</v>
      </c>
    </row>
    <row r="419" spans="1:34" hidden="1">
      <c r="A419" t="s">
        <v>202</v>
      </c>
      <c r="B419" s="18">
        <v>2026</v>
      </c>
      <c r="C419" t="s">
        <v>202</v>
      </c>
      <c r="D419" t="s">
        <v>177</v>
      </c>
      <c r="E419" s="20" t="s">
        <v>297</v>
      </c>
      <c r="F419" s="20" t="s">
        <v>298</v>
      </c>
      <c r="G419" s="20" t="s">
        <v>203</v>
      </c>
      <c r="H419" s="20" t="s">
        <v>192</v>
      </c>
      <c r="I419" s="20" t="s">
        <v>264</v>
      </c>
      <c r="J419" s="15">
        <f>IFERROR(INDEX(Cost_Components!$K$2:$K$27,MATCH(E419,Cost_Components!$A$2:$A$27,0)),"")</f>
        <v>1</v>
      </c>
      <c r="K419" s="15">
        <f t="shared" si="60"/>
        <v>0.34769230769230769</v>
      </c>
      <c r="L419" s="15">
        <f>IFERROR(INDEX(Cost_Components!$S$2:$S$27,MATCH(E419,Cost_Components!$A$2:$A$27,0)),"")</f>
        <v>0.31</v>
      </c>
      <c r="M419" s="26">
        <f>IFERROR(INDEX(Cost_Components!$L$2:$L$27,MATCH(E419,Cost_Components!$A$2:$A$27,0)),"")</f>
        <v>1</v>
      </c>
      <c r="N419" s="27">
        <f>IFERROR(INDEX(Cost_Components!$P$2:$P$27,MATCH(E419,Cost_Components!$A$2:$A$27,0)),"")</f>
        <v>36.463997999999997</v>
      </c>
      <c r="O419" s="21">
        <f t="shared" si="61"/>
        <v>5525007.7286883201</v>
      </c>
      <c r="P419" s="21">
        <f t="shared" si="62"/>
        <v>5522859.2156802304</v>
      </c>
      <c r="Q419" s="21">
        <f t="shared" si="63"/>
        <v>62429513.492402099</v>
      </c>
      <c r="R419" s="21">
        <f t="shared" si="64"/>
        <v>70047438.144255146</v>
      </c>
      <c r="S419" s="21">
        <f t="shared" si="65"/>
        <v>7617924.6518530473</v>
      </c>
      <c r="T419" s="14">
        <f>IFERROR(INDEX(Cost_Components!$R$2:$R$27,MATCH(E419,Cost_Components!$A$2:$A$27,0)),"")</f>
        <v>1</v>
      </c>
      <c r="U419" s="24">
        <f>IFERROR(INDEX(Cost_Components!$Q$2:$Q$27,MATCH(E419,Cost_Components!$A$2:$A$27,0)),"")</f>
        <v>2023</v>
      </c>
      <c r="V419" s="28">
        <f>1/(1+Calculation_Assumptions!$B$5)^(B419-Calculation_Assumptions!$B$2)</f>
        <v>0.970873786407767</v>
      </c>
      <c r="W419" s="21">
        <f t="shared" si="66"/>
        <v>60611178.147963203</v>
      </c>
      <c r="X419" s="21">
        <f t="shared" si="67"/>
        <v>68007221.499276847</v>
      </c>
      <c r="Y419" s="21">
        <f t="shared" si="68"/>
        <v>7396043.3513136385</v>
      </c>
      <c r="Z419" s="15">
        <f>IFERROR(INDEX(Cost_Components!$T$2:$T$27,MATCH(E419,Cost_Components!$A$2:$A$27,0)),"")</f>
        <v>0.8</v>
      </c>
      <c r="AA419" s="24">
        <f>IFERROR(INDEX(Cost_Components!$U$2:$U$27,MATCH(E419,Cost_Components!$A$2:$A$27,0)),"")</f>
        <v>2025</v>
      </c>
      <c r="AB419" s="24">
        <f>IFERROR(INDEX(Cost_Components!$V$2:$V$27,MATCH(E419,Cost_Components!$A$2:$A$27,0)),"")</f>
        <v>2050</v>
      </c>
      <c r="AC419" s="24">
        <f>IFERROR(INDEX(Cost_Components!$M$2:$M$27,MATCH(E419,Cost_Components!$A$2:$A$27,0)),"")</f>
        <v>0</v>
      </c>
      <c r="AD419" s="24">
        <f>IFERROR(INDEX(Cost_Components!$N$2:$N$27,MATCH(E419,Cost_Components!$A$2:$A$27,0)),"")</f>
        <v>95</v>
      </c>
      <c r="AE419" s="14" t="str">
        <f>IFERROR(INDEX(Cost_Components!$O$2:$O$27,MATCH(E419,Cost_Components!$A$2:$A$27,0)),"")</f>
        <v>Both</v>
      </c>
      <c r="AF419" s="11">
        <v>5525007.7286883201</v>
      </c>
      <c r="AG419" s="11">
        <v>5522859.2156802304</v>
      </c>
      <c r="AH419" s="21">
        <f t="shared" si="69"/>
        <v>1</v>
      </c>
    </row>
    <row r="420" spans="1:34" hidden="1">
      <c r="A420" t="s">
        <v>202</v>
      </c>
      <c r="B420" s="18">
        <v>2027</v>
      </c>
      <c r="C420" t="s">
        <v>202</v>
      </c>
      <c r="D420" t="s">
        <v>177</v>
      </c>
      <c r="E420" s="20" t="s">
        <v>297</v>
      </c>
      <c r="F420" s="20" t="s">
        <v>298</v>
      </c>
      <c r="G420" s="20" t="s">
        <v>203</v>
      </c>
      <c r="H420" s="20" t="s">
        <v>192</v>
      </c>
      <c r="I420" s="20" t="s">
        <v>264</v>
      </c>
      <c r="J420" s="15">
        <f>IFERROR(INDEX(Cost_Components!$K$2:$K$27,MATCH(E420,Cost_Components!$A$2:$A$27,0)),"")</f>
        <v>1</v>
      </c>
      <c r="K420" s="15">
        <f t="shared" si="60"/>
        <v>0.36653846153846154</v>
      </c>
      <c r="L420" s="15">
        <f>IFERROR(INDEX(Cost_Components!$S$2:$S$27,MATCH(E420,Cost_Components!$A$2:$A$27,0)),"")</f>
        <v>0.31</v>
      </c>
      <c r="M420" s="26">
        <f>IFERROR(INDEX(Cost_Components!$L$2:$L$27,MATCH(E420,Cost_Components!$A$2:$A$27,0)),"")</f>
        <v>1</v>
      </c>
      <c r="N420" s="27">
        <f>IFERROR(INDEX(Cost_Components!$P$2:$P$27,MATCH(E420,Cost_Components!$A$2:$A$27,0)),"")</f>
        <v>36.463997999999997</v>
      </c>
      <c r="O420" s="21">
        <f t="shared" si="61"/>
        <v>5653047.5469594803</v>
      </c>
      <c r="P420" s="21">
        <f t="shared" si="62"/>
        <v>5648779.9055859298</v>
      </c>
      <c r="Q420" s="21">
        <f t="shared" si="63"/>
        <v>63852900.74571491</v>
      </c>
      <c r="R420" s="21">
        <f t="shared" si="64"/>
        <v>75555568.025870115</v>
      </c>
      <c r="S420" s="21">
        <f t="shared" si="65"/>
        <v>11702667.280155204</v>
      </c>
      <c r="T420" s="14">
        <f>IFERROR(INDEX(Cost_Components!$R$2:$R$27,MATCH(E420,Cost_Components!$A$2:$A$27,0)),"")</f>
        <v>1</v>
      </c>
      <c r="U420" s="24">
        <f>IFERROR(INDEX(Cost_Components!$Q$2:$Q$27,MATCH(E420,Cost_Components!$A$2:$A$27,0)),"")</f>
        <v>2023</v>
      </c>
      <c r="V420" s="28">
        <f>1/(1+Calculation_Assumptions!$B$5)^(B420-Calculation_Assumptions!$B$2)</f>
        <v>0.94259590913375435</v>
      </c>
      <c r="W420" s="21">
        <f t="shared" si="66"/>
        <v>60187483.029234529</v>
      </c>
      <c r="X420" s="21">
        <f t="shared" si="67"/>
        <v>71218369.333462268</v>
      </c>
      <c r="Y420" s="21">
        <f t="shared" si="68"/>
        <v>11030886.304227736</v>
      </c>
      <c r="Z420" s="15">
        <f>IFERROR(INDEX(Cost_Components!$T$2:$T$27,MATCH(E420,Cost_Components!$A$2:$A$27,0)),"")</f>
        <v>0.8</v>
      </c>
      <c r="AA420" s="24">
        <f>IFERROR(INDEX(Cost_Components!$U$2:$U$27,MATCH(E420,Cost_Components!$A$2:$A$27,0)),"")</f>
        <v>2025</v>
      </c>
      <c r="AB420" s="24">
        <f>IFERROR(INDEX(Cost_Components!$V$2:$V$27,MATCH(E420,Cost_Components!$A$2:$A$27,0)),"")</f>
        <v>2050</v>
      </c>
      <c r="AC420" s="24">
        <f>IFERROR(INDEX(Cost_Components!$M$2:$M$27,MATCH(E420,Cost_Components!$A$2:$A$27,0)),"")</f>
        <v>0</v>
      </c>
      <c r="AD420" s="24">
        <f>IFERROR(INDEX(Cost_Components!$N$2:$N$27,MATCH(E420,Cost_Components!$A$2:$A$27,0)),"")</f>
        <v>95</v>
      </c>
      <c r="AE420" s="14" t="str">
        <f>IFERROR(INDEX(Cost_Components!$O$2:$O$27,MATCH(E420,Cost_Components!$A$2:$A$27,0)),"")</f>
        <v>Both</v>
      </c>
      <c r="AF420" s="11">
        <v>5653047.5469594803</v>
      </c>
      <c r="AG420" s="11">
        <v>5648779.9055859298</v>
      </c>
      <c r="AH420" s="21">
        <f t="shared" si="69"/>
        <v>1</v>
      </c>
    </row>
    <row r="421" spans="1:34" hidden="1">
      <c r="A421" t="s">
        <v>202</v>
      </c>
      <c r="B421" s="18">
        <v>2028</v>
      </c>
      <c r="C421" t="s">
        <v>202</v>
      </c>
      <c r="D421" t="s">
        <v>177</v>
      </c>
      <c r="E421" s="20" t="s">
        <v>297</v>
      </c>
      <c r="F421" s="20" t="s">
        <v>298</v>
      </c>
      <c r="G421" s="20" t="s">
        <v>203</v>
      </c>
      <c r="H421" s="20" t="s">
        <v>192</v>
      </c>
      <c r="I421" s="20" t="s">
        <v>264</v>
      </c>
      <c r="J421" s="15">
        <f>IFERROR(INDEX(Cost_Components!$K$2:$K$27,MATCH(E421,Cost_Components!$A$2:$A$27,0)),"")</f>
        <v>1</v>
      </c>
      <c r="K421" s="15">
        <f t="shared" si="60"/>
        <v>0.38538461538461538</v>
      </c>
      <c r="L421" s="15">
        <f>IFERROR(INDEX(Cost_Components!$S$2:$S$27,MATCH(E421,Cost_Components!$A$2:$A$27,0)),"")</f>
        <v>0.31</v>
      </c>
      <c r="M421" s="26">
        <f>IFERROR(INDEX(Cost_Components!$L$2:$L$27,MATCH(E421,Cost_Components!$A$2:$A$27,0)),"")</f>
        <v>1</v>
      </c>
      <c r="N421" s="27">
        <f>IFERROR(INDEX(Cost_Components!$P$2:$P$27,MATCH(E421,Cost_Components!$A$2:$A$27,0)),"")</f>
        <v>36.463997999999997</v>
      </c>
      <c r="O421" s="21">
        <f t="shared" si="61"/>
        <v>5780442.6794508398</v>
      </c>
      <c r="P421" s="21">
        <f t="shared" si="62"/>
        <v>5773377.9802549696</v>
      </c>
      <c r="Q421" s="21">
        <f t="shared" si="63"/>
        <v>65261337.368830986</v>
      </c>
      <c r="R421" s="21">
        <f t="shared" si="64"/>
        <v>81230617.847390488</v>
      </c>
      <c r="S421" s="21">
        <f t="shared" si="65"/>
        <v>15969280.478559501</v>
      </c>
      <c r="T421" s="14">
        <f>IFERROR(INDEX(Cost_Components!$R$2:$R$27,MATCH(E421,Cost_Components!$A$2:$A$27,0)),"")</f>
        <v>1</v>
      </c>
      <c r="U421" s="24">
        <f>IFERROR(INDEX(Cost_Components!$Q$2:$Q$27,MATCH(E421,Cost_Components!$A$2:$A$27,0)),"")</f>
        <v>2023</v>
      </c>
      <c r="V421" s="28">
        <f>1/(1+Calculation_Assumptions!$B$5)^(B421-Calculation_Assumptions!$B$2)</f>
        <v>0.91514165935315961</v>
      </c>
      <c r="W421" s="21">
        <f t="shared" si="66"/>
        <v>59723368.571318351</v>
      </c>
      <c r="X421" s="21">
        <f t="shared" si="67"/>
        <v>74337522.40714331</v>
      </c>
      <c r="Y421" s="21">
        <f t="shared" si="68"/>
        <v>14614153.835824961</v>
      </c>
      <c r="Z421" s="15">
        <f>IFERROR(INDEX(Cost_Components!$T$2:$T$27,MATCH(E421,Cost_Components!$A$2:$A$27,0)),"")</f>
        <v>0.8</v>
      </c>
      <c r="AA421" s="24">
        <f>IFERROR(INDEX(Cost_Components!$U$2:$U$27,MATCH(E421,Cost_Components!$A$2:$A$27,0)),"")</f>
        <v>2025</v>
      </c>
      <c r="AB421" s="24">
        <f>IFERROR(INDEX(Cost_Components!$V$2:$V$27,MATCH(E421,Cost_Components!$A$2:$A$27,0)),"")</f>
        <v>2050</v>
      </c>
      <c r="AC421" s="24">
        <f>IFERROR(INDEX(Cost_Components!$M$2:$M$27,MATCH(E421,Cost_Components!$A$2:$A$27,0)),"")</f>
        <v>0</v>
      </c>
      <c r="AD421" s="24">
        <f>IFERROR(INDEX(Cost_Components!$N$2:$N$27,MATCH(E421,Cost_Components!$A$2:$A$27,0)),"")</f>
        <v>95</v>
      </c>
      <c r="AE421" s="14" t="str">
        <f>IFERROR(INDEX(Cost_Components!$O$2:$O$27,MATCH(E421,Cost_Components!$A$2:$A$27,0)),"")</f>
        <v>Both</v>
      </c>
      <c r="AF421" s="11">
        <v>5780442.6794508398</v>
      </c>
      <c r="AG421" s="11">
        <v>5773377.9802549696</v>
      </c>
      <c r="AH421" s="21">
        <f t="shared" si="69"/>
        <v>1</v>
      </c>
    </row>
    <row r="422" spans="1:34" hidden="1">
      <c r="A422" t="s">
        <v>202</v>
      </c>
      <c r="B422" s="18">
        <v>2029</v>
      </c>
      <c r="C422" t="s">
        <v>202</v>
      </c>
      <c r="D422" t="s">
        <v>177</v>
      </c>
      <c r="E422" s="20" t="s">
        <v>297</v>
      </c>
      <c r="F422" s="20" t="s">
        <v>298</v>
      </c>
      <c r="G422" s="20" t="s">
        <v>203</v>
      </c>
      <c r="H422" s="20" t="s">
        <v>192</v>
      </c>
      <c r="I422" s="20" t="s">
        <v>264</v>
      </c>
      <c r="J422" s="15">
        <f>IFERROR(INDEX(Cost_Components!$K$2:$K$27,MATCH(E422,Cost_Components!$A$2:$A$27,0)),"")</f>
        <v>1</v>
      </c>
      <c r="K422" s="15">
        <f t="shared" si="60"/>
        <v>0.40423076923076923</v>
      </c>
      <c r="L422" s="15">
        <f>IFERROR(INDEX(Cost_Components!$S$2:$S$27,MATCH(E422,Cost_Components!$A$2:$A$27,0)),"")</f>
        <v>0.31</v>
      </c>
      <c r="M422" s="26">
        <f>IFERROR(INDEX(Cost_Components!$L$2:$L$27,MATCH(E422,Cost_Components!$A$2:$A$27,0)),"")</f>
        <v>1</v>
      </c>
      <c r="N422" s="27">
        <f>IFERROR(INDEX(Cost_Components!$P$2:$P$27,MATCH(E422,Cost_Components!$A$2:$A$27,0)),"")</f>
        <v>36.463997999999997</v>
      </c>
      <c r="O422" s="21">
        <f t="shared" si="61"/>
        <v>5907029.4173639901</v>
      </c>
      <c r="P422" s="21">
        <f t="shared" si="62"/>
        <v>5896503.1983499797</v>
      </c>
      <c r="Q422" s="21">
        <f t="shared" si="63"/>
        <v>66653125.05780445</v>
      </c>
      <c r="R422" s="21">
        <f t="shared" si="64"/>
        <v>87068845.466383636</v>
      </c>
      <c r="S422" s="21">
        <f t="shared" si="65"/>
        <v>20415720.408579186</v>
      </c>
      <c r="T422" s="14">
        <f>IFERROR(INDEX(Cost_Components!$R$2:$R$27,MATCH(E422,Cost_Components!$A$2:$A$27,0)),"")</f>
        <v>1</v>
      </c>
      <c r="U422" s="24">
        <f>IFERROR(INDEX(Cost_Components!$Q$2:$Q$27,MATCH(E422,Cost_Components!$A$2:$A$27,0)),"")</f>
        <v>2023</v>
      </c>
      <c r="V422" s="28">
        <f>1/(1+Calculation_Assumptions!$B$5)^(B422-Calculation_Assumptions!$B$2)</f>
        <v>0.888487047915689</v>
      </c>
      <c r="W422" s="21">
        <f t="shared" si="66"/>
        <v>59220438.316963911</v>
      </c>
      <c r="X422" s="21">
        <f t="shared" si="67"/>
        <v>77359541.473854512</v>
      </c>
      <c r="Y422" s="21">
        <f t="shared" si="68"/>
        <v>18139103.156890605</v>
      </c>
      <c r="Z422" s="15">
        <f>IFERROR(INDEX(Cost_Components!$T$2:$T$27,MATCH(E422,Cost_Components!$A$2:$A$27,0)),"")</f>
        <v>0.8</v>
      </c>
      <c r="AA422" s="24">
        <f>IFERROR(INDEX(Cost_Components!$U$2:$U$27,MATCH(E422,Cost_Components!$A$2:$A$27,0)),"")</f>
        <v>2025</v>
      </c>
      <c r="AB422" s="24">
        <f>IFERROR(INDEX(Cost_Components!$V$2:$V$27,MATCH(E422,Cost_Components!$A$2:$A$27,0)),"")</f>
        <v>2050</v>
      </c>
      <c r="AC422" s="24">
        <f>IFERROR(INDEX(Cost_Components!$M$2:$M$27,MATCH(E422,Cost_Components!$A$2:$A$27,0)),"")</f>
        <v>0</v>
      </c>
      <c r="AD422" s="24">
        <f>IFERROR(INDEX(Cost_Components!$N$2:$N$27,MATCH(E422,Cost_Components!$A$2:$A$27,0)),"")</f>
        <v>95</v>
      </c>
      <c r="AE422" s="14" t="str">
        <f>IFERROR(INDEX(Cost_Components!$O$2:$O$27,MATCH(E422,Cost_Components!$A$2:$A$27,0)),"")</f>
        <v>Both</v>
      </c>
      <c r="AF422" s="11">
        <v>5907029.4173639901</v>
      </c>
      <c r="AG422" s="11">
        <v>5896503.1983499797</v>
      </c>
      <c r="AH422" s="21">
        <f t="shared" si="69"/>
        <v>1</v>
      </c>
    </row>
    <row r="423" spans="1:34" hidden="1">
      <c r="A423" t="s">
        <v>202</v>
      </c>
      <c r="B423" s="18">
        <v>2030</v>
      </c>
      <c r="C423" t="s">
        <v>202</v>
      </c>
      <c r="D423" t="s">
        <v>177</v>
      </c>
      <c r="E423" s="20" t="s">
        <v>297</v>
      </c>
      <c r="F423" s="20" t="s">
        <v>298</v>
      </c>
      <c r="G423" s="20" t="s">
        <v>203</v>
      </c>
      <c r="H423" s="20" t="s">
        <v>192</v>
      </c>
      <c r="I423" s="20" t="s">
        <v>264</v>
      </c>
      <c r="J423" s="15">
        <f>IFERROR(INDEX(Cost_Components!$K$2:$K$27,MATCH(E423,Cost_Components!$A$2:$A$27,0)),"")</f>
        <v>1</v>
      </c>
      <c r="K423" s="15">
        <f t="shared" si="60"/>
        <v>0.42307692307692307</v>
      </c>
      <c r="L423" s="15">
        <f>IFERROR(INDEX(Cost_Components!$S$2:$S$27,MATCH(E423,Cost_Components!$A$2:$A$27,0)),"")</f>
        <v>0.31</v>
      </c>
      <c r="M423" s="26">
        <f>IFERROR(INDEX(Cost_Components!$L$2:$L$27,MATCH(E423,Cost_Components!$A$2:$A$27,0)),"")</f>
        <v>1</v>
      </c>
      <c r="N423" s="27">
        <f>IFERROR(INDEX(Cost_Components!$P$2:$P$27,MATCH(E423,Cost_Components!$A$2:$A$27,0)),"")</f>
        <v>36.463997999999997</v>
      </c>
      <c r="O423" s="21">
        <f t="shared" si="61"/>
        <v>6032652.0652286597</v>
      </c>
      <c r="P423" s="21">
        <f t="shared" si="62"/>
        <v>6018015.6694641598</v>
      </c>
      <c r="Q423" s="21">
        <f t="shared" si="63"/>
        <v>68026682.513946027</v>
      </c>
      <c r="R423" s="21">
        <f t="shared" si="64"/>
        <v>93066182.355889633</v>
      </c>
      <c r="S423" s="21">
        <f t="shared" si="65"/>
        <v>25039499.841943607</v>
      </c>
      <c r="T423" s="14">
        <f>IFERROR(INDEX(Cost_Components!$R$2:$R$27,MATCH(E423,Cost_Components!$A$2:$A$27,0)),"")</f>
        <v>1</v>
      </c>
      <c r="U423" s="24">
        <f>IFERROR(INDEX(Cost_Components!$Q$2:$Q$27,MATCH(E423,Cost_Components!$A$2:$A$27,0)),"")</f>
        <v>2023</v>
      </c>
      <c r="V423" s="28">
        <f>1/(1+Calculation_Assumptions!$B$5)^(B423-Calculation_Assumptions!$B$2)</f>
        <v>0.86260878438416411</v>
      </c>
      <c r="W423" s="21">
        <f t="shared" si="66"/>
        <v>58680413.909042455</v>
      </c>
      <c r="X423" s="21">
        <f t="shared" si="67"/>
        <v>80279706.429288894</v>
      </c>
      <c r="Y423" s="21">
        <f t="shared" si="68"/>
        <v>21599292.520246442</v>
      </c>
      <c r="Z423" s="15">
        <f>IFERROR(INDEX(Cost_Components!$T$2:$T$27,MATCH(E423,Cost_Components!$A$2:$A$27,0)),"")</f>
        <v>0.8</v>
      </c>
      <c r="AA423" s="24">
        <f>IFERROR(INDEX(Cost_Components!$U$2:$U$27,MATCH(E423,Cost_Components!$A$2:$A$27,0)),"")</f>
        <v>2025</v>
      </c>
      <c r="AB423" s="24">
        <f>IFERROR(INDEX(Cost_Components!$V$2:$V$27,MATCH(E423,Cost_Components!$A$2:$A$27,0)),"")</f>
        <v>2050</v>
      </c>
      <c r="AC423" s="24">
        <f>IFERROR(INDEX(Cost_Components!$M$2:$M$27,MATCH(E423,Cost_Components!$A$2:$A$27,0)),"")</f>
        <v>0</v>
      </c>
      <c r="AD423" s="24">
        <f>IFERROR(INDEX(Cost_Components!$N$2:$N$27,MATCH(E423,Cost_Components!$A$2:$A$27,0)),"")</f>
        <v>95</v>
      </c>
      <c r="AE423" s="14" t="str">
        <f>IFERROR(INDEX(Cost_Components!$O$2:$O$27,MATCH(E423,Cost_Components!$A$2:$A$27,0)),"")</f>
        <v>Both</v>
      </c>
      <c r="AF423" s="11">
        <v>6032652.0652286597</v>
      </c>
      <c r="AG423" s="11">
        <v>6018015.6694641598</v>
      </c>
      <c r="AH423" s="21">
        <f t="shared" si="69"/>
        <v>1</v>
      </c>
    </row>
    <row r="424" spans="1:34" hidden="1">
      <c r="A424" t="s">
        <v>202</v>
      </c>
      <c r="B424" s="18">
        <v>2031</v>
      </c>
      <c r="C424" t="s">
        <v>202</v>
      </c>
      <c r="D424" t="s">
        <v>177</v>
      </c>
      <c r="E424" s="20" t="s">
        <v>297</v>
      </c>
      <c r="F424" s="20" t="s">
        <v>298</v>
      </c>
      <c r="G424" s="20" t="s">
        <v>203</v>
      </c>
      <c r="H424" s="20" t="s">
        <v>192</v>
      </c>
      <c r="I424" s="20" t="s">
        <v>264</v>
      </c>
      <c r="J424" s="15">
        <f>IFERROR(INDEX(Cost_Components!$K$2:$K$27,MATCH(E424,Cost_Components!$A$2:$A$27,0)),"")</f>
        <v>1</v>
      </c>
      <c r="K424" s="15">
        <f t="shared" si="60"/>
        <v>0.44192307692307692</v>
      </c>
      <c r="L424" s="15">
        <f>IFERROR(INDEX(Cost_Components!$S$2:$S$27,MATCH(E424,Cost_Components!$A$2:$A$27,0)),"")</f>
        <v>0.31</v>
      </c>
      <c r="M424" s="26">
        <f>IFERROR(INDEX(Cost_Components!$L$2:$L$27,MATCH(E424,Cost_Components!$A$2:$A$27,0)),"")</f>
        <v>1</v>
      </c>
      <c r="N424" s="27">
        <f>IFERROR(INDEX(Cost_Components!$P$2:$P$27,MATCH(E424,Cost_Components!$A$2:$A$27,0)),"")</f>
        <v>36.463997999999997</v>
      </c>
      <c r="O424" s="21">
        <f t="shared" si="61"/>
        <v>6157112.3216295997</v>
      </c>
      <c r="P424" s="21">
        <f t="shared" si="62"/>
        <v>6137732.8378397403</v>
      </c>
      <c r="Q424" s="21">
        <f t="shared" si="63"/>
        <v>69379946.156292006</v>
      </c>
      <c r="R424" s="21">
        <f t="shared" si="64"/>
        <v>99217445.445210353</v>
      </c>
      <c r="S424" s="21">
        <f t="shared" si="65"/>
        <v>29837499.288918346</v>
      </c>
      <c r="T424" s="14">
        <f>IFERROR(INDEX(Cost_Components!$R$2:$R$27,MATCH(E424,Cost_Components!$A$2:$A$27,0)),"")</f>
        <v>1</v>
      </c>
      <c r="U424" s="24">
        <f>IFERROR(INDEX(Cost_Components!$Q$2:$Q$27,MATCH(E424,Cost_Components!$A$2:$A$27,0)),"")</f>
        <v>2023</v>
      </c>
      <c r="V424" s="28">
        <f>1/(1+Calculation_Assumptions!$B$5)^(B424-Calculation_Assumptions!$B$2)</f>
        <v>0.83748425668365445</v>
      </c>
      <c r="W424" s="21">
        <f t="shared" si="66"/>
        <v>58104612.635454178</v>
      </c>
      <c r="X424" s="21">
        <f t="shared" si="67"/>
        <v>83093048.548733026</v>
      </c>
      <c r="Y424" s="21">
        <f t="shared" si="68"/>
        <v>24988435.913278848</v>
      </c>
      <c r="Z424" s="15">
        <f>IFERROR(INDEX(Cost_Components!$T$2:$T$27,MATCH(E424,Cost_Components!$A$2:$A$27,0)),"")</f>
        <v>0.8</v>
      </c>
      <c r="AA424" s="24">
        <f>IFERROR(INDEX(Cost_Components!$U$2:$U$27,MATCH(E424,Cost_Components!$A$2:$A$27,0)),"")</f>
        <v>2025</v>
      </c>
      <c r="AB424" s="24">
        <f>IFERROR(INDEX(Cost_Components!$V$2:$V$27,MATCH(E424,Cost_Components!$A$2:$A$27,0)),"")</f>
        <v>2050</v>
      </c>
      <c r="AC424" s="24">
        <f>IFERROR(INDEX(Cost_Components!$M$2:$M$27,MATCH(E424,Cost_Components!$A$2:$A$27,0)),"")</f>
        <v>0</v>
      </c>
      <c r="AD424" s="24">
        <f>IFERROR(INDEX(Cost_Components!$N$2:$N$27,MATCH(E424,Cost_Components!$A$2:$A$27,0)),"")</f>
        <v>95</v>
      </c>
      <c r="AE424" s="14" t="str">
        <f>IFERROR(INDEX(Cost_Components!$O$2:$O$27,MATCH(E424,Cost_Components!$A$2:$A$27,0)),"")</f>
        <v>Both</v>
      </c>
      <c r="AF424" s="11">
        <v>6157112.3216295997</v>
      </c>
      <c r="AG424" s="11">
        <v>6137732.8378397403</v>
      </c>
      <c r="AH424" s="21">
        <f t="shared" si="69"/>
        <v>1</v>
      </c>
    </row>
    <row r="425" spans="1:34" hidden="1">
      <c r="A425" t="s">
        <v>202</v>
      </c>
      <c r="B425" s="18">
        <v>2032</v>
      </c>
      <c r="C425" t="s">
        <v>202</v>
      </c>
      <c r="D425" t="s">
        <v>177</v>
      </c>
      <c r="E425" s="20" t="s">
        <v>297</v>
      </c>
      <c r="F425" s="20" t="s">
        <v>298</v>
      </c>
      <c r="G425" s="20" t="s">
        <v>203</v>
      </c>
      <c r="H425" s="20" t="s">
        <v>192</v>
      </c>
      <c r="I425" s="20" t="s">
        <v>264</v>
      </c>
      <c r="J425" s="15">
        <f>IFERROR(INDEX(Cost_Components!$K$2:$K$27,MATCH(E425,Cost_Components!$A$2:$A$27,0)),"")</f>
        <v>1</v>
      </c>
      <c r="K425" s="15">
        <f t="shared" si="60"/>
        <v>0.46076923076923082</v>
      </c>
      <c r="L425" s="15">
        <f>IFERROR(INDEX(Cost_Components!$S$2:$S$27,MATCH(E425,Cost_Components!$A$2:$A$27,0)),"")</f>
        <v>0.31</v>
      </c>
      <c r="M425" s="26">
        <f>IFERROR(INDEX(Cost_Components!$L$2:$L$27,MATCH(E425,Cost_Components!$A$2:$A$27,0)),"")</f>
        <v>1</v>
      </c>
      <c r="N425" s="27">
        <f>IFERROR(INDEX(Cost_Components!$P$2:$P$27,MATCH(E425,Cost_Components!$A$2:$A$27,0)),"")</f>
        <v>36.463997999999997</v>
      </c>
      <c r="O425" s="21">
        <f t="shared" si="61"/>
        <v>6280224.8209683299</v>
      </c>
      <c r="P425" s="21">
        <f t="shared" si="62"/>
        <v>6255488.0433799597</v>
      </c>
      <c r="Q425" s="21">
        <f t="shared" si="63"/>
        <v>70711032.085877523</v>
      </c>
      <c r="R425" s="21">
        <f t="shared" si="64"/>
        <v>105517123.90884028</v>
      </c>
      <c r="S425" s="21">
        <f t="shared" si="65"/>
        <v>34806091.822962761</v>
      </c>
      <c r="T425" s="14">
        <f>IFERROR(INDEX(Cost_Components!$R$2:$R$27,MATCH(E425,Cost_Components!$A$2:$A$27,0)),"")</f>
        <v>1</v>
      </c>
      <c r="U425" s="24">
        <f>IFERROR(INDEX(Cost_Components!$Q$2:$Q$27,MATCH(E425,Cost_Components!$A$2:$A$27,0)),"")</f>
        <v>2023</v>
      </c>
      <c r="V425" s="28">
        <f>1/(1+Calculation_Assumptions!$B$5)^(B425-Calculation_Assumptions!$B$2)</f>
        <v>0.81309151134335378</v>
      </c>
      <c r="W425" s="21">
        <f t="shared" si="66"/>
        <v>57494539.94735454</v>
      </c>
      <c r="X425" s="21">
        <f t="shared" si="67"/>
        <v>85795077.751642883</v>
      </c>
      <c r="Y425" s="21">
        <f t="shared" si="68"/>
        <v>28300537.804288339</v>
      </c>
      <c r="Z425" s="15">
        <f>IFERROR(INDEX(Cost_Components!$T$2:$T$27,MATCH(E425,Cost_Components!$A$2:$A$27,0)),"")</f>
        <v>0.8</v>
      </c>
      <c r="AA425" s="24">
        <f>IFERROR(INDEX(Cost_Components!$U$2:$U$27,MATCH(E425,Cost_Components!$A$2:$A$27,0)),"")</f>
        <v>2025</v>
      </c>
      <c r="AB425" s="24">
        <f>IFERROR(INDEX(Cost_Components!$V$2:$V$27,MATCH(E425,Cost_Components!$A$2:$A$27,0)),"")</f>
        <v>2050</v>
      </c>
      <c r="AC425" s="24">
        <f>IFERROR(INDEX(Cost_Components!$M$2:$M$27,MATCH(E425,Cost_Components!$A$2:$A$27,0)),"")</f>
        <v>0</v>
      </c>
      <c r="AD425" s="24">
        <f>IFERROR(INDEX(Cost_Components!$N$2:$N$27,MATCH(E425,Cost_Components!$A$2:$A$27,0)),"")</f>
        <v>95</v>
      </c>
      <c r="AE425" s="14" t="str">
        <f>IFERROR(INDEX(Cost_Components!$O$2:$O$27,MATCH(E425,Cost_Components!$A$2:$A$27,0)),"")</f>
        <v>Both</v>
      </c>
      <c r="AF425" s="11">
        <v>6280224.8209683299</v>
      </c>
      <c r="AG425" s="11">
        <v>6255488.0433799597</v>
      </c>
      <c r="AH425" s="21">
        <f t="shared" si="69"/>
        <v>1</v>
      </c>
    </row>
    <row r="426" spans="1:34" hidden="1">
      <c r="A426" t="s">
        <v>202</v>
      </c>
      <c r="B426" s="18">
        <v>2033</v>
      </c>
      <c r="C426" t="s">
        <v>202</v>
      </c>
      <c r="D426" t="s">
        <v>177</v>
      </c>
      <c r="E426" s="20" t="s">
        <v>297</v>
      </c>
      <c r="F426" s="20" t="s">
        <v>298</v>
      </c>
      <c r="G426" s="20" t="s">
        <v>203</v>
      </c>
      <c r="H426" s="20" t="s">
        <v>192</v>
      </c>
      <c r="I426" s="20" t="s">
        <v>264</v>
      </c>
      <c r="J426" s="15">
        <f>IFERROR(INDEX(Cost_Components!$K$2:$K$27,MATCH(E426,Cost_Components!$A$2:$A$27,0)),"")</f>
        <v>1</v>
      </c>
      <c r="K426" s="15">
        <f t="shared" si="60"/>
        <v>0.47961538461538467</v>
      </c>
      <c r="L426" s="15">
        <f>IFERROR(INDEX(Cost_Components!$S$2:$S$27,MATCH(E426,Cost_Components!$A$2:$A$27,0)),"")</f>
        <v>0.31</v>
      </c>
      <c r="M426" s="26">
        <f>IFERROR(INDEX(Cost_Components!$L$2:$L$27,MATCH(E426,Cost_Components!$A$2:$A$27,0)),"")</f>
        <v>1</v>
      </c>
      <c r="N426" s="27">
        <f>IFERROR(INDEX(Cost_Components!$P$2:$P$27,MATCH(E426,Cost_Components!$A$2:$A$27,0)),"")</f>
        <v>36.463997999999997</v>
      </c>
      <c r="O426" s="21">
        <f t="shared" si="61"/>
        <v>6401743.88028483</v>
      </c>
      <c r="P426" s="21">
        <f t="shared" si="62"/>
        <v>6371060.8472563596</v>
      </c>
      <c r="Q426" s="21">
        <f t="shared" si="63"/>
        <v>72017448.497592598</v>
      </c>
      <c r="R426" s="21">
        <f t="shared" si="64"/>
        <v>111958142.51187739</v>
      </c>
      <c r="S426" s="21">
        <f t="shared" si="65"/>
        <v>39940694.01428479</v>
      </c>
      <c r="T426" s="14">
        <f>IFERROR(INDEX(Cost_Components!$R$2:$R$27,MATCH(E426,Cost_Components!$A$2:$A$27,0)),"")</f>
        <v>1</v>
      </c>
      <c r="U426" s="24">
        <f>IFERROR(INDEX(Cost_Components!$Q$2:$Q$27,MATCH(E426,Cost_Components!$A$2:$A$27,0)),"")</f>
        <v>2023</v>
      </c>
      <c r="V426" s="28">
        <f>1/(1+Calculation_Assumptions!$B$5)^(B426-Calculation_Assumptions!$B$2)</f>
        <v>0.78940923431393573</v>
      </c>
      <c r="W426" s="21">
        <f t="shared" si="66"/>
        <v>56851238.875727877</v>
      </c>
      <c r="X426" s="21">
        <f t="shared" si="67"/>
        <v>88380791.555511624</v>
      </c>
      <c r="Y426" s="21">
        <f t="shared" si="68"/>
        <v>31529552.67978375</v>
      </c>
      <c r="Z426" s="15">
        <f>IFERROR(INDEX(Cost_Components!$T$2:$T$27,MATCH(E426,Cost_Components!$A$2:$A$27,0)),"")</f>
        <v>0.8</v>
      </c>
      <c r="AA426" s="24">
        <f>IFERROR(INDEX(Cost_Components!$U$2:$U$27,MATCH(E426,Cost_Components!$A$2:$A$27,0)),"")</f>
        <v>2025</v>
      </c>
      <c r="AB426" s="24">
        <f>IFERROR(INDEX(Cost_Components!$V$2:$V$27,MATCH(E426,Cost_Components!$A$2:$A$27,0)),"")</f>
        <v>2050</v>
      </c>
      <c r="AC426" s="24">
        <f>IFERROR(INDEX(Cost_Components!$M$2:$M$27,MATCH(E426,Cost_Components!$A$2:$A$27,0)),"")</f>
        <v>0</v>
      </c>
      <c r="AD426" s="24">
        <f>IFERROR(INDEX(Cost_Components!$N$2:$N$27,MATCH(E426,Cost_Components!$A$2:$A$27,0)),"")</f>
        <v>95</v>
      </c>
      <c r="AE426" s="14" t="str">
        <f>IFERROR(INDEX(Cost_Components!$O$2:$O$27,MATCH(E426,Cost_Components!$A$2:$A$27,0)),"")</f>
        <v>Both</v>
      </c>
      <c r="AF426" s="11">
        <v>6401743.88028483</v>
      </c>
      <c r="AG426" s="11">
        <v>6371060.8472563596</v>
      </c>
      <c r="AH426" s="21">
        <f t="shared" si="69"/>
        <v>1</v>
      </c>
    </row>
    <row r="427" spans="1:34" hidden="1">
      <c r="A427" t="s">
        <v>202</v>
      </c>
      <c r="B427" s="18">
        <v>2034</v>
      </c>
      <c r="C427" t="s">
        <v>202</v>
      </c>
      <c r="D427" t="s">
        <v>177</v>
      </c>
      <c r="E427" s="20" t="s">
        <v>297</v>
      </c>
      <c r="F427" s="20" t="s">
        <v>298</v>
      </c>
      <c r="G427" s="20" t="s">
        <v>203</v>
      </c>
      <c r="H427" s="20" t="s">
        <v>192</v>
      </c>
      <c r="I427" s="20" t="s">
        <v>264</v>
      </c>
      <c r="J427" s="15">
        <f>IFERROR(INDEX(Cost_Components!$K$2:$K$27,MATCH(E427,Cost_Components!$A$2:$A$27,0)),"")</f>
        <v>1</v>
      </c>
      <c r="K427" s="15">
        <f t="shared" si="60"/>
        <v>0.49846153846153851</v>
      </c>
      <c r="L427" s="15">
        <f>IFERROR(INDEX(Cost_Components!$S$2:$S$27,MATCH(E427,Cost_Components!$A$2:$A$27,0)),"")</f>
        <v>0.31</v>
      </c>
      <c r="M427" s="26">
        <f>IFERROR(INDEX(Cost_Components!$L$2:$L$27,MATCH(E427,Cost_Components!$A$2:$A$27,0)),"")</f>
        <v>1</v>
      </c>
      <c r="N427" s="27">
        <f>IFERROR(INDEX(Cost_Components!$P$2:$P$27,MATCH(E427,Cost_Components!$A$2:$A$27,0)),"")</f>
        <v>36.463997999999997</v>
      </c>
      <c r="O427" s="21">
        <f t="shared" si="61"/>
        <v>6521364.8259375496</v>
      </c>
      <c r="P427" s="21">
        <f t="shared" si="62"/>
        <v>6484171.91355599</v>
      </c>
      <c r="Q427" s="21">
        <f t="shared" si="63"/>
        <v>73296037.823144153</v>
      </c>
      <c r="R427" s="21">
        <f t="shared" si="64"/>
        <v>118531678.47132818</v>
      </c>
      <c r="S427" s="21">
        <f t="shared" si="65"/>
        <v>45235640.648184031</v>
      </c>
      <c r="T427" s="14">
        <f>IFERROR(INDEX(Cost_Components!$R$2:$R$27,MATCH(E427,Cost_Components!$A$2:$A$27,0)),"")</f>
        <v>1</v>
      </c>
      <c r="U427" s="24">
        <f>IFERROR(INDEX(Cost_Components!$Q$2:$Q$27,MATCH(E427,Cost_Components!$A$2:$A$27,0)),"")</f>
        <v>2023</v>
      </c>
      <c r="V427" s="28">
        <f>1/(1+Calculation_Assumptions!$B$5)^(B427-Calculation_Assumptions!$B$2)</f>
        <v>0.76641673234362695</v>
      </c>
      <c r="W427" s="21">
        <f t="shared" si="66"/>
        <v>56175309.802149028</v>
      </c>
      <c r="X427" s="21">
        <f t="shared" si="67"/>
        <v>90844661.693200782</v>
      </c>
      <c r="Y427" s="21">
        <f t="shared" si="68"/>
        <v>34669351.891051754</v>
      </c>
      <c r="Z427" s="15">
        <f>IFERROR(INDEX(Cost_Components!$T$2:$T$27,MATCH(E427,Cost_Components!$A$2:$A$27,0)),"")</f>
        <v>0.8</v>
      </c>
      <c r="AA427" s="24">
        <f>IFERROR(INDEX(Cost_Components!$U$2:$U$27,MATCH(E427,Cost_Components!$A$2:$A$27,0)),"")</f>
        <v>2025</v>
      </c>
      <c r="AB427" s="24">
        <f>IFERROR(INDEX(Cost_Components!$V$2:$V$27,MATCH(E427,Cost_Components!$A$2:$A$27,0)),"")</f>
        <v>2050</v>
      </c>
      <c r="AC427" s="24">
        <f>IFERROR(INDEX(Cost_Components!$M$2:$M$27,MATCH(E427,Cost_Components!$A$2:$A$27,0)),"")</f>
        <v>0</v>
      </c>
      <c r="AD427" s="24">
        <f>IFERROR(INDEX(Cost_Components!$N$2:$N$27,MATCH(E427,Cost_Components!$A$2:$A$27,0)),"")</f>
        <v>95</v>
      </c>
      <c r="AE427" s="14" t="str">
        <f>IFERROR(INDEX(Cost_Components!$O$2:$O$27,MATCH(E427,Cost_Components!$A$2:$A$27,0)),"")</f>
        <v>Both</v>
      </c>
      <c r="AF427" s="11">
        <v>6521364.8259375496</v>
      </c>
      <c r="AG427" s="11">
        <v>6484171.91355599</v>
      </c>
      <c r="AH427" s="21">
        <f t="shared" si="69"/>
        <v>1</v>
      </c>
    </row>
    <row r="428" spans="1:34" hidden="1">
      <c r="A428" t="s">
        <v>202</v>
      </c>
      <c r="B428" s="18">
        <v>2035</v>
      </c>
      <c r="C428" t="s">
        <v>202</v>
      </c>
      <c r="D428" t="s">
        <v>177</v>
      </c>
      <c r="E428" s="20" t="s">
        <v>297</v>
      </c>
      <c r="F428" s="20" t="s">
        <v>298</v>
      </c>
      <c r="G428" s="20" t="s">
        <v>203</v>
      </c>
      <c r="H428" s="20" t="s">
        <v>192</v>
      </c>
      <c r="I428" s="20" t="s">
        <v>264</v>
      </c>
      <c r="J428" s="15">
        <f>IFERROR(INDEX(Cost_Components!$K$2:$K$27,MATCH(E428,Cost_Components!$A$2:$A$27,0)),"")</f>
        <v>1</v>
      </c>
      <c r="K428" s="15">
        <f t="shared" si="60"/>
        <v>0.51730769230769236</v>
      </c>
      <c r="L428" s="15">
        <f>IFERROR(INDEX(Cost_Components!$S$2:$S$27,MATCH(E428,Cost_Components!$A$2:$A$27,0)),"")</f>
        <v>0.31</v>
      </c>
      <c r="M428" s="26">
        <f>IFERROR(INDEX(Cost_Components!$L$2:$L$27,MATCH(E428,Cost_Components!$A$2:$A$27,0)),"")</f>
        <v>1</v>
      </c>
      <c r="N428" s="27">
        <f>IFERROR(INDEX(Cost_Components!$P$2:$P$27,MATCH(E428,Cost_Components!$A$2:$A$27,0)),"")</f>
        <v>36.463997999999997</v>
      </c>
      <c r="O428" s="21">
        <f t="shared" si="61"/>
        <v>6638797.4934170004</v>
      </c>
      <c r="P428" s="21">
        <f t="shared" si="62"/>
        <v>6594554.7330099801</v>
      </c>
      <c r="Q428" s="21">
        <f t="shared" si="63"/>
        <v>74543787.484563589</v>
      </c>
      <c r="R428" s="21">
        <f t="shared" si="64"/>
        <v>125228345.19714522</v>
      </c>
      <c r="S428" s="21">
        <f t="shared" si="65"/>
        <v>50684557.712581635</v>
      </c>
      <c r="T428" s="14">
        <f>IFERROR(INDEX(Cost_Components!$R$2:$R$27,MATCH(E428,Cost_Components!$A$2:$A$27,0)),"")</f>
        <v>1</v>
      </c>
      <c r="U428" s="24">
        <f>IFERROR(INDEX(Cost_Components!$Q$2:$Q$27,MATCH(E428,Cost_Components!$A$2:$A$27,0)),"")</f>
        <v>2023</v>
      </c>
      <c r="V428" s="28">
        <f>1/(1+Calculation_Assumptions!$B$5)^(B428-Calculation_Assumptions!$B$2)</f>
        <v>0.74409391489672516</v>
      </c>
      <c r="W428" s="21">
        <f t="shared" si="66"/>
        <v>55467578.660618424</v>
      </c>
      <c r="X428" s="21">
        <f t="shared" si="67"/>
        <v>93181649.633782297</v>
      </c>
      <c r="Y428" s="21">
        <f t="shared" si="68"/>
        <v>37714070.973163873</v>
      </c>
      <c r="Z428" s="15">
        <f>IFERROR(INDEX(Cost_Components!$T$2:$T$27,MATCH(E428,Cost_Components!$A$2:$A$27,0)),"")</f>
        <v>0.8</v>
      </c>
      <c r="AA428" s="24">
        <f>IFERROR(INDEX(Cost_Components!$U$2:$U$27,MATCH(E428,Cost_Components!$A$2:$A$27,0)),"")</f>
        <v>2025</v>
      </c>
      <c r="AB428" s="24">
        <f>IFERROR(INDEX(Cost_Components!$V$2:$V$27,MATCH(E428,Cost_Components!$A$2:$A$27,0)),"")</f>
        <v>2050</v>
      </c>
      <c r="AC428" s="24">
        <f>IFERROR(INDEX(Cost_Components!$M$2:$M$27,MATCH(E428,Cost_Components!$A$2:$A$27,0)),"")</f>
        <v>0</v>
      </c>
      <c r="AD428" s="24">
        <f>IFERROR(INDEX(Cost_Components!$N$2:$N$27,MATCH(E428,Cost_Components!$A$2:$A$27,0)),"")</f>
        <v>95</v>
      </c>
      <c r="AE428" s="14" t="str">
        <f>IFERROR(INDEX(Cost_Components!$O$2:$O$27,MATCH(E428,Cost_Components!$A$2:$A$27,0)),"")</f>
        <v>Both</v>
      </c>
      <c r="AF428" s="11">
        <v>6638797.4934170004</v>
      </c>
      <c r="AG428" s="11">
        <v>6594554.7330099801</v>
      </c>
      <c r="AH428" s="21">
        <f t="shared" si="69"/>
        <v>1</v>
      </c>
    </row>
    <row r="429" spans="1:34" hidden="1">
      <c r="A429" t="s">
        <v>202</v>
      </c>
      <c r="B429" s="18">
        <v>2036</v>
      </c>
      <c r="C429" t="s">
        <v>202</v>
      </c>
      <c r="D429" t="s">
        <v>177</v>
      </c>
      <c r="E429" s="20" t="s">
        <v>297</v>
      </c>
      <c r="F429" s="20" t="s">
        <v>298</v>
      </c>
      <c r="G429" s="20" t="s">
        <v>203</v>
      </c>
      <c r="H429" s="20" t="s">
        <v>192</v>
      </c>
      <c r="I429" s="20" t="s">
        <v>264</v>
      </c>
      <c r="J429" s="15">
        <f>IFERROR(INDEX(Cost_Components!$K$2:$K$27,MATCH(E429,Cost_Components!$A$2:$A$27,0)),"")</f>
        <v>1</v>
      </c>
      <c r="K429" s="15">
        <f t="shared" si="60"/>
        <v>0.5361538461538462</v>
      </c>
      <c r="L429" s="15">
        <f>IFERROR(INDEX(Cost_Components!$S$2:$S$27,MATCH(E429,Cost_Components!$A$2:$A$27,0)),"")</f>
        <v>0.31</v>
      </c>
      <c r="M429" s="26">
        <f>IFERROR(INDEX(Cost_Components!$L$2:$L$27,MATCH(E429,Cost_Components!$A$2:$A$27,0)),"")</f>
        <v>1</v>
      </c>
      <c r="N429" s="27">
        <f>IFERROR(INDEX(Cost_Components!$P$2:$P$27,MATCH(E429,Cost_Components!$A$2:$A$27,0)),"")</f>
        <v>36.463997999999997</v>
      </c>
      <c r="O429" s="21">
        <f t="shared" si="61"/>
        <v>6753809.8266054299</v>
      </c>
      <c r="P429" s="21">
        <f t="shared" si="62"/>
        <v>6702001.5718828104</v>
      </c>
      <c r="Q429" s="21">
        <f t="shared" si="63"/>
        <v>75758349.293070808</v>
      </c>
      <c r="R429" s="21">
        <f t="shared" si="64"/>
        <v>132039094.52521181</v>
      </c>
      <c r="S429" s="21">
        <f t="shared" si="65"/>
        <v>56280745.232141003</v>
      </c>
      <c r="T429" s="14">
        <f>IFERROR(INDEX(Cost_Components!$R$2:$R$27,MATCH(E429,Cost_Components!$A$2:$A$27,0)),"")</f>
        <v>1</v>
      </c>
      <c r="U429" s="24">
        <f>IFERROR(INDEX(Cost_Components!$Q$2:$Q$27,MATCH(E429,Cost_Components!$A$2:$A$27,0)),"")</f>
        <v>2023</v>
      </c>
      <c r="V429" s="28">
        <f>1/(1+Calculation_Assumptions!$B$5)^(B429-Calculation_Assumptions!$B$2)</f>
        <v>0.72242127659876232</v>
      </c>
      <c r="W429" s="21">
        <f t="shared" si="66"/>
        <v>54729443.409315154</v>
      </c>
      <c r="X429" s="21">
        <f t="shared" si="67"/>
        <v>95387851.227848172</v>
      </c>
      <c r="Y429" s="21">
        <f t="shared" si="68"/>
        <v>40658407.818533011</v>
      </c>
      <c r="Z429" s="15">
        <f>IFERROR(INDEX(Cost_Components!$T$2:$T$27,MATCH(E429,Cost_Components!$A$2:$A$27,0)),"")</f>
        <v>0.8</v>
      </c>
      <c r="AA429" s="24">
        <f>IFERROR(INDEX(Cost_Components!$U$2:$U$27,MATCH(E429,Cost_Components!$A$2:$A$27,0)),"")</f>
        <v>2025</v>
      </c>
      <c r="AB429" s="24">
        <f>IFERROR(INDEX(Cost_Components!$V$2:$V$27,MATCH(E429,Cost_Components!$A$2:$A$27,0)),"")</f>
        <v>2050</v>
      </c>
      <c r="AC429" s="24">
        <f>IFERROR(INDEX(Cost_Components!$M$2:$M$27,MATCH(E429,Cost_Components!$A$2:$A$27,0)),"")</f>
        <v>0</v>
      </c>
      <c r="AD429" s="24">
        <f>IFERROR(INDEX(Cost_Components!$N$2:$N$27,MATCH(E429,Cost_Components!$A$2:$A$27,0)),"")</f>
        <v>95</v>
      </c>
      <c r="AE429" s="14" t="str">
        <f>IFERROR(INDEX(Cost_Components!$O$2:$O$27,MATCH(E429,Cost_Components!$A$2:$A$27,0)),"")</f>
        <v>Both</v>
      </c>
      <c r="AF429" s="11">
        <v>6753809.8266054299</v>
      </c>
      <c r="AG429" s="11">
        <v>6702001.5718828104</v>
      </c>
      <c r="AH429" s="21">
        <f t="shared" si="69"/>
        <v>1</v>
      </c>
    </row>
    <row r="430" spans="1:34" hidden="1">
      <c r="A430" t="s">
        <v>202</v>
      </c>
      <c r="B430" s="18">
        <v>2037</v>
      </c>
      <c r="C430" t="s">
        <v>202</v>
      </c>
      <c r="D430" t="s">
        <v>177</v>
      </c>
      <c r="E430" s="20" t="s">
        <v>297</v>
      </c>
      <c r="F430" s="20" t="s">
        <v>298</v>
      </c>
      <c r="G430" s="20" t="s">
        <v>203</v>
      </c>
      <c r="H430" s="20" t="s">
        <v>192</v>
      </c>
      <c r="I430" s="20" t="s">
        <v>264</v>
      </c>
      <c r="J430" s="15">
        <f>IFERROR(INDEX(Cost_Components!$K$2:$K$27,MATCH(E430,Cost_Components!$A$2:$A$27,0)),"")</f>
        <v>1</v>
      </c>
      <c r="K430" s="15">
        <f t="shared" si="60"/>
        <v>0.55500000000000005</v>
      </c>
      <c r="L430" s="15">
        <f>IFERROR(INDEX(Cost_Components!$S$2:$S$27,MATCH(E430,Cost_Components!$A$2:$A$27,0)),"")</f>
        <v>0.31</v>
      </c>
      <c r="M430" s="26">
        <f>IFERROR(INDEX(Cost_Components!$L$2:$L$27,MATCH(E430,Cost_Components!$A$2:$A$27,0)),"")</f>
        <v>1</v>
      </c>
      <c r="N430" s="27">
        <f>IFERROR(INDEX(Cost_Components!$P$2:$P$27,MATCH(E430,Cost_Components!$A$2:$A$27,0)),"")</f>
        <v>36.463997999999997</v>
      </c>
      <c r="O430" s="21">
        <f t="shared" si="61"/>
        <v>6866232.2333544698</v>
      </c>
      <c r="P430" s="21">
        <f t="shared" si="62"/>
        <v>6806367.1973426901</v>
      </c>
      <c r="Q430" s="21">
        <f t="shared" si="63"/>
        <v>76938081.560062528</v>
      </c>
      <c r="R430" s="21">
        <f t="shared" si="64"/>
        <v>138955504.52563795</v>
      </c>
      <c r="S430" s="21">
        <f t="shared" si="65"/>
        <v>62017422.965575427</v>
      </c>
      <c r="T430" s="14">
        <f>IFERROR(INDEX(Cost_Components!$R$2:$R$27,MATCH(E430,Cost_Components!$A$2:$A$27,0)),"")</f>
        <v>1</v>
      </c>
      <c r="U430" s="24">
        <f>IFERROR(INDEX(Cost_Components!$Q$2:$Q$27,MATCH(E430,Cost_Components!$A$2:$A$27,0)),"")</f>
        <v>2023</v>
      </c>
      <c r="V430" s="28">
        <f>1/(1+Calculation_Assumptions!$B$5)^(B430-Calculation_Assumptions!$B$2)</f>
        <v>0.70137988019297326</v>
      </c>
      <c r="W430" s="21">
        <f t="shared" si="66"/>
        <v>53962822.426873863</v>
      </c>
      <c r="X430" s="21">
        <f t="shared" si="67"/>
        <v>97460595.116346106</v>
      </c>
      <c r="Y430" s="21">
        <f t="shared" si="68"/>
        <v>43497772.689472243</v>
      </c>
      <c r="Z430" s="15">
        <f>IFERROR(INDEX(Cost_Components!$T$2:$T$27,MATCH(E430,Cost_Components!$A$2:$A$27,0)),"")</f>
        <v>0.8</v>
      </c>
      <c r="AA430" s="24">
        <f>IFERROR(INDEX(Cost_Components!$U$2:$U$27,MATCH(E430,Cost_Components!$A$2:$A$27,0)),"")</f>
        <v>2025</v>
      </c>
      <c r="AB430" s="24">
        <f>IFERROR(INDEX(Cost_Components!$V$2:$V$27,MATCH(E430,Cost_Components!$A$2:$A$27,0)),"")</f>
        <v>2050</v>
      </c>
      <c r="AC430" s="24">
        <f>IFERROR(INDEX(Cost_Components!$M$2:$M$27,MATCH(E430,Cost_Components!$A$2:$A$27,0)),"")</f>
        <v>0</v>
      </c>
      <c r="AD430" s="24">
        <f>IFERROR(INDEX(Cost_Components!$N$2:$N$27,MATCH(E430,Cost_Components!$A$2:$A$27,0)),"")</f>
        <v>95</v>
      </c>
      <c r="AE430" s="14" t="str">
        <f>IFERROR(INDEX(Cost_Components!$O$2:$O$27,MATCH(E430,Cost_Components!$A$2:$A$27,0)),"")</f>
        <v>Both</v>
      </c>
      <c r="AF430" s="11">
        <v>6866232.2333544698</v>
      </c>
      <c r="AG430" s="11">
        <v>6806367.1973426901</v>
      </c>
      <c r="AH430" s="21">
        <f t="shared" si="69"/>
        <v>1</v>
      </c>
    </row>
    <row r="431" spans="1:34" hidden="1">
      <c r="A431" t="s">
        <v>202</v>
      </c>
      <c r="B431" s="18">
        <v>2038</v>
      </c>
      <c r="C431" t="s">
        <v>202</v>
      </c>
      <c r="D431" t="s">
        <v>177</v>
      </c>
      <c r="E431" s="20" t="s">
        <v>297</v>
      </c>
      <c r="F431" s="20" t="s">
        <v>298</v>
      </c>
      <c r="G431" s="20" t="s">
        <v>203</v>
      </c>
      <c r="H431" s="20" t="s">
        <v>192</v>
      </c>
      <c r="I431" s="20" t="s">
        <v>264</v>
      </c>
      <c r="J431" s="15">
        <f>IFERROR(INDEX(Cost_Components!$K$2:$K$27,MATCH(E431,Cost_Components!$A$2:$A$27,0)),"")</f>
        <v>1</v>
      </c>
      <c r="K431" s="15">
        <f t="shared" si="60"/>
        <v>0.57384615384615389</v>
      </c>
      <c r="L431" s="15">
        <f>IFERROR(INDEX(Cost_Components!$S$2:$S$27,MATCH(E431,Cost_Components!$A$2:$A$27,0)),"")</f>
        <v>0.31</v>
      </c>
      <c r="M431" s="26">
        <f>IFERROR(INDEX(Cost_Components!$L$2:$L$27,MATCH(E431,Cost_Components!$A$2:$A$27,0)),"")</f>
        <v>1</v>
      </c>
      <c r="N431" s="27">
        <f>IFERROR(INDEX(Cost_Components!$P$2:$P$27,MATCH(E431,Cost_Components!$A$2:$A$27,0)),"")</f>
        <v>36.463997999999997</v>
      </c>
      <c r="O431" s="21">
        <f t="shared" si="61"/>
        <v>6975922.51850513</v>
      </c>
      <c r="P431" s="21">
        <f t="shared" si="62"/>
        <v>6907534.3884944804</v>
      </c>
      <c r="Q431" s="21">
        <f t="shared" si="63"/>
        <v>78081659.239368126</v>
      </c>
      <c r="R431" s="21">
        <f t="shared" si="64"/>
        <v>145969260.363956</v>
      </c>
      <c r="S431" s="21">
        <f t="shared" si="65"/>
        <v>67887601.124587879</v>
      </c>
      <c r="T431" s="14">
        <f>IFERROR(INDEX(Cost_Components!$R$2:$R$27,MATCH(E431,Cost_Components!$A$2:$A$27,0)),"")</f>
        <v>1</v>
      </c>
      <c r="U431" s="24">
        <f>IFERROR(INDEX(Cost_Components!$Q$2:$Q$27,MATCH(E431,Cost_Components!$A$2:$A$27,0)),"")</f>
        <v>2023</v>
      </c>
      <c r="V431" s="28">
        <f>1/(1+Calculation_Assumptions!$B$5)^(B431-Calculation_Assumptions!$B$2)</f>
        <v>0.68095133999317792</v>
      </c>
      <c r="W431" s="21">
        <f t="shared" si="66"/>
        <v>53169810.487938426</v>
      </c>
      <c r="X431" s="21">
        <f t="shared" si="67"/>
        <v>99397963.442648917</v>
      </c>
      <c r="Y431" s="21">
        <f t="shared" si="68"/>
        <v>46228152.954710491</v>
      </c>
      <c r="Z431" s="15">
        <f>IFERROR(INDEX(Cost_Components!$T$2:$T$27,MATCH(E431,Cost_Components!$A$2:$A$27,0)),"")</f>
        <v>0.8</v>
      </c>
      <c r="AA431" s="24">
        <f>IFERROR(INDEX(Cost_Components!$U$2:$U$27,MATCH(E431,Cost_Components!$A$2:$A$27,0)),"")</f>
        <v>2025</v>
      </c>
      <c r="AB431" s="24">
        <f>IFERROR(INDEX(Cost_Components!$V$2:$V$27,MATCH(E431,Cost_Components!$A$2:$A$27,0)),"")</f>
        <v>2050</v>
      </c>
      <c r="AC431" s="24">
        <f>IFERROR(INDEX(Cost_Components!$M$2:$M$27,MATCH(E431,Cost_Components!$A$2:$A$27,0)),"")</f>
        <v>0</v>
      </c>
      <c r="AD431" s="24">
        <f>IFERROR(INDEX(Cost_Components!$N$2:$N$27,MATCH(E431,Cost_Components!$A$2:$A$27,0)),"")</f>
        <v>95</v>
      </c>
      <c r="AE431" s="14" t="str">
        <f>IFERROR(INDEX(Cost_Components!$O$2:$O$27,MATCH(E431,Cost_Components!$A$2:$A$27,0)),"")</f>
        <v>Both</v>
      </c>
      <c r="AF431" s="11">
        <v>6975922.51850513</v>
      </c>
      <c r="AG431" s="11">
        <v>6907534.3884944804</v>
      </c>
      <c r="AH431" s="21">
        <f t="shared" si="69"/>
        <v>1</v>
      </c>
    </row>
    <row r="432" spans="1:34" hidden="1">
      <c r="A432" t="s">
        <v>202</v>
      </c>
      <c r="B432" s="18">
        <v>2039</v>
      </c>
      <c r="C432" t="s">
        <v>202</v>
      </c>
      <c r="D432" t="s">
        <v>177</v>
      </c>
      <c r="E432" s="20" t="s">
        <v>297</v>
      </c>
      <c r="F432" s="20" t="s">
        <v>298</v>
      </c>
      <c r="G432" s="20" t="s">
        <v>203</v>
      </c>
      <c r="H432" s="20" t="s">
        <v>192</v>
      </c>
      <c r="I432" s="20" t="s">
        <v>264</v>
      </c>
      <c r="J432" s="15">
        <f>IFERROR(INDEX(Cost_Components!$K$2:$K$27,MATCH(E432,Cost_Components!$A$2:$A$27,0)),"")</f>
        <v>1</v>
      </c>
      <c r="K432" s="15">
        <f t="shared" si="60"/>
        <v>0.59269230769230763</v>
      </c>
      <c r="L432" s="15">
        <f>IFERROR(INDEX(Cost_Components!$S$2:$S$27,MATCH(E432,Cost_Components!$A$2:$A$27,0)),"")</f>
        <v>0.31</v>
      </c>
      <c r="M432" s="26">
        <f>IFERROR(INDEX(Cost_Components!$L$2:$L$27,MATCH(E432,Cost_Components!$A$2:$A$27,0)),"")</f>
        <v>1</v>
      </c>
      <c r="N432" s="27">
        <f>IFERROR(INDEX(Cost_Components!$P$2:$P$27,MATCH(E432,Cost_Components!$A$2:$A$27,0)),"")</f>
        <v>36.463997999999997</v>
      </c>
      <c r="O432" s="21">
        <f t="shared" si="61"/>
        <v>7082823.0573254004</v>
      </c>
      <c r="P432" s="21">
        <f t="shared" si="62"/>
        <v>7005471.2740789996</v>
      </c>
      <c r="Q432" s="21">
        <f t="shared" si="63"/>
        <v>79188722.063392952</v>
      </c>
      <c r="R432" s="21">
        <f t="shared" si="64"/>
        <v>153073484.06640932</v>
      </c>
      <c r="S432" s="21">
        <f t="shared" si="65"/>
        <v>73884762.003016368</v>
      </c>
      <c r="T432" s="14">
        <f>IFERROR(INDEX(Cost_Components!$R$2:$R$27,MATCH(E432,Cost_Components!$A$2:$A$27,0)),"")</f>
        <v>1</v>
      </c>
      <c r="U432" s="24">
        <f>IFERROR(INDEX(Cost_Components!$Q$2:$Q$27,MATCH(E432,Cost_Components!$A$2:$A$27,0)),"")</f>
        <v>2023</v>
      </c>
      <c r="V432" s="28">
        <f>1/(1+Calculation_Assumptions!$B$5)^(B432-Calculation_Assumptions!$B$2)</f>
        <v>0.66111780581861923</v>
      </c>
      <c r="W432" s="21">
        <f t="shared" si="66"/>
        <v>52353074.176130831</v>
      </c>
      <c r="X432" s="21">
        <f t="shared" si="67"/>
        <v>101199605.91499591</v>
      </c>
      <c r="Y432" s="21">
        <f t="shared" si="68"/>
        <v>48846531.73886507</v>
      </c>
      <c r="Z432" s="15">
        <f>IFERROR(INDEX(Cost_Components!$T$2:$T$27,MATCH(E432,Cost_Components!$A$2:$A$27,0)),"")</f>
        <v>0.8</v>
      </c>
      <c r="AA432" s="24">
        <f>IFERROR(INDEX(Cost_Components!$U$2:$U$27,MATCH(E432,Cost_Components!$A$2:$A$27,0)),"")</f>
        <v>2025</v>
      </c>
      <c r="AB432" s="24">
        <f>IFERROR(INDEX(Cost_Components!$V$2:$V$27,MATCH(E432,Cost_Components!$A$2:$A$27,0)),"")</f>
        <v>2050</v>
      </c>
      <c r="AC432" s="24">
        <f>IFERROR(INDEX(Cost_Components!$M$2:$M$27,MATCH(E432,Cost_Components!$A$2:$A$27,0)),"")</f>
        <v>0</v>
      </c>
      <c r="AD432" s="24">
        <f>IFERROR(INDEX(Cost_Components!$N$2:$N$27,MATCH(E432,Cost_Components!$A$2:$A$27,0)),"")</f>
        <v>95</v>
      </c>
      <c r="AE432" s="14" t="str">
        <f>IFERROR(INDEX(Cost_Components!$O$2:$O$27,MATCH(E432,Cost_Components!$A$2:$A$27,0)),"")</f>
        <v>Both</v>
      </c>
      <c r="AF432" s="11">
        <v>7082823.0573254004</v>
      </c>
      <c r="AG432" s="11">
        <v>7005471.2740789996</v>
      </c>
      <c r="AH432" s="21">
        <f t="shared" si="69"/>
        <v>1</v>
      </c>
    </row>
    <row r="433" spans="1:34" hidden="1">
      <c r="A433" t="s">
        <v>202</v>
      </c>
      <c r="B433" s="18">
        <v>2040</v>
      </c>
      <c r="C433" t="s">
        <v>202</v>
      </c>
      <c r="D433" t="s">
        <v>177</v>
      </c>
      <c r="E433" s="20" t="s">
        <v>297</v>
      </c>
      <c r="F433" s="20" t="s">
        <v>298</v>
      </c>
      <c r="G433" s="20" t="s">
        <v>203</v>
      </c>
      <c r="H433" s="20" t="s">
        <v>192</v>
      </c>
      <c r="I433" s="20" t="s">
        <v>264</v>
      </c>
      <c r="J433" s="15">
        <f>IFERROR(INDEX(Cost_Components!$K$2:$K$27,MATCH(E433,Cost_Components!$A$2:$A$27,0)),"")</f>
        <v>1</v>
      </c>
      <c r="K433" s="15">
        <f t="shared" si="60"/>
        <v>0.61153846153846159</v>
      </c>
      <c r="L433" s="15">
        <f>IFERROR(INDEX(Cost_Components!$S$2:$S$27,MATCH(E433,Cost_Components!$A$2:$A$27,0)),"")</f>
        <v>0.31</v>
      </c>
      <c r="M433" s="26">
        <f>IFERROR(INDEX(Cost_Components!$L$2:$L$27,MATCH(E433,Cost_Components!$A$2:$A$27,0)),"")</f>
        <v>1</v>
      </c>
      <c r="N433" s="27">
        <f>IFERROR(INDEX(Cost_Components!$P$2:$P$27,MATCH(E433,Cost_Components!$A$2:$A$27,0)),"")</f>
        <v>36.463997999999997</v>
      </c>
      <c r="O433" s="21">
        <f t="shared" si="61"/>
        <v>7186781.2630277704</v>
      </c>
      <c r="P433" s="21">
        <f t="shared" si="62"/>
        <v>7100053.1006421903</v>
      </c>
      <c r="Q433" s="21">
        <f t="shared" si="63"/>
        <v>80257859.839130297</v>
      </c>
      <c r="R433" s="21">
        <f t="shared" si="64"/>
        <v>160259021.68706018</v>
      </c>
      <c r="S433" s="21">
        <f t="shared" si="65"/>
        <v>80001161.84792988</v>
      </c>
      <c r="T433" s="14">
        <f>IFERROR(INDEX(Cost_Components!$R$2:$R$27,MATCH(E433,Cost_Components!$A$2:$A$27,0)),"")</f>
        <v>1</v>
      </c>
      <c r="U433" s="24">
        <f>IFERROR(INDEX(Cost_Components!$Q$2:$Q$27,MATCH(E433,Cost_Components!$A$2:$A$27,0)),"")</f>
        <v>2023</v>
      </c>
      <c r="V433" s="28">
        <f>1/(1+Calculation_Assumptions!$B$5)^(B433-Calculation_Assumptions!$B$2)</f>
        <v>0.64186194739671765</v>
      </c>
      <c r="W433" s="21">
        <f t="shared" si="66"/>
        <v>51514466.210236989</v>
      </c>
      <c r="X433" s="21">
        <f t="shared" si="67"/>
        <v>102864167.74794926</v>
      </c>
      <c r="Y433" s="21">
        <f t="shared" si="68"/>
        <v>51349701.537712261</v>
      </c>
      <c r="Z433" s="15">
        <f>IFERROR(INDEX(Cost_Components!$T$2:$T$27,MATCH(E433,Cost_Components!$A$2:$A$27,0)),"")</f>
        <v>0.8</v>
      </c>
      <c r="AA433" s="24">
        <f>IFERROR(INDEX(Cost_Components!$U$2:$U$27,MATCH(E433,Cost_Components!$A$2:$A$27,0)),"")</f>
        <v>2025</v>
      </c>
      <c r="AB433" s="24">
        <f>IFERROR(INDEX(Cost_Components!$V$2:$V$27,MATCH(E433,Cost_Components!$A$2:$A$27,0)),"")</f>
        <v>2050</v>
      </c>
      <c r="AC433" s="24">
        <f>IFERROR(INDEX(Cost_Components!$M$2:$M$27,MATCH(E433,Cost_Components!$A$2:$A$27,0)),"")</f>
        <v>0</v>
      </c>
      <c r="AD433" s="24">
        <f>IFERROR(INDEX(Cost_Components!$N$2:$N$27,MATCH(E433,Cost_Components!$A$2:$A$27,0)),"")</f>
        <v>95</v>
      </c>
      <c r="AE433" s="14" t="str">
        <f>IFERROR(INDEX(Cost_Components!$O$2:$O$27,MATCH(E433,Cost_Components!$A$2:$A$27,0)),"")</f>
        <v>Both</v>
      </c>
      <c r="AF433" s="11">
        <v>7186781.2630277704</v>
      </c>
      <c r="AG433" s="11">
        <v>7100053.1006421903</v>
      </c>
      <c r="AH433" s="21">
        <f t="shared" si="69"/>
        <v>1</v>
      </c>
    </row>
    <row r="434" spans="1:34" hidden="1">
      <c r="A434" t="s">
        <v>202</v>
      </c>
      <c r="B434" s="18">
        <v>2041</v>
      </c>
      <c r="C434" t="s">
        <v>202</v>
      </c>
      <c r="D434" t="s">
        <v>177</v>
      </c>
      <c r="E434" s="20" t="s">
        <v>297</v>
      </c>
      <c r="F434" s="20" t="s">
        <v>298</v>
      </c>
      <c r="G434" s="20" t="s">
        <v>203</v>
      </c>
      <c r="H434" s="20" t="s">
        <v>192</v>
      </c>
      <c r="I434" s="20" t="s">
        <v>264</v>
      </c>
      <c r="J434" s="15">
        <f>IFERROR(INDEX(Cost_Components!$K$2:$K$27,MATCH(E434,Cost_Components!$A$2:$A$27,0)),"")</f>
        <v>1</v>
      </c>
      <c r="K434" s="15">
        <f t="shared" si="60"/>
        <v>0.63038461538461543</v>
      </c>
      <c r="L434" s="15">
        <f>IFERROR(INDEX(Cost_Components!$S$2:$S$27,MATCH(E434,Cost_Components!$A$2:$A$27,0)),"")</f>
        <v>0.31</v>
      </c>
      <c r="M434" s="26">
        <f>IFERROR(INDEX(Cost_Components!$L$2:$L$27,MATCH(E434,Cost_Components!$A$2:$A$27,0)),"")</f>
        <v>1</v>
      </c>
      <c r="N434" s="27">
        <f>IFERROR(INDEX(Cost_Components!$P$2:$P$27,MATCH(E434,Cost_Components!$A$2:$A$27,0)),"")</f>
        <v>36.463997999999997</v>
      </c>
      <c r="O434" s="21">
        <f t="shared" si="61"/>
        <v>7287673.0214357898</v>
      </c>
      <c r="P434" s="21">
        <f t="shared" si="62"/>
        <v>7191184.7407554798</v>
      </c>
      <c r="Q434" s="21">
        <f t="shared" si="63"/>
        <v>81287997.261406884</v>
      </c>
      <c r="R434" s="21">
        <f t="shared" si="64"/>
        <v>167516954.32689038</v>
      </c>
      <c r="S434" s="21">
        <f t="shared" si="65"/>
        <v>86228957.065483496</v>
      </c>
      <c r="T434" s="14">
        <f>IFERROR(INDEX(Cost_Components!$R$2:$R$27,MATCH(E434,Cost_Components!$A$2:$A$27,0)),"")</f>
        <v>1</v>
      </c>
      <c r="U434" s="24">
        <f>IFERROR(INDEX(Cost_Components!$Q$2:$Q$27,MATCH(E434,Cost_Components!$A$2:$A$27,0)),"")</f>
        <v>2023</v>
      </c>
      <c r="V434" s="28">
        <f>1/(1+Calculation_Assumptions!$B$5)^(B434-Calculation_Assumptions!$B$2)</f>
        <v>0.62316693922011435</v>
      </c>
      <c r="W434" s="21">
        <f t="shared" si="66"/>
        <v>50655992.448723964</v>
      </c>
      <c r="X434" s="21">
        <f t="shared" si="67"/>
        <v>104391027.69536397</v>
      </c>
      <c r="Y434" s="21">
        <f t="shared" si="68"/>
        <v>53735035.246640004</v>
      </c>
      <c r="Z434" s="15">
        <f>IFERROR(INDEX(Cost_Components!$T$2:$T$27,MATCH(E434,Cost_Components!$A$2:$A$27,0)),"")</f>
        <v>0.8</v>
      </c>
      <c r="AA434" s="24">
        <f>IFERROR(INDEX(Cost_Components!$U$2:$U$27,MATCH(E434,Cost_Components!$A$2:$A$27,0)),"")</f>
        <v>2025</v>
      </c>
      <c r="AB434" s="24">
        <f>IFERROR(INDEX(Cost_Components!$V$2:$V$27,MATCH(E434,Cost_Components!$A$2:$A$27,0)),"")</f>
        <v>2050</v>
      </c>
      <c r="AC434" s="24">
        <f>IFERROR(INDEX(Cost_Components!$M$2:$M$27,MATCH(E434,Cost_Components!$A$2:$A$27,0)),"")</f>
        <v>0</v>
      </c>
      <c r="AD434" s="24">
        <f>IFERROR(INDEX(Cost_Components!$N$2:$N$27,MATCH(E434,Cost_Components!$A$2:$A$27,0)),"")</f>
        <v>95</v>
      </c>
      <c r="AE434" s="14" t="str">
        <f>IFERROR(INDEX(Cost_Components!$O$2:$O$27,MATCH(E434,Cost_Components!$A$2:$A$27,0)),"")</f>
        <v>Both</v>
      </c>
      <c r="AF434" s="11">
        <v>7287673.0214357898</v>
      </c>
      <c r="AG434" s="11">
        <v>7191184.7407554798</v>
      </c>
      <c r="AH434" s="21">
        <f t="shared" si="69"/>
        <v>1</v>
      </c>
    </row>
    <row r="435" spans="1:34" hidden="1">
      <c r="A435" t="s">
        <v>202</v>
      </c>
      <c r="B435" s="18">
        <v>2042</v>
      </c>
      <c r="C435" t="s">
        <v>202</v>
      </c>
      <c r="D435" t="s">
        <v>177</v>
      </c>
      <c r="E435" s="20" t="s">
        <v>297</v>
      </c>
      <c r="F435" s="20" t="s">
        <v>298</v>
      </c>
      <c r="G435" s="20" t="s">
        <v>203</v>
      </c>
      <c r="H435" s="20" t="s">
        <v>192</v>
      </c>
      <c r="I435" s="20" t="s">
        <v>264</v>
      </c>
      <c r="J435" s="15">
        <f>IFERROR(INDEX(Cost_Components!$K$2:$K$27,MATCH(E435,Cost_Components!$A$2:$A$27,0)),"")</f>
        <v>1</v>
      </c>
      <c r="K435" s="15">
        <f t="shared" si="60"/>
        <v>0.64923076923076928</v>
      </c>
      <c r="L435" s="15">
        <f>IFERROR(INDEX(Cost_Components!$S$2:$S$27,MATCH(E435,Cost_Components!$A$2:$A$27,0)),"")</f>
        <v>0.31</v>
      </c>
      <c r="M435" s="26">
        <f>IFERROR(INDEX(Cost_Components!$L$2:$L$27,MATCH(E435,Cost_Components!$A$2:$A$27,0)),"")</f>
        <v>1</v>
      </c>
      <c r="N435" s="27">
        <f>IFERROR(INDEX(Cost_Components!$P$2:$P$27,MATCH(E435,Cost_Components!$A$2:$A$27,0)),"")</f>
        <v>36.463997999999997</v>
      </c>
      <c r="O435" s="21">
        <f t="shared" si="61"/>
        <v>7385449.8287052298</v>
      </c>
      <c r="P435" s="21">
        <f t="shared" si="62"/>
        <v>7278848.4937819</v>
      </c>
      <c r="Q435" s="21">
        <f t="shared" si="63"/>
        <v>82278934.245065525</v>
      </c>
      <c r="R435" s="21">
        <f t="shared" si="64"/>
        <v>174839811.88373739</v>
      </c>
      <c r="S435" s="21">
        <f t="shared" si="65"/>
        <v>92560877.63867186</v>
      </c>
      <c r="T435" s="14">
        <f>IFERROR(INDEX(Cost_Components!$R$2:$R$27,MATCH(E435,Cost_Components!$A$2:$A$27,0)),"")</f>
        <v>1</v>
      </c>
      <c r="U435" s="24">
        <f>IFERROR(INDEX(Cost_Components!$Q$2:$Q$27,MATCH(E435,Cost_Components!$A$2:$A$27,0)),"")</f>
        <v>2023</v>
      </c>
      <c r="V435" s="28">
        <f>1/(1+Calculation_Assumptions!$B$5)^(B435-Calculation_Assumptions!$B$2)</f>
        <v>0.60501644584477121</v>
      </c>
      <c r="W435" s="21">
        <f t="shared" si="66"/>
        <v>49780108.364845179</v>
      </c>
      <c r="X435" s="21">
        <f t="shared" si="67"/>
        <v>105780961.57806718</v>
      </c>
      <c r="Y435" s="21">
        <f t="shared" si="68"/>
        <v>56000853.213222004</v>
      </c>
      <c r="Z435" s="15">
        <f>IFERROR(INDEX(Cost_Components!$T$2:$T$27,MATCH(E435,Cost_Components!$A$2:$A$27,0)),"")</f>
        <v>0.8</v>
      </c>
      <c r="AA435" s="24">
        <f>IFERROR(INDEX(Cost_Components!$U$2:$U$27,MATCH(E435,Cost_Components!$A$2:$A$27,0)),"")</f>
        <v>2025</v>
      </c>
      <c r="AB435" s="24">
        <f>IFERROR(INDEX(Cost_Components!$V$2:$V$27,MATCH(E435,Cost_Components!$A$2:$A$27,0)),"")</f>
        <v>2050</v>
      </c>
      <c r="AC435" s="24">
        <f>IFERROR(INDEX(Cost_Components!$M$2:$M$27,MATCH(E435,Cost_Components!$A$2:$A$27,0)),"")</f>
        <v>0</v>
      </c>
      <c r="AD435" s="24">
        <f>IFERROR(INDEX(Cost_Components!$N$2:$N$27,MATCH(E435,Cost_Components!$A$2:$A$27,0)),"")</f>
        <v>95</v>
      </c>
      <c r="AE435" s="14" t="str">
        <f>IFERROR(INDEX(Cost_Components!$O$2:$O$27,MATCH(E435,Cost_Components!$A$2:$A$27,0)),"")</f>
        <v>Both</v>
      </c>
      <c r="AF435" s="11">
        <v>7385449.8287052298</v>
      </c>
      <c r="AG435" s="11">
        <v>7278848.4937819</v>
      </c>
      <c r="AH435" s="21">
        <f t="shared" si="69"/>
        <v>1</v>
      </c>
    </row>
    <row r="436" spans="1:34" hidden="1">
      <c r="A436" t="s">
        <v>202</v>
      </c>
      <c r="B436" s="18">
        <v>2043</v>
      </c>
      <c r="C436" t="s">
        <v>202</v>
      </c>
      <c r="D436" t="s">
        <v>177</v>
      </c>
      <c r="E436" s="20" t="s">
        <v>297</v>
      </c>
      <c r="F436" s="20" t="s">
        <v>298</v>
      </c>
      <c r="G436" s="20" t="s">
        <v>203</v>
      </c>
      <c r="H436" s="20" t="s">
        <v>192</v>
      </c>
      <c r="I436" s="20" t="s">
        <v>264</v>
      </c>
      <c r="J436" s="15">
        <f>IFERROR(INDEX(Cost_Components!$K$2:$K$27,MATCH(E436,Cost_Components!$A$2:$A$27,0)),"")</f>
        <v>1</v>
      </c>
      <c r="K436" s="15">
        <f t="shared" si="60"/>
        <v>0.66807692307692301</v>
      </c>
      <c r="L436" s="15">
        <f>IFERROR(INDEX(Cost_Components!$S$2:$S$27,MATCH(E436,Cost_Components!$A$2:$A$27,0)),"")</f>
        <v>0.31</v>
      </c>
      <c r="M436" s="26">
        <f>IFERROR(INDEX(Cost_Components!$L$2:$L$27,MATCH(E436,Cost_Components!$A$2:$A$27,0)),"")</f>
        <v>1</v>
      </c>
      <c r="N436" s="27">
        <f>IFERROR(INDEX(Cost_Components!$P$2:$P$27,MATCH(E436,Cost_Components!$A$2:$A$27,0)),"")</f>
        <v>36.463997999999997</v>
      </c>
      <c r="O436" s="21">
        <f t="shared" si="61"/>
        <v>7480174.3250447502</v>
      </c>
      <c r="P436" s="21">
        <f t="shared" si="62"/>
        <v>7363135.7158966605</v>
      </c>
      <c r="Q436" s="21">
        <f t="shared" si="63"/>
        <v>83231703.465637147</v>
      </c>
      <c r="R436" s="21">
        <f t="shared" si="64"/>
        <v>182222698.47999242</v>
      </c>
      <c r="S436" s="21">
        <f t="shared" si="65"/>
        <v>98990995.014355272</v>
      </c>
      <c r="T436" s="14">
        <f>IFERROR(INDEX(Cost_Components!$R$2:$R$27,MATCH(E436,Cost_Components!$A$2:$A$27,0)),"")</f>
        <v>1</v>
      </c>
      <c r="U436" s="24">
        <f>IFERROR(INDEX(Cost_Components!$Q$2:$Q$27,MATCH(E436,Cost_Components!$A$2:$A$27,0)),"")</f>
        <v>2023</v>
      </c>
      <c r="V436" s="28">
        <f>1/(1+Calculation_Assumptions!$B$5)^(B436-Calculation_Assumptions!$B$2)</f>
        <v>0.5873946076162827</v>
      </c>
      <c r="W436" s="21">
        <f t="shared" si="66"/>
        <v>48889853.79843273</v>
      </c>
      <c r="X436" s="21">
        <f t="shared" si="67"/>
        <v>107036630.47243534</v>
      </c>
      <c r="Y436" s="21">
        <f t="shared" si="68"/>
        <v>58146776.67400261</v>
      </c>
      <c r="Z436" s="15">
        <f>IFERROR(INDEX(Cost_Components!$T$2:$T$27,MATCH(E436,Cost_Components!$A$2:$A$27,0)),"")</f>
        <v>0.8</v>
      </c>
      <c r="AA436" s="24">
        <f>IFERROR(INDEX(Cost_Components!$U$2:$U$27,MATCH(E436,Cost_Components!$A$2:$A$27,0)),"")</f>
        <v>2025</v>
      </c>
      <c r="AB436" s="24">
        <f>IFERROR(INDEX(Cost_Components!$V$2:$V$27,MATCH(E436,Cost_Components!$A$2:$A$27,0)),"")</f>
        <v>2050</v>
      </c>
      <c r="AC436" s="24">
        <f>IFERROR(INDEX(Cost_Components!$M$2:$M$27,MATCH(E436,Cost_Components!$A$2:$A$27,0)),"")</f>
        <v>0</v>
      </c>
      <c r="AD436" s="24">
        <f>IFERROR(INDEX(Cost_Components!$N$2:$N$27,MATCH(E436,Cost_Components!$A$2:$A$27,0)),"")</f>
        <v>95</v>
      </c>
      <c r="AE436" s="14" t="str">
        <f>IFERROR(INDEX(Cost_Components!$O$2:$O$27,MATCH(E436,Cost_Components!$A$2:$A$27,0)),"")</f>
        <v>Both</v>
      </c>
      <c r="AF436" s="11">
        <v>7480174.3250447502</v>
      </c>
      <c r="AG436" s="11">
        <v>7363135.7158966605</v>
      </c>
      <c r="AH436" s="21">
        <f t="shared" si="69"/>
        <v>1</v>
      </c>
    </row>
    <row r="437" spans="1:34" hidden="1">
      <c r="A437" t="s">
        <v>202</v>
      </c>
      <c r="B437" s="18">
        <v>2044</v>
      </c>
      <c r="C437" t="s">
        <v>202</v>
      </c>
      <c r="D437" t="s">
        <v>177</v>
      </c>
      <c r="E437" s="20" t="s">
        <v>297</v>
      </c>
      <c r="F437" s="20" t="s">
        <v>298</v>
      </c>
      <c r="G437" s="20" t="s">
        <v>203</v>
      </c>
      <c r="H437" s="20" t="s">
        <v>192</v>
      </c>
      <c r="I437" s="20" t="s">
        <v>264</v>
      </c>
      <c r="J437" s="15">
        <f>IFERROR(INDEX(Cost_Components!$K$2:$K$27,MATCH(E437,Cost_Components!$A$2:$A$27,0)),"")</f>
        <v>1</v>
      </c>
      <c r="K437" s="15">
        <f t="shared" si="60"/>
        <v>0.68692307692307697</v>
      </c>
      <c r="L437" s="15">
        <f>IFERROR(INDEX(Cost_Components!$S$2:$S$27,MATCH(E437,Cost_Components!$A$2:$A$27,0)),"")</f>
        <v>0.31</v>
      </c>
      <c r="M437" s="26">
        <f>IFERROR(INDEX(Cost_Components!$L$2:$L$27,MATCH(E437,Cost_Components!$A$2:$A$27,0)),"")</f>
        <v>1</v>
      </c>
      <c r="N437" s="27">
        <f>IFERROR(INDEX(Cost_Components!$P$2:$P$27,MATCH(E437,Cost_Components!$A$2:$A$27,0)),"")</f>
        <v>36.463997999999997</v>
      </c>
      <c r="O437" s="21">
        <f t="shared" si="61"/>
        <v>7571962.7758545503</v>
      </c>
      <c r="P437" s="21">
        <f t="shared" si="62"/>
        <v>7444190.3459455604</v>
      </c>
      <c r="Q437" s="21">
        <f t="shared" si="63"/>
        <v>84147931.984715238</v>
      </c>
      <c r="R437" s="21">
        <f t="shared" si="64"/>
        <v>189662233.6267288</v>
      </c>
      <c r="S437" s="21">
        <f t="shared" si="65"/>
        <v>105514301.64201356</v>
      </c>
      <c r="T437" s="14">
        <f>IFERROR(INDEX(Cost_Components!$R$2:$R$27,MATCH(E437,Cost_Components!$A$2:$A$27,0)),"")</f>
        <v>1</v>
      </c>
      <c r="U437" s="24">
        <f>IFERROR(INDEX(Cost_Components!$Q$2:$Q$27,MATCH(E437,Cost_Components!$A$2:$A$27,0)),"")</f>
        <v>2023</v>
      </c>
      <c r="V437" s="28">
        <f>1/(1+Calculation_Assumptions!$B$5)^(B437-Calculation_Assumptions!$B$2)</f>
        <v>0.57028602681192497</v>
      </c>
      <c r="W437" s="21">
        <f t="shared" si="66"/>
        <v>47988389.796003357</v>
      </c>
      <c r="X437" s="21">
        <f t="shared" si="67"/>
        <v>108161721.65126224</v>
      </c>
      <c r="Y437" s="21">
        <f t="shared" si="68"/>
        <v>60173331.855258889</v>
      </c>
      <c r="Z437" s="15">
        <f>IFERROR(INDEX(Cost_Components!$T$2:$T$27,MATCH(E437,Cost_Components!$A$2:$A$27,0)),"")</f>
        <v>0.8</v>
      </c>
      <c r="AA437" s="24">
        <f>IFERROR(INDEX(Cost_Components!$U$2:$U$27,MATCH(E437,Cost_Components!$A$2:$A$27,0)),"")</f>
        <v>2025</v>
      </c>
      <c r="AB437" s="24">
        <f>IFERROR(INDEX(Cost_Components!$V$2:$V$27,MATCH(E437,Cost_Components!$A$2:$A$27,0)),"")</f>
        <v>2050</v>
      </c>
      <c r="AC437" s="24">
        <f>IFERROR(INDEX(Cost_Components!$M$2:$M$27,MATCH(E437,Cost_Components!$A$2:$A$27,0)),"")</f>
        <v>0</v>
      </c>
      <c r="AD437" s="24">
        <f>IFERROR(INDEX(Cost_Components!$N$2:$N$27,MATCH(E437,Cost_Components!$A$2:$A$27,0)),"")</f>
        <v>95</v>
      </c>
      <c r="AE437" s="14" t="str">
        <f>IFERROR(INDEX(Cost_Components!$O$2:$O$27,MATCH(E437,Cost_Components!$A$2:$A$27,0)),"")</f>
        <v>Both</v>
      </c>
      <c r="AF437" s="11">
        <v>7571962.7758545503</v>
      </c>
      <c r="AG437" s="11">
        <v>7444190.3459455604</v>
      </c>
      <c r="AH437" s="21">
        <f t="shared" si="69"/>
        <v>1</v>
      </c>
    </row>
    <row r="438" spans="1:34" hidden="1">
      <c r="A438" t="s">
        <v>202</v>
      </c>
      <c r="B438" s="18">
        <v>2045</v>
      </c>
      <c r="C438" t="s">
        <v>202</v>
      </c>
      <c r="D438" t="s">
        <v>177</v>
      </c>
      <c r="E438" s="20" t="s">
        <v>297</v>
      </c>
      <c r="F438" s="20" t="s">
        <v>298</v>
      </c>
      <c r="G438" s="20" t="s">
        <v>203</v>
      </c>
      <c r="H438" s="20" t="s">
        <v>192</v>
      </c>
      <c r="I438" s="20" t="s">
        <v>264</v>
      </c>
      <c r="J438" s="15">
        <f>IFERROR(INDEX(Cost_Components!$K$2:$K$27,MATCH(E438,Cost_Components!$A$2:$A$27,0)),"")</f>
        <v>1</v>
      </c>
      <c r="K438" s="15">
        <f t="shared" si="60"/>
        <v>0.70576923076923082</v>
      </c>
      <c r="L438" s="15">
        <f>IFERROR(INDEX(Cost_Components!$S$2:$S$27,MATCH(E438,Cost_Components!$A$2:$A$27,0)),"")</f>
        <v>0.31</v>
      </c>
      <c r="M438" s="26">
        <f>IFERROR(INDEX(Cost_Components!$L$2:$L$27,MATCH(E438,Cost_Components!$A$2:$A$27,0)),"")</f>
        <v>1</v>
      </c>
      <c r="N438" s="27">
        <f>IFERROR(INDEX(Cost_Components!$P$2:$P$27,MATCH(E438,Cost_Components!$A$2:$A$27,0)),"")</f>
        <v>36.463997999999997</v>
      </c>
      <c r="O438" s="21">
        <f t="shared" si="61"/>
        <v>7660991.2551179202</v>
      </c>
      <c r="P438" s="21">
        <f t="shared" si="62"/>
        <v>7522215.0936579499</v>
      </c>
      <c r="Q438" s="21">
        <f t="shared" si="63"/>
        <v>85029911.200521111</v>
      </c>
      <c r="R438" s="21">
        <f t="shared" si="64"/>
        <v>197156895.61211902</v>
      </c>
      <c r="S438" s="21">
        <f t="shared" si="65"/>
        <v>112126984.41159791</v>
      </c>
      <c r="T438" s="14">
        <f>IFERROR(INDEX(Cost_Components!$R$2:$R$27,MATCH(E438,Cost_Components!$A$2:$A$27,0)),"")</f>
        <v>1</v>
      </c>
      <c r="U438" s="24">
        <f>IFERROR(INDEX(Cost_Components!$Q$2:$Q$27,MATCH(E438,Cost_Components!$A$2:$A$27,0)),"")</f>
        <v>2023</v>
      </c>
      <c r="V438" s="28">
        <f>1/(1+Calculation_Assumptions!$B$5)^(B438-Calculation_Assumptions!$B$2)</f>
        <v>0.55367575418633497</v>
      </c>
      <c r="W438" s="21">
        <f t="shared" si="66"/>
        <v>47079000.212345615</v>
      </c>
      <c r="X438" s="21">
        <f t="shared" si="67"/>
        <v>109160992.87107651</v>
      </c>
      <c r="Y438" s="21">
        <f t="shared" si="68"/>
        <v>62081992.658730894</v>
      </c>
      <c r="Z438" s="15">
        <f>IFERROR(INDEX(Cost_Components!$T$2:$T$27,MATCH(E438,Cost_Components!$A$2:$A$27,0)),"")</f>
        <v>0.8</v>
      </c>
      <c r="AA438" s="24">
        <f>IFERROR(INDEX(Cost_Components!$U$2:$U$27,MATCH(E438,Cost_Components!$A$2:$A$27,0)),"")</f>
        <v>2025</v>
      </c>
      <c r="AB438" s="24">
        <f>IFERROR(INDEX(Cost_Components!$V$2:$V$27,MATCH(E438,Cost_Components!$A$2:$A$27,0)),"")</f>
        <v>2050</v>
      </c>
      <c r="AC438" s="24">
        <f>IFERROR(INDEX(Cost_Components!$M$2:$M$27,MATCH(E438,Cost_Components!$A$2:$A$27,0)),"")</f>
        <v>0</v>
      </c>
      <c r="AD438" s="24">
        <f>IFERROR(INDEX(Cost_Components!$N$2:$N$27,MATCH(E438,Cost_Components!$A$2:$A$27,0)),"")</f>
        <v>95</v>
      </c>
      <c r="AE438" s="14" t="str">
        <f>IFERROR(INDEX(Cost_Components!$O$2:$O$27,MATCH(E438,Cost_Components!$A$2:$A$27,0)),"")</f>
        <v>Both</v>
      </c>
      <c r="AF438" s="11">
        <v>7660991.2551179202</v>
      </c>
      <c r="AG438" s="11">
        <v>7522215.0936579499</v>
      </c>
      <c r="AH438" s="21">
        <f t="shared" si="69"/>
        <v>1</v>
      </c>
    </row>
    <row r="439" spans="1:34" hidden="1">
      <c r="A439" t="s">
        <v>202</v>
      </c>
      <c r="B439" s="18">
        <v>2046</v>
      </c>
      <c r="C439" t="s">
        <v>202</v>
      </c>
      <c r="D439" t="s">
        <v>177</v>
      </c>
      <c r="E439" s="20" t="s">
        <v>297</v>
      </c>
      <c r="F439" s="20" t="s">
        <v>298</v>
      </c>
      <c r="G439" s="20" t="s">
        <v>203</v>
      </c>
      <c r="H439" s="20" t="s">
        <v>192</v>
      </c>
      <c r="I439" s="20" t="s">
        <v>264</v>
      </c>
      <c r="J439" s="15">
        <f>IFERROR(INDEX(Cost_Components!$K$2:$K$27,MATCH(E439,Cost_Components!$A$2:$A$27,0)),"")</f>
        <v>1</v>
      </c>
      <c r="K439" s="15">
        <f t="shared" si="60"/>
        <v>0.72461538461538466</v>
      </c>
      <c r="L439" s="15">
        <f>IFERROR(INDEX(Cost_Components!$S$2:$S$27,MATCH(E439,Cost_Components!$A$2:$A$27,0)),"")</f>
        <v>0.31</v>
      </c>
      <c r="M439" s="26">
        <f>IFERROR(INDEX(Cost_Components!$L$2:$L$27,MATCH(E439,Cost_Components!$A$2:$A$27,0)),"")</f>
        <v>1</v>
      </c>
      <c r="N439" s="27">
        <f>IFERROR(INDEX(Cost_Components!$P$2:$P$27,MATCH(E439,Cost_Components!$A$2:$A$27,0)),"")</f>
        <v>36.463997999999997</v>
      </c>
      <c r="O439" s="21">
        <f t="shared" si="61"/>
        <v>7747123.6389056602</v>
      </c>
      <c r="P439" s="21">
        <f t="shared" si="62"/>
        <v>7597099.71033228</v>
      </c>
      <c r="Q439" s="21">
        <f t="shared" si="63"/>
        <v>85876394.879440606</v>
      </c>
      <c r="R439" s="21">
        <f t="shared" si="64"/>
        <v>204697397.71082291</v>
      </c>
      <c r="S439" s="21">
        <f t="shared" si="65"/>
        <v>118821002.8313823</v>
      </c>
      <c r="T439" s="14">
        <f>IFERROR(INDEX(Cost_Components!$R$2:$R$27,MATCH(E439,Cost_Components!$A$2:$A$27,0)),"")</f>
        <v>1</v>
      </c>
      <c r="U439" s="24">
        <f>IFERROR(INDEX(Cost_Components!$Q$2:$Q$27,MATCH(E439,Cost_Components!$A$2:$A$27,0)),"")</f>
        <v>2023</v>
      </c>
      <c r="V439" s="28">
        <f>1/(1+Calculation_Assumptions!$B$5)^(B439-Calculation_Assumptions!$B$2)</f>
        <v>0.5375492759090631</v>
      </c>
      <c r="W439" s="21">
        <f t="shared" si="66"/>
        <v>46162793.885124072</v>
      </c>
      <c r="X439" s="21">
        <f t="shared" si="67"/>
        <v>110034937.91992237</v>
      </c>
      <c r="Y439" s="21">
        <f t="shared" si="68"/>
        <v>63872144.034798294</v>
      </c>
      <c r="Z439" s="15">
        <f>IFERROR(INDEX(Cost_Components!$T$2:$T$27,MATCH(E439,Cost_Components!$A$2:$A$27,0)),"")</f>
        <v>0.8</v>
      </c>
      <c r="AA439" s="24">
        <f>IFERROR(INDEX(Cost_Components!$U$2:$U$27,MATCH(E439,Cost_Components!$A$2:$A$27,0)),"")</f>
        <v>2025</v>
      </c>
      <c r="AB439" s="24">
        <f>IFERROR(INDEX(Cost_Components!$V$2:$V$27,MATCH(E439,Cost_Components!$A$2:$A$27,0)),"")</f>
        <v>2050</v>
      </c>
      <c r="AC439" s="24">
        <f>IFERROR(INDEX(Cost_Components!$M$2:$M$27,MATCH(E439,Cost_Components!$A$2:$A$27,0)),"")</f>
        <v>0</v>
      </c>
      <c r="AD439" s="24">
        <f>IFERROR(INDEX(Cost_Components!$N$2:$N$27,MATCH(E439,Cost_Components!$A$2:$A$27,0)),"")</f>
        <v>95</v>
      </c>
      <c r="AE439" s="14" t="str">
        <f>IFERROR(INDEX(Cost_Components!$O$2:$O$27,MATCH(E439,Cost_Components!$A$2:$A$27,0)),"")</f>
        <v>Both</v>
      </c>
      <c r="AF439" s="11">
        <v>7747123.6389056602</v>
      </c>
      <c r="AG439" s="11">
        <v>7597099.71033228</v>
      </c>
      <c r="AH439" s="21">
        <f t="shared" si="69"/>
        <v>1</v>
      </c>
    </row>
    <row r="440" spans="1:34" hidden="1">
      <c r="A440" t="s">
        <v>202</v>
      </c>
      <c r="B440" s="18">
        <v>2047</v>
      </c>
      <c r="C440" t="s">
        <v>202</v>
      </c>
      <c r="D440" t="s">
        <v>177</v>
      </c>
      <c r="E440" s="20" t="s">
        <v>297</v>
      </c>
      <c r="F440" s="20" t="s">
        <v>298</v>
      </c>
      <c r="G440" s="20" t="s">
        <v>203</v>
      </c>
      <c r="H440" s="20" t="s">
        <v>192</v>
      </c>
      <c r="I440" s="20" t="s">
        <v>264</v>
      </c>
      <c r="J440" s="15">
        <f>IFERROR(INDEX(Cost_Components!$K$2:$K$27,MATCH(E440,Cost_Components!$A$2:$A$27,0)),"")</f>
        <v>1</v>
      </c>
      <c r="K440" s="15">
        <f t="shared" si="60"/>
        <v>0.74346153846153851</v>
      </c>
      <c r="L440" s="15">
        <f>IFERROR(INDEX(Cost_Components!$S$2:$S$27,MATCH(E440,Cost_Components!$A$2:$A$27,0)),"")</f>
        <v>0.31</v>
      </c>
      <c r="M440" s="26">
        <f>IFERROR(INDEX(Cost_Components!$L$2:$L$27,MATCH(E440,Cost_Components!$A$2:$A$27,0)),"")</f>
        <v>1</v>
      </c>
      <c r="N440" s="27">
        <f>IFERROR(INDEX(Cost_Components!$P$2:$P$27,MATCH(E440,Cost_Components!$A$2:$A$27,0)),"")</f>
        <v>36.463997999999997</v>
      </c>
      <c r="O440" s="21">
        <f t="shared" si="61"/>
        <v>7830084.4265189497</v>
      </c>
      <c r="P440" s="21">
        <f t="shared" si="62"/>
        <v>7668592.5773811797</v>
      </c>
      <c r="Q440" s="21">
        <f t="shared" si="63"/>
        <v>86684538.765377074</v>
      </c>
      <c r="R440" s="21">
        <f t="shared" si="64"/>
        <v>212270300.5710201</v>
      </c>
      <c r="S440" s="21">
        <f t="shared" si="65"/>
        <v>125585761.80564302</v>
      </c>
      <c r="T440" s="14">
        <f>IFERROR(INDEX(Cost_Components!$R$2:$R$27,MATCH(E440,Cost_Components!$A$2:$A$27,0)),"")</f>
        <v>1</v>
      </c>
      <c r="U440" s="24">
        <f>IFERROR(INDEX(Cost_Components!$Q$2:$Q$27,MATCH(E440,Cost_Components!$A$2:$A$27,0)),"")</f>
        <v>2023</v>
      </c>
      <c r="V440" s="28">
        <f>1/(1+Calculation_Assumptions!$B$5)^(B440-Calculation_Assumptions!$B$2)</f>
        <v>0.52189250088258554</v>
      </c>
      <c r="W440" s="21">
        <f t="shared" si="66"/>
        <v>45240010.724116072</v>
      </c>
      <c r="X440" s="21">
        <f t="shared" si="67"/>
        <v>110782278.02810781</v>
      </c>
      <c r="Y440" s="21">
        <f t="shared" si="68"/>
        <v>65542267.303991728</v>
      </c>
      <c r="Z440" s="15">
        <f>IFERROR(INDEX(Cost_Components!$T$2:$T$27,MATCH(E440,Cost_Components!$A$2:$A$27,0)),"")</f>
        <v>0.8</v>
      </c>
      <c r="AA440" s="24">
        <f>IFERROR(INDEX(Cost_Components!$U$2:$U$27,MATCH(E440,Cost_Components!$A$2:$A$27,0)),"")</f>
        <v>2025</v>
      </c>
      <c r="AB440" s="24">
        <f>IFERROR(INDEX(Cost_Components!$V$2:$V$27,MATCH(E440,Cost_Components!$A$2:$A$27,0)),"")</f>
        <v>2050</v>
      </c>
      <c r="AC440" s="24">
        <f>IFERROR(INDEX(Cost_Components!$M$2:$M$27,MATCH(E440,Cost_Components!$A$2:$A$27,0)),"")</f>
        <v>0</v>
      </c>
      <c r="AD440" s="24">
        <f>IFERROR(INDEX(Cost_Components!$N$2:$N$27,MATCH(E440,Cost_Components!$A$2:$A$27,0)),"")</f>
        <v>95</v>
      </c>
      <c r="AE440" s="14" t="str">
        <f>IFERROR(INDEX(Cost_Components!$O$2:$O$27,MATCH(E440,Cost_Components!$A$2:$A$27,0)),"")</f>
        <v>Both</v>
      </c>
      <c r="AF440" s="11">
        <v>7830084.4265189497</v>
      </c>
      <c r="AG440" s="11">
        <v>7668592.5773811797</v>
      </c>
      <c r="AH440" s="21">
        <f t="shared" si="69"/>
        <v>1</v>
      </c>
    </row>
    <row r="441" spans="1:34" hidden="1">
      <c r="A441" t="s">
        <v>202</v>
      </c>
      <c r="B441" s="18">
        <v>2048</v>
      </c>
      <c r="C441" t="s">
        <v>202</v>
      </c>
      <c r="D441" t="s">
        <v>177</v>
      </c>
      <c r="E441" s="20" t="s">
        <v>297</v>
      </c>
      <c r="F441" s="20" t="s">
        <v>298</v>
      </c>
      <c r="G441" s="20" t="s">
        <v>203</v>
      </c>
      <c r="H441" s="20" t="s">
        <v>192</v>
      </c>
      <c r="I441" s="20" t="s">
        <v>264</v>
      </c>
      <c r="J441" s="15">
        <f>IFERROR(INDEX(Cost_Components!$K$2:$K$27,MATCH(E441,Cost_Components!$A$2:$A$27,0)),"")</f>
        <v>1</v>
      </c>
      <c r="K441" s="15">
        <f t="shared" si="60"/>
        <v>0.76230769230769235</v>
      </c>
      <c r="L441" s="15">
        <f>IFERROR(INDEX(Cost_Components!$S$2:$S$27,MATCH(E441,Cost_Components!$A$2:$A$27,0)),"")</f>
        <v>0.31</v>
      </c>
      <c r="M441" s="26">
        <f>IFERROR(INDEX(Cost_Components!$L$2:$L$27,MATCH(E441,Cost_Components!$A$2:$A$27,0)),"")</f>
        <v>1</v>
      </c>
      <c r="N441" s="27">
        <f>IFERROR(INDEX(Cost_Components!$P$2:$P$27,MATCH(E441,Cost_Components!$A$2:$A$27,0)),"")</f>
        <v>36.463997999999997</v>
      </c>
      <c r="O441" s="21">
        <f t="shared" si="61"/>
        <v>7909747.9056023099</v>
      </c>
      <c r="P441" s="21">
        <f t="shared" si="62"/>
        <v>7736597.0552434502</v>
      </c>
      <c r="Q441" s="21">
        <f t="shared" si="63"/>
        <v>87453250.460252941</v>
      </c>
      <c r="R441" s="21">
        <f t="shared" si="64"/>
        <v>219865571.17237946</v>
      </c>
      <c r="S441" s="21">
        <f t="shared" si="65"/>
        <v>132412320.71212652</v>
      </c>
      <c r="T441" s="14">
        <f>IFERROR(INDEX(Cost_Components!$R$2:$R$27,MATCH(E441,Cost_Components!$A$2:$A$27,0)),"")</f>
        <v>1</v>
      </c>
      <c r="U441" s="24">
        <f>IFERROR(INDEX(Cost_Components!$Q$2:$Q$27,MATCH(E441,Cost_Components!$A$2:$A$27,0)),"")</f>
        <v>2023</v>
      </c>
      <c r="V441" s="28">
        <f>1/(1+Calculation_Assumptions!$B$5)^(B441-Calculation_Assumptions!$B$2)</f>
        <v>0.50669174842969467</v>
      </c>
      <c r="W441" s="21">
        <f t="shared" si="66"/>
        <v>44311840.381565563</v>
      </c>
      <c r="X441" s="21">
        <f t="shared" si="67"/>
        <v>111404070.67682642</v>
      </c>
      <c r="Y441" s="21">
        <f t="shared" si="68"/>
        <v>67092230.295260862</v>
      </c>
      <c r="Z441" s="15">
        <f>IFERROR(INDEX(Cost_Components!$T$2:$T$27,MATCH(E441,Cost_Components!$A$2:$A$27,0)),"")</f>
        <v>0.8</v>
      </c>
      <c r="AA441" s="24">
        <f>IFERROR(INDEX(Cost_Components!$U$2:$U$27,MATCH(E441,Cost_Components!$A$2:$A$27,0)),"")</f>
        <v>2025</v>
      </c>
      <c r="AB441" s="24">
        <f>IFERROR(INDEX(Cost_Components!$V$2:$V$27,MATCH(E441,Cost_Components!$A$2:$A$27,0)),"")</f>
        <v>2050</v>
      </c>
      <c r="AC441" s="24">
        <f>IFERROR(INDEX(Cost_Components!$M$2:$M$27,MATCH(E441,Cost_Components!$A$2:$A$27,0)),"")</f>
        <v>0</v>
      </c>
      <c r="AD441" s="24">
        <f>IFERROR(INDEX(Cost_Components!$N$2:$N$27,MATCH(E441,Cost_Components!$A$2:$A$27,0)),"")</f>
        <v>95</v>
      </c>
      <c r="AE441" s="14" t="str">
        <f>IFERROR(INDEX(Cost_Components!$O$2:$O$27,MATCH(E441,Cost_Components!$A$2:$A$27,0)),"")</f>
        <v>Both</v>
      </c>
      <c r="AF441" s="11">
        <v>7909747.9056023099</v>
      </c>
      <c r="AG441" s="11">
        <v>7736597.0552434502</v>
      </c>
      <c r="AH441" s="21">
        <f t="shared" si="69"/>
        <v>1</v>
      </c>
    </row>
    <row r="442" spans="1:34" hidden="1">
      <c r="A442" t="s">
        <v>202</v>
      </c>
      <c r="B442" s="18">
        <v>2049</v>
      </c>
      <c r="C442" t="s">
        <v>202</v>
      </c>
      <c r="D442" t="s">
        <v>177</v>
      </c>
      <c r="E442" s="20" t="s">
        <v>297</v>
      </c>
      <c r="F442" s="20" t="s">
        <v>298</v>
      </c>
      <c r="G442" s="20" t="s">
        <v>203</v>
      </c>
      <c r="H442" s="20" t="s">
        <v>192</v>
      </c>
      <c r="I442" s="20" t="s">
        <v>264</v>
      </c>
      <c r="J442" s="15">
        <f>IFERROR(INDEX(Cost_Components!$K$2:$K$27,MATCH(E442,Cost_Components!$A$2:$A$27,0)),"")</f>
        <v>1</v>
      </c>
      <c r="K442" s="15">
        <f t="shared" si="60"/>
        <v>0.7811538461538462</v>
      </c>
      <c r="L442" s="15">
        <f>IFERROR(INDEX(Cost_Components!$S$2:$S$27,MATCH(E442,Cost_Components!$A$2:$A$27,0)),"")</f>
        <v>0.31</v>
      </c>
      <c r="M442" s="26">
        <f>IFERROR(INDEX(Cost_Components!$L$2:$L$27,MATCH(E442,Cost_Components!$A$2:$A$27,0)),"")</f>
        <v>1</v>
      </c>
      <c r="N442" s="27">
        <f>IFERROR(INDEX(Cost_Components!$P$2:$P$27,MATCH(E442,Cost_Components!$A$2:$A$27,0)),"")</f>
        <v>36.463997999999997</v>
      </c>
      <c r="O442" s="21">
        <f t="shared" si="61"/>
        <v>7985940.4144960903</v>
      </c>
      <c r="P442" s="21">
        <f t="shared" si="62"/>
        <v>7800963.0468724202</v>
      </c>
      <c r="Q442" s="21">
        <f t="shared" si="63"/>
        <v>88180833.291161239</v>
      </c>
      <c r="R442" s="21">
        <f t="shared" si="64"/>
        <v>227471465.14576179</v>
      </c>
      <c r="S442" s="21">
        <f t="shared" si="65"/>
        <v>139290631.85460055</v>
      </c>
      <c r="T442" s="14">
        <f>IFERROR(INDEX(Cost_Components!$R$2:$R$27,MATCH(E442,Cost_Components!$A$2:$A$27,0)),"")</f>
        <v>1</v>
      </c>
      <c r="U442" s="24">
        <f>IFERROR(INDEX(Cost_Components!$Q$2:$Q$27,MATCH(E442,Cost_Components!$A$2:$A$27,0)),"")</f>
        <v>2023</v>
      </c>
      <c r="V442" s="28">
        <f>1/(1+Calculation_Assumptions!$B$5)^(B442-Calculation_Assumptions!$B$2)</f>
        <v>0.49193373633950943</v>
      </c>
      <c r="W442" s="21">
        <f t="shared" si="66"/>
        <v>43379126.794452347</v>
      </c>
      <c r="X442" s="21">
        <f t="shared" si="67"/>
        <v>111900887.75977708</v>
      </c>
      <c r="Y442" s="21">
        <f t="shared" si="68"/>
        <v>68521760.965324745</v>
      </c>
      <c r="Z442" s="15">
        <f>IFERROR(INDEX(Cost_Components!$T$2:$T$27,MATCH(E442,Cost_Components!$A$2:$A$27,0)),"")</f>
        <v>0.8</v>
      </c>
      <c r="AA442" s="24">
        <f>IFERROR(INDEX(Cost_Components!$U$2:$U$27,MATCH(E442,Cost_Components!$A$2:$A$27,0)),"")</f>
        <v>2025</v>
      </c>
      <c r="AB442" s="24">
        <f>IFERROR(INDEX(Cost_Components!$V$2:$V$27,MATCH(E442,Cost_Components!$A$2:$A$27,0)),"")</f>
        <v>2050</v>
      </c>
      <c r="AC442" s="24">
        <f>IFERROR(INDEX(Cost_Components!$M$2:$M$27,MATCH(E442,Cost_Components!$A$2:$A$27,0)),"")</f>
        <v>0</v>
      </c>
      <c r="AD442" s="24">
        <f>IFERROR(INDEX(Cost_Components!$N$2:$N$27,MATCH(E442,Cost_Components!$A$2:$A$27,0)),"")</f>
        <v>95</v>
      </c>
      <c r="AE442" s="14" t="str">
        <f>IFERROR(INDEX(Cost_Components!$O$2:$O$27,MATCH(E442,Cost_Components!$A$2:$A$27,0)),"")</f>
        <v>Both</v>
      </c>
      <c r="AF442" s="11">
        <v>7985940.4144960903</v>
      </c>
      <c r="AG442" s="11">
        <v>7800963.0468724202</v>
      </c>
      <c r="AH442" s="21">
        <f t="shared" si="69"/>
        <v>1</v>
      </c>
    </row>
    <row r="443" spans="1:34" hidden="1">
      <c r="A443" t="s">
        <v>202</v>
      </c>
      <c r="B443" s="18">
        <v>2050</v>
      </c>
      <c r="C443" t="s">
        <v>202</v>
      </c>
      <c r="D443" t="s">
        <v>177</v>
      </c>
      <c r="E443" s="20" t="s">
        <v>297</v>
      </c>
      <c r="F443" s="20" t="s">
        <v>298</v>
      </c>
      <c r="G443" s="20" t="s">
        <v>203</v>
      </c>
      <c r="H443" s="20" t="s">
        <v>192</v>
      </c>
      <c r="I443" s="20" t="s">
        <v>264</v>
      </c>
      <c r="J443" s="15">
        <f>IFERROR(INDEX(Cost_Components!$K$2:$K$27,MATCH(E443,Cost_Components!$A$2:$A$27,0)),"")</f>
        <v>1</v>
      </c>
      <c r="K443" s="15">
        <f t="shared" si="60"/>
        <v>0.8</v>
      </c>
      <c r="L443" s="15">
        <f>IFERROR(INDEX(Cost_Components!$S$2:$S$27,MATCH(E443,Cost_Components!$A$2:$A$27,0)),"")</f>
        <v>0.31</v>
      </c>
      <c r="M443" s="26">
        <f>IFERROR(INDEX(Cost_Components!$L$2:$L$27,MATCH(E443,Cost_Components!$A$2:$A$27,0)),"")</f>
        <v>1</v>
      </c>
      <c r="N443" s="27">
        <f>IFERROR(INDEX(Cost_Components!$P$2:$P$27,MATCH(E443,Cost_Components!$A$2:$A$27,0)),"")</f>
        <v>36.463997999999997</v>
      </c>
      <c r="O443" s="21">
        <f t="shared" si="61"/>
        <v>8058472.3869476197</v>
      </c>
      <c r="P443" s="21">
        <f t="shared" si="62"/>
        <v>7861516.4843823304</v>
      </c>
      <c r="Q443" s="21">
        <f t="shared" si="63"/>
        <v>88865319.622680143</v>
      </c>
      <c r="R443" s="21">
        <f t="shared" si="64"/>
        <v>235075296.80057058</v>
      </c>
      <c r="S443" s="21">
        <f t="shared" si="65"/>
        <v>146209977.17789042</v>
      </c>
      <c r="T443" s="14">
        <f>IFERROR(INDEX(Cost_Components!$R$2:$R$27,MATCH(E443,Cost_Components!$A$2:$A$27,0)),"")</f>
        <v>1</v>
      </c>
      <c r="U443" s="24">
        <f>IFERROR(INDEX(Cost_Components!$Q$2:$Q$27,MATCH(E443,Cost_Components!$A$2:$A$27,0)),"")</f>
        <v>2023</v>
      </c>
      <c r="V443" s="28">
        <f>1/(1+Calculation_Assumptions!$B$5)^(B443-Calculation_Assumptions!$B$2)</f>
        <v>0.47760556926165965</v>
      </c>
      <c r="W443" s="21">
        <f t="shared" si="66"/>
        <v>42442571.566009484</v>
      </c>
      <c r="X443" s="21">
        <f t="shared" si="67"/>
        <v>112273270.94779012</v>
      </c>
      <c r="Y443" s="21">
        <f t="shared" si="68"/>
        <v>69830699.381780624</v>
      </c>
      <c r="Z443" s="15">
        <f>IFERROR(INDEX(Cost_Components!$T$2:$T$27,MATCH(E443,Cost_Components!$A$2:$A$27,0)),"")</f>
        <v>0.8</v>
      </c>
      <c r="AA443" s="24">
        <f>IFERROR(INDEX(Cost_Components!$U$2:$U$27,MATCH(E443,Cost_Components!$A$2:$A$27,0)),"")</f>
        <v>2025</v>
      </c>
      <c r="AB443" s="24">
        <f>IFERROR(INDEX(Cost_Components!$V$2:$V$27,MATCH(E443,Cost_Components!$A$2:$A$27,0)),"")</f>
        <v>2050</v>
      </c>
      <c r="AC443" s="24">
        <f>IFERROR(INDEX(Cost_Components!$M$2:$M$27,MATCH(E443,Cost_Components!$A$2:$A$27,0)),"")</f>
        <v>0</v>
      </c>
      <c r="AD443" s="24">
        <f>IFERROR(INDEX(Cost_Components!$N$2:$N$27,MATCH(E443,Cost_Components!$A$2:$A$27,0)),"")</f>
        <v>95</v>
      </c>
      <c r="AE443" s="14" t="str">
        <f>IFERROR(INDEX(Cost_Components!$O$2:$O$27,MATCH(E443,Cost_Components!$A$2:$A$27,0)),"")</f>
        <v>Both</v>
      </c>
      <c r="AF443" s="11">
        <v>8058472.3869476197</v>
      </c>
      <c r="AG443" s="11">
        <v>7861516.4843823304</v>
      </c>
      <c r="AH443" s="21">
        <f t="shared" si="69"/>
        <v>1</v>
      </c>
    </row>
    <row r="444" spans="1:34">
      <c r="A444" t="s">
        <v>205</v>
      </c>
      <c r="B444" s="18">
        <v>2025</v>
      </c>
      <c r="C444" t="s">
        <v>205</v>
      </c>
      <c r="D444" t="s">
        <v>209</v>
      </c>
      <c r="E444" s="20" t="s">
        <v>300</v>
      </c>
      <c r="F444" s="20" t="s">
        <v>301</v>
      </c>
      <c r="G444" s="20" t="s">
        <v>206</v>
      </c>
      <c r="H444" s="20" t="s">
        <v>192</v>
      </c>
      <c r="I444" s="20" t="s">
        <v>264</v>
      </c>
      <c r="J444" s="15">
        <f>IFERROR(INDEX(Cost_Components!$K$2:$K$27,MATCH(E444,Cost_Components!$A$2:$A$27,0)),"")</f>
        <v>1</v>
      </c>
      <c r="K444" s="15">
        <f t="shared" si="60"/>
        <v>0.32884615384615384</v>
      </c>
      <c r="L444" s="15">
        <f>IFERROR(INDEX(Cost_Components!$S$2:$S$27,MATCH(E444,Cost_Components!$A$2:$A$27,0)),"")</f>
        <v>0.31</v>
      </c>
      <c r="M444" s="26">
        <f>IFERROR(INDEX(Cost_Components!$L$2:$L$27,MATCH(E444,Cost_Components!$A$2:$A$27,0)),"")</f>
        <v>1</v>
      </c>
      <c r="N444" s="27">
        <f>IFERROR(INDEX(Cost_Components!$P$2:$P$27,MATCH(E444,Cost_Components!$A$2:$A$27,0)),"")</f>
        <v>50.857354000000001</v>
      </c>
      <c r="O444" s="21">
        <f t="shared" si="61"/>
        <v>760569.36301437905</v>
      </c>
      <c r="P444" s="21">
        <f t="shared" si="62"/>
        <v>760534.47687153495</v>
      </c>
      <c r="Q444" s="21">
        <f t="shared" si="63"/>
        <v>11990419.047032744</v>
      </c>
      <c r="R444" s="21">
        <f t="shared" si="64"/>
        <v>12719948.562539289</v>
      </c>
      <c r="S444" s="21">
        <f t="shared" si="65"/>
        <v>729529.51550654508</v>
      </c>
      <c r="T444" s="14">
        <f>IFERROR(INDEX(Cost_Components!$R$2:$R$27,MATCH(E444,Cost_Components!$A$2:$A$27,0)),"")</f>
        <v>1</v>
      </c>
      <c r="U444" s="24">
        <f>IFERROR(INDEX(Cost_Components!$Q$2:$Q$27,MATCH(E444,Cost_Components!$A$2:$A$27,0)),"")</f>
        <v>2023</v>
      </c>
      <c r="V444" s="28">
        <f>1/(1+Calculation_Assumptions!$B$5)^(B444-Calculation_Assumptions!$B$2)</f>
        <v>1</v>
      </c>
      <c r="W444" s="21">
        <f t="shared" si="66"/>
        <v>11990419.047032744</v>
      </c>
      <c r="X444" s="21">
        <f t="shared" si="67"/>
        <v>12719948.562539289</v>
      </c>
      <c r="Y444" s="21">
        <f t="shared" si="68"/>
        <v>729529.51550654508</v>
      </c>
      <c r="Z444" s="15">
        <f>IFERROR(INDEX(Cost_Components!$T$2:$T$27,MATCH(E444,Cost_Components!$A$2:$A$27,0)),"")</f>
        <v>0.8</v>
      </c>
      <c r="AA444" s="24">
        <f>IFERROR(INDEX(Cost_Components!$U$2:$U$27,MATCH(E444,Cost_Components!$A$2:$A$27,0)),"")</f>
        <v>2025</v>
      </c>
      <c r="AB444" s="24">
        <f>IFERROR(INDEX(Cost_Components!$V$2:$V$27,MATCH(E444,Cost_Components!$A$2:$A$27,0)),"")</f>
        <v>2050</v>
      </c>
      <c r="AC444" s="24">
        <f>IFERROR(INDEX(Cost_Components!$M$2:$M$27,MATCH(E444,Cost_Components!$A$2:$A$27,0)),"")</f>
        <v>5</v>
      </c>
      <c r="AD444" s="24">
        <f>IFERROR(INDEX(Cost_Components!$N$2:$N$27,MATCH(E444,Cost_Components!$A$2:$A$27,0)),"")</f>
        <v>39</v>
      </c>
      <c r="AE444" s="14" t="str">
        <f>IFERROR(INDEX(Cost_Components!$O$2:$O$27,MATCH(E444,Cost_Components!$A$2:$A$27,0)),"")</f>
        <v>Both</v>
      </c>
      <c r="AF444" s="11">
        <v>760569.36301437905</v>
      </c>
      <c r="AG444" s="11">
        <v>760534.47687153495</v>
      </c>
      <c r="AH444" s="21">
        <f t="shared" si="69"/>
        <v>1</v>
      </c>
    </row>
    <row r="445" spans="1:34">
      <c r="A445" t="s">
        <v>205</v>
      </c>
      <c r="B445" s="18">
        <v>2026</v>
      </c>
      <c r="C445" t="s">
        <v>205</v>
      </c>
      <c r="D445" t="s">
        <v>209</v>
      </c>
      <c r="E445" s="20" t="s">
        <v>300</v>
      </c>
      <c r="F445" s="20" t="s">
        <v>301</v>
      </c>
      <c r="G445" s="20" t="s">
        <v>206</v>
      </c>
      <c r="H445" s="20" t="s">
        <v>192</v>
      </c>
      <c r="I445" s="20" t="s">
        <v>264</v>
      </c>
      <c r="J445" s="15">
        <f>IFERROR(INDEX(Cost_Components!$K$2:$K$27,MATCH(E445,Cost_Components!$A$2:$A$27,0)),"")</f>
        <v>1</v>
      </c>
      <c r="K445" s="15">
        <f t="shared" si="60"/>
        <v>0.34769230769230769</v>
      </c>
      <c r="L445" s="15">
        <f>IFERROR(INDEX(Cost_Components!$S$2:$S$27,MATCH(E445,Cost_Components!$A$2:$A$27,0)),"")</f>
        <v>0.31</v>
      </c>
      <c r="M445" s="26">
        <f>IFERROR(INDEX(Cost_Components!$L$2:$L$27,MATCH(E445,Cost_Components!$A$2:$A$27,0)),"")</f>
        <v>1</v>
      </c>
      <c r="N445" s="27">
        <f>IFERROR(INDEX(Cost_Components!$P$2:$P$27,MATCH(E445,Cost_Components!$A$2:$A$27,0)),"")</f>
        <v>50.857354000000001</v>
      </c>
      <c r="O445" s="21">
        <f t="shared" si="61"/>
        <v>763376.45379439904</v>
      </c>
      <c r="P445" s="21">
        <f t="shared" si="62"/>
        <v>763274.26719122799</v>
      </c>
      <c r="Q445" s="21">
        <f t="shared" si="63"/>
        <v>12033613.977746809</v>
      </c>
      <c r="R445" s="21">
        <f t="shared" si="64"/>
        <v>13498565.045185115</v>
      </c>
      <c r="S445" s="21">
        <f t="shared" si="65"/>
        <v>1464951.0674383063</v>
      </c>
      <c r="T445" s="14">
        <f>IFERROR(INDEX(Cost_Components!$R$2:$R$27,MATCH(E445,Cost_Components!$A$2:$A$27,0)),"")</f>
        <v>1</v>
      </c>
      <c r="U445" s="24">
        <f>IFERROR(INDEX(Cost_Components!$Q$2:$Q$27,MATCH(E445,Cost_Components!$A$2:$A$27,0)),"")</f>
        <v>2023</v>
      </c>
      <c r="V445" s="28">
        <f>1/(1+Calculation_Assumptions!$B$5)^(B445-Calculation_Assumptions!$B$2)</f>
        <v>0.970873786407767</v>
      </c>
      <c r="W445" s="21">
        <f t="shared" si="66"/>
        <v>11683120.366744475</v>
      </c>
      <c r="X445" s="21">
        <f t="shared" si="67"/>
        <v>13105402.956490403</v>
      </c>
      <c r="Y445" s="21">
        <f t="shared" si="68"/>
        <v>1422282.5897459285</v>
      </c>
      <c r="Z445" s="15">
        <f>IFERROR(INDEX(Cost_Components!$T$2:$T$27,MATCH(E445,Cost_Components!$A$2:$A$27,0)),"")</f>
        <v>0.8</v>
      </c>
      <c r="AA445" s="24">
        <f>IFERROR(INDEX(Cost_Components!$U$2:$U$27,MATCH(E445,Cost_Components!$A$2:$A$27,0)),"")</f>
        <v>2025</v>
      </c>
      <c r="AB445" s="24">
        <f>IFERROR(INDEX(Cost_Components!$V$2:$V$27,MATCH(E445,Cost_Components!$A$2:$A$27,0)),"")</f>
        <v>2050</v>
      </c>
      <c r="AC445" s="24">
        <f>IFERROR(INDEX(Cost_Components!$M$2:$M$27,MATCH(E445,Cost_Components!$A$2:$A$27,0)),"")</f>
        <v>5</v>
      </c>
      <c r="AD445" s="24">
        <f>IFERROR(INDEX(Cost_Components!$N$2:$N$27,MATCH(E445,Cost_Components!$A$2:$A$27,0)),"")</f>
        <v>39</v>
      </c>
      <c r="AE445" s="14" t="str">
        <f>IFERROR(INDEX(Cost_Components!$O$2:$O$27,MATCH(E445,Cost_Components!$A$2:$A$27,0)),"")</f>
        <v>Both</v>
      </c>
      <c r="AF445" s="11">
        <v>763376.45379439904</v>
      </c>
      <c r="AG445" s="11">
        <v>763274.26719122799</v>
      </c>
      <c r="AH445" s="21">
        <f t="shared" si="69"/>
        <v>1</v>
      </c>
    </row>
    <row r="446" spans="1:34">
      <c r="A446" t="s">
        <v>205</v>
      </c>
      <c r="B446" s="18">
        <v>2027</v>
      </c>
      <c r="C446" t="s">
        <v>205</v>
      </c>
      <c r="D446" t="s">
        <v>209</v>
      </c>
      <c r="E446" s="20" t="s">
        <v>300</v>
      </c>
      <c r="F446" s="20" t="s">
        <v>301</v>
      </c>
      <c r="G446" s="20" t="s">
        <v>206</v>
      </c>
      <c r="H446" s="20" t="s">
        <v>192</v>
      </c>
      <c r="I446" s="20" t="s">
        <v>264</v>
      </c>
      <c r="J446" s="15">
        <f>IFERROR(INDEX(Cost_Components!$K$2:$K$27,MATCH(E446,Cost_Components!$A$2:$A$27,0)),"")</f>
        <v>1</v>
      </c>
      <c r="K446" s="15">
        <f t="shared" si="60"/>
        <v>0.36653846153846154</v>
      </c>
      <c r="L446" s="15">
        <f>IFERROR(INDEX(Cost_Components!$S$2:$S$27,MATCH(E446,Cost_Components!$A$2:$A$27,0)),"")</f>
        <v>0.31</v>
      </c>
      <c r="M446" s="26">
        <f>IFERROR(INDEX(Cost_Components!$L$2:$L$27,MATCH(E446,Cost_Components!$A$2:$A$27,0)),"")</f>
        <v>1</v>
      </c>
      <c r="N446" s="27">
        <f>IFERROR(INDEX(Cost_Components!$P$2:$P$27,MATCH(E446,Cost_Components!$A$2:$A$27,0)),"")</f>
        <v>50.857354000000001</v>
      </c>
      <c r="O446" s="21">
        <f t="shared" si="61"/>
        <v>766886.19067063404</v>
      </c>
      <c r="P446" s="21">
        <f t="shared" si="62"/>
        <v>766686.51586793701</v>
      </c>
      <c r="Q446" s="21">
        <f t="shared" si="63"/>
        <v>12087410.73880191</v>
      </c>
      <c r="R446" s="21">
        <f t="shared" si="64"/>
        <v>14295660.677017491</v>
      </c>
      <c r="S446" s="21">
        <f t="shared" si="65"/>
        <v>2208249.9382155817</v>
      </c>
      <c r="T446" s="14">
        <f>IFERROR(INDEX(Cost_Components!$R$2:$R$27,MATCH(E446,Cost_Components!$A$2:$A$27,0)),"")</f>
        <v>1</v>
      </c>
      <c r="U446" s="24">
        <f>IFERROR(INDEX(Cost_Components!$Q$2:$Q$27,MATCH(E446,Cost_Components!$A$2:$A$27,0)),"")</f>
        <v>2023</v>
      </c>
      <c r="V446" s="28">
        <f>1/(1+Calculation_Assumptions!$B$5)^(B446-Calculation_Assumptions!$B$2)</f>
        <v>0.94259590913375435</v>
      </c>
      <c r="W446" s="21">
        <f t="shared" si="66"/>
        <v>11393543.914414091</v>
      </c>
      <c r="X446" s="21">
        <f t="shared" si="67"/>
        <v>13475031.272520965</v>
      </c>
      <c r="Y446" s="21">
        <f t="shared" si="68"/>
        <v>2081487.358106873</v>
      </c>
      <c r="Z446" s="15">
        <f>IFERROR(INDEX(Cost_Components!$T$2:$T$27,MATCH(E446,Cost_Components!$A$2:$A$27,0)),"")</f>
        <v>0.8</v>
      </c>
      <c r="AA446" s="24">
        <f>IFERROR(INDEX(Cost_Components!$U$2:$U$27,MATCH(E446,Cost_Components!$A$2:$A$27,0)),"")</f>
        <v>2025</v>
      </c>
      <c r="AB446" s="24">
        <f>IFERROR(INDEX(Cost_Components!$V$2:$V$27,MATCH(E446,Cost_Components!$A$2:$A$27,0)),"")</f>
        <v>2050</v>
      </c>
      <c r="AC446" s="24">
        <f>IFERROR(INDEX(Cost_Components!$M$2:$M$27,MATCH(E446,Cost_Components!$A$2:$A$27,0)),"")</f>
        <v>5</v>
      </c>
      <c r="AD446" s="24">
        <f>IFERROR(INDEX(Cost_Components!$N$2:$N$27,MATCH(E446,Cost_Components!$A$2:$A$27,0)),"")</f>
        <v>39</v>
      </c>
      <c r="AE446" s="14" t="str">
        <f>IFERROR(INDEX(Cost_Components!$O$2:$O$27,MATCH(E446,Cost_Components!$A$2:$A$27,0)),"")</f>
        <v>Both</v>
      </c>
      <c r="AF446" s="11">
        <v>766886.19067063404</v>
      </c>
      <c r="AG446" s="11">
        <v>766686.51586793701</v>
      </c>
      <c r="AH446" s="21">
        <f t="shared" si="69"/>
        <v>1</v>
      </c>
    </row>
    <row r="447" spans="1:34">
      <c r="A447" t="s">
        <v>205</v>
      </c>
      <c r="B447" s="18">
        <v>2028</v>
      </c>
      <c r="C447" t="s">
        <v>205</v>
      </c>
      <c r="D447" t="s">
        <v>209</v>
      </c>
      <c r="E447" s="20" t="s">
        <v>300</v>
      </c>
      <c r="F447" s="20" t="s">
        <v>301</v>
      </c>
      <c r="G447" s="20" t="s">
        <v>206</v>
      </c>
      <c r="H447" s="20" t="s">
        <v>192</v>
      </c>
      <c r="I447" s="20" t="s">
        <v>264</v>
      </c>
      <c r="J447" s="15">
        <f>IFERROR(INDEX(Cost_Components!$K$2:$K$27,MATCH(E447,Cost_Components!$A$2:$A$27,0)),"")</f>
        <v>1</v>
      </c>
      <c r="K447" s="15">
        <f t="shared" si="60"/>
        <v>0.38538461538461538</v>
      </c>
      <c r="L447" s="15">
        <f>IFERROR(INDEX(Cost_Components!$S$2:$S$27,MATCH(E447,Cost_Components!$A$2:$A$27,0)),"")</f>
        <v>0.31</v>
      </c>
      <c r="M447" s="26">
        <f>IFERROR(INDEX(Cost_Components!$L$2:$L$27,MATCH(E447,Cost_Components!$A$2:$A$27,0)),"")</f>
        <v>1</v>
      </c>
      <c r="N447" s="27">
        <f>IFERROR(INDEX(Cost_Components!$P$2:$P$27,MATCH(E447,Cost_Components!$A$2:$A$27,0)),"")</f>
        <v>50.857354000000001</v>
      </c>
      <c r="O447" s="21">
        <f t="shared" si="61"/>
        <v>770551.07855241396</v>
      </c>
      <c r="P447" s="21">
        <f t="shared" si="62"/>
        <v>770226.00636820705</v>
      </c>
      <c r="Q447" s="21">
        <f t="shared" si="63"/>
        <v>12143213.566420991</v>
      </c>
      <c r="R447" s="21">
        <f t="shared" si="64"/>
        <v>15102525.13652922</v>
      </c>
      <c r="S447" s="21">
        <f t="shared" si="65"/>
        <v>2959311.5701082293</v>
      </c>
      <c r="T447" s="14">
        <f>IFERROR(INDEX(Cost_Components!$R$2:$R$27,MATCH(E447,Cost_Components!$A$2:$A$27,0)),"")</f>
        <v>1</v>
      </c>
      <c r="U447" s="24">
        <f>IFERROR(INDEX(Cost_Components!$Q$2:$Q$27,MATCH(E447,Cost_Components!$A$2:$A$27,0)),"")</f>
        <v>2023</v>
      </c>
      <c r="V447" s="28">
        <f>1/(1+Calculation_Assumptions!$B$5)^(B447-Calculation_Assumptions!$B$2)</f>
        <v>0.91514165935315961</v>
      </c>
      <c r="W447" s="21">
        <f t="shared" si="66"/>
        <v>11112760.613054305</v>
      </c>
      <c r="X447" s="21">
        <f t="shared" si="67"/>
        <v>13820949.913866155</v>
      </c>
      <c r="Y447" s="21">
        <f t="shared" si="68"/>
        <v>2708189.3008118491</v>
      </c>
      <c r="Z447" s="15">
        <f>IFERROR(INDEX(Cost_Components!$T$2:$T$27,MATCH(E447,Cost_Components!$A$2:$A$27,0)),"")</f>
        <v>0.8</v>
      </c>
      <c r="AA447" s="24">
        <f>IFERROR(INDEX(Cost_Components!$U$2:$U$27,MATCH(E447,Cost_Components!$A$2:$A$27,0)),"")</f>
        <v>2025</v>
      </c>
      <c r="AB447" s="24">
        <f>IFERROR(INDEX(Cost_Components!$V$2:$V$27,MATCH(E447,Cost_Components!$A$2:$A$27,0)),"")</f>
        <v>2050</v>
      </c>
      <c r="AC447" s="24">
        <f>IFERROR(INDEX(Cost_Components!$M$2:$M$27,MATCH(E447,Cost_Components!$A$2:$A$27,0)),"")</f>
        <v>5</v>
      </c>
      <c r="AD447" s="24">
        <f>IFERROR(INDEX(Cost_Components!$N$2:$N$27,MATCH(E447,Cost_Components!$A$2:$A$27,0)),"")</f>
        <v>39</v>
      </c>
      <c r="AE447" s="14" t="str">
        <f>IFERROR(INDEX(Cost_Components!$O$2:$O$27,MATCH(E447,Cost_Components!$A$2:$A$27,0)),"")</f>
        <v>Both</v>
      </c>
      <c r="AF447" s="11">
        <v>770551.07855241396</v>
      </c>
      <c r="AG447" s="11">
        <v>770226.00636820705</v>
      </c>
      <c r="AH447" s="21">
        <f t="shared" si="69"/>
        <v>1</v>
      </c>
    </row>
    <row r="448" spans="1:34">
      <c r="A448" t="s">
        <v>205</v>
      </c>
      <c r="B448" s="18">
        <v>2029</v>
      </c>
      <c r="C448" t="s">
        <v>205</v>
      </c>
      <c r="D448" t="s">
        <v>209</v>
      </c>
      <c r="E448" s="20" t="s">
        <v>300</v>
      </c>
      <c r="F448" s="20" t="s">
        <v>301</v>
      </c>
      <c r="G448" s="20" t="s">
        <v>206</v>
      </c>
      <c r="H448" s="20" t="s">
        <v>192</v>
      </c>
      <c r="I448" s="20" t="s">
        <v>264</v>
      </c>
      <c r="J448" s="15">
        <f>IFERROR(INDEX(Cost_Components!$K$2:$K$27,MATCH(E448,Cost_Components!$A$2:$A$27,0)),"")</f>
        <v>1</v>
      </c>
      <c r="K448" s="15">
        <f t="shared" si="60"/>
        <v>0.40423076923076923</v>
      </c>
      <c r="L448" s="15">
        <f>IFERROR(INDEX(Cost_Components!$S$2:$S$27,MATCH(E448,Cost_Components!$A$2:$A$27,0)),"")</f>
        <v>0.31</v>
      </c>
      <c r="M448" s="26">
        <f>IFERROR(INDEX(Cost_Components!$L$2:$L$27,MATCH(E448,Cost_Components!$A$2:$A$27,0)),"")</f>
        <v>1</v>
      </c>
      <c r="N448" s="27">
        <f>IFERROR(INDEX(Cost_Components!$P$2:$P$27,MATCH(E448,Cost_Components!$A$2:$A$27,0)),"")</f>
        <v>50.857354000000001</v>
      </c>
      <c r="O448" s="21">
        <f t="shared" si="61"/>
        <v>774289.56762220606</v>
      </c>
      <c r="P448" s="21">
        <f t="shared" si="62"/>
        <v>773813.40292375803</v>
      </c>
      <c r="Q448" s="21">
        <f t="shared" si="63"/>
        <v>12199771.67035584</v>
      </c>
      <c r="R448" s="21">
        <f t="shared" si="64"/>
        <v>15917928.03448539</v>
      </c>
      <c r="S448" s="21">
        <f t="shared" si="65"/>
        <v>3718156.3641295508</v>
      </c>
      <c r="T448" s="14">
        <f>IFERROR(INDEX(Cost_Components!$R$2:$R$27,MATCH(E448,Cost_Components!$A$2:$A$27,0)),"")</f>
        <v>1</v>
      </c>
      <c r="U448" s="24">
        <f>IFERROR(INDEX(Cost_Components!$Q$2:$Q$27,MATCH(E448,Cost_Components!$A$2:$A$27,0)),"")</f>
        <v>2023</v>
      </c>
      <c r="V448" s="28">
        <f>1/(1+Calculation_Assumptions!$B$5)^(B448-Calculation_Assumptions!$B$2)</f>
        <v>0.888487047915689</v>
      </c>
      <c r="W448" s="21">
        <f t="shared" si="66"/>
        <v>10839339.116639914</v>
      </c>
      <c r="X448" s="21">
        <f t="shared" si="67"/>
        <v>14142872.888294309</v>
      </c>
      <c r="Y448" s="21">
        <f t="shared" si="68"/>
        <v>3303533.7716543963</v>
      </c>
      <c r="Z448" s="15">
        <f>IFERROR(INDEX(Cost_Components!$T$2:$T$27,MATCH(E448,Cost_Components!$A$2:$A$27,0)),"")</f>
        <v>0.8</v>
      </c>
      <c r="AA448" s="24">
        <f>IFERROR(INDEX(Cost_Components!$U$2:$U$27,MATCH(E448,Cost_Components!$A$2:$A$27,0)),"")</f>
        <v>2025</v>
      </c>
      <c r="AB448" s="24">
        <f>IFERROR(INDEX(Cost_Components!$V$2:$V$27,MATCH(E448,Cost_Components!$A$2:$A$27,0)),"")</f>
        <v>2050</v>
      </c>
      <c r="AC448" s="24">
        <f>IFERROR(INDEX(Cost_Components!$M$2:$M$27,MATCH(E448,Cost_Components!$A$2:$A$27,0)),"")</f>
        <v>5</v>
      </c>
      <c r="AD448" s="24">
        <f>IFERROR(INDEX(Cost_Components!$N$2:$N$27,MATCH(E448,Cost_Components!$A$2:$A$27,0)),"")</f>
        <v>39</v>
      </c>
      <c r="AE448" s="14" t="str">
        <f>IFERROR(INDEX(Cost_Components!$O$2:$O$27,MATCH(E448,Cost_Components!$A$2:$A$27,0)),"")</f>
        <v>Both</v>
      </c>
      <c r="AF448" s="11">
        <v>774289.56762220606</v>
      </c>
      <c r="AG448" s="11">
        <v>773813.40292375803</v>
      </c>
      <c r="AH448" s="21">
        <f t="shared" si="69"/>
        <v>1</v>
      </c>
    </row>
    <row r="449" spans="1:34">
      <c r="A449" t="s">
        <v>205</v>
      </c>
      <c r="B449" s="18">
        <v>2030</v>
      </c>
      <c r="C449" t="s">
        <v>205</v>
      </c>
      <c r="D449" t="s">
        <v>209</v>
      </c>
      <c r="E449" s="20" t="s">
        <v>300</v>
      </c>
      <c r="F449" s="20" t="s">
        <v>301</v>
      </c>
      <c r="G449" s="20" t="s">
        <v>206</v>
      </c>
      <c r="H449" s="20" t="s">
        <v>192</v>
      </c>
      <c r="I449" s="20" t="s">
        <v>264</v>
      </c>
      <c r="J449" s="15">
        <f>IFERROR(INDEX(Cost_Components!$K$2:$K$27,MATCH(E449,Cost_Components!$A$2:$A$27,0)),"")</f>
        <v>1</v>
      </c>
      <c r="K449" s="15">
        <f t="shared" si="60"/>
        <v>0.42307692307692307</v>
      </c>
      <c r="L449" s="15">
        <f>IFERROR(INDEX(Cost_Components!$S$2:$S$27,MATCH(E449,Cost_Components!$A$2:$A$27,0)),"")</f>
        <v>0.31</v>
      </c>
      <c r="M449" s="26">
        <f>IFERROR(INDEX(Cost_Components!$L$2:$L$27,MATCH(E449,Cost_Components!$A$2:$A$27,0)),"")</f>
        <v>1</v>
      </c>
      <c r="N449" s="27">
        <f>IFERROR(INDEX(Cost_Components!$P$2:$P$27,MATCH(E449,Cost_Components!$A$2:$A$27,0)),"")</f>
        <v>50.857354000000001</v>
      </c>
      <c r="O449" s="21">
        <f t="shared" si="61"/>
        <v>778303.26620936801</v>
      </c>
      <c r="P449" s="21">
        <f t="shared" si="62"/>
        <v>777651.73673051805</v>
      </c>
      <c r="Q449" s="21">
        <f t="shared" si="63"/>
        <v>12260285.995721815</v>
      </c>
      <c r="R449" s="21">
        <f t="shared" si="64"/>
        <v>16746418.923793335</v>
      </c>
      <c r="S449" s="21">
        <f t="shared" si="65"/>
        <v>4486132.9280715194</v>
      </c>
      <c r="T449" s="14">
        <f>IFERROR(INDEX(Cost_Components!$R$2:$R$27,MATCH(E449,Cost_Components!$A$2:$A$27,0)),"")</f>
        <v>1</v>
      </c>
      <c r="U449" s="24">
        <f>IFERROR(INDEX(Cost_Components!$Q$2:$Q$27,MATCH(E449,Cost_Components!$A$2:$A$27,0)),"")</f>
        <v>2023</v>
      </c>
      <c r="V449" s="28">
        <f>1/(1+Calculation_Assumptions!$B$5)^(B449-Calculation_Assumptions!$B$2)</f>
        <v>0.86260878438416411</v>
      </c>
      <c r="W449" s="21">
        <f t="shared" si="66"/>
        <v>10575830.398971787</v>
      </c>
      <c r="X449" s="21">
        <f t="shared" si="67"/>
        <v>14445608.07064133</v>
      </c>
      <c r="Y449" s="21">
        <f t="shared" si="68"/>
        <v>3869777.6716695442</v>
      </c>
      <c r="Z449" s="15">
        <f>IFERROR(INDEX(Cost_Components!$T$2:$T$27,MATCH(E449,Cost_Components!$A$2:$A$27,0)),"")</f>
        <v>0.8</v>
      </c>
      <c r="AA449" s="24">
        <f>IFERROR(INDEX(Cost_Components!$U$2:$U$27,MATCH(E449,Cost_Components!$A$2:$A$27,0)),"")</f>
        <v>2025</v>
      </c>
      <c r="AB449" s="24">
        <f>IFERROR(INDEX(Cost_Components!$V$2:$V$27,MATCH(E449,Cost_Components!$A$2:$A$27,0)),"")</f>
        <v>2050</v>
      </c>
      <c r="AC449" s="24">
        <f>IFERROR(INDEX(Cost_Components!$M$2:$M$27,MATCH(E449,Cost_Components!$A$2:$A$27,0)),"")</f>
        <v>5</v>
      </c>
      <c r="AD449" s="24">
        <f>IFERROR(INDEX(Cost_Components!$N$2:$N$27,MATCH(E449,Cost_Components!$A$2:$A$27,0)),"")</f>
        <v>39</v>
      </c>
      <c r="AE449" s="14" t="str">
        <f>IFERROR(INDEX(Cost_Components!$O$2:$O$27,MATCH(E449,Cost_Components!$A$2:$A$27,0)),"")</f>
        <v>Both</v>
      </c>
      <c r="AF449" s="11">
        <v>778303.26620936801</v>
      </c>
      <c r="AG449" s="11">
        <v>777651.73673051805</v>
      </c>
      <c r="AH449" s="21">
        <f t="shared" si="69"/>
        <v>1</v>
      </c>
    </row>
    <row r="450" spans="1:34">
      <c r="A450" t="s">
        <v>205</v>
      </c>
      <c r="B450" s="18">
        <v>2031</v>
      </c>
      <c r="C450" t="s">
        <v>205</v>
      </c>
      <c r="D450" t="s">
        <v>209</v>
      </c>
      <c r="E450" s="20" t="s">
        <v>300</v>
      </c>
      <c r="F450" s="20" t="s">
        <v>301</v>
      </c>
      <c r="G450" s="20" t="s">
        <v>206</v>
      </c>
      <c r="H450" s="20" t="s">
        <v>192</v>
      </c>
      <c r="I450" s="20" t="s">
        <v>264</v>
      </c>
      <c r="J450" s="15">
        <f>IFERROR(INDEX(Cost_Components!$K$2:$K$27,MATCH(E450,Cost_Components!$A$2:$A$27,0)),"")</f>
        <v>1</v>
      </c>
      <c r="K450" s="15">
        <f t="shared" ref="K450:K513" si="70">IF(OR(L450="",Z450="",AA450="",AB450=""),"",IF(B450&lt;AA450,L450,IF(B450&gt;AB450,Z450,L450+(Z450-L450)*MIN(MAX((B450-AA450+1)/MAX(AB450-AA450+1,1),0),1))))</f>
        <v>0.44192307692307692</v>
      </c>
      <c r="L450" s="15">
        <f>IFERROR(INDEX(Cost_Components!$S$2:$S$27,MATCH(E450,Cost_Components!$A$2:$A$27,0)),"")</f>
        <v>0.31</v>
      </c>
      <c r="M450" s="26">
        <f>IFERROR(INDEX(Cost_Components!$L$2:$L$27,MATCH(E450,Cost_Components!$A$2:$A$27,0)),"")</f>
        <v>1</v>
      </c>
      <c r="N450" s="27">
        <f>IFERROR(INDEX(Cost_Components!$P$2:$P$27,MATCH(E450,Cost_Components!$A$2:$A$27,0)),"")</f>
        <v>50.857354000000001</v>
      </c>
      <c r="O450" s="21">
        <f t="shared" ref="O450:O513" si="71">AF450*J450</f>
        <v>782979.94989060401</v>
      </c>
      <c r="P450" s="21">
        <f t="shared" ref="P450:P513" si="72">AG450*J450</f>
        <v>782129.54999654798</v>
      </c>
      <c r="Q450" s="21">
        <f t="shared" ref="Q450:Q513" si="73">P450*L450*M450*N450</f>
        <v>12330882.213390894</v>
      </c>
      <c r="R450" s="21">
        <f t="shared" ref="R450:R513" si="74">O450*K450*M450*N450</f>
        <v>17597504.411913663</v>
      </c>
      <c r="S450" s="21">
        <f t="shared" ref="S450:S513" si="75">R450-Q450</f>
        <v>5266622.1985227689</v>
      </c>
      <c r="T450" s="14">
        <f>IFERROR(INDEX(Cost_Components!$R$2:$R$27,MATCH(E450,Cost_Components!$A$2:$A$27,0)),"")</f>
        <v>1</v>
      </c>
      <c r="U450" s="24">
        <f>IFERROR(INDEX(Cost_Components!$Q$2:$Q$27,MATCH(E450,Cost_Components!$A$2:$A$27,0)),"")</f>
        <v>2023</v>
      </c>
      <c r="V450" s="28">
        <f>1/(1+Calculation_Assumptions!$B$5)^(B450-Calculation_Assumptions!$B$2)</f>
        <v>0.83748425668365445</v>
      </c>
      <c r="W450" s="21">
        <f t="shared" ref="W450:W513" si="76">Q450*V450</f>
        <v>10326919.724735368</v>
      </c>
      <c r="X450" s="21">
        <f t="shared" ref="X450:X513" si="77">R450*V450</f>
        <v>14737632.901898844</v>
      </c>
      <c r="Y450" s="21">
        <f t="shared" ref="Y450:Y513" si="78">S450*V450</f>
        <v>4410713.1771634752</v>
      </c>
      <c r="Z450" s="15">
        <f>IFERROR(INDEX(Cost_Components!$T$2:$T$27,MATCH(E450,Cost_Components!$A$2:$A$27,0)),"")</f>
        <v>0.8</v>
      </c>
      <c r="AA450" s="24">
        <f>IFERROR(INDEX(Cost_Components!$U$2:$U$27,MATCH(E450,Cost_Components!$A$2:$A$27,0)),"")</f>
        <v>2025</v>
      </c>
      <c r="AB450" s="24">
        <f>IFERROR(INDEX(Cost_Components!$V$2:$V$27,MATCH(E450,Cost_Components!$A$2:$A$27,0)),"")</f>
        <v>2050</v>
      </c>
      <c r="AC450" s="24">
        <f>IFERROR(INDEX(Cost_Components!$M$2:$M$27,MATCH(E450,Cost_Components!$A$2:$A$27,0)),"")</f>
        <v>5</v>
      </c>
      <c r="AD450" s="24">
        <f>IFERROR(INDEX(Cost_Components!$N$2:$N$27,MATCH(E450,Cost_Components!$A$2:$A$27,0)),"")</f>
        <v>39</v>
      </c>
      <c r="AE450" s="14" t="str">
        <f>IFERROR(INDEX(Cost_Components!$O$2:$O$27,MATCH(E450,Cost_Components!$A$2:$A$27,0)),"")</f>
        <v>Both</v>
      </c>
      <c r="AF450" s="11">
        <v>782979.94989060401</v>
      </c>
      <c r="AG450" s="11">
        <v>782129.54999654798</v>
      </c>
      <c r="AH450" s="21">
        <f t="shared" ref="AH450:AH513" si="79">IF(H450="shared-count-once",COUNTIFS($A$2:$A$1353,A450,$B$2:$B$1353,B450,$E$2:$E$1353,E450),1)</f>
        <v>1</v>
      </c>
    </row>
    <row r="451" spans="1:34">
      <c r="A451" t="s">
        <v>205</v>
      </c>
      <c r="B451" s="18">
        <v>2032</v>
      </c>
      <c r="C451" t="s">
        <v>205</v>
      </c>
      <c r="D451" t="s">
        <v>209</v>
      </c>
      <c r="E451" s="20" t="s">
        <v>300</v>
      </c>
      <c r="F451" s="20" t="s">
        <v>301</v>
      </c>
      <c r="G451" s="20" t="s">
        <v>206</v>
      </c>
      <c r="H451" s="20" t="s">
        <v>192</v>
      </c>
      <c r="I451" s="20" t="s">
        <v>264</v>
      </c>
      <c r="J451" s="15">
        <f>IFERROR(INDEX(Cost_Components!$K$2:$K$27,MATCH(E451,Cost_Components!$A$2:$A$27,0)),"")</f>
        <v>1</v>
      </c>
      <c r="K451" s="15">
        <f t="shared" si="70"/>
        <v>0.46076923076923082</v>
      </c>
      <c r="L451" s="15">
        <f>IFERROR(INDEX(Cost_Components!$S$2:$S$27,MATCH(E451,Cost_Components!$A$2:$A$27,0)),"")</f>
        <v>0.31</v>
      </c>
      <c r="M451" s="26">
        <f>IFERROR(INDEX(Cost_Components!$L$2:$L$27,MATCH(E451,Cost_Components!$A$2:$A$27,0)),"")</f>
        <v>1</v>
      </c>
      <c r="N451" s="27">
        <f>IFERROR(INDEX(Cost_Components!$P$2:$P$27,MATCH(E451,Cost_Components!$A$2:$A$27,0)),"")</f>
        <v>50.857354000000001</v>
      </c>
      <c r="O451" s="21">
        <f t="shared" si="71"/>
        <v>788118.28303341696</v>
      </c>
      <c r="P451" s="21">
        <f t="shared" si="72"/>
        <v>787046.58608845004</v>
      </c>
      <c r="Q451" s="21">
        <f t="shared" si="73"/>
        <v>12408403.121389452</v>
      </c>
      <c r="R451" s="21">
        <f t="shared" si="74"/>
        <v>18468372.844575007</v>
      </c>
      <c r="S451" s="21">
        <f t="shared" si="75"/>
        <v>6059969.7231855541</v>
      </c>
      <c r="T451" s="14">
        <f>IFERROR(INDEX(Cost_Components!$R$2:$R$27,MATCH(E451,Cost_Components!$A$2:$A$27,0)),"")</f>
        <v>1</v>
      </c>
      <c r="U451" s="24">
        <f>IFERROR(INDEX(Cost_Components!$Q$2:$Q$27,MATCH(E451,Cost_Components!$A$2:$A$27,0)),"")</f>
        <v>2023</v>
      </c>
      <c r="V451" s="28">
        <f>1/(1+Calculation_Assumptions!$B$5)^(B451-Calculation_Assumptions!$B$2)</f>
        <v>0.81309151134335378</v>
      </c>
      <c r="W451" s="21">
        <f t="shared" si="76"/>
        <v>10089167.247328138</v>
      </c>
      <c r="X451" s="21">
        <f t="shared" si="77"/>
        <v>15016477.188248046</v>
      </c>
      <c r="Y451" s="21">
        <f t="shared" si="78"/>
        <v>4927309.9409199078</v>
      </c>
      <c r="Z451" s="15">
        <f>IFERROR(INDEX(Cost_Components!$T$2:$T$27,MATCH(E451,Cost_Components!$A$2:$A$27,0)),"")</f>
        <v>0.8</v>
      </c>
      <c r="AA451" s="24">
        <f>IFERROR(INDEX(Cost_Components!$U$2:$U$27,MATCH(E451,Cost_Components!$A$2:$A$27,0)),"")</f>
        <v>2025</v>
      </c>
      <c r="AB451" s="24">
        <f>IFERROR(INDEX(Cost_Components!$V$2:$V$27,MATCH(E451,Cost_Components!$A$2:$A$27,0)),"")</f>
        <v>2050</v>
      </c>
      <c r="AC451" s="24">
        <f>IFERROR(INDEX(Cost_Components!$M$2:$M$27,MATCH(E451,Cost_Components!$A$2:$A$27,0)),"")</f>
        <v>5</v>
      </c>
      <c r="AD451" s="24">
        <f>IFERROR(INDEX(Cost_Components!$N$2:$N$27,MATCH(E451,Cost_Components!$A$2:$A$27,0)),"")</f>
        <v>39</v>
      </c>
      <c r="AE451" s="14" t="str">
        <f>IFERROR(INDEX(Cost_Components!$O$2:$O$27,MATCH(E451,Cost_Components!$A$2:$A$27,0)),"")</f>
        <v>Both</v>
      </c>
      <c r="AF451" s="11">
        <v>788118.28303341696</v>
      </c>
      <c r="AG451" s="11">
        <v>787046.58608845004</v>
      </c>
      <c r="AH451" s="21">
        <f t="shared" si="79"/>
        <v>1</v>
      </c>
    </row>
    <row r="452" spans="1:34">
      <c r="A452" t="s">
        <v>205</v>
      </c>
      <c r="B452" s="18">
        <v>2033</v>
      </c>
      <c r="C452" t="s">
        <v>205</v>
      </c>
      <c r="D452" t="s">
        <v>209</v>
      </c>
      <c r="E452" s="20" t="s">
        <v>300</v>
      </c>
      <c r="F452" s="20" t="s">
        <v>301</v>
      </c>
      <c r="G452" s="20" t="s">
        <v>206</v>
      </c>
      <c r="H452" s="20" t="s">
        <v>192</v>
      </c>
      <c r="I452" s="20" t="s">
        <v>264</v>
      </c>
      <c r="J452" s="15">
        <f>IFERROR(INDEX(Cost_Components!$K$2:$K$27,MATCH(E452,Cost_Components!$A$2:$A$27,0)),"")</f>
        <v>1</v>
      </c>
      <c r="K452" s="15">
        <f t="shared" si="70"/>
        <v>0.47961538461538467</v>
      </c>
      <c r="L452" s="15">
        <f>IFERROR(INDEX(Cost_Components!$S$2:$S$27,MATCH(E452,Cost_Components!$A$2:$A$27,0)),"")</f>
        <v>0.31</v>
      </c>
      <c r="M452" s="26">
        <f>IFERROR(INDEX(Cost_Components!$L$2:$L$27,MATCH(E452,Cost_Components!$A$2:$A$27,0)),"")</f>
        <v>1</v>
      </c>
      <c r="N452" s="27">
        <f>IFERROR(INDEX(Cost_Components!$P$2:$P$27,MATCH(E452,Cost_Components!$A$2:$A$27,0)),"")</f>
        <v>50.857354000000001</v>
      </c>
      <c r="O452" s="21">
        <f t="shared" si="71"/>
        <v>793204.36320100306</v>
      </c>
      <c r="P452" s="21">
        <f t="shared" si="72"/>
        <v>791890.50355605502</v>
      </c>
      <c r="Q452" s="21">
        <f t="shared" si="73"/>
        <v>12484771.25726245</v>
      </c>
      <c r="R452" s="21">
        <f t="shared" si="74"/>
        <v>19347816.554535199</v>
      </c>
      <c r="S452" s="21">
        <f t="shared" si="75"/>
        <v>6863045.2972727492</v>
      </c>
      <c r="T452" s="14">
        <f>IFERROR(INDEX(Cost_Components!$R$2:$R$27,MATCH(E452,Cost_Components!$A$2:$A$27,0)),"")</f>
        <v>1</v>
      </c>
      <c r="U452" s="24">
        <f>IFERROR(INDEX(Cost_Components!$Q$2:$Q$27,MATCH(E452,Cost_Components!$A$2:$A$27,0)),"")</f>
        <v>2023</v>
      </c>
      <c r="V452" s="28">
        <f>1/(1+Calculation_Assumptions!$B$5)^(B452-Calculation_Assumptions!$B$2)</f>
        <v>0.78940923431393573</v>
      </c>
      <c r="W452" s="21">
        <f t="shared" si="76"/>
        <v>9855593.7187801823</v>
      </c>
      <c r="X452" s="21">
        <f t="shared" si="77"/>
        <v>15273345.051962122</v>
      </c>
      <c r="Y452" s="21">
        <f t="shared" si="78"/>
        <v>5417751.3331819382</v>
      </c>
      <c r="Z452" s="15">
        <f>IFERROR(INDEX(Cost_Components!$T$2:$T$27,MATCH(E452,Cost_Components!$A$2:$A$27,0)),"")</f>
        <v>0.8</v>
      </c>
      <c r="AA452" s="24">
        <f>IFERROR(INDEX(Cost_Components!$U$2:$U$27,MATCH(E452,Cost_Components!$A$2:$A$27,0)),"")</f>
        <v>2025</v>
      </c>
      <c r="AB452" s="24">
        <f>IFERROR(INDEX(Cost_Components!$V$2:$V$27,MATCH(E452,Cost_Components!$A$2:$A$27,0)),"")</f>
        <v>2050</v>
      </c>
      <c r="AC452" s="24">
        <f>IFERROR(INDEX(Cost_Components!$M$2:$M$27,MATCH(E452,Cost_Components!$A$2:$A$27,0)),"")</f>
        <v>5</v>
      </c>
      <c r="AD452" s="24">
        <f>IFERROR(INDEX(Cost_Components!$N$2:$N$27,MATCH(E452,Cost_Components!$A$2:$A$27,0)),"")</f>
        <v>39</v>
      </c>
      <c r="AE452" s="14" t="str">
        <f>IFERROR(INDEX(Cost_Components!$O$2:$O$27,MATCH(E452,Cost_Components!$A$2:$A$27,0)),"")</f>
        <v>Both</v>
      </c>
      <c r="AF452" s="11">
        <v>793204.36320100306</v>
      </c>
      <c r="AG452" s="11">
        <v>791890.50355605502</v>
      </c>
      <c r="AH452" s="21">
        <f t="shared" si="79"/>
        <v>1</v>
      </c>
    </row>
    <row r="453" spans="1:34">
      <c r="A453" t="s">
        <v>205</v>
      </c>
      <c r="B453" s="18">
        <v>2034</v>
      </c>
      <c r="C453" t="s">
        <v>205</v>
      </c>
      <c r="D453" t="s">
        <v>209</v>
      </c>
      <c r="E453" s="20" t="s">
        <v>300</v>
      </c>
      <c r="F453" s="20" t="s">
        <v>301</v>
      </c>
      <c r="G453" s="20" t="s">
        <v>206</v>
      </c>
      <c r="H453" s="20" t="s">
        <v>192</v>
      </c>
      <c r="I453" s="20" t="s">
        <v>264</v>
      </c>
      <c r="J453" s="15">
        <f>IFERROR(INDEX(Cost_Components!$K$2:$K$27,MATCH(E453,Cost_Components!$A$2:$A$27,0)),"")</f>
        <v>1</v>
      </c>
      <c r="K453" s="15">
        <f t="shared" si="70"/>
        <v>0.49846153846153851</v>
      </c>
      <c r="L453" s="15">
        <f>IFERROR(INDEX(Cost_Components!$S$2:$S$27,MATCH(E453,Cost_Components!$A$2:$A$27,0)),"")</f>
        <v>0.31</v>
      </c>
      <c r="M453" s="26">
        <f>IFERROR(INDEX(Cost_Components!$L$2:$L$27,MATCH(E453,Cost_Components!$A$2:$A$27,0)),"")</f>
        <v>1</v>
      </c>
      <c r="N453" s="27">
        <f>IFERROR(INDEX(Cost_Components!$P$2:$P$27,MATCH(E453,Cost_Components!$A$2:$A$27,0)),"")</f>
        <v>50.857354000000001</v>
      </c>
      <c r="O453" s="21">
        <f t="shared" si="71"/>
        <v>797786.498239971</v>
      </c>
      <c r="P453" s="21">
        <f t="shared" si="72"/>
        <v>796211.60219747201</v>
      </c>
      <c r="Q453" s="21">
        <f t="shared" si="73"/>
        <v>12552896.746677844</v>
      </c>
      <c r="R453" s="21">
        <f t="shared" si="74"/>
        <v>20224234.701232355</v>
      </c>
      <c r="S453" s="21">
        <f t="shared" si="75"/>
        <v>7671337.9545545112</v>
      </c>
      <c r="T453" s="14">
        <f>IFERROR(INDEX(Cost_Components!$R$2:$R$27,MATCH(E453,Cost_Components!$A$2:$A$27,0)),"")</f>
        <v>1</v>
      </c>
      <c r="U453" s="24">
        <f>IFERROR(INDEX(Cost_Components!$Q$2:$Q$27,MATCH(E453,Cost_Components!$A$2:$A$27,0)),"")</f>
        <v>2023</v>
      </c>
      <c r="V453" s="28">
        <f>1/(1+Calculation_Assumptions!$B$5)^(B453-Calculation_Assumptions!$B$2)</f>
        <v>0.76641673234362695</v>
      </c>
      <c r="W453" s="21">
        <f t="shared" si="76"/>
        <v>9620750.1060357783</v>
      </c>
      <c r="X453" s="21">
        <f t="shared" si="77"/>
        <v>15500191.873869089</v>
      </c>
      <c r="Y453" s="21">
        <f t="shared" si="78"/>
        <v>5879441.7678333111</v>
      </c>
      <c r="Z453" s="15">
        <f>IFERROR(INDEX(Cost_Components!$T$2:$T$27,MATCH(E453,Cost_Components!$A$2:$A$27,0)),"")</f>
        <v>0.8</v>
      </c>
      <c r="AA453" s="24">
        <f>IFERROR(INDEX(Cost_Components!$U$2:$U$27,MATCH(E453,Cost_Components!$A$2:$A$27,0)),"")</f>
        <v>2025</v>
      </c>
      <c r="AB453" s="24">
        <f>IFERROR(INDEX(Cost_Components!$V$2:$V$27,MATCH(E453,Cost_Components!$A$2:$A$27,0)),"")</f>
        <v>2050</v>
      </c>
      <c r="AC453" s="24">
        <f>IFERROR(INDEX(Cost_Components!$M$2:$M$27,MATCH(E453,Cost_Components!$A$2:$A$27,0)),"")</f>
        <v>5</v>
      </c>
      <c r="AD453" s="24">
        <f>IFERROR(INDEX(Cost_Components!$N$2:$N$27,MATCH(E453,Cost_Components!$A$2:$A$27,0)),"")</f>
        <v>39</v>
      </c>
      <c r="AE453" s="14" t="str">
        <f>IFERROR(INDEX(Cost_Components!$O$2:$O$27,MATCH(E453,Cost_Components!$A$2:$A$27,0)),"")</f>
        <v>Both</v>
      </c>
      <c r="AF453" s="11">
        <v>797786.498239971</v>
      </c>
      <c r="AG453" s="11">
        <v>796211.60219747201</v>
      </c>
      <c r="AH453" s="21">
        <f t="shared" si="79"/>
        <v>1</v>
      </c>
    </row>
    <row r="454" spans="1:34">
      <c r="A454" t="s">
        <v>205</v>
      </c>
      <c r="B454" s="18">
        <v>2035</v>
      </c>
      <c r="C454" t="s">
        <v>205</v>
      </c>
      <c r="D454" t="s">
        <v>209</v>
      </c>
      <c r="E454" s="20" t="s">
        <v>300</v>
      </c>
      <c r="F454" s="20" t="s">
        <v>301</v>
      </c>
      <c r="G454" s="20" t="s">
        <v>206</v>
      </c>
      <c r="H454" s="20" t="s">
        <v>192</v>
      </c>
      <c r="I454" s="20" t="s">
        <v>264</v>
      </c>
      <c r="J454" s="15">
        <f>IFERROR(INDEX(Cost_Components!$K$2:$K$27,MATCH(E454,Cost_Components!$A$2:$A$27,0)),"")</f>
        <v>1</v>
      </c>
      <c r="K454" s="15">
        <f t="shared" si="70"/>
        <v>0.51730769230769236</v>
      </c>
      <c r="L454" s="15">
        <f>IFERROR(INDEX(Cost_Components!$S$2:$S$27,MATCH(E454,Cost_Components!$A$2:$A$27,0)),"")</f>
        <v>0.31</v>
      </c>
      <c r="M454" s="26">
        <f>IFERROR(INDEX(Cost_Components!$L$2:$L$27,MATCH(E454,Cost_Components!$A$2:$A$27,0)),"")</f>
        <v>1</v>
      </c>
      <c r="N454" s="27">
        <f>IFERROR(INDEX(Cost_Components!$P$2:$P$27,MATCH(E454,Cost_Components!$A$2:$A$27,0)),"")</f>
        <v>50.857354000000001</v>
      </c>
      <c r="O454" s="21">
        <f t="shared" si="71"/>
        <v>801655.35946501105</v>
      </c>
      <c r="P454" s="21">
        <f t="shared" si="72"/>
        <v>799802.85680427903</v>
      </c>
      <c r="Q454" s="21">
        <f t="shared" si="73"/>
        <v>12609515.675799023</v>
      </c>
      <c r="R454" s="21">
        <f t="shared" si="74"/>
        <v>21090671.035040785</v>
      </c>
      <c r="S454" s="21">
        <f t="shared" si="75"/>
        <v>8481155.3592417613</v>
      </c>
      <c r="T454" s="14">
        <f>IFERROR(INDEX(Cost_Components!$R$2:$R$27,MATCH(E454,Cost_Components!$A$2:$A$27,0)),"")</f>
        <v>1</v>
      </c>
      <c r="U454" s="24">
        <f>IFERROR(INDEX(Cost_Components!$Q$2:$Q$27,MATCH(E454,Cost_Components!$A$2:$A$27,0)),"")</f>
        <v>2023</v>
      </c>
      <c r="V454" s="28">
        <f>1/(1+Calculation_Assumptions!$B$5)^(B454-Calculation_Assumptions!$B$2)</f>
        <v>0.74409391489672516</v>
      </c>
      <c r="W454" s="21">
        <f t="shared" si="76"/>
        <v>9382663.88415692</v>
      </c>
      <c r="X454" s="21">
        <f t="shared" si="77"/>
        <v>15693439.978262464</v>
      </c>
      <c r="Y454" s="21">
        <f t="shared" si="78"/>
        <v>6310776.0941055436</v>
      </c>
      <c r="Z454" s="15">
        <f>IFERROR(INDEX(Cost_Components!$T$2:$T$27,MATCH(E454,Cost_Components!$A$2:$A$27,0)),"")</f>
        <v>0.8</v>
      </c>
      <c r="AA454" s="24">
        <f>IFERROR(INDEX(Cost_Components!$U$2:$U$27,MATCH(E454,Cost_Components!$A$2:$A$27,0)),"")</f>
        <v>2025</v>
      </c>
      <c r="AB454" s="24">
        <f>IFERROR(INDEX(Cost_Components!$V$2:$V$27,MATCH(E454,Cost_Components!$A$2:$A$27,0)),"")</f>
        <v>2050</v>
      </c>
      <c r="AC454" s="24">
        <f>IFERROR(INDEX(Cost_Components!$M$2:$M$27,MATCH(E454,Cost_Components!$A$2:$A$27,0)),"")</f>
        <v>5</v>
      </c>
      <c r="AD454" s="24">
        <f>IFERROR(INDEX(Cost_Components!$N$2:$N$27,MATCH(E454,Cost_Components!$A$2:$A$27,0)),"")</f>
        <v>39</v>
      </c>
      <c r="AE454" s="14" t="str">
        <f>IFERROR(INDEX(Cost_Components!$O$2:$O$27,MATCH(E454,Cost_Components!$A$2:$A$27,0)),"")</f>
        <v>Both</v>
      </c>
      <c r="AF454" s="11">
        <v>801655.35946501105</v>
      </c>
      <c r="AG454" s="11">
        <v>799802.85680427903</v>
      </c>
      <c r="AH454" s="21">
        <f t="shared" si="79"/>
        <v>1</v>
      </c>
    </row>
    <row r="455" spans="1:34">
      <c r="A455" t="s">
        <v>205</v>
      </c>
      <c r="B455" s="18">
        <v>2036</v>
      </c>
      <c r="C455" t="s">
        <v>205</v>
      </c>
      <c r="D455" t="s">
        <v>209</v>
      </c>
      <c r="E455" s="20" t="s">
        <v>300</v>
      </c>
      <c r="F455" s="20" t="s">
        <v>301</v>
      </c>
      <c r="G455" s="20" t="s">
        <v>206</v>
      </c>
      <c r="H455" s="20" t="s">
        <v>192</v>
      </c>
      <c r="I455" s="20" t="s">
        <v>264</v>
      </c>
      <c r="J455" s="15">
        <f>IFERROR(INDEX(Cost_Components!$K$2:$K$27,MATCH(E455,Cost_Components!$A$2:$A$27,0)),"")</f>
        <v>1</v>
      </c>
      <c r="K455" s="15">
        <f t="shared" si="70"/>
        <v>0.5361538461538462</v>
      </c>
      <c r="L455" s="15">
        <f>IFERROR(INDEX(Cost_Components!$S$2:$S$27,MATCH(E455,Cost_Components!$A$2:$A$27,0)),"")</f>
        <v>0.31</v>
      </c>
      <c r="M455" s="26">
        <f>IFERROR(INDEX(Cost_Components!$L$2:$L$27,MATCH(E455,Cost_Components!$A$2:$A$27,0)),"")</f>
        <v>1</v>
      </c>
      <c r="N455" s="27">
        <f>IFERROR(INDEX(Cost_Components!$P$2:$P$27,MATCH(E455,Cost_Components!$A$2:$A$27,0)),"")</f>
        <v>50.857354000000001</v>
      </c>
      <c r="O455" s="21">
        <f t="shared" si="71"/>
        <v>805175.16630615399</v>
      </c>
      <c r="P455" s="21">
        <f t="shared" si="72"/>
        <v>803029.36931745498</v>
      </c>
      <c r="Q455" s="21">
        <f t="shared" si="73"/>
        <v>12660384.16141011</v>
      </c>
      <c r="R455" s="21">
        <f t="shared" si="74"/>
        <v>21955005.915380109</v>
      </c>
      <c r="S455" s="21">
        <f t="shared" si="75"/>
        <v>9294621.753969999</v>
      </c>
      <c r="T455" s="14">
        <f>IFERROR(INDEX(Cost_Components!$R$2:$R$27,MATCH(E455,Cost_Components!$A$2:$A$27,0)),"")</f>
        <v>1</v>
      </c>
      <c r="U455" s="24">
        <f>IFERROR(INDEX(Cost_Components!$Q$2:$Q$27,MATCH(E455,Cost_Components!$A$2:$A$27,0)),"")</f>
        <v>2023</v>
      </c>
      <c r="V455" s="28">
        <f>1/(1+Calculation_Assumptions!$B$5)^(B455-Calculation_Assumptions!$B$2)</f>
        <v>0.72242127659876232</v>
      </c>
      <c r="W455" s="21">
        <f t="shared" si="76"/>
        <v>9146130.8881166428</v>
      </c>
      <c r="X455" s="21">
        <f t="shared" si="77"/>
        <v>15860763.401122278</v>
      </c>
      <c r="Y455" s="21">
        <f t="shared" si="78"/>
        <v>6714632.5130056338</v>
      </c>
      <c r="Z455" s="15">
        <f>IFERROR(INDEX(Cost_Components!$T$2:$T$27,MATCH(E455,Cost_Components!$A$2:$A$27,0)),"")</f>
        <v>0.8</v>
      </c>
      <c r="AA455" s="24">
        <f>IFERROR(INDEX(Cost_Components!$U$2:$U$27,MATCH(E455,Cost_Components!$A$2:$A$27,0)),"")</f>
        <v>2025</v>
      </c>
      <c r="AB455" s="24">
        <f>IFERROR(INDEX(Cost_Components!$V$2:$V$27,MATCH(E455,Cost_Components!$A$2:$A$27,0)),"")</f>
        <v>2050</v>
      </c>
      <c r="AC455" s="24">
        <f>IFERROR(INDEX(Cost_Components!$M$2:$M$27,MATCH(E455,Cost_Components!$A$2:$A$27,0)),"")</f>
        <v>5</v>
      </c>
      <c r="AD455" s="24">
        <f>IFERROR(INDEX(Cost_Components!$N$2:$N$27,MATCH(E455,Cost_Components!$A$2:$A$27,0)),"")</f>
        <v>39</v>
      </c>
      <c r="AE455" s="14" t="str">
        <f>IFERROR(INDEX(Cost_Components!$O$2:$O$27,MATCH(E455,Cost_Components!$A$2:$A$27,0)),"")</f>
        <v>Both</v>
      </c>
      <c r="AF455" s="11">
        <v>805175.16630615399</v>
      </c>
      <c r="AG455" s="11">
        <v>803029.36931745498</v>
      </c>
      <c r="AH455" s="21">
        <f t="shared" si="79"/>
        <v>1</v>
      </c>
    </row>
    <row r="456" spans="1:34">
      <c r="A456" t="s">
        <v>205</v>
      </c>
      <c r="B456" s="18">
        <v>2037</v>
      </c>
      <c r="C456" t="s">
        <v>205</v>
      </c>
      <c r="D456" t="s">
        <v>209</v>
      </c>
      <c r="E456" s="20" t="s">
        <v>300</v>
      </c>
      <c r="F456" s="20" t="s">
        <v>301</v>
      </c>
      <c r="G456" s="20" t="s">
        <v>206</v>
      </c>
      <c r="H456" s="20" t="s">
        <v>192</v>
      </c>
      <c r="I456" s="20" t="s">
        <v>264</v>
      </c>
      <c r="J456" s="15">
        <f>IFERROR(INDEX(Cost_Components!$K$2:$K$27,MATCH(E456,Cost_Components!$A$2:$A$27,0)),"")</f>
        <v>1</v>
      </c>
      <c r="K456" s="15">
        <f t="shared" si="70"/>
        <v>0.55500000000000005</v>
      </c>
      <c r="L456" s="15">
        <f>IFERROR(INDEX(Cost_Components!$S$2:$S$27,MATCH(E456,Cost_Components!$A$2:$A$27,0)),"")</f>
        <v>0.31</v>
      </c>
      <c r="M456" s="26">
        <f>IFERROR(INDEX(Cost_Components!$L$2:$L$27,MATCH(E456,Cost_Components!$A$2:$A$27,0)),"")</f>
        <v>1</v>
      </c>
      <c r="N456" s="27">
        <f>IFERROR(INDEX(Cost_Components!$P$2:$P$27,MATCH(E456,Cost_Components!$A$2:$A$27,0)),"")</f>
        <v>50.857354000000001</v>
      </c>
      <c r="O456" s="21">
        <f t="shared" si="71"/>
        <v>808263.38015456405</v>
      </c>
      <c r="P456" s="21">
        <f t="shared" si="72"/>
        <v>805810.234480193</v>
      </c>
      <c r="Q456" s="21">
        <f t="shared" si="73"/>
        <v>12704226.669052476</v>
      </c>
      <c r="R456" s="21">
        <f t="shared" si="74"/>
        <v>22813905.95161527</v>
      </c>
      <c r="S456" s="21">
        <f t="shared" si="75"/>
        <v>10109679.282562794</v>
      </c>
      <c r="T456" s="14">
        <f>IFERROR(INDEX(Cost_Components!$R$2:$R$27,MATCH(E456,Cost_Components!$A$2:$A$27,0)),"")</f>
        <v>1</v>
      </c>
      <c r="U456" s="24">
        <f>IFERROR(INDEX(Cost_Components!$Q$2:$Q$27,MATCH(E456,Cost_Components!$A$2:$A$27,0)),"")</f>
        <v>2023</v>
      </c>
      <c r="V456" s="28">
        <f>1/(1+Calculation_Assumptions!$B$5)^(B456-Calculation_Assumptions!$B$2)</f>
        <v>0.70137988019297326</v>
      </c>
      <c r="W456" s="21">
        <f t="shared" si="76"/>
        <v>8910488.9790844023</v>
      </c>
      <c r="X456" s="21">
        <f t="shared" si="77"/>
        <v>16001214.623077678</v>
      </c>
      <c r="Y456" s="21">
        <f t="shared" si="78"/>
        <v>7090725.6439932762</v>
      </c>
      <c r="Z456" s="15">
        <f>IFERROR(INDEX(Cost_Components!$T$2:$T$27,MATCH(E456,Cost_Components!$A$2:$A$27,0)),"")</f>
        <v>0.8</v>
      </c>
      <c r="AA456" s="24">
        <f>IFERROR(INDEX(Cost_Components!$U$2:$U$27,MATCH(E456,Cost_Components!$A$2:$A$27,0)),"")</f>
        <v>2025</v>
      </c>
      <c r="AB456" s="24">
        <f>IFERROR(INDEX(Cost_Components!$V$2:$V$27,MATCH(E456,Cost_Components!$A$2:$A$27,0)),"")</f>
        <v>2050</v>
      </c>
      <c r="AC456" s="24">
        <f>IFERROR(INDEX(Cost_Components!$M$2:$M$27,MATCH(E456,Cost_Components!$A$2:$A$27,0)),"")</f>
        <v>5</v>
      </c>
      <c r="AD456" s="24">
        <f>IFERROR(INDEX(Cost_Components!$N$2:$N$27,MATCH(E456,Cost_Components!$A$2:$A$27,0)),"")</f>
        <v>39</v>
      </c>
      <c r="AE456" s="14" t="str">
        <f>IFERROR(INDEX(Cost_Components!$O$2:$O$27,MATCH(E456,Cost_Components!$A$2:$A$27,0)),"")</f>
        <v>Both</v>
      </c>
      <c r="AF456" s="11">
        <v>808263.38015456405</v>
      </c>
      <c r="AG456" s="11">
        <v>805810.234480193</v>
      </c>
      <c r="AH456" s="21">
        <f t="shared" si="79"/>
        <v>1</v>
      </c>
    </row>
    <row r="457" spans="1:34">
      <c r="A457" t="s">
        <v>205</v>
      </c>
      <c r="B457" s="18">
        <v>2038</v>
      </c>
      <c r="C457" t="s">
        <v>205</v>
      </c>
      <c r="D457" t="s">
        <v>209</v>
      </c>
      <c r="E457" s="20" t="s">
        <v>300</v>
      </c>
      <c r="F457" s="20" t="s">
        <v>301</v>
      </c>
      <c r="G457" s="20" t="s">
        <v>206</v>
      </c>
      <c r="H457" s="20" t="s">
        <v>192</v>
      </c>
      <c r="I457" s="20" t="s">
        <v>264</v>
      </c>
      <c r="J457" s="15">
        <f>IFERROR(INDEX(Cost_Components!$K$2:$K$27,MATCH(E457,Cost_Components!$A$2:$A$27,0)),"")</f>
        <v>1</v>
      </c>
      <c r="K457" s="15">
        <f t="shared" si="70"/>
        <v>0.57384615384615389</v>
      </c>
      <c r="L457" s="15">
        <f>IFERROR(INDEX(Cost_Components!$S$2:$S$27,MATCH(E457,Cost_Components!$A$2:$A$27,0)),"")</f>
        <v>0.31</v>
      </c>
      <c r="M457" s="26">
        <f>IFERROR(INDEX(Cost_Components!$L$2:$L$27,MATCH(E457,Cost_Components!$A$2:$A$27,0)),"")</f>
        <v>1</v>
      </c>
      <c r="N457" s="27">
        <f>IFERROR(INDEX(Cost_Components!$P$2:$P$27,MATCH(E457,Cost_Components!$A$2:$A$27,0)),"")</f>
        <v>50.857354000000001</v>
      </c>
      <c r="O457" s="21">
        <f t="shared" si="71"/>
        <v>811111.38617407705</v>
      </c>
      <c r="P457" s="21">
        <f t="shared" si="72"/>
        <v>808337.44763414899</v>
      </c>
      <c r="Q457" s="21">
        <f t="shared" si="73"/>
        <v>12744070.154993778</v>
      </c>
      <c r="R457" s="21">
        <f t="shared" si="74"/>
        <v>23671715.58420305</v>
      </c>
      <c r="S457" s="21">
        <f t="shared" si="75"/>
        <v>10927645.429209271</v>
      </c>
      <c r="T457" s="14">
        <f>IFERROR(INDEX(Cost_Components!$R$2:$R$27,MATCH(E457,Cost_Components!$A$2:$A$27,0)),"")</f>
        <v>1</v>
      </c>
      <c r="U457" s="24">
        <f>IFERROR(INDEX(Cost_Components!$Q$2:$Q$27,MATCH(E457,Cost_Components!$A$2:$A$27,0)),"")</f>
        <v>2023</v>
      </c>
      <c r="V457" s="28">
        <f>1/(1+Calculation_Assumptions!$B$5)^(B457-Calculation_Assumptions!$B$2)</f>
        <v>0.68095133999317792</v>
      </c>
      <c r="W457" s="21">
        <f t="shared" si="76"/>
        <v>8678091.649010079</v>
      </c>
      <c r="X457" s="21">
        <f t="shared" si="77"/>
        <v>16119286.447000459</v>
      </c>
      <c r="Y457" s="21">
        <f t="shared" si="78"/>
        <v>7441194.7979903789</v>
      </c>
      <c r="Z457" s="15">
        <f>IFERROR(INDEX(Cost_Components!$T$2:$T$27,MATCH(E457,Cost_Components!$A$2:$A$27,0)),"")</f>
        <v>0.8</v>
      </c>
      <c r="AA457" s="24">
        <f>IFERROR(INDEX(Cost_Components!$U$2:$U$27,MATCH(E457,Cost_Components!$A$2:$A$27,0)),"")</f>
        <v>2025</v>
      </c>
      <c r="AB457" s="24">
        <f>IFERROR(INDEX(Cost_Components!$V$2:$V$27,MATCH(E457,Cost_Components!$A$2:$A$27,0)),"")</f>
        <v>2050</v>
      </c>
      <c r="AC457" s="24">
        <f>IFERROR(INDEX(Cost_Components!$M$2:$M$27,MATCH(E457,Cost_Components!$A$2:$A$27,0)),"")</f>
        <v>5</v>
      </c>
      <c r="AD457" s="24">
        <f>IFERROR(INDEX(Cost_Components!$N$2:$N$27,MATCH(E457,Cost_Components!$A$2:$A$27,0)),"")</f>
        <v>39</v>
      </c>
      <c r="AE457" s="14" t="str">
        <f>IFERROR(INDEX(Cost_Components!$O$2:$O$27,MATCH(E457,Cost_Components!$A$2:$A$27,0)),"")</f>
        <v>Both</v>
      </c>
      <c r="AF457" s="11">
        <v>811111.38617407705</v>
      </c>
      <c r="AG457" s="11">
        <v>808337.44763414899</v>
      </c>
      <c r="AH457" s="21">
        <f t="shared" si="79"/>
        <v>1</v>
      </c>
    </row>
    <row r="458" spans="1:34">
      <c r="A458" t="s">
        <v>205</v>
      </c>
      <c r="B458" s="18">
        <v>2039</v>
      </c>
      <c r="C458" t="s">
        <v>205</v>
      </c>
      <c r="D458" t="s">
        <v>209</v>
      </c>
      <c r="E458" s="20" t="s">
        <v>300</v>
      </c>
      <c r="F458" s="20" t="s">
        <v>301</v>
      </c>
      <c r="G458" s="20" t="s">
        <v>206</v>
      </c>
      <c r="H458" s="20" t="s">
        <v>192</v>
      </c>
      <c r="I458" s="20" t="s">
        <v>264</v>
      </c>
      <c r="J458" s="15">
        <f>IFERROR(INDEX(Cost_Components!$K$2:$K$27,MATCH(E458,Cost_Components!$A$2:$A$27,0)),"")</f>
        <v>1</v>
      </c>
      <c r="K458" s="15">
        <f t="shared" si="70"/>
        <v>0.59269230769230763</v>
      </c>
      <c r="L458" s="15">
        <f>IFERROR(INDEX(Cost_Components!$S$2:$S$27,MATCH(E458,Cost_Components!$A$2:$A$27,0)),"")</f>
        <v>0.31</v>
      </c>
      <c r="M458" s="26">
        <f>IFERROR(INDEX(Cost_Components!$L$2:$L$27,MATCH(E458,Cost_Components!$A$2:$A$27,0)),"")</f>
        <v>1</v>
      </c>
      <c r="N458" s="27">
        <f>IFERROR(INDEX(Cost_Components!$P$2:$P$27,MATCH(E458,Cost_Components!$A$2:$A$27,0)),"")</f>
        <v>50.857354000000001</v>
      </c>
      <c r="O458" s="21">
        <f t="shared" si="71"/>
        <v>813969.90307973896</v>
      </c>
      <c r="P458" s="21">
        <f t="shared" si="72"/>
        <v>810861.84593888302</v>
      </c>
      <c r="Q458" s="21">
        <f t="shared" si="73"/>
        <v>12783869.262642244</v>
      </c>
      <c r="R458" s="21">
        <f t="shared" si="74"/>
        <v>24535301.475063503</v>
      </c>
      <c r="S458" s="21">
        <f t="shared" si="75"/>
        <v>11751432.212421259</v>
      </c>
      <c r="T458" s="14">
        <f>IFERROR(INDEX(Cost_Components!$R$2:$R$27,MATCH(E458,Cost_Components!$A$2:$A$27,0)),"")</f>
        <v>1</v>
      </c>
      <c r="U458" s="24">
        <f>IFERROR(INDEX(Cost_Components!$Q$2:$Q$27,MATCH(E458,Cost_Components!$A$2:$A$27,0)),"")</f>
        <v>2023</v>
      </c>
      <c r="V458" s="28">
        <f>1/(1+Calculation_Assumptions!$B$5)^(B458-Calculation_Assumptions!$B$2)</f>
        <v>0.66111780581861923</v>
      </c>
      <c r="W458" s="21">
        <f t="shared" si="76"/>
        <v>8451643.5967901293</v>
      </c>
      <c r="X458" s="21">
        <f t="shared" si="77"/>
        <v>16220724.676292315</v>
      </c>
      <c r="Y458" s="21">
        <f t="shared" si="78"/>
        <v>7769081.0795021849</v>
      </c>
      <c r="Z458" s="15">
        <f>IFERROR(INDEX(Cost_Components!$T$2:$T$27,MATCH(E458,Cost_Components!$A$2:$A$27,0)),"")</f>
        <v>0.8</v>
      </c>
      <c r="AA458" s="24">
        <f>IFERROR(INDEX(Cost_Components!$U$2:$U$27,MATCH(E458,Cost_Components!$A$2:$A$27,0)),"")</f>
        <v>2025</v>
      </c>
      <c r="AB458" s="24">
        <f>IFERROR(INDEX(Cost_Components!$V$2:$V$27,MATCH(E458,Cost_Components!$A$2:$A$27,0)),"")</f>
        <v>2050</v>
      </c>
      <c r="AC458" s="24">
        <f>IFERROR(INDEX(Cost_Components!$M$2:$M$27,MATCH(E458,Cost_Components!$A$2:$A$27,0)),"")</f>
        <v>5</v>
      </c>
      <c r="AD458" s="24">
        <f>IFERROR(INDEX(Cost_Components!$N$2:$N$27,MATCH(E458,Cost_Components!$A$2:$A$27,0)),"")</f>
        <v>39</v>
      </c>
      <c r="AE458" s="14" t="str">
        <f>IFERROR(INDEX(Cost_Components!$O$2:$O$27,MATCH(E458,Cost_Components!$A$2:$A$27,0)),"")</f>
        <v>Both</v>
      </c>
      <c r="AF458" s="11">
        <v>813969.90307973896</v>
      </c>
      <c r="AG458" s="11">
        <v>810861.84593888302</v>
      </c>
      <c r="AH458" s="21">
        <f t="shared" si="79"/>
        <v>1</v>
      </c>
    </row>
    <row r="459" spans="1:34">
      <c r="A459" t="s">
        <v>205</v>
      </c>
      <c r="B459" s="18">
        <v>2040</v>
      </c>
      <c r="C459" t="s">
        <v>205</v>
      </c>
      <c r="D459" t="s">
        <v>209</v>
      </c>
      <c r="E459" s="20" t="s">
        <v>300</v>
      </c>
      <c r="F459" s="20" t="s">
        <v>301</v>
      </c>
      <c r="G459" s="20" t="s">
        <v>206</v>
      </c>
      <c r="H459" s="20" t="s">
        <v>192</v>
      </c>
      <c r="I459" s="20" t="s">
        <v>264</v>
      </c>
      <c r="J459" s="15">
        <f>IFERROR(INDEX(Cost_Components!$K$2:$K$27,MATCH(E459,Cost_Components!$A$2:$A$27,0)),"")</f>
        <v>1</v>
      </c>
      <c r="K459" s="15">
        <f t="shared" si="70"/>
        <v>0.61153846153846159</v>
      </c>
      <c r="L459" s="15">
        <f>IFERROR(INDEX(Cost_Components!$S$2:$S$27,MATCH(E459,Cost_Components!$A$2:$A$27,0)),"")</f>
        <v>0.31</v>
      </c>
      <c r="M459" s="26">
        <f>IFERROR(INDEX(Cost_Components!$L$2:$L$27,MATCH(E459,Cost_Components!$A$2:$A$27,0)),"")</f>
        <v>1</v>
      </c>
      <c r="N459" s="27">
        <f>IFERROR(INDEX(Cost_Components!$P$2:$P$27,MATCH(E459,Cost_Components!$A$2:$A$27,0)),"")</f>
        <v>50.857354000000001</v>
      </c>
      <c r="O459" s="21">
        <f t="shared" si="71"/>
        <v>816736.36287644797</v>
      </c>
      <c r="P459" s="21">
        <f t="shared" si="72"/>
        <v>813281.98821507895</v>
      </c>
      <c r="Q459" s="21">
        <f t="shared" si="73"/>
        <v>12822024.692708211</v>
      </c>
      <c r="R459" s="21">
        <f t="shared" si="74"/>
        <v>25401503.856558908</v>
      </c>
      <c r="S459" s="21">
        <f t="shared" si="75"/>
        <v>12579479.163850697</v>
      </c>
      <c r="T459" s="14">
        <f>IFERROR(INDEX(Cost_Components!$R$2:$R$27,MATCH(E459,Cost_Components!$A$2:$A$27,0)),"")</f>
        <v>1</v>
      </c>
      <c r="U459" s="24">
        <f>IFERROR(INDEX(Cost_Components!$Q$2:$Q$27,MATCH(E459,Cost_Components!$A$2:$A$27,0)),"")</f>
        <v>2023</v>
      </c>
      <c r="V459" s="28">
        <f>1/(1+Calculation_Assumptions!$B$5)^(B459-Calculation_Assumptions!$B$2)</f>
        <v>0.64186194739671765</v>
      </c>
      <c r="W459" s="21">
        <f t="shared" si="76"/>
        <v>8229969.7388304928</v>
      </c>
      <c r="X459" s="21">
        <f t="shared" si="77"/>
        <v>16304258.732176134</v>
      </c>
      <c r="Y459" s="21">
        <f t="shared" si="78"/>
        <v>8074288.9933456415</v>
      </c>
      <c r="Z459" s="15">
        <f>IFERROR(INDEX(Cost_Components!$T$2:$T$27,MATCH(E459,Cost_Components!$A$2:$A$27,0)),"")</f>
        <v>0.8</v>
      </c>
      <c r="AA459" s="24">
        <f>IFERROR(INDEX(Cost_Components!$U$2:$U$27,MATCH(E459,Cost_Components!$A$2:$A$27,0)),"")</f>
        <v>2025</v>
      </c>
      <c r="AB459" s="24">
        <f>IFERROR(INDEX(Cost_Components!$V$2:$V$27,MATCH(E459,Cost_Components!$A$2:$A$27,0)),"")</f>
        <v>2050</v>
      </c>
      <c r="AC459" s="24">
        <f>IFERROR(INDEX(Cost_Components!$M$2:$M$27,MATCH(E459,Cost_Components!$A$2:$A$27,0)),"")</f>
        <v>5</v>
      </c>
      <c r="AD459" s="24">
        <f>IFERROR(INDEX(Cost_Components!$N$2:$N$27,MATCH(E459,Cost_Components!$A$2:$A$27,0)),"")</f>
        <v>39</v>
      </c>
      <c r="AE459" s="14" t="str">
        <f>IFERROR(INDEX(Cost_Components!$O$2:$O$27,MATCH(E459,Cost_Components!$A$2:$A$27,0)),"")</f>
        <v>Both</v>
      </c>
      <c r="AF459" s="11">
        <v>816736.36287644797</v>
      </c>
      <c r="AG459" s="11">
        <v>813281.98821507895</v>
      </c>
      <c r="AH459" s="21">
        <f t="shared" si="79"/>
        <v>1</v>
      </c>
    </row>
    <row r="460" spans="1:34">
      <c r="A460" t="s">
        <v>205</v>
      </c>
      <c r="B460" s="18">
        <v>2041</v>
      </c>
      <c r="C460" t="s">
        <v>205</v>
      </c>
      <c r="D460" t="s">
        <v>209</v>
      </c>
      <c r="E460" s="20" t="s">
        <v>300</v>
      </c>
      <c r="F460" s="20" t="s">
        <v>301</v>
      </c>
      <c r="G460" s="20" t="s">
        <v>206</v>
      </c>
      <c r="H460" s="20" t="s">
        <v>192</v>
      </c>
      <c r="I460" s="20" t="s">
        <v>264</v>
      </c>
      <c r="J460" s="15">
        <f>IFERROR(INDEX(Cost_Components!$K$2:$K$27,MATCH(E460,Cost_Components!$A$2:$A$27,0)),"")</f>
        <v>1</v>
      </c>
      <c r="K460" s="15">
        <f t="shared" si="70"/>
        <v>0.63038461538461543</v>
      </c>
      <c r="L460" s="15">
        <f>IFERROR(INDEX(Cost_Components!$S$2:$S$27,MATCH(E460,Cost_Components!$A$2:$A$27,0)),"")</f>
        <v>0.31</v>
      </c>
      <c r="M460" s="26">
        <f>IFERROR(INDEX(Cost_Components!$L$2:$L$27,MATCH(E460,Cost_Components!$A$2:$A$27,0)),"")</f>
        <v>1</v>
      </c>
      <c r="N460" s="27">
        <f>IFERROR(INDEX(Cost_Components!$P$2:$P$27,MATCH(E460,Cost_Components!$A$2:$A$27,0)),"")</f>
        <v>50.857354000000001</v>
      </c>
      <c r="O460" s="21">
        <f t="shared" si="71"/>
        <v>818590.07817379094</v>
      </c>
      <c r="P460" s="21">
        <f t="shared" si="72"/>
        <v>814782.94145239901</v>
      </c>
      <c r="Q460" s="21">
        <f t="shared" si="73"/>
        <v>12845688.390847838</v>
      </c>
      <c r="R460" s="21">
        <f t="shared" si="74"/>
        <v>26243747.04176607</v>
      </c>
      <c r="S460" s="21">
        <f t="shared" si="75"/>
        <v>13398058.650918232</v>
      </c>
      <c r="T460" s="14">
        <f>IFERROR(INDEX(Cost_Components!$R$2:$R$27,MATCH(E460,Cost_Components!$A$2:$A$27,0)),"")</f>
        <v>1</v>
      </c>
      <c r="U460" s="24">
        <f>IFERROR(INDEX(Cost_Components!$Q$2:$Q$27,MATCH(E460,Cost_Components!$A$2:$A$27,0)),"")</f>
        <v>2023</v>
      </c>
      <c r="V460" s="28">
        <f>1/(1+Calculation_Assumptions!$B$5)^(B460-Calculation_Assumptions!$B$2)</f>
        <v>0.62316693922011435</v>
      </c>
      <c r="W460" s="21">
        <f t="shared" si="76"/>
        <v>8005008.3167000031</v>
      </c>
      <c r="X460" s="21">
        <f t="shared" si="77"/>
        <v>16354235.517684292</v>
      </c>
      <c r="Y460" s="21">
        <f t="shared" si="78"/>
        <v>8349227.2009842889</v>
      </c>
      <c r="Z460" s="15">
        <f>IFERROR(INDEX(Cost_Components!$T$2:$T$27,MATCH(E460,Cost_Components!$A$2:$A$27,0)),"")</f>
        <v>0.8</v>
      </c>
      <c r="AA460" s="24">
        <f>IFERROR(INDEX(Cost_Components!$U$2:$U$27,MATCH(E460,Cost_Components!$A$2:$A$27,0)),"")</f>
        <v>2025</v>
      </c>
      <c r="AB460" s="24">
        <f>IFERROR(INDEX(Cost_Components!$V$2:$V$27,MATCH(E460,Cost_Components!$A$2:$A$27,0)),"")</f>
        <v>2050</v>
      </c>
      <c r="AC460" s="24">
        <f>IFERROR(INDEX(Cost_Components!$M$2:$M$27,MATCH(E460,Cost_Components!$A$2:$A$27,0)),"")</f>
        <v>5</v>
      </c>
      <c r="AD460" s="24">
        <f>IFERROR(INDEX(Cost_Components!$N$2:$N$27,MATCH(E460,Cost_Components!$A$2:$A$27,0)),"")</f>
        <v>39</v>
      </c>
      <c r="AE460" s="14" t="str">
        <f>IFERROR(INDEX(Cost_Components!$O$2:$O$27,MATCH(E460,Cost_Components!$A$2:$A$27,0)),"")</f>
        <v>Both</v>
      </c>
      <c r="AF460" s="11">
        <v>818590.07817379094</v>
      </c>
      <c r="AG460" s="11">
        <v>814782.94145239901</v>
      </c>
      <c r="AH460" s="21">
        <f t="shared" si="79"/>
        <v>1</v>
      </c>
    </row>
    <row r="461" spans="1:34">
      <c r="A461" t="s">
        <v>205</v>
      </c>
      <c r="B461" s="18">
        <v>2042</v>
      </c>
      <c r="C461" t="s">
        <v>205</v>
      </c>
      <c r="D461" t="s">
        <v>209</v>
      </c>
      <c r="E461" s="20" t="s">
        <v>300</v>
      </c>
      <c r="F461" s="20" t="s">
        <v>301</v>
      </c>
      <c r="G461" s="20" t="s">
        <v>206</v>
      </c>
      <c r="H461" s="20" t="s">
        <v>192</v>
      </c>
      <c r="I461" s="20" t="s">
        <v>264</v>
      </c>
      <c r="J461" s="15">
        <f>IFERROR(INDEX(Cost_Components!$K$2:$K$27,MATCH(E461,Cost_Components!$A$2:$A$27,0)),"")</f>
        <v>1</v>
      </c>
      <c r="K461" s="15">
        <f t="shared" si="70"/>
        <v>0.64923076923076928</v>
      </c>
      <c r="L461" s="15">
        <f>IFERROR(INDEX(Cost_Components!$S$2:$S$27,MATCH(E461,Cost_Components!$A$2:$A$27,0)),"")</f>
        <v>0.31</v>
      </c>
      <c r="M461" s="26">
        <f>IFERROR(INDEX(Cost_Components!$L$2:$L$27,MATCH(E461,Cost_Components!$A$2:$A$27,0)),"")</f>
        <v>1</v>
      </c>
      <c r="N461" s="27">
        <f>IFERROR(INDEX(Cost_Components!$P$2:$P$27,MATCH(E461,Cost_Components!$A$2:$A$27,0)),"")</f>
        <v>50.857354000000001</v>
      </c>
      <c r="O461" s="21">
        <f t="shared" si="71"/>
        <v>819578.72146939801</v>
      </c>
      <c r="P461" s="21">
        <f t="shared" si="72"/>
        <v>815414.54824346397</v>
      </c>
      <c r="Q461" s="21">
        <f t="shared" si="73"/>
        <v>12855646.164398057</v>
      </c>
      <c r="R461" s="21">
        <f t="shared" si="74"/>
        <v>27060980.586407132</v>
      </c>
      <c r="S461" s="21">
        <f t="shared" si="75"/>
        <v>14205334.422009075</v>
      </c>
      <c r="T461" s="14">
        <f>IFERROR(INDEX(Cost_Components!$R$2:$R$27,MATCH(E461,Cost_Components!$A$2:$A$27,0)),"")</f>
        <v>1</v>
      </c>
      <c r="U461" s="24">
        <f>IFERROR(INDEX(Cost_Components!$Q$2:$Q$27,MATCH(E461,Cost_Components!$A$2:$A$27,0)),"")</f>
        <v>2023</v>
      </c>
      <c r="V461" s="28">
        <f>1/(1+Calculation_Assumptions!$B$5)^(B461-Calculation_Assumptions!$B$2)</f>
        <v>0.60501644584477121</v>
      </c>
      <c r="W461" s="21">
        <f t="shared" si="76"/>
        <v>7777877.351422078</v>
      </c>
      <c r="X461" s="21">
        <f t="shared" si="77"/>
        <v>16372338.295462396</v>
      </c>
      <c r="Y461" s="21">
        <f t="shared" si="78"/>
        <v>8594460.9440403171</v>
      </c>
      <c r="Z461" s="15">
        <f>IFERROR(INDEX(Cost_Components!$T$2:$T$27,MATCH(E461,Cost_Components!$A$2:$A$27,0)),"")</f>
        <v>0.8</v>
      </c>
      <c r="AA461" s="24">
        <f>IFERROR(INDEX(Cost_Components!$U$2:$U$27,MATCH(E461,Cost_Components!$A$2:$A$27,0)),"")</f>
        <v>2025</v>
      </c>
      <c r="AB461" s="24">
        <f>IFERROR(INDEX(Cost_Components!$V$2:$V$27,MATCH(E461,Cost_Components!$A$2:$A$27,0)),"")</f>
        <v>2050</v>
      </c>
      <c r="AC461" s="24">
        <f>IFERROR(INDEX(Cost_Components!$M$2:$M$27,MATCH(E461,Cost_Components!$A$2:$A$27,0)),"")</f>
        <v>5</v>
      </c>
      <c r="AD461" s="24">
        <f>IFERROR(INDEX(Cost_Components!$N$2:$N$27,MATCH(E461,Cost_Components!$A$2:$A$27,0)),"")</f>
        <v>39</v>
      </c>
      <c r="AE461" s="14" t="str">
        <f>IFERROR(INDEX(Cost_Components!$O$2:$O$27,MATCH(E461,Cost_Components!$A$2:$A$27,0)),"")</f>
        <v>Both</v>
      </c>
      <c r="AF461" s="11">
        <v>819578.72146939801</v>
      </c>
      <c r="AG461" s="11">
        <v>815414.54824346397</v>
      </c>
      <c r="AH461" s="21">
        <f t="shared" si="79"/>
        <v>1</v>
      </c>
    </row>
    <row r="462" spans="1:34">
      <c r="A462" t="s">
        <v>205</v>
      </c>
      <c r="B462" s="18">
        <v>2043</v>
      </c>
      <c r="C462" t="s">
        <v>205</v>
      </c>
      <c r="D462" t="s">
        <v>209</v>
      </c>
      <c r="E462" s="20" t="s">
        <v>300</v>
      </c>
      <c r="F462" s="20" t="s">
        <v>301</v>
      </c>
      <c r="G462" s="20" t="s">
        <v>206</v>
      </c>
      <c r="H462" s="20" t="s">
        <v>192</v>
      </c>
      <c r="I462" s="20" t="s">
        <v>264</v>
      </c>
      <c r="J462" s="15">
        <f>IFERROR(INDEX(Cost_Components!$K$2:$K$27,MATCH(E462,Cost_Components!$A$2:$A$27,0)),"")</f>
        <v>1</v>
      </c>
      <c r="K462" s="15">
        <f t="shared" si="70"/>
        <v>0.66807692307692301</v>
      </c>
      <c r="L462" s="15">
        <f>IFERROR(INDEX(Cost_Components!$S$2:$S$27,MATCH(E462,Cost_Components!$A$2:$A$27,0)),"")</f>
        <v>0.31</v>
      </c>
      <c r="M462" s="26">
        <f>IFERROR(INDEX(Cost_Components!$L$2:$L$27,MATCH(E462,Cost_Components!$A$2:$A$27,0)),"")</f>
        <v>1</v>
      </c>
      <c r="N462" s="27">
        <f>IFERROR(INDEX(Cost_Components!$P$2:$P$27,MATCH(E462,Cost_Components!$A$2:$A$27,0)),"")</f>
        <v>50.857354000000001</v>
      </c>
      <c r="O462" s="21">
        <f t="shared" si="71"/>
        <v>819900.460922973</v>
      </c>
      <c r="P462" s="21">
        <f t="shared" si="72"/>
        <v>815377.00885509199</v>
      </c>
      <c r="Q462" s="21">
        <f t="shared" si="73"/>
        <v>12855054.32666941</v>
      </c>
      <c r="R462" s="21">
        <f t="shared" si="74"/>
        <v>27857450.150595348</v>
      </c>
      <c r="S462" s="21">
        <f t="shared" si="75"/>
        <v>15002395.823925938</v>
      </c>
      <c r="T462" s="14">
        <f>IFERROR(INDEX(Cost_Components!$R$2:$R$27,MATCH(E462,Cost_Components!$A$2:$A$27,0)),"")</f>
        <v>1</v>
      </c>
      <c r="U462" s="24">
        <f>IFERROR(INDEX(Cost_Components!$Q$2:$Q$27,MATCH(E462,Cost_Components!$A$2:$A$27,0)),"")</f>
        <v>2023</v>
      </c>
      <c r="V462" s="28">
        <f>1/(1+Calculation_Assumptions!$B$5)^(B462-Calculation_Assumptions!$B$2)</f>
        <v>0.5873946076162827</v>
      </c>
      <c r="W462" s="21">
        <f t="shared" si="76"/>
        <v>7550989.5920999749</v>
      </c>
      <c r="X462" s="21">
        <f t="shared" si="77"/>
        <v>16363316.000399111</v>
      </c>
      <c r="Y462" s="21">
        <f t="shared" si="78"/>
        <v>8812326.408299135</v>
      </c>
      <c r="Z462" s="15">
        <f>IFERROR(INDEX(Cost_Components!$T$2:$T$27,MATCH(E462,Cost_Components!$A$2:$A$27,0)),"")</f>
        <v>0.8</v>
      </c>
      <c r="AA462" s="24">
        <f>IFERROR(INDEX(Cost_Components!$U$2:$U$27,MATCH(E462,Cost_Components!$A$2:$A$27,0)),"")</f>
        <v>2025</v>
      </c>
      <c r="AB462" s="24">
        <f>IFERROR(INDEX(Cost_Components!$V$2:$V$27,MATCH(E462,Cost_Components!$A$2:$A$27,0)),"")</f>
        <v>2050</v>
      </c>
      <c r="AC462" s="24">
        <f>IFERROR(INDEX(Cost_Components!$M$2:$M$27,MATCH(E462,Cost_Components!$A$2:$A$27,0)),"")</f>
        <v>5</v>
      </c>
      <c r="AD462" s="24">
        <f>IFERROR(INDEX(Cost_Components!$N$2:$N$27,MATCH(E462,Cost_Components!$A$2:$A$27,0)),"")</f>
        <v>39</v>
      </c>
      <c r="AE462" s="14" t="str">
        <f>IFERROR(INDEX(Cost_Components!$O$2:$O$27,MATCH(E462,Cost_Components!$A$2:$A$27,0)),"")</f>
        <v>Both</v>
      </c>
      <c r="AF462" s="11">
        <v>819900.460922973</v>
      </c>
      <c r="AG462" s="11">
        <v>815377.00885509199</v>
      </c>
      <c r="AH462" s="21">
        <f t="shared" si="79"/>
        <v>1</v>
      </c>
    </row>
    <row r="463" spans="1:34">
      <c r="A463" t="s">
        <v>205</v>
      </c>
      <c r="B463" s="18">
        <v>2044</v>
      </c>
      <c r="C463" t="s">
        <v>205</v>
      </c>
      <c r="D463" t="s">
        <v>209</v>
      </c>
      <c r="E463" s="20" t="s">
        <v>300</v>
      </c>
      <c r="F463" s="20" t="s">
        <v>301</v>
      </c>
      <c r="G463" s="20" t="s">
        <v>206</v>
      </c>
      <c r="H463" s="20" t="s">
        <v>192</v>
      </c>
      <c r="I463" s="20" t="s">
        <v>264</v>
      </c>
      <c r="J463" s="15">
        <f>IFERROR(INDEX(Cost_Components!$K$2:$K$27,MATCH(E463,Cost_Components!$A$2:$A$27,0)),"")</f>
        <v>1</v>
      </c>
      <c r="K463" s="15">
        <f t="shared" si="70"/>
        <v>0.68692307692307697</v>
      </c>
      <c r="L463" s="15">
        <f>IFERROR(INDEX(Cost_Components!$S$2:$S$27,MATCH(E463,Cost_Components!$A$2:$A$27,0)),"")</f>
        <v>0.31</v>
      </c>
      <c r="M463" s="26">
        <f>IFERROR(INDEX(Cost_Components!$L$2:$L$27,MATCH(E463,Cost_Components!$A$2:$A$27,0)),"")</f>
        <v>1</v>
      </c>
      <c r="N463" s="27">
        <f>IFERROR(INDEX(Cost_Components!$P$2:$P$27,MATCH(E463,Cost_Components!$A$2:$A$27,0)),"")</f>
        <v>50.857354000000001</v>
      </c>
      <c r="O463" s="21">
        <f t="shared" si="71"/>
        <v>819559.405988627</v>
      </c>
      <c r="P463" s="21">
        <f t="shared" si="72"/>
        <v>814676.74388327496</v>
      </c>
      <c r="Q463" s="21">
        <f t="shared" si="73"/>
        <v>12844014.103364104</v>
      </c>
      <c r="R463" s="21">
        <f t="shared" si="74"/>
        <v>28631381.685471725</v>
      </c>
      <c r="S463" s="21">
        <f t="shared" si="75"/>
        <v>15787367.58210762</v>
      </c>
      <c r="T463" s="14">
        <f>IFERROR(INDEX(Cost_Components!$R$2:$R$27,MATCH(E463,Cost_Components!$A$2:$A$27,0)),"")</f>
        <v>1</v>
      </c>
      <c r="U463" s="24">
        <f>IFERROR(INDEX(Cost_Components!$Q$2:$Q$27,MATCH(E463,Cost_Components!$A$2:$A$27,0)),"")</f>
        <v>2023</v>
      </c>
      <c r="V463" s="28">
        <f>1/(1+Calculation_Assumptions!$B$5)^(B463-Calculation_Assumptions!$B$2)</f>
        <v>0.57028602681192497</v>
      </c>
      <c r="W463" s="21">
        <f t="shared" si="76"/>
        <v>7324761.7713238439</v>
      </c>
      <c r="X463" s="21">
        <f t="shared" si="77"/>
        <v>16328076.903543385</v>
      </c>
      <c r="Y463" s="21">
        <f t="shared" si="78"/>
        <v>9003315.1322195418</v>
      </c>
      <c r="Z463" s="15">
        <f>IFERROR(INDEX(Cost_Components!$T$2:$T$27,MATCH(E463,Cost_Components!$A$2:$A$27,0)),"")</f>
        <v>0.8</v>
      </c>
      <c r="AA463" s="24">
        <f>IFERROR(INDEX(Cost_Components!$U$2:$U$27,MATCH(E463,Cost_Components!$A$2:$A$27,0)),"")</f>
        <v>2025</v>
      </c>
      <c r="AB463" s="24">
        <f>IFERROR(INDEX(Cost_Components!$V$2:$V$27,MATCH(E463,Cost_Components!$A$2:$A$27,0)),"")</f>
        <v>2050</v>
      </c>
      <c r="AC463" s="24">
        <f>IFERROR(INDEX(Cost_Components!$M$2:$M$27,MATCH(E463,Cost_Components!$A$2:$A$27,0)),"")</f>
        <v>5</v>
      </c>
      <c r="AD463" s="24">
        <f>IFERROR(INDEX(Cost_Components!$N$2:$N$27,MATCH(E463,Cost_Components!$A$2:$A$27,0)),"")</f>
        <v>39</v>
      </c>
      <c r="AE463" s="14" t="str">
        <f>IFERROR(INDEX(Cost_Components!$O$2:$O$27,MATCH(E463,Cost_Components!$A$2:$A$27,0)),"")</f>
        <v>Both</v>
      </c>
      <c r="AF463" s="11">
        <v>819559.405988627</v>
      </c>
      <c r="AG463" s="11">
        <v>814676.74388327496</v>
      </c>
      <c r="AH463" s="21">
        <f t="shared" si="79"/>
        <v>1</v>
      </c>
    </row>
    <row r="464" spans="1:34">
      <c r="A464" t="s">
        <v>205</v>
      </c>
      <c r="B464" s="18">
        <v>2045</v>
      </c>
      <c r="C464" t="s">
        <v>205</v>
      </c>
      <c r="D464" t="s">
        <v>209</v>
      </c>
      <c r="E464" s="20" t="s">
        <v>300</v>
      </c>
      <c r="F464" s="20" t="s">
        <v>301</v>
      </c>
      <c r="G464" s="20" t="s">
        <v>206</v>
      </c>
      <c r="H464" s="20" t="s">
        <v>192</v>
      </c>
      <c r="I464" s="20" t="s">
        <v>264</v>
      </c>
      <c r="J464" s="15">
        <f>IFERROR(INDEX(Cost_Components!$K$2:$K$27,MATCH(E464,Cost_Components!$A$2:$A$27,0)),"")</f>
        <v>1</v>
      </c>
      <c r="K464" s="15">
        <f t="shared" si="70"/>
        <v>0.70576923076923082</v>
      </c>
      <c r="L464" s="15">
        <f>IFERROR(INDEX(Cost_Components!$S$2:$S$27,MATCH(E464,Cost_Components!$A$2:$A$27,0)),"")</f>
        <v>0.31</v>
      </c>
      <c r="M464" s="26">
        <f>IFERROR(INDEX(Cost_Components!$L$2:$L$27,MATCH(E464,Cost_Components!$A$2:$A$27,0)),"")</f>
        <v>1</v>
      </c>
      <c r="N464" s="27">
        <f>IFERROR(INDEX(Cost_Components!$P$2:$P$27,MATCH(E464,Cost_Components!$A$2:$A$27,0)),"")</f>
        <v>50.857354000000001</v>
      </c>
      <c r="O464" s="21">
        <f t="shared" si="71"/>
        <v>818298.29319618002</v>
      </c>
      <c r="P464" s="21">
        <f t="shared" si="72"/>
        <v>813061.13907260296</v>
      </c>
      <c r="Q464" s="21">
        <f t="shared" si="73"/>
        <v>12818542.833772166</v>
      </c>
      <c r="R464" s="21">
        <f t="shared" si="74"/>
        <v>29371635.293664098</v>
      </c>
      <c r="S464" s="21">
        <f t="shared" si="75"/>
        <v>16553092.459891932</v>
      </c>
      <c r="T464" s="14">
        <f>IFERROR(INDEX(Cost_Components!$R$2:$R$27,MATCH(E464,Cost_Components!$A$2:$A$27,0)),"")</f>
        <v>1</v>
      </c>
      <c r="U464" s="24">
        <f>IFERROR(INDEX(Cost_Components!$Q$2:$Q$27,MATCH(E464,Cost_Components!$A$2:$A$27,0)),"")</f>
        <v>2023</v>
      </c>
      <c r="V464" s="28">
        <f>1/(1+Calculation_Assumptions!$B$5)^(B464-Calculation_Assumptions!$B$2)</f>
        <v>0.55367575418633497</v>
      </c>
      <c r="W464" s="21">
        <f t="shared" si="76"/>
        <v>7097316.3710586429</v>
      </c>
      <c r="X464" s="21">
        <f t="shared" si="77"/>
        <v>16262362.322905444</v>
      </c>
      <c r="Y464" s="21">
        <f t="shared" si="78"/>
        <v>9165045.9518468007</v>
      </c>
      <c r="Z464" s="15">
        <f>IFERROR(INDEX(Cost_Components!$T$2:$T$27,MATCH(E464,Cost_Components!$A$2:$A$27,0)),"")</f>
        <v>0.8</v>
      </c>
      <c r="AA464" s="24">
        <f>IFERROR(INDEX(Cost_Components!$U$2:$U$27,MATCH(E464,Cost_Components!$A$2:$A$27,0)),"")</f>
        <v>2025</v>
      </c>
      <c r="AB464" s="24">
        <f>IFERROR(INDEX(Cost_Components!$V$2:$V$27,MATCH(E464,Cost_Components!$A$2:$A$27,0)),"")</f>
        <v>2050</v>
      </c>
      <c r="AC464" s="24">
        <f>IFERROR(INDEX(Cost_Components!$M$2:$M$27,MATCH(E464,Cost_Components!$A$2:$A$27,0)),"")</f>
        <v>5</v>
      </c>
      <c r="AD464" s="24">
        <f>IFERROR(INDEX(Cost_Components!$N$2:$N$27,MATCH(E464,Cost_Components!$A$2:$A$27,0)),"")</f>
        <v>39</v>
      </c>
      <c r="AE464" s="14" t="str">
        <f>IFERROR(INDEX(Cost_Components!$O$2:$O$27,MATCH(E464,Cost_Components!$A$2:$A$27,0)),"")</f>
        <v>Both</v>
      </c>
      <c r="AF464" s="11">
        <v>818298.29319618002</v>
      </c>
      <c r="AG464" s="11">
        <v>813061.13907260296</v>
      </c>
      <c r="AH464" s="21">
        <f t="shared" si="79"/>
        <v>1</v>
      </c>
    </row>
    <row r="465" spans="1:34">
      <c r="A465" t="s">
        <v>205</v>
      </c>
      <c r="B465" s="18">
        <v>2046</v>
      </c>
      <c r="C465" t="s">
        <v>205</v>
      </c>
      <c r="D465" t="s">
        <v>209</v>
      </c>
      <c r="E465" s="20" t="s">
        <v>300</v>
      </c>
      <c r="F465" s="20" t="s">
        <v>301</v>
      </c>
      <c r="G465" s="20" t="s">
        <v>206</v>
      </c>
      <c r="H465" s="20" t="s">
        <v>192</v>
      </c>
      <c r="I465" s="20" t="s">
        <v>264</v>
      </c>
      <c r="J465" s="15">
        <f>IFERROR(INDEX(Cost_Components!$K$2:$K$27,MATCH(E465,Cost_Components!$A$2:$A$27,0)),"")</f>
        <v>1</v>
      </c>
      <c r="K465" s="15">
        <f t="shared" si="70"/>
        <v>0.72461538461538466</v>
      </c>
      <c r="L465" s="15">
        <f>IFERROR(INDEX(Cost_Components!$S$2:$S$27,MATCH(E465,Cost_Components!$A$2:$A$27,0)),"")</f>
        <v>0.31</v>
      </c>
      <c r="M465" s="26">
        <f>IFERROR(INDEX(Cost_Components!$L$2:$L$27,MATCH(E465,Cost_Components!$A$2:$A$27,0)),"")</f>
        <v>1</v>
      </c>
      <c r="N465" s="27">
        <f>IFERROR(INDEX(Cost_Components!$P$2:$P$27,MATCH(E465,Cost_Components!$A$2:$A$27,0)),"")</f>
        <v>50.857354000000001</v>
      </c>
      <c r="O465" s="21">
        <f t="shared" si="71"/>
        <v>815720.13655889104</v>
      </c>
      <c r="P465" s="21">
        <f t="shared" si="72"/>
        <v>810140.01519012696</v>
      </c>
      <c r="Q465" s="21">
        <f t="shared" si="73"/>
        <v>12772489.038047796</v>
      </c>
      <c r="R465" s="21">
        <f t="shared" si="74"/>
        <v>30060935.708007265</v>
      </c>
      <c r="S465" s="21">
        <f t="shared" si="75"/>
        <v>17288446.669959471</v>
      </c>
      <c r="T465" s="14">
        <f>IFERROR(INDEX(Cost_Components!$R$2:$R$27,MATCH(E465,Cost_Components!$A$2:$A$27,0)),"")</f>
        <v>1</v>
      </c>
      <c r="U465" s="24">
        <f>IFERROR(INDEX(Cost_Components!$Q$2:$Q$27,MATCH(E465,Cost_Components!$A$2:$A$27,0)),"")</f>
        <v>2023</v>
      </c>
      <c r="V465" s="28">
        <f>1/(1+Calculation_Assumptions!$B$5)^(B465-Calculation_Assumptions!$B$2)</f>
        <v>0.5375492759090631</v>
      </c>
      <c r="W465" s="21">
        <f t="shared" si="76"/>
        <v>6865842.2339590387</v>
      </c>
      <c r="X465" s="21">
        <f t="shared" si="77"/>
        <v>16159234.222988205</v>
      </c>
      <c r="Y465" s="21">
        <f t="shared" si="78"/>
        <v>9293391.9890291672</v>
      </c>
      <c r="Z465" s="15">
        <f>IFERROR(INDEX(Cost_Components!$T$2:$T$27,MATCH(E465,Cost_Components!$A$2:$A$27,0)),"")</f>
        <v>0.8</v>
      </c>
      <c r="AA465" s="24">
        <f>IFERROR(INDEX(Cost_Components!$U$2:$U$27,MATCH(E465,Cost_Components!$A$2:$A$27,0)),"")</f>
        <v>2025</v>
      </c>
      <c r="AB465" s="24">
        <f>IFERROR(INDEX(Cost_Components!$V$2:$V$27,MATCH(E465,Cost_Components!$A$2:$A$27,0)),"")</f>
        <v>2050</v>
      </c>
      <c r="AC465" s="24">
        <f>IFERROR(INDEX(Cost_Components!$M$2:$M$27,MATCH(E465,Cost_Components!$A$2:$A$27,0)),"")</f>
        <v>5</v>
      </c>
      <c r="AD465" s="24">
        <f>IFERROR(INDEX(Cost_Components!$N$2:$N$27,MATCH(E465,Cost_Components!$A$2:$A$27,0)),"")</f>
        <v>39</v>
      </c>
      <c r="AE465" s="14" t="str">
        <f>IFERROR(INDEX(Cost_Components!$O$2:$O$27,MATCH(E465,Cost_Components!$A$2:$A$27,0)),"")</f>
        <v>Both</v>
      </c>
      <c r="AF465" s="11">
        <v>815720.13655889104</v>
      </c>
      <c r="AG465" s="11">
        <v>810140.01519012696</v>
      </c>
      <c r="AH465" s="21">
        <f t="shared" si="79"/>
        <v>1</v>
      </c>
    </row>
    <row r="466" spans="1:34">
      <c r="A466" t="s">
        <v>205</v>
      </c>
      <c r="B466" s="18">
        <v>2047</v>
      </c>
      <c r="C466" t="s">
        <v>205</v>
      </c>
      <c r="D466" t="s">
        <v>209</v>
      </c>
      <c r="E466" s="20" t="s">
        <v>300</v>
      </c>
      <c r="F466" s="20" t="s">
        <v>301</v>
      </c>
      <c r="G466" s="20" t="s">
        <v>206</v>
      </c>
      <c r="H466" s="20" t="s">
        <v>192</v>
      </c>
      <c r="I466" s="20" t="s">
        <v>264</v>
      </c>
      <c r="J466" s="15">
        <f>IFERROR(INDEX(Cost_Components!$K$2:$K$27,MATCH(E466,Cost_Components!$A$2:$A$27,0)),"")</f>
        <v>1</v>
      </c>
      <c r="K466" s="15">
        <f t="shared" si="70"/>
        <v>0.74346153846153851</v>
      </c>
      <c r="L466" s="15">
        <f>IFERROR(INDEX(Cost_Components!$S$2:$S$27,MATCH(E466,Cost_Components!$A$2:$A$27,0)),"")</f>
        <v>0.31</v>
      </c>
      <c r="M466" s="26">
        <f>IFERROR(INDEX(Cost_Components!$L$2:$L$27,MATCH(E466,Cost_Components!$A$2:$A$27,0)),"")</f>
        <v>1</v>
      </c>
      <c r="N466" s="27">
        <f>IFERROR(INDEX(Cost_Components!$P$2:$P$27,MATCH(E466,Cost_Components!$A$2:$A$27,0)),"")</f>
        <v>50.857354000000001</v>
      </c>
      <c r="O466" s="21">
        <f t="shared" si="71"/>
        <v>812134.15880614799</v>
      </c>
      <c r="P466" s="21">
        <f t="shared" si="72"/>
        <v>806223.70741118898</v>
      </c>
      <c r="Q466" s="21">
        <f t="shared" si="73"/>
        <v>12710745.392211011</v>
      </c>
      <c r="R466" s="21">
        <f t="shared" si="74"/>
        <v>30707187.767049968</v>
      </c>
      <c r="S466" s="21">
        <f t="shared" si="75"/>
        <v>17996442.374838956</v>
      </c>
      <c r="T466" s="14">
        <f>IFERROR(INDEX(Cost_Components!$R$2:$R$27,MATCH(E466,Cost_Components!$A$2:$A$27,0)),"")</f>
        <v>1</v>
      </c>
      <c r="U466" s="24">
        <f>IFERROR(INDEX(Cost_Components!$Q$2:$Q$27,MATCH(E466,Cost_Components!$A$2:$A$27,0)),"")</f>
        <v>2023</v>
      </c>
      <c r="V466" s="28">
        <f>1/(1+Calculation_Assumptions!$B$5)^(B466-Calculation_Assumptions!$B$2)</f>
        <v>0.52189250088258554</v>
      </c>
      <c r="W466" s="21">
        <f t="shared" si="76"/>
        <v>6633642.7008228051</v>
      </c>
      <c r="X466" s="21">
        <f t="shared" si="77"/>
        <v>16025851.018816845</v>
      </c>
      <c r="Y466" s="21">
        <f t="shared" si="78"/>
        <v>9392208.3179940395</v>
      </c>
      <c r="Z466" s="15">
        <f>IFERROR(INDEX(Cost_Components!$T$2:$T$27,MATCH(E466,Cost_Components!$A$2:$A$27,0)),"")</f>
        <v>0.8</v>
      </c>
      <c r="AA466" s="24">
        <f>IFERROR(INDEX(Cost_Components!$U$2:$U$27,MATCH(E466,Cost_Components!$A$2:$A$27,0)),"")</f>
        <v>2025</v>
      </c>
      <c r="AB466" s="24">
        <f>IFERROR(INDEX(Cost_Components!$V$2:$V$27,MATCH(E466,Cost_Components!$A$2:$A$27,0)),"")</f>
        <v>2050</v>
      </c>
      <c r="AC466" s="24">
        <f>IFERROR(INDEX(Cost_Components!$M$2:$M$27,MATCH(E466,Cost_Components!$A$2:$A$27,0)),"")</f>
        <v>5</v>
      </c>
      <c r="AD466" s="24">
        <f>IFERROR(INDEX(Cost_Components!$N$2:$N$27,MATCH(E466,Cost_Components!$A$2:$A$27,0)),"")</f>
        <v>39</v>
      </c>
      <c r="AE466" s="14" t="str">
        <f>IFERROR(INDEX(Cost_Components!$O$2:$O$27,MATCH(E466,Cost_Components!$A$2:$A$27,0)),"")</f>
        <v>Both</v>
      </c>
      <c r="AF466" s="11">
        <v>812134.15880614799</v>
      </c>
      <c r="AG466" s="11">
        <v>806223.70741118898</v>
      </c>
      <c r="AH466" s="21">
        <f t="shared" si="79"/>
        <v>1</v>
      </c>
    </row>
    <row r="467" spans="1:34">
      <c r="A467" t="s">
        <v>205</v>
      </c>
      <c r="B467" s="18">
        <v>2048</v>
      </c>
      <c r="C467" t="s">
        <v>205</v>
      </c>
      <c r="D467" t="s">
        <v>209</v>
      </c>
      <c r="E467" s="20" t="s">
        <v>300</v>
      </c>
      <c r="F467" s="20" t="s">
        <v>301</v>
      </c>
      <c r="G467" s="20" t="s">
        <v>206</v>
      </c>
      <c r="H467" s="20" t="s">
        <v>192</v>
      </c>
      <c r="I467" s="20" t="s">
        <v>264</v>
      </c>
      <c r="J467" s="15">
        <f>IFERROR(INDEX(Cost_Components!$K$2:$K$27,MATCH(E467,Cost_Components!$A$2:$A$27,0)),"")</f>
        <v>1</v>
      </c>
      <c r="K467" s="15">
        <f t="shared" si="70"/>
        <v>0.76230769230769235</v>
      </c>
      <c r="L467" s="15">
        <f>IFERROR(INDEX(Cost_Components!$S$2:$S$27,MATCH(E467,Cost_Components!$A$2:$A$27,0)),"")</f>
        <v>0.31</v>
      </c>
      <c r="M467" s="26">
        <f>IFERROR(INDEX(Cost_Components!$L$2:$L$27,MATCH(E467,Cost_Components!$A$2:$A$27,0)),"")</f>
        <v>1</v>
      </c>
      <c r="N467" s="27">
        <f>IFERROR(INDEX(Cost_Components!$P$2:$P$27,MATCH(E467,Cost_Components!$A$2:$A$27,0)),"")</f>
        <v>50.857354000000001</v>
      </c>
      <c r="O467" s="21">
        <f t="shared" si="71"/>
        <v>808202.59036685503</v>
      </c>
      <c r="P467" s="21">
        <f t="shared" si="72"/>
        <v>801970.32352241501</v>
      </c>
      <c r="Q467" s="21">
        <f t="shared" si="73"/>
        <v>12643687.478670936</v>
      </c>
      <c r="R467" s="21">
        <f t="shared" si="74"/>
        <v>31333167.565250847</v>
      </c>
      <c r="S467" s="21">
        <f t="shared" si="75"/>
        <v>18689480.086579911</v>
      </c>
      <c r="T467" s="14">
        <f>IFERROR(INDEX(Cost_Components!$R$2:$R$27,MATCH(E467,Cost_Components!$A$2:$A$27,0)),"")</f>
        <v>1</v>
      </c>
      <c r="U467" s="24">
        <f>IFERROR(INDEX(Cost_Components!$Q$2:$Q$27,MATCH(E467,Cost_Components!$A$2:$A$27,0)),"")</f>
        <v>2023</v>
      </c>
      <c r="V467" s="28">
        <f>1/(1+Calculation_Assumptions!$B$5)^(B467-Calculation_Assumptions!$B$2)</f>
        <v>0.50669174842969467</v>
      </c>
      <c r="W467" s="21">
        <f t="shared" si="76"/>
        <v>6406452.1151664145</v>
      </c>
      <c r="X467" s="21">
        <f t="shared" si="77"/>
        <v>15876257.457477551</v>
      </c>
      <c r="Y467" s="21">
        <f t="shared" si="78"/>
        <v>9469805.3423111364</v>
      </c>
      <c r="Z467" s="15">
        <f>IFERROR(INDEX(Cost_Components!$T$2:$T$27,MATCH(E467,Cost_Components!$A$2:$A$27,0)),"")</f>
        <v>0.8</v>
      </c>
      <c r="AA467" s="24">
        <f>IFERROR(INDEX(Cost_Components!$U$2:$U$27,MATCH(E467,Cost_Components!$A$2:$A$27,0)),"")</f>
        <v>2025</v>
      </c>
      <c r="AB467" s="24">
        <f>IFERROR(INDEX(Cost_Components!$V$2:$V$27,MATCH(E467,Cost_Components!$A$2:$A$27,0)),"")</f>
        <v>2050</v>
      </c>
      <c r="AC467" s="24">
        <f>IFERROR(INDEX(Cost_Components!$M$2:$M$27,MATCH(E467,Cost_Components!$A$2:$A$27,0)),"")</f>
        <v>5</v>
      </c>
      <c r="AD467" s="24">
        <f>IFERROR(INDEX(Cost_Components!$N$2:$N$27,MATCH(E467,Cost_Components!$A$2:$A$27,0)),"")</f>
        <v>39</v>
      </c>
      <c r="AE467" s="14" t="str">
        <f>IFERROR(INDEX(Cost_Components!$O$2:$O$27,MATCH(E467,Cost_Components!$A$2:$A$27,0)),"")</f>
        <v>Both</v>
      </c>
      <c r="AF467" s="11">
        <v>808202.59036685503</v>
      </c>
      <c r="AG467" s="11">
        <v>801970.32352241501</v>
      </c>
      <c r="AH467" s="21">
        <f t="shared" si="79"/>
        <v>1</v>
      </c>
    </row>
    <row r="468" spans="1:34">
      <c r="A468" t="s">
        <v>205</v>
      </c>
      <c r="B468" s="18">
        <v>2049</v>
      </c>
      <c r="C468" t="s">
        <v>205</v>
      </c>
      <c r="D468" t="s">
        <v>209</v>
      </c>
      <c r="E468" s="20" t="s">
        <v>300</v>
      </c>
      <c r="F468" s="20" t="s">
        <v>301</v>
      </c>
      <c r="G468" s="20" t="s">
        <v>206</v>
      </c>
      <c r="H468" s="20" t="s">
        <v>192</v>
      </c>
      <c r="I468" s="20" t="s">
        <v>264</v>
      </c>
      <c r="J468" s="15">
        <f>IFERROR(INDEX(Cost_Components!$K$2:$K$27,MATCH(E468,Cost_Components!$A$2:$A$27,0)),"")</f>
        <v>1</v>
      </c>
      <c r="K468" s="15">
        <f t="shared" si="70"/>
        <v>0.7811538461538462</v>
      </c>
      <c r="L468" s="15">
        <f>IFERROR(INDEX(Cost_Components!$S$2:$S$27,MATCH(E468,Cost_Components!$A$2:$A$27,0)),"")</f>
        <v>0.31</v>
      </c>
      <c r="M468" s="26">
        <f>IFERROR(INDEX(Cost_Components!$L$2:$L$27,MATCH(E468,Cost_Components!$A$2:$A$27,0)),"")</f>
        <v>1</v>
      </c>
      <c r="N468" s="27">
        <f>IFERROR(INDEX(Cost_Components!$P$2:$P$27,MATCH(E468,Cost_Components!$A$2:$A$27,0)),"")</f>
        <v>50.857354000000001</v>
      </c>
      <c r="O468" s="21">
        <f t="shared" si="71"/>
        <v>804201.18809585995</v>
      </c>
      <c r="P468" s="21">
        <f t="shared" si="72"/>
        <v>797654.61097426305</v>
      </c>
      <c r="Q468" s="21">
        <f t="shared" si="73"/>
        <v>12575646.905215619</v>
      </c>
      <c r="R468" s="21">
        <f t="shared" si="74"/>
        <v>31948836.50009232</v>
      </c>
      <c r="S468" s="21">
        <f t="shared" si="75"/>
        <v>19373189.594876699</v>
      </c>
      <c r="T468" s="14">
        <f>IFERROR(INDEX(Cost_Components!$R$2:$R$27,MATCH(E468,Cost_Components!$A$2:$A$27,0)),"")</f>
        <v>1</v>
      </c>
      <c r="U468" s="24">
        <f>IFERROR(INDEX(Cost_Components!$Q$2:$Q$27,MATCH(E468,Cost_Components!$A$2:$A$27,0)),"")</f>
        <v>2023</v>
      </c>
      <c r="V468" s="28">
        <f>1/(1+Calculation_Assumptions!$B$5)^(B468-Calculation_Assumptions!$B$2)</f>
        <v>0.49193373633950943</v>
      </c>
      <c r="W468" s="21">
        <f t="shared" si="76"/>
        <v>6186384.9689691085</v>
      </c>
      <c r="X468" s="21">
        <f t="shared" si="77"/>
        <v>15716710.511190511</v>
      </c>
      <c r="Y468" s="21">
        <f t="shared" si="78"/>
        <v>9530325.5422214009</v>
      </c>
      <c r="Z468" s="15">
        <f>IFERROR(INDEX(Cost_Components!$T$2:$T$27,MATCH(E468,Cost_Components!$A$2:$A$27,0)),"")</f>
        <v>0.8</v>
      </c>
      <c r="AA468" s="24">
        <f>IFERROR(INDEX(Cost_Components!$U$2:$U$27,MATCH(E468,Cost_Components!$A$2:$A$27,0)),"")</f>
        <v>2025</v>
      </c>
      <c r="AB468" s="24">
        <f>IFERROR(INDEX(Cost_Components!$V$2:$V$27,MATCH(E468,Cost_Components!$A$2:$A$27,0)),"")</f>
        <v>2050</v>
      </c>
      <c r="AC468" s="24">
        <f>IFERROR(INDEX(Cost_Components!$M$2:$M$27,MATCH(E468,Cost_Components!$A$2:$A$27,0)),"")</f>
        <v>5</v>
      </c>
      <c r="AD468" s="24">
        <f>IFERROR(INDEX(Cost_Components!$N$2:$N$27,MATCH(E468,Cost_Components!$A$2:$A$27,0)),"")</f>
        <v>39</v>
      </c>
      <c r="AE468" s="14" t="str">
        <f>IFERROR(INDEX(Cost_Components!$O$2:$O$27,MATCH(E468,Cost_Components!$A$2:$A$27,0)),"")</f>
        <v>Both</v>
      </c>
      <c r="AF468" s="11">
        <v>804201.18809585995</v>
      </c>
      <c r="AG468" s="11">
        <v>797654.61097426305</v>
      </c>
      <c r="AH468" s="21">
        <f t="shared" si="79"/>
        <v>1</v>
      </c>
    </row>
    <row r="469" spans="1:34">
      <c r="A469" t="s">
        <v>205</v>
      </c>
      <c r="B469" s="18">
        <v>2050</v>
      </c>
      <c r="C469" t="s">
        <v>205</v>
      </c>
      <c r="D469" t="s">
        <v>209</v>
      </c>
      <c r="E469" s="20" t="s">
        <v>300</v>
      </c>
      <c r="F469" s="20" t="s">
        <v>301</v>
      </c>
      <c r="G469" s="20" t="s">
        <v>206</v>
      </c>
      <c r="H469" s="20" t="s">
        <v>192</v>
      </c>
      <c r="I469" s="20" t="s">
        <v>264</v>
      </c>
      <c r="J469" s="15">
        <f>IFERROR(INDEX(Cost_Components!$K$2:$K$27,MATCH(E469,Cost_Components!$A$2:$A$27,0)),"")</f>
        <v>1</v>
      </c>
      <c r="K469" s="15">
        <f t="shared" si="70"/>
        <v>0.8</v>
      </c>
      <c r="L469" s="15">
        <f>IFERROR(INDEX(Cost_Components!$S$2:$S$27,MATCH(E469,Cost_Components!$A$2:$A$27,0)),"")</f>
        <v>0.31</v>
      </c>
      <c r="M469" s="26">
        <f>IFERROR(INDEX(Cost_Components!$L$2:$L$27,MATCH(E469,Cost_Components!$A$2:$A$27,0)),"")</f>
        <v>1</v>
      </c>
      <c r="N469" s="27">
        <f>IFERROR(INDEX(Cost_Components!$P$2:$P$27,MATCH(E469,Cost_Components!$A$2:$A$27,0)),"")</f>
        <v>50.857354000000001</v>
      </c>
      <c r="O469" s="21">
        <f t="shared" si="71"/>
        <v>799836.15190656297</v>
      </c>
      <c r="P469" s="21">
        <f t="shared" si="72"/>
        <v>792987.39772936003</v>
      </c>
      <c r="Q469" s="21">
        <f t="shared" si="73"/>
        <v>12502064.649196867</v>
      </c>
      <c r="R469" s="21">
        <f t="shared" si="74"/>
        <v>32542040.255607881</v>
      </c>
      <c r="S469" s="21">
        <f t="shared" si="75"/>
        <v>20039975.606411014</v>
      </c>
      <c r="T469" s="14">
        <f>IFERROR(INDEX(Cost_Components!$R$2:$R$27,MATCH(E469,Cost_Components!$A$2:$A$27,0)),"")</f>
        <v>1</v>
      </c>
      <c r="U469" s="24">
        <f>IFERROR(INDEX(Cost_Components!$Q$2:$Q$27,MATCH(E469,Cost_Components!$A$2:$A$27,0)),"")</f>
        <v>2023</v>
      </c>
      <c r="V469" s="28">
        <f>1/(1+Calculation_Assumptions!$B$5)^(B469-Calculation_Assumptions!$B$2)</f>
        <v>0.47760556926165965</v>
      </c>
      <c r="W469" s="21">
        <f t="shared" si="76"/>
        <v>5971055.7037257412</v>
      </c>
      <c r="X469" s="21">
        <f t="shared" si="77"/>
        <v>15542259.661215447</v>
      </c>
      <c r="Y469" s="21">
        <f t="shared" si="78"/>
        <v>9571203.9574897047</v>
      </c>
      <c r="Z469" s="15">
        <f>IFERROR(INDEX(Cost_Components!$T$2:$T$27,MATCH(E469,Cost_Components!$A$2:$A$27,0)),"")</f>
        <v>0.8</v>
      </c>
      <c r="AA469" s="24">
        <f>IFERROR(INDEX(Cost_Components!$U$2:$U$27,MATCH(E469,Cost_Components!$A$2:$A$27,0)),"")</f>
        <v>2025</v>
      </c>
      <c r="AB469" s="24">
        <f>IFERROR(INDEX(Cost_Components!$V$2:$V$27,MATCH(E469,Cost_Components!$A$2:$A$27,0)),"")</f>
        <v>2050</v>
      </c>
      <c r="AC469" s="24">
        <f>IFERROR(INDEX(Cost_Components!$M$2:$M$27,MATCH(E469,Cost_Components!$A$2:$A$27,0)),"")</f>
        <v>5</v>
      </c>
      <c r="AD469" s="24">
        <f>IFERROR(INDEX(Cost_Components!$N$2:$N$27,MATCH(E469,Cost_Components!$A$2:$A$27,0)),"")</f>
        <v>39</v>
      </c>
      <c r="AE469" s="14" t="str">
        <f>IFERROR(INDEX(Cost_Components!$O$2:$O$27,MATCH(E469,Cost_Components!$A$2:$A$27,0)),"")</f>
        <v>Both</v>
      </c>
      <c r="AF469" s="11">
        <v>799836.15190656297</v>
      </c>
      <c r="AG469" s="11">
        <v>792987.39772936003</v>
      </c>
      <c r="AH469" s="21">
        <f t="shared" si="79"/>
        <v>1</v>
      </c>
    </row>
    <row r="470" spans="1:34">
      <c r="A470" t="s">
        <v>212</v>
      </c>
      <c r="B470" s="18">
        <v>2025</v>
      </c>
      <c r="C470" t="s">
        <v>212</v>
      </c>
      <c r="D470" t="s">
        <v>209</v>
      </c>
      <c r="E470" s="20" t="s">
        <v>303</v>
      </c>
      <c r="F470" s="20" t="s">
        <v>304</v>
      </c>
      <c r="G470" s="20" t="s">
        <v>213</v>
      </c>
      <c r="H470" s="20" t="s">
        <v>192</v>
      </c>
      <c r="I470" s="20" t="s">
        <v>264</v>
      </c>
      <c r="J470" s="15">
        <v>0.05</v>
      </c>
      <c r="K470" s="15">
        <f t="shared" si="70"/>
        <v>0.12692307692307694</v>
      </c>
      <c r="L470" s="15">
        <f>IFERROR(INDEX(Cost_Components!$S$2:$S$27,MATCH(E470,Cost_Components!$A$2:$A$27,0)),"")</f>
        <v>0.1</v>
      </c>
      <c r="M470" s="26">
        <f>IFERROR(INDEX(Cost_Components!$L$2:$L$27,MATCH(E470,Cost_Components!$A$2:$A$27,0)),"")</f>
        <v>1</v>
      </c>
      <c r="N470" s="27">
        <f>IFERROR(INDEX(Cost_Components!$P$2:$P$27,MATCH(E470,Cost_Components!$A$2:$A$27,0)),"")</f>
        <v>12488.38616</v>
      </c>
      <c r="O470" s="21">
        <f t="shared" si="71"/>
        <v>39743.858773457105</v>
      </c>
      <c r="P470" s="21">
        <f t="shared" si="72"/>
        <v>39743.570811821904</v>
      </c>
      <c r="Q470" s="21">
        <f t="shared" si="73"/>
        <v>49633305.967533663</v>
      </c>
      <c r="R470" s="21">
        <f t="shared" si="74"/>
        <v>62996575.550374612</v>
      </c>
      <c r="S470" s="21">
        <f t="shared" si="75"/>
        <v>13363269.582840949</v>
      </c>
      <c r="T470" s="14">
        <f>IFERROR(INDEX(Cost_Components!$R$2:$R$27,MATCH(E470,Cost_Components!$A$2:$A$27,0)),"")</f>
        <v>1</v>
      </c>
      <c r="U470" s="24">
        <f>IFERROR(INDEX(Cost_Components!$Q$2:$Q$27,MATCH(E470,Cost_Components!$A$2:$A$27,0)),"")</f>
        <v>2023</v>
      </c>
      <c r="V470" s="28">
        <f>1/(1+Calculation_Assumptions!$B$5)^(B470-Calculation_Assumptions!$B$2)</f>
        <v>1</v>
      </c>
      <c r="W470" s="21">
        <f t="shared" si="76"/>
        <v>49633305.967533663</v>
      </c>
      <c r="X470" s="21">
        <f t="shared" si="77"/>
        <v>62996575.550374612</v>
      </c>
      <c r="Y470" s="21">
        <f t="shared" si="78"/>
        <v>13363269.582840949</v>
      </c>
      <c r="Z470" s="15">
        <f>IFERROR(INDEX(Cost_Components!$T$2:$T$27,MATCH(E470,Cost_Components!$A$2:$A$27,0)),"")</f>
        <v>0.8</v>
      </c>
      <c r="AA470" s="24">
        <f>IFERROR(INDEX(Cost_Components!$U$2:$U$27,MATCH(E470,Cost_Components!$A$2:$A$27,0)),"")</f>
        <v>2025</v>
      </c>
      <c r="AB470" s="24">
        <f>IFERROR(INDEX(Cost_Components!$V$2:$V$27,MATCH(E470,Cost_Components!$A$2:$A$27,0)),"")</f>
        <v>2050</v>
      </c>
      <c r="AC470" s="24">
        <f>IFERROR(INDEX(Cost_Components!$M$2:$M$27,MATCH(E470,Cost_Components!$A$2:$A$27,0)),"")</f>
        <v>5</v>
      </c>
      <c r="AD470" s="24">
        <f>IFERROR(INDEX(Cost_Components!$N$2:$N$27,MATCH(E470,Cost_Components!$A$2:$A$27,0)),"")</f>
        <v>40</v>
      </c>
      <c r="AE470" s="14" t="str">
        <f>IFERROR(INDEX(Cost_Components!$O$2:$O$27,MATCH(E470,Cost_Components!$A$2:$A$27,0)),"")</f>
        <v>Both</v>
      </c>
      <c r="AF470" s="11">
        <v>794877.17546914204</v>
      </c>
      <c r="AG470" s="11">
        <v>794871.41623643797</v>
      </c>
      <c r="AH470" s="21">
        <f t="shared" si="79"/>
        <v>1</v>
      </c>
    </row>
    <row r="471" spans="1:34">
      <c r="A471" t="s">
        <v>212</v>
      </c>
      <c r="B471" s="18">
        <v>2026</v>
      </c>
      <c r="C471" t="s">
        <v>212</v>
      </c>
      <c r="D471" t="s">
        <v>209</v>
      </c>
      <c r="E471" s="20" t="s">
        <v>303</v>
      </c>
      <c r="F471" s="20" t="s">
        <v>304</v>
      </c>
      <c r="G471" s="20" t="s">
        <v>213</v>
      </c>
      <c r="H471" s="20" t="s">
        <v>192</v>
      </c>
      <c r="I471" s="20" t="s">
        <v>264</v>
      </c>
      <c r="J471" s="15">
        <v>0.05</v>
      </c>
      <c r="K471" s="15">
        <f t="shared" si="70"/>
        <v>0.15384615384615385</v>
      </c>
      <c r="L471" s="15">
        <f>IFERROR(INDEX(Cost_Components!$S$2:$S$27,MATCH(E471,Cost_Components!$A$2:$A$27,0)),"")</f>
        <v>0.1</v>
      </c>
      <c r="M471" s="26">
        <f>IFERROR(INDEX(Cost_Components!$L$2:$L$27,MATCH(E471,Cost_Components!$A$2:$A$27,0)),"")</f>
        <v>1</v>
      </c>
      <c r="N471" s="27">
        <f>IFERROR(INDEX(Cost_Components!$P$2:$P$27,MATCH(E471,Cost_Components!$A$2:$A$27,0)),"")</f>
        <v>12488.38616</v>
      </c>
      <c r="O471" s="21">
        <f t="shared" si="71"/>
        <v>39821.754679424455</v>
      </c>
      <c r="P471" s="21">
        <f t="shared" si="72"/>
        <v>39820.912660403301</v>
      </c>
      <c r="Q471" s="21">
        <f t="shared" si="73"/>
        <v>49729893.454674937</v>
      </c>
      <c r="R471" s="21">
        <f t="shared" si="74"/>
        <v>76509146.154683024</v>
      </c>
      <c r="S471" s="21">
        <f t="shared" si="75"/>
        <v>26779252.700008087</v>
      </c>
      <c r="T471" s="14">
        <f>IFERROR(INDEX(Cost_Components!$R$2:$R$27,MATCH(E471,Cost_Components!$A$2:$A$27,0)),"")</f>
        <v>1</v>
      </c>
      <c r="U471" s="24">
        <f>IFERROR(INDEX(Cost_Components!$Q$2:$Q$27,MATCH(E471,Cost_Components!$A$2:$A$27,0)),"")</f>
        <v>2023</v>
      </c>
      <c r="V471" s="28">
        <f>1/(1+Calculation_Assumptions!$B$5)^(B471-Calculation_Assumptions!$B$2)</f>
        <v>0.970873786407767</v>
      </c>
      <c r="W471" s="21">
        <f t="shared" si="76"/>
        <v>48281449.955995083</v>
      </c>
      <c r="X471" s="21">
        <f t="shared" si="77"/>
        <v>74280724.422022358</v>
      </c>
      <c r="Y471" s="21">
        <f t="shared" si="78"/>
        <v>25999274.466027271</v>
      </c>
      <c r="Z471" s="15">
        <f>IFERROR(INDEX(Cost_Components!$T$2:$T$27,MATCH(E471,Cost_Components!$A$2:$A$27,0)),"")</f>
        <v>0.8</v>
      </c>
      <c r="AA471" s="24">
        <f>IFERROR(INDEX(Cost_Components!$U$2:$U$27,MATCH(E471,Cost_Components!$A$2:$A$27,0)),"")</f>
        <v>2025</v>
      </c>
      <c r="AB471" s="24">
        <f>IFERROR(INDEX(Cost_Components!$V$2:$V$27,MATCH(E471,Cost_Components!$A$2:$A$27,0)),"")</f>
        <v>2050</v>
      </c>
      <c r="AC471" s="24">
        <f>IFERROR(INDEX(Cost_Components!$M$2:$M$27,MATCH(E471,Cost_Components!$A$2:$A$27,0)),"")</f>
        <v>5</v>
      </c>
      <c r="AD471" s="24">
        <f>IFERROR(INDEX(Cost_Components!$N$2:$N$27,MATCH(E471,Cost_Components!$A$2:$A$27,0)),"")</f>
        <v>40</v>
      </c>
      <c r="AE471" s="14" t="str">
        <f>IFERROR(INDEX(Cost_Components!$O$2:$O$27,MATCH(E471,Cost_Components!$A$2:$A$27,0)),"")</f>
        <v>Both</v>
      </c>
      <c r="AF471" s="11">
        <v>796435.09358848899</v>
      </c>
      <c r="AG471" s="11">
        <v>796418.25320806599</v>
      </c>
      <c r="AH471" s="21">
        <f t="shared" si="79"/>
        <v>1</v>
      </c>
    </row>
    <row r="472" spans="1:34">
      <c r="A472" t="s">
        <v>212</v>
      </c>
      <c r="B472" s="18">
        <v>2027</v>
      </c>
      <c r="C472" t="s">
        <v>212</v>
      </c>
      <c r="D472" t="s">
        <v>209</v>
      </c>
      <c r="E472" s="20" t="s">
        <v>303</v>
      </c>
      <c r="F472" s="20" t="s">
        <v>304</v>
      </c>
      <c r="G472" s="20" t="s">
        <v>213</v>
      </c>
      <c r="H472" s="20" t="s">
        <v>192</v>
      </c>
      <c r="I472" s="20" t="s">
        <v>264</v>
      </c>
      <c r="J472" s="15">
        <v>0.05</v>
      </c>
      <c r="K472" s="15">
        <f t="shared" si="70"/>
        <v>0.18076923076923079</v>
      </c>
      <c r="L472" s="15">
        <f>IFERROR(INDEX(Cost_Components!$S$2:$S$27,MATCH(E472,Cost_Components!$A$2:$A$27,0)),"")</f>
        <v>0.1</v>
      </c>
      <c r="M472" s="26">
        <f>IFERROR(INDEX(Cost_Components!$L$2:$L$27,MATCH(E472,Cost_Components!$A$2:$A$27,0)),"")</f>
        <v>1</v>
      </c>
      <c r="N472" s="27">
        <f>IFERROR(INDEX(Cost_Components!$P$2:$P$27,MATCH(E472,Cost_Components!$A$2:$A$27,0)),"")</f>
        <v>12488.38616</v>
      </c>
      <c r="O472" s="21">
        <f t="shared" si="71"/>
        <v>39965.065548875151</v>
      </c>
      <c r="P472" s="21">
        <f t="shared" si="72"/>
        <v>39963.421703604901</v>
      </c>
      <c r="Q472" s="21">
        <f t="shared" si="73"/>
        <v>49907864.250954308</v>
      </c>
      <c r="R472" s="21">
        <f t="shared" si="74"/>
        <v>90221773.306734875</v>
      </c>
      <c r="S472" s="21">
        <f t="shared" si="75"/>
        <v>40313909.055780567</v>
      </c>
      <c r="T472" s="14">
        <f>IFERROR(INDEX(Cost_Components!$R$2:$R$27,MATCH(E472,Cost_Components!$A$2:$A$27,0)),"")</f>
        <v>1</v>
      </c>
      <c r="U472" s="24">
        <f>IFERROR(INDEX(Cost_Components!$Q$2:$Q$27,MATCH(E472,Cost_Components!$A$2:$A$27,0)),"")</f>
        <v>2023</v>
      </c>
      <c r="V472" s="28">
        <f>1/(1+Calculation_Assumptions!$B$5)^(B472-Calculation_Assumptions!$B$2)</f>
        <v>0.94259590913375435</v>
      </c>
      <c r="W472" s="21">
        <f t="shared" si="76"/>
        <v>47042948.676552273</v>
      </c>
      <c r="X472" s="21">
        <f t="shared" si="77"/>
        <v>85042674.433721244</v>
      </c>
      <c r="Y472" s="21">
        <f t="shared" si="78"/>
        <v>37999725.757168978</v>
      </c>
      <c r="Z472" s="15">
        <f>IFERROR(INDEX(Cost_Components!$T$2:$T$27,MATCH(E472,Cost_Components!$A$2:$A$27,0)),"")</f>
        <v>0.8</v>
      </c>
      <c r="AA472" s="24">
        <f>IFERROR(INDEX(Cost_Components!$U$2:$U$27,MATCH(E472,Cost_Components!$A$2:$A$27,0)),"")</f>
        <v>2025</v>
      </c>
      <c r="AB472" s="24">
        <f>IFERROR(INDEX(Cost_Components!$V$2:$V$27,MATCH(E472,Cost_Components!$A$2:$A$27,0)),"")</f>
        <v>2050</v>
      </c>
      <c r="AC472" s="24">
        <f>IFERROR(INDEX(Cost_Components!$M$2:$M$27,MATCH(E472,Cost_Components!$A$2:$A$27,0)),"")</f>
        <v>5</v>
      </c>
      <c r="AD472" s="24">
        <f>IFERROR(INDEX(Cost_Components!$N$2:$N$27,MATCH(E472,Cost_Components!$A$2:$A$27,0)),"")</f>
        <v>40</v>
      </c>
      <c r="AE472" s="14" t="str">
        <f>IFERROR(INDEX(Cost_Components!$O$2:$O$27,MATCH(E472,Cost_Components!$A$2:$A$27,0)),"")</f>
        <v>Both</v>
      </c>
      <c r="AF472" s="11">
        <v>799301.31097750296</v>
      </c>
      <c r="AG472" s="11">
        <v>799268.434072098</v>
      </c>
      <c r="AH472" s="21">
        <f t="shared" si="79"/>
        <v>1</v>
      </c>
    </row>
    <row r="473" spans="1:34">
      <c r="A473" t="s">
        <v>212</v>
      </c>
      <c r="B473" s="18">
        <v>2028</v>
      </c>
      <c r="C473" t="s">
        <v>212</v>
      </c>
      <c r="D473" t="s">
        <v>209</v>
      </c>
      <c r="E473" s="20" t="s">
        <v>303</v>
      </c>
      <c r="F473" s="20" t="s">
        <v>304</v>
      </c>
      <c r="G473" s="20" t="s">
        <v>213</v>
      </c>
      <c r="H473" s="20" t="s">
        <v>192</v>
      </c>
      <c r="I473" s="20" t="s">
        <v>264</v>
      </c>
      <c r="J473" s="15">
        <v>0.05</v>
      </c>
      <c r="K473" s="15">
        <f t="shared" si="70"/>
        <v>0.20769230769230773</v>
      </c>
      <c r="L473" s="15">
        <f>IFERROR(INDEX(Cost_Components!$S$2:$S$27,MATCH(E473,Cost_Components!$A$2:$A$27,0)),"")</f>
        <v>0.1</v>
      </c>
      <c r="M473" s="26">
        <f>IFERROR(INDEX(Cost_Components!$L$2:$L$27,MATCH(E473,Cost_Components!$A$2:$A$27,0)),"")</f>
        <v>1</v>
      </c>
      <c r="N473" s="27">
        <f>IFERROR(INDEX(Cost_Components!$P$2:$P$27,MATCH(E473,Cost_Components!$A$2:$A$27,0)),"")</f>
        <v>12488.38616</v>
      </c>
      <c r="O473" s="21">
        <f t="shared" si="71"/>
        <v>40140.330767744905</v>
      </c>
      <c r="P473" s="21">
        <f t="shared" si="72"/>
        <v>40137.654426815403</v>
      </c>
      <c r="Q473" s="21">
        <f t="shared" si="73"/>
        <v>50125452.803870425</v>
      </c>
      <c r="R473" s="21">
        <f t="shared" si="74"/>
        <v>104113651.40675883</v>
      </c>
      <c r="S473" s="21">
        <f t="shared" si="75"/>
        <v>53988198.602888405</v>
      </c>
      <c r="T473" s="14">
        <f>IFERROR(INDEX(Cost_Components!$R$2:$R$27,MATCH(E473,Cost_Components!$A$2:$A$27,0)),"")</f>
        <v>1</v>
      </c>
      <c r="U473" s="24">
        <f>IFERROR(INDEX(Cost_Components!$Q$2:$Q$27,MATCH(E473,Cost_Components!$A$2:$A$27,0)),"")</f>
        <v>2023</v>
      </c>
      <c r="V473" s="28">
        <f>1/(1+Calculation_Assumptions!$B$5)^(B473-Calculation_Assumptions!$B$2)</f>
        <v>0.91514165935315961</v>
      </c>
      <c r="W473" s="21">
        <f t="shared" si="76"/>
        <v>45871890.054762468</v>
      </c>
      <c r="X473" s="21">
        <f t="shared" si="77"/>
        <v>95278739.709697694</v>
      </c>
      <c r="Y473" s="21">
        <f t="shared" si="78"/>
        <v>49406849.654935226</v>
      </c>
      <c r="Z473" s="15">
        <f>IFERROR(INDEX(Cost_Components!$T$2:$T$27,MATCH(E473,Cost_Components!$A$2:$A$27,0)),"")</f>
        <v>0.8</v>
      </c>
      <c r="AA473" s="24">
        <f>IFERROR(INDEX(Cost_Components!$U$2:$U$27,MATCH(E473,Cost_Components!$A$2:$A$27,0)),"")</f>
        <v>2025</v>
      </c>
      <c r="AB473" s="24">
        <f>IFERROR(INDEX(Cost_Components!$V$2:$V$27,MATCH(E473,Cost_Components!$A$2:$A$27,0)),"")</f>
        <v>2050</v>
      </c>
      <c r="AC473" s="24">
        <f>IFERROR(INDEX(Cost_Components!$M$2:$M$27,MATCH(E473,Cost_Components!$A$2:$A$27,0)),"")</f>
        <v>5</v>
      </c>
      <c r="AD473" s="24">
        <f>IFERROR(INDEX(Cost_Components!$N$2:$N$27,MATCH(E473,Cost_Components!$A$2:$A$27,0)),"")</f>
        <v>40</v>
      </c>
      <c r="AE473" s="14" t="str">
        <f>IFERROR(INDEX(Cost_Components!$O$2:$O$27,MATCH(E473,Cost_Components!$A$2:$A$27,0)),"")</f>
        <v>Both</v>
      </c>
      <c r="AF473" s="11">
        <v>802806.61535489804</v>
      </c>
      <c r="AG473" s="11">
        <v>802753.08853630803</v>
      </c>
      <c r="AH473" s="21">
        <f t="shared" si="79"/>
        <v>1</v>
      </c>
    </row>
    <row r="474" spans="1:34">
      <c r="A474" t="s">
        <v>212</v>
      </c>
      <c r="B474" s="18">
        <v>2029</v>
      </c>
      <c r="C474" t="s">
        <v>212</v>
      </c>
      <c r="D474" t="s">
        <v>209</v>
      </c>
      <c r="E474" s="20" t="s">
        <v>303</v>
      </c>
      <c r="F474" s="20" t="s">
        <v>304</v>
      </c>
      <c r="G474" s="20" t="s">
        <v>213</v>
      </c>
      <c r="H474" s="20" t="s">
        <v>192</v>
      </c>
      <c r="I474" s="20" t="s">
        <v>264</v>
      </c>
      <c r="J474" s="15">
        <v>0.05</v>
      </c>
      <c r="K474" s="15">
        <f t="shared" si="70"/>
        <v>0.23461538461538464</v>
      </c>
      <c r="L474" s="15">
        <f>IFERROR(INDEX(Cost_Components!$S$2:$S$27,MATCH(E474,Cost_Components!$A$2:$A$27,0)),"")</f>
        <v>0.1</v>
      </c>
      <c r="M474" s="26">
        <f>IFERROR(INDEX(Cost_Components!$L$2:$L$27,MATCH(E474,Cost_Components!$A$2:$A$27,0)),"")</f>
        <v>1</v>
      </c>
      <c r="N474" s="27">
        <f>IFERROR(INDEX(Cost_Components!$P$2:$P$27,MATCH(E474,Cost_Components!$A$2:$A$27,0)),"")</f>
        <v>12488.38616</v>
      </c>
      <c r="O474" s="21">
        <f t="shared" si="71"/>
        <v>40320.467645805853</v>
      </c>
      <c r="P474" s="21">
        <f t="shared" si="72"/>
        <v>40316.546318032255</v>
      </c>
      <c r="Q474" s="21">
        <f t="shared" si="73"/>
        <v>50348859.905711301</v>
      </c>
      <c r="R474" s="21">
        <f t="shared" si="74"/>
        <v>118137660.68026611</v>
      </c>
      <c r="S474" s="21">
        <f t="shared" si="75"/>
        <v>67788800.774554819</v>
      </c>
      <c r="T474" s="14">
        <f>IFERROR(INDEX(Cost_Components!$R$2:$R$27,MATCH(E474,Cost_Components!$A$2:$A$27,0)),"")</f>
        <v>1</v>
      </c>
      <c r="U474" s="24">
        <f>IFERROR(INDEX(Cost_Components!$Q$2:$Q$27,MATCH(E474,Cost_Components!$A$2:$A$27,0)),"")</f>
        <v>2023</v>
      </c>
      <c r="V474" s="28">
        <f>1/(1+Calculation_Assumptions!$B$5)^(B474-Calculation_Assumptions!$B$2)</f>
        <v>0.888487047915689</v>
      </c>
      <c r="W474" s="21">
        <f t="shared" si="76"/>
        <v>44734309.903546028</v>
      </c>
      <c r="X474" s="21">
        <f t="shared" si="77"/>
        <v>104963781.38547501</v>
      </c>
      <c r="Y474" s="21">
        <f t="shared" si="78"/>
        <v>60229471.481928982</v>
      </c>
      <c r="Z474" s="15">
        <f>IFERROR(INDEX(Cost_Components!$T$2:$T$27,MATCH(E474,Cost_Components!$A$2:$A$27,0)),"")</f>
        <v>0.8</v>
      </c>
      <c r="AA474" s="24">
        <f>IFERROR(INDEX(Cost_Components!$U$2:$U$27,MATCH(E474,Cost_Components!$A$2:$A$27,0)),"")</f>
        <v>2025</v>
      </c>
      <c r="AB474" s="24">
        <f>IFERROR(INDEX(Cost_Components!$V$2:$V$27,MATCH(E474,Cost_Components!$A$2:$A$27,0)),"")</f>
        <v>2050</v>
      </c>
      <c r="AC474" s="24">
        <f>IFERROR(INDEX(Cost_Components!$M$2:$M$27,MATCH(E474,Cost_Components!$A$2:$A$27,0)),"")</f>
        <v>5</v>
      </c>
      <c r="AD474" s="24">
        <f>IFERROR(INDEX(Cost_Components!$N$2:$N$27,MATCH(E474,Cost_Components!$A$2:$A$27,0)),"")</f>
        <v>40</v>
      </c>
      <c r="AE474" s="14" t="str">
        <f>IFERROR(INDEX(Cost_Components!$O$2:$O$27,MATCH(E474,Cost_Components!$A$2:$A$27,0)),"")</f>
        <v>Both</v>
      </c>
      <c r="AF474" s="11">
        <v>806409.35291611694</v>
      </c>
      <c r="AG474" s="11">
        <v>806330.92636064498</v>
      </c>
      <c r="AH474" s="21">
        <f t="shared" si="79"/>
        <v>1</v>
      </c>
    </row>
    <row r="475" spans="1:34">
      <c r="A475" t="s">
        <v>212</v>
      </c>
      <c r="B475" s="18">
        <v>2030</v>
      </c>
      <c r="C475" t="s">
        <v>212</v>
      </c>
      <c r="D475" t="s">
        <v>209</v>
      </c>
      <c r="E475" s="20" t="s">
        <v>303</v>
      </c>
      <c r="F475" s="20" t="s">
        <v>304</v>
      </c>
      <c r="G475" s="20" t="s">
        <v>213</v>
      </c>
      <c r="H475" s="20" t="s">
        <v>192</v>
      </c>
      <c r="I475" s="20" t="s">
        <v>264</v>
      </c>
      <c r="J475" s="15">
        <v>0.05</v>
      </c>
      <c r="K475" s="15">
        <f t="shared" si="70"/>
        <v>0.26153846153846161</v>
      </c>
      <c r="L475" s="15">
        <f>IFERROR(INDEX(Cost_Components!$S$2:$S$27,MATCH(E475,Cost_Components!$A$2:$A$27,0)),"")</f>
        <v>0.1</v>
      </c>
      <c r="M475" s="26">
        <f>IFERROR(INDEX(Cost_Components!$L$2:$L$27,MATCH(E475,Cost_Components!$A$2:$A$27,0)),"")</f>
        <v>1</v>
      </c>
      <c r="N475" s="27">
        <f>IFERROR(INDEX(Cost_Components!$P$2:$P$27,MATCH(E475,Cost_Components!$A$2:$A$27,0)),"")</f>
        <v>12488.38616</v>
      </c>
      <c r="O475" s="21">
        <f t="shared" si="71"/>
        <v>40501.071782191153</v>
      </c>
      <c r="P475" s="21">
        <f t="shared" si="72"/>
        <v>40495.709858485206</v>
      </c>
      <c r="Q475" s="21">
        <f t="shared" si="73"/>
        <v>50572606.253608219</v>
      </c>
      <c r="R475" s="21">
        <f t="shared" si="74"/>
        <v>132284329.43489239</v>
      </c>
      <c r="S475" s="21">
        <f t="shared" si="75"/>
        <v>81711723.181284159</v>
      </c>
      <c r="T475" s="14">
        <f>IFERROR(INDEX(Cost_Components!$R$2:$R$27,MATCH(E475,Cost_Components!$A$2:$A$27,0)),"")</f>
        <v>1</v>
      </c>
      <c r="U475" s="24">
        <f>IFERROR(INDEX(Cost_Components!$Q$2:$Q$27,MATCH(E475,Cost_Components!$A$2:$A$27,0)),"")</f>
        <v>2023</v>
      </c>
      <c r="V475" s="28">
        <f>1/(1+Calculation_Assumptions!$B$5)^(B475-Calculation_Assumptions!$B$2)</f>
        <v>0.86260878438416411</v>
      </c>
      <c r="W475" s="21">
        <f t="shared" si="76"/>
        <v>43624374.403563961</v>
      </c>
      <c r="X475" s="21">
        <f t="shared" si="77"/>
        <v>114109624.60690682</v>
      </c>
      <c r="Y475" s="21">
        <f t="shared" si="78"/>
        <v>70485250.203342855</v>
      </c>
      <c r="Z475" s="15">
        <f>IFERROR(INDEX(Cost_Components!$T$2:$T$27,MATCH(E475,Cost_Components!$A$2:$A$27,0)),"")</f>
        <v>0.8</v>
      </c>
      <c r="AA475" s="24">
        <f>IFERROR(INDEX(Cost_Components!$U$2:$U$27,MATCH(E475,Cost_Components!$A$2:$A$27,0)),"")</f>
        <v>2025</v>
      </c>
      <c r="AB475" s="24">
        <f>IFERROR(INDEX(Cost_Components!$V$2:$V$27,MATCH(E475,Cost_Components!$A$2:$A$27,0)),"")</f>
        <v>2050</v>
      </c>
      <c r="AC475" s="24">
        <f>IFERROR(INDEX(Cost_Components!$M$2:$M$27,MATCH(E475,Cost_Components!$A$2:$A$27,0)),"")</f>
        <v>5</v>
      </c>
      <c r="AD475" s="24">
        <f>IFERROR(INDEX(Cost_Components!$N$2:$N$27,MATCH(E475,Cost_Components!$A$2:$A$27,0)),"")</f>
        <v>40</v>
      </c>
      <c r="AE475" s="14" t="str">
        <f>IFERROR(INDEX(Cost_Components!$O$2:$O$27,MATCH(E475,Cost_Components!$A$2:$A$27,0)),"")</f>
        <v>Both</v>
      </c>
      <c r="AF475" s="11">
        <v>810021.435643823</v>
      </c>
      <c r="AG475" s="11">
        <v>809914.19716970401</v>
      </c>
      <c r="AH475" s="21">
        <f t="shared" si="79"/>
        <v>1</v>
      </c>
    </row>
    <row r="476" spans="1:34">
      <c r="A476" t="s">
        <v>212</v>
      </c>
      <c r="B476" s="18">
        <v>2031</v>
      </c>
      <c r="C476" t="s">
        <v>212</v>
      </c>
      <c r="D476" t="s">
        <v>209</v>
      </c>
      <c r="E476" s="20" t="s">
        <v>303</v>
      </c>
      <c r="F476" s="20" t="s">
        <v>304</v>
      </c>
      <c r="G476" s="20" t="s">
        <v>213</v>
      </c>
      <c r="H476" s="20" t="s">
        <v>192</v>
      </c>
      <c r="I476" s="20" t="s">
        <v>264</v>
      </c>
      <c r="J476" s="15">
        <v>0.05</v>
      </c>
      <c r="K476" s="15">
        <f t="shared" si="70"/>
        <v>0.28846153846153844</v>
      </c>
      <c r="L476" s="15">
        <f>IFERROR(INDEX(Cost_Components!$S$2:$S$27,MATCH(E476,Cost_Components!$A$2:$A$27,0)),"")</f>
        <v>0.1</v>
      </c>
      <c r="M476" s="26">
        <f>IFERROR(INDEX(Cost_Components!$L$2:$L$27,MATCH(E476,Cost_Components!$A$2:$A$27,0)),"")</f>
        <v>1</v>
      </c>
      <c r="N476" s="27">
        <f>IFERROR(INDEX(Cost_Components!$P$2:$P$27,MATCH(E476,Cost_Components!$A$2:$A$27,0)),"")</f>
        <v>12488.38616</v>
      </c>
      <c r="O476" s="21">
        <f t="shared" si="71"/>
        <v>40691.695868547657</v>
      </c>
      <c r="P476" s="21">
        <f t="shared" si="72"/>
        <v>40684.707663931804</v>
      </c>
      <c r="Q476" s="21">
        <f t="shared" si="73"/>
        <v>50808634.011389188</v>
      </c>
      <c r="R476" s="21">
        <f t="shared" si="74"/>
        <v>146588541.78222105</v>
      </c>
      <c r="S476" s="21">
        <f t="shared" si="75"/>
        <v>95779907.770831853</v>
      </c>
      <c r="T476" s="14">
        <f>IFERROR(INDEX(Cost_Components!$R$2:$R$27,MATCH(E476,Cost_Components!$A$2:$A$27,0)),"")</f>
        <v>1</v>
      </c>
      <c r="U476" s="24">
        <f>IFERROR(INDEX(Cost_Components!$Q$2:$Q$27,MATCH(E476,Cost_Components!$A$2:$A$27,0)),"")</f>
        <v>2023</v>
      </c>
      <c r="V476" s="28">
        <f>1/(1+Calculation_Assumptions!$B$5)^(B476-Calculation_Assumptions!$B$2)</f>
        <v>0.83748425668365445</v>
      </c>
      <c r="W476" s="21">
        <f t="shared" si="76"/>
        <v>42551431.088140115</v>
      </c>
      <c r="X476" s="21">
        <f t="shared" si="77"/>
        <v>122765595.95282422</v>
      </c>
      <c r="Y476" s="21">
        <f t="shared" si="78"/>
        <v>80214164.86468409</v>
      </c>
      <c r="Z476" s="15">
        <f>IFERROR(INDEX(Cost_Components!$T$2:$T$27,MATCH(E476,Cost_Components!$A$2:$A$27,0)),"")</f>
        <v>0.8</v>
      </c>
      <c r="AA476" s="24">
        <f>IFERROR(INDEX(Cost_Components!$U$2:$U$27,MATCH(E476,Cost_Components!$A$2:$A$27,0)),"")</f>
        <v>2025</v>
      </c>
      <c r="AB476" s="24">
        <f>IFERROR(INDEX(Cost_Components!$V$2:$V$27,MATCH(E476,Cost_Components!$A$2:$A$27,0)),"")</f>
        <v>2050</v>
      </c>
      <c r="AC476" s="24">
        <f>IFERROR(INDEX(Cost_Components!$M$2:$M$27,MATCH(E476,Cost_Components!$A$2:$A$27,0)),"")</f>
        <v>5</v>
      </c>
      <c r="AD476" s="24">
        <f>IFERROR(INDEX(Cost_Components!$N$2:$N$27,MATCH(E476,Cost_Components!$A$2:$A$27,0)),"")</f>
        <v>40</v>
      </c>
      <c r="AE476" s="14" t="str">
        <f>IFERROR(INDEX(Cost_Components!$O$2:$O$27,MATCH(E476,Cost_Components!$A$2:$A$27,0)),"")</f>
        <v>Both</v>
      </c>
      <c r="AF476" s="11">
        <v>813833.91737095302</v>
      </c>
      <c r="AG476" s="11">
        <v>813694.15327863605</v>
      </c>
      <c r="AH476" s="21">
        <f t="shared" si="79"/>
        <v>1</v>
      </c>
    </row>
    <row r="477" spans="1:34">
      <c r="A477" t="s">
        <v>212</v>
      </c>
      <c r="B477" s="18">
        <v>2032</v>
      </c>
      <c r="C477" t="s">
        <v>212</v>
      </c>
      <c r="D477" t="s">
        <v>209</v>
      </c>
      <c r="E477" s="20" t="s">
        <v>303</v>
      </c>
      <c r="F477" s="20" t="s">
        <v>304</v>
      </c>
      <c r="G477" s="20" t="s">
        <v>213</v>
      </c>
      <c r="H477" s="20" t="s">
        <v>192</v>
      </c>
      <c r="I477" s="20" t="s">
        <v>264</v>
      </c>
      <c r="J477" s="15">
        <v>0.05</v>
      </c>
      <c r="K477" s="15">
        <f t="shared" si="70"/>
        <v>0.31538461538461543</v>
      </c>
      <c r="L477" s="15">
        <f>IFERROR(INDEX(Cost_Components!$S$2:$S$27,MATCH(E477,Cost_Components!$A$2:$A$27,0)),"")</f>
        <v>0.1</v>
      </c>
      <c r="M477" s="26">
        <f>IFERROR(INDEX(Cost_Components!$L$2:$L$27,MATCH(E477,Cost_Components!$A$2:$A$27,0)),"")</f>
        <v>1</v>
      </c>
      <c r="N477" s="27">
        <f>IFERROR(INDEX(Cost_Components!$P$2:$P$27,MATCH(E477,Cost_Components!$A$2:$A$27,0)),"")</f>
        <v>12488.38616</v>
      </c>
      <c r="O477" s="21">
        <f t="shared" si="71"/>
        <v>40911.762980881504</v>
      </c>
      <c r="P477" s="21">
        <f t="shared" si="72"/>
        <v>40902.967579415097</v>
      </c>
      <c r="Q477" s="21">
        <f t="shared" si="73"/>
        <v>51081205.422169626</v>
      </c>
      <c r="R477" s="21">
        <f t="shared" si="74"/>
        <v>161136905.21736369</v>
      </c>
      <c r="S477" s="21">
        <f t="shared" si="75"/>
        <v>110055699.79519406</v>
      </c>
      <c r="T477" s="14">
        <f>IFERROR(INDEX(Cost_Components!$R$2:$R$27,MATCH(E477,Cost_Components!$A$2:$A$27,0)),"")</f>
        <v>1</v>
      </c>
      <c r="U477" s="24">
        <f>IFERROR(INDEX(Cost_Components!$Q$2:$Q$27,MATCH(E477,Cost_Components!$A$2:$A$27,0)),"")</f>
        <v>2023</v>
      </c>
      <c r="V477" s="28">
        <f>1/(1+Calculation_Assumptions!$B$5)^(B477-Calculation_Assumptions!$B$2)</f>
        <v>0.81309151134335378</v>
      </c>
      <c r="W477" s="21">
        <f t="shared" si="76"/>
        <v>41533694.517952219</v>
      </c>
      <c r="X477" s="21">
        <f t="shared" si="77"/>
        <v>131019049.79637699</v>
      </c>
      <c r="Y477" s="21">
        <f t="shared" si="78"/>
        <v>89485355.27842477</v>
      </c>
      <c r="Z477" s="15">
        <f>IFERROR(INDEX(Cost_Components!$T$2:$T$27,MATCH(E477,Cost_Components!$A$2:$A$27,0)),"")</f>
        <v>0.8</v>
      </c>
      <c r="AA477" s="24">
        <f>IFERROR(INDEX(Cost_Components!$U$2:$U$27,MATCH(E477,Cost_Components!$A$2:$A$27,0)),"")</f>
        <v>2025</v>
      </c>
      <c r="AB477" s="24">
        <f>IFERROR(INDEX(Cost_Components!$V$2:$V$27,MATCH(E477,Cost_Components!$A$2:$A$27,0)),"")</f>
        <v>2050</v>
      </c>
      <c r="AC477" s="24">
        <f>IFERROR(INDEX(Cost_Components!$M$2:$M$27,MATCH(E477,Cost_Components!$A$2:$A$27,0)),"")</f>
        <v>5</v>
      </c>
      <c r="AD477" s="24">
        <f>IFERROR(INDEX(Cost_Components!$N$2:$N$27,MATCH(E477,Cost_Components!$A$2:$A$27,0)),"")</f>
        <v>40</v>
      </c>
      <c r="AE477" s="14" t="str">
        <f>IFERROR(INDEX(Cost_Components!$O$2:$O$27,MATCH(E477,Cost_Components!$A$2:$A$27,0)),"")</f>
        <v>Both</v>
      </c>
      <c r="AF477" s="11">
        <v>818235.25961763004</v>
      </c>
      <c r="AG477" s="11">
        <v>818059.35158830194</v>
      </c>
      <c r="AH477" s="21">
        <f t="shared" si="79"/>
        <v>1</v>
      </c>
    </row>
    <row r="478" spans="1:34">
      <c r="A478" t="s">
        <v>212</v>
      </c>
      <c r="B478" s="18">
        <v>2033</v>
      </c>
      <c r="C478" t="s">
        <v>212</v>
      </c>
      <c r="D478" t="s">
        <v>209</v>
      </c>
      <c r="E478" s="20" t="s">
        <v>303</v>
      </c>
      <c r="F478" s="20" t="s">
        <v>304</v>
      </c>
      <c r="G478" s="20" t="s">
        <v>213</v>
      </c>
      <c r="H478" s="20" t="s">
        <v>192</v>
      </c>
      <c r="I478" s="20" t="s">
        <v>264</v>
      </c>
      <c r="J478" s="15">
        <v>0.05</v>
      </c>
      <c r="K478" s="15">
        <f t="shared" si="70"/>
        <v>0.34230769230769231</v>
      </c>
      <c r="L478" s="15">
        <f>IFERROR(INDEX(Cost_Components!$S$2:$S$27,MATCH(E478,Cost_Components!$A$2:$A$27,0)),"")</f>
        <v>0.1</v>
      </c>
      <c r="M478" s="26">
        <f>IFERROR(INDEX(Cost_Components!$L$2:$L$27,MATCH(E478,Cost_Components!$A$2:$A$27,0)),"")</f>
        <v>1</v>
      </c>
      <c r="N478" s="27">
        <f>IFERROR(INDEX(Cost_Components!$P$2:$P$27,MATCH(E478,Cost_Components!$A$2:$A$27,0)),"")</f>
        <v>12488.38616</v>
      </c>
      <c r="O478" s="21">
        <f t="shared" si="71"/>
        <v>41151.703479588803</v>
      </c>
      <c r="P478" s="21">
        <f t="shared" si="72"/>
        <v>41140.928126563755</v>
      </c>
      <c r="Q478" s="21">
        <f t="shared" si="73"/>
        <v>51378379.742533356</v>
      </c>
      <c r="R478" s="21">
        <f t="shared" si="74"/>
        <v>175918209.28210747</v>
      </c>
      <c r="S478" s="21">
        <f t="shared" si="75"/>
        <v>124539829.53957412</v>
      </c>
      <c r="T478" s="14">
        <f>IFERROR(INDEX(Cost_Components!$R$2:$R$27,MATCH(E478,Cost_Components!$A$2:$A$27,0)),"")</f>
        <v>1</v>
      </c>
      <c r="U478" s="24">
        <f>IFERROR(INDEX(Cost_Components!$Q$2:$Q$27,MATCH(E478,Cost_Components!$A$2:$A$27,0)),"")</f>
        <v>2023</v>
      </c>
      <c r="V478" s="28">
        <f>1/(1+Calculation_Assumptions!$B$5)^(B478-Calculation_Assumptions!$B$2)</f>
        <v>0.78940923431393573</v>
      </c>
      <c r="W478" s="21">
        <f t="shared" si="76"/>
        <v>40558567.412843883</v>
      </c>
      <c r="X478" s="21">
        <f t="shared" si="77"/>
        <v>138871458.89126715</v>
      </c>
      <c r="Y478" s="21">
        <f t="shared" si="78"/>
        <v>98312891.478423283</v>
      </c>
      <c r="Z478" s="15">
        <f>IFERROR(INDEX(Cost_Components!$T$2:$T$27,MATCH(E478,Cost_Components!$A$2:$A$27,0)),"")</f>
        <v>0.8</v>
      </c>
      <c r="AA478" s="24">
        <f>IFERROR(INDEX(Cost_Components!$U$2:$U$27,MATCH(E478,Cost_Components!$A$2:$A$27,0)),"")</f>
        <v>2025</v>
      </c>
      <c r="AB478" s="24">
        <f>IFERROR(INDEX(Cost_Components!$V$2:$V$27,MATCH(E478,Cost_Components!$A$2:$A$27,0)),"")</f>
        <v>2050</v>
      </c>
      <c r="AC478" s="24">
        <f>IFERROR(INDEX(Cost_Components!$M$2:$M$27,MATCH(E478,Cost_Components!$A$2:$A$27,0)),"")</f>
        <v>5</v>
      </c>
      <c r="AD478" s="24">
        <f>IFERROR(INDEX(Cost_Components!$N$2:$N$27,MATCH(E478,Cost_Components!$A$2:$A$27,0)),"")</f>
        <v>40</v>
      </c>
      <c r="AE478" s="14" t="str">
        <f>IFERROR(INDEX(Cost_Components!$O$2:$O$27,MATCH(E478,Cost_Components!$A$2:$A$27,0)),"")</f>
        <v>Both</v>
      </c>
      <c r="AF478" s="11">
        <v>823034.069591776</v>
      </c>
      <c r="AG478" s="11">
        <v>822818.56253127498</v>
      </c>
      <c r="AH478" s="21">
        <f t="shared" si="79"/>
        <v>1</v>
      </c>
    </row>
    <row r="479" spans="1:34">
      <c r="A479" t="s">
        <v>212</v>
      </c>
      <c r="B479" s="18">
        <v>2034</v>
      </c>
      <c r="C479" t="s">
        <v>212</v>
      </c>
      <c r="D479" t="s">
        <v>209</v>
      </c>
      <c r="E479" s="20" t="s">
        <v>303</v>
      </c>
      <c r="F479" s="20" t="s">
        <v>304</v>
      </c>
      <c r="G479" s="20" t="s">
        <v>213</v>
      </c>
      <c r="H479" s="20" t="s">
        <v>192</v>
      </c>
      <c r="I479" s="20" t="s">
        <v>264</v>
      </c>
      <c r="J479" s="15">
        <v>0.05</v>
      </c>
      <c r="K479" s="15">
        <f t="shared" si="70"/>
        <v>0.36923076923076925</v>
      </c>
      <c r="L479" s="15">
        <f>IFERROR(INDEX(Cost_Components!$S$2:$S$27,MATCH(E479,Cost_Components!$A$2:$A$27,0)),"")</f>
        <v>0.1</v>
      </c>
      <c r="M479" s="26">
        <f>IFERROR(INDEX(Cost_Components!$L$2:$L$27,MATCH(E479,Cost_Components!$A$2:$A$27,0)),"")</f>
        <v>1</v>
      </c>
      <c r="N479" s="27">
        <f>IFERROR(INDEX(Cost_Components!$P$2:$P$27,MATCH(E479,Cost_Components!$A$2:$A$27,0)),"")</f>
        <v>12488.38616</v>
      </c>
      <c r="O479" s="21">
        <f t="shared" si="71"/>
        <v>41386.717332781904</v>
      </c>
      <c r="P479" s="21">
        <f t="shared" si="72"/>
        <v>41373.801557910949</v>
      </c>
      <c r="Q479" s="21">
        <f t="shared" si="73"/>
        <v>51669201.076240152</v>
      </c>
      <c r="R479" s="21">
        <f t="shared" si="74"/>
        <v>190838144.47257072</v>
      </c>
      <c r="S479" s="21">
        <f t="shared" si="75"/>
        <v>139168943.39633057</v>
      </c>
      <c r="T479" s="14">
        <f>IFERROR(INDEX(Cost_Components!$R$2:$R$27,MATCH(E479,Cost_Components!$A$2:$A$27,0)),"")</f>
        <v>1</v>
      </c>
      <c r="U479" s="24">
        <f>IFERROR(INDEX(Cost_Components!$Q$2:$Q$27,MATCH(E479,Cost_Components!$A$2:$A$27,0)),"")</f>
        <v>2023</v>
      </c>
      <c r="V479" s="28">
        <f>1/(1+Calculation_Assumptions!$B$5)^(B479-Calculation_Assumptions!$B$2)</f>
        <v>0.76641673234362695</v>
      </c>
      <c r="W479" s="21">
        <f t="shared" si="76"/>
        <v>39600140.251657791</v>
      </c>
      <c r="X479" s="21">
        <f t="shared" si="77"/>
        <v>146261547.09318864</v>
      </c>
      <c r="Y479" s="21">
        <f t="shared" si="78"/>
        <v>106661406.84153086</v>
      </c>
      <c r="Z479" s="15">
        <f>IFERROR(INDEX(Cost_Components!$T$2:$T$27,MATCH(E479,Cost_Components!$A$2:$A$27,0)),"")</f>
        <v>0.8</v>
      </c>
      <c r="AA479" s="24">
        <f>IFERROR(INDEX(Cost_Components!$U$2:$U$27,MATCH(E479,Cost_Components!$A$2:$A$27,0)),"")</f>
        <v>2025</v>
      </c>
      <c r="AB479" s="24">
        <f>IFERROR(INDEX(Cost_Components!$V$2:$V$27,MATCH(E479,Cost_Components!$A$2:$A$27,0)),"")</f>
        <v>2050</v>
      </c>
      <c r="AC479" s="24">
        <f>IFERROR(INDEX(Cost_Components!$M$2:$M$27,MATCH(E479,Cost_Components!$A$2:$A$27,0)),"")</f>
        <v>5</v>
      </c>
      <c r="AD479" s="24">
        <f>IFERROR(INDEX(Cost_Components!$N$2:$N$27,MATCH(E479,Cost_Components!$A$2:$A$27,0)),"")</f>
        <v>40</v>
      </c>
      <c r="AE479" s="14" t="str">
        <f>IFERROR(INDEX(Cost_Components!$O$2:$O$27,MATCH(E479,Cost_Components!$A$2:$A$27,0)),"")</f>
        <v>Both</v>
      </c>
      <c r="AF479" s="11">
        <v>827734.34665563796</v>
      </c>
      <c r="AG479" s="11">
        <v>827476.03115821898</v>
      </c>
      <c r="AH479" s="21">
        <f t="shared" si="79"/>
        <v>1</v>
      </c>
    </row>
    <row r="480" spans="1:34">
      <c r="A480" t="s">
        <v>212</v>
      </c>
      <c r="B480" s="18">
        <v>2035</v>
      </c>
      <c r="C480" t="s">
        <v>212</v>
      </c>
      <c r="D480" t="s">
        <v>209</v>
      </c>
      <c r="E480" s="20" t="s">
        <v>303</v>
      </c>
      <c r="F480" s="20" t="s">
        <v>304</v>
      </c>
      <c r="G480" s="20" t="s">
        <v>213</v>
      </c>
      <c r="H480" s="20" t="s">
        <v>192</v>
      </c>
      <c r="I480" s="20" t="s">
        <v>264</v>
      </c>
      <c r="J480" s="15">
        <v>0.05</v>
      </c>
      <c r="K480" s="15">
        <f t="shared" si="70"/>
        <v>0.39615384615384619</v>
      </c>
      <c r="L480" s="15">
        <f>IFERROR(INDEX(Cost_Components!$S$2:$S$27,MATCH(E480,Cost_Components!$A$2:$A$27,0)),"")</f>
        <v>0.1</v>
      </c>
      <c r="M480" s="26">
        <f>IFERROR(INDEX(Cost_Components!$L$2:$L$27,MATCH(E480,Cost_Components!$A$2:$A$27,0)),"")</f>
        <v>1</v>
      </c>
      <c r="N480" s="27">
        <f>IFERROR(INDEX(Cost_Components!$P$2:$P$27,MATCH(E480,Cost_Components!$A$2:$A$27,0)),"")</f>
        <v>12488.38616</v>
      </c>
      <c r="O480" s="21">
        <f t="shared" si="71"/>
        <v>41594.808867018059</v>
      </c>
      <c r="P480" s="21">
        <f t="shared" si="72"/>
        <v>41579.609023039455</v>
      </c>
      <c r="Q480" s="21">
        <f t="shared" si="73"/>
        <v>51926221.386153705</v>
      </c>
      <c r="R480" s="21">
        <f t="shared" si="74"/>
        <v>205782921.70930579</v>
      </c>
      <c r="S480" s="21">
        <f t="shared" si="75"/>
        <v>153856700.3231521</v>
      </c>
      <c r="T480" s="14">
        <f>IFERROR(INDEX(Cost_Components!$R$2:$R$27,MATCH(E480,Cost_Components!$A$2:$A$27,0)),"")</f>
        <v>1</v>
      </c>
      <c r="U480" s="24">
        <f>IFERROR(INDEX(Cost_Components!$Q$2:$Q$27,MATCH(E480,Cost_Components!$A$2:$A$27,0)),"")</f>
        <v>2023</v>
      </c>
      <c r="V480" s="28">
        <f>1/(1+Calculation_Assumptions!$B$5)^(B480-Calculation_Assumptions!$B$2)</f>
        <v>0.74409391489672516</v>
      </c>
      <c r="W480" s="21">
        <f t="shared" si="76"/>
        <v>38637985.357017167</v>
      </c>
      <c r="X480" s="21">
        <f t="shared" si="77"/>
        <v>153121819.83356366</v>
      </c>
      <c r="Y480" s="21">
        <f t="shared" si="78"/>
        <v>114483834.47654648</v>
      </c>
      <c r="Z480" s="15">
        <f>IFERROR(INDEX(Cost_Components!$T$2:$T$27,MATCH(E480,Cost_Components!$A$2:$A$27,0)),"")</f>
        <v>0.8</v>
      </c>
      <c r="AA480" s="24">
        <f>IFERROR(INDEX(Cost_Components!$U$2:$U$27,MATCH(E480,Cost_Components!$A$2:$A$27,0)),"")</f>
        <v>2025</v>
      </c>
      <c r="AB480" s="24">
        <f>IFERROR(INDEX(Cost_Components!$V$2:$V$27,MATCH(E480,Cost_Components!$A$2:$A$27,0)),"")</f>
        <v>2050</v>
      </c>
      <c r="AC480" s="24">
        <f>IFERROR(INDEX(Cost_Components!$M$2:$M$27,MATCH(E480,Cost_Components!$A$2:$A$27,0)),"")</f>
        <v>5</v>
      </c>
      <c r="AD480" s="24">
        <f>IFERROR(INDEX(Cost_Components!$N$2:$N$27,MATCH(E480,Cost_Components!$A$2:$A$27,0)),"")</f>
        <v>40</v>
      </c>
      <c r="AE480" s="14" t="str">
        <f>IFERROR(INDEX(Cost_Components!$O$2:$O$27,MATCH(E480,Cost_Components!$A$2:$A$27,0)),"")</f>
        <v>Both</v>
      </c>
      <c r="AF480" s="11">
        <v>831896.17734036106</v>
      </c>
      <c r="AG480" s="11">
        <v>831592.18046078901</v>
      </c>
      <c r="AH480" s="21">
        <f t="shared" si="79"/>
        <v>1</v>
      </c>
    </row>
    <row r="481" spans="1:34">
      <c r="A481" t="s">
        <v>212</v>
      </c>
      <c r="B481" s="18">
        <v>2036</v>
      </c>
      <c r="C481" t="s">
        <v>212</v>
      </c>
      <c r="D481" t="s">
        <v>209</v>
      </c>
      <c r="E481" s="20" t="s">
        <v>303</v>
      </c>
      <c r="F481" s="20" t="s">
        <v>304</v>
      </c>
      <c r="G481" s="20" t="s">
        <v>213</v>
      </c>
      <c r="H481" s="20" t="s">
        <v>192</v>
      </c>
      <c r="I481" s="20" t="s">
        <v>264</v>
      </c>
      <c r="J481" s="15">
        <v>0.05</v>
      </c>
      <c r="K481" s="15">
        <f t="shared" si="70"/>
        <v>0.42307692307692313</v>
      </c>
      <c r="L481" s="15">
        <f>IFERROR(INDEX(Cost_Components!$S$2:$S$27,MATCH(E481,Cost_Components!$A$2:$A$27,0)),"")</f>
        <v>0.1</v>
      </c>
      <c r="M481" s="26">
        <f>IFERROR(INDEX(Cost_Components!$L$2:$L$27,MATCH(E481,Cost_Components!$A$2:$A$27,0)),"")</f>
        <v>1</v>
      </c>
      <c r="N481" s="27">
        <f>IFERROR(INDEX(Cost_Components!$P$2:$P$27,MATCH(E481,Cost_Components!$A$2:$A$27,0)),"")</f>
        <v>12488.38616</v>
      </c>
      <c r="O481" s="21">
        <f t="shared" si="71"/>
        <v>41766.223278765705</v>
      </c>
      <c r="P481" s="21">
        <f t="shared" si="72"/>
        <v>41748.614219825657</v>
      </c>
      <c r="Q481" s="21">
        <f t="shared" si="73"/>
        <v>52137281.602204993</v>
      </c>
      <c r="R481" s="21">
        <f t="shared" si="74"/>
        <v>220673845.08654165</v>
      </c>
      <c r="S481" s="21">
        <f t="shared" si="75"/>
        <v>168536563.48433667</v>
      </c>
      <c r="T481" s="14">
        <f>IFERROR(INDEX(Cost_Components!$R$2:$R$27,MATCH(E481,Cost_Components!$A$2:$A$27,0)),"")</f>
        <v>1</v>
      </c>
      <c r="U481" s="24">
        <f>IFERROR(INDEX(Cost_Components!$Q$2:$Q$27,MATCH(E481,Cost_Components!$A$2:$A$27,0)),"")</f>
        <v>2023</v>
      </c>
      <c r="V481" s="28">
        <f>1/(1+Calculation_Assumptions!$B$5)^(B481-Calculation_Assumptions!$B$2)</f>
        <v>0.72242127659876232</v>
      </c>
      <c r="W481" s="21">
        <f t="shared" si="76"/>
        <v>37665081.533454098</v>
      </c>
      <c r="X481" s="21">
        <f t="shared" si="77"/>
        <v>159419480.87937695</v>
      </c>
      <c r="Y481" s="21">
        <f t="shared" si="78"/>
        <v>121754399.34592284</v>
      </c>
      <c r="Z481" s="15">
        <f>IFERROR(INDEX(Cost_Components!$T$2:$T$27,MATCH(E481,Cost_Components!$A$2:$A$27,0)),"")</f>
        <v>0.8</v>
      </c>
      <c r="AA481" s="24">
        <f>IFERROR(INDEX(Cost_Components!$U$2:$U$27,MATCH(E481,Cost_Components!$A$2:$A$27,0)),"")</f>
        <v>2025</v>
      </c>
      <c r="AB481" s="24">
        <f>IFERROR(INDEX(Cost_Components!$V$2:$V$27,MATCH(E481,Cost_Components!$A$2:$A$27,0)),"")</f>
        <v>2050</v>
      </c>
      <c r="AC481" s="24">
        <f>IFERROR(INDEX(Cost_Components!$M$2:$M$27,MATCH(E481,Cost_Components!$A$2:$A$27,0)),"")</f>
        <v>5</v>
      </c>
      <c r="AD481" s="24">
        <f>IFERROR(INDEX(Cost_Components!$N$2:$N$27,MATCH(E481,Cost_Components!$A$2:$A$27,0)),"")</f>
        <v>40</v>
      </c>
      <c r="AE481" s="14" t="str">
        <f>IFERROR(INDEX(Cost_Components!$O$2:$O$27,MATCH(E481,Cost_Components!$A$2:$A$27,0)),"")</f>
        <v>Both</v>
      </c>
      <c r="AF481" s="11">
        <v>835324.46557531401</v>
      </c>
      <c r="AG481" s="11">
        <v>834972.28439651302</v>
      </c>
      <c r="AH481" s="21">
        <f t="shared" si="79"/>
        <v>1</v>
      </c>
    </row>
    <row r="482" spans="1:34">
      <c r="A482" t="s">
        <v>212</v>
      </c>
      <c r="B482" s="18">
        <v>2037</v>
      </c>
      <c r="C482" t="s">
        <v>212</v>
      </c>
      <c r="D482" t="s">
        <v>209</v>
      </c>
      <c r="E482" s="20" t="s">
        <v>303</v>
      </c>
      <c r="F482" s="20" t="s">
        <v>304</v>
      </c>
      <c r="G482" s="20" t="s">
        <v>213</v>
      </c>
      <c r="H482" s="20" t="s">
        <v>192</v>
      </c>
      <c r="I482" s="20" t="s">
        <v>264</v>
      </c>
      <c r="J482" s="15">
        <v>0.05</v>
      </c>
      <c r="K482" s="15">
        <f t="shared" si="70"/>
        <v>0.45000000000000007</v>
      </c>
      <c r="L482" s="15">
        <f>IFERROR(INDEX(Cost_Components!$S$2:$S$27,MATCH(E482,Cost_Components!$A$2:$A$27,0)),"")</f>
        <v>0.1</v>
      </c>
      <c r="M482" s="26">
        <f>IFERROR(INDEX(Cost_Components!$L$2:$L$27,MATCH(E482,Cost_Components!$A$2:$A$27,0)),"")</f>
        <v>1</v>
      </c>
      <c r="N482" s="27">
        <f>IFERROR(INDEX(Cost_Components!$P$2:$P$27,MATCH(E482,Cost_Components!$A$2:$A$27,0)),"")</f>
        <v>12488.38616</v>
      </c>
      <c r="O482" s="21">
        <f t="shared" si="71"/>
        <v>41919.138803200454</v>
      </c>
      <c r="P482" s="21">
        <f t="shared" si="72"/>
        <v>41898.999963831651</v>
      </c>
      <c r="Q482" s="21">
        <f t="shared" si="73"/>
        <v>52325089.126615576</v>
      </c>
      <c r="R482" s="21">
        <f t="shared" si="74"/>
        <v>235576076.79105341</v>
      </c>
      <c r="S482" s="21">
        <f t="shared" si="75"/>
        <v>183250987.66443783</v>
      </c>
      <c r="T482" s="14">
        <f>IFERROR(INDEX(Cost_Components!$R$2:$R$27,MATCH(E482,Cost_Components!$A$2:$A$27,0)),"")</f>
        <v>1</v>
      </c>
      <c r="U482" s="24">
        <f>IFERROR(INDEX(Cost_Components!$Q$2:$Q$27,MATCH(E482,Cost_Components!$A$2:$A$27,0)),"")</f>
        <v>2023</v>
      </c>
      <c r="V482" s="28">
        <f>1/(1+Calculation_Assumptions!$B$5)^(B482-Calculation_Assumptions!$B$2)</f>
        <v>0.70137988019297326</v>
      </c>
      <c r="W482" s="21">
        <f t="shared" si="76"/>
        <v>36699764.742712282</v>
      </c>
      <c r="X482" s="21">
        <f t="shared" si="77"/>
        <v>165228320.5160397</v>
      </c>
      <c r="Y482" s="21">
        <f t="shared" si="78"/>
        <v>128528555.77332743</v>
      </c>
      <c r="Z482" s="15">
        <f>IFERROR(INDEX(Cost_Components!$T$2:$T$27,MATCH(E482,Cost_Components!$A$2:$A$27,0)),"")</f>
        <v>0.8</v>
      </c>
      <c r="AA482" s="24">
        <f>IFERROR(INDEX(Cost_Components!$U$2:$U$27,MATCH(E482,Cost_Components!$A$2:$A$27,0)),"")</f>
        <v>2025</v>
      </c>
      <c r="AB482" s="24">
        <f>IFERROR(INDEX(Cost_Components!$V$2:$V$27,MATCH(E482,Cost_Components!$A$2:$A$27,0)),"")</f>
        <v>2050</v>
      </c>
      <c r="AC482" s="24">
        <f>IFERROR(INDEX(Cost_Components!$M$2:$M$27,MATCH(E482,Cost_Components!$A$2:$A$27,0)),"")</f>
        <v>5</v>
      </c>
      <c r="AD482" s="24">
        <f>IFERROR(INDEX(Cost_Components!$N$2:$N$27,MATCH(E482,Cost_Components!$A$2:$A$27,0)),"")</f>
        <v>40</v>
      </c>
      <c r="AE482" s="14" t="str">
        <f>IFERROR(INDEX(Cost_Components!$O$2:$O$27,MATCH(E482,Cost_Components!$A$2:$A$27,0)),"")</f>
        <v>Both</v>
      </c>
      <c r="AF482" s="11">
        <v>838382.77606400906</v>
      </c>
      <c r="AG482" s="11">
        <v>837979.99927663303</v>
      </c>
      <c r="AH482" s="21">
        <f t="shared" si="79"/>
        <v>1</v>
      </c>
    </row>
    <row r="483" spans="1:34">
      <c r="A483" t="s">
        <v>212</v>
      </c>
      <c r="B483" s="18">
        <v>2038</v>
      </c>
      <c r="C483" t="s">
        <v>212</v>
      </c>
      <c r="D483" t="s">
        <v>209</v>
      </c>
      <c r="E483" s="20" t="s">
        <v>303</v>
      </c>
      <c r="F483" s="20" t="s">
        <v>304</v>
      </c>
      <c r="G483" s="20" t="s">
        <v>213</v>
      </c>
      <c r="H483" s="20" t="s">
        <v>192</v>
      </c>
      <c r="I483" s="20" t="s">
        <v>264</v>
      </c>
      <c r="J483" s="15">
        <v>0.05</v>
      </c>
      <c r="K483" s="15">
        <f t="shared" si="70"/>
        <v>0.47692307692307689</v>
      </c>
      <c r="L483" s="15">
        <f>IFERROR(INDEX(Cost_Components!$S$2:$S$27,MATCH(E483,Cost_Components!$A$2:$A$27,0)),"")</f>
        <v>0.1</v>
      </c>
      <c r="M483" s="26">
        <f>IFERROR(INDEX(Cost_Components!$L$2:$L$27,MATCH(E483,Cost_Components!$A$2:$A$27,0)),"")</f>
        <v>1</v>
      </c>
      <c r="N483" s="27">
        <f>IFERROR(INDEX(Cost_Components!$P$2:$P$27,MATCH(E483,Cost_Components!$A$2:$A$27,0)),"")</f>
        <v>12488.38616</v>
      </c>
      <c r="O483" s="21">
        <f t="shared" si="71"/>
        <v>42050.212443400058</v>
      </c>
      <c r="P483" s="21">
        <f t="shared" si="72"/>
        <v>42027.4352382379</v>
      </c>
      <c r="Q483" s="21">
        <f t="shared" si="73"/>
        <v>52485484.056950651</v>
      </c>
      <c r="R483" s="21">
        <f t="shared" si="74"/>
        <v>250451046.52614966</v>
      </c>
      <c r="S483" s="21">
        <f t="shared" si="75"/>
        <v>197965562.469199</v>
      </c>
      <c r="T483" s="14">
        <f>IFERROR(INDEX(Cost_Components!$R$2:$R$27,MATCH(E483,Cost_Components!$A$2:$A$27,0)),"")</f>
        <v>1</v>
      </c>
      <c r="U483" s="24">
        <f>IFERROR(INDEX(Cost_Components!$Q$2:$Q$27,MATCH(E483,Cost_Components!$A$2:$A$27,0)),"")</f>
        <v>2023</v>
      </c>
      <c r="V483" s="28">
        <f>1/(1+Calculation_Assumptions!$B$5)^(B483-Calculation_Assumptions!$B$2)</f>
        <v>0.68095133999317792</v>
      </c>
      <c r="W483" s="21">
        <f t="shared" si="76"/>
        <v>35740060.698771119</v>
      </c>
      <c r="X483" s="21">
        <f t="shared" si="77"/>
        <v>170544975.73467535</v>
      </c>
      <c r="Y483" s="21">
        <f t="shared" si="78"/>
        <v>134804915.03590423</v>
      </c>
      <c r="Z483" s="15">
        <f>IFERROR(INDEX(Cost_Components!$T$2:$T$27,MATCH(E483,Cost_Components!$A$2:$A$27,0)),"")</f>
        <v>0.8</v>
      </c>
      <c r="AA483" s="24">
        <f>IFERROR(INDEX(Cost_Components!$U$2:$U$27,MATCH(E483,Cost_Components!$A$2:$A$27,0)),"")</f>
        <v>2025</v>
      </c>
      <c r="AB483" s="24">
        <f>IFERROR(INDEX(Cost_Components!$V$2:$V$27,MATCH(E483,Cost_Components!$A$2:$A$27,0)),"")</f>
        <v>2050</v>
      </c>
      <c r="AC483" s="24">
        <f>IFERROR(INDEX(Cost_Components!$M$2:$M$27,MATCH(E483,Cost_Components!$A$2:$A$27,0)),"")</f>
        <v>5</v>
      </c>
      <c r="AD483" s="24">
        <f>IFERROR(INDEX(Cost_Components!$N$2:$N$27,MATCH(E483,Cost_Components!$A$2:$A$27,0)),"")</f>
        <v>40</v>
      </c>
      <c r="AE483" s="14" t="str">
        <f>IFERROR(INDEX(Cost_Components!$O$2:$O$27,MATCH(E483,Cost_Components!$A$2:$A$27,0)),"")</f>
        <v>Both</v>
      </c>
      <c r="AF483" s="11">
        <v>841004.24886800104</v>
      </c>
      <c r="AG483" s="11">
        <v>840548.704764758</v>
      </c>
      <c r="AH483" s="21">
        <f t="shared" si="79"/>
        <v>1</v>
      </c>
    </row>
    <row r="484" spans="1:34">
      <c r="A484" t="s">
        <v>212</v>
      </c>
      <c r="B484" s="18">
        <v>2039</v>
      </c>
      <c r="C484" t="s">
        <v>212</v>
      </c>
      <c r="D484" t="s">
        <v>209</v>
      </c>
      <c r="E484" s="20" t="s">
        <v>303</v>
      </c>
      <c r="F484" s="20" t="s">
        <v>304</v>
      </c>
      <c r="G484" s="20" t="s">
        <v>213</v>
      </c>
      <c r="H484" s="20" t="s">
        <v>192</v>
      </c>
      <c r="I484" s="20" t="s">
        <v>264</v>
      </c>
      <c r="J484" s="15">
        <v>0.05</v>
      </c>
      <c r="K484" s="15">
        <f t="shared" si="70"/>
        <v>0.50384615384615383</v>
      </c>
      <c r="L484" s="15">
        <f>IFERROR(INDEX(Cost_Components!$S$2:$S$27,MATCH(E484,Cost_Components!$A$2:$A$27,0)),"")</f>
        <v>0.1</v>
      </c>
      <c r="M484" s="26">
        <f>IFERROR(INDEX(Cost_Components!$L$2:$L$27,MATCH(E484,Cost_Components!$A$2:$A$27,0)),"")</f>
        <v>1</v>
      </c>
      <c r="N484" s="27">
        <f>IFERROR(INDEX(Cost_Components!$P$2:$P$27,MATCH(E484,Cost_Components!$A$2:$A$27,0)),"")</f>
        <v>12488.38616</v>
      </c>
      <c r="O484" s="21">
        <f t="shared" si="71"/>
        <v>42169.4498035996</v>
      </c>
      <c r="P484" s="21">
        <f t="shared" si="72"/>
        <v>42143.931315536953</v>
      </c>
      <c r="Q484" s="21">
        <f t="shared" si="73"/>
        <v>52630968.856894232</v>
      </c>
      <c r="R484" s="21">
        <f t="shared" si="74"/>
        <v>265339680.39451355</v>
      </c>
      <c r="S484" s="21">
        <f t="shared" si="75"/>
        <v>212708711.53761932</v>
      </c>
      <c r="T484" s="14">
        <f>IFERROR(INDEX(Cost_Components!$R$2:$R$27,MATCH(E484,Cost_Components!$A$2:$A$27,0)),"")</f>
        <v>1</v>
      </c>
      <c r="U484" s="24">
        <f>IFERROR(INDEX(Cost_Components!$Q$2:$Q$27,MATCH(E484,Cost_Components!$A$2:$A$27,0)),"")</f>
        <v>2023</v>
      </c>
      <c r="V484" s="28">
        <f>1/(1+Calculation_Assumptions!$B$5)^(B484-Calculation_Assumptions!$B$2)</f>
        <v>0.66111780581861923</v>
      </c>
      <c r="W484" s="21">
        <f t="shared" si="76"/>
        <v>34795270.648777999</v>
      </c>
      <c r="X484" s="21">
        <f t="shared" si="77"/>
        <v>175420787.29903451</v>
      </c>
      <c r="Y484" s="21">
        <f t="shared" si="78"/>
        <v>140625516.65025651</v>
      </c>
      <c r="Z484" s="15">
        <f>IFERROR(INDEX(Cost_Components!$T$2:$T$27,MATCH(E484,Cost_Components!$A$2:$A$27,0)),"")</f>
        <v>0.8</v>
      </c>
      <c r="AA484" s="24">
        <f>IFERROR(INDEX(Cost_Components!$U$2:$U$27,MATCH(E484,Cost_Components!$A$2:$A$27,0)),"")</f>
        <v>2025</v>
      </c>
      <c r="AB484" s="24">
        <f>IFERROR(INDEX(Cost_Components!$V$2:$V$27,MATCH(E484,Cost_Components!$A$2:$A$27,0)),"")</f>
        <v>2050</v>
      </c>
      <c r="AC484" s="24">
        <f>IFERROR(INDEX(Cost_Components!$M$2:$M$27,MATCH(E484,Cost_Components!$A$2:$A$27,0)),"")</f>
        <v>5</v>
      </c>
      <c r="AD484" s="24">
        <f>IFERROR(INDEX(Cost_Components!$N$2:$N$27,MATCH(E484,Cost_Components!$A$2:$A$27,0)),"")</f>
        <v>40</v>
      </c>
      <c r="AE484" s="14" t="str">
        <f>IFERROR(INDEX(Cost_Components!$O$2:$O$27,MATCH(E484,Cost_Components!$A$2:$A$27,0)),"")</f>
        <v>Both</v>
      </c>
      <c r="AF484" s="11">
        <v>843388.99607199198</v>
      </c>
      <c r="AG484" s="11">
        <v>842878.62631073897</v>
      </c>
      <c r="AH484" s="21">
        <f t="shared" si="79"/>
        <v>1</v>
      </c>
    </row>
    <row r="485" spans="1:34">
      <c r="A485" t="s">
        <v>212</v>
      </c>
      <c r="B485" s="18">
        <v>2040</v>
      </c>
      <c r="C485" t="s">
        <v>212</v>
      </c>
      <c r="D485" t="s">
        <v>209</v>
      </c>
      <c r="E485" s="20" t="s">
        <v>303</v>
      </c>
      <c r="F485" s="20" t="s">
        <v>304</v>
      </c>
      <c r="G485" s="20" t="s">
        <v>213</v>
      </c>
      <c r="H485" s="20" t="s">
        <v>192</v>
      </c>
      <c r="I485" s="20" t="s">
        <v>264</v>
      </c>
      <c r="J485" s="15">
        <v>0.05</v>
      </c>
      <c r="K485" s="15">
        <f t="shared" si="70"/>
        <v>0.53076923076923088</v>
      </c>
      <c r="L485" s="15">
        <f>IFERROR(INDEX(Cost_Components!$S$2:$S$27,MATCH(E485,Cost_Components!$A$2:$A$27,0)),"")</f>
        <v>0.1</v>
      </c>
      <c r="M485" s="26">
        <f>IFERROR(INDEX(Cost_Components!$L$2:$L$27,MATCH(E485,Cost_Components!$A$2:$A$27,0)),"")</f>
        <v>1</v>
      </c>
      <c r="N485" s="27">
        <f>IFERROR(INDEX(Cost_Components!$P$2:$P$27,MATCH(E485,Cost_Components!$A$2:$A$27,0)),"")</f>
        <v>12488.38616</v>
      </c>
      <c r="O485" s="21">
        <f t="shared" si="71"/>
        <v>42289.653272442258</v>
      </c>
      <c r="P485" s="21">
        <f t="shared" si="72"/>
        <v>42261.290775600908</v>
      </c>
      <c r="Q485" s="21">
        <f t="shared" si="73"/>
        <v>52777531.882575005</v>
      </c>
      <c r="R485" s="21">
        <f t="shared" si="74"/>
        <v>280314899.41596079</v>
      </c>
      <c r="S485" s="21">
        <f t="shared" si="75"/>
        <v>227537367.53338578</v>
      </c>
      <c r="T485" s="14">
        <f>IFERROR(INDEX(Cost_Components!$R$2:$R$27,MATCH(E485,Cost_Components!$A$2:$A$27,0)),"")</f>
        <v>1</v>
      </c>
      <c r="U485" s="24">
        <f>IFERROR(INDEX(Cost_Components!$Q$2:$Q$27,MATCH(E485,Cost_Components!$A$2:$A$27,0)),"")</f>
        <v>2023</v>
      </c>
      <c r="V485" s="28">
        <f>1/(1+Calculation_Assumptions!$B$5)^(B485-Calculation_Assumptions!$B$2)</f>
        <v>0.64186194739671765</v>
      </c>
      <c r="W485" s="21">
        <f t="shared" si="76"/>
        <v>33875889.392941944</v>
      </c>
      <c r="X485" s="21">
        <f t="shared" si="77"/>
        <v>179923467.22344363</v>
      </c>
      <c r="Y485" s="21">
        <f t="shared" si="78"/>
        <v>146047577.83050168</v>
      </c>
      <c r="Z485" s="15">
        <f>IFERROR(INDEX(Cost_Components!$T$2:$T$27,MATCH(E485,Cost_Components!$A$2:$A$27,0)),"")</f>
        <v>0.8</v>
      </c>
      <c r="AA485" s="24">
        <f>IFERROR(INDEX(Cost_Components!$U$2:$U$27,MATCH(E485,Cost_Components!$A$2:$A$27,0)),"")</f>
        <v>2025</v>
      </c>
      <c r="AB485" s="24">
        <f>IFERROR(INDEX(Cost_Components!$V$2:$V$27,MATCH(E485,Cost_Components!$A$2:$A$27,0)),"")</f>
        <v>2050</v>
      </c>
      <c r="AC485" s="24">
        <f>IFERROR(INDEX(Cost_Components!$M$2:$M$27,MATCH(E485,Cost_Components!$A$2:$A$27,0)),"")</f>
        <v>5</v>
      </c>
      <c r="AD485" s="24">
        <f>IFERROR(INDEX(Cost_Components!$N$2:$N$27,MATCH(E485,Cost_Components!$A$2:$A$27,0)),"")</f>
        <v>40</v>
      </c>
      <c r="AE485" s="14" t="str">
        <f>IFERROR(INDEX(Cost_Components!$O$2:$O$27,MATCH(E485,Cost_Components!$A$2:$A$27,0)),"")</f>
        <v>Both</v>
      </c>
      <c r="AF485" s="11">
        <v>845793.06544884504</v>
      </c>
      <c r="AG485" s="11">
        <v>845225.81551201805</v>
      </c>
      <c r="AH485" s="21">
        <f t="shared" si="79"/>
        <v>1</v>
      </c>
    </row>
    <row r="486" spans="1:34">
      <c r="A486" t="s">
        <v>212</v>
      </c>
      <c r="B486" s="18">
        <v>2041</v>
      </c>
      <c r="C486" t="s">
        <v>212</v>
      </c>
      <c r="D486" t="s">
        <v>209</v>
      </c>
      <c r="E486" s="20" t="s">
        <v>303</v>
      </c>
      <c r="F486" s="20" t="s">
        <v>304</v>
      </c>
      <c r="G486" s="20" t="s">
        <v>213</v>
      </c>
      <c r="H486" s="20" t="s">
        <v>192</v>
      </c>
      <c r="I486" s="20" t="s">
        <v>264</v>
      </c>
      <c r="J486" s="15">
        <v>0.05</v>
      </c>
      <c r="K486" s="15">
        <f t="shared" si="70"/>
        <v>0.55769230769230771</v>
      </c>
      <c r="L486" s="15">
        <f>IFERROR(INDEX(Cost_Components!$S$2:$S$27,MATCH(E486,Cost_Components!$A$2:$A$27,0)),"")</f>
        <v>0.1</v>
      </c>
      <c r="M486" s="26">
        <f>IFERROR(INDEX(Cost_Components!$L$2:$L$27,MATCH(E486,Cost_Components!$A$2:$A$27,0)),"")</f>
        <v>1</v>
      </c>
      <c r="N486" s="27">
        <f>IFERROR(INDEX(Cost_Components!$P$2:$P$27,MATCH(E486,Cost_Components!$A$2:$A$27,0)),"")</f>
        <v>12488.38616</v>
      </c>
      <c r="O486" s="21">
        <f t="shared" si="71"/>
        <v>42405.904839312352</v>
      </c>
      <c r="P486" s="21">
        <f t="shared" si="72"/>
        <v>42374.606020798848</v>
      </c>
      <c r="Q486" s="21">
        <f t="shared" si="73"/>
        <v>52919044.336559698</v>
      </c>
      <c r="R486" s="21">
        <f t="shared" si="74"/>
        <v>295343425.72747725</v>
      </c>
      <c r="S486" s="21">
        <f t="shared" si="75"/>
        <v>242424381.39091754</v>
      </c>
      <c r="T486" s="14">
        <f>IFERROR(INDEX(Cost_Components!$R$2:$R$27,MATCH(E486,Cost_Components!$A$2:$A$27,0)),"")</f>
        <v>1</v>
      </c>
      <c r="U486" s="24">
        <f>IFERROR(INDEX(Cost_Components!$Q$2:$Q$27,MATCH(E486,Cost_Components!$A$2:$A$27,0)),"")</f>
        <v>2023</v>
      </c>
      <c r="V486" s="28">
        <f>1/(1+Calculation_Assumptions!$B$5)^(B486-Calculation_Assumptions!$B$2)</f>
        <v>0.62316693922011435</v>
      </c>
      <c r="W486" s="21">
        <f t="shared" si="76"/>
        <v>32977398.885667432</v>
      </c>
      <c r="X486" s="21">
        <f t="shared" si="77"/>
        <v>184048258.62937516</v>
      </c>
      <c r="Y486" s="21">
        <f t="shared" si="78"/>
        <v>151070859.74370772</v>
      </c>
      <c r="Z486" s="15">
        <f>IFERROR(INDEX(Cost_Components!$T$2:$T$27,MATCH(E486,Cost_Components!$A$2:$A$27,0)),"")</f>
        <v>0.8</v>
      </c>
      <c r="AA486" s="24">
        <f>IFERROR(INDEX(Cost_Components!$U$2:$U$27,MATCH(E486,Cost_Components!$A$2:$A$27,0)),"")</f>
        <v>2025</v>
      </c>
      <c r="AB486" s="24">
        <f>IFERROR(INDEX(Cost_Components!$V$2:$V$27,MATCH(E486,Cost_Components!$A$2:$A$27,0)),"")</f>
        <v>2050</v>
      </c>
      <c r="AC486" s="24">
        <f>IFERROR(INDEX(Cost_Components!$M$2:$M$27,MATCH(E486,Cost_Components!$A$2:$A$27,0)),"")</f>
        <v>5</v>
      </c>
      <c r="AD486" s="24">
        <f>IFERROR(INDEX(Cost_Components!$N$2:$N$27,MATCH(E486,Cost_Components!$A$2:$A$27,0)),"")</f>
        <v>40</v>
      </c>
      <c r="AE486" s="14" t="str">
        <f>IFERROR(INDEX(Cost_Components!$O$2:$O$27,MATCH(E486,Cost_Components!$A$2:$A$27,0)),"")</f>
        <v>Both</v>
      </c>
      <c r="AF486" s="11">
        <v>848118.09678624698</v>
      </c>
      <c r="AG486" s="11">
        <v>847492.12041597697</v>
      </c>
      <c r="AH486" s="21">
        <f t="shared" si="79"/>
        <v>1</v>
      </c>
    </row>
    <row r="487" spans="1:34">
      <c r="A487" t="s">
        <v>212</v>
      </c>
      <c r="B487" s="18">
        <v>2042</v>
      </c>
      <c r="C487" t="s">
        <v>212</v>
      </c>
      <c r="D487" t="s">
        <v>209</v>
      </c>
      <c r="E487" s="20" t="s">
        <v>303</v>
      </c>
      <c r="F487" s="20" t="s">
        <v>304</v>
      </c>
      <c r="G487" s="20" t="s">
        <v>213</v>
      </c>
      <c r="H487" s="20" t="s">
        <v>192</v>
      </c>
      <c r="I487" s="20" t="s">
        <v>264</v>
      </c>
      <c r="J487" s="15">
        <v>0.05</v>
      </c>
      <c r="K487" s="15">
        <f t="shared" si="70"/>
        <v>0.58461538461538465</v>
      </c>
      <c r="L487" s="15">
        <f>IFERROR(INDEX(Cost_Components!$S$2:$S$27,MATCH(E487,Cost_Components!$A$2:$A$27,0)),"")</f>
        <v>0.1</v>
      </c>
      <c r="M487" s="26">
        <f>IFERROR(INDEX(Cost_Components!$L$2:$L$27,MATCH(E487,Cost_Components!$A$2:$A$27,0)),"")</f>
        <v>1</v>
      </c>
      <c r="N487" s="27">
        <f>IFERROR(INDEX(Cost_Components!$P$2:$P$27,MATCH(E487,Cost_Components!$A$2:$A$27,0)),"")</f>
        <v>12488.38616</v>
      </c>
      <c r="O487" s="21">
        <f t="shared" si="71"/>
        <v>42477.665358425351</v>
      </c>
      <c r="P487" s="21">
        <f t="shared" si="72"/>
        <v>42443.388117479401</v>
      </c>
      <c r="Q487" s="21">
        <f t="shared" si="73"/>
        <v>53004942.07498382</v>
      </c>
      <c r="R487" s="21">
        <f t="shared" si="74"/>
        <v>310125300.77705055</v>
      </c>
      <c r="S487" s="21">
        <f t="shared" si="75"/>
        <v>257120358.70206672</v>
      </c>
      <c r="T487" s="14">
        <f>IFERROR(INDEX(Cost_Components!$R$2:$R$27,MATCH(E487,Cost_Components!$A$2:$A$27,0)),"")</f>
        <v>1</v>
      </c>
      <c r="U487" s="24">
        <f>IFERROR(INDEX(Cost_Components!$Q$2:$Q$27,MATCH(E487,Cost_Components!$A$2:$A$27,0)),"")</f>
        <v>2023</v>
      </c>
      <c r="V487" s="28">
        <f>1/(1+Calculation_Assumptions!$B$5)^(B487-Calculation_Assumptions!$B$2)</f>
        <v>0.60501644584477121</v>
      </c>
      <c r="W487" s="21">
        <f t="shared" si="76"/>
        <v>32068861.666414682</v>
      </c>
      <c r="X487" s="21">
        <f t="shared" si="77"/>
        <v>187630907.24267179</v>
      </c>
      <c r="Y487" s="21">
        <f t="shared" si="78"/>
        <v>155562045.57625711</v>
      </c>
      <c r="Z487" s="15">
        <f>IFERROR(INDEX(Cost_Components!$T$2:$T$27,MATCH(E487,Cost_Components!$A$2:$A$27,0)),"")</f>
        <v>0.8</v>
      </c>
      <c r="AA487" s="24">
        <f>IFERROR(INDEX(Cost_Components!$U$2:$U$27,MATCH(E487,Cost_Components!$A$2:$A$27,0)),"")</f>
        <v>2025</v>
      </c>
      <c r="AB487" s="24">
        <f>IFERROR(INDEX(Cost_Components!$V$2:$V$27,MATCH(E487,Cost_Components!$A$2:$A$27,0)),"")</f>
        <v>2050</v>
      </c>
      <c r="AC487" s="24">
        <f>IFERROR(INDEX(Cost_Components!$M$2:$M$27,MATCH(E487,Cost_Components!$A$2:$A$27,0)),"")</f>
        <v>5</v>
      </c>
      <c r="AD487" s="24">
        <f>IFERROR(INDEX(Cost_Components!$N$2:$N$27,MATCH(E487,Cost_Components!$A$2:$A$27,0)),"")</f>
        <v>40</v>
      </c>
      <c r="AE487" s="14" t="str">
        <f>IFERROR(INDEX(Cost_Components!$O$2:$O$27,MATCH(E487,Cost_Components!$A$2:$A$27,0)),"")</f>
        <v>Both</v>
      </c>
      <c r="AF487" s="11">
        <v>849553.30716850702</v>
      </c>
      <c r="AG487" s="11">
        <v>848867.76234958798</v>
      </c>
      <c r="AH487" s="21">
        <f t="shared" si="79"/>
        <v>1</v>
      </c>
    </row>
    <row r="488" spans="1:34">
      <c r="A488" t="s">
        <v>212</v>
      </c>
      <c r="B488" s="18">
        <v>2043</v>
      </c>
      <c r="C488" t="s">
        <v>212</v>
      </c>
      <c r="D488" t="s">
        <v>209</v>
      </c>
      <c r="E488" s="20" t="s">
        <v>303</v>
      </c>
      <c r="F488" s="20" t="s">
        <v>304</v>
      </c>
      <c r="G488" s="20" t="s">
        <v>213</v>
      </c>
      <c r="H488" s="20" t="s">
        <v>192</v>
      </c>
      <c r="I488" s="20" t="s">
        <v>264</v>
      </c>
      <c r="J488" s="15">
        <v>0.05</v>
      </c>
      <c r="K488" s="15">
        <f t="shared" si="70"/>
        <v>0.61153846153846159</v>
      </c>
      <c r="L488" s="15">
        <f>IFERROR(INDEX(Cost_Components!$S$2:$S$27,MATCH(E488,Cost_Components!$A$2:$A$27,0)),"")</f>
        <v>0.1</v>
      </c>
      <c r="M488" s="26">
        <f>IFERROR(INDEX(Cost_Components!$L$2:$L$27,MATCH(E488,Cost_Components!$A$2:$A$27,0)),"")</f>
        <v>1</v>
      </c>
      <c r="N488" s="27">
        <f>IFERROR(INDEX(Cost_Components!$P$2:$P$27,MATCH(E488,Cost_Components!$A$2:$A$27,0)),"")</f>
        <v>12488.38616</v>
      </c>
      <c r="O488" s="21">
        <f t="shared" si="71"/>
        <v>42508.112431150803</v>
      </c>
      <c r="P488" s="21">
        <f t="shared" si="72"/>
        <v>42470.833989279607</v>
      </c>
      <c r="Q488" s="21">
        <f t="shared" si="73"/>
        <v>53039217.539537705</v>
      </c>
      <c r="R488" s="21">
        <f t="shared" si="74"/>
        <v>324639915.20266277</v>
      </c>
      <c r="S488" s="21">
        <f t="shared" si="75"/>
        <v>271600697.66312504</v>
      </c>
      <c r="T488" s="14">
        <f>IFERROR(INDEX(Cost_Components!$R$2:$R$27,MATCH(E488,Cost_Components!$A$2:$A$27,0)),"")</f>
        <v>1</v>
      </c>
      <c r="U488" s="24">
        <f>IFERROR(INDEX(Cost_Components!$Q$2:$Q$27,MATCH(E488,Cost_Components!$A$2:$A$27,0)),"")</f>
        <v>2023</v>
      </c>
      <c r="V488" s="28">
        <f>1/(1+Calculation_Assumptions!$B$5)^(B488-Calculation_Assumptions!$B$2)</f>
        <v>0.5873946076162827</v>
      </c>
      <c r="W488" s="21">
        <f t="shared" si="76"/>
        <v>31154950.374911409</v>
      </c>
      <c r="X488" s="21">
        <f t="shared" si="77"/>
        <v>190691735.60705137</v>
      </c>
      <c r="Y488" s="21">
        <f t="shared" si="78"/>
        <v>159536785.23213997</v>
      </c>
      <c r="Z488" s="15">
        <f>IFERROR(INDEX(Cost_Components!$T$2:$T$27,MATCH(E488,Cost_Components!$A$2:$A$27,0)),"")</f>
        <v>0.8</v>
      </c>
      <c r="AA488" s="24">
        <f>IFERROR(INDEX(Cost_Components!$U$2:$U$27,MATCH(E488,Cost_Components!$A$2:$A$27,0)),"")</f>
        <v>2025</v>
      </c>
      <c r="AB488" s="24">
        <f>IFERROR(INDEX(Cost_Components!$V$2:$V$27,MATCH(E488,Cost_Components!$A$2:$A$27,0)),"")</f>
        <v>2050</v>
      </c>
      <c r="AC488" s="24">
        <f>IFERROR(INDEX(Cost_Components!$M$2:$M$27,MATCH(E488,Cost_Components!$A$2:$A$27,0)),"")</f>
        <v>5</v>
      </c>
      <c r="AD488" s="24">
        <f>IFERROR(INDEX(Cost_Components!$N$2:$N$27,MATCH(E488,Cost_Components!$A$2:$A$27,0)),"")</f>
        <v>40</v>
      </c>
      <c r="AE488" s="14" t="str">
        <f>IFERROR(INDEX(Cost_Components!$O$2:$O$27,MATCH(E488,Cost_Components!$A$2:$A$27,0)),"")</f>
        <v>Both</v>
      </c>
      <c r="AF488" s="11">
        <v>850162.24862301606</v>
      </c>
      <c r="AG488" s="11">
        <v>849416.67978559202</v>
      </c>
      <c r="AH488" s="21">
        <f t="shared" si="79"/>
        <v>1</v>
      </c>
    </row>
    <row r="489" spans="1:34">
      <c r="A489" t="s">
        <v>212</v>
      </c>
      <c r="B489" s="18">
        <v>2044</v>
      </c>
      <c r="C489" t="s">
        <v>212</v>
      </c>
      <c r="D489" t="s">
        <v>209</v>
      </c>
      <c r="E489" s="20" t="s">
        <v>303</v>
      </c>
      <c r="F489" s="20" t="s">
        <v>304</v>
      </c>
      <c r="G489" s="20" t="s">
        <v>213</v>
      </c>
      <c r="H489" s="20" t="s">
        <v>192</v>
      </c>
      <c r="I489" s="20" t="s">
        <v>264</v>
      </c>
      <c r="J489" s="15">
        <v>0.05</v>
      </c>
      <c r="K489" s="15">
        <f t="shared" si="70"/>
        <v>0.63846153846153852</v>
      </c>
      <c r="L489" s="15">
        <f>IFERROR(INDEX(Cost_Components!$S$2:$S$27,MATCH(E489,Cost_Components!$A$2:$A$27,0)),"")</f>
        <v>0.1</v>
      </c>
      <c r="M489" s="26">
        <f>IFERROR(INDEX(Cost_Components!$L$2:$L$27,MATCH(E489,Cost_Components!$A$2:$A$27,0)),"")</f>
        <v>1</v>
      </c>
      <c r="N489" s="27">
        <f>IFERROR(INDEX(Cost_Components!$P$2:$P$27,MATCH(E489,Cost_Components!$A$2:$A$27,0)),"")</f>
        <v>12488.38616</v>
      </c>
      <c r="O489" s="21">
        <f t="shared" si="71"/>
        <v>42506.174834656806</v>
      </c>
      <c r="P489" s="21">
        <f t="shared" si="72"/>
        <v>42465.885732732102</v>
      </c>
      <c r="Q489" s="21">
        <f t="shared" si="73"/>
        <v>53033037.96567931</v>
      </c>
      <c r="R489" s="21">
        <f t="shared" si="74"/>
        <v>338916789.37024981</v>
      </c>
      <c r="S489" s="21">
        <f t="shared" si="75"/>
        <v>285883751.40457052</v>
      </c>
      <c r="T489" s="14">
        <f>IFERROR(INDEX(Cost_Components!$R$2:$R$27,MATCH(E489,Cost_Components!$A$2:$A$27,0)),"")</f>
        <v>1</v>
      </c>
      <c r="U489" s="24">
        <f>IFERROR(INDEX(Cost_Components!$Q$2:$Q$27,MATCH(E489,Cost_Components!$A$2:$A$27,0)),"")</f>
        <v>2023</v>
      </c>
      <c r="V489" s="28">
        <f>1/(1+Calculation_Assumptions!$B$5)^(B489-Calculation_Assumptions!$B$2)</f>
        <v>0.57028602681192497</v>
      </c>
      <c r="W489" s="21">
        <f t="shared" si="76"/>
        <v>30244000.511213224</v>
      </c>
      <c r="X489" s="21">
        <f t="shared" si="77"/>
        <v>193279509.22981381</v>
      </c>
      <c r="Y489" s="21">
        <f t="shared" si="78"/>
        <v>163035508.7186006</v>
      </c>
      <c r="Z489" s="15">
        <f>IFERROR(INDEX(Cost_Components!$T$2:$T$27,MATCH(E489,Cost_Components!$A$2:$A$27,0)),"")</f>
        <v>0.8</v>
      </c>
      <c r="AA489" s="24">
        <f>IFERROR(INDEX(Cost_Components!$U$2:$U$27,MATCH(E489,Cost_Components!$A$2:$A$27,0)),"")</f>
        <v>2025</v>
      </c>
      <c r="AB489" s="24">
        <f>IFERROR(INDEX(Cost_Components!$V$2:$V$27,MATCH(E489,Cost_Components!$A$2:$A$27,0)),"")</f>
        <v>2050</v>
      </c>
      <c r="AC489" s="24">
        <f>IFERROR(INDEX(Cost_Components!$M$2:$M$27,MATCH(E489,Cost_Components!$A$2:$A$27,0)),"")</f>
        <v>5</v>
      </c>
      <c r="AD489" s="24">
        <f>IFERROR(INDEX(Cost_Components!$N$2:$N$27,MATCH(E489,Cost_Components!$A$2:$A$27,0)),"")</f>
        <v>40</v>
      </c>
      <c r="AE489" s="14" t="str">
        <f>IFERROR(INDEX(Cost_Components!$O$2:$O$27,MATCH(E489,Cost_Components!$A$2:$A$27,0)),"")</f>
        <v>Both</v>
      </c>
      <c r="AF489" s="11">
        <v>850123.49669313605</v>
      </c>
      <c r="AG489" s="11">
        <v>849317.71465464204</v>
      </c>
      <c r="AH489" s="21">
        <f t="shared" si="79"/>
        <v>1</v>
      </c>
    </row>
    <row r="490" spans="1:34">
      <c r="A490" t="s">
        <v>212</v>
      </c>
      <c r="B490" s="18">
        <v>2045</v>
      </c>
      <c r="C490" t="s">
        <v>212</v>
      </c>
      <c r="D490" t="s">
        <v>209</v>
      </c>
      <c r="E490" s="20" t="s">
        <v>303</v>
      </c>
      <c r="F490" s="20" t="s">
        <v>304</v>
      </c>
      <c r="G490" s="20" t="s">
        <v>213</v>
      </c>
      <c r="H490" s="20" t="s">
        <v>192</v>
      </c>
      <c r="I490" s="20" t="s">
        <v>264</v>
      </c>
      <c r="J490" s="15">
        <v>0.05</v>
      </c>
      <c r="K490" s="15">
        <f t="shared" si="70"/>
        <v>0.66538461538461546</v>
      </c>
      <c r="L490" s="15">
        <f>IFERROR(INDEX(Cost_Components!$S$2:$S$27,MATCH(E490,Cost_Components!$A$2:$A$27,0)),"")</f>
        <v>0.1</v>
      </c>
      <c r="M490" s="26">
        <f>IFERROR(INDEX(Cost_Components!$L$2:$L$27,MATCH(E490,Cost_Components!$A$2:$A$27,0)),"")</f>
        <v>1</v>
      </c>
      <c r="N490" s="27">
        <f>IFERROR(INDEX(Cost_Components!$P$2:$P$27,MATCH(E490,Cost_Components!$A$2:$A$27,0)),"")</f>
        <v>12488.38616</v>
      </c>
      <c r="O490" s="21">
        <f t="shared" si="71"/>
        <v>42472.049755511951</v>
      </c>
      <c r="P490" s="21">
        <f t="shared" si="72"/>
        <v>42428.758228520048</v>
      </c>
      <c r="Q490" s="21">
        <f t="shared" si="73"/>
        <v>52986671.704703584</v>
      </c>
      <c r="R490" s="21">
        <f t="shared" si="74"/>
        <v>352924896.13525796</v>
      </c>
      <c r="S490" s="21">
        <f t="shared" si="75"/>
        <v>299938224.43055439</v>
      </c>
      <c r="T490" s="14">
        <f>IFERROR(INDEX(Cost_Components!$R$2:$R$27,MATCH(E490,Cost_Components!$A$2:$A$27,0)),"")</f>
        <v>1</v>
      </c>
      <c r="U490" s="24">
        <f>IFERROR(INDEX(Cost_Components!$Q$2:$Q$27,MATCH(E490,Cost_Components!$A$2:$A$27,0)),"")</f>
        <v>2023</v>
      </c>
      <c r="V490" s="28">
        <f>1/(1+Calculation_Assumptions!$B$5)^(B490-Calculation_Assumptions!$B$2)</f>
        <v>0.55367575418633497</v>
      </c>
      <c r="W490" s="21">
        <f t="shared" si="76"/>
        <v>29337435.417925492</v>
      </c>
      <c r="X490" s="21">
        <f t="shared" si="77"/>
        <v>195405958.03882289</v>
      </c>
      <c r="Y490" s="21">
        <f t="shared" si="78"/>
        <v>166068522.62089741</v>
      </c>
      <c r="Z490" s="15">
        <f>IFERROR(INDEX(Cost_Components!$T$2:$T$27,MATCH(E490,Cost_Components!$A$2:$A$27,0)),"")</f>
        <v>0.8</v>
      </c>
      <c r="AA490" s="24">
        <f>IFERROR(INDEX(Cost_Components!$U$2:$U$27,MATCH(E490,Cost_Components!$A$2:$A$27,0)),"")</f>
        <v>2025</v>
      </c>
      <c r="AB490" s="24">
        <f>IFERROR(INDEX(Cost_Components!$V$2:$V$27,MATCH(E490,Cost_Components!$A$2:$A$27,0)),"")</f>
        <v>2050</v>
      </c>
      <c r="AC490" s="24">
        <f>IFERROR(INDEX(Cost_Components!$M$2:$M$27,MATCH(E490,Cost_Components!$A$2:$A$27,0)),"")</f>
        <v>5</v>
      </c>
      <c r="AD490" s="24">
        <f>IFERROR(INDEX(Cost_Components!$N$2:$N$27,MATCH(E490,Cost_Components!$A$2:$A$27,0)),"")</f>
        <v>40</v>
      </c>
      <c r="AE490" s="14" t="str">
        <f>IFERROR(INDEX(Cost_Components!$O$2:$O$27,MATCH(E490,Cost_Components!$A$2:$A$27,0)),"")</f>
        <v>Both</v>
      </c>
      <c r="AF490" s="11">
        <v>849440.99511023902</v>
      </c>
      <c r="AG490" s="11">
        <v>848575.16457040096</v>
      </c>
      <c r="AH490" s="21">
        <f t="shared" si="79"/>
        <v>1</v>
      </c>
    </row>
    <row r="491" spans="1:34">
      <c r="A491" t="s">
        <v>212</v>
      </c>
      <c r="B491" s="18">
        <v>2046</v>
      </c>
      <c r="C491" t="s">
        <v>212</v>
      </c>
      <c r="D491" t="s">
        <v>209</v>
      </c>
      <c r="E491" s="20" t="s">
        <v>303</v>
      </c>
      <c r="F491" s="20" t="s">
        <v>304</v>
      </c>
      <c r="G491" s="20" t="s">
        <v>213</v>
      </c>
      <c r="H491" s="20" t="s">
        <v>192</v>
      </c>
      <c r="I491" s="20" t="s">
        <v>264</v>
      </c>
      <c r="J491" s="15">
        <v>0.05</v>
      </c>
      <c r="K491" s="15">
        <f t="shared" si="70"/>
        <v>0.69230769230769229</v>
      </c>
      <c r="L491" s="15">
        <f>IFERROR(INDEX(Cost_Components!$S$2:$S$27,MATCH(E491,Cost_Components!$A$2:$A$27,0)),"")</f>
        <v>0.1</v>
      </c>
      <c r="M491" s="26">
        <f>IFERROR(INDEX(Cost_Components!$L$2:$L$27,MATCH(E491,Cost_Components!$A$2:$A$27,0)),"")</f>
        <v>1</v>
      </c>
      <c r="N491" s="27">
        <f>IFERROR(INDEX(Cost_Components!$P$2:$P$27,MATCH(E491,Cost_Components!$A$2:$A$27,0)),"")</f>
        <v>12488.38616</v>
      </c>
      <c r="O491" s="21">
        <f t="shared" si="71"/>
        <v>42392.9947106994</v>
      </c>
      <c r="P491" s="21">
        <f t="shared" si="72"/>
        <v>42346.745550130756</v>
      </c>
      <c r="Q491" s="21">
        <f t="shared" si="73"/>
        <v>52884251.104929447</v>
      </c>
      <c r="R491" s="21">
        <f t="shared" si="74"/>
        <v>366521599.67957419</v>
      </c>
      <c r="S491" s="21">
        <f t="shared" si="75"/>
        <v>313637348.57464474</v>
      </c>
      <c r="T491" s="14">
        <f>IFERROR(INDEX(Cost_Components!$R$2:$R$27,MATCH(E491,Cost_Components!$A$2:$A$27,0)),"")</f>
        <v>1</v>
      </c>
      <c r="U491" s="24">
        <f>IFERROR(INDEX(Cost_Components!$Q$2:$Q$27,MATCH(E491,Cost_Components!$A$2:$A$27,0)),"")</f>
        <v>2023</v>
      </c>
      <c r="V491" s="28">
        <f>1/(1+Calculation_Assumptions!$B$5)^(B491-Calculation_Assumptions!$B$2)</f>
        <v>0.5375492759090631</v>
      </c>
      <c r="W491" s="21">
        <f t="shared" si="76"/>
        <v>28427890.888447896</v>
      </c>
      <c r="X491" s="21">
        <f t="shared" si="77"/>
        <v>197023420.5127866</v>
      </c>
      <c r="Y491" s="21">
        <f t="shared" si="78"/>
        <v>168595529.62433872</v>
      </c>
      <c r="Z491" s="15">
        <f>IFERROR(INDEX(Cost_Components!$T$2:$T$27,MATCH(E491,Cost_Components!$A$2:$A$27,0)),"")</f>
        <v>0.8</v>
      </c>
      <c r="AA491" s="24">
        <f>IFERROR(INDEX(Cost_Components!$U$2:$U$27,MATCH(E491,Cost_Components!$A$2:$A$27,0)),"")</f>
        <v>2025</v>
      </c>
      <c r="AB491" s="24">
        <f>IFERROR(INDEX(Cost_Components!$V$2:$V$27,MATCH(E491,Cost_Components!$A$2:$A$27,0)),"")</f>
        <v>2050</v>
      </c>
      <c r="AC491" s="24">
        <f>IFERROR(INDEX(Cost_Components!$M$2:$M$27,MATCH(E491,Cost_Components!$A$2:$A$27,0)),"")</f>
        <v>5</v>
      </c>
      <c r="AD491" s="24">
        <f>IFERROR(INDEX(Cost_Components!$N$2:$N$27,MATCH(E491,Cost_Components!$A$2:$A$27,0)),"")</f>
        <v>40</v>
      </c>
      <c r="AE491" s="14" t="str">
        <f>IFERROR(INDEX(Cost_Components!$O$2:$O$27,MATCH(E491,Cost_Components!$A$2:$A$27,0)),"")</f>
        <v>Both</v>
      </c>
      <c r="AF491" s="11">
        <v>847859.89421398798</v>
      </c>
      <c r="AG491" s="11">
        <v>846934.911002615</v>
      </c>
      <c r="AH491" s="21">
        <f t="shared" si="79"/>
        <v>1</v>
      </c>
    </row>
    <row r="492" spans="1:34">
      <c r="A492" t="s">
        <v>212</v>
      </c>
      <c r="B492" s="18">
        <v>2047</v>
      </c>
      <c r="C492" t="s">
        <v>212</v>
      </c>
      <c r="D492" t="s">
        <v>209</v>
      </c>
      <c r="E492" s="20" t="s">
        <v>303</v>
      </c>
      <c r="F492" s="20" t="s">
        <v>304</v>
      </c>
      <c r="G492" s="20" t="s">
        <v>213</v>
      </c>
      <c r="H492" s="20" t="s">
        <v>192</v>
      </c>
      <c r="I492" s="20" t="s">
        <v>264</v>
      </c>
      <c r="J492" s="15">
        <v>0.05</v>
      </c>
      <c r="K492" s="15">
        <f t="shared" si="70"/>
        <v>0.71923076923076923</v>
      </c>
      <c r="L492" s="15">
        <f>IFERROR(INDEX(Cost_Components!$S$2:$S$27,MATCH(E492,Cost_Components!$A$2:$A$27,0)),"")</f>
        <v>0.1</v>
      </c>
      <c r="M492" s="26">
        <f>IFERROR(INDEX(Cost_Components!$L$2:$L$27,MATCH(E492,Cost_Components!$A$2:$A$27,0)),"")</f>
        <v>1</v>
      </c>
      <c r="N492" s="27">
        <f>IFERROR(INDEX(Cost_Components!$P$2:$P$27,MATCH(E492,Cost_Components!$A$2:$A$27,0)),"")</f>
        <v>12488.38616</v>
      </c>
      <c r="O492" s="21">
        <f t="shared" si="71"/>
        <v>42249.494121861906</v>
      </c>
      <c r="P492" s="21">
        <f t="shared" si="72"/>
        <v>42200.387535029105</v>
      </c>
      <c r="Q492" s="21">
        <f t="shared" si="73"/>
        <v>52701473.563909397</v>
      </c>
      <c r="R492" s="21">
        <f t="shared" si="74"/>
        <v>379486290.62358582</v>
      </c>
      <c r="S492" s="21">
        <f t="shared" si="75"/>
        <v>326784817.05967641</v>
      </c>
      <c r="T492" s="14">
        <f>IFERROR(INDEX(Cost_Components!$R$2:$R$27,MATCH(E492,Cost_Components!$A$2:$A$27,0)),"")</f>
        <v>1</v>
      </c>
      <c r="U492" s="24">
        <f>IFERROR(INDEX(Cost_Components!$Q$2:$Q$27,MATCH(E492,Cost_Components!$A$2:$A$27,0)),"")</f>
        <v>2023</v>
      </c>
      <c r="V492" s="28">
        <f>1/(1+Calculation_Assumptions!$B$5)^(B492-Calculation_Assumptions!$B$2)</f>
        <v>0.52189250088258554</v>
      </c>
      <c r="W492" s="21">
        <f t="shared" si="76"/>
        <v>27504503.838466145</v>
      </c>
      <c r="X492" s="21">
        <f t="shared" si="77"/>
        <v>198051049.26419887</v>
      </c>
      <c r="Y492" s="21">
        <f t="shared" si="78"/>
        <v>170546545.42573273</v>
      </c>
      <c r="Z492" s="15">
        <f>IFERROR(INDEX(Cost_Components!$T$2:$T$27,MATCH(E492,Cost_Components!$A$2:$A$27,0)),"")</f>
        <v>0.8</v>
      </c>
      <c r="AA492" s="24">
        <f>IFERROR(INDEX(Cost_Components!$U$2:$U$27,MATCH(E492,Cost_Components!$A$2:$A$27,0)),"")</f>
        <v>2025</v>
      </c>
      <c r="AB492" s="24">
        <f>IFERROR(INDEX(Cost_Components!$V$2:$V$27,MATCH(E492,Cost_Components!$A$2:$A$27,0)),"")</f>
        <v>2050</v>
      </c>
      <c r="AC492" s="24">
        <f>IFERROR(INDEX(Cost_Components!$M$2:$M$27,MATCH(E492,Cost_Components!$A$2:$A$27,0)),"")</f>
        <v>5</v>
      </c>
      <c r="AD492" s="24">
        <f>IFERROR(INDEX(Cost_Components!$N$2:$N$27,MATCH(E492,Cost_Components!$A$2:$A$27,0)),"")</f>
        <v>40</v>
      </c>
      <c r="AE492" s="14" t="str">
        <f>IFERROR(INDEX(Cost_Components!$O$2:$O$27,MATCH(E492,Cost_Components!$A$2:$A$27,0)),"")</f>
        <v>Both</v>
      </c>
      <c r="AF492" s="11">
        <v>844989.882437238</v>
      </c>
      <c r="AG492" s="11">
        <v>844007.75070058205</v>
      </c>
      <c r="AH492" s="21">
        <f t="shared" si="79"/>
        <v>1</v>
      </c>
    </row>
    <row r="493" spans="1:34">
      <c r="A493" t="s">
        <v>212</v>
      </c>
      <c r="B493" s="18">
        <v>2048</v>
      </c>
      <c r="C493" t="s">
        <v>212</v>
      </c>
      <c r="D493" t="s">
        <v>209</v>
      </c>
      <c r="E493" s="20" t="s">
        <v>303</v>
      </c>
      <c r="F493" s="20" t="s">
        <v>304</v>
      </c>
      <c r="G493" s="20" t="s">
        <v>213</v>
      </c>
      <c r="H493" s="20" t="s">
        <v>192</v>
      </c>
      <c r="I493" s="20" t="s">
        <v>264</v>
      </c>
      <c r="J493" s="15">
        <v>0.05</v>
      </c>
      <c r="K493" s="15">
        <f t="shared" si="70"/>
        <v>0.74615384615384628</v>
      </c>
      <c r="L493" s="15">
        <f>IFERROR(INDEX(Cost_Components!$S$2:$S$27,MATCH(E493,Cost_Components!$A$2:$A$27,0)),"")</f>
        <v>0.1</v>
      </c>
      <c r="M493" s="26">
        <f>IFERROR(INDEX(Cost_Components!$L$2:$L$27,MATCH(E493,Cost_Components!$A$2:$A$27,0)),"")</f>
        <v>1</v>
      </c>
      <c r="N493" s="27">
        <f>IFERROR(INDEX(Cost_Components!$P$2:$P$27,MATCH(E493,Cost_Components!$A$2:$A$27,0)),"")</f>
        <v>12488.38616</v>
      </c>
      <c r="O493" s="21">
        <f t="shared" si="71"/>
        <v>42056.631710583155</v>
      </c>
      <c r="P493" s="21">
        <f t="shared" si="72"/>
        <v>42004.772998516703</v>
      </c>
      <c r="Q493" s="21">
        <f t="shared" si="73"/>
        <v>52457182.576861769</v>
      </c>
      <c r="R493" s="21">
        <f t="shared" si="74"/>
        <v>391894518.20687997</v>
      </c>
      <c r="S493" s="21">
        <f t="shared" si="75"/>
        <v>339437335.63001823</v>
      </c>
      <c r="T493" s="14">
        <f>IFERROR(INDEX(Cost_Components!$R$2:$R$27,MATCH(E493,Cost_Components!$A$2:$A$27,0)),"")</f>
        <v>1</v>
      </c>
      <c r="U493" s="24">
        <f>IFERROR(INDEX(Cost_Components!$Q$2:$Q$27,MATCH(E493,Cost_Components!$A$2:$A$27,0)),"")</f>
        <v>2023</v>
      </c>
      <c r="V493" s="28">
        <f>1/(1+Calculation_Assumptions!$B$5)^(B493-Calculation_Assumptions!$B$2)</f>
        <v>0.50669174842969467</v>
      </c>
      <c r="W493" s="21">
        <f t="shared" si="76"/>
        <v>26579621.557565805</v>
      </c>
      <c r="X493" s="21">
        <f t="shared" si="77"/>
        <v>198569718.63025683</v>
      </c>
      <c r="Y493" s="21">
        <f t="shared" si="78"/>
        <v>171990097.07269102</v>
      </c>
      <c r="Z493" s="15">
        <f>IFERROR(INDEX(Cost_Components!$T$2:$T$27,MATCH(E493,Cost_Components!$A$2:$A$27,0)),"")</f>
        <v>0.8</v>
      </c>
      <c r="AA493" s="24">
        <f>IFERROR(INDEX(Cost_Components!$U$2:$U$27,MATCH(E493,Cost_Components!$A$2:$A$27,0)),"")</f>
        <v>2025</v>
      </c>
      <c r="AB493" s="24">
        <f>IFERROR(INDEX(Cost_Components!$V$2:$V$27,MATCH(E493,Cost_Components!$A$2:$A$27,0)),"")</f>
        <v>2050</v>
      </c>
      <c r="AC493" s="24">
        <f>IFERROR(INDEX(Cost_Components!$M$2:$M$27,MATCH(E493,Cost_Components!$A$2:$A$27,0)),"")</f>
        <v>5</v>
      </c>
      <c r="AD493" s="24">
        <f>IFERROR(INDEX(Cost_Components!$N$2:$N$27,MATCH(E493,Cost_Components!$A$2:$A$27,0)),"")</f>
        <v>40</v>
      </c>
      <c r="AE493" s="14" t="str">
        <f>IFERROR(INDEX(Cost_Components!$O$2:$O$27,MATCH(E493,Cost_Components!$A$2:$A$27,0)),"")</f>
        <v>Both</v>
      </c>
      <c r="AF493" s="11">
        <v>841132.63421166304</v>
      </c>
      <c r="AG493" s="11">
        <v>840095.45997033396</v>
      </c>
      <c r="AH493" s="21">
        <f t="shared" si="79"/>
        <v>1</v>
      </c>
    </row>
    <row r="494" spans="1:34">
      <c r="A494" t="s">
        <v>212</v>
      </c>
      <c r="B494" s="18">
        <v>2049</v>
      </c>
      <c r="C494" t="s">
        <v>212</v>
      </c>
      <c r="D494" t="s">
        <v>209</v>
      </c>
      <c r="E494" s="20" t="s">
        <v>303</v>
      </c>
      <c r="F494" s="20" t="s">
        <v>304</v>
      </c>
      <c r="G494" s="20" t="s">
        <v>213</v>
      </c>
      <c r="H494" s="20" t="s">
        <v>192</v>
      </c>
      <c r="I494" s="20" t="s">
        <v>264</v>
      </c>
      <c r="J494" s="15">
        <v>0.05</v>
      </c>
      <c r="K494" s="15">
        <f t="shared" si="70"/>
        <v>0.77307692307692311</v>
      </c>
      <c r="L494" s="15">
        <f>IFERROR(INDEX(Cost_Components!$S$2:$S$27,MATCH(E494,Cost_Components!$A$2:$A$27,0)),"")</f>
        <v>0.1</v>
      </c>
      <c r="M494" s="26">
        <f>IFERROR(INDEX(Cost_Components!$L$2:$L$27,MATCH(E494,Cost_Components!$A$2:$A$27,0)),"")</f>
        <v>1</v>
      </c>
      <c r="N494" s="27">
        <f>IFERROR(INDEX(Cost_Components!$P$2:$P$27,MATCH(E494,Cost_Components!$A$2:$A$27,0)),"")</f>
        <v>12488.38616</v>
      </c>
      <c r="O494" s="21">
        <f t="shared" si="71"/>
        <v>41847.531875205452</v>
      </c>
      <c r="P494" s="21">
        <f t="shared" si="72"/>
        <v>41792.994446842604</v>
      </c>
      <c r="Q494" s="21">
        <f t="shared" si="73"/>
        <v>52192705.343490601</v>
      </c>
      <c r="R494" s="21">
        <f t="shared" si="74"/>
        <v>404016291.22305924</v>
      </c>
      <c r="S494" s="21">
        <f t="shared" si="75"/>
        <v>351823585.87956864</v>
      </c>
      <c r="T494" s="14">
        <f>IFERROR(INDEX(Cost_Components!$R$2:$R$27,MATCH(E494,Cost_Components!$A$2:$A$27,0)),"")</f>
        <v>1</v>
      </c>
      <c r="U494" s="24">
        <f>IFERROR(INDEX(Cost_Components!$Q$2:$Q$27,MATCH(E494,Cost_Components!$A$2:$A$27,0)),"")</f>
        <v>2023</v>
      </c>
      <c r="V494" s="28">
        <f>1/(1+Calculation_Assumptions!$B$5)^(B494-Calculation_Assumptions!$B$2)</f>
        <v>0.49193373633950943</v>
      </c>
      <c r="W494" s="21">
        <f t="shared" si="76"/>
        <v>25675352.549290411</v>
      </c>
      <c r="X494" s="21">
        <f t="shared" si="77"/>
        <v>198749243.68339089</v>
      </c>
      <c r="Y494" s="21">
        <f t="shared" si="78"/>
        <v>173073891.13410047</v>
      </c>
      <c r="Z494" s="15">
        <f>IFERROR(INDEX(Cost_Components!$T$2:$T$27,MATCH(E494,Cost_Components!$A$2:$A$27,0)),"")</f>
        <v>0.8</v>
      </c>
      <c r="AA494" s="24">
        <f>IFERROR(INDEX(Cost_Components!$U$2:$U$27,MATCH(E494,Cost_Components!$A$2:$A$27,0)),"")</f>
        <v>2025</v>
      </c>
      <c r="AB494" s="24">
        <f>IFERROR(INDEX(Cost_Components!$V$2:$V$27,MATCH(E494,Cost_Components!$A$2:$A$27,0)),"")</f>
        <v>2050</v>
      </c>
      <c r="AC494" s="24">
        <f>IFERROR(INDEX(Cost_Components!$M$2:$M$27,MATCH(E494,Cost_Components!$A$2:$A$27,0)),"")</f>
        <v>5</v>
      </c>
      <c r="AD494" s="24">
        <f>IFERROR(INDEX(Cost_Components!$N$2:$N$27,MATCH(E494,Cost_Components!$A$2:$A$27,0)),"")</f>
        <v>40</v>
      </c>
      <c r="AE494" s="14" t="str">
        <f>IFERROR(INDEX(Cost_Components!$O$2:$O$27,MATCH(E494,Cost_Components!$A$2:$A$27,0)),"")</f>
        <v>Both</v>
      </c>
      <c r="AF494" s="11">
        <v>836950.63750410895</v>
      </c>
      <c r="AG494" s="11">
        <v>835859.88893685199</v>
      </c>
      <c r="AH494" s="21">
        <f t="shared" si="79"/>
        <v>1</v>
      </c>
    </row>
    <row r="495" spans="1:34">
      <c r="A495" t="s">
        <v>212</v>
      </c>
      <c r="B495" s="18">
        <v>2050</v>
      </c>
      <c r="C495" t="s">
        <v>212</v>
      </c>
      <c r="D495" t="s">
        <v>209</v>
      </c>
      <c r="E495" s="20" t="s">
        <v>303</v>
      </c>
      <c r="F495" s="20" t="s">
        <v>304</v>
      </c>
      <c r="G495" s="20" t="s">
        <v>213</v>
      </c>
      <c r="H495" s="20" t="s">
        <v>192</v>
      </c>
      <c r="I495" s="20" t="s">
        <v>264</v>
      </c>
      <c r="J495" s="15">
        <v>0.05</v>
      </c>
      <c r="K495" s="15">
        <f t="shared" si="70"/>
        <v>0.8</v>
      </c>
      <c r="L495" s="15">
        <f>IFERROR(INDEX(Cost_Components!$S$2:$S$27,MATCH(E495,Cost_Components!$A$2:$A$27,0)),"")</f>
        <v>0.1</v>
      </c>
      <c r="M495" s="26">
        <f>IFERROR(INDEX(Cost_Components!$L$2:$L$27,MATCH(E495,Cost_Components!$A$2:$A$27,0)),"")</f>
        <v>1</v>
      </c>
      <c r="N495" s="27">
        <f>IFERROR(INDEX(Cost_Components!$P$2:$P$27,MATCH(E495,Cost_Components!$A$2:$A$27,0)),"")</f>
        <v>12488.38616</v>
      </c>
      <c r="O495" s="21">
        <f t="shared" si="71"/>
        <v>41635.874554774855</v>
      </c>
      <c r="P495" s="21">
        <f t="shared" si="72"/>
        <v>41578.723142804054</v>
      </c>
      <c r="Q495" s="21">
        <f t="shared" si="73"/>
        <v>51925115.064706586</v>
      </c>
      <c r="R495" s="21">
        <f t="shared" si="74"/>
        <v>415971903.63947719</v>
      </c>
      <c r="S495" s="21">
        <f t="shared" si="75"/>
        <v>364046788.57477063</v>
      </c>
      <c r="T495" s="14">
        <f>IFERROR(INDEX(Cost_Components!$R$2:$R$27,MATCH(E495,Cost_Components!$A$2:$A$27,0)),"")</f>
        <v>1</v>
      </c>
      <c r="U495" s="24">
        <f>IFERROR(INDEX(Cost_Components!$Q$2:$Q$27,MATCH(E495,Cost_Components!$A$2:$A$27,0)),"")</f>
        <v>2023</v>
      </c>
      <c r="V495" s="28">
        <f>1/(1+Calculation_Assumptions!$B$5)^(B495-Calculation_Assumptions!$B$2)</f>
        <v>0.47760556926165965</v>
      </c>
      <c r="W495" s="21">
        <f t="shared" si="76"/>
        <v>24799724.139456369</v>
      </c>
      <c r="X495" s="21">
        <f t="shared" si="77"/>
        <v>198670497.83458874</v>
      </c>
      <c r="Y495" s="21">
        <f t="shared" si="78"/>
        <v>173870773.69513237</v>
      </c>
      <c r="Z495" s="15">
        <f>IFERROR(INDEX(Cost_Components!$T$2:$T$27,MATCH(E495,Cost_Components!$A$2:$A$27,0)),"")</f>
        <v>0.8</v>
      </c>
      <c r="AA495" s="24">
        <f>IFERROR(INDEX(Cost_Components!$U$2:$U$27,MATCH(E495,Cost_Components!$A$2:$A$27,0)),"")</f>
        <v>2025</v>
      </c>
      <c r="AB495" s="24">
        <f>IFERROR(INDEX(Cost_Components!$V$2:$V$27,MATCH(E495,Cost_Components!$A$2:$A$27,0)),"")</f>
        <v>2050</v>
      </c>
      <c r="AC495" s="24">
        <f>IFERROR(INDEX(Cost_Components!$M$2:$M$27,MATCH(E495,Cost_Components!$A$2:$A$27,0)),"")</f>
        <v>5</v>
      </c>
      <c r="AD495" s="24">
        <f>IFERROR(INDEX(Cost_Components!$N$2:$N$27,MATCH(E495,Cost_Components!$A$2:$A$27,0)),"")</f>
        <v>40</v>
      </c>
      <c r="AE495" s="14" t="str">
        <f>IFERROR(INDEX(Cost_Components!$O$2:$O$27,MATCH(E495,Cost_Components!$A$2:$A$27,0)),"")</f>
        <v>Both</v>
      </c>
      <c r="AF495" s="11">
        <v>832717.49109549704</v>
      </c>
      <c r="AG495" s="11">
        <v>831574.46285608097</v>
      </c>
      <c r="AH495" s="21">
        <f t="shared" si="79"/>
        <v>1</v>
      </c>
    </row>
    <row r="496" spans="1:34" hidden="1">
      <c r="A496" t="s">
        <v>217</v>
      </c>
      <c r="B496" s="18">
        <v>2025</v>
      </c>
      <c r="C496" t="s">
        <v>217</v>
      </c>
      <c r="D496" t="s">
        <v>173</v>
      </c>
      <c r="E496" s="20" t="s">
        <v>306</v>
      </c>
      <c r="F496" s="20" t="s">
        <v>307</v>
      </c>
      <c r="G496" s="20" t="s">
        <v>218</v>
      </c>
      <c r="H496" s="20" t="s">
        <v>192</v>
      </c>
      <c r="I496" s="20" t="s">
        <v>167</v>
      </c>
      <c r="J496" s="15">
        <f>IFERROR(INDEX(Cost_Components!$K$2:$K$27,MATCH(E496,Cost_Components!$A$2:$A$27,0)),"")</f>
        <v>0.52</v>
      </c>
      <c r="K496" s="15">
        <f t="shared" si="70"/>
        <v>0.32884615384615384</v>
      </c>
      <c r="L496" s="15">
        <f>IFERROR(INDEX(Cost_Components!$S$2:$S$27,MATCH(E496,Cost_Components!$A$2:$A$27,0)),"")</f>
        <v>0.31</v>
      </c>
      <c r="M496" s="26">
        <f>IFERROR(INDEX(Cost_Components!$L$2:$L$27,MATCH(E496,Cost_Components!$A$2:$A$27,0)),"")</f>
        <v>1</v>
      </c>
      <c r="N496" s="27">
        <f>IFERROR(INDEX(Cost_Components!$P$2:$P$27,MATCH(E496,Cost_Components!$A$2:$A$27,0)),"")</f>
        <v>550.94828900000005</v>
      </c>
      <c r="O496" s="21">
        <f t="shared" si="71"/>
        <v>164100.27819924077</v>
      </c>
      <c r="P496" s="21">
        <f t="shared" si="72"/>
        <v>164100.27819924077</v>
      </c>
      <c r="Q496" s="21">
        <f t="shared" si="73"/>
        <v>28027337.924471669</v>
      </c>
      <c r="R496" s="21">
        <f t="shared" si="74"/>
        <v>29731233.158093397</v>
      </c>
      <c r="S496" s="21">
        <f t="shared" si="75"/>
        <v>1703895.2336217277</v>
      </c>
      <c r="T496" s="14">
        <f>IFERROR(INDEX(Cost_Components!$R$2:$R$27,MATCH(E496,Cost_Components!$A$2:$A$27,0)),"")</f>
        <v>1</v>
      </c>
      <c r="U496" s="24">
        <f>IFERROR(INDEX(Cost_Components!$Q$2:$Q$27,MATCH(E496,Cost_Components!$A$2:$A$27,0)),"")</f>
        <v>2023</v>
      </c>
      <c r="V496" s="28">
        <f>1/(1+Calculation_Assumptions!$B$5)^(B496-Calculation_Assumptions!$B$2)</f>
        <v>1</v>
      </c>
      <c r="W496" s="21">
        <f t="shared" si="76"/>
        <v>28027337.924471669</v>
      </c>
      <c r="X496" s="21">
        <f t="shared" si="77"/>
        <v>29731233.158093397</v>
      </c>
      <c r="Y496" s="21">
        <f t="shared" si="78"/>
        <v>1703895.2336217277</v>
      </c>
      <c r="Z496" s="15">
        <f>IFERROR(INDEX(Cost_Components!$T$2:$T$27,MATCH(E496,Cost_Components!$A$2:$A$27,0)),"")</f>
        <v>0.8</v>
      </c>
      <c r="AA496" s="24">
        <f>IFERROR(INDEX(Cost_Components!$U$2:$U$27,MATCH(E496,Cost_Components!$A$2:$A$27,0)),"")</f>
        <v>2025</v>
      </c>
      <c r="AB496" s="24">
        <f>IFERROR(INDEX(Cost_Components!$V$2:$V$27,MATCH(E496,Cost_Components!$A$2:$A$27,0)),"")</f>
        <v>2050</v>
      </c>
      <c r="AC496" s="24">
        <f>IFERROR(INDEX(Cost_Components!$M$2:$M$27,MATCH(E496,Cost_Components!$A$2:$A$27,0)),"")</f>
        <v>30</v>
      </c>
      <c r="AD496" s="24">
        <f>IFERROR(INDEX(Cost_Components!$N$2:$N$27,MATCH(E496,Cost_Components!$A$2:$A$27,0)),"")</f>
        <v>95</v>
      </c>
      <c r="AE496" s="14" t="str">
        <f>IFERROR(INDEX(Cost_Components!$O$2:$O$27,MATCH(E496,Cost_Components!$A$2:$A$27,0)),"")</f>
        <v>Both</v>
      </c>
      <c r="AF496" s="11">
        <v>315577.45807546302</v>
      </c>
      <c r="AG496" s="11">
        <v>315577.45807546302</v>
      </c>
      <c r="AH496" s="21">
        <f t="shared" si="79"/>
        <v>1</v>
      </c>
    </row>
    <row r="497" spans="1:34" hidden="1">
      <c r="A497" t="s">
        <v>217</v>
      </c>
      <c r="B497" s="18">
        <v>2026</v>
      </c>
      <c r="C497" t="s">
        <v>217</v>
      </c>
      <c r="D497" t="s">
        <v>173</v>
      </c>
      <c r="E497" s="20" t="s">
        <v>306</v>
      </c>
      <c r="F497" s="20" t="s">
        <v>307</v>
      </c>
      <c r="G497" s="20" t="s">
        <v>218</v>
      </c>
      <c r="H497" s="20" t="s">
        <v>192</v>
      </c>
      <c r="I497" s="20" t="s">
        <v>167</v>
      </c>
      <c r="J497" s="15">
        <f>IFERROR(INDEX(Cost_Components!$K$2:$K$27,MATCH(E497,Cost_Components!$A$2:$A$27,0)),"")</f>
        <v>0.52</v>
      </c>
      <c r="K497" s="15">
        <f t="shared" si="70"/>
        <v>0.34769230769230769</v>
      </c>
      <c r="L497" s="15">
        <f>IFERROR(INDEX(Cost_Components!$S$2:$S$27,MATCH(E497,Cost_Components!$A$2:$A$27,0)),"")</f>
        <v>0.31</v>
      </c>
      <c r="M497" s="26">
        <f>IFERROR(INDEX(Cost_Components!$L$2:$L$27,MATCH(E497,Cost_Components!$A$2:$A$27,0)),"")</f>
        <v>1</v>
      </c>
      <c r="N497" s="27">
        <f>IFERROR(INDEX(Cost_Components!$P$2:$P$27,MATCH(E497,Cost_Components!$A$2:$A$27,0)),"")</f>
        <v>550.94828900000005</v>
      </c>
      <c r="O497" s="21">
        <f t="shared" si="71"/>
        <v>168811.99001127866</v>
      </c>
      <c r="P497" s="21">
        <f t="shared" si="72"/>
        <v>168811.69763112618</v>
      </c>
      <c r="Q497" s="21">
        <f t="shared" si="73"/>
        <v>28832019.951646842</v>
      </c>
      <c r="R497" s="21">
        <f t="shared" si="74"/>
        <v>32337706.177575678</v>
      </c>
      <c r="S497" s="21">
        <f t="shared" si="75"/>
        <v>3505686.2259288356</v>
      </c>
      <c r="T497" s="14">
        <f>IFERROR(INDEX(Cost_Components!$R$2:$R$27,MATCH(E497,Cost_Components!$A$2:$A$27,0)),"")</f>
        <v>1</v>
      </c>
      <c r="U497" s="24">
        <f>IFERROR(INDEX(Cost_Components!$Q$2:$Q$27,MATCH(E497,Cost_Components!$A$2:$A$27,0)),"")</f>
        <v>2023</v>
      </c>
      <c r="V497" s="28">
        <f>1/(1+Calculation_Assumptions!$B$5)^(B497-Calculation_Assumptions!$B$2)</f>
        <v>0.970873786407767</v>
      </c>
      <c r="W497" s="21">
        <f t="shared" si="76"/>
        <v>27992252.380239654</v>
      </c>
      <c r="X497" s="21">
        <f t="shared" si="77"/>
        <v>31395831.240364738</v>
      </c>
      <c r="Y497" s="21">
        <f t="shared" si="78"/>
        <v>3403578.860125083</v>
      </c>
      <c r="Z497" s="15">
        <f>IFERROR(INDEX(Cost_Components!$T$2:$T$27,MATCH(E497,Cost_Components!$A$2:$A$27,0)),"")</f>
        <v>0.8</v>
      </c>
      <c r="AA497" s="24">
        <f>IFERROR(INDEX(Cost_Components!$U$2:$U$27,MATCH(E497,Cost_Components!$A$2:$A$27,0)),"")</f>
        <v>2025</v>
      </c>
      <c r="AB497" s="24">
        <f>IFERROR(INDEX(Cost_Components!$V$2:$V$27,MATCH(E497,Cost_Components!$A$2:$A$27,0)),"")</f>
        <v>2050</v>
      </c>
      <c r="AC497" s="24">
        <f>IFERROR(INDEX(Cost_Components!$M$2:$M$27,MATCH(E497,Cost_Components!$A$2:$A$27,0)),"")</f>
        <v>30</v>
      </c>
      <c r="AD497" s="24">
        <f>IFERROR(INDEX(Cost_Components!$N$2:$N$27,MATCH(E497,Cost_Components!$A$2:$A$27,0)),"")</f>
        <v>95</v>
      </c>
      <c r="AE497" s="14" t="str">
        <f>IFERROR(INDEX(Cost_Components!$O$2:$O$27,MATCH(E497,Cost_Components!$A$2:$A$27,0)),"")</f>
        <v>Both</v>
      </c>
      <c r="AF497" s="11">
        <v>324638.442329382</v>
      </c>
      <c r="AG497" s="11">
        <v>324637.88005985803</v>
      </c>
      <c r="AH497" s="21">
        <f t="shared" si="79"/>
        <v>1</v>
      </c>
    </row>
    <row r="498" spans="1:34" hidden="1">
      <c r="A498" t="s">
        <v>217</v>
      </c>
      <c r="B498" s="18">
        <v>2027</v>
      </c>
      <c r="C498" t="s">
        <v>217</v>
      </c>
      <c r="D498" t="s">
        <v>173</v>
      </c>
      <c r="E498" s="20" t="s">
        <v>306</v>
      </c>
      <c r="F498" s="20" t="s">
        <v>307</v>
      </c>
      <c r="G498" s="20" t="s">
        <v>218</v>
      </c>
      <c r="H498" s="20" t="s">
        <v>192</v>
      </c>
      <c r="I498" s="20" t="s">
        <v>167</v>
      </c>
      <c r="J498" s="15">
        <f>IFERROR(INDEX(Cost_Components!$K$2:$K$27,MATCH(E498,Cost_Components!$A$2:$A$27,0)),"")</f>
        <v>0.52</v>
      </c>
      <c r="K498" s="15">
        <f t="shared" si="70"/>
        <v>0.36653846153846154</v>
      </c>
      <c r="L498" s="15">
        <f>IFERROR(INDEX(Cost_Components!$S$2:$S$27,MATCH(E498,Cost_Components!$A$2:$A$27,0)),"")</f>
        <v>0.31</v>
      </c>
      <c r="M498" s="26">
        <f>IFERROR(INDEX(Cost_Components!$L$2:$L$27,MATCH(E498,Cost_Components!$A$2:$A$27,0)),"")</f>
        <v>1</v>
      </c>
      <c r="N498" s="27">
        <f>IFERROR(INDEX(Cost_Components!$P$2:$P$27,MATCH(E498,Cost_Components!$A$2:$A$27,0)),"")</f>
        <v>550.94828900000005</v>
      </c>
      <c r="O498" s="21">
        <f t="shared" si="71"/>
        <v>173533.92303981603</v>
      </c>
      <c r="P498" s="21">
        <f t="shared" si="72"/>
        <v>173533.04179650973</v>
      </c>
      <c r="Q498" s="21">
        <f t="shared" si="73"/>
        <v>29638397.063453283</v>
      </c>
      <c r="R498" s="21">
        <f t="shared" si="74"/>
        <v>35044089.129645705</v>
      </c>
      <c r="S498" s="21">
        <f t="shared" si="75"/>
        <v>5405692.0661924221</v>
      </c>
      <c r="T498" s="14">
        <f>IFERROR(INDEX(Cost_Components!$R$2:$R$27,MATCH(E498,Cost_Components!$A$2:$A$27,0)),"")</f>
        <v>1</v>
      </c>
      <c r="U498" s="24">
        <f>IFERROR(INDEX(Cost_Components!$Q$2:$Q$27,MATCH(E498,Cost_Components!$A$2:$A$27,0)),"")</f>
        <v>2023</v>
      </c>
      <c r="V498" s="28">
        <f>1/(1+Calculation_Assumptions!$B$5)^(B498-Calculation_Assumptions!$B$2)</f>
        <v>0.94259590913375435</v>
      </c>
      <c r="W498" s="21">
        <f t="shared" si="76"/>
        <v>27937031.825292941</v>
      </c>
      <c r="X498" s="21">
        <f t="shared" si="77"/>
        <v>33032415.052922711</v>
      </c>
      <c r="Y498" s="21">
        <f t="shared" si="78"/>
        <v>5095383.2276297687</v>
      </c>
      <c r="Z498" s="15">
        <f>IFERROR(INDEX(Cost_Components!$T$2:$T$27,MATCH(E498,Cost_Components!$A$2:$A$27,0)),"")</f>
        <v>0.8</v>
      </c>
      <c r="AA498" s="24">
        <f>IFERROR(INDEX(Cost_Components!$U$2:$U$27,MATCH(E498,Cost_Components!$A$2:$A$27,0)),"")</f>
        <v>2025</v>
      </c>
      <c r="AB498" s="24">
        <f>IFERROR(INDEX(Cost_Components!$V$2:$V$27,MATCH(E498,Cost_Components!$A$2:$A$27,0)),"")</f>
        <v>2050</v>
      </c>
      <c r="AC498" s="24">
        <f>IFERROR(INDEX(Cost_Components!$M$2:$M$27,MATCH(E498,Cost_Components!$A$2:$A$27,0)),"")</f>
        <v>30</v>
      </c>
      <c r="AD498" s="24">
        <f>IFERROR(INDEX(Cost_Components!$N$2:$N$27,MATCH(E498,Cost_Components!$A$2:$A$27,0)),"")</f>
        <v>95</v>
      </c>
      <c r="AE498" s="14" t="str">
        <f>IFERROR(INDEX(Cost_Components!$O$2:$O$27,MATCH(E498,Cost_Components!$A$2:$A$27,0)),"")</f>
        <v>Both</v>
      </c>
      <c r="AF498" s="11">
        <v>333719.08276887698</v>
      </c>
      <c r="AG498" s="11">
        <v>333717.38807021099</v>
      </c>
      <c r="AH498" s="21">
        <f t="shared" si="79"/>
        <v>1</v>
      </c>
    </row>
    <row r="499" spans="1:34" hidden="1">
      <c r="A499" t="s">
        <v>217</v>
      </c>
      <c r="B499" s="18">
        <v>2028</v>
      </c>
      <c r="C499" t="s">
        <v>217</v>
      </c>
      <c r="D499" t="s">
        <v>173</v>
      </c>
      <c r="E499" s="20" t="s">
        <v>306</v>
      </c>
      <c r="F499" s="20" t="s">
        <v>307</v>
      </c>
      <c r="G499" s="20" t="s">
        <v>218</v>
      </c>
      <c r="H499" s="20" t="s">
        <v>192</v>
      </c>
      <c r="I499" s="20" t="s">
        <v>167</v>
      </c>
      <c r="J499" s="15">
        <f>IFERROR(INDEX(Cost_Components!$K$2:$K$27,MATCH(E499,Cost_Components!$A$2:$A$27,0)),"")</f>
        <v>0.52</v>
      </c>
      <c r="K499" s="15">
        <f t="shared" si="70"/>
        <v>0.38538461538461538</v>
      </c>
      <c r="L499" s="15">
        <f>IFERROR(INDEX(Cost_Components!$S$2:$S$27,MATCH(E499,Cost_Components!$A$2:$A$27,0)),"")</f>
        <v>0.31</v>
      </c>
      <c r="M499" s="26">
        <f>IFERROR(INDEX(Cost_Components!$L$2:$L$27,MATCH(E499,Cost_Components!$A$2:$A$27,0)),"")</f>
        <v>1</v>
      </c>
      <c r="N499" s="27">
        <f>IFERROR(INDEX(Cost_Components!$P$2:$P$27,MATCH(E499,Cost_Components!$A$2:$A$27,0)),"")</f>
        <v>550.94828900000005</v>
      </c>
      <c r="O499" s="21">
        <f t="shared" si="71"/>
        <v>178237.06276454363</v>
      </c>
      <c r="P499" s="21">
        <f t="shared" si="72"/>
        <v>178235.29480011007</v>
      </c>
      <c r="Q499" s="21">
        <f t="shared" si="73"/>
        <v>30441513.519954689</v>
      </c>
      <c r="R499" s="21">
        <f t="shared" si="74"/>
        <v>37844539.836939983</v>
      </c>
      <c r="S499" s="21">
        <f t="shared" si="75"/>
        <v>7403026.3169852942</v>
      </c>
      <c r="T499" s="14">
        <f>IFERROR(INDEX(Cost_Components!$R$2:$R$27,MATCH(E499,Cost_Components!$A$2:$A$27,0)),"")</f>
        <v>1</v>
      </c>
      <c r="U499" s="24">
        <f>IFERROR(INDEX(Cost_Components!$Q$2:$Q$27,MATCH(E499,Cost_Components!$A$2:$A$27,0)),"")</f>
        <v>2023</v>
      </c>
      <c r="V499" s="28">
        <f>1/(1+Calculation_Assumptions!$B$5)^(B499-Calculation_Assumptions!$B$2)</f>
        <v>0.91514165935315961</v>
      </c>
      <c r="W499" s="21">
        <f t="shared" si="76"/>
        <v>27858297.195872977</v>
      </c>
      <c r="X499" s="21">
        <f t="shared" si="77"/>
        <v>34633114.983834006</v>
      </c>
      <c r="Y499" s="21">
        <f t="shared" si="78"/>
        <v>6774817.7879610322</v>
      </c>
      <c r="Z499" s="15">
        <f>IFERROR(INDEX(Cost_Components!$T$2:$T$27,MATCH(E499,Cost_Components!$A$2:$A$27,0)),"")</f>
        <v>0.8</v>
      </c>
      <c r="AA499" s="24">
        <f>IFERROR(INDEX(Cost_Components!$U$2:$U$27,MATCH(E499,Cost_Components!$A$2:$A$27,0)),"")</f>
        <v>2025</v>
      </c>
      <c r="AB499" s="24">
        <f>IFERROR(INDEX(Cost_Components!$V$2:$V$27,MATCH(E499,Cost_Components!$A$2:$A$27,0)),"")</f>
        <v>2050</v>
      </c>
      <c r="AC499" s="24">
        <f>IFERROR(INDEX(Cost_Components!$M$2:$M$27,MATCH(E499,Cost_Components!$A$2:$A$27,0)),"")</f>
        <v>30</v>
      </c>
      <c r="AD499" s="24">
        <f>IFERROR(INDEX(Cost_Components!$N$2:$N$27,MATCH(E499,Cost_Components!$A$2:$A$27,0)),"")</f>
        <v>95</v>
      </c>
      <c r="AE499" s="14" t="str">
        <f>IFERROR(INDEX(Cost_Components!$O$2:$O$27,MATCH(E499,Cost_Components!$A$2:$A$27,0)),"")</f>
        <v>Both</v>
      </c>
      <c r="AF499" s="11">
        <v>342763.582239507</v>
      </c>
      <c r="AG499" s="11">
        <v>342760.182307904</v>
      </c>
      <c r="AH499" s="21">
        <f t="shared" si="79"/>
        <v>1</v>
      </c>
    </row>
    <row r="500" spans="1:34" hidden="1">
      <c r="A500" t="s">
        <v>217</v>
      </c>
      <c r="B500" s="18">
        <v>2029</v>
      </c>
      <c r="C500" t="s">
        <v>217</v>
      </c>
      <c r="D500" t="s">
        <v>173</v>
      </c>
      <c r="E500" s="20" t="s">
        <v>306</v>
      </c>
      <c r="F500" s="20" t="s">
        <v>307</v>
      </c>
      <c r="G500" s="20" t="s">
        <v>218</v>
      </c>
      <c r="H500" s="20" t="s">
        <v>192</v>
      </c>
      <c r="I500" s="20" t="s">
        <v>167</v>
      </c>
      <c r="J500" s="15">
        <f>IFERROR(INDEX(Cost_Components!$K$2:$K$27,MATCH(E500,Cost_Components!$A$2:$A$27,0)),"")</f>
        <v>0.52</v>
      </c>
      <c r="K500" s="15">
        <f t="shared" si="70"/>
        <v>0.40423076923076923</v>
      </c>
      <c r="L500" s="15">
        <f>IFERROR(INDEX(Cost_Components!$S$2:$S$27,MATCH(E500,Cost_Components!$A$2:$A$27,0)),"")</f>
        <v>0.31</v>
      </c>
      <c r="M500" s="26">
        <f>IFERROR(INDEX(Cost_Components!$L$2:$L$27,MATCH(E500,Cost_Components!$A$2:$A$27,0)),"")</f>
        <v>1</v>
      </c>
      <c r="N500" s="27">
        <f>IFERROR(INDEX(Cost_Components!$P$2:$P$27,MATCH(E500,Cost_Components!$A$2:$A$27,0)),"")</f>
        <v>550.94828900000005</v>
      </c>
      <c r="O500" s="21">
        <f t="shared" si="71"/>
        <v>182881.15216099456</v>
      </c>
      <c r="P500" s="21">
        <f t="shared" si="72"/>
        <v>182878.19808861148</v>
      </c>
      <c r="Q500" s="21">
        <f t="shared" si="73"/>
        <v>31234493.403020307</v>
      </c>
      <c r="R500" s="21">
        <f t="shared" si="74"/>
        <v>40729507.2403825</v>
      </c>
      <c r="S500" s="21">
        <f t="shared" si="75"/>
        <v>9495013.8373621926</v>
      </c>
      <c r="T500" s="14">
        <f>IFERROR(INDEX(Cost_Components!$R$2:$R$27,MATCH(E500,Cost_Components!$A$2:$A$27,0)),"")</f>
        <v>1</v>
      </c>
      <c r="U500" s="24">
        <f>IFERROR(INDEX(Cost_Components!$Q$2:$Q$27,MATCH(E500,Cost_Components!$A$2:$A$27,0)),"")</f>
        <v>2023</v>
      </c>
      <c r="V500" s="28">
        <f>1/(1+Calculation_Assumptions!$B$5)^(B500-Calculation_Assumptions!$B$2)</f>
        <v>0.888487047915689</v>
      </c>
      <c r="W500" s="21">
        <f t="shared" si="76"/>
        <v>27751442.836791575</v>
      </c>
      <c r="X500" s="21">
        <f t="shared" si="77"/>
        <v>36187639.651068129</v>
      </c>
      <c r="Y500" s="21">
        <f t="shared" si="78"/>
        <v>8436196.8142765518</v>
      </c>
      <c r="Z500" s="15">
        <f>IFERROR(INDEX(Cost_Components!$T$2:$T$27,MATCH(E500,Cost_Components!$A$2:$A$27,0)),"")</f>
        <v>0.8</v>
      </c>
      <c r="AA500" s="24">
        <f>IFERROR(INDEX(Cost_Components!$U$2:$U$27,MATCH(E500,Cost_Components!$A$2:$A$27,0)),"")</f>
        <v>2025</v>
      </c>
      <c r="AB500" s="24">
        <f>IFERROR(INDEX(Cost_Components!$V$2:$V$27,MATCH(E500,Cost_Components!$A$2:$A$27,0)),"")</f>
        <v>2050</v>
      </c>
      <c r="AC500" s="24">
        <f>IFERROR(INDEX(Cost_Components!$M$2:$M$27,MATCH(E500,Cost_Components!$A$2:$A$27,0)),"")</f>
        <v>30</v>
      </c>
      <c r="AD500" s="24">
        <f>IFERROR(INDEX(Cost_Components!$N$2:$N$27,MATCH(E500,Cost_Components!$A$2:$A$27,0)),"")</f>
        <v>95</v>
      </c>
      <c r="AE500" s="14" t="str">
        <f>IFERROR(INDEX(Cost_Components!$O$2:$O$27,MATCH(E500,Cost_Components!$A$2:$A$27,0)),"")</f>
        <v>Both</v>
      </c>
      <c r="AF500" s="11">
        <v>351694.52338652802</v>
      </c>
      <c r="AG500" s="11">
        <v>351688.84247809899</v>
      </c>
      <c r="AH500" s="21">
        <f t="shared" si="79"/>
        <v>1</v>
      </c>
    </row>
    <row r="501" spans="1:34" hidden="1">
      <c r="A501" t="s">
        <v>217</v>
      </c>
      <c r="B501" s="18">
        <v>2030</v>
      </c>
      <c r="C501" t="s">
        <v>217</v>
      </c>
      <c r="D501" t="s">
        <v>173</v>
      </c>
      <c r="E501" s="20" t="s">
        <v>306</v>
      </c>
      <c r="F501" s="20" t="s">
        <v>307</v>
      </c>
      <c r="G501" s="20" t="s">
        <v>218</v>
      </c>
      <c r="H501" s="20" t="s">
        <v>192</v>
      </c>
      <c r="I501" s="20" t="s">
        <v>167</v>
      </c>
      <c r="J501" s="15">
        <f>IFERROR(INDEX(Cost_Components!$K$2:$K$27,MATCH(E501,Cost_Components!$A$2:$A$27,0)),"")</f>
        <v>0.52</v>
      </c>
      <c r="K501" s="15">
        <f t="shared" si="70"/>
        <v>0.42307692307692307</v>
      </c>
      <c r="L501" s="15">
        <f>IFERROR(INDEX(Cost_Components!$S$2:$S$27,MATCH(E501,Cost_Components!$A$2:$A$27,0)),"")</f>
        <v>0.31</v>
      </c>
      <c r="M501" s="26">
        <f>IFERROR(INDEX(Cost_Components!$L$2:$L$27,MATCH(E501,Cost_Components!$A$2:$A$27,0)),"")</f>
        <v>1</v>
      </c>
      <c r="N501" s="27">
        <f>IFERROR(INDEX(Cost_Components!$P$2:$P$27,MATCH(E501,Cost_Components!$A$2:$A$27,0)),"")</f>
        <v>550.94828900000005</v>
      </c>
      <c r="O501" s="21">
        <f t="shared" si="71"/>
        <v>187471.79275158985</v>
      </c>
      <c r="P501" s="21">
        <f t="shared" si="72"/>
        <v>187467.35404983975</v>
      </c>
      <c r="Q501" s="21">
        <f t="shared" si="73"/>
        <v>32018293.566706099</v>
      </c>
      <c r="R501" s="21">
        <f t="shared" si="74"/>
        <v>43698457.614413895</v>
      </c>
      <c r="S501" s="21">
        <f t="shared" si="75"/>
        <v>11680164.047707796</v>
      </c>
      <c r="T501" s="14">
        <f>IFERROR(INDEX(Cost_Components!$R$2:$R$27,MATCH(E501,Cost_Components!$A$2:$A$27,0)),"")</f>
        <v>1</v>
      </c>
      <c r="U501" s="24">
        <f>IFERROR(INDEX(Cost_Components!$Q$2:$Q$27,MATCH(E501,Cost_Components!$A$2:$A$27,0)),"")</f>
        <v>2023</v>
      </c>
      <c r="V501" s="28">
        <f>1/(1+Calculation_Assumptions!$B$5)^(B501-Calculation_Assumptions!$B$2)</f>
        <v>0.86260878438416411</v>
      </c>
      <c r="W501" s="21">
        <f t="shared" si="76"/>
        <v>27619261.29163165</v>
      </c>
      <c r="X501" s="21">
        <f t="shared" si="77"/>
        <v>37694673.40223249</v>
      </c>
      <c r="Y501" s="21">
        <f t="shared" si="78"/>
        <v>10075412.11060084</v>
      </c>
      <c r="Z501" s="15">
        <f>IFERROR(INDEX(Cost_Components!$T$2:$T$27,MATCH(E501,Cost_Components!$A$2:$A$27,0)),"")</f>
        <v>0.8</v>
      </c>
      <c r="AA501" s="24">
        <f>IFERROR(INDEX(Cost_Components!$U$2:$U$27,MATCH(E501,Cost_Components!$A$2:$A$27,0)),"")</f>
        <v>2025</v>
      </c>
      <c r="AB501" s="24">
        <f>IFERROR(INDEX(Cost_Components!$V$2:$V$27,MATCH(E501,Cost_Components!$A$2:$A$27,0)),"")</f>
        <v>2050</v>
      </c>
      <c r="AC501" s="24">
        <f>IFERROR(INDEX(Cost_Components!$M$2:$M$27,MATCH(E501,Cost_Components!$A$2:$A$27,0)),"")</f>
        <v>30</v>
      </c>
      <c r="AD501" s="24">
        <f>IFERROR(INDEX(Cost_Components!$N$2:$N$27,MATCH(E501,Cost_Components!$A$2:$A$27,0)),"")</f>
        <v>95</v>
      </c>
      <c r="AE501" s="14" t="str">
        <f>IFERROR(INDEX(Cost_Components!$O$2:$O$27,MATCH(E501,Cost_Components!$A$2:$A$27,0)),"")</f>
        <v>Both</v>
      </c>
      <c r="AF501" s="11">
        <v>360522.67836844199</v>
      </c>
      <c r="AG501" s="11">
        <v>360514.14240353799</v>
      </c>
      <c r="AH501" s="21">
        <f t="shared" si="79"/>
        <v>1</v>
      </c>
    </row>
    <row r="502" spans="1:34" hidden="1">
      <c r="A502" t="s">
        <v>217</v>
      </c>
      <c r="B502" s="18">
        <v>2031</v>
      </c>
      <c r="C502" t="s">
        <v>217</v>
      </c>
      <c r="D502" t="s">
        <v>173</v>
      </c>
      <c r="E502" s="20" t="s">
        <v>306</v>
      </c>
      <c r="F502" s="20" t="s">
        <v>307</v>
      </c>
      <c r="G502" s="20" t="s">
        <v>218</v>
      </c>
      <c r="H502" s="20" t="s">
        <v>192</v>
      </c>
      <c r="I502" s="20" t="s">
        <v>167</v>
      </c>
      <c r="J502" s="15">
        <f>IFERROR(INDEX(Cost_Components!$K$2:$K$27,MATCH(E502,Cost_Components!$A$2:$A$27,0)),"")</f>
        <v>0.52</v>
      </c>
      <c r="K502" s="15">
        <f t="shared" si="70"/>
        <v>0.44192307692307692</v>
      </c>
      <c r="L502" s="15">
        <f>IFERROR(INDEX(Cost_Components!$S$2:$S$27,MATCH(E502,Cost_Components!$A$2:$A$27,0)),"")</f>
        <v>0.31</v>
      </c>
      <c r="M502" s="26">
        <f>IFERROR(INDEX(Cost_Components!$L$2:$L$27,MATCH(E502,Cost_Components!$A$2:$A$27,0)),"")</f>
        <v>1</v>
      </c>
      <c r="N502" s="27">
        <f>IFERROR(INDEX(Cost_Components!$P$2:$P$27,MATCH(E502,Cost_Components!$A$2:$A$27,0)),"")</f>
        <v>550.94828900000005</v>
      </c>
      <c r="O502" s="21">
        <f t="shared" si="71"/>
        <v>191995.45391354329</v>
      </c>
      <c r="P502" s="21">
        <f t="shared" si="72"/>
        <v>191989.2270985161</v>
      </c>
      <c r="Q502" s="21">
        <f t="shared" si="73"/>
        <v>32790602.214671567</v>
      </c>
      <c r="R502" s="21">
        <f t="shared" si="74"/>
        <v>46746431.648858599</v>
      </c>
      <c r="S502" s="21">
        <f t="shared" si="75"/>
        <v>13955829.434187032</v>
      </c>
      <c r="T502" s="14">
        <f>IFERROR(INDEX(Cost_Components!$R$2:$R$27,MATCH(E502,Cost_Components!$A$2:$A$27,0)),"")</f>
        <v>1</v>
      </c>
      <c r="U502" s="24">
        <f>IFERROR(INDEX(Cost_Components!$Q$2:$Q$27,MATCH(E502,Cost_Components!$A$2:$A$27,0)),"")</f>
        <v>2023</v>
      </c>
      <c r="V502" s="28">
        <f>1/(1+Calculation_Assumptions!$B$5)^(B502-Calculation_Assumptions!$B$2)</f>
        <v>0.83748425668365445</v>
      </c>
      <c r="W502" s="21">
        <f t="shared" si="76"/>
        <v>27461613.121963609</v>
      </c>
      <c r="X502" s="21">
        <f t="shared" si="77"/>
        <v>39149400.562057607</v>
      </c>
      <c r="Y502" s="21">
        <f t="shared" si="78"/>
        <v>11687787.440093992</v>
      </c>
      <c r="Z502" s="15">
        <f>IFERROR(INDEX(Cost_Components!$T$2:$T$27,MATCH(E502,Cost_Components!$A$2:$A$27,0)),"")</f>
        <v>0.8</v>
      </c>
      <c r="AA502" s="24">
        <f>IFERROR(INDEX(Cost_Components!$U$2:$U$27,MATCH(E502,Cost_Components!$A$2:$A$27,0)),"")</f>
        <v>2025</v>
      </c>
      <c r="AB502" s="24">
        <f>IFERROR(INDEX(Cost_Components!$V$2:$V$27,MATCH(E502,Cost_Components!$A$2:$A$27,0)),"")</f>
        <v>2050</v>
      </c>
      <c r="AC502" s="24">
        <f>IFERROR(INDEX(Cost_Components!$M$2:$M$27,MATCH(E502,Cost_Components!$A$2:$A$27,0)),"")</f>
        <v>30</v>
      </c>
      <c r="AD502" s="24">
        <f>IFERROR(INDEX(Cost_Components!$N$2:$N$27,MATCH(E502,Cost_Components!$A$2:$A$27,0)),"")</f>
        <v>95</v>
      </c>
      <c r="AE502" s="14" t="str">
        <f>IFERROR(INDEX(Cost_Components!$O$2:$O$27,MATCH(E502,Cost_Components!$A$2:$A$27,0)),"")</f>
        <v>Both</v>
      </c>
      <c r="AF502" s="11">
        <v>369222.02675681398</v>
      </c>
      <c r="AG502" s="11">
        <v>369210.05211253098</v>
      </c>
      <c r="AH502" s="21">
        <f t="shared" si="79"/>
        <v>1</v>
      </c>
    </row>
    <row r="503" spans="1:34" hidden="1">
      <c r="A503" t="s">
        <v>217</v>
      </c>
      <c r="B503" s="18">
        <v>2032</v>
      </c>
      <c r="C503" t="s">
        <v>217</v>
      </c>
      <c r="D503" t="s">
        <v>173</v>
      </c>
      <c r="E503" s="20" t="s">
        <v>306</v>
      </c>
      <c r="F503" s="20" t="s">
        <v>307</v>
      </c>
      <c r="G503" s="20" t="s">
        <v>218</v>
      </c>
      <c r="H503" s="20" t="s">
        <v>192</v>
      </c>
      <c r="I503" s="20" t="s">
        <v>167</v>
      </c>
      <c r="J503" s="15">
        <f>IFERROR(INDEX(Cost_Components!$K$2:$K$27,MATCH(E503,Cost_Components!$A$2:$A$27,0)),"")</f>
        <v>0.52</v>
      </c>
      <c r="K503" s="15">
        <f t="shared" si="70"/>
        <v>0.46076923076923082</v>
      </c>
      <c r="L503" s="15">
        <f>IFERROR(INDEX(Cost_Components!$S$2:$S$27,MATCH(E503,Cost_Components!$A$2:$A$27,0)),"")</f>
        <v>0.31</v>
      </c>
      <c r="M503" s="26">
        <f>IFERROR(INDEX(Cost_Components!$L$2:$L$27,MATCH(E503,Cost_Components!$A$2:$A$27,0)),"")</f>
        <v>1</v>
      </c>
      <c r="N503" s="27">
        <f>IFERROR(INDEX(Cost_Components!$P$2:$P$27,MATCH(E503,Cost_Components!$A$2:$A$27,0)),"")</f>
        <v>550.94828900000005</v>
      </c>
      <c r="O503" s="21">
        <f t="shared" si="71"/>
        <v>196411.74266657268</v>
      </c>
      <c r="P503" s="21">
        <f t="shared" si="72"/>
        <v>196403.41548787022</v>
      </c>
      <c r="Q503" s="21">
        <f t="shared" si="73"/>
        <v>33544518.972207446</v>
      </c>
      <c r="R503" s="21">
        <f t="shared" si="74"/>
        <v>49861088.787255585</v>
      </c>
      <c r="S503" s="21">
        <f t="shared" si="75"/>
        <v>16316569.81504814</v>
      </c>
      <c r="T503" s="14">
        <f>IFERROR(INDEX(Cost_Components!$R$2:$R$27,MATCH(E503,Cost_Components!$A$2:$A$27,0)),"")</f>
        <v>1</v>
      </c>
      <c r="U503" s="24">
        <f>IFERROR(INDEX(Cost_Components!$Q$2:$Q$27,MATCH(E503,Cost_Components!$A$2:$A$27,0)),"")</f>
        <v>2023</v>
      </c>
      <c r="V503" s="28">
        <f>1/(1+Calculation_Assumptions!$B$5)^(B503-Calculation_Assumptions!$B$2)</f>
        <v>0.81309151134335378</v>
      </c>
      <c r="W503" s="21">
        <f t="shared" si="76"/>
        <v>27274763.628397956</v>
      </c>
      <c r="X503" s="21">
        <f t="shared" si="77"/>
        <v>40541628.039254792</v>
      </c>
      <c r="Y503" s="21">
        <f t="shared" si="78"/>
        <v>13266864.410856837</v>
      </c>
      <c r="Z503" s="15">
        <f>IFERROR(INDEX(Cost_Components!$T$2:$T$27,MATCH(E503,Cost_Components!$A$2:$A$27,0)),"")</f>
        <v>0.8</v>
      </c>
      <c r="AA503" s="24">
        <f>IFERROR(INDEX(Cost_Components!$U$2:$U$27,MATCH(E503,Cost_Components!$A$2:$A$27,0)),"")</f>
        <v>2025</v>
      </c>
      <c r="AB503" s="24">
        <f>IFERROR(INDEX(Cost_Components!$V$2:$V$27,MATCH(E503,Cost_Components!$A$2:$A$27,0)),"")</f>
        <v>2050</v>
      </c>
      <c r="AC503" s="24">
        <f>IFERROR(INDEX(Cost_Components!$M$2:$M$27,MATCH(E503,Cost_Components!$A$2:$A$27,0)),"")</f>
        <v>30</v>
      </c>
      <c r="AD503" s="24">
        <f>IFERROR(INDEX(Cost_Components!$N$2:$N$27,MATCH(E503,Cost_Components!$A$2:$A$27,0)),"")</f>
        <v>95</v>
      </c>
      <c r="AE503" s="14" t="str">
        <f>IFERROR(INDEX(Cost_Components!$O$2:$O$27,MATCH(E503,Cost_Components!$A$2:$A$27,0)),"")</f>
        <v>Both</v>
      </c>
      <c r="AF503" s="11">
        <v>377714.889743409</v>
      </c>
      <c r="AG503" s="11">
        <v>377698.87593821198</v>
      </c>
      <c r="AH503" s="21">
        <f t="shared" si="79"/>
        <v>1</v>
      </c>
    </row>
    <row r="504" spans="1:34" hidden="1">
      <c r="A504" t="s">
        <v>217</v>
      </c>
      <c r="B504" s="18">
        <v>2033</v>
      </c>
      <c r="C504" t="s">
        <v>217</v>
      </c>
      <c r="D504" t="s">
        <v>173</v>
      </c>
      <c r="E504" s="20" t="s">
        <v>306</v>
      </c>
      <c r="F504" s="20" t="s">
        <v>307</v>
      </c>
      <c r="G504" s="20" t="s">
        <v>218</v>
      </c>
      <c r="H504" s="20" t="s">
        <v>192</v>
      </c>
      <c r="I504" s="20" t="s">
        <v>167</v>
      </c>
      <c r="J504" s="15">
        <f>IFERROR(INDEX(Cost_Components!$K$2:$K$27,MATCH(E504,Cost_Components!$A$2:$A$27,0)),"")</f>
        <v>0.52</v>
      </c>
      <c r="K504" s="15">
        <f t="shared" si="70"/>
        <v>0.47961538461538467</v>
      </c>
      <c r="L504" s="15">
        <f>IFERROR(INDEX(Cost_Components!$S$2:$S$27,MATCH(E504,Cost_Components!$A$2:$A$27,0)),"")</f>
        <v>0.31</v>
      </c>
      <c r="M504" s="26">
        <f>IFERROR(INDEX(Cost_Components!$L$2:$L$27,MATCH(E504,Cost_Components!$A$2:$A$27,0)),"")</f>
        <v>1</v>
      </c>
      <c r="N504" s="27">
        <f>IFERROR(INDEX(Cost_Components!$P$2:$P$27,MATCH(E504,Cost_Components!$A$2:$A$27,0)),"")</f>
        <v>550.94828900000005</v>
      </c>
      <c r="O504" s="21">
        <f t="shared" si="71"/>
        <v>200736.20524903815</v>
      </c>
      <c r="P504" s="21">
        <f t="shared" si="72"/>
        <v>200725.4576128225</v>
      </c>
      <c r="Q504" s="21">
        <f t="shared" si="73"/>
        <v>34282697.703463241</v>
      </c>
      <c r="R504" s="21">
        <f t="shared" si="74"/>
        <v>53043192.392854258</v>
      </c>
      <c r="S504" s="21">
        <f t="shared" si="75"/>
        <v>18760494.689391017</v>
      </c>
      <c r="T504" s="14">
        <f>IFERROR(INDEX(Cost_Components!$R$2:$R$27,MATCH(E504,Cost_Components!$A$2:$A$27,0)),"")</f>
        <v>1</v>
      </c>
      <c r="U504" s="24">
        <f>IFERROR(INDEX(Cost_Components!$Q$2:$Q$27,MATCH(E504,Cost_Components!$A$2:$A$27,0)),"")</f>
        <v>2023</v>
      </c>
      <c r="V504" s="28">
        <f>1/(1+Calculation_Assumptions!$B$5)^(B504-Calculation_Assumptions!$B$2)</f>
        <v>0.78940923431393573</v>
      </c>
      <c r="W504" s="21">
        <f t="shared" si="76"/>
        <v>27063078.14430704</v>
      </c>
      <c r="X504" s="21">
        <f t="shared" si="77"/>
        <v>41872785.892409861</v>
      </c>
      <c r="Y504" s="21">
        <f t="shared" si="78"/>
        <v>14809707.74810282</v>
      </c>
      <c r="Z504" s="15">
        <f>IFERROR(INDEX(Cost_Components!$T$2:$T$27,MATCH(E504,Cost_Components!$A$2:$A$27,0)),"")</f>
        <v>0.8</v>
      </c>
      <c r="AA504" s="24">
        <f>IFERROR(INDEX(Cost_Components!$U$2:$U$27,MATCH(E504,Cost_Components!$A$2:$A$27,0)),"")</f>
        <v>2025</v>
      </c>
      <c r="AB504" s="24">
        <f>IFERROR(INDEX(Cost_Components!$V$2:$V$27,MATCH(E504,Cost_Components!$A$2:$A$27,0)),"")</f>
        <v>2050</v>
      </c>
      <c r="AC504" s="24">
        <f>IFERROR(INDEX(Cost_Components!$M$2:$M$27,MATCH(E504,Cost_Components!$A$2:$A$27,0)),"")</f>
        <v>30</v>
      </c>
      <c r="AD504" s="24">
        <f>IFERROR(INDEX(Cost_Components!$N$2:$N$27,MATCH(E504,Cost_Components!$A$2:$A$27,0)),"")</f>
        <v>95</v>
      </c>
      <c r="AE504" s="14" t="str">
        <f>IFERROR(INDEX(Cost_Components!$O$2:$O$27,MATCH(E504,Cost_Components!$A$2:$A$27,0)),"")</f>
        <v>Both</v>
      </c>
      <c r="AF504" s="11">
        <v>386031.16394045798</v>
      </c>
      <c r="AG504" s="11">
        <v>386010.49540927401</v>
      </c>
      <c r="AH504" s="21">
        <f t="shared" si="79"/>
        <v>1</v>
      </c>
    </row>
    <row r="505" spans="1:34" hidden="1">
      <c r="A505" t="s">
        <v>217</v>
      </c>
      <c r="B505" s="18">
        <v>2034</v>
      </c>
      <c r="C505" t="s">
        <v>217</v>
      </c>
      <c r="D505" t="s">
        <v>173</v>
      </c>
      <c r="E505" s="20" t="s">
        <v>306</v>
      </c>
      <c r="F505" s="20" t="s">
        <v>307</v>
      </c>
      <c r="G505" s="20" t="s">
        <v>218</v>
      </c>
      <c r="H505" s="20" t="s">
        <v>192</v>
      </c>
      <c r="I505" s="20" t="s">
        <v>167</v>
      </c>
      <c r="J505" s="15">
        <f>IFERROR(INDEX(Cost_Components!$K$2:$K$27,MATCH(E505,Cost_Components!$A$2:$A$27,0)),"")</f>
        <v>0.52</v>
      </c>
      <c r="K505" s="15">
        <f t="shared" si="70"/>
        <v>0.49846153846153851</v>
      </c>
      <c r="L505" s="15">
        <f>IFERROR(INDEX(Cost_Components!$S$2:$S$27,MATCH(E505,Cost_Components!$A$2:$A$27,0)),"")</f>
        <v>0.31</v>
      </c>
      <c r="M505" s="26">
        <f>IFERROR(INDEX(Cost_Components!$L$2:$L$27,MATCH(E505,Cost_Components!$A$2:$A$27,0)),"")</f>
        <v>1</v>
      </c>
      <c r="N505" s="27">
        <f>IFERROR(INDEX(Cost_Components!$P$2:$P$27,MATCH(E505,Cost_Components!$A$2:$A$27,0)),"")</f>
        <v>550.94828900000005</v>
      </c>
      <c r="O505" s="21">
        <f t="shared" si="71"/>
        <v>204984.79028357565</v>
      </c>
      <c r="P505" s="21">
        <f t="shared" si="72"/>
        <v>204971.3066929637</v>
      </c>
      <c r="Q505" s="21">
        <f t="shared" si="73"/>
        <v>35007863.122140609</v>
      </c>
      <c r="R505" s="21">
        <f t="shared" si="74"/>
        <v>56294262.01660645</v>
      </c>
      <c r="S505" s="21">
        <f t="shared" si="75"/>
        <v>21286398.894465841</v>
      </c>
      <c r="T505" s="14">
        <f>IFERROR(INDEX(Cost_Components!$R$2:$R$27,MATCH(E505,Cost_Components!$A$2:$A$27,0)),"")</f>
        <v>1</v>
      </c>
      <c r="U505" s="24">
        <f>IFERROR(INDEX(Cost_Components!$Q$2:$Q$27,MATCH(E505,Cost_Components!$A$2:$A$27,0)),"")</f>
        <v>2023</v>
      </c>
      <c r="V505" s="28">
        <f>1/(1+Calculation_Assumptions!$B$5)^(B505-Calculation_Assumptions!$B$2)</f>
        <v>0.76641673234362695</v>
      </c>
      <c r="W505" s="21">
        <f t="shared" si="76"/>
        <v>26830612.060403969</v>
      </c>
      <c r="X505" s="21">
        <f t="shared" si="77"/>
        <v>43144864.344463468</v>
      </c>
      <c r="Y505" s="21">
        <f t="shared" si="78"/>
        <v>16314252.284059504</v>
      </c>
      <c r="Z505" s="15">
        <f>IFERROR(INDEX(Cost_Components!$T$2:$T$27,MATCH(E505,Cost_Components!$A$2:$A$27,0)),"")</f>
        <v>0.8</v>
      </c>
      <c r="AA505" s="24">
        <f>IFERROR(INDEX(Cost_Components!$U$2:$U$27,MATCH(E505,Cost_Components!$A$2:$A$27,0)),"")</f>
        <v>2025</v>
      </c>
      <c r="AB505" s="24">
        <f>IFERROR(INDEX(Cost_Components!$V$2:$V$27,MATCH(E505,Cost_Components!$A$2:$A$27,0)),"")</f>
        <v>2050</v>
      </c>
      <c r="AC505" s="24">
        <f>IFERROR(INDEX(Cost_Components!$M$2:$M$27,MATCH(E505,Cost_Components!$A$2:$A$27,0)),"")</f>
        <v>30</v>
      </c>
      <c r="AD505" s="24">
        <f>IFERROR(INDEX(Cost_Components!$N$2:$N$27,MATCH(E505,Cost_Components!$A$2:$A$27,0)),"")</f>
        <v>95</v>
      </c>
      <c r="AE505" s="14" t="str">
        <f>IFERROR(INDEX(Cost_Components!$O$2:$O$27,MATCH(E505,Cost_Components!$A$2:$A$27,0)),"")</f>
        <v>Both</v>
      </c>
      <c r="AF505" s="11">
        <v>394201.51977610699</v>
      </c>
      <c r="AG505" s="11">
        <v>394175.58979416097</v>
      </c>
      <c r="AH505" s="21">
        <f t="shared" si="79"/>
        <v>1</v>
      </c>
    </row>
    <row r="506" spans="1:34" hidden="1">
      <c r="A506" t="s">
        <v>217</v>
      </c>
      <c r="B506" s="18">
        <v>2035</v>
      </c>
      <c r="C506" t="s">
        <v>217</v>
      </c>
      <c r="D506" t="s">
        <v>173</v>
      </c>
      <c r="E506" s="20" t="s">
        <v>306</v>
      </c>
      <c r="F506" s="20" t="s">
        <v>307</v>
      </c>
      <c r="G506" s="20" t="s">
        <v>218</v>
      </c>
      <c r="H506" s="20" t="s">
        <v>192</v>
      </c>
      <c r="I506" s="20" t="s">
        <v>167</v>
      </c>
      <c r="J506" s="15">
        <f>IFERROR(INDEX(Cost_Components!$K$2:$K$27,MATCH(E506,Cost_Components!$A$2:$A$27,0)),"")</f>
        <v>0.52</v>
      </c>
      <c r="K506" s="15">
        <f t="shared" si="70"/>
        <v>0.51730769230769236</v>
      </c>
      <c r="L506" s="15">
        <f>IFERROR(INDEX(Cost_Components!$S$2:$S$27,MATCH(E506,Cost_Components!$A$2:$A$27,0)),"")</f>
        <v>0.31</v>
      </c>
      <c r="M506" s="26">
        <f>IFERROR(INDEX(Cost_Components!$L$2:$L$27,MATCH(E506,Cost_Components!$A$2:$A$27,0)),"")</f>
        <v>1</v>
      </c>
      <c r="N506" s="27">
        <f>IFERROR(INDEX(Cost_Components!$P$2:$P$27,MATCH(E506,Cost_Components!$A$2:$A$27,0)),"")</f>
        <v>550.94828900000005</v>
      </c>
      <c r="O506" s="21">
        <f t="shared" si="71"/>
        <v>209124.34009948102</v>
      </c>
      <c r="P506" s="21">
        <f t="shared" si="72"/>
        <v>209107.80753577521</v>
      </c>
      <c r="Q506" s="21">
        <f t="shared" si="73"/>
        <v>35714352.521296762</v>
      </c>
      <c r="R506" s="21">
        <f t="shared" si="74"/>
        <v>59602483.829751916</v>
      </c>
      <c r="S506" s="21">
        <f t="shared" si="75"/>
        <v>23888131.308455154</v>
      </c>
      <c r="T506" s="14">
        <f>IFERROR(INDEX(Cost_Components!$R$2:$R$27,MATCH(E506,Cost_Components!$A$2:$A$27,0)),"")</f>
        <v>1</v>
      </c>
      <c r="U506" s="24">
        <f>IFERROR(INDEX(Cost_Components!$Q$2:$Q$27,MATCH(E506,Cost_Components!$A$2:$A$27,0)),"")</f>
        <v>2023</v>
      </c>
      <c r="V506" s="28">
        <f>1/(1+Calculation_Assumptions!$B$5)^(B506-Calculation_Assumptions!$B$2)</f>
        <v>0.74409391489672516</v>
      </c>
      <c r="W506" s="21">
        <f t="shared" si="76"/>
        <v>26574832.385573436</v>
      </c>
      <c r="X506" s="21">
        <f t="shared" si="77"/>
        <v>44349845.530448861</v>
      </c>
      <c r="Y506" s="21">
        <f t="shared" si="78"/>
        <v>17775013.144875426</v>
      </c>
      <c r="Z506" s="15">
        <f>IFERROR(INDEX(Cost_Components!$T$2:$T$27,MATCH(E506,Cost_Components!$A$2:$A$27,0)),"")</f>
        <v>0.8</v>
      </c>
      <c r="AA506" s="24">
        <f>IFERROR(INDEX(Cost_Components!$U$2:$U$27,MATCH(E506,Cost_Components!$A$2:$A$27,0)),"")</f>
        <v>2025</v>
      </c>
      <c r="AB506" s="24">
        <f>IFERROR(INDEX(Cost_Components!$V$2:$V$27,MATCH(E506,Cost_Components!$A$2:$A$27,0)),"")</f>
        <v>2050</v>
      </c>
      <c r="AC506" s="24">
        <f>IFERROR(INDEX(Cost_Components!$M$2:$M$27,MATCH(E506,Cost_Components!$A$2:$A$27,0)),"")</f>
        <v>30</v>
      </c>
      <c r="AD506" s="24">
        <f>IFERROR(INDEX(Cost_Components!$N$2:$N$27,MATCH(E506,Cost_Components!$A$2:$A$27,0)),"")</f>
        <v>95</v>
      </c>
      <c r="AE506" s="14" t="str">
        <f>IFERROR(INDEX(Cost_Components!$O$2:$O$27,MATCH(E506,Cost_Components!$A$2:$A$27,0)),"")</f>
        <v>Both</v>
      </c>
      <c r="AF506" s="11">
        <v>402162.19249900198</v>
      </c>
      <c r="AG506" s="11">
        <v>402130.39910725999</v>
      </c>
      <c r="AH506" s="21">
        <f t="shared" si="79"/>
        <v>1</v>
      </c>
    </row>
    <row r="507" spans="1:34" hidden="1">
      <c r="A507" t="s">
        <v>217</v>
      </c>
      <c r="B507" s="18">
        <v>2036</v>
      </c>
      <c r="C507" t="s">
        <v>217</v>
      </c>
      <c r="D507" t="s">
        <v>173</v>
      </c>
      <c r="E507" s="20" t="s">
        <v>306</v>
      </c>
      <c r="F507" s="20" t="s">
        <v>307</v>
      </c>
      <c r="G507" s="20" t="s">
        <v>218</v>
      </c>
      <c r="H507" s="20" t="s">
        <v>192</v>
      </c>
      <c r="I507" s="20" t="s">
        <v>167</v>
      </c>
      <c r="J507" s="15">
        <f>IFERROR(INDEX(Cost_Components!$K$2:$K$27,MATCH(E507,Cost_Components!$A$2:$A$27,0)),"")</f>
        <v>0.52</v>
      </c>
      <c r="K507" s="15">
        <f t="shared" si="70"/>
        <v>0.5361538461538462</v>
      </c>
      <c r="L507" s="15">
        <f>IFERROR(INDEX(Cost_Components!$S$2:$S$27,MATCH(E507,Cost_Components!$A$2:$A$27,0)),"")</f>
        <v>0.31</v>
      </c>
      <c r="M507" s="26">
        <f>IFERROR(INDEX(Cost_Components!$L$2:$L$27,MATCH(E507,Cost_Components!$A$2:$A$27,0)),"")</f>
        <v>1</v>
      </c>
      <c r="N507" s="27">
        <f>IFERROR(INDEX(Cost_Components!$P$2:$P$27,MATCH(E507,Cost_Components!$A$2:$A$27,0)),"")</f>
        <v>550.94828900000005</v>
      </c>
      <c r="O507" s="21">
        <f t="shared" si="71"/>
        <v>213131.21091724746</v>
      </c>
      <c r="P507" s="21">
        <f t="shared" si="72"/>
        <v>213111.32567345141</v>
      </c>
      <c r="Q507" s="21">
        <f t="shared" si="73"/>
        <v>36398129.276356049</v>
      </c>
      <c r="R507" s="21">
        <f t="shared" si="74"/>
        <v>62957477.202451438</v>
      </c>
      <c r="S507" s="21">
        <f t="shared" si="75"/>
        <v>26559347.926095389</v>
      </c>
      <c r="T507" s="14">
        <f>IFERROR(INDEX(Cost_Components!$R$2:$R$27,MATCH(E507,Cost_Components!$A$2:$A$27,0)),"")</f>
        <v>1</v>
      </c>
      <c r="U507" s="24">
        <f>IFERROR(INDEX(Cost_Components!$Q$2:$Q$27,MATCH(E507,Cost_Components!$A$2:$A$27,0)),"")</f>
        <v>2023</v>
      </c>
      <c r="V507" s="28">
        <f>1/(1+Calculation_Assumptions!$B$5)^(B507-Calculation_Assumptions!$B$2)</f>
        <v>0.72242127659876232</v>
      </c>
      <c r="W507" s="21">
        <f t="shared" si="76"/>
        <v>26294783.017631922</v>
      </c>
      <c r="X507" s="21">
        <f t="shared" si="77"/>
        <v>45481821.052032441</v>
      </c>
      <c r="Y507" s="21">
        <f t="shared" si="78"/>
        <v>19187038.034400523</v>
      </c>
      <c r="Z507" s="15">
        <f>IFERROR(INDEX(Cost_Components!$T$2:$T$27,MATCH(E507,Cost_Components!$A$2:$A$27,0)),"")</f>
        <v>0.8</v>
      </c>
      <c r="AA507" s="24">
        <f>IFERROR(INDEX(Cost_Components!$U$2:$U$27,MATCH(E507,Cost_Components!$A$2:$A$27,0)),"")</f>
        <v>2025</v>
      </c>
      <c r="AB507" s="24">
        <f>IFERROR(INDEX(Cost_Components!$V$2:$V$27,MATCH(E507,Cost_Components!$A$2:$A$27,0)),"")</f>
        <v>2050</v>
      </c>
      <c r="AC507" s="24">
        <f>IFERROR(INDEX(Cost_Components!$M$2:$M$27,MATCH(E507,Cost_Components!$A$2:$A$27,0)),"")</f>
        <v>30</v>
      </c>
      <c r="AD507" s="24">
        <f>IFERROR(INDEX(Cost_Components!$N$2:$N$27,MATCH(E507,Cost_Components!$A$2:$A$27,0)),"")</f>
        <v>95</v>
      </c>
      <c r="AE507" s="14" t="str">
        <f>IFERROR(INDEX(Cost_Components!$O$2:$O$27,MATCH(E507,Cost_Components!$A$2:$A$27,0)),"")</f>
        <v>Both</v>
      </c>
      <c r="AF507" s="11">
        <v>409867.71330239897</v>
      </c>
      <c r="AG507" s="11">
        <v>409829.47244894499</v>
      </c>
      <c r="AH507" s="21">
        <f t="shared" si="79"/>
        <v>1</v>
      </c>
    </row>
    <row r="508" spans="1:34" hidden="1">
      <c r="A508" t="s">
        <v>217</v>
      </c>
      <c r="B508" s="18">
        <v>2037</v>
      </c>
      <c r="C508" t="s">
        <v>217</v>
      </c>
      <c r="D508" t="s">
        <v>173</v>
      </c>
      <c r="E508" s="20" t="s">
        <v>306</v>
      </c>
      <c r="F508" s="20" t="s">
        <v>307</v>
      </c>
      <c r="G508" s="20" t="s">
        <v>218</v>
      </c>
      <c r="H508" s="20" t="s">
        <v>192</v>
      </c>
      <c r="I508" s="20" t="s">
        <v>167</v>
      </c>
      <c r="J508" s="15">
        <f>IFERROR(INDEX(Cost_Components!$K$2:$K$27,MATCH(E508,Cost_Components!$A$2:$A$27,0)),"")</f>
        <v>0.52</v>
      </c>
      <c r="K508" s="15">
        <f t="shared" si="70"/>
        <v>0.55500000000000005</v>
      </c>
      <c r="L508" s="15">
        <f>IFERROR(INDEX(Cost_Components!$S$2:$S$27,MATCH(E508,Cost_Components!$A$2:$A$27,0)),"")</f>
        <v>0.31</v>
      </c>
      <c r="M508" s="26">
        <f>IFERROR(INDEX(Cost_Components!$L$2:$L$27,MATCH(E508,Cost_Components!$A$2:$A$27,0)),"")</f>
        <v>1</v>
      </c>
      <c r="N508" s="27">
        <f>IFERROR(INDEX(Cost_Components!$P$2:$P$27,MATCH(E508,Cost_Components!$A$2:$A$27,0)),"")</f>
        <v>550.94828900000005</v>
      </c>
      <c r="O508" s="21">
        <f t="shared" si="71"/>
        <v>217009.49026218645</v>
      </c>
      <c r="P508" s="21">
        <f t="shared" si="72"/>
        <v>216985.96034478222</v>
      </c>
      <c r="Q508" s="21">
        <f t="shared" si="73"/>
        <v>37059893.512583688</v>
      </c>
      <c r="R508" s="21">
        <f t="shared" si="74"/>
        <v>66356359.082976155</v>
      </c>
      <c r="S508" s="21">
        <f t="shared" si="75"/>
        <v>29296465.570392467</v>
      </c>
      <c r="T508" s="14">
        <f>IFERROR(INDEX(Cost_Components!$R$2:$R$27,MATCH(E508,Cost_Components!$A$2:$A$27,0)),"")</f>
        <v>1</v>
      </c>
      <c r="U508" s="24">
        <f>IFERROR(INDEX(Cost_Components!$Q$2:$Q$27,MATCH(E508,Cost_Components!$A$2:$A$27,0)),"")</f>
        <v>2023</v>
      </c>
      <c r="V508" s="28">
        <f>1/(1+Calculation_Assumptions!$B$5)^(B508-Calculation_Assumptions!$B$2)</f>
        <v>0.70137988019297326</v>
      </c>
      <c r="W508" s="21">
        <f t="shared" si="76"/>
        <v>25993063.671820294</v>
      </c>
      <c r="X508" s="21">
        <f t="shared" si="77"/>
        <v>46541015.183659725</v>
      </c>
      <c r="Y508" s="21">
        <f t="shared" si="78"/>
        <v>20547951.511839435</v>
      </c>
      <c r="Z508" s="15">
        <f>IFERROR(INDEX(Cost_Components!$T$2:$T$27,MATCH(E508,Cost_Components!$A$2:$A$27,0)),"")</f>
        <v>0.8</v>
      </c>
      <c r="AA508" s="24">
        <f>IFERROR(INDEX(Cost_Components!$U$2:$U$27,MATCH(E508,Cost_Components!$A$2:$A$27,0)),"")</f>
        <v>2025</v>
      </c>
      <c r="AB508" s="24">
        <f>IFERROR(INDEX(Cost_Components!$V$2:$V$27,MATCH(E508,Cost_Components!$A$2:$A$27,0)),"")</f>
        <v>2050</v>
      </c>
      <c r="AC508" s="24">
        <f>IFERROR(INDEX(Cost_Components!$M$2:$M$27,MATCH(E508,Cost_Components!$A$2:$A$27,0)),"")</f>
        <v>30</v>
      </c>
      <c r="AD508" s="24">
        <f>IFERROR(INDEX(Cost_Components!$N$2:$N$27,MATCH(E508,Cost_Components!$A$2:$A$27,0)),"")</f>
        <v>95</v>
      </c>
      <c r="AE508" s="14" t="str">
        <f>IFERROR(INDEX(Cost_Components!$O$2:$O$27,MATCH(E508,Cost_Components!$A$2:$A$27,0)),"")</f>
        <v>Both</v>
      </c>
      <c r="AF508" s="11">
        <v>417325.94281189702</v>
      </c>
      <c r="AG508" s="11">
        <v>417280.69297073502</v>
      </c>
      <c r="AH508" s="21">
        <f t="shared" si="79"/>
        <v>1</v>
      </c>
    </row>
    <row r="509" spans="1:34" hidden="1">
      <c r="A509" t="s">
        <v>217</v>
      </c>
      <c r="B509" s="18">
        <v>2038</v>
      </c>
      <c r="C509" t="s">
        <v>217</v>
      </c>
      <c r="D509" t="s">
        <v>173</v>
      </c>
      <c r="E509" s="20" t="s">
        <v>306</v>
      </c>
      <c r="F509" s="20" t="s">
        <v>307</v>
      </c>
      <c r="G509" s="20" t="s">
        <v>218</v>
      </c>
      <c r="H509" s="20" t="s">
        <v>192</v>
      </c>
      <c r="I509" s="20" t="s">
        <v>167</v>
      </c>
      <c r="J509" s="15">
        <f>IFERROR(INDEX(Cost_Components!$K$2:$K$27,MATCH(E509,Cost_Components!$A$2:$A$27,0)),"")</f>
        <v>0.52</v>
      </c>
      <c r="K509" s="15">
        <f t="shared" si="70"/>
        <v>0.57384615384615389</v>
      </c>
      <c r="L509" s="15">
        <f>IFERROR(INDEX(Cost_Components!$S$2:$S$27,MATCH(E509,Cost_Components!$A$2:$A$27,0)),"")</f>
        <v>0.31</v>
      </c>
      <c r="M509" s="26">
        <f>IFERROR(INDEX(Cost_Components!$L$2:$L$27,MATCH(E509,Cost_Components!$A$2:$A$27,0)),"")</f>
        <v>1</v>
      </c>
      <c r="N509" s="27">
        <f>IFERROR(INDEX(Cost_Components!$P$2:$P$27,MATCH(E509,Cost_Components!$A$2:$A$27,0)),"")</f>
        <v>550.94828900000005</v>
      </c>
      <c r="O509" s="21">
        <f t="shared" si="71"/>
        <v>220764.17033218447</v>
      </c>
      <c r="P509" s="21">
        <f t="shared" si="72"/>
        <v>220736.71613075474</v>
      </c>
      <c r="Q509" s="21">
        <f t="shared" si="73"/>
        <v>37700499.982232586</v>
      </c>
      <c r="R509" s="21">
        <f t="shared" si="74"/>
        <v>69796702.207767785</v>
      </c>
      <c r="S509" s="21">
        <f t="shared" si="75"/>
        <v>32096202.225535199</v>
      </c>
      <c r="T509" s="14">
        <f>IFERROR(INDEX(Cost_Components!$R$2:$R$27,MATCH(E509,Cost_Components!$A$2:$A$27,0)),"")</f>
        <v>1</v>
      </c>
      <c r="U509" s="24">
        <f>IFERROR(INDEX(Cost_Components!$Q$2:$Q$27,MATCH(E509,Cost_Components!$A$2:$A$27,0)),"")</f>
        <v>2023</v>
      </c>
      <c r="V509" s="28">
        <f>1/(1+Calculation_Assumptions!$B$5)^(B509-Calculation_Assumptions!$B$2)</f>
        <v>0.68095133999317792</v>
      </c>
      <c r="W509" s="21">
        <f t="shared" si="76"/>
        <v>25672205.981314059</v>
      </c>
      <c r="X509" s="21">
        <f t="shared" si="77"/>
        <v>47528157.895484276</v>
      </c>
      <c r="Y509" s="21">
        <f t="shared" si="78"/>
        <v>21855951.914170213</v>
      </c>
      <c r="Z509" s="15">
        <f>IFERROR(INDEX(Cost_Components!$T$2:$T$27,MATCH(E509,Cost_Components!$A$2:$A$27,0)),"")</f>
        <v>0.8</v>
      </c>
      <c r="AA509" s="24">
        <f>IFERROR(INDEX(Cost_Components!$U$2:$U$27,MATCH(E509,Cost_Components!$A$2:$A$27,0)),"")</f>
        <v>2025</v>
      </c>
      <c r="AB509" s="24">
        <f>IFERROR(INDEX(Cost_Components!$V$2:$V$27,MATCH(E509,Cost_Components!$A$2:$A$27,0)),"")</f>
        <v>2050</v>
      </c>
      <c r="AC509" s="24">
        <f>IFERROR(INDEX(Cost_Components!$M$2:$M$27,MATCH(E509,Cost_Components!$A$2:$A$27,0)),"")</f>
        <v>30</v>
      </c>
      <c r="AD509" s="24">
        <f>IFERROR(INDEX(Cost_Components!$N$2:$N$27,MATCH(E509,Cost_Components!$A$2:$A$27,0)),"")</f>
        <v>95</v>
      </c>
      <c r="AE509" s="14" t="str">
        <f>IFERROR(INDEX(Cost_Components!$O$2:$O$27,MATCH(E509,Cost_Components!$A$2:$A$27,0)),"")</f>
        <v>Both</v>
      </c>
      <c r="AF509" s="11">
        <v>424546.48140804702</v>
      </c>
      <c r="AG509" s="11">
        <v>424493.684866836</v>
      </c>
      <c r="AH509" s="21">
        <f t="shared" si="79"/>
        <v>1</v>
      </c>
    </row>
    <row r="510" spans="1:34" hidden="1">
      <c r="A510" t="s">
        <v>217</v>
      </c>
      <c r="B510" s="18">
        <v>2039</v>
      </c>
      <c r="C510" t="s">
        <v>217</v>
      </c>
      <c r="D510" t="s">
        <v>173</v>
      </c>
      <c r="E510" s="20" t="s">
        <v>306</v>
      </c>
      <c r="F510" s="20" t="s">
        <v>307</v>
      </c>
      <c r="G510" s="20" t="s">
        <v>218</v>
      </c>
      <c r="H510" s="20" t="s">
        <v>192</v>
      </c>
      <c r="I510" s="20" t="s">
        <v>167</v>
      </c>
      <c r="J510" s="15">
        <f>IFERROR(INDEX(Cost_Components!$K$2:$K$27,MATCH(E510,Cost_Components!$A$2:$A$27,0)),"")</f>
        <v>0.52</v>
      </c>
      <c r="K510" s="15">
        <f t="shared" si="70"/>
        <v>0.59269230769230763</v>
      </c>
      <c r="L510" s="15">
        <f>IFERROR(INDEX(Cost_Components!$S$2:$S$27,MATCH(E510,Cost_Components!$A$2:$A$27,0)),"")</f>
        <v>0.31</v>
      </c>
      <c r="M510" s="26">
        <f>IFERROR(INDEX(Cost_Components!$L$2:$L$27,MATCH(E510,Cost_Components!$A$2:$A$27,0)),"")</f>
        <v>1</v>
      </c>
      <c r="N510" s="27">
        <f>IFERROR(INDEX(Cost_Components!$P$2:$P$27,MATCH(E510,Cost_Components!$A$2:$A$27,0)),"")</f>
        <v>550.94828900000005</v>
      </c>
      <c r="O510" s="21">
        <f t="shared" si="71"/>
        <v>224429.61997398594</v>
      </c>
      <c r="P510" s="21">
        <f t="shared" si="72"/>
        <v>224397.96716067434</v>
      </c>
      <c r="Q510" s="21">
        <f t="shared" si="73"/>
        <v>38325819.579298034</v>
      </c>
      <c r="R510" s="21">
        <f t="shared" si="74"/>
        <v>73285879.387896448</v>
      </c>
      <c r="S510" s="21">
        <f t="shared" si="75"/>
        <v>34960059.808598414</v>
      </c>
      <c r="T510" s="14">
        <f>IFERROR(INDEX(Cost_Components!$R$2:$R$27,MATCH(E510,Cost_Components!$A$2:$A$27,0)),"")</f>
        <v>1</v>
      </c>
      <c r="U510" s="24">
        <f>IFERROR(INDEX(Cost_Components!$Q$2:$Q$27,MATCH(E510,Cost_Components!$A$2:$A$27,0)),"")</f>
        <v>2023</v>
      </c>
      <c r="V510" s="28">
        <f>1/(1+Calculation_Assumptions!$B$5)^(B510-Calculation_Assumptions!$B$2)</f>
        <v>0.66111780581861923</v>
      </c>
      <c r="W510" s="21">
        <f t="shared" si="76"/>
        <v>25337881.746465791</v>
      </c>
      <c r="X510" s="21">
        <f t="shared" si="77"/>
        <v>48450599.778414071</v>
      </c>
      <c r="Y510" s="21">
        <f t="shared" si="78"/>
        <v>23112718.03194828</v>
      </c>
      <c r="Z510" s="15">
        <f>IFERROR(INDEX(Cost_Components!$T$2:$T$27,MATCH(E510,Cost_Components!$A$2:$A$27,0)),"")</f>
        <v>0.8</v>
      </c>
      <c r="AA510" s="24">
        <f>IFERROR(INDEX(Cost_Components!$U$2:$U$27,MATCH(E510,Cost_Components!$A$2:$A$27,0)),"")</f>
        <v>2025</v>
      </c>
      <c r="AB510" s="24">
        <f>IFERROR(INDEX(Cost_Components!$V$2:$V$27,MATCH(E510,Cost_Components!$A$2:$A$27,0)),"")</f>
        <v>2050</v>
      </c>
      <c r="AC510" s="24">
        <f>IFERROR(INDEX(Cost_Components!$M$2:$M$27,MATCH(E510,Cost_Components!$A$2:$A$27,0)),"")</f>
        <v>30</v>
      </c>
      <c r="AD510" s="24">
        <f>IFERROR(INDEX(Cost_Components!$N$2:$N$27,MATCH(E510,Cost_Components!$A$2:$A$27,0)),"")</f>
        <v>95</v>
      </c>
      <c r="AE510" s="14" t="str">
        <f>IFERROR(INDEX(Cost_Components!$O$2:$O$27,MATCH(E510,Cost_Components!$A$2:$A$27,0)),"")</f>
        <v>Both</v>
      </c>
      <c r="AF510" s="11">
        <v>431595.42302689602</v>
      </c>
      <c r="AG510" s="11">
        <v>431534.55223206599</v>
      </c>
      <c r="AH510" s="21">
        <f t="shared" si="79"/>
        <v>1</v>
      </c>
    </row>
    <row r="511" spans="1:34" hidden="1">
      <c r="A511" t="s">
        <v>217</v>
      </c>
      <c r="B511" s="18">
        <v>2040</v>
      </c>
      <c r="C511" t="s">
        <v>217</v>
      </c>
      <c r="D511" t="s">
        <v>173</v>
      </c>
      <c r="E511" s="20" t="s">
        <v>306</v>
      </c>
      <c r="F511" s="20" t="s">
        <v>307</v>
      </c>
      <c r="G511" s="20" t="s">
        <v>218</v>
      </c>
      <c r="H511" s="20" t="s">
        <v>192</v>
      </c>
      <c r="I511" s="20" t="s">
        <v>167</v>
      </c>
      <c r="J511" s="15">
        <f>IFERROR(INDEX(Cost_Components!$K$2:$K$27,MATCH(E511,Cost_Components!$A$2:$A$27,0)),"")</f>
        <v>0.52</v>
      </c>
      <c r="K511" s="15">
        <f t="shared" si="70"/>
        <v>0.61153846153846159</v>
      </c>
      <c r="L511" s="15">
        <f>IFERROR(INDEX(Cost_Components!$S$2:$S$27,MATCH(E511,Cost_Components!$A$2:$A$27,0)),"")</f>
        <v>0.31</v>
      </c>
      <c r="M511" s="26">
        <f>IFERROR(INDEX(Cost_Components!$L$2:$L$27,MATCH(E511,Cost_Components!$A$2:$A$27,0)),"")</f>
        <v>1</v>
      </c>
      <c r="N511" s="27">
        <f>IFERROR(INDEX(Cost_Components!$P$2:$P$27,MATCH(E511,Cost_Components!$A$2:$A$27,0)),"")</f>
        <v>550.94828900000005</v>
      </c>
      <c r="O511" s="21">
        <f t="shared" si="71"/>
        <v>228059.18275867376</v>
      </c>
      <c r="P511" s="21">
        <f t="shared" si="72"/>
        <v>228023.06236314125</v>
      </c>
      <c r="Q511" s="21">
        <f t="shared" si="73"/>
        <v>38944963.979069024</v>
      </c>
      <c r="R511" s="21">
        <f t="shared" si="74"/>
        <v>76839083.955881193</v>
      </c>
      <c r="S511" s="21">
        <f t="shared" si="75"/>
        <v>37894119.976812169</v>
      </c>
      <c r="T511" s="14">
        <f>IFERROR(INDEX(Cost_Components!$R$2:$R$27,MATCH(E511,Cost_Components!$A$2:$A$27,0)),"")</f>
        <v>1</v>
      </c>
      <c r="U511" s="24">
        <f>IFERROR(INDEX(Cost_Components!$Q$2:$Q$27,MATCH(E511,Cost_Components!$A$2:$A$27,0)),"")</f>
        <v>2023</v>
      </c>
      <c r="V511" s="28">
        <f>1/(1+Calculation_Assumptions!$B$5)^(B511-Calculation_Assumptions!$B$2)</f>
        <v>0.64186194739671765</v>
      </c>
      <c r="W511" s="21">
        <f t="shared" si="76"/>
        <v>24997290.420900267</v>
      </c>
      <c r="X511" s="21">
        <f t="shared" si="77"/>
        <v>49320084.064101785</v>
      </c>
      <c r="Y511" s="21">
        <f t="shared" si="78"/>
        <v>24322793.643201519</v>
      </c>
      <c r="Z511" s="15">
        <f>IFERROR(INDEX(Cost_Components!$T$2:$T$27,MATCH(E511,Cost_Components!$A$2:$A$27,0)),"")</f>
        <v>0.8</v>
      </c>
      <c r="AA511" s="24">
        <f>IFERROR(INDEX(Cost_Components!$U$2:$U$27,MATCH(E511,Cost_Components!$A$2:$A$27,0)),"")</f>
        <v>2025</v>
      </c>
      <c r="AB511" s="24">
        <f>IFERROR(INDEX(Cost_Components!$V$2:$V$27,MATCH(E511,Cost_Components!$A$2:$A$27,0)),"")</f>
        <v>2050</v>
      </c>
      <c r="AC511" s="24">
        <f>IFERROR(INDEX(Cost_Components!$M$2:$M$27,MATCH(E511,Cost_Components!$A$2:$A$27,0)),"")</f>
        <v>30</v>
      </c>
      <c r="AD511" s="24">
        <f>IFERROR(INDEX(Cost_Components!$N$2:$N$27,MATCH(E511,Cost_Components!$A$2:$A$27,0)),"")</f>
        <v>95</v>
      </c>
      <c r="AE511" s="14" t="str">
        <f>IFERROR(INDEX(Cost_Components!$O$2:$O$27,MATCH(E511,Cost_Components!$A$2:$A$27,0)),"")</f>
        <v>Both</v>
      </c>
      <c r="AF511" s="11">
        <v>438575.35145898798</v>
      </c>
      <c r="AG511" s="11">
        <v>438505.88915988698</v>
      </c>
      <c r="AH511" s="21">
        <f t="shared" si="79"/>
        <v>1</v>
      </c>
    </row>
    <row r="512" spans="1:34" hidden="1">
      <c r="A512" t="s">
        <v>217</v>
      </c>
      <c r="B512" s="18">
        <v>2041</v>
      </c>
      <c r="C512" t="s">
        <v>217</v>
      </c>
      <c r="D512" t="s">
        <v>173</v>
      </c>
      <c r="E512" s="20" t="s">
        <v>306</v>
      </c>
      <c r="F512" s="20" t="s">
        <v>307</v>
      </c>
      <c r="G512" s="20" t="s">
        <v>218</v>
      </c>
      <c r="H512" s="20" t="s">
        <v>192</v>
      </c>
      <c r="I512" s="20" t="s">
        <v>167</v>
      </c>
      <c r="J512" s="15">
        <f>IFERROR(INDEX(Cost_Components!$K$2:$K$27,MATCH(E512,Cost_Components!$A$2:$A$27,0)),"")</f>
        <v>0.52</v>
      </c>
      <c r="K512" s="15">
        <f t="shared" si="70"/>
        <v>0.63038461538461543</v>
      </c>
      <c r="L512" s="15">
        <f>IFERROR(INDEX(Cost_Components!$S$2:$S$27,MATCH(E512,Cost_Components!$A$2:$A$27,0)),"")</f>
        <v>0.31</v>
      </c>
      <c r="M512" s="26">
        <f>IFERROR(INDEX(Cost_Components!$L$2:$L$27,MATCH(E512,Cost_Components!$A$2:$A$27,0)),"")</f>
        <v>1</v>
      </c>
      <c r="N512" s="27">
        <f>IFERROR(INDEX(Cost_Components!$P$2:$P$27,MATCH(E512,Cost_Components!$A$2:$A$27,0)),"")</f>
        <v>550.94828900000005</v>
      </c>
      <c r="O512" s="21">
        <f t="shared" si="71"/>
        <v>231666.83338627973</v>
      </c>
      <c r="P512" s="21">
        <f t="shared" si="72"/>
        <v>231625.98599738261</v>
      </c>
      <c r="Q512" s="21">
        <f t="shared" si="73"/>
        <v>39560321.608690739</v>
      </c>
      <c r="R512" s="21">
        <f t="shared" si="74"/>
        <v>80460051.588064149</v>
      </c>
      <c r="S512" s="21">
        <f t="shared" si="75"/>
        <v>40899729.97937341</v>
      </c>
      <c r="T512" s="14">
        <f>IFERROR(INDEX(Cost_Components!$R$2:$R$27,MATCH(E512,Cost_Components!$A$2:$A$27,0)),"")</f>
        <v>1</v>
      </c>
      <c r="U512" s="24">
        <f>IFERROR(INDEX(Cost_Components!$Q$2:$Q$27,MATCH(E512,Cost_Components!$A$2:$A$27,0)),"")</f>
        <v>2023</v>
      </c>
      <c r="V512" s="28">
        <f>1/(1+Calculation_Assumptions!$B$5)^(B512-Calculation_Assumptions!$B$2)</f>
        <v>0.62316693922011435</v>
      </c>
      <c r="W512" s="21">
        <f t="shared" si="76"/>
        <v>24652684.531451158</v>
      </c>
      <c r="X512" s="21">
        <f t="shared" si="77"/>
        <v>50140044.077626437</v>
      </c>
      <c r="Y512" s="21">
        <f t="shared" si="78"/>
        <v>25487359.546175279</v>
      </c>
      <c r="Z512" s="15">
        <f>IFERROR(INDEX(Cost_Components!$T$2:$T$27,MATCH(E512,Cost_Components!$A$2:$A$27,0)),"")</f>
        <v>0.8</v>
      </c>
      <c r="AA512" s="24">
        <f>IFERROR(INDEX(Cost_Components!$U$2:$U$27,MATCH(E512,Cost_Components!$A$2:$A$27,0)),"")</f>
        <v>2025</v>
      </c>
      <c r="AB512" s="24">
        <f>IFERROR(INDEX(Cost_Components!$V$2:$V$27,MATCH(E512,Cost_Components!$A$2:$A$27,0)),"")</f>
        <v>2050</v>
      </c>
      <c r="AC512" s="24">
        <f>IFERROR(INDEX(Cost_Components!$M$2:$M$27,MATCH(E512,Cost_Components!$A$2:$A$27,0)),"")</f>
        <v>30</v>
      </c>
      <c r="AD512" s="24">
        <f>IFERROR(INDEX(Cost_Components!$N$2:$N$27,MATCH(E512,Cost_Components!$A$2:$A$27,0)),"")</f>
        <v>95</v>
      </c>
      <c r="AE512" s="14" t="str">
        <f>IFERROR(INDEX(Cost_Components!$O$2:$O$27,MATCH(E512,Cost_Components!$A$2:$A$27,0)),"")</f>
        <v>Both</v>
      </c>
      <c r="AF512" s="11">
        <v>445513.14112746099</v>
      </c>
      <c r="AG512" s="11">
        <v>445434.58845650498</v>
      </c>
      <c r="AH512" s="21">
        <f t="shared" si="79"/>
        <v>1</v>
      </c>
    </row>
    <row r="513" spans="1:34" hidden="1">
      <c r="A513" t="s">
        <v>217</v>
      </c>
      <c r="B513" s="18">
        <v>2042</v>
      </c>
      <c r="C513" t="s">
        <v>217</v>
      </c>
      <c r="D513" t="s">
        <v>173</v>
      </c>
      <c r="E513" s="20" t="s">
        <v>306</v>
      </c>
      <c r="F513" s="20" t="s">
        <v>307</v>
      </c>
      <c r="G513" s="20" t="s">
        <v>218</v>
      </c>
      <c r="H513" s="20" t="s">
        <v>192</v>
      </c>
      <c r="I513" s="20" t="s">
        <v>167</v>
      </c>
      <c r="J513" s="15">
        <f>IFERROR(INDEX(Cost_Components!$K$2:$K$27,MATCH(E513,Cost_Components!$A$2:$A$27,0)),"")</f>
        <v>0.52</v>
      </c>
      <c r="K513" s="15">
        <f t="shared" si="70"/>
        <v>0.64923076923076928</v>
      </c>
      <c r="L513" s="15">
        <f>IFERROR(INDEX(Cost_Components!$S$2:$S$27,MATCH(E513,Cost_Components!$A$2:$A$27,0)),"")</f>
        <v>0.31</v>
      </c>
      <c r="M513" s="26">
        <f>IFERROR(INDEX(Cost_Components!$L$2:$L$27,MATCH(E513,Cost_Components!$A$2:$A$27,0)),"")</f>
        <v>1</v>
      </c>
      <c r="N513" s="27">
        <f>IFERROR(INDEX(Cost_Components!$P$2:$P$27,MATCH(E513,Cost_Components!$A$2:$A$27,0)),"")</f>
        <v>550.94828900000005</v>
      </c>
      <c r="O513" s="21">
        <f t="shared" si="71"/>
        <v>235257.54934893435</v>
      </c>
      <c r="P513" s="21">
        <f t="shared" si="72"/>
        <v>235211.73292598591</v>
      </c>
      <c r="Q513" s="21">
        <f t="shared" si="73"/>
        <v>40172745.560572043</v>
      </c>
      <c r="R513" s="21">
        <f t="shared" si="74"/>
        <v>84149880.137831092</v>
      </c>
      <c r="S513" s="21">
        <f t="shared" si="75"/>
        <v>43977134.577259049</v>
      </c>
      <c r="T513" s="14">
        <f>IFERROR(INDEX(Cost_Components!$R$2:$R$27,MATCH(E513,Cost_Components!$A$2:$A$27,0)),"")</f>
        <v>1</v>
      </c>
      <c r="U513" s="24">
        <f>IFERROR(INDEX(Cost_Components!$Q$2:$Q$27,MATCH(E513,Cost_Components!$A$2:$A$27,0)),"")</f>
        <v>2023</v>
      </c>
      <c r="V513" s="28">
        <f>1/(1+Calculation_Assumptions!$B$5)^(B513-Calculation_Assumptions!$B$2)</f>
        <v>0.60501644584477121</v>
      </c>
      <c r="W513" s="21">
        <f t="shared" si="76"/>
        <v>24305171.738883607</v>
      </c>
      <c r="X513" s="21">
        <f t="shared" si="77"/>
        <v>50912061.399254076</v>
      </c>
      <c r="Y513" s="21">
        <f t="shared" si="78"/>
        <v>26606889.660370465</v>
      </c>
      <c r="Z513" s="15">
        <f>IFERROR(INDEX(Cost_Components!$T$2:$T$27,MATCH(E513,Cost_Components!$A$2:$A$27,0)),"")</f>
        <v>0.8</v>
      </c>
      <c r="AA513" s="24">
        <f>IFERROR(INDEX(Cost_Components!$U$2:$U$27,MATCH(E513,Cost_Components!$A$2:$A$27,0)),"")</f>
        <v>2025</v>
      </c>
      <c r="AB513" s="24">
        <f>IFERROR(INDEX(Cost_Components!$V$2:$V$27,MATCH(E513,Cost_Components!$A$2:$A$27,0)),"")</f>
        <v>2050</v>
      </c>
      <c r="AC513" s="24">
        <f>IFERROR(INDEX(Cost_Components!$M$2:$M$27,MATCH(E513,Cost_Components!$A$2:$A$27,0)),"")</f>
        <v>30</v>
      </c>
      <c r="AD513" s="24">
        <f>IFERROR(INDEX(Cost_Components!$N$2:$N$27,MATCH(E513,Cost_Components!$A$2:$A$27,0)),"")</f>
        <v>95</v>
      </c>
      <c r="AE513" s="14" t="str">
        <f>IFERROR(INDEX(Cost_Components!$O$2:$O$27,MATCH(E513,Cost_Components!$A$2:$A$27,0)),"")</f>
        <v>Both</v>
      </c>
      <c r="AF513" s="11">
        <v>452418.36413256603</v>
      </c>
      <c r="AG513" s="11">
        <v>452330.25562689599</v>
      </c>
      <c r="AH513" s="21">
        <f t="shared" si="79"/>
        <v>1</v>
      </c>
    </row>
    <row r="514" spans="1:34" hidden="1">
      <c r="A514" t="s">
        <v>217</v>
      </c>
      <c r="B514" s="18">
        <v>2043</v>
      </c>
      <c r="C514" t="s">
        <v>217</v>
      </c>
      <c r="D514" t="s">
        <v>173</v>
      </c>
      <c r="E514" s="20" t="s">
        <v>306</v>
      </c>
      <c r="F514" s="20" t="s">
        <v>307</v>
      </c>
      <c r="G514" s="20" t="s">
        <v>218</v>
      </c>
      <c r="H514" s="20" t="s">
        <v>192</v>
      </c>
      <c r="I514" s="20" t="s">
        <v>167</v>
      </c>
      <c r="J514" s="15">
        <f>IFERROR(INDEX(Cost_Components!$K$2:$K$27,MATCH(E514,Cost_Components!$A$2:$A$27,0)),"")</f>
        <v>0.52</v>
      </c>
      <c r="K514" s="15">
        <f t="shared" ref="K514:K577" si="80">IF(OR(L514="",Z514="",AA514="",AB514=""),"",IF(B514&lt;AA514,L514,IF(B514&gt;AB514,Z514,L514+(Z514-L514)*MIN(MAX((B514-AA514+1)/MAX(AB514-AA514+1,1),0),1))))</f>
        <v>0.66807692307692301</v>
      </c>
      <c r="L514" s="15">
        <f>IFERROR(INDEX(Cost_Components!$S$2:$S$27,MATCH(E514,Cost_Components!$A$2:$A$27,0)),"")</f>
        <v>0.31</v>
      </c>
      <c r="M514" s="26">
        <f>IFERROR(INDEX(Cost_Components!$L$2:$L$27,MATCH(E514,Cost_Components!$A$2:$A$27,0)),"")</f>
        <v>1</v>
      </c>
      <c r="N514" s="27">
        <f>IFERROR(INDEX(Cost_Components!$P$2:$P$27,MATCH(E514,Cost_Components!$A$2:$A$27,0)),"")</f>
        <v>550.94828900000005</v>
      </c>
      <c r="O514" s="21">
        <f t="shared" ref="O514:O577" si="81">AF514*J514</f>
        <v>238793.89216157334</v>
      </c>
      <c r="P514" s="21">
        <f t="shared" ref="P514:P577" si="82">AG514*J514</f>
        <v>238742.87778323007</v>
      </c>
      <c r="Q514" s="21">
        <f t="shared" ref="Q514:Q577" si="83">P514*L514*M514*N514</f>
        <v>40775843.807938091</v>
      </c>
      <c r="R514" s="21">
        <f t="shared" ref="R514:R577" si="84">O514*K514*M514*N514</f>
        <v>87894261.892534792</v>
      </c>
      <c r="S514" s="21">
        <f t="shared" ref="S514:S577" si="85">R514-Q514</f>
        <v>47118418.084596701</v>
      </c>
      <c r="T514" s="14">
        <f>IFERROR(INDEX(Cost_Components!$R$2:$R$27,MATCH(E514,Cost_Components!$A$2:$A$27,0)),"")</f>
        <v>1</v>
      </c>
      <c r="U514" s="24">
        <f>IFERROR(INDEX(Cost_Components!$Q$2:$Q$27,MATCH(E514,Cost_Components!$A$2:$A$27,0)),"")</f>
        <v>2023</v>
      </c>
      <c r="V514" s="28">
        <f>1/(1+Calculation_Assumptions!$B$5)^(B514-Calculation_Assumptions!$B$2)</f>
        <v>0.5873946076162827</v>
      </c>
      <c r="W514" s="21">
        <f t="shared" ref="W514:W577" si="86">Q514*V514</f>
        <v>23951510.773786627</v>
      </c>
      <c r="X514" s="21">
        <f t="shared" ref="X514:X577" si="87">R514*V514</f>
        <v>51628615.476088263</v>
      </c>
      <c r="Y514" s="21">
        <f t="shared" ref="Y514:Y577" si="88">S514*V514</f>
        <v>27677104.702301636</v>
      </c>
      <c r="Z514" s="15">
        <f>IFERROR(INDEX(Cost_Components!$T$2:$T$27,MATCH(E514,Cost_Components!$A$2:$A$27,0)),"")</f>
        <v>0.8</v>
      </c>
      <c r="AA514" s="24">
        <f>IFERROR(INDEX(Cost_Components!$U$2:$U$27,MATCH(E514,Cost_Components!$A$2:$A$27,0)),"")</f>
        <v>2025</v>
      </c>
      <c r="AB514" s="24">
        <f>IFERROR(INDEX(Cost_Components!$V$2:$V$27,MATCH(E514,Cost_Components!$A$2:$A$27,0)),"")</f>
        <v>2050</v>
      </c>
      <c r="AC514" s="24">
        <f>IFERROR(INDEX(Cost_Components!$M$2:$M$27,MATCH(E514,Cost_Components!$A$2:$A$27,0)),"")</f>
        <v>30</v>
      </c>
      <c r="AD514" s="24">
        <f>IFERROR(INDEX(Cost_Components!$N$2:$N$27,MATCH(E514,Cost_Components!$A$2:$A$27,0)),"")</f>
        <v>95</v>
      </c>
      <c r="AE514" s="14" t="str">
        <f>IFERROR(INDEX(Cost_Components!$O$2:$O$27,MATCH(E514,Cost_Components!$A$2:$A$27,0)),"")</f>
        <v>Both</v>
      </c>
      <c r="AF514" s="11">
        <v>459219.02338764101</v>
      </c>
      <c r="AG514" s="11">
        <v>459120.91881390399</v>
      </c>
      <c r="AH514" s="21">
        <f t="shared" ref="AH514:AH577" si="89">IF(H514="shared-count-once",COUNTIFS($A$2:$A$1353,A514,$B$2:$B$1353,B514,$E$2:$E$1353,E514),1)</f>
        <v>1</v>
      </c>
    </row>
    <row r="515" spans="1:34" hidden="1">
      <c r="A515" t="s">
        <v>217</v>
      </c>
      <c r="B515" s="18">
        <v>2044</v>
      </c>
      <c r="C515" t="s">
        <v>217</v>
      </c>
      <c r="D515" t="s">
        <v>173</v>
      </c>
      <c r="E515" s="20" t="s">
        <v>306</v>
      </c>
      <c r="F515" s="20" t="s">
        <v>307</v>
      </c>
      <c r="G515" s="20" t="s">
        <v>218</v>
      </c>
      <c r="H515" s="20" t="s">
        <v>192</v>
      </c>
      <c r="I515" s="20" t="s">
        <v>167</v>
      </c>
      <c r="J515" s="15">
        <f>IFERROR(INDEX(Cost_Components!$K$2:$K$27,MATCH(E515,Cost_Components!$A$2:$A$27,0)),"")</f>
        <v>0.52</v>
      </c>
      <c r="K515" s="15">
        <f t="shared" si="80"/>
        <v>0.68692307692307697</v>
      </c>
      <c r="L515" s="15">
        <f>IFERROR(INDEX(Cost_Components!$S$2:$S$27,MATCH(E515,Cost_Components!$A$2:$A$27,0)),"")</f>
        <v>0.31</v>
      </c>
      <c r="M515" s="26">
        <f>IFERROR(INDEX(Cost_Components!$L$2:$L$27,MATCH(E515,Cost_Components!$A$2:$A$27,0)),"")</f>
        <v>1</v>
      </c>
      <c r="N515" s="27">
        <f>IFERROR(INDEX(Cost_Components!$P$2:$P$27,MATCH(E515,Cost_Components!$A$2:$A$27,0)),"")</f>
        <v>550.94828900000005</v>
      </c>
      <c r="O515" s="21">
        <f t="shared" si="81"/>
        <v>242198.34228094961</v>
      </c>
      <c r="P515" s="21">
        <f t="shared" si="82"/>
        <v>242141.93412075264</v>
      </c>
      <c r="Q515" s="21">
        <f t="shared" si="83"/>
        <v>41356382.132683612</v>
      </c>
      <c r="R515" s="21">
        <f t="shared" si="84"/>
        <v>91662165.165034398</v>
      </c>
      <c r="S515" s="21">
        <f t="shared" si="85"/>
        <v>50305783.032350786</v>
      </c>
      <c r="T515" s="14">
        <f>IFERROR(INDEX(Cost_Components!$R$2:$R$27,MATCH(E515,Cost_Components!$A$2:$A$27,0)),"")</f>
        <v>1</v>
      </c>
      <c r="U515" s="24">
        <f>IFERROR(INDEX(Cost_Components!$Q$2:$Q$27,MATCH(E515,Cost_Components!$A$2:$A$27,0)),"")</f>
        <v>2023</v>
      </c>
      <c r="V515" s="28">
        <f>1/(1+Calculation_Assumptions!$B$5)^(B515-Calculation_Assumptions!$B$2)</f>
        <v>0.57028602681192497</v>
      </c>
      <c r="W515" s="21">
        <f t="shared" si="86"/>
        <v>23584966.849763822</v>
      </c>
      <c r="X515" s="21">
        <f t="shared" si="87"/>
        <v>52273651.9809459</v>
      </c>
      <c r="Y515" s="21">
        <f t="shared" si="88"/>
        <v>28688685.131182082</v>
      </c>
      <c r="Z515" s="15">
        <f>IFERROR(INDEX(Cost_Components!$T$2:$T$27,MATCH(E515,Cost_Components!$A$2:$A$27,0)),"")</f>
        <v>0.8</v>
      </c>
      <c r="AA515" s="24">
        <f>IFERROR(INDEX(Cost_Components!$U$2:$U$27,MATCH(E515,Cost_Components!$A$2:$A$27,0)),"")</f>
        <v>2025</v>
      </c>
      <c r="AB515" s="24">
        <f>IFERROR(INDEX(Cost_Components!$V$2:$V$27,MATCH(E515,Cost_Components!$A$2:$A$27,0)),"")</f>
        <v>2050</v>
      </c>
      <c r="AC515" s="24">
        <f>IFERROR(INDEX(Cost_Components!$M$2:$M$27,MATCH(E515,Cost_Components!$A$2:$A$27,0)),"")</f>
        <v>30</v>
      </c>
      <c r="AD515" s="24">
        <f>IFERROR(INDEX(Cost_Components!$N$2:$N$27,MATCH(E515,Cost_Components!$A$2:$A$27,0)),"")</f>
        <v>95</v>
      </c>
      <c r="AE515" s="14" t="str">
        <f>IFERROR(INDEX(Cost_Components!$O$2:$O$27,MATCH(E515,Cost_Components!$A$2:$A$27,0)),"")</f>
        <v>Both</v>
      </c>
      <c r="AF515" s="11">
        <v>465766.04284797999</v>
      </c>
      <c r="AG515" s="11">
        <v>465657.565616832</v>
      </c>
      <c r="AH515" s="21">
        <f t="shared" si="89"/>
        <v>1</v>
      </c>
    </row>
    <row r="516" spans="1:34" hidden="1">
      <c r="A516" t="s">
        <v>217</v>
      </c>
      <c r="B516" s="18">
        <v>2045</v>
      </c>
      <c r="C516" t="s">
        <v>217</v>
      </c>
      <c r="D516" t="s">
        <v>173</v>
      </c>
      <c r="E516" s="20" t="s">
        <v>306</v>
      </c>
      <c r="F516" s="20" t="s">
        <v>307</v>
      </c>
      <c r="G516" s="20" t="s">
        <v>218</v>
      </c>
      <c r="H516" s="20" t="s">
        <v>192</v>
      </c>
      <c r="I516" s="20" t="s">
        <v>167</v>
      </c>
      <c r="J516" s="15">
        <f>IFERROR(INDEX(Cost_Components!$K$2:$K$27,MATCH(E516,Cost_Components!$A$2:$A$27,0)),"")</f>
        <v>0.52</v>
      </c>
      <c r="K516" s="15">
        <f t="shared" si="80"/>
        <v>0.70576923076923082</v>
      </c>
      <c r="L516" s="15">
        <f>IFERROR(INDEX(Cost_Components!$S$2:$S$27,MATCH(E516,Cost_Components!$A$2:$A$27,0)),"")</f>
        <v>0.31</v>
      </c>
      <c r="M516" s="26">
        <f>IFERROR(INDEX(Cost_Components!$L$2:$L$27,MATCH(E516,Cost_Components!$A$2:$A$27,0)),"")</f>
        <v>1</v>
      </c>
      <c r="N516" s="27">
        <f>IFERROR(INDEX(Cost_Components!$P$2:$P$27,MATCH(E516,Cost_Components!$A$2:$A$27,0)),"")</f>
        <v>550.94828900000005</v>
      </c>
      <c r="O516" s="21">
        <f t="shared" si="81"/>
        <v>245449.50235467326</v>
      </c>
      <c r="P516" s="21">
        <f t="shared" si="82"/>
        <v>245387.52487483106</v>
      </c>
      <c r="Q516" s="21">
        <f t="shared" si="83"/>
        <v>41910709.461237267</v>
      </c>
      <c r="R516" s="21">
        <f t="shared" si="84"/>
        <v>95441161.331658855</v>
      </c>
      <c r="S516" s="21">
        <f t="shared" si="85"/>
        <v>53530451.870421588</v>
      </c>
      <c r="T516" s="14">
        <f>IFERROR(INDEX(Cost_Components!$R$2:$R$27,MATCH(E516,Cost_Components!$A$2:$A$27,0)),"")</f>
        <v>1</v>
      </c>
      <c r="U516" s="24">
        <f>IFERROR(INDEX(Cost_Components!$Q$2:$Q$27,MATCH(E516,Cost_Components!$A$2:$A$27,0)),"")</f>
        <v>2023</v>
      </c>
      <c r="V516" s="28">
        <f>1/(1+Calculation_Assumptions!$B$5)^(B516-Calculation_Assumptions!$B$2)</f>
        <v>0.55367575418633497</v>
      </c>
      <c r="W516" s="21">
        <f t="shared" si="86"/>
        <v>23204943.669434909</v>
      </c>
      <c r="X516" s="21">
        <f t="shared" si="87"/>
        <v>52843456.980725884</v>
      </c>
      <c r="Y516" s="21">
        <f t="shared" si="88"/>
        <v>29638513.311290979</v>
      </c>
      <c r="Z516" s="15">
        <f>IFERROR(INDEX(Cost_Components!$T$2:$T$27,MATCH(E516,Cost_Components!$A$2:$A$27,0)),"")</f>
        <v>0.8</v>
      </c>
      <c r="AA516" s="24">
        <f>IFERROR(INDEX(Cost_Components!$U$2:$U$27,MATCH(E516,Cost_Components!$A$2:$A$27,0)),"")</f>
        <v>2025</v>
      </c>
      <c r="AB516" s="24">
        <f>IFERROR(INDEX(Cost_Components!$V$2:$V$27,MATCH(E516,Cost_Components!$A$2:$A$27,0)),"")</f>
        <v>2050</v>
      </c>
      <c r="AC516" s="24">
        <f>IFERROR(INDEX(Cost_Components!$M$2:$M$27,MATCH(E516,Cost_Components!$A$2:$A$27,0)),"")</f>
        <v>30</v>
      </c>
      <c r="AD516" s="24">
        <f>IFERROR(INDEX(Cost_Components!$N$2:$N$27,MATCH(E516,Cost_Components!$A$2:$A$27,0)),"")</f>
        <v>95</v>
      </c>
      <c r="AE516" s="14" t="str">
        <f>IFERROR(INDEX(Cost_Components!$O$2:$O$27,MATCH(E516,Cost_Components!$A$2:$A$27,0)),"")</f>
        <v>Both</v>
      </c>
      <c r="AF516" s="11">
        <v>472018.27375898702</v>
      </c>
      <c r="AG516" s="11">
        <v>471899.08629775199</v>
      </c>
      <c r="AH516" s="21">
        <f t="shared" si="89"/>
        <v>1</v>
      </c>
    </row>
    <row r="517" spans="1:34" hidden="1">
      <c r="A517" t="s">
        <v>217</v>
      </c>
      <c r="B517" s="18">
        <v>2046</v>
      </c>
      <c r="C517" t="s">
        <v>217</v>
      </c>
      <c r="D517" t="s">
        <v>173</v>
      </c>
      <c r="E517" s="20" t="s">
        <v>306</v>
      </c>
      <c r="F517" s="20" t="s">
        <v>307</v>
      </c>
      <c r="G517" s="20" t="s">
        <v>218</v>
      </c>
      <c r="H517" s="20" t="s">
        <v>192</v>
      </c>
      <c r="I517" s="20" t="s">
        <v>167</v>
      </c>
      <c r="J517" s="15">
        <f>IFERROR(INDEX(Cost_Components!$K$2:$K$27,MATCH(E517,Cost_Components!$A$2:$A$27,0)),"")</f>
        <v>0.52</v>
      </c>
      <c r="K517" s="15">
        <f t="shared" si="80"/>
        <v>0.72461538461538466</v>
      </c>
      <c r="L517" s="15">
        <f>IFERROR(INDEX(Cost_Components!$S$2:$S$27,MATCH(E517,Cost_Components!$A$2:$A$27,0)),"")</f>
        <v>0.31</v>
      </c>
      <c r="M517" s="26">
        <f>IFERROR(INDEX(Cost_Components!$L$2:$L$27,MATCH(E517,Cost_Components!$A$2:$A$27,0)),"")</f>
        <v>1</v>
      </c>
      <c r="N517" s="27">
        <f>IFERROR(INDEX(Cost_Components!$P$2:$P$27,MATCH(E517,Cost_Components!$A$2:$A$27,0)),"")</f>
        <v>550.94828900000005</v>
      </c>
      <c r="O517" s="21">
        <f t="shared" si="81"/>
        <v>248536.63939923883</v>
      </c>
      <c r="P517" s="21">
        <f t="shared" si="82"/>
        <v>248468.93011893317</v>
      </c>
      <c r="Q517" s="21">
        <f t="shared" si="83"/>
        <v>42436994.894792914</v>
      </c>
      <c r="R517" s="21">
        <f t="shared" si="84"/>
        <v>99222190.561102346</v>
      </c>
      <c r="S517" s="21">
        <f t="shared" si="85"/>
        <v>56785195.666309431</v>
      </c>
      <c r="T517" s="14">
        <f>IFERROR(INDEX(Cost_Components!$R$2:$R$27,MATCH(E517,Cost_Components!$A$2:$A$27,0)),"")</f>
        <v>1</v>
      </c>
      <c r="U517" s="24">
        <f>IFERROR(INDEX(Cost_Components!$Q$2:$Q$27,MATCH(E517,Cost_Components!$A$2:$A$27,0)),"")</f>
        <v>2023</v>
      </c>
      <c r="V517" s="28">
        <f>1/(1+Calculation_Assumptions!$B$5)^(B517-Calculation_Assumptions!$B$2)</f>
        <v>0.5375492759090631</v>
      </c>
      <c r="W517" s="21">
        <f t="shared" si="86"/>
        <v>22811975.877452537</v>
      </c>
      <c r="X517" s="21">
        <f t="shared" si="87"/>
        <v>53336816.690231644</v>
      </c>
      <c r="Y517" s="21">
        <f t="shared" si="88"/>
        <v>30524840.812779102</v>
      </c>
      <c r="Z517" s="15">
        <f>IFERROR(INDEX(Cost_Components!$T$2:$T$27,MATCH(E517,Cost_Components!$A$2:$A$27,0)),"")</f>
        <v>0.8</v>
      </c>
      <c r="AA517" s="24">
        <f>IFERROR(INDEX(Cost_Components!$U$2:$U$27,MATCH(E517,Cost_Components!$A$2:$A$27,0)),"")</f>
        <v>2025</v>
      </c>
      <c r="AB517" s="24">
        <f>IFERROR(INDEX(Cost_Components!$V$2:$V$27,MATCH(E517,Cost_Components!$A$2:$A$27,0)),"")</f>
        <v>2050</v>
      </c>
      <c r="AC517" s="24">
        <f>IFERROR(INDEX(Cost_Components!$M$2:$M$27,MATCH(E517,Cost_Components!$A$2:$A$27,0)),"")</f>
        <v>30</v>
      </c>
      <c r="AD517" s="24">
        <f>IFERROR(INDEX(Cost_Components!$N$2:$N$27,MATCH(E517,Cost_Components!$A$2:$A$27,0)),"")</f>
        <v>95</v>
      </c>
      <c r="AE517" s="14" t="str">
        <f>IFERROR(INDEX(Cost_Components!$O$2:$O$27,MATCH(E517,Cost_Components!$A$2:$A$27,0)),"")</f>
        <v>Both</v>
      </c>
      <c r="AF517" s="11">
        <v>477955.07576776698</v>
      </c>
      <c r="AG517" s="11">
        <v>477824.86561333301</v>
      </c>
      <c r="AH517" s="21">
        <f t="shared" si="89"/>
        <v>1</v>
      </c>
    </row>
    <row r="518" spans="1:34" hidden="1">
      <c r="A518" t="s">
        <v>217</v>
      </c>
      <c r="B518" s="18">
        <v>2047</v>
      </c>
      <c r="C518" t="s">
        <v>217</v>
      </c>
      <c r="D518" t="s">
        <v>173</v>
      </c>
      <c r="E518" s="20" t="s">
        <v>306</v>
      </c>
      <c r="F518" s="20" t="s">
        <v>307</v>
      </c>
      <c r="G518" s="20" t="s">
        <v>218</v>
      </c>
      <c r="H518" s="20" t="s">
        <v>192</v>
      </c>
      <c r="I518" s="20" t="s">
        <v>167</v>
      </c>
      <c r="J518" s="15">
        <f>IFERROR(INDEX(Cost_Components!$K$2:$K$27,MATCH(E518,Cost_Components!$A$2:$A$27,0)),"")</f>
        <v>0.52</v>
      </c>
      <c r="K518" s="15">
        <f t="shared" si="80"/>
        <v>0.74346153846153851</v>
      </c>
      <c r="L518" s="15">
        <f>IFERROR(INDEX(Cost_Components!$S$2:$S$27,MATCH(E518,Cost_Components!$A$2:$A$27,0)),"")</f>
        <v>0.31</v>
      </c>
      <c r="M518" s="26">
        <f>IFERROR(INDEX(Cost_Components!$L$2:$L$27,MATCH(E518,Cost_Components!$A$2:$A$27,0)),"")</f>
        <v>1</v>
      </c>
      <c r="N518" s="27">
        <f>IFERROR(INDEX(Cost_Components!$P$2:$P$27,MATCH(E518,Cost_Components!$A$2:$A$27,0)),"")</f>
        <v>550.94828900000005</v>
      </c>
      <c r="O518" s="21">
        <f t="shared" si="81"/>
        <v>251408.85694198249</v>
      </c>
      <c r="P518" s="21">
        <f t="shared" si="82"/>
        <v>251335.27065977355</v>
      </c>
      <c r="Q518" s="21">
        <f t="shared" si="83"/>
        <v>42926548.573959783</v>
      </c>
      <c r="R518" s="21">
        <f t="shared" si="84"/>
        <v>102979295.927678</v>
      </c>
      <c r="S518" s="21">
        <f t="shared" si="85"/>
        <v>60052747.353718221</v>
      </c>
      <c r="T518" s="14">
        <f>IFERROR(INDEX(Cost_Components!$R$2:$R$27,MATCH(E518,Cost_Components!$A$2:$A$27,0)),"")</f>
        <v>1</v>
      </c>
      <c r="U518" s="24">
        <f>IFERROR(INDEX(Cost_Components!$Q$2:$Q$27,MATCH(E518,Cost_Components!$A$2:$A$27,0)),"")</f>
        <v>2023</v>
      </c>
      <c r="V518" s="28">
        <f>1/(1+Calculation_Assumptions!$B$5)^(B518-Calculation_Assumptions!$B$2)</f>
        <v>0.52189250088258554</v>
      </c>
      <c r="W518" s="21">
        <f t="shared" si="86"/>
        <v>22403043.789521657</v>
      </c>
      <c r="X518" s="21">
        <f t="shared" si="87"/>
        <v>53744122.290823728</v>
      </c>
      <c r="Y518" s="21">
        <f t="shared" si="88"/>
        <v>31341078.501302075</v>
      </c>
      <c r="Z518" s="15">
        <f>IFERROR(INDEX(Cost_Components!$T$2:$T$27,MATCH(E518,Cost_Components!$A$2:$A$27,0)),"")</f>
        <v>0.8</v>
      </c>
      <c r="AA518" s="24">
        <f>IFERROR(INDEX(Cost_Components!$U$2:$U$27,MATCH(E518,Cost_Components!$A$2:$A$27,0)),"")</f>
        <v>2025</v>
      </c>
      <c r="AB518" s="24">
        <f>IFERROR(INDEX(Cost_Components!$V$2:$V$27,MATCH(E518,Cost_Components!$A$2:$A$27,0)),"")</f>
        <v>2050</v>
      </c>
      <c r="AC518" s="24">
        <f>IFERROR(INDEX(Cost_Components!$M$2:$M$27,MATCH(E518,Cost_Components!$A$2:$A$27,0)),"")</f>
        <v>30</v>
      </c>
      <c r="AD518" s="24">
        <f>IFERROR(INDEX(Cost_Components!$N$2:$N$27,MATCH(E518,Cost_Components!$A$2:$A$27,0)),"")</f>
        <v>95</v>
      </c>
      <c r="AE518" s="14" t="str">
        <f>IFERROR(INDEX(Cost_Components!$O$2:$O$27,MATCH(E518,Cost_Components!$A$2:$A$27,0)),"")</f>
        <v>Both</v>
      </c>
      <c r="AF518" s="11">
        <v>483478.57104227401</v>
      </c>
      <c r="AG518" s="11">
        <v>483337.05896110297</v>
      </c>
      <c r="AH518" s="21">
        <f t="shared" si="89"/>
        <v>1</v>
      </c>
    </row>
    <row r="519" spans="1:34" hidden="1">
      <c r="A519" t="s">
        <v>217</v>
      </c>
      <c r="B519" s="18">
        <v>2048</v>
      </c>
      <c r="C519" t="s">
        <v>217</v>
      </c>
      <c r="D519" t="s">
        <v>173</v>
      </c>
      <c r="E519" s="20" t="s">
        <v>306</v>
      </c>
      <c r="F519" s="20" t="s">
        <v>307</v>
      </c>
      <c r="G519" s="20" t="s">
        <v>218</v>
      </c>
      <c r="H519" s="20" t="s">
        <v>192</v>
      </c>
      <c r="I519" s="20" t="s">
        <v>167</v>
      </c>
      <c r="J519" s="15">
        <f>IFERROR(INDEX(Cost_Components!$K$2:$K$27,MATCH(E519,Cost_Components!$A$2:$A$27,0)),"")</f>
        <v>0.52</v>
      </c>
      <c r="K519" s="15">
        <f t="shared" si="80"/>
        <v>0.76230769230769235</v>
      </c>
      <c r="L519" s="15">
        <f>IFERROR(INDEX(Cost_Components!$S$2:$S$27,MATCH(E519,Cost_Components!$A$2:$A$27,0)),"")</f>
        <v>0.31</v>
      </c>
      <c r="M519" s="26">
        <f>IFERROR(INDEX(Cost_Components!$L$2:$L$27,MATCH(E519,Cost_Components!$A$2:$A$27,0)),"")</f>
        <v>1</v>
      </c>
      <c r="N519" s="27">
        <f>IFERROR(INDEX(Cost_Components!$P$2:$P$27,MATCH(E519,Cost_Components!$A$2:$A$27,0)),"")</f>
        <v>550.94828900000005</v>
      </c>
      <c r="O519" s="21">
        <f t="shared" si="81"/>
        <v>254124.06978964148</v>
      </c>
      <c r="P519" s="21">
        <f t="shared" si="82"/>
        <v>254044.48220505691</v>
      </c>
      <c r="Q519" s="21">
        <f t="shared" si="83"/>
        <v>43389265.568237789</v>
      </c>
      <c r="R519" s="21">
        <f t="shared" si="84"/>
        <v>106730106.50101593</v>
      </c>
      <c r="S519" s="21">
        <f t="shared" si="85"/>
        <v>63340840.932778142</v>
      </c>
      <c r="T519" s="14">
        <f>IFERROR(INDEX(Cost_Components!$R$2:$R$27,MATCH(E519,Cost_Components!$A$2:$A$27,0)),"")</f>
        <v>1</v>
      </c>
      <c r="U519" s="24">
        <f>IFERROR(INDEX(Cost_Components!$Q$2:$Q$27,MATCH(E519,Cost_Components!$A$2:$A$27,0)),"")</f>
        <v>2023</v>
      </c>
      <c r="V519" s="28">
        <f>1/(1+Calculation_Assumptions!$B$5)^(B519-Calculation_Assumptions!$B$2)</f>
        <v>0.50669174842969467</v>
      </c>
      <c r="W519" s="21">
        <f t="shared" si="86"/>
        <v>21984982.833850756</v>
      </c>
      <c r="X519" s="21">
        <f t="shared" si="87"/>
        <v>54079264.273087285</v>
      </c>
      <c r="Y519" s="21">
        <f t="shared" si="88"/>
        <v>32094281.439236529</v>
      </c>
      <c r="Z519" s="15">
        <f>IFERROR(INDEX(Cost_Components!$T$2:$T$27,MATCH(E519,Cost_Components!$A$2:$A$27,0)),"")</f>
        <v>0.8</v>
      </c>
      <c r="AA519" s="24">
        <f>IFERROR(INDEX(Cost_Components!$U$2:$U$27,MATCH(E519,Cost_Components!$A$2:$A$27,0)),"")</f>
        <v>2025</v>
      </c>
      <c r="AB519" s="24">
        <f>IFERROR(INDEX(Cost_Components!$V$2:$V$27,MATCH(E519,Cost_Components!$A$2:$A$27,0)),"")</f>
        <v>2050</v>
      </c>
      <c r="AC519" s="24">
        <f>IFERROR(INDEX(Cost_Components!$M$2:$M$27,MATCH(E519,Cost_Components!$A$2:$A$27,0)),"")</f>
        <v>30</v>
      </c>
      <c r="AD519" s="24">
        <f>IFERROR(INDEX(Cost_Components!$N$2:$N$27,MATCH(E519,Cost_Components!$A$2:$A$27,0)),"")</f>
        <v>95</v>
      </c>
      <c r="AE519" s="14" t="str">
        <f>IFERROR(INDEX(Cost_Components!$O$2:$O$27,MATCH(E519,Cost_Components!$A$2:$A$27,0)),"")</f>
        <v>Both</v>
      </c>
      <c r="AF519" s="11">
        <v>488700.13421084901</v>
      </c>
      <c r="AG519" s="11">
        <v>488547.08116357098</v>
      </c>
      <c r="AH519" s="21">
        <f t="shared" si="89"/>
        <v>1</v>
      </c>
    </row>
    <row r="520" spans="1:34" hidden="1">
      <c r="A520" t="s">
        <v>217</v>
      </c>
      <c r="B520" s="18">
        <v>2049</v>
      </c>
      <c r="C520" t="s">
        <v>217</v>
      </c>
      <c r="D520" t="s">
        <v>173</v>
      </c>
      <c r="E520" s="20" t="s">
        <v>306</v>
      </c>
      <c r="F520" s="20" t="s">
        <v>307</v>
      </c>
      <c r="G520" s="20" t="s">
        <v>218</v>
      </c>
      <c r="H520" s="20" t="s">
        <v>192</v>
      </c>
      <c r="I520" s="20" t="s">
        <v>167</v>
      </c>
      <c r="J520" s="15">
        <f>IFERROR(INDEX(Cost_Components!$K$2:$K$27,MATCH(E520,Cost_Components!$A$2:$A$27,0)),"")</f>
        <v>0.52</v>
      </c>
      <c r="K520" s="15">
        <f t="shared" si="80"/>
        <v>0.7811538461538462</v>
      </c>
      <c r="L520" s="15">
        <f>IFERROR(INDEX(Cost_Components!$S$2:$S$27,MATCH(E520,Cost_Components!$A$2:$A$27,0)),"")</f>
        <v>0.31</v>
      </c>
      <c r="M520" s="26">
        <f>IFERROR(INDEX(Cost_Components!$L$2:$L$27,MATCH(E520,Cost_Components!$A$2:$A$27,0)),"")</f>
        <v>1</v>
      </c>
      <c r="N520" s="27">
        <f>IFERROR(INDEX(Cost_Components!$P$2:$P$27,MATCH(E520,Cost_Components!$A$2:$A$27,0)),"")</f>
        <v>550.94828900000005</v>
      </c>
      <c r="O520" s="21">
        <f t="shared" si="81"/>
        <v>256707.99561615626</v>
      </c>
      <c r="P520" s="21">
        <f t="shared" si="82"/>
        <v>256622.29267286614</v>
      </c>
      <c r="Q520" s="21">
        <f t="shared" si="83"/>
        <v>43829540.05088558</v>
      </c>
      <c r="R520" s="21">
        <f t="shared" si="84"/>
        <v>110480799.87475353</v>
      </c>
      <c r="S520" s="21">
        <f t="shared" si="85"/>
        <v>66651259.823867954</v>
      </c>
      <c r="T520" s="14">
        <f>IFERROR(INDEX(Cost_Components!$R$2:$R$27,MATCH(E520,Cost_Components!$A$2:$A$27,0)),"")</f>
        <v>1</v>
      </c>
      <c r="U520" s="24">
        <f>IFERROR(INDEX(Cost_Components!$Q$2:$Q$27,MATCH(E520,Cost_Components!$A$2:$A$27,0)),"")</f>
        <v>2023</v>
      </c>
      <c r="V520" s="28">
        <f>1/(1+Calculation_Assumptions!$B$5)^(B520-Calculation_Assumptions!$B$2)</f>
        <v>0.49193373633950943</v>
      </c>
      <c r="W520" s="21">
        <f t="shared" si="86"/>
        <v>21561229.399274316</v>
      </c>
      <c r="X520" s="21">
        <f t="shared" si="87"/>
        <v>54349232.676165111</v>
      </c>
      <c r="Y520" s="21">
        <f t="shared" si="88"/>
        <v>32788003.276890796</v>
      </c>
      <c r="Z520" s="15">
        <f>IFERROR(INDEX(Cost_Components!$T$2:$T$27,MATCH(E520,Cost_Components!$A$2:$A$27,0)),"")</f>
        <v>0.8</v>
      </c>
      <c r="AA520" s="24">
        <f>IFERROR(INDEX(Cost_Components!$U$2:$U$27,MATCH(E520,Cost_Components!$A$2:$A$27,0)),"")</f>
        <v>2025</v>
      </c>
      <c r="AB520" s="24">
        <f>IFERROR(INDEX(Cost_Components!$V$2:$V$27,MATCH(E520,Cost_Components!$A$2:$A$27,0)),"")</f>
        <v>2050</v>
      </c>
      <c r="AC520" s="24">
        <f>IFERROR(INDEX(Cost_Components!$M$2:$M$27,MATCH(E520,Cost_Components!$A$2:$A$27,0)),"")</f>
        <v>30</v>
      </c>
      <c r="AD520" s="24">
        <f>IFERROR(INDEX(Cost_Components!$N$2:$N$27,MATCH(E520,Cost_Components!$A$2:$A$27,0)),"")</f>
        <v>95</v>
      </c>
      <c r="AE520" s="14" t="str">
        <f>IFERROR(INDEX(Cost_Components!$O$2:$O$27,MATCH(E520,Cost_Components!$A$2:$A$27,0)),"")</f>
        <v>Both</v>
      </c>
      <c r="AF520" s="11">
        <v>493669.22233876202</v>
      </c>
      <c r="AG520" s="11">
        <v>493504.40898628102</v>
      </c>
      <c r="AH520" s="21">
        <f t="shared" si="89"/>
        <v>1</v>
      </c>
    </row>
    <row r="521" spans="1:34" hidden="1">
      <c r="A521" t="s">
        <v>217</v>
      </c>
      <c r="B521" s="18">
        <v>2050</v>
      </c>
      <c r="C521" t="s">
        <v>217</v>
      </c>
      <c r="D521" t="s">
        <v>173</v>
      </c>
      <c r="E521" s="20" t="s">
        <v>306</v>
      </c>
      <c r="F521" s="20" t="s">
        <v>307</v>
      </c>
      <c r="G521" s="20" t="s">
        <v>218</v>
      </c>
      <c r="H521" s="20" t="s">
        <v>192</v>
      </c>
      <c r="I521" s="20" t="s">
        <v>167</v>
      </c>
      <c r="J521" s="15">
        <f>IFERROR(INDEX(Cost_Components!$K$2:$K$27,MATCH(E521,Cost_Components!$A$2:$A$27,0)),"")</f>
        <v>0.52</v>
      </c>
      <c r="K521" s="15">
        <f t="shared" si="80"/>
        <v>0.8</v>
      </c>
      <c r="L521" s="15">
        <f>IFERROR(INDEX(Cost_Components!$S$2:$S$27,MATCH(E521,Cost_Components!$A$2:$A$27,0)),"")</f>
        <v>0.31</v>
      </c>
      <c r="M521" s="26">
        <f>IFERROR(INDEX(Cost_Components!$L$2:$L$27,MATCH(E521,Cost_Components!$A$2:$A$27,0)),"")</f>
        <v>1</v>
      </c>
      <c r="N521" s="27">
        <f>IFERROR(INDEX(Cost_Components!$P$2:$P$27,MATCH(E521,Cost_Components!$A$2:$A$27,0)),"")</f>
        <v>550.94828900000005</v>
      </c>
      <c r="O521" s="21">
        <f t="shared" si="81"/>
        <v>259159.02620748247</v>
      </c>
      <c r="P521" s="21">
        <f t="shared" si="82"/>
        <v>259067.10641787612</v>
      </c>
      <c r="Q521" s="21">
        <f t="shared" si="83"/>
        <v>44247099.495304033</v>
      </c>
      <c r="R521" s="21">
        <f t="shared" si="84"/>
        <v>114226577.65433492</v>
      </c>
      <c r="S521" s="21">
        <f t="shared" si="85"/>
        <v>69979478.159030885</v>
      </c>
      <c r="T521" s="14">
        <f>IFERROR(INDEX(Cost_Components!$R$2:$R$27,MATCH(E521,Cost_Components!$A$2:$A$27,0)),"")</f>
        <v>1</v>
      </c>
      <c r="U521" s="24">
        <f>IFERROR(INDEX(Cost_Components!$Q$2:$Q$27,MATCH(E521,Cost_Components!$A$2:$A$27,0)),"")</f>
        <v>2023</v>
      </c>
      <c r="V521" s="28">
        <f>1/(1+Calculation_Assumptions!$B$5)^(B521-Calculation_Assumptions!$B$2)</f>
        <v>0.47760556926165965</v>
      </c>
      <c r="W521" s="21">
        <f t="shared" si="86"/>
        <v>21132661.142631978</v>
      </c>
      <c r="X521" s="21">
        <f t="shared" si="87"/>
        <v>54555249.6454098</v>
      </c>
      <c r="Y521" s="21">
        <f t="shared" si="88"/>
        <v>33422588.502777822</v>
      </c>
      <c r="Z521" s="15">
        <f>IFERROR(INDEX(Cost_Components!$T$2:$T$27,MATCH(E521,Cost_Components!$A$2:$A$27,0)),"")</f>
        <v>0.8</v>
      </c>
      <c r="AA521" s="24">
        <f>IFERROR(INDEX(Cost_Components!$U$2:$U$27,MATCH(E521,Cost_Components!$A$2:$A$27,0)),"")</f>
        <v>2025</v>
      </c>
      <c r="AB521" s="24">
        <f>IFERROR(INDEX(Cost_Components!$V$2:$V$27,MATCH(E521,Cost_Components!$A$2:$A$27,0)),"")</f>
        <v>2050</v>
      </c>
      <c r="AC521" s="24">
        <f>IFERROR(INDEX(Cost_Components!$M$2:$M$27,MATCH(E521,Cost_Components!$A$2:$A$27,0)),"")</f>
        <v>30</v>
      </c>
      <c r="AD521" s="24">
        <f>IFERROR(INDEX(Cost_Components!$N$2:$N$27,MATCH(E521,Cost_Components!$A$2:$A$27,0)),"")</f>
        <v>95</v>
      </c>
      <c r="AE521" s="14" t="str">
        <f>IFERROR(INDEX(Cost_Components!$O$2:$O$27,MATCH(E521,Cost_Components!$A$2:$A$27,0)),"")</f>
        <v>Both</v>
      </c>
      <c r="AF521" s="11">
        <v>498382.74270669703</v>
      </c>
      <c r="AG521" s="11">
        <v>498205.97388053098</v>
      </c>
      <c r="AH521" s="21">
        <f t="shared" si="89"/>
        <v>1</v>
      </c>
    </row>
    <row r="522" spans="1:34" hidden="1">
      <c r="A522" t="s">
        <v>217</v>
      </c>
      <c r="B522" s="18">
        <v>2025</v>
      </c>
      <c r="C522" t="s">
        <v>217</v>
      </c>
      <c r="D522" t="s">
        <v>173</v>
      </c>
      <c r="E522" s="20" t="s">
        <v>308</v>
      </c>
      <c r="F522" s="20" t="s">
        <v>309</v>
      </c>
      <c r="G522" s="20" t="s">
        <v>218</v>
      </c>
      <c r="H522" s="20" t="s">
        <v>192</v>
      </c>
      <c r="I522" s="20" t="s">
        <v>264</v>
      </c>
      <c r="J522" s="15">
        <f>IFERROR(INDEX(Cost_Components!$K$2:$K$27,MATCH(E522,Cost_Components!$A$2:$A$27,0)),"")</f>
        <v>0.5</v>
      </c>
      <c r="K522" s="15">
        <f t="shared" si="80"/>
        <v>0.32884615384615384</v>
      </c>
      <c r="L522" s="15">
        <f>IFERROR(INDEX(Cost_Components!$S$2:$S$27,MATCH(E522,Cost_Components!$A$2:$A$27,0)),"")</f>
        <v>0.31</v>
      </c>
      <c r="M522" s="26">
        <f>IFERROR(INDEX(Cost_Components!$L$2:$L$27,MATCH(E522,Cost_Components!$A$2:$A$27,0)),"")</f>
        <v>1</v>
      </c>
      <c r="N522" s="27">
        <f>IFERROR(INDEX(Cost_Components!$P$2:$P$27,MATCH(E522,Cost_Components!$A$2:$A$27,0)),"")</f>
        <v>35.362648999999998</v>
      </c>
      <c r="O522" s="21">
        <f t="shared" si="81"/>
        <v>491208.05843253998</v>
      </c>
      <c r="P522" s="21">
        <f t="shared" si="82"/>
        <v>491166.00779476098</v>
      </c>
      <c r="Q522" s="21">
        <f t="shared" si="83"/>
        <v>5384368.6516569927</v>
      </c>
      <c r="R522" s="21">
        <f t="shared" si="84"/>
        <v>5712195.201405691</v>
      </c>
      <c r="S522" s="21">
        <f t="shared" si="85"/>
        <v>327826.54974869825</v>
      </c>
      <c r="T522" s="14">
        <f>IFERROR(INDEX(Cost_Components!$R$2:$R$27,MATCH(E522,Cost_Components!$A$2:$A$27,0)),"")</f>
        <v>1</v>
      </c>
      <c r="U522" s="24">
        <f>IFERROR(INDEX(Cost_Components!$Q$2:$Q$27,MATCH(E522,Cost_Components!$A$2:$A$27,0)),"")</f>
        <v>2023</v>
      </c>
      <c r="V522" s="28">
        <f>1/(1+Calculation_Assumptions!$B$5)^(B522-Calculation_Assumptions!$B$2)</f>
        <v>1</v>
      </c>
      <c r="W522" s="21">
        <f t="shared" si="86"/>
        <v>5384368.6516569927</v>
      </c>
      <c r="X522" s="21">
        <f t="shared" si="87"/>
        <v>5712195.201405691</v>
      </c>
      <c r="Y522" s="21">
        <f t="shared" si="88"/>
        <v>327826.54974869825</v>
      </c>
      <c r="Z522" s="15">
        <f>IFERROR(INDEX(Cost_Components!$T$2:$T$27,MATCH(E522,Cost_Components!$A$2:$A$27,0)),"")</f>
        <v>0.8</v>
      </c>
      <c r="AA522" s="24">
        <f>IFERROR(INDEX(Cost_Components!$U$2:$U$27,MATCH(E522,Cost_Components!$A$2:$A$27,0)),"")</f>
        <v>2025</v>
      </c>
      <c r="AB522" s="24">
        <f>IFERROR(INDEX(Cost_Components!$V$2:$V$27,MATCH(E522,Cost_Components!$A$2:$A$27,0)),"")</f>
        <v>2050</v>
      </c>
      <c r="AC522" s="24">
        <f>IFERROR(INDEX(Cost_Components!$M$2:$M$27,MATCH(E522,Cost_Components!$A$2:$A$27,0)),"")</f>
        <v>30</v>
      </c>
      <c r="AD522" s="24">
        <f>IFERROR(INDEX(Cost_Components!$N$2:$N$27,MATCH(E522,Cost_Components!$A$2:$A$27,0)),"")</f>
        <v>95</v>
      </c>
      <c r="AE522" s="14" t="str">
        <f>IFERROR(INDEX(Cost_Components!$O$2:$O$27,MATCH(E522,Cost_Components!$A$2:$A$27,0)),"")</f>
        <v>Both</v>
      </c>
      <c r="AF522" s="11">
        <v>982416.11686507997</v>
      </c>
      <c r="AG522" s="11">
        <v>982332.01558952197</v>
      </c>
      <c r="AH522" s="21">
        <f t="shared" si="89"/>
        <v>1</v>
      </c>
    </row>
    <row r="523" spans="1:34" hidden="1">
      <c r="A523" t="s">
        <v>217</v>
      </c>
      <c r="B523" s="18">
        <v>2026</v>
      </c>
      <c r="C523" t="s">
        <v>217</v>
      </c>
      <c r="D523" t="s">
        <v>173</v>
      </c>
      <c r="E523" s="20" t="s">
        <v>308</v>
      </c>
      <c r="F523" s="20" t="s">
        <v>309</v>
      </c>
      <c r="G523" s="20" t="s">
        <v>218</v>
      </c>
      <c r="H523" s="20" t="s">
        <v>192</v>
      </c>
      <c r="I523" s="20" t="s">
        <v>264</v>
      </c>
      <c r="J523" s="15">
        <f>IFERROR(INDEX(Cost_Components!$K$2:$K$27,MATCH(E523,Cost_Components!$A$2:$A$27,0)),"")</f>
        <v>0.5</v>
      </c>
      <c r="K523" s="15">
        <f t="shared" si="80"/>
        <v>0.34769230769230769</v>
      </c>
      <c r="L523" s="15">
        <f>IFERROR(INDEX(Cost_Components!$S$2:$S$27,MATCH(E523,Cost_Components!$A$2:$A$27,0)),"")</f>
        <v>0.31</v>
      </c>
      <c r="M523" s="26">
        <f>IFERROR(INDEX(Cost_Components!$L$2:$L$27,MATCH(E523,Cost_Components!$A$2:$A$27,0)),"")</f>
        <v>1</v>
      </c>
      <c r="N523" s="27">
        <f>IFERROR(INDEX(Cost_Components!$P$2:$P$27,MATCH(E523,Cost_Components!$A$2:$A$27,0)),"")</f>
        <v>35.362648999999998</v>
      </c>
      <c r="O523" s="21">
        <f t="shared" si="81"/>
        <v>500187.48408709501</v>
      </c>
      <c r="P523" s="21">
        <f t="shared" si="82"/>
        <v>500079.81204225501</v>
      </c>
      <c r="Q523" s="21">
        <f t="shared" si="83"/>
        <v>5482085.5282232324</v>
      </c>
      <c r="R523" s="21">
        <f t="shared" si="84"/>
        <v>6149965.6955016851</v>
      </c>
      <c r="S523" s="21">
        <f t="shared" si="85"/>
        <v>667880.16727845278</v>
      </c>
      <c r="T523" s="14">
        <f>IFERROR(INDEX(Cost_Components!$R$2:$R$27,MATCH(E523,Cost_Components!$A$2:$A$27,0)),"")</f>
        <v>1</v>
      </c>
      <c r="U523" s="24">
        <f>IFERROR(INDEX(Cost_Components!$Q$2:$Q$27,MATCH(E523,Cost_Components!$A$2:$A$27,0)),"")</f>
        <v>2023</v>
      </c>
      <c r="V523" s="28">
        <f>1/(1+Calculation_Assumptions!$B$5)^(B523-Calculation_Assumptions!$B$2)</f>
        <v>0.970873786407767</v>
      </c>
      <c r="W523" s="21">
        <f t="shared" si="86"/>
        <v>5322413.1341973133</v>
      </c>
      <c r="X523" s="21">
        <f t="shared" si="87"/>
        <v>5970840.4810695974</v>
      </c>
      <c r="Y523" s="21">
        <f t="shared" si="88"/>
        <v>648427.34687228431</v>
      </c>
      <c r="Z523" s="15">
        <f>IFERROR(INDEX(Cost_Components!$T$2:$T$27,MATCH(E523,Cost_Components!$A$2:$A$27,0)),"")</f>
        <v>0.8</v>
      </c>
      <c r="AA523" s="24">
        <f>IFERROR(INDEX(Cost_Components!$U$2:$U$27,MATCH(E523,Cost_Components!$A$2:$A$27,0)),"")</f>
        <v>2025</v>
      </c>
      <c r="AB523" s="24">
        <f>IFERROR(INDEX(Cost_Components!$V$2:$V$27,MATCH(E523,Cost_Components!$A$2:$A$27,0)),"")</f>
        <v>2050</v>
      </c>
      <c r="AC523" s="24">
        <f>IFERROR(INDEX(Cost_Components!$M$2:$M$27,MATCH(E523,Cost_Components!$A$2:$A$27,0)),"")</f>
        <v>30</v>
      </c>
      <c r="AD523" s="24">
        <f>IFERROR(INDEX(Cost_Components!$N$2:$N$27,MATCH(E523,Cost_Components!$A$2:$A$27,0)),"")</f>
        <v>95</v>
      </c>
      <c r="AE523" s="14" t="str">
        <f>IFERROR(INDEX(Cost_Components!$O$2:$O$27,MATCH(E523,Cost_Components!$A$2:$A$27,0)),"")</f>
        <v>Both</v>
      </c>
      <c r="AF523" s="11">
        <v>1000374.96817419</v>
      </c>
      <c r="AG523" s="11">
        <v>1000159.62408451</v>
      </c>
      <c r="AH523" s="21">
        <f t="shared" si="89"/>
        <v>1</v>
      </c>
    </row>
    <row r="524" spans="1:34" hidden="1">
      <c r="A524" t="s">
        <v>217</v>
      </c>
      <c r="B524" s="18">
        <v>2027</v>
      </c>
      <c r="C524" t="s">
        <v>217</v>
      </c>
      <c r="D524" t="s">
        <v>173</v>
      </c>
      <c r="E524" s="20" t="s">
        <v>308</v>
      </c>
      <c r="F524" s="20" t="s">
        <v>309</v>
      </c>
      <c r="G524" s="20" t="s">
        <v>218</v>
      </c>
      <c r="H524" s="20" t="s">
        <v>192</v>
      </c>
      <c r="I524" s="20" t="s">
        <v>264</v>
      </c>
      <c r="J524" s="15">
        <f>IFERROR(INDEX(Cost_Components!$K$2:$K$27,MATCH(E524,Cost_Components!$A$2:$A$27,0)),"")</f>
        <v>0.5</v>
      </c>
      <c r="K524" s="15">
        <f t="shared" si="80"/>
        <v>0.36653846153846154</v>
      </c>
      <c r="L524" s="15">
        <f>IFERROR(INDEX(Cost_Components!$S$2:$S$27,MATCH(E524,Cost_Components!$A$2:$A$27,0)),"")</f>
        <v>0.31</v>
      </c>
      <c r="M524" s="26">
        <f>IFERROR(INDEX(Cost_Components!$L$2:$L$27,MATCH(E524,Cost_Components!$A$2:$A$27,0)),"")</f>
        <v>1</v>
      </c>
      <c r="N524" s="27">
        <f>IFERROR(INDEX(Cost_Components!$P$2:$P$27,MATCH(E524,Cost_Components!$A$2:$A$27,0)),"")</f>
        <v>35.362648999999998</v>
      </c>
      <c r="O524" s="21">
        <f t="shared" si="81"/>
        <v>509119.32909407502</v>
      </c>
      <c r="P524" s="21">
        <f t="shared" si="82"/>
        <v>508929.77884367498</v>
      </c>
      <c r="Q524" s="21">
        <f t="shared" si="83"/>
        <v>5579102.5918179164</v>
      </c>
      <c r="R524" s="21">
        <f t="shared" si="84"/>
        <v>6599088.1352220792</v>
      </c>
      <c r="S524" s="21">
        <f t="shared" si="85"/>
        <v>1019985.5434041629</v>
      </c>
      <c r="T524" s="14">
        <f>IFERROR(INDEX(Cost_Components!$R$2:$R$27,MATCH(E524,Cost_Components!$A$2:$A$27,0)),"")</f>
        <v>1</v>
      </c>
      <c r="U524" s="24">
        <f>IFERROR(INDEX(Cost_Components!$Q$2:$Q$27,MATCH(E524,Cost_Components!$A$2:$A$27,0)),"")</f>
        <v>2023</v>
      </c>
      <c r="V524" s="28">
        <f>1/(1+Calculation_Assumptions!$B$5)^(B524-Calculation_Assumptions!$B$2)</f>
        <v>0.94259590913375435</v>
      </c>
      <c r="W524" s="21">
        <f t="shared" si="86"/>
        <v>5258839.279685094</v>
      </c>
      <c r="X524" s="21">
        <f t="shared" si="87"/>
        <v>6220273.4802734274</v>
      </c>
      <c r="Y524" s="21">
        <f t="shared" si="88"/>
        <v>961434.2005883333</v>
      </c>
      <c r="Z524" s="15">
        <f>IFERROR(INDEX(Cost_Components!$T$2:$T$27,MATCH(E524,Cost_Components!$A$2:$A$27,0)),"")</f>
        <v>0.8</v>
      </c>
      <c r="AA524" s="24">
        <f>IFERROR(INDEX(Cost_Components!$U$2:$U$27,MATCH(E524,Cost_Components!$A$2:$A$27,0)),"")</f>
        <v>2025</v>
      </c>
      <c r="AB524" s="24">
        <f>IFERROR(INDEX(Cost_Components!$V$2:$V$27,MATCH(E524,Cost_Components!$A$2:$A$27,0)),"")</f>
        <v>2050</v>
      </c>
      <c r="AC524" s="24">
        <f>IFERROR(INDEX(Cost_Components!$M$2:$M$27,MATCH(E524,Cost_Components!$A$2:$A$27,0)),"")</f>
        <v>30</v>
      </c>
      <c r="AD524" s="24">
        <f>IFERROR(INDEX(Cost_Components!$N$2:$N$27,MATCH(E524,Cost_Components!$A$2:$A$27,0)),"")</f>
        <v>95</v>
      </c>
      <c r="AE524" s="14" t="str">
        <f>IFERROR(INDEX(Cost_Components!$O$2:$O$27,MATCH(E524,Cost_Components!$A$2:$A$27,0)),"")</f>
        <v>Both</v>
      </c>
      <c r="AF524" s="11">
        <v>1018238.65818815</v>
      </c>
      <c r="AG524" s="11">
        <v>1017859.55768735</v>
      </c>
      <c r="AH524" s="21">
        <f t="shared" si="89"/>
        <v>1</v>
      </c>
    </row>
    <row r="525" spans="1:34" hidden="1">
      <c r="A525" t="s">
        <v>217</v>
      </c>
      <c r="B525" s="18">
        <v>2028</v>
      </c>
      <c r="C525" t="s">
        <v>217</v>
      </c>
      <c r="D525" t="s">
        <v>173</v>
      </c>
      <c r="E525" s="20" t="s">
        <v>308</v>
      </c>
      <c r="F525" s="20" t="s">
        <v>309</v>
      </c>
      <c r="G525" s="20" t="s">
        <v>218</v>
      </c>
      <c r="H525" s="20" t="s">
        <v>192</v>
      </c>
      <c r="I525" s="20" t="s">
        <v>264</v>
      </c>
      <c r="J525" s="15">
        <f>IFERROR(INDEX(Cost_Components!$K$2:$K$27,MATCH(E525,Cost_Components!$A$2:$A$27,0)),"")</f>
        <v>0.5</v>
      </c>
      <c r="K525" s="15">
        <f t="shared" si="80"/>
        <v>0.38538461538461538</v>
      </c>
      <c r="L525" s="15">
        <f>IFERROR(INDEX(Cost_Components!$S$2:$S$27,MATCH(E525,Cost_Components!$A$2:$A$27,0)),"")</f>
        <v>0.31</v>
      </c>
      <c r="M525" s="26">
        <f>IFERROR(INDEX(Cost_Components!$L$2:$L$27,MATCH(E525,Cost_Components!$A$2:$A$27,0)),"")</f>
        <v>1</v>
      </c>
      <c r="N525" s="27">
        <f>IFERROR(INDEX(Cost_Components!$P$2:$P$27,MATCH(E525,Cost_Components!$A$2:$A$27,0)),"")</f>
        <v>35.362648999999998</v>
      </c>
      <c r="O525" s="21">
        <f t="shared" si="81"/>
        <v>517880.64004142501</v>
      </c>
      <c r="P525" s="21">
        <f t="shared" si="82"/>
        <v>517596.86272902502</v>
      </c>
      <c r="Q525" s="21">
        <f t="shared" si="83"/>
        <v>5674114.8158581844</v>
      </c>
      <c r="R525" s="21">
        <f t="shared" si="84"/>
        <v>7057791.7539521605</v>
      </c>
      <c r="S525" s="21">
        <f t="shared" si="85"/>
        <v>1383676.9380939761</v>
      </c>
      <c r="T525" s="14">
        <f>IFERROR(INDEX(Cost_Components!$R$2:$R$27,MATCH(E525,Cost_Components!$A$2:$A$27,0)),"")</f>
        <v>1</v>
      </c>
      <c r="U525" s="24">
        <f>IFERROR(INDEX(Cost_Components!$Q$2:$Q$27,MATCH(E525,Cost_Components!$A$2:$A$27,0)),"")</f>
        <v>2023</v>
      </c>
      <c r="V525" s="28">
        <f>1/(1+Calculation_Assumptions!$B$5)^(B525-Calculation_Assumptions!$B$2)</f>
        <v>0.91514165935315961</v>
      </c>
      <c r="W525" s="21">
        <f t="shared" si="86"/>
        <v>5192618.8479448063</v>
      </c>
      <c r="X525" s="21">
        <f t="shared" si="87"/>
        <v>6458879.2570808269</v>
      </c>
      <c r="Y525" s="21">
        <f t="shared" si="88"/>
        <v>1266260.4091360203</v>
      </c>
      <c r="Z525" s="15">
        <f>IFERROR(INDEX(Cost_Components!$T$2:$T$27,MATCH(E525,Cost_Components!$A$2:$A$27,0)),"")</f>
        <v>0.8</v>
      </c>
      <c r="AA525" s="24">
        <f>IFERROR(INDEX(Cost_Components!$U$2:$U$27,MATCH(E525,Cost_Components!$A$2:$A$27,0)),"")</f>
        <v>2025</v>
      </c>
      <c r="AB525" s="24">
        <f>IFERROR(INDEX(Cost_Components!$V$2:$V$27,MATCH(E525,Cost_Components!$A$2:$A$27,0)),"")</f>
        <v>2050</v>
      </c>
      <c r="AC525" s="24">
        <f>IFERROR(INDEX(Cost_Components!$M$2:$M$27,MATCH(E525,Cost_Components!$A$2:$A$27,0)),"")</f>
        <v>30</v>
      </c>
      <c r="AD525" s="24">
        <f>IFERROR(INDEX(Cost_Components!$N$2:$N$27,MATCH(E525,Cost_Components!$A$2:$A$27,0)),"")</f>
        <v>95</v>
      </c>
      <c r="AE525" s="14" t="str">
        <f>IFERROR(INDEX(Cost_Components!$O$2:$O$27,MATCH(E525,Cost_Components!$A$2:$A$27,0)),"")</f>
        <v>Both</v>
      </c>
      <c r="AF525" s="11">
        <v>1035761.28008285</v>
      </c>
      <c r="AG525" s="11">
        <v>1035193.72545805</v>
      </c>
      <c r="AH525" s="21">
        <f t="shared" si="89"/>
        <v>1</v>
      </c>
    </row>
    <row r="526" spans="1:34" hidden="1">
      <c r="A526" t="s">
        <v>217</v>
      </c>
      <c r="B526" s="18">
        <v>2029</v>
      </c>
      <c r="C526" t="s">
        <v>217</v>
      </c>
      <c r="D526" t="s">
        <v>173</v>
      </c>
      <c r="E526" s="20" t="s">
        <v>308</v>
      </c>
      <c r="F526" s="20" t="s">
        <v>309</v>
      </c>
      <c r="G526" s="20" t="s">
        <v>218</v>
      </c>
      <c r="H526" s="20" t="s">
        <v>192</v>
      </c>
      <c r="I526" s="20" t="s">
        <v>264</v>
      </c>
      <c r="J526" s="15">
        <f>IFERROR(INDEX(Cost_Components!$K$2:$K$27,MATCH(E526,Cost_Components!$A$2:$A$27,0)),"")</f>
        <v>0.5</v>
      </c>
      <c r="K526" s="15">
        <f t="shared" si="80"/>
        <v>0.40423076923076923</v>
      </c>
      <c r="L526" s="15">
        <f>IFERROR(INDEX(Cost_Components!$S$2:$S$27,MATCH(E526,Cost_Components!$A$2:$A$27,0)),"")</f>
        <v>0.31</v>
      </c>
      <c r="M526" s="26">
        <f>IFERROR(INDEX(Cost_Components!$L$2:$L$27,MATCH(E526,Cost_Components!$A$2:$A$27,0)),"")</f>
        <v>1</v>
      </c>
      <c r="N526" s="27">
        <f>IFERROR(INDEX(Cost_Components!$P$2:$P$27,MATCH(E526,Cost_Components!$A$2:$A$27,0)),"")</f>
        <v>35.362648999999998</v>
      </c>
      <c r="O526" s="21">
        <f t="shared" si="81"/>
        <v>526340.89115313999</v>
      </c>
      <c r="P526" s="21">
        <f t="shared" si="82"/>
        <v>525952.86807197495</v>
      </c>
      <c r="Q526" s="21">
        <f t="shared" si="83"/>
        <v>5765716.8658934925</v>
      </c>
      <c r="R526" s="21">
        <f t="shared" si="84"/>
        <v>7523869.7714591054</v>
      </c>
      <c r="S526" s="21">
        <f t="shared" si="85"/>
        <v>1758152.9055656129</v>
      </c>
      <c r="T526" s="14">
        <f>IFERROR(INDEX(Cost_Components!$R$2:$R$27,MATCH(E526,Cost_Components!$A$2:$A$27,0)),"")</f>
        <v>1</v>
      </c>
      <c r="U526" s="24">
        <f>IFERROR(INDEX(Cost_Components!$Q$2:$Q$27,MATCH(E526,Cost_Components!$A$2:$A$27,0)),"")</f>
        <v>2023</v>
      </c>
      <c r="V526" s="28">
        <f>1/(1+Calculation_Assumptions!$B$5)^(B526-Calculation_Assumptions!$B$2)</f>
        <v>0.888487047915689</v>
      </c>
      <c r="W526" s="21">
        <f t="shared" si="86"/>
        <v>5122764.7572954074</v>
      </c>
      <c r="X526" s="21">
        <f t="shared" si="87"/>
        <v>6684860.8421457903</v>
      </c>
      <c r="Y526" s="21">
        <f t="shared" si="88"/>
        <v>1562096.0848503825</v>
      </c>
      <c r="Z526" s="15">
        <f>IFERROR(INDEX(Cost_Components!$T$2:$T$27,MATCH(E526,Cost_Components!$A$2:$A$27,0)),"")</f>
        <v>0.8</v>
      </c>
      <c r="AA526" s="24">
        <f>IFERROR(INDEX(Cost_Components!$U$2:$U$27,MATCH(E526,Cost_Components!$A$2:$A$27,0)),"")</f>
        <v>2025</v>
      </c>
      <c r="AB526" s="24">
        <f>IFERROR(INDEX(Cost_Components!$V$2:$V$27,MATCH(E526,Cost_Components!$A$2:$A$27,0)),"")</f>
        <v>2050</v>
      </c>
      <c r="AC526" s="24">
        <f>IFERROR(INDEX(Cost_Components!$M$2:$M$27,MATCH(E526,Cost_Components!$A$2:$A$27,0)),"")</f>
        <v>30</v>
      </c>
      <c r="AD526" s="24">
        <f>IFERROR(INDEX(Cost_Components!$N$2:$N$27,MATCH(E526,Cost_Components!$A$2:$A$27,0)),"")</f>
        <v>95</v>
      </c>
      <c r="AE526" s="14" t="str">
        <f>IFERROR(INDEX(Cost_Components!$O$2:$O$27,MATCH(E526,Cost_Components!$A$2:$A$27,0)),"")</f>
        <v>Both</v>
      </c>
      <c r="AF526" s="11">
        <v>1052681.78230628</v>
      </c>
      <c r="AG526" s="11">
        <v>1051905.7361439499</v>
      </c>
      <c r="AH526" s="21">
        <f t="shared" si="89"/>
        <v>1</v>
      </c>
    </row>
    <row r="527" spans="1:34" hidden="1">
      <c r="A527" t="s">
        <v>217</v>
      </c>
      <c r="B527" s="18">
        <v>2030</v>
      </c>
      <c r="C527" t="s">
        <v>217</v>
      </c>
      <c r="D527" t="s">
        <v>173</v>
      </c>
      <c r="E527" s="20" t="s">
        <v>308</v>
      </c>
      <c r="F527" s="20" t="s">
        <v>309</v>
      </c>
      <c r="G527" s="20" t="s">
        <v>218</v>
      </c>
      <c r="H527" s="20" t="s">
        <v>192</v>
      </c>
      <c r="I527" s="20" t="s">
        <v>264</v>
      </c>
      <c r="J527" s="15">
        <f>IFERROR(INDEX(Cost_Components!$K$2:$K$27,MATCH(E527,Cost_Components!$A$2:$A$27,0)),"")</f>
        <v>0.5</v>
      </c>
      <c r="K527" s="15">
        <f t="shared" si="80"/>
        <v>0.42307692307692307</v>
      </c>
      <c r="L527" s="15">
        <f>IFERROR(INDEX(Cost_Components!$S$2:$S$27,MATCH(E527,Cost_Components!$A$2:$A$27,0)),"")</f>
        <v>0.31</v>
      </c>
      <c r="M527" s="26">
        <f>IFERROR(INDEX(Cost_Components!$L$2:$L$27,MATCH(E527,Cost_Components!$A$2:$A$27,0)),"")</f>
        <v>1</v>
      </c>
      <c r="N527" s="27">
        <f>IFERROR(INDEX(Cost_Components!$P$2:$P$27,MATCH(E527,Cost_Components!$A$2:$A$27,0)),"")</f>
        <v>35.362648999999998</v>
      </c>
      <c r="O527" s="21">
        <f t="shared" si="81"/>
        <v>534461.62093723996</v>
      </c>
      <c r="P527" s="21">
        <f t="shared" si="82"/>
        <v>533960.83661125996</v>
      </c>
      <c r="Q527" s="21">
        <f t="shared" si="83"/>
        <v>5853503.5898974035</v>
      </c>
      <c r="R527" s="21">
        <f t="shared" si="84"/>
        <v>7996144.8368046666</v>
      </c>
      <c r="S527" s="21">
        <f t="shared" si="85"/>
        <v>2142641.2469072631</v>
      </c>
      <c r="T527" s="14">
        <f>IFERROR(INDEX(Cost_Components!$R$2:$R$27,MATCH(E527,Cost_Components!$A$2:$A$27,0)),"")</f>
        <v>1</v>
      </c>
      <c r="U527" s="24">
        <f>IFERROR(INDEX(Cost_Components!$Q$2:$Q$27,MATCH(E527,Cost_Components!$A$2:$A$27,0)),"")</f>
        <v>2023</v>
      </c>
      <c r="V527" s="28">
        <f>1/(1+Calculation_Assumptions!$B$5)^(B527-Calculation_Assumptions!$B$2)</f>
        <v>0.86260878438416411</v>
      </c>
      <c r="W527" s="21">
        <f t="shared" si="86"/>
        <v>5049283.6160697397</v>
      </c>
      <c r="X527" s="21">
        <f t="shared" si="87"/>
        <v>6897544.7774357833</v>
      </c>
      <c r="Y527" s="21">
        <f t="shared" si="88"/>
        <v>1848261.1613660438</v>
      </c>
      <c r="Z527" s="15">
        <f>IFERROR(INDEX(Cost_Components!$T$2:$T$27,MATCH(E527,Cost_Components!$A$2:$A$27,0)),"")</f>
        <v>0.8</v>
      </c>
      <c r="AA527" s="24">
        <f>IFERROR(INDEX(Cost_Components!$U$2:$U$27,MATCH(E527,Cost_Components!$A$2:$A$27,0)),"")</f>
        <v>2025</v>
      </c>
      <c r="AB527" s="24">
        <f>IFERROR(INDEX(Cost_Components!$V$2:$V$27,MATCH(E527,Cost_Components!$A$2:$A$27,0)),"")</f>
        <v>2050</v>
      </c>
      <c r="AC527" s="24">
        <f>IFERROR(INDEX(Cost_Components!$M$2:$M$27,MATCH(E527,Cost_Components!$A$2:$A$27,0)),"")</f>
        <v>30</v>
      </c>
      <c r="AD527" s="24">
        <f>IFERROR(INDEX(Cost_Components!$N$2:$N$27,MATCH(E527,Cost_Components!$A$2:$A$27,0)),"")</f>
        <v>95</v>
      </c>
      <c r="AE527" s="14" t="str">
        <f>IFERROR(INDEX(Cost_Components!$O$2:$O$27,MATCH(E527,Cost_Components!$A$2:$A$27,0)),"")</f>
        <v>Both</v>
      </c>
      <c r="AF527" s="11">
        <v>1068923.2418744799</v>
      </c>
      <c r="AG527" s="11">
        <v>1067921.6732225199</v>
      </c>
      <c r="AH527" s="21">
        <f t="shared" si="89"/>
        <v>1</v>
      </c>
    </row>
    <row r="528" spans="1:34" hidden="1">
      <c r="A528" t="s">
        <v>217</v>
      </c>
      <c r="B528" s="18">
        <v>2031</v>
      </c>
      <c r="C528" t="s">
        <v>217</v>
      </c>
      <c r="D528" t="s">
        <v>173</v>
      </c>
      <c r="E528" s="20" t="s">
        <v>308</v>
      </c>
      <c r="F528" s="20" t="s">
        <v>309</v>
      </c>
      <c r="G528" s="20" t="s">
        <v>218</v>
      </c>
      <c r="H528" s="20" t="s">
        <v>192</v>
      </c>
      <c r="I528" s="20" t="s">
        <v>264</v>
      </c>
      <c r="J528" s="15">
        <f>IFERROR(INDEX(Cost_Components!$K$2:$K$27,MATCH(E528,Cost_Components!$A$2:$A$27,0)),"")</f>
        <v>0.5</v>
      </c>
      <c r="K528" s="15">
        <f t="shared" si="80"/>
        <v>0.44192307692307692</v>
      </c>
      <c r="L528" s="15">
        <f>IFERROR(INDEX(Cost_Components!$S$2:$S$27,MATCH(E528,Cost_Components!$A$2:$A$27,0)),"")</f>
        <v>0.31</v>
      </c>
      <c r="M528" s="26">
        <f>IFERROR(INDEX(Cost_Components!$L$2:$L$27,MATCH(E528,Cost_Components!$A$2:$A$27,0)),"")</f>
        <v>1</v>
      </c>
      <c r="N528" s="27">
        <f>IFERROR(INDEX(Cost_Components!$P$2:$P$27,MATCH(E528,Cost_Components!$A$2:$A$27,0)),"")</f>
        <v>35.362648999999998</v>
      </c>
      <c r="O528" s="21">
        <f t="shared" si="81"/>
        <v>542273.46501959499</v>
      </c>
      <c r="P528" s="21">
        <f t="shared" si="82"/>
        <v>541652.49599249498</v>
      </c>
      <c r="Q528" s="21">
        <f t="shared" si="83"/>
        <v>5937822.7996845171</v>
      </c>
      <c r="R528" s="21">
        <f t="shared" si="84"/>
        <v>8474416.8885082565</v>
      </c>
      <c r="S528" s="21">
        <f t="shared" si="85"/>
        <v>2536594.0888237394</v>
      </c>
      <c r="T528" s="14">
        <f>IFERROR(INDEX(Cost_Components!$R$2:$R$27,MATCH(E528,Cost_Components!$A$2:$A$27,0)),"")</f>
        <v>1</v>
      </c>
      <c r="U528" s="24">
        <f>IFERROR(INDEX(Cost_Components!$Q$2:$Q$27,MATCH(E528,Cost_Components!$A$2:$A$27,0)),"")</f>
        <v>2023</v>
      </c>
      <c r="V528" s="28">
        <f>1/(1+Calculation_Assumptions!$B$5)^(B528-Calculation_Assumptions!$B$2)</f>
        <v>0.83748425668365445</v>
      </c>
      <c r="W528" s="21">
        <f t="shared" si="86"/>
        <v>4972833.1137130437</v>
      </c>
      <c r="X528" s="21">
        <f t="shared" si="87"/>
        <v>7097190.7286997447</v>
      </c>
      <c r="Y528" s="21">
        <f t="shared" si="88"/>
        <v>2124357.6149867014</v>
      </c>
      <c r="Z528" s="15">
        <f>IFERROR(INDEX(Cost_Components!$T$2:$T$27,MATCH(E528,Cost_Components!$A$2:$A$27,0)),"")</f>
        <v>0.8</v>
      </c>
      <c r="AA528" s="24">
        <f>IFERROR(INDEX(Cost_Components!$U$2:$U$27,MATCH(E528,Cost_Components!$A$2:$A$27,0)),"")</f>
        <v>2025</v>
      </c>
      <c r="AB528" s="24">
        <f>IFERROR(INDEX(Cost_Components!$V$2:$V$27,MATCH(E528,Cost_Components!$A$2:$A$27,0)),"")</f>
        <v>2050</v>
      </c>
      <c r="AC528" s="24">
        <f>IFERROR(INDEX(Cost_Components!$M$2:$M$27,MATCH(E528,Cost_Components!$A$2:$A$27,0)),"")</f>
        <v>30</v>
      </c>
      <c r="AD528" s="24">
        <f>IFERROR(INDEX(Cost_Components!$N$2:$N$27,MATCH(E528,Cost_Components!$A$2:$A$27,0)),"")</f>
        <v>95</v>
      </c>
      <c r="AE528" s="14" t="str">
        <f>IFERROR(INDEX(Cost_Components!$O$2:$O$27,MATCH(E528,Cost_Components!$A$2:$A$27,0)),"")</f>
        <v>Both</v>
      </c>
      <c r="AF528" s="11">
        <v>1084546.93003919</v>
      </c>
      <c r="AG528" s="11">
        <v>1083304.99198499</v>
      </c>
      <c r="AH528" s="21">
        <f t="shared" si="89"/>
        <v>1</v>
      </c>
    </row>
    <row r="529" spans="1:34" hidden="1">
      <c r="A529" t="s">
        <v>217</v>
      </c>
      <c r="B529" s="18">
        <v>2032</v>
      </c>
      <c r="C529" t="s">
        <v>217</v>
      </c>
      <c r="D529" t="s">
        <v>173</v>
      </c>
      <c r="E529" s="20" t="s">
        <v>308</v>
      </c>
      <c r="F529" s="20" t="s">
        <v>309</v>
      </c>
      <c r="G529" s="20" t="s">
        <v>218</v>
      </c>
      <c r="H529" s="20" t="s">
        <v>192</v>
      </c>
      <c r="I529" s="20" t="s">
        <v>264</v>
      </c>
      <c r="J529" s="15">
        <f>IFERROR(INDEX(Cost_Components!$K$2:$K$27,MATCH(E529,Cost_Components!$A$2:$A$27,0)),"")</f>
        <v>0.5</v>
      </c>
      <c r="K529" s="15">
        <f t="shared" si="80"/>
        <v>0.46076923076923082</v>
      </c>
      <c r="L529" s="15">
        <f>IFERROR(INDEX(Cost_Components!$S$2:$S$27,MATCH(E529,Cost_Components!$A$2:$A$27,0)),"")</f>
        <v>0.31</v>
      </c>
      <c r="M529" s="26">
        <f>IFERROR(INDEX(Cost_Components!$L$2:$L$27,MATCH(E529,Cost_Components!$A$2:$A$27,0)),"")</f>
        <v>1</v>
      </c>
      <c r="N529" s="27">
        <f>IFERROR(INDEX(Cost_Components!$P$2:$P$27,MATCH(E529,Cost_Components!$A$2:$A$27,0)),"")</f>
        <v>35.362648999999998</v>
      </c>
      <c r="O529" s="21">
        <f t="shared" si="81"/>
        <v>549770.86700017995</v>
      </c>
      <c r="P529" s="21">
        <f t="shared" si="82"/>
        <v>549023.30766605504</v>
      </c>
      <c r="Q529" s="21">
        <f t="shared" si="83"/>
        <v>6018624.7417622507</v>
      </c>
      <c r="R529" s="21">
        <f t="shared" si="84"/>
        <v>8957977.819916673</v>
      </c>
      <c r="S529" s="21">
        <f t="shared" si="85"/>
        <v>2939353.0781544223</v>
      </c>
      <c r="T529" s="14">
        <f>IFERROR(INDEX(Cost_Components!$R$2:$R$27,MATCH(E529,Cost_Components!$A$2:$A$27,0)),"")</f>
        <v>1</v>
      </c>
      <c r="U529" s="24">
        <f>IFERROR(INDEX(Cost_Components!$Q$2:$Q$27,MATCH(E529,Cost_Components!$A$2:$A$27,0)),"")</f>
        <v>2023</v>
      </c>
      <c r="V529" s="28">
        <f>1/(1+Calculation_Assumptions!$B$5)^(B529-Calculation_Assumptions!$B$2)</f>
        <v>0.81309151134335378</v>
      </c>
      <c r="W529" s="21">
        <f t="shared" si="86"/>
        <v>4893692.687487971</v>
      </c>
      <c r="X529" s="21">
        <f t="shared" si="87"/>
        <v>7283655.7241762895</v>
      </c>
      <c r="Y529" s="21">
        <f t="shared" si="88"/>
        <v>2389963.0366883185</v>
      </c>
      <c r="Z529" s="15">
        <f>IFERROR(INDEX(Cost_Components!$T$2:$T$27,MATCH(E529,Cost_Components!$A$2:$A$27,0)),"")</f>
        <v>0.8</v>
      </c>
      <c r="AA529" s="24">
        <f>IFERROR(INDEX(Cost_Components!$U$2:$U$27,MATCH(E529,Cost_Components!$A$2:$A$27,0)),"")</f>
        <v>2025</v>
      </c>
      <c r="AB529" s="24">
        <f>IFERROR(INDEX(Cost_Components!$V$2:$V$27,MATCH(E529,Cost_Components!$A$2:$A$27,0)),"")</f>
        <v>2050</v>
      </c>
      <c r="AC529" s="24">
        <f>IFERROR(INDEX(Cost_Components!$M$2:$M$27,MATCH(E529,Cost_Components!$A$2:$A$27,0)),"")</f>
        <v>30</v>
      </c>
      <c r="AD529" s="24">
        <f>IFERROR(INDEX(Cost_Components!$N$2:$N$27,MATCH(E529,Cost_Components!$A$2:$A$27,0)),"")</f>
        <v>95</v>
      </c>
      <c r="AE529" s="14" t="str">
        <f>IFERROR(INDEX(Cost_Components!$O$2:$O$27,MATCH(E529,Cost_Components!$A$2:$A$27,0)),"")</f>
        <v>Both</v>
      </c>
      <c r="AF529" s="11">
        <v>1099541.7340003599</v>
      </c>
      <c r="AG529" s="11">
        <v>1098046.6153321101</v>
      </c>
      <c r="AH529" s="21">
        <f t="shared" si="89"/>
        <v>1</v>
      </c>
    </row>
    <row r="530" spans="1:34" hidden="1">
      <c r="A530" t="s">
        <v>217</v>
      </c>
      <c r="B530" s="18">
        <v>2033</v>
      </c>
      <c r="C530" t="s">
        <v>217</v>
      </c>
      <c r="D530" t="s">
        <v>173</v>
      </c>
      <c r="E530" s="20" t="s">
        <v>308</v>
      </c>
      <c r="F530" s="20" t="s">
        <v>309</v>
      </c>
      <c r="G530" s="20" t="s">
        <v>218</v>
      </c>
      <c r="H530" s="20" t="s">
        <v>192</v>
      </c>
      <c r="I530" s="20" t="s">
        <v>264</v>
      </c>
      <c r="J530" s="15">
        <f>IFERROR(INDEX(Cost_Components!$K$2:$K$27,MATCH(E530,Cost_Components!$A$2:$A$27,0)),"")</f>
        <v>0.5</v>
      </c>
      <c r="K530" s="15">
        <f t="shared" si="80"/>
        <v>0.47961538461538467</v>
      </c>
      <c r="L530" s="15">
        <f>IFERROR(INDEX(Cost_Components!$S$2:$S$27,MATCH(E530,Cost_Components!$A$2:$A$27,0)),"")</f>
        <v>0.31</v>
      </c>
      <c r="M530" s="26">
        <f>IFERROR(INDEX(Cost_Components!$L$2:$L$27,MATCH(E530,Cost_Components!$A$2:$A$27,0)),"")</f>
        <v>1</v>
      </c>
      <c r="N530" s="27">
        <f>IFERROR(INDEX(Cost_Components!$P$2:$P$27,MATCH(E530,Cost_Components!$A$2:$A$27,0)),"")</f>
        <v>35.362648999999998</v>
      </c>
      <c r="O530" s="21">
        <f t="shared" si="81"/>
        <v>556963.904192955</v>
      </c>
      <c r="P530" s="21">
        <f t="shared" si="82"/>
        <v>556084.34994470002</v>
      </c>
      <c r="Q530" s="21">
        <f t="shared" si="83"/>
        <v>6096030.8612611545</v>
      </c>
      <c r="R530" s="21">
        <f t="shared" si="84"/>
        <v>9446369.8672720902</v>
      </c>
      <c r="S530" s="21">
        <f t="shared" si="85"/>
        <v>3350339.0060109356</v>
      </c>
      <c r="T530" s="14">
        <f>IFERROR(INDEX(Cost_Components!$R$2:$R$27,MATCH(E530,Cost_Components!$A$2:$A$27,0)),"")</f>
        <v>1</v>
      </c>
      <c r="U530" s="24">
        <f>IFERROR(INDEX(Cost_Components!$Q$2:$Q$27,MATCH(E530,Cost_Components!$A$2:$A$27,0)),"")</f>
        <v>2023</v>
      </c>
      <c r="V530" s="28">
        <f>1/(1+Calculation_Assumptions!$B$5)^(B530-Calculation_Assumptions!$B$2)</f>
        <v>0.78940923431393573</v>
      </c>
      <c r="W530" s="21">
        <f t="shared" si="86"/>
        <v>4812263.05454229</v>
      </c>
      <c r="X530" s="21">
        <f t="shared" si="87"/>
        <v>7457051.6039694957</v>
      </c>
      <c r="Y530" s="21">
        <f t="shared" si="88"/>
        <v>2644788.5494272052</v>
      </c>
      <c r="Z530" s="15">
        <f>IFERROR(INDEX(Cost_Components!$T$2:$T$27,MATCH(E530,Cost_Components!$A$2:$A$27,0)),"")</f>
        <v>0.8</v>
      </c>
      <c r="AA530" s="24">
        <f>IFERROR(INDEX(Cost_Components!$U$2:$U$27,MATCH(E530,Cost_Components!$A$2:$A$27,0)),"")</f>
        <v>2025</v>
      </c>
      <c r="AB530" s="24">
        <f>IFERROR(INDEX(Cost_Components!$V$2:$V$27,MATCH(E530,Cost_Components!$A$2:$A$27,0)),"")</f>
        <v>2050</v>
      </c>
      <c r="AC530" s="24">
        <f>IFERROR(INDEX(Cost_Components!$M$2:$M$27,MATCH(E530,Cost_Components!$A$2:$A$27,0)),"")</f>
        <v>30</v>
      </c>
      <c r="AD530" s="24">
        <f>IFERROR(INDEX(Cost_Components!$N$2:$N$27,MATCH(E530,Cost_Components!$A$2:$A$27,0)),"")</f>
        <v>95</v>
      </c>
      <c r="AE530" s="14" t="str">
        <f>IFERROR(INDEX(Cost_Components!$O$2:$O$27,MATCH(E530,Cost_Components!$A$2:$A$27,0)),"")</f>
        <v>Both</v>
      </c>
      <c r="AF530" s="11">
        <v>1113927.80838591</v>
      </c>
      <c r="AG530" s="11">
        <v>1112168.6998894</v>
      </c>
      <c r="AH530" s="21">
        <f t="shared" si="89"/>
        <v>1</v>
      </c>
    </row>
    <row r="531" spans="1:34" hidden="1">
      <c r="A531" t="s">
        <v>217</v>
      </c>
      <c r="B531" s="18">
        <v>2034</v>
      </c>
      <c r="C531" t="s">
        <v>217</v>
      </c>
      <c r="D531" t="s">
        <v>173</v>
      </c>
      <c r="E531" s="20" t="s">
        <v>308</v>
      </c>
      <c r="F531" s="20" t="s">
        <v>309</v>
      </c>
      <c r="G531" s="20" t="s">
        <v>218</v>
      </c>
      <c r="H531" s="20" t="s">
        <v>192</v>
      </c>
      <c r="I531" s="20" t="s">
        <v>264</v>
      </c>
      <c r="J531" s="15">
        <f>IFERROR(INDEX(Cost_Components!$K$2:$K$27,MATCH(E531,Cost_Components!$A$2:$A$27,0)),"")</f>
        <v>0.5</v>
      </c>
      <c r="K531" s="15">
        <f t="shared" si="80"/>
        <v>0.49846153846153851</v>
      </c>
      <c r="L531" s="15">
        <f>IFERROR(INDEX(Cost_Components!$S$2:$S$27,MATCH(E531,Cost_Components!$A$2:$A$27,0)),"")</f>
        <v>0.31</v>
      </c>
      <c r="M531" s="26">
        <f>IFERROR(INDEX(Cost_Components!$L$2:$L$27,MATCH(E531,Cost_Components!$A$2:$A$27,0)),"")</f>
        <v>1</v>
      </c>
      <c r="N531" s="27">
        <f>IFERROR(INDEX(Cost_Components!$P$2:$P$27,MATCH(E531,Cost_Components!$A$2:$A$27,0)),"")</f>
        <v>35.362648999999998</v>
      </c>
      <c r="O531" s="21">
        <f t="shared" si="81"/>
        <v>563930.89894503995</v>
      </c>
      <c r="P531" s="21">
        <f t="shared" si="82"/>
        <v>562914.69122867996</v>
      </c>
      <c r="Q531" s="21">
        <f t="shared" si="83"/>
        <v>6170907.939287588</v>
      </c>
      <c r="R531" s="21">
        <f t="shared" si="84"/>
        <v>9940365.0806860402</v>
      </c>
      <c r="S531" s="21">
        <f t="shared" si="85"/>
        <v>3769457.1413984522</v>
      </c>
      <c r="T531" s="14">
        <f>IFERROR(INDEX(Cost_Components!$R$2:$R$27,MATCH(E531,Cost_Components!$A$2:$A$27,0)),"")</f>
        <v>1</v>
      </c>
      <c r="U531" s="24">
        <f>IFERROR(INDEX(Cost_Components!$Q$2:$Q$27,MATCH(E531,Cost_Components!$A$2:$A$27,0)),"")</f>
        <v>2023</v>
      </c>
      <c r="V531" s="28">
        <f>1/(1+Calculation_Assumptions!$B$5)^(B531-Calculation_Assumptions!$B$2)</f>
        <v>0.76641673234362695</v>
      </c>
      <c r="W531" s="21">
        <f t="shared" si="86"/>
        <v>4729487.098422138</v>
      </c>
      <c r="X531" s="21">
        <f t="shared" si="87"/>
        <v>7618462.1234420883</v>
      </c>
      <c r="Y531" s="21">
        <f t="shared" si="88"/>
        <v>2888975.0250199507</v>
      </c>
      <c r="Z531" s="15">
        <f>IFERROR(INDEX(Cost_Components!$T$2:$T$27,MATCH(E531,Cost_Components!$A$2:$A$27,0)),"")</f>
        <v>0.8</v>
      </c>
      <c r="AA531" s="24">
        <f>IFERROR(INDEX(Cost_Components!$U$2:$U$27,MATCH(E531,Cost_Components!$A$2:$A$27,0)),"")</f>
        <v>2025</v>
      </c>
      <c r="AB531" s="24">
        <f>IFERROR(INDEX(Cost_Components!$V$2:$V$27,MATCH(E531,Cost_Components!$A$2:$A$27,0)),"")</f>
        <v>2050</v>
      </c>
      <c r="AC531" s="24">
        <f>IFERROR(INDEX(Cost_Components!$M$2:$M$27,MATCH(E531,Cost_Components!$A$2:$A$27,0)),"")</f>
        <v>30</v>
      </c>
      <c r="AD531" s="24">
        <f>IFERROR(INDEX(Cost_Components!$N$2:$N$27,MATCH(E531,Cost_Components!$A$2:$A$27,0)),"")</f>
        <v>95</v>
      </c>
      <c r="AE531" s="14" t="str">
        <f>IFERROR(INDEX(Cost_Components!$O$2:$O$27,MATCH(E531,Cost_Components!$A$2:$A$27,0)),"")</f>
        <v>Both</v>
      </c>
      <c r="AF531" s="11">
        <v>1127861.7978900799</v>
      </c>
      <c r="AG531" s="11">
        <v>1125829.3824573599</v>
      </c>
      <c r="AH531" s="21">
        <f t="shared" si="89"/>
        <v>1</v>
      </c>
    </row>
    <row r="532" spans="1:34" hidden="1">
      <c r="A532" t="s">
        <v>217</v>
      </c>
      <c r="B532" s="18">
        <v>2035</v>
      </c>
      <c r="C532" t="s">
        <v>217</v>
      </c>
      <c r="D532" t="s">
        <v>173</v>
      </c>
      <c r="E532" s="20" t="s">
        <v>308</v>
      </c>
      <c r="F532" s="20" t="s">
        <v>309</v>
      </c>
      <c r="G532" s="20" t="s">
        <v>218</v>
      </c>
      <c r="H532" s="20" t="s">
        <v>192</v>
      </c>
      <c r="I532" s="20" t="s">
        <v>264</v>
      </c>
      <c r="J532" s="15">
        <f>IFERROR(INDEX(Cost_Components!$K$2:$K$27,MATCH(E532,Cost_Components!$A$2:$A$27,0)),"")</f>
        <v>0.5</v>
      </c>
      <c r="K532" s="15">
        <f t="shared" si="80"/>
        <v>0.51730769230769236</v>
      </c>
      <c r="L532" s="15">
        <f>IFERROR(INDEX(Cost_Components!$S$2:$S$27,MATCH(E532,Cost_Components!$A$2:$A$27,0)),"")</f>
        <v>0.31</v>
      </c>
      <c r="M532" s="26">
        <f>IFERROR(INDEX(Cost_Components!$L$2:$L$27,MATCH(E532,Cost_Components!$A$2:$A$27,0)),"")</f>
        <v>1</v>
      </c>
      <c r="N532" s="27">
        <f>IFERROR(INDEX(Cost_Components!$P$2:$P$27,MATCH(E532,Cost_Components!$A$2:$A$27,0)),"")</f>
        <v>35.362648999999998</v>
      </c>
      <c r="O532" s="21">
        <f t="shared" si="81"/>
        <v>570740.04491933505</v>
      </c>
      <c r="P532" s="21">
        <f t="shared" si="82"/>
        <v>569583.09548001003</v>
      </c>
      <c r="Q532" s="21">
        <f t="shared" si="83"/>
        <v>6244009.7953558546</v>
      </c>
      <c r="R532" s="21">
        <f t="shared" si="84"/>
        <v>10440759.014187455</v>
      </c>
      <c r="S532" s="21">
        <f t="shared" si="85"/>
        <v>4196749.2188316006</v>
      </c>
      <c r="T532" s="14">
        <f>IFERROR(INDEX(Cost_Components!$R$2:$R$27,MATCH(E532,Cost_Components!$A$2:$A$27,0)),"")</f>
        <v>1</v>
      </c>
      <c r="U532" s="24">
        <f>IFERROR(INDEX(Cost_Components!$Q$2:$Q$27,MATCH(E532,Cost_Components!$A$2:$A$27,0)),"")</f>
        <v>2023</v>
      </c>
      <c r="V532" s="28">
        <f>1/(1+Calculation_Assumptions!$B$5)^(B532-Calculation_Assumptions!$B$2)</f>
        <v>0.74409391489672516</v>
      </c>
      <c r="W532" s="21">
        <f t="shared" si="86"/>
        <v>4646129.6932798373</v>
      </c>
      <c r="X532" s="21">
        <f t="shared" si="87"/>
        <v>7768905.2493600165</v>
      </c>
      <c r="Y532" s="21">
        <f t="shared" si="88"/>
        <v>3122775.5560801788</v>
      </c>
      <c r="Z532" s="15">
        <f>IFERROR(INDEX(Cost_Components!$T$2:$T$27,MATCH(E532,Cost_Components!$A$2:$A$27,0)),"")</f>
        <v>0.8</v>
      </c>
      <c r="AA532" s="24">
        <f>IFERROR(INDEX(Cost_Components!$U$2:$U$27,MATCH(E532,Cost_Components!$A$2:$A$27,0)),"")</f>
        <v>2025</v>
      </c>
      <c r="AB532" s="24">
        <f>IFERROR(INDEX(Cost_Components!$V$2:$V$27,MATCH(E532,Cost_Components!$A$2:$A$27,0)),"")</f>
        <v>2050</v>
      </c>
      <c r="AC532" s="24">
        <f>IFERROR(INDEX(Cost_Components!$M$2:$M$27,MATCH(E532,Cost_Components!$A$2:$A$27,0)),"")</f>
        <v>30</v>
      </c>
      <c r="AD532" s="24">
        <f>IFERROR(INDEX(Cost_Components!$N$2:$N$27,MATCH(E532,Cost_Components!$A$2:$A$27,0)),"")</f>
        <v>95</v>
      </c>
      <c r="AE532" s="14" t="str">
        <f>IFERROR(INDEX(Cost_Components!$O$2:$O$27,MATCH(E532,Cost_Components!$A$2:$A$27,0)),"")</f>
        <v>Both</v>
      </c>
      <c r="AF532" s="11">
        <v>1141480.0898386701</v>
      </c>
      <c r="AG532" s="11">
        <v>1139166.1909600201</v>
      </c>
      <c r="AH532" s="21">
        <f t="shared" si="89"/>
        <v>1</v>
      </c>
    </row>
    <row r="533" spans="1:34" hidden="1">
      <c r="A533" t="s">
        <v>217</v>
      </c>
      <c r="B533" s="18">
        <v>2036</v>
      </c>
      <c r="C533" t="s">
        <v>217</v>
      </c>
      <c r="D533" t="s">
        <v>173</v>
      </c>
      <c r="E533" s="20" t="s">
        <v>308</v>
      </c>
      <c r="F533" s="20" t="s">
        <v>309</v>
      </c>
      <c r="G533" s="20" t="s">
        <v>218</v>
      </c>
      <c r="H533" s="20" t="s">
        <v>192</v>
      </c>
      <c r="I533" s="20" t="s">
        <v>264</v>
      </c>
      <c r="J533" s="15">
        <f>IFERROR(INDEX(Cost_Components!$K$2:$K$27,MATCH(E533,Cost_Components!$A$2:$A$27,0)),"")</f>
        <v>0.5</v>
      </c>
      <c r="K533" s="15">
        <f t="shared" si="80"/>
        <v>0.5361538461538462</v>
      </c>
      <c r="L533" s="15">
        <f>IFERROR(INDEX(Cost_Components!$S$2:$S$27,MATCH(E533,Cost_Components!$A$2:$A$27,0)),"")</f>
        <v>0.31</v>
      </c>
      <c r="M533" s="26">
        <f>IFERROR(INDEX(Cost_Components!$L$2:$L$27,MATCH(E533,Cost_Components!$A$2:$A$27,0)),"")</f>
        <v>1</v>
      </c>
      <c r="N533" s="27">
        <f>IFERROR(INDEX(Cost_Components!$P$2:$P$27,MATCH(E533,Cost_Components!$A$2:$A$27,0)),"")</f>
        <v>35.362648999999998</v>
      </c>
      <c r="O533" s="21">
        <f t="shared" si="81"/>
        <v>577399.55035316502</v>
      </c>
      <c r="P533" s="21">
        <f t="shared" si="82"/>
        <v>576098.28276520001</v>
      </c>
      <c r="Q533" s="21">
        <f t="shared" si="83"/>
        <v>6315432.0225078398</v>
      </c>
      <c r="R533" s="21">
        <f t="shared" si="84"/>
        <v>10947391.699563131</v>
      </c>
      <c r="S533" s="21">
        <f t="shared" si="85"/>
        <v>4631959.6770552909</v>
      </c>
      <c r="T533" s="14">
        <f>IFERROR(INDEX(Cost_Components!$R$2:$R$27,MATCH(E533,Cost_Components!$A$2:$A$27,0)),"")</f>
        <v>1</v>
      </c>
      <c r="U533" s="24">
        <f>IFERROR(INDEX(Cost_Components!$Q$2:$Q$27,MATCH(E533,Cost_Components!$A$2:$A$27,0)),"")</f>
        <v>2023</v>
      </c>
      <c r="V533" s="28">
        <f>1/(1+Calculation_Assumptions!$B$5)^(B533-Calculation_Assumptions!$B$2)</f>
        <v>0.72242127659876232</v>
      </c>
      <c r="W533" s="21">
        <f t="shared" si="86"/>
        <v>4562402.4639728172</v>
      </c>
      <c r="X533" s="21">
        <f t="shared" si="87"/>
        <v>7908628.6870250916</v>
      </c>
      <c r="Y533" s="21">
        <f t="shared" si="88"/>
        <v>3346226.223052274</v>
      </c>
      <c r="Z533" s="15">
        <f>IFERROR(INDEX(Cost_Components!$T$2:$T$27,MATCH(E533,Cost_Components!$A$2:$A$27,0)),"")</f>
        <v>0.8</v>
      </c>
      <c r="AA533" s="24">
        <f>IFERROR(INDEX(Cost_Components!$U$2:$U$27,MATCH(E533,Cost_Components!$A$2:$A$27,0)),"")</f>
        <v>2025</v>
      </c>
      <c r="AB533" s="24">
        <f>IFERROR(INDEX(Cost_Components!$V$2:$V$27,MATCH(E533,Cost_Components!$A$2:$A$27,0)),"")</f>
        <v>2050</v>
      </c>
      <c r="AC533" s="24">
        <f>IFERROR(INDEX(Cost_Components!$M$2:$M$27,MATCH(E533,Cost_Components!$A$2:$A$27,0)),"")</f>
        <v>30</v>
      </c>
      <c r="AD533" s="24">
        <f>IFERROR(INDEX(Cost_Components!$N$2:$N$27,MATCH(E533,Cost_Components!$A$2:$A$27,0)),"")</f>
        <v>95</v>
      </c>
      <c r="AE533" s="14" t="str">
        <f>IFERROR(INDEX(Cost_Components!$O$2:$O$27,MATCH(E533,Cost_Components!$A$2:$A$27,0)),"")</f>
        <v>Both</v>
      </c>
      <c r="AF533" s="11">
        <v>1154799.10070633</v>
      </c>
      <c r="AG533" s="11">
        <v>1152196.5655304</v>
      </c>
      <c r="AH533" s="21">
        <f t="shared" si="89"/>
        <v>1</v>
      </c>
    </row>
    <row r="534" spans="1:34" hidden="1">
      <c r="A534" t="s">
        <v>217</v>
      </c>
      <c r="B534" s="18">
        <v>2037</v>
      </c>
      <c r="C534" t="s">
        <v>217</v>
      </c>
      <c r="D534" t="s">
        <v>173</v>
      </c>
      <c r="E534" s="20" t="s">
        <v>308</v>
      </c>
      <c r="F534" s="20" t="s">
        <v>309</v>
      </c>
      <c r="G534" s="20" t="s">
        <v>218</v>
      </c>
      <c r="H534" s="20" t="s">
        <v>192</v>
      </c>
      <c r="I534" s="20" t="s">
        <v>264</v>
      </c>
      <c r="J534" s="15">
        <f>IFERROR(INDEX(Cost_Components!$K$2:$K$27,MATCH(E534,Cost_Components!$A$2:$A$27,0)),"")</f>
        <v>0.5</v>
      </c>
      <c r="K534" s="15">
        <f t="shared" si="80"/>
        <v>0.55500000000000005</v>
      </c>
      <c r="L534" s="15">
        <f>IFERROR(INDEX(Cost_Components!$S$2:$S$27,MATCH(E534,Cost_Components!$A$2:$A$27,0)),"")</f>
        <v>0.31</v>
      </c>
      <c r="M534" s="26">
        <f>IFERROR(INDEX(Cost_Components!$L$2:$L$27,MATCH(E534,Cost_Components!$A$2:$A$27,0)),"")</f>
        <v>1</v>
      </c>
      <c r="N534" s="27">
        <f>IFERROR(INDEX(Cost_Components!$P$2:$P$27,MATCH(E534,Cost_Components!$A$2:$A$27,0)),"")</f>
        <v>35.362648999999998</v>
      </c>
      <c r="O534" s="21">
        <f t="shared" si="81"/>
        <v>583916.27367823001</v>
      </c>
      <c r="P534" s="21">
        <f t="shared" si="82"/>
        <v>582467.54661059496</v>
      </c>
      <c r="Q534" s="21">
        <f t="shared" si="83"/>
        <v>6385254.5754512977</v>
      </c>
      <c r="R534" s="21">
        <f t="shared" si="84"/>
        <v>11460098.558466509</v>
      </c>
      <c r="S534" s="21">
        <f t="shared" si="85"/>
        <v>5074843.9830152113</v>
      </c>
      <c r="T534" s="14">
        <f>IFERROR(INDEX(Cost_Components!$R$2:$R$27,MATCH(E534,Cost_Components!$A$2:$A$27,0)),"")</f>
        <v>1</v>
      </c>
      <c r="U534" s="24">
        <f>IFERROR(INDEX(Cost_Components!$Q$2:$Q$27,MATCH(E534,Cost_Components!$A$2:$A$27,0)),"")</f>
        <v>2023</v>
      </c>
      <c r="V534" s="28">
        <f>1/(1+Calculation_Assumptions!$B$5)^(B534-Calculation_Assumptions!$B$2)</f>
        <v>0.70137988019297326</v>
      </c>
      <c r="W534" s="21">
        <f t="shared" si="86"/>
        <v>4478489.0891316654</v>
      </c>
      <c r="X534" s="21">
        <f t="shared" si="87"/>
        <v>8037882.5539369052</v>
      </c>
      <c r="Y534" s="21">
        <f t="shared" si="88"/>
        <v>3559393.4648052403</v>
      </c>
      <c r="Z534" s="15">
        <f>IFERROR(INDEX(Cost_Components!$T$2:$T$27,MATCH(E534,Cost_Components!$A$2:$A$27,0)),"")</f>
        <v>0.8</v>
      </c>
      <c r="AA534" s="24">
        <f>IFERROR(INDEX(Cost_Components!$U$2:$U$27,MATCH(E534,Cost_Components!$A$2:$A$27,0)),"")</f>
        <v>2025</v>
      </c>
      <c r="AB534" s="24">
        <f>IFERROR(INDEX(Cost_Components!$V$2:$V$27,MATCH(E534,Cost_Components!$A$2:$A$27,0)),"")</f>
        <v>2050</v>
      </c>
      <c r="AC534" s="24">
        <f>IFERROR(INDEX(Cost_Components!$M$2:$M$27,MATCH(E534,Cost_Components!$A$2:$A$27,0)),"")</f>
        <v>30</v>
      </c>
      <c r="AD534" s="24">
        <f>IFERROR(INDEX(Cost_Components!$N$2:$N$27,MATCH(E534,Cost_Components!$A$2:$A$27,0)),"")</f>
        <v>95</v>
      </c>
      <c r="AE534" s="14" t="str">
        <f>IFERROR(INDEX(Cost_Components!$O$2:$O$27,MATCH(E534,Cost_Components!$A$2:$A$27,0)),"")</f>
        <v>Both</v>
      </c>
      <c r="AF534" s="11">
        <v>1167832.54735646</v>
      </c>
      <c r="AG534" s="11">
        <v>1164935.0932211899</v>
      </c>
      <c r="AH534" s="21">
        <f t="shared" si="89"/>
        <v>1</v>
      </c>
    </row>
    <row r="535" spans="1:34" hidden="1">
      <c r="A535" t="s">
        <v>217</v>
      </c>
      <c r="B535" s="18">
        <v>2038</v>
      </c>
      <c r="C535" t="s">
        <v>217</v>
      </c>
      <c r="D535" t="s">
        <v>173</v>
      </c>
      <c r="E535" s="20" t="s">
        <v>308</v>
      </c>
      <c r="F535" s="20" t="s">
        <v>309</v>
      </c>
      <c r="G535" s="20" t="s">
        <v>218</v>
      </c>
      <c r="H535" s="20" t="s">
        <v>192</v>
      </c>
      <c r="I535" s="20" t="s">
        <v>264</v>
      </c>
      <c r="J535" s="15">
        <f>IFERROR(INDEX(Cost_Components!$K$2:$K$27,MATCH(E535,Cost_Components!$A$2:$A$27,0)),"")</f>
        <v>0.5</v>
      </c>
      <c r="K535" s="15">
        <f t="shared" si="80"/>
        <v>0.57384615384615389</v>
      </c>
      <c r="L535" s="15">
        <f>IFERROR(INDEX(Cost_Components!$S$2:$S$27,MATCH(E535,Cost_Components!$A$2:$A$27,0)),"")</f>
        <v>0.31</v>
      </c>
      <c r="M535" s="26">
        <f>IFERROR(INDEX(Cost_Components!$L$2:$L$27,MATCH(E535,Cost_Components!$A$2:$A$27,0)),"")</f>
        <v>1</v>
      </c>
      <c r="N535" s="27">
        <f>IFERROR(INDEX(Cost_Components!$P$2:$P$27,MATCH(E535,Cost_Components!$A$2:$A$27,0)),"")</f>
        <v>35.362648999999998</v>
      </c>
      <c r="O535" s="21">
        <f t="shared" si="81"/>
        <v>590261.16021782998</v>
      </c>
      <c r="P535" s="21">
        <f t="shared" si="82"/>
        <v>588662.15841064998</v>
      </c>
      <c r="Q535" s="21">
        <f t="shared" si="83"/>
        <v>6453162.5191120449</v>
      </c>
      <c r="R535" s="21">
        <f t="shared" si="84"/>
        <v>11978004.521098807</v>
      </c>
      <c r="S535" s="21">
        <f t="shared" si="85"/>
        <v>5524842.0019867625</v>
      </c>
      <c r="T535" s="14">
        <f>IFERROR(INDEX(Cost_Components!$R$2:$R$27,MATCH(E535,Cost_Components!$A$2:$A$27,0)),"")</f>
        <v>1</v>
      </c>
      <c r="U535" s="24">
        <f>IFERROR(INDEX(Cost_Components!$Q$2:$Q$27,MATCH(E535,Cost_Components!$A$2:$A$27,0)),"")</f>
        <v>2023</v>
      </c>
      <c r="V535" s="28">
        <f>1/(1+Calculation_Assumptions!$B$5)^(B535-Calculation_Assumptions!$B$2)</f>
        <v>0.68095133999317792</v>
      </c>
      <c r="W535" s="21">
        <f t="shared" si="86"/>
        <v>4394289.6645830991</v>
      </c>
      <c r="X535" s="21">
        <f t="shared" si="87"/>
        <v>8156438.229086576</v>
      </c>
      <c r="Y535" s="21">
        <f t="shared" si="88"/>
        <v>3762148.5645034779</v>
      </c>
      <c r="Z535" s="15">
        <f>IFERROR(INDEX(Cost_Components!$T$2:$T$27,MATCH(E535,Cost_Components!$A$2:$A$27,0)),"")</f>
        <v>0.8</v>
      </c>
      <c r="AA535" s="24">
        <f>IFERROR(INDEX(Cost_Components!$U$2:$U$27,MATCH(E535,Cost_Components!$A$2:$A$27,0)),"")</f>
        <v>2025</v>
      </c>
      <c r="AB535" s="24">
        <f>IFERROR(INDEX(Cost_Components!$V$2:$V$27,MATCH(E535,Cost_Components!$A$2:$A$27,0)),"")</f>
        <v>2050</v>
      </c>
      <c r="AC535" s="24">
        <f>IFERROR(INDEX(Cost_Components!$M$2:$M$27,MATCH(E535,Cost_Components!$A$2:$A$27,0)),"")</f>
        <v>30</v>
      </c>
      <c r="AD535" s="24">
        <f>IFERROR(INDEX(Cost_Components!$N$2:$N$27,MATCH(E535,Cost_Components!$A$2:$A$27,0)),"")</f>
        <v>95</v>
      </c>
      <c r="AE535" s="14" t="str">
        <f>IFERROR(INDEX(Cost_Components!$O$2:$O$27,MATCH(E535,Cost_Components!$A$2:$A$27,0)),"")</f>
        <v>Both</v>
      </c>
      <c r="AF535" s="11">
        <v>1180522.32043566</v>
      </c>
      <c r="AG535" s="11">
        <v>1177324.3168213</v>
      </c>
      <c r="AH535" s="21">
        <f t="shared" si="89"/>
        <v>1</v>
      </c>
    </row>
    <row r="536" spans="1:34" hidden="1">
      <c r="A536" t="s">
        <v>217</v>
      </c>
      <c r="B536" s="18">
        <v>2039</v>
      </c>
      <c r="C536" t="s">
        <v>217</v>
      </c>
      <c r="D536" t="s">
        <v>173</v>
      </c>
      <c r="E536" s="20" t="s">
        <v>308</v>
      </c>
      <c r="F536" s="20" t="s">
        <v>309</v>
      </c>
      <c r="G536" s="20" t="s">
        <v>218</v>
      </c>
      <c r="H536" s="20" t="s">
        <v>192</v>
      </c>
      <c r="I536" s="20" t="s">
        <v>264</v>
      </c>
      <c r="J536" s="15">
        <f>IFERROR(INDEX(Cost_Components!$K$2:$K$27,MATCH(E536,Cost_Components!$A$2:$A$27,0)),"")</f>
        <v>0.5</v>
      </c>
      <c r="K536" s="15">
        <f t="shared" si="80"/>
        <v>0.59269230769230763</v>
      </c>
      <c r="L536" s="15">
        <f>IFERROR(INDEX(Cost_Components!$S$2:$S$27,MATCH(E536,Cost_Components!$A$2:$A$27,0)),"")</f>
        <v>0.31</v>
      </c>
      <c r="M536" s="26">
        <f>IFERROR(INDEX(Cost_Components!$L$2:$L$27,MATCH(E536,Cost_Components!$A$2:$A$27,0)),"")</f>
        <v>1</v>
      </c>
      <c r="N536" s="27">
        <f>IFERROR(INDEX(Cost_Components!$P$2:$P$27,MATCH(E536,Cost_Components!$A$2:$A$27,0)),"")</f>
        <v>35.362648999999998</v>
      </c>
      <c r="O536" s="21">
        <f t="shared" si="81"/>
        <v>596415.10290943505</v>
      </c>
      <c r="P536" s="21">
        <f t="shared" si="82"/>
        <v>594663.262699735</v>
      </c>
      <c r="Q536" s="21">
        <f t="shared" si="83"/>
        <v>6518949.1519341115</v>
      </c>
      <c r="R536" s="21">
        <f t="shared" si="84"/>
        <v>12500365.557449898</v>
      </c>
      <c r="S536" s="21">
        <f t="shared" si="85"/>
        <v>5981416.4055157863</v>
      </c>
      <c r="T536" s="14">
        <f>IFERROR(INDEX(Cost_Components!$R$2:$R$27,MATCH(E536,Cost_Components!$A$2:$A$27,0)),"")</f>
        <v>1</v>
      </c>
      <c r="U536" s="24">
        <f>IFERROR(INDEX(Cost_Components!$Q$2:$Q$27,MATCH(E536,Cost_Components!$A$2:$A$27,0)),"")</f>
        <v>2023</v>
      </c>
      <c r="V536" s="28">
        <f>1/(1+Calculation_Assumptions!$B$5)^(B536-Calculation_Assumptions!$B$2)</f>
        <v>0.66111780581861923</v>
      </c>
      <c r="W536" s="21">
        <f t="shared" si="86"/>
        <v>4309793.359569828</v>
      </c>
      <c r="X536" s="21">
        <f t="shared" si="87"/>
        <v>8264214.2492719172</v>
      </c>
      <c r="Y536" s="21">
        <f t="shared" si="88"/>
        <v>3954420.8897020891</v>
      </c>
      <c r="Z536" s="15">
        <f>IFERROR(INDEX(Cost_Components!$T$2:$T$27,MATCH(E536,Cost_Components!$A$2:$A$27,0)),"")</f>
        <v>0.8</v>
      </c>
      <c r="AA536" s="24">
        <f>IFERROR(INDEX(Cost_Components!$U$2:$U$27,MATCH(E536,Cost_Components!$A$2:$A$27,0)),"")</f>
        <v>2025</v>
      </c>
      <c r="AB536" s="24">
        <f>IFERROR(INDEX(Cost_Components!$V$2:$V$27,MATCH(E536,Cost_Components!$A$2:$A$27,0)),"")</f>
        <v>2050</v>
      </c>
      <c r="AC536" s="24">
        <f>IFERROR(INDEX(Cost_Components!$M$2:$M$27,MATCH(E536,Cost_Components!$A$2:$A$27,0)),"")</f>
        <v>30</v>
      </c>
      <c r="AD536" s="24">
        <f>IFERROR(INDEX(Cost_Components!$N$2:$N$27,MATCH(E536,Cost_Components!$A$2:$A$27,0)),"")</f>
        <v>95</v>
      </c>
      <c r="AE536" s="14" t="str">
        <f>IFERROR(INDEX(Cost_Components!$O$2:$O$27,MATCH(E536,Cost_Components!$A$2:$A$27,0)),"")</f>
        <v>Both</v>
      </c>
      <c r="AF536" s="11">
        <v>1192830.2058188701</v>
      </c>
      <c r="AG536" s="11">
        <v>1189326.52539947</v>
      </c>
      <c r="AH536" s="21">
        <f t="shared" si="89"/>
        <v>1</v>
      </c>
    </row>
    <row r="537" spans="1:34" hidden="1">
      <c r="A537" t="s">
        <v>217</v>
      </c>
      <c r="B537" s="18">
        <v>2040</v>
      </c>
      <c r="C537" t="s">
        <v>217</v>
      </c>
      <c r="D537" t="s">
        <v>173</v>
      </c>
      <c r="E537" s="20" t="s">
        <v>308</v>
      </c>
      <c r="F537" s="20" t="s">
        <v>309</v>
      </c>
      <c r="G537" s="20" t="s">
        <v>218</v>
      </c>
      <c r="H537" s="20" t="s">
        <v>192</v>
      </c>
      <c r="I537" s="20" t="s">
        <v>264</v>
      </c>
      <c r="J537" s="15">
        <f>IFERROR(INDEX(Cost_Components!$K$2:$K$27,MATCH(E537,Cost_Components!$A$2:$A$27,0)),"")</f>
        <v>0.5</v>
      </c>
      <c r="K537" s="15">
        <f t="shared" si="80"/>
        <v>0.61153846153846159</v>
      </c>
      <c r="L537" s="15">
        <f>IFERROR(INDEX(Cost_Components!$S$2:$S$27,MATCH(E537,Cost_Components!$A$2:$A$27,0)),"")</f>
        <v>0.31</v>
      </c>
      <c r="M537" s="26">
        <f>IFERROR(INDEX(Cost_Components!$L$2:$L$27,MATCH(E537,Cost_Components!$A$2:$A$27,0)),"")</f>
        <v>1</v>
      </c>
      <c r="N537" s="27">
        <f>IFERROR(INDEX(Cost_Components!$P$2:$P$27,MATCH(E537,Cost_Components!$A$2:$A$27,0)),"")</f>
        <v>35.362648999999998</v>
      </c>
      <c r="O537" s="21">
        <f t="shared" si="81"/>
        <v>602510.755838315</v>
      </c>
      <c r="P537" s="21">
        <f t="shared" si="82"/>
        <v>600603.94068132504</v>
      </c>
      <c r="Q537" s="21">
        <f t="shared" si="83"/>
        <v>6584073.36612246</v>
      </c>
      <c r="R537" s="21">
        <f t="shared" si="84"/>
        <v>13029668.630816041</v>
      </c>
      <c r="S537" s="21">
        <f t="shared" si="85"/>
        <v>6445595.2646935806</v>
      </c>
      <c r="T537" s="14">
        <f>IFERROR(INDEX(Cost_Components!$R$2:$R$27,MATCH(E537,Cost_Components!$A$2:$A$27,0)),"")</f>
        <v>1</v>
      </c>
      <c r="U537" s="24">
        <f>IFERROR(INDEX(Cost_Components!$Q$2:$Q$27,MATCH(E537,Cost_Components!$A$2:$A$27,0)),"")</f>
        <v>2023</v>
      </c>
      <c r="V537" s="28">
        <f>1/(1+Calculation_Assumptions!$B$5)^(B537-Calculation_Assumptions!$B$2)</f>
        <v>0.64186194739671765</v>
      </c>
      <c r="W537" s="21">
        <f t="shared" si="86"/>
        <v>4226066.1525822245</v>
      </c>
      <c r="X537" s="21">
        <f t="shared" si="87"/>
        <v>8363248.481309507</v>
      </c>
      <c r="Y537" s="21">
        <f t="shared" si="88"/>
        <v>4137182.3287272835</v>
      </c>
      <c r="Z537" s="15">
        <f>IFERROR(INDEX(Cost_Components!$T$2:$T$27,MATCH(E537,Cost_Components!$A$2:$A$27,0)),"")</f>
        <v>0.8</v>
      </c>
      <c r="AA537" s="24">
        <f>IFERROR(INDEX(Cost_Components!$U$2:$U$27,MATCH(E537,Cost_Components!$A$2:$A$27,0)),"")</f>
        <v>2025</v>
      </c>
      <c r="AB537" s="24">
        <f>IFERROR(INDEX(Cost_Components!$V$2:$V$27,MATCH(E537,Cost_Components!$A$2:$A$27,0)),"")</f>
        <v>2050</v>
      </c>
      <c r="AC537" s="24">
        <f>IFERROR(INDEX(Cost_Components!$M$2:$M$27,MATCH(E537,Cost_Components!$A$2:$A$27,0)),"")</f>
        <v>30</v>
      </c>
      <c r="AD537" s="24">
        <f>IFERROR(INDEX(Cost_Components!$N$2:$N$27,MATCH(E537,Cost_Components!$A$2:$A$27,0)),"")</f>
        <v>95</v>
      </c>
      <c r="AE537" s="14" t="str">
        <f>IFERROR(INDEX(Cost_Components!$O$2:$O$27,MATCH(E537,Cost_Components!$A$2:$A$27,0)),"")</f>
        <v>Both</v>
      </c>
      <c r="AF537" s="11">
        <v>1205021.51167663</v>
      </c>
      <c r="AG537" s="11">
        <v>1201207.8813626501</v>
      </c>
      <c r="AH537" s="21">
        <f t="shared" si="89"/>
        <v>1</v>
      </c>
    </row>
    <row r="538" spans="1:34" hidden="1">
      <c r="A538" t="s">
        <v>217</v>
      </c>
      <c r="B538" s="18">
        <v>2041</v>
      </c>
      <c r="C538" t="s">
        <v>217</v>
      </c>
      <c r="D538" t="s">
        <v>173</v>
      </c>
      <c r="E538" s="20" t="s">
        <v>308</v>
      </c>
      <c r="F538" s="20" t="s">
        <v>309</v>
      </c>
      <c r="G538" s="20" t="s">
        <v>218</v>
      </c>
      <c r="H538" s="20" t="s">
        <v>192</v>
      </c>
      <c r="I538" s="20" t="s">
        <v>264</v>
      </c>
      <c r="J538" s="15">
        <f>IFERROR(INDEX(Cost_Components!$K$2:$K$27,MATCH(E538,Cost_Components!$A$2:$A$27,0)),"")</f>
        <v>0.5</v>
      </c>
      <c r="K538" s="15">
        <f t="shared" si="80"/>
        <v>0.63038461538461543</v>
      </c>
      <c r="L538" s="15">
        <f>IFERROR(INDEX(Cost_Components!$S$2:$S$27,MATCH(E538,Cost_Components!$A$2:$A$27,0)),"")</f>
        <v>0.31</v>
      </c>
      <c r="M538" s="26">
        <f>IFERROR(INDEX(Cost_Components!$L$2:$L$27,MATCH(E538,Cost_Components!$A$2:$A$27,0)),"")</f>
        <v>1</v>
      </c>
      <c r="N538" s="27">
        <f>IFERROR(INDEX(Cost_Components!$P$2:$P$27,MATCH(E538,Cost_Components!$A$2:$A$27,0)),"")</f>
        <v>35.362648999999998</v>
      </c>
      <c r="O538" s="21">
        <f t="shared" si="81"/>
        <v>608602.70458692999</v>
      </c>
      <c r="P538" s="21">
        <f t="shared" si="82"/>
        <v>606538.96964380005</v>
      </c>
      <c r="Q538" s="21">
        <f t="shared" si="83"/>
        <v>6649135.65338396</v>
      </c>
      <c r="R538" s="21">
        <f t="shared" si="84"/>
        <v>13567014.025192631</v>
      </c>
      <c r="S538" s="21">
        <f t="shared" si="85"/>
        <v>6917878.3718086714</v>
      </c>
      <c r="T538" s="14">
        <f>IFERROR(INDEX(Cost_Components!$R$2:$R$27,MATCH(E538,Cost_Components!$A$2:$A$27,0)),"")</f>
        <v>1</v>
      </c>
      <c r="U538" s="24">
        <f>IFERROR(INDEX(Cost_Components!$Q$2:$Q$27,MATCH(E538,Cost_Components!$A$2:$A$27,0)),"")</f>
        <v>2023</v>
      </c>
      <c r="V538" s="28">
        <f>1/(1+Calculation_Assumptions!$B$5)^(B538-Calculation_Assumptions!$B$2)</f>
        <v>0.62316693922011435</v>
      </c>
      <c r="W538" s="21">
        <f t="shared" si="86"/>
        <v>4143521.5135786175</v>
      </c>
      <c r="X538" s="21">
        <f t="shared" si="87"/>
        <v>8454514.6044356562</v>
      </c>
      <c r="Y538" s="21">
        <f t="shared" si="88"/>
        <v>4310993.0908570383</v>
      </c>
      <c r="Z538" s="15">
        <f>IFERROR(INDEX(Cost_Components!$T$2:$T$27,MATCH(E538,Cost_Components!$A$2:$A$27,0)),"")</f>
        <v>0.8</v>
      </c>
      <c r="AA538" s="24">
        <f>IFERROR(INDEX(Cost_Components!$U$2:$U$27,MATCH(E538,Cost_Components!$A$2:$A$27,0)),"")</f>
        <v>2025</v>
      </c>
      <c r="AB538" s="24">
        <f>IFERROR(INDEX(Cost_Components!$V$2:$V$27,MATCH(E538,Cost_Components!$A$2:$A$27,0)),"")</f>
        <v>2050</v>
      </c>
      <c r="AC538" s="24">
        <f>IFERROR(INDEX(Cost_Components!$M$2:$M$27,MATCH(E538,Cost_Components!$A$2:$A$27,0)),"")</f>
        <v>30</v>
      </c>
      <c r="AD538" s="24">
        <f>IFERROR(INDEX(Cost_Components!$N$2:$N$27,MATCH(E538,Cost_Components!$A$2:$A$27,0)),"")</f>
        <v>95</v>
      </c>
      <c r="AE538" s="14" t="str">
        <f>IFERROR(INDEX(Cost_Components!$O$2:$O$27,MATCH(E538,Cost_Components!$A$2:$A$27,0)),"")</f>
        <v>Both</v>
      </c>
      <c r="AF538" s="11">
        <v>1217205.40917386</v>
      </c>
      <c r="AG538" s="11">
        <v>1213077.9392876001</v>
      </c>
      <c r="AH538" s="21">
        <f t="shared" si="89"/>
        <v>1</v>
      </c>
    </row>
    <row r="539" spans="1:34" hidden="1">
      <c r="A539" t="s">
        <v>217</v>
      </c>
      <c r="B539" s="18">
        <v>2042</v>
      </c>
      <c r="C539" t="s">
        <v>217</v>
      </c>
      <c r="D539" t="s">
        <v>173</v>
      </c>
      <c r="E539" s="20" t="s">
        <v>308</v>
      </c>
      <c r="F539" s="20" t="s">
        <v>309</v>
      </c>
      <c r="G539" s="20" t="s">
        <v>218</v>
      </c>
      <c r="H539" s="20" t="s">
        <v>192</v>
      </c>
      <c r="I539" s="20" t="s">
        <v>264</v>
      </c>
      <c r="J539" s="15">
        <f>IFERROR(INDEX(Cost_Components!$K$2:$K$27,MATCH(E539,Cost_Components!$A$2:$A$27,0)),"")</f>
        <v>0.5</v>
      </c>
      <c r="K539" s="15">
        <f t="shared" si="80"/>
        <v>0.64923076923076928</v>
      </c>
      <c r="L539" s="15">
        <f>IFERROR(INDEX(Cost_Components!$S$2:$S$27,MATCH(E539,Cost_Components!$A$2:$A$27,0)),"")</f>
        <v>0.31</v>
      </c>
      <c r="M539" s="26">
        <f>IFERROR(INDEX(Cost_Components!$L$2:$L$27,MATCH(E539,Cost_Components!$A$2:$A$27,0)),"")</f>
        <v>1</v>
      </c>
      <c r="N539" s="27">
        <f>IFERROR(INDEX(Cost_Components!$P$2:$P$27,MATCH(E539,Cost_Components!$A$2:$A$27,0)),"")</f>
        <v>35.362648999999998</v>
      </c>
      <c r="O539" s="21">
        <f t="shared" si="81"/>
        <v>614635.05844317505</v>
      </c>
      <c r="P539" s="21">
        <f t="shared" si="82"/>
        <v>612412.60439144506</v>
      </c>
      <c r="Q539" s="21">
        <f t="shared" si="83"/>
        <v>6713524.9114038637</v>
      </c>
      <c r="R539" s="21">
        <f t="shared" si="84"/>
        <v>14111111.166606531</v>
      </c>
      <c r="S539" s="21">
        <f t="shared" si="85"/>
        <v>7397586.2552026669</v>
      </c>
      <c r="T539" s="14">
        <f>IFERROR(INDEX(Cost_Components!$R$2:$R$27,MATCH(E539,Cost_Components!$A$2:$A$27,0)),"")</f>
        <v>1</v>
      </c>
      <c r="U539" s="24">
        <f>IFERROR(INDEX(Cost_Components!$Q$2:$Q$27,MATCH(E539,Cost_Components!$A$2:$A$27,0)),"")</f>
        <v>2023</v>
      </c>
      <c r="V539" s="28">
        <f>1/(1+Calculation_Assumptions!$B$5)^(B539-Calculation_Assumptions!$B$2)</f>
        <v>0.60501644584477121</v>
      </c>
      <c r="W539" s="21">
        <f t="shared" si="86"/>
        <v>4061792.9809878981</v>
      </c>
      <c r="X539" s="21">
        <f t="shared" si="87"/>
        <v>8537454.3249407467</v>
      </c>
      <c r="Y539" s="21">
        <f t="shared" si="88"/>
        <v>4475661.3439528486</v>
      </c>
      <c r="Z539" s="15">
        <f>IFERROR(INDEX(Cost_Components!$T$2:$T$27,MATCH(E539,Cost_Components!$A$2:$A$27,0)),"")</f>
        <v>0.8</v>
      </c>
      <c r="AA539" s="24">
        <f>IFERROR(INDEX(Cost_Components!$U$2:$U$27,MATCH(E539,Cost_Components!$A$2:$A$27,0)),"")</f>
        <v>2025</v>
      </c>
      <c r="AB539" s="24">
        <f>IFERROR(INDEX(Cost_Components!$V$2:$V$27,MATCH(E539,Cost_Components!$A$2:$A$27,0)),"")</f>
        <v>2050</v>
      </c>
      <c r="AC539" s="24">
        <f>IFERROR(INDEX(Cost_Components!$M$2:$M$27,MATCH(E539,Cost_Components!$A$2:$A$27,0)),"")</f>
        <v>30</v>
      </c>
      <c r="AD539" s="24">
        <f>IFERROR(INDEX(Cost_Components!$N$2:$N$27,MATCH(E539,Cost_Components!$A$2:$A$27,0)),"")</f>
        <v>95</v>
      </c>
      <c r="AE539" s="14" t="str">
        <f>IFERROR(INDEX(Cost_Components!$O$2:$O$27,MATCH(E539,Cost_Components!$A$2:$A$27,0)),"")</f>
        <v>Both</v>
      </c>
      <c r="AF539" s="11">
        <v>1229270.1168863501</v>
      </c>
      <c r="AG539" s="11">
        <v>1224825.2087828901</v>
      </c>
      <c r="AH539" s="21">
        <f t="shared" si="89"/>
        <v>1</v>
      </c>
    </row>
    <row r="540" spans="1:34" hidden="1">
      <c r="A540" t="s">
        <v>217</v>
      </c>
      <c r="B540" s="18">
        <v>2043</v>
      </c>
      <c r="C540" t="s">
        <v>217</v>
      </c>
      <c r="D540" t="s">
        <v>173</v>
      </c>
      <c r="E540" s="20" t="s">
        <v>308</v>
      </c>
      <c r="F540" s="20" t="s">
        <v>309</v>
      </c>
      <c r="G540" s="20" t="s">
        <v>218</v>
      </c>
      <c r="H540" s="20" t="s">
        <v>192</v>
      </c>
      <c r="I540" s="20" t="s">
        <v>264</v>
      </c>
      <c r="J540" s="15">
        <f>IFERROR(INDEX(Cost_Components!$K$2:$K$27,MATCH(E540,Cost_Components!$A$2:$A$27,0)),"")</f>
        <v>0.5</v>
      </c>
      <c r="K540" s="15">
        <f t="shared" si="80"/>
        <v>0.66807692307692301</v>
      </c>
      <c r="L540" s="15">
        <f>IFERROR(INDEX(Cost_Components!$S$2:$S$27,MATCH(E540,Cost_Components!$A$2:$A$27,0)),"")</f>
        <v>0.31</v>
      </c>
      <c r="M540" s="26">
        <f>IFERROR(INDEX(Cost_Components!$L$2:$L$27,MATCH(E540,Cost_Components!$A$2:$A$27,0)),"")</f>
        <v>1</v>
      </c>
      <c r="N540" s="27">
        <f>IFERROR(INDEX(Cost_Components!$P$2:$P$27,MATCH(E540,Cost_Components!$A$2:$A$27,0)),"")</f>
        <v>35.362648999999998</v>
      </c>
      <c r="O540" s="21">
        <f t="shared" si="81"/>
        <v>620480.89020835503</v>
      </c>
      <c r="P540" s="21">
        <f t="shared" si="82"/>
        <v>618098.13743520505</v>
      </c>
      <c r="Q540" s="21">
        <f t="shared" si="83"/>
        <v>6775852.1193192238</v>
      </c>
      <c r="R540" s="21">
        <f t="shared" si="84"/>
        <v>14658842.252795534</v>
      </c>
      <c r="S540" s="21">
        <f t="shared" si="85"/>
        <v>7882990.1334763104</v>
      </c>
      <c r="T540" s="14">
        <f>IFERROR(INDEX(Cost_Components!$R$2:$R$27,MATCH(E540,Cost_Components!$A$2:$A$27,0)),"")</f>
        <v>1</v>
      </c>
      <c r="U540" s="24">
        <f>IFERROR(INDEX(Cost_Components!$Q$2:$Q$27,MATCH(E540,Cost_Components!$A$2:$A$27,0)),"")</f>
        <v>2023</v>
      </c>
      <c r="V540" s="28">
        <f>1/(1+Calculation_Assumptions!$B$5)^(B540-Calculation_Assumptions!$B$2)</f>
        <v>0.5873946076162827</v>
      </c>
      <c r="W540" s="21">
        <f t="shared" si="86"/>
        <v>3980098.996893473</v>
      </c>
      <c r="X540" s="21">
        <f t="shared" si="87"/>
        <v>8610524.8931898177</v>
      </c>
      <c r="Y540" s="21">
        <f t="shared" si="88"/>
        <v>4630425.8962963456</v>
      </c>
      <c r="Z540" s="15">
        <f>IFERROR(INDEX(Cost_Components!$T$2:$T$27,MATCH(E540,Cost_Components!$A$2:$A$27,0)),"")</f>
        <v>0.8</v>
      </c>
      <c r="AA540" s="24">
        <f>IFERROR(INDEX(Cost_Components!$U$2:$U$27,MATCH(E540,Cost_Components!$A$2:$A$27,0)),"")</f>
        <v>2025</v>
      </c>
      <c r="AB540" s="24">
        <f>IFERROR(INDEX(Cost_Components!$V$2:$V$27,MATCH(E540,Cost_Components!$A$2:$A$27,0)),"")</f>
        <v>2050</v>
      </c>
      <c r="AC540" s="24">
        <f>IFERROR(INDEX(Cost_Components!$M$2:$M$27,MATCH(E540,Cost_Components!$A$2:$A$27,0)),"")</f>
        <v>30</v>
      </c>
      <c r="AD540" s="24">
        <f>IFERROR(INDEX(Cost_Components!$N$2:$N$27,MATCH(E540,Cost_Components!$A$2:$A$27,0)),"")</f>
        <v>95</v>
      </c>
      <c r="AE540" s="14" t="str">
        <f>IFERROR(INDEX(Cost_Components!$O$2:$O$27,MATCH(E540,Cost_Components!$A$2:$A$27,0)),"")</f>
        <v>Both</v>
      </c>
      <c r="AF540" s="11">
        <v>1240961.7804167101</v>
      </c>
      <c r="AG540" s="11">
        <v>1236196.2748704101</v>
      </c>
      <c r="AH540" s="21">
        <f t="shared" si="89"/>
        <v>1</v>
      </c>
    </row>
    <row r="541" spans="1:34" hidden="1">
      <c r="A541" t="s">
        <v>217</v>
      </c>
      <c r="B541" s="18">
        <v>2044</v>
      </c>
      <c r="C541" t="s">
        <v>217</v>
      </c>
      <c r="D541" t="s">
        <v>173</v>
      </c>
      <c r="E541" s="20" t="s">
        <v>308</v>
      </c>
      <c r="F541" s="20" t="s">
        <v>309</v>
      </c>
      <c r="G541" s="20" t="s">
        <v>218</v>
      </c>
      <c r="H541" s="20" t="s">
        <v>192</v>
      </c>
      <c r="I541" s="20" t="s">
        <v>264</v>
      </c>
      <c r="J541" s="15">
        <f>IFERROR(INDEX(Cost_Components!$K$2:$K$27,MATCH(E541,Cost_Components!$A$2:$A$27,0)),"")</f>
        <v>0.5</v>
      </c>
      <c r="K541" s="15">
        <f t="shared" si="80"/>
        <v>0.68692307692307697</v>
      </c>
      <c r="L541" s="15">
        <f>IFERROR(INDEX(Cost_Components!$S$2:$S$27,MATCH(E541,Cost_Components!$A$2:$A$27,0)),"")</f>
        <v>0.31</v>
      </c>
      <c r="M541" s="26">
        <f>IFERROR(INDEX(Cost_Components!$L$2:$L$27,MATCH(E541,Cost_Components!$A$2:$A$27,0)),"")</f>
        <v>1</v>
      </c>
      <c r="N541" s="27">
        <f>IFERROR(INDEX(Cost_Components!$P$2:$P$27,MATCH(E541,Cost_Components!$A$2:$A$27,0)),"")</f>
        <v>35.362648999999998</v>
      </c>
      <c r="O541" s="21">
        <f t="shared" si="81"/>
        <v>626046.60974222003</v>
      </c>
      <c r="P541" s="21">
        <f t="shared" si="82"/>
        <v>623502.10899685498</v>
      </c>
      <c r="Q541" s="21">
        <f t="shared" si="83"/>
        <v>6835092.7316768114</v>
      </c>
      <c r="R541" s="21">
        <f t="shared" si="84"/>
        <v>15207560.923486935</v>
      </c>
      <c r="S541" s="21">
        <f t="shared" si="85"/>
        <v>8372468.1918101236</v>
      </c>
      <c r="T541" s="14">
        <f>IFERROR(INDEX(Cost_Components!$R$2:$R$27,MATCH(E541,Cost_Components!$A$2:$A$27,0)),"")</f>
        <v>1</v>
      </c>
      <c r="U541" s="24">
        <f>IFERROR(INDEX(Cost_Components!$Q$2:$Q$27,MATCH(E541,Cost_Components!$A$2:$A$27,0)),"")</f>
        <v>2023</v>
      </c>
      <c r="V541" s="28">
        <f>1/(1+Calculation_Assumptions!$B$5)^(B541-Calculation_Assumptions!$B$2)</f>
        <v>0.57028602681192497</v>
      </c>
      <c r="W541" s="21">
        <f t="shared" si="86"/>
        <v>3897957.8768390357</v>
      </c>
      <c r="X541" s="21">
        <f t="shared" si="87"/>
        <v>8672659.4965556525</v>
      </c>
      <c r="Y541" s="21">
        <f t="shared" si="88"/>
        <v>4774701.6197166173</v>
      </c>
      <c r="Z541" s="15">
        <f>IFERROR(INDEX(Cost_Components!$T$2:$T$27,MATCH(E541,Cost_Components!$A$2:$A$27,0)),"")</f>
        <v>0.8</v>
      </c>
      <c r="AA541" s="24">
        <f>IFERROR(INDEX(Cost_Components!$U$2:$U$27,MATCH(E541,Cost_Components!$A$2:$A$27,0)),"")</f>
        <v>2025</v>
      </c>
      <c r="AB541" s="24">
        <f>IFERROR(INDEX(Cost_Components!$V$2:$V$27,MATCH(E541,Cost_Components!$A$2:$A$27,0)),"")</f>
        <v>2050</v>
      </c>
      <c r="AC541" s="24">
        <f>IFERROR(INDEX(Cost_Components!$M$2:$M$27,MATCH(E541,Cost_Components!$A$2:$A$27,0)),"")</f>
        <v>30</v>
      </c>
      <c r="AD541" s="24">
        <f>IFERROR(INDEX(Cost_Components!$N$2:$N$27,MATCH(E541,Cost_Components!$A$2:$A$27,0)),"")</f>
        <v>95</v>
      </c>
      <c r="AE541" s="14" t="str">
        <f>IFERROR(INDEX(Cost_Components!$O$2:$O$27,MATCH(E541,Cost_Components!$A$2:$A$27,0)),"")</f>
        <v>Both</v>
      </c>
      <c r="AF541" s="11">
        <v>1252093.2194844401</v>
      </c>
      <c r="AG541" s="11">
        <v>1247004.21799371</v>
      </c>
      <c r="AH541" s="21">
        <f t="shared" si="89"/>
        <v>1</v>
      </c>
    </row>
    <row r="542" spans="1:34" hidden="1">
      <c r="A542" t="s">
        <v>217</v>
      </c>
      <c r="B542" s="18">
        <v>2045</v>
      </c>
      <c r="C542" t="s">
        <v>217</v>
      </c>
      <c r="D542" t="s">
        <v>173</v>
      </c>
      <c r="E542" s="20" t="s">
        <v>308</v>
      </c>
      <c r="F542" s="20" t="s">
        <v>309</v>
      </c>
      <c r="G542" s="20" t="s">
        <v>218</v>
      </c>
      <c r="H542" s="20" t="s">
        <v>192</v>
      </c>
      <c r="I542" s="20" t="s">
        <v>264</v>
      </c>
      <c r="J542" s="15">
        <f>IFERROR(INDEX(Cost_Components!$K$2:$K$27,MATCH(E542,Cost_Components!$A$2:$A$27,0)),"")</f>
        <v>0.5</v>
      </c>
      <c r="K542" s="15">
        <f t="shared" si="80"/>
        <v>0.70576923076923082</v>
      </c>
      <c r="L542" s="15">
        <f>IFERROR(INDEX(Cost_Components!$S$2:$S$27,MATCH(E542,Cost_Components!$A$2:$A$27,0)),"")</f>
        <v>0.31</v>
      </c>
      <c r="M542" s="26">
        <f>IFERROR(INDEX(Cost_Components!$L$2:$L$27,MATCH(E542,Cost_Components!$A$2:$A$27,0)),"")</f>
        <v>1</v>
      </c>
      <c r="N542" s="27">
        <f>IFERROR(INDEX(Cost_Components!$P$2:$P$27,MATCH(E542,Cost_Components!$A$2:$A$27,0)),"")</f>
        <v>35.362648999999998</v>
      </c>
      <c r="O542" s="21">
        <f t="shared" si="81"/>
        <v>631267.17574646499</v>
      </c>
      <c r="P542" s="21">
        <f t="shared" si="82"/>
        <v>628559.84913604497</v>
      </c>
      <c r="Q542" s="21">
        <f t="shared" si="83"/>
        <v>6890537.8093521819</v>
      </c>
      <c r="R542" s="21">
        <f t="shared" si="84"/>
        <v>15755083.844114779</v>
      </c>
      <c r="S542" s="21">
        <f t="shared" si="85"/>
        <v>8864546.0347625967</v>
      </c>
      <c r="T542" s="14">
        <f>IFERROR(INDEX(Cost_Components!$R$2:$R$27,MATCH(E542,Cost_Components!$A$2:$A$27,0)),"")</f>
        <v>1</v>
      </c>
      <c r="U542" s="24">
        <f>IFERROR(INDEX(Cost_Components!$Q$2:$Q$27,MATCH(E542,Cost_Components!$A$2:$A$27,0)),"")</f>
        <v>2023</v>
      </c>
      <c r="V542" s="28">
        <f>1/(1+Calculation_Assumptions!$B$5)^(B542-Calculation_Assumptions!$B$2)</f>
        <v>0.55367575418633497</v>
      </c>
      <c r="W542" s="21">
        <f t="shared" si="86"/>
        <v>3815123.7183425259</v>
      </c>
      <c r="X542" s="21">
        <f t="shared" si="87"/>
        <v>8723207.9296591915</v>
      </c>
      <c r="Y542" s="21">
        <f t="shared" si="88"/>
        <v>4908084.2113166656</v>
      </c>
      <c r="Z542" s="15">
        <f>IFERROR(INDEX(Cost_Components!$T$2:$T$27,MATCH(E542,Cost_Components!$A$2:$A$27,0)),"")</f>
        <v>0.8</v>
      </c>
      <c r="AA542" s="24">
        <f>IFERROR(INDEX(Cost_Components!$U$2:$U$27,MATCH(E542,Cost_Components!$A$2:$A$27,0)),"")</f>
        <v>2025</v>
      </c>
      <c r="AB542" s="24">
        <f>IFERROR(INDEX(Cost_Components!$V$2:$V$27,MATCH(E542,Cost_Components!$A$2:$A$27,0)),"")</f>
        <v>2050</v>
      </c>
      <c r="AC542" s="24">
        <f>IFERROR(INDEX(Cost_Components!$M$2:$M$27,MATCH(E542,Cost_Components!$A$2:$A$27,0)),"")</f>
        <v>30</v>
      </c>
      <c r="AD542" s="24">
        <f>IFERROR(INDEX(Cost_Components!$N$2:$N$27,MATCH(E542,Cost_Components!$A$2:$A$27,0)),"")</f>
        <v>95</v>
      </c>
      <c r="AE542" s="14" t="str">
        <f>IFERROR(INDEX(Cost_Components!$O$2:$O$27,MATCH(E542,Cost_Components!$A$2:$A$27,0)),"")</f>
        <v>Both</v>
      </c>
      <c r="AF542" s="11">
        <v>1262534.35149293</v>
      </c>
      <c r="AG542" s="11">
        <v>1257119.6982720899</v>
      </c>
      <c r="AH542" s="21">
        <f t="shared" si="89"/>
        <v>1</v>
      </c>
    </row>
    <row r="543" spans="1:34" hidden="1">
      <c r="A543" t="s">
        <v>217</v>
      </c>
      <c r="B543" s="18">
        <v>2046</v>
      </c>
      <c r="C543" t="s">
        <v>217</v>
      </c>
      <c r="D543" t="s">
        <v>173</v>
      </c>
      <c r="E543" s="20" t="s">
        <v>308</v>
      </c>
      <c r="F543" s="20" t="s">
        <v>309</v>
      </c>
      <c r="G543" s="20" t="s">
        <v>218</v>
      </c>
      <c r="H543" s="20" t="s">
        <v>192</v>
      </c>
      <c r="I543" s="20" t="s">
        <v>264</v>
      </c>
      <c r="J543" s="15">
        <f>IFERROR(INDEX(Cost_Components!$K$2:$K$27,MATCH(E543,Cost_Components!$A$2:$A$27,0)),"")</f>
        <v>0.5</v>
      </c>
      <c r="K543" s="15">
        <f t="shared" si="80"/>
        <v>0.72461538461538466</v>
      </c>
      <c r="L543" s="15">
        <f>IFERROR(INDEX(Cost_Components!$S$2:$S$27,MATCH(E543,Cost_Components!$A$2:$A$27,0)),"")</f>
        <v>0.31</v>
      </c>
      <c r="M543" s="26">
        <f>IFERROR(INDEX(Cost_Components!$L$2:$L$27,MATCH(E543,Cost_Components!$A$2:$A$27,0)),"")</f>
        <v>1</v>
      </c>
      <c r="N543" s="27">
        <f>IFERROR(INDEX(Cost_Components!$P$2:$P$27,MATCH(E543,Cost_Components!$A$2:$A$27,0)),"")</f>
        <v>35.362648999999998</v>
      </c>
      <c r="O543" s="21">
        <f t="shared" si="81"/>
        <v>636171.81890515005</v>
      </c>
      <c r="P543" s="21">
        <f t="shared" si="82"/>
        <v>633301.13632591499</v>
      </c>
      <c r="Q543" s="21">
        <f t="shared" si="83"/>
        <v>6942513.7965102885</v>
      </c>
      <c r="R543" s="21">
        <f t="shared" si="84"/>
        <v>16301469.948436609</v>
      </c>
      <c r="S543" s="21">
        <f t="shared" si="85"/>
        <v>9358956.15192632</v>
      </c>
      <c r="T543" s="14">
        <f>IFERROR(INDEX(Cost_Components!$R$2:$R$27,MATCH(E543,Cost_Components!$A$2:$A$27,0)),"")</f>
        <v>1</v>
      </c>
      <c r="U543" s="24">
        <f>IFERROR(INDEX(Cost_Components!$Q$2:$Q$27,MATCH(E543,Cost_Components!$A$2:$A$27,0)),"")</f>
        <v>2023</v>
      </c>
      <c r="V543" s="28">
        <f>1/(1+Calculation_Assumptions!$B$5)^(B543-Calculation_Assumptions!$B$2)</f>
        <v>0.5375492759090631</v>
      </c>
      <c r="W543" s="21">
        <f t="shared" si="86"/>
        <v>3731943.264302786</v>
      </c>
      <c r="X543" s="21">
        <f t="shared" si="87"/>
        <v>8762843.3670354504</v>
      </c>
      <c r="Y543" s="21">
        <f t="shared" si="88"/>
        <v>5030900.1027326649</v>
      </c>
      <c r="Z543" s="15">
        <f>IFERROR(INDEX(Cost_Components!$T$2:$T$27,MATCH(E543,Cost_Components!$A$2:$A$27,0)),"")</f>
        <v>0.8</v>
      </c>
      <c r="AA543" s="24">
        <f>IFERROR(INDEX(Cost_Components!$U$2:$U$27,MATCH(E543,Cost_Components!$A$2:$A$27,0)),"")</f>
        <v>2025</v>
      </c>
      <c r="AB543" s="24">
        <f>IFERROR(INDEX(Cost_Components!$V$2:$V$27,MATCH(E543,Cost_Components!$A$2:$A$27,0)),"")</f>
        <v>2050</v>
      </c>
      <c r="AC543" s="24">
        <f>IFERROR(INDEX(Cost_Components!$M$2:$M$27,MATCH(E543,Cost_Components!$A$2:$A$27,0)),"")</f>
        <v>30</v>
      </c>
      <c r="AD543" s="24">
        <f>IFERROR(INDEX(Cost_Components!$N$2:$N$27,MATCH(E543,Cost_Components!$A$2:$A$27,0)),"")</f>
        <v>95</v>
      </c>
      <c r="AE543" s="14" t="str">
        <f>IFERROR(INDEX(Cost_Components!$O$2:$O$27,MATCH(E543,Cost_Components!$A$2:$A$27,0)),"")</f>
        <v>Both</v>
      </c>
      <c r="AF543" s="11">
        <v>1272343.6378103001</v>
      </c>
      <c r="AG543" s="11">
        <v>1266602.27265183</v>
      </c>
      <c r="AH543" s="21">
        <f t="shared" si="89"/>
        <v>1</v>
      </c>
    </row>
    <row r="544" spans="1:34" hidden="1">
      <c r="A544" t="s">
        <v>217</v>
      </c>
      <c r="B544" s="18">
        <v>2047</v>
      </c>
      <c r="C544" t="s">
        <v>217</v>
      </c>
      <c r="D544" t="s">
        <v>173</v>
      </c>
      <c r="E544" s="20" t="s">
        <v>308</v>
      </c>
      <c r="F544" s="20" t="s">
        <v>309</v>
      </c>
      <c r="G544" s="20" t="s">
        <v>218</v>
      </c>
      <c r="H544" s="20" t="s">
        <v>192</v>
      </c>
      <c r="I544" s="20" t="s">
        <v>264</v>
      </c>
      <c r="J544" s="15">
        <f>IFERROR(INDEX(Cost_Components!$K$2:$K$27,MATCH(E544,Cost_Components!$A$2:$A$27,0)),"")</f>
        <v>0.5</v>
      </c>
      <c r="K544" s="15">
        <f t="shared" si="80"/>
        <v>0.74346153846153851</v>
      </c>
      <c r="L544" s="15">
        <f>IFERROR(INDEX(Cost_Components!$S$2:$S$27,MATCH(E544,Cost_Components!$A$2:$A$27,0)),"")</f>
        <v>0.31</v>
      </c>
      <c r="M544" s="26">
        <f>IFERROR(INDEX(Cost_Components!$L$2:$L$27,MATCH(E544,Cost_Components!$A$2:$A$27,0)),"")</f>
        <v>1</v>
      </c>
      <c r="N544" s="27">
        <f>IFERROR(INDEX(Cost_Components!$P$2:$P$27,MATCH(E544,Cost_Components!$A$2:$A$27,0)),"")</f>
        <v>35.362648999999998</v>
      </c>
      <c r="O544" s="21">
        <f t="shared" si="81"/>
        <v>640591.40118187002</v>
      </c>
      <c r="P544" s="21">
        <f t="shared" si="82"/>
        <v>637557.12841660006</v>
      </c>
      <c r="Q544" s="21">
        <f t="shared" si="83"/>
        <v>6989169.774389687</v>
      </c>
      <c r="R544" s="21">
        <f t="shared" si="84"/>
        <v>16841640.827066794</v>
      </c>
      <c r="S544" s="21">
        <f t="shared" si="85"/>
        <v>9852471.0526771061</v>
      </c>
      <c r="T544" s="14">
        <f>IFERROR(INDEX(Cost_Components!$R$2:$R$27,MATCH(E544,Cost_Components!$A$2:$A$27,0)),"")</f>
        <v>1</v>
      </c>
      <c r="U544" s="24">
        <f>IFERROR(INDEX(Cost_Components!$Q$2:$Q$27,MATCH(E544,Cost_Components!$A$2:$A$27,0)),"")</f>
        <v>2023</v>
      </c>
      <c r="V544" s="28">
        <f>1/(1+Calculation_Assumptions!$B$5)^(B544-Calculation_Assumptions!$B$2)</f>
        <v>0.52189250088258554</v>
      </c>
      <c r="W544" s="21">
        <f t="shared" si="86"/>
        <v>3647595.29264921</v>
      </c>
      <c r="X544" s="21">
        <f t="shared" si="87"/>
        <v>8789526.0502041448</v>
      </c>
      <c r="Y544" s="21">
        <f t="shared" si="88"/>
        <v>5141930.7575549353</v>
      </c>
      <c r="Z544" s="15">
        <f>IFERROR(INDEX(Cost_Components!$T$2:$T$27,MATCH(E544,Cost_Components!$A$2:$A$27,0)),"")</f>
        <v>0.8</v>
      </c>
      <c r="AA544" s="24">
        <f>IFERROR(INDEX(Cost_Components!$U$2:$U$27,MATCH(E544,Cost_Components!$A$2:$A$27,0)),"")</f>
        <v>2025</v>
      </c>
      <c r="AB544" s="24">
        <f>IFERROR(INDEX(Cost_Components!$V$2:$V$27,MATCH(E544,Cost_Components!$A$2:$A$27,0)),"")</f>
        <v>2050</v>
      </c>
      <c r="AC544" s="24">
        <f>IFERROR(INDEX(Cost_Components!$M$2:$M$27,MATCH(E544,Cost_Components!$A$2:$A$27,0)),"")</f>
        <v>30</v>
      </c>
      <c r="AD544" s="24">
        <f>IFERROR(INDEX(Cost_Components!$N$2:$N$27,MATCH(E544,Cost_Components!$A$2:$A$27,0)),"")</f>
        <v>95</v>
      </c>
      <c r="AE544" s="14" t="str">
        <f>IFERROR(INDEX(Cost_Components!$O$2:$O$27,MATCH(E544,Cost_Components!$A$2:$A$27,0)),"")</f>
        <v>Both</v>
      </c>
      <c r="AF544" s="11">
        <v>1281182.80236374</v>
      </c>
      <c r="AG544" s="11">
        <v>1275114.2568332001</v>
      </c>
      <c r="AH544" s="21">
        <f t="shared" si="89"/>
        <v>1</v>
      </c>
    </row>
    <row r="545" spans="1:34" hidden="1">
      <c r="A545" t="s">
        <v>217</v>
      </c>
      <c r="B545" s="18">
        <v>2048</v>
      </c>
      <c r="C545" t="s">
        <v>217</v>
      </c>
      <c r="D545" t="s">
        <v>173</v>
      </c>
      <c r="E545" s="20" t="s">
        <v>308</v>
      </c>
      <c r="F545" s="20" t="s">
        <v>309</v>
      </c>
      <c r="G545" s="20" t="s">
        <v>218</v>
      </c>
      <c r="H545" s="20" t="s">
        <v>192</v>
      </c>
      <c r="I545" s="20" t="s">
        <v>264</v>
      </c>
      <c r="J545" s="15">
        <f>IFERROR(INDEX(Cost_Components!$K$2:$K$27,MATCH(E545,Cost_Components!$A$2:$A$27,0)),"")</f>
        <v>0.5</v>
      </c>
      <c r="K545" s="15">
        <f t="shared" si="80"/>
        <v>0.76230769230769235</v>
      </c>
      <c r="L545" s="15">
        <f>IFERROR(INDEX(Cost_Components!$S$2:$S$27,MATCH(E545,Cost_Components!$A$2:$A$27,0)),"")</f>
        <v>0.31</v>
      </c>
      <c r="M545" s="26">
        <f>IFERROR(INDEX(Cost_Components!$L$2:$L$27,MATCH(E545,Cost_Components!$A$2:$A$27,0)),"")</f>
        <v>1</v>
      </c>
      <c r="N545" s="27">
        <f>IFERROR(INDEX(Cost_Components!$P$2:$P$27,MATCH(E545,Cost_Components!$A$2:$A$27,0)),"")</f>
        <v>35.362648999999998</v>
      </c>
      <c r="O545" s="21">
        <f t="shared" si="81"/>
        <v>644718.40788850002</v>
      </c>
      <c r="P545" s="21">
        <f t="shared" si="82"/>
        <v>641520.28922783502</v>
      </c>
      <c r="Q545" s="21">
        <f t="shared" si="83"/>
        <v>7032615.612446147</v>
      </c>
      <c r="R545" s="21">
        <f t="shared" si="84"/>
        <v>17379815.542416815</v>
      </c>
      <c r="S545" s="21">
        <f t="shared" si="85"/>
        <v>10347199.929970667</v>
      </c>
      <c r="T545" s="14">
        <f>IFERROR(INDEX(Cost_Components!$R$2:$R$27,MATCH(E545,Cost_Components!$A$2:$A$27,0)),"")</f>
        <v>1</v>
      </c>
      <c r="U545" s="24">
        <f>IFERROR(INDEX(Cost_Components!$Q$2:$Q$27,MATCH(E545,Cost_Components!$A$2:$A$27,0)),"")</f>
        <v>2023</v>
      </c>
      <c r="V545" s="28">
        <f>1/(1+Calculation_Assumptions!$B$5)^(B545-Calculation_Assumptions!$B$2)</f>
        <v>0.50669174842969467</v>
      </c>
      <c r="W545" s="21">
        <f t="shared" si="86"/>
        <v>3563368.300704306</v>
      </c>
      <c r="X545" s="21">
        <f t="shared" si="87"/>
        <v>8806209.1245727576</v>
      </c>
      <c r="Y545" s="21">
        <f t="shared" si="88"/>
        <v>5242840.8238684516</v>
      </c>
      <c r="Z545" s="15">
        <f>IFERROR(INDEX(Cost_Components!$T$2:$T$27,MATCH(E545,Cost_Components!$A$2:$A$27,0)),"")</f>
        <v>0.8</v>
      </c>
      <c r="AA545" s="24">
        <f>IFERROR(INDEX(Cost_Components!$U$2:$U$27,MATCH(E545,Cost_Components!$A$2:$A$27,0)),"")</f>
        <v>2025</v>
      </c>
      <c r="AB545" s="24">
        <f>IFERROR(INDEX(Cost_Components!$V$2:$V$27,MATCH(E545,Cost_Components!$A$2:$A$27,0)),"")</f>
        <v>2050</v>
      </c>
      <c r="AC545" s="24">
        <f>IFERROR(INDEX(Cost_Components!$M$2:$M$27,MATCH(E545,Cost_Components!$A$2:$A$27,0)),"")</f>
        <v>30</v>
      </c>
      <c r="AD545" s="24">
        <f>IFERROR(INDEX(Cost_Components!$N$2:$N$27,MATCH(E545,Cost_Components!$A$2:$A$27,0)),"")</f>
        <v>95</v>
      </c>
      <c r="AE545" s="14" t="str">
        <f>IFERROR(INDEX(Cost_Components!$O$2:$O$27,MATCH(E545,Cost_Components!$A$2:$A$27,0)),"")</f>
        <v>Both</v>
      </c>
      <c r="AF545" s="11">
        <v>1289436.815777</v>
      </c>
      <c r="AG545" s="11">
        <v>1283040.57845567</v>
      </c>
      <c r="AH545" s="21">
        <f t="shared" si="89"/>
        <v>1</v>
      </c>
    </row>
    <row r="546" spans="1:34" hidden="1">
      <c r="A546" t="s">
        <v>217</v>
      </c>
      <c r="B546" s="18">
        <v>2049</v>
      </c>
      <c r="C546" t="s">
        <v>217</v>
      </c>
      <c r="D546" t="s">
        <v>173</v>
      </c>
      <c r="E546" s="20" t="s">
        <v>308</v>
      </c>
      <c r="F546" s="20" t="s">
        <v>309</v>
      </c>
      <c r="G546" s="20" t="s">
        <v>218</v>
      </c>
      <c r="H546" s="20" t="s">
        <v>192</v>
      </c>
      <c r="I546" s="20" t="s">
        <v>264</v>
      </c>
      <c r="J546" s="15">
        <f>IFERROR(INDEX(Cost_Components!$K$2:$K$27,MATCH(E546,Cost_Components!$A$2:$A$27,0)),"")</f>
        <v>0.5</v>
      </c>
      <c r="K546" s="15">
        <f t="shared" si="80"/>
        <v>0.7811538461538462</v>
      </c>
      <c r="L546" s="15">
        <f>IFERROR(INDEX(Cost_Components!$S$2:$S$27,MATCH(E546,Cost_Components!$A$2:$A$27,0)),"")</f>
        <v>0.31</v>
      </c>
      <c r="M546" s="26">
        <f>IFERROR(INDEX(Cost_Components!$L$2:$L$27,MATCH(E546,Cost_Components!$A$2:$A$27,0)),"")</f>
        <v>1</v>
      </c>
      <c r="N546" s="27">
        <f>IFERROR(INDEX(Cost_Components!$P$2:$P$27,MATCH(E546,Cost_Components!$A$2:$A$27,0)),"")</f>
        <v>35.362648999999998</v>
      </c>
      <c r="O546" s="21">
        <f t="shared" si="81"/>
        <v>648559.12901626504</v>
      </c>
      <c r="P546" s="21">
        <f t="shared" si="82"/>
        <v>645196.91716071498</v>
      </c>
      <c r="Q546" s="21">
        <f t="shared" si="83"/>
        <v>7072920.3564052954</v>
      </c>
      <c r="R546" s="21">
        <f t="shared" si="84"/>
        <v>17915582.886225145</v>
      </c>
      <c r="S546" s="21">
        <f t="shared" si="85"/>
        <v>10842662.52981985</v>
      </c>
      <c r="T546" s="14">
        <f>IFERROR(INDEX(Cost_Components!$R$2:$R$27,MATCH(E546,Cost_Components!$A$2:$A$27,0)),"")</f>
        <v>1</v>
      </c>
      <c r="U546" s="24">
        <f>IFERROR(INDEX(Cost_Components!$Q$2:$Q$27,MATCH(E546,Cost_Components!$A$2:$A$27,0)),"")</f>
        <v>2023</v>
      </c>
      <c r="V546" s="28">
        <f>1/(1+Calculation_Assumptions!$B$5)^(B546-Calculation_Assumptions!$B$2)</f>
        <v>0.49193373633950943</v>
      </c>
      <c r="W546" s="21">
        <f t="shared" si="86"/>
        <v>3479408.1377582317</v>
      </c>
      <c r="X546" s="21">
        <f t="shared" si="87"/>
        <v>8813279.6279209089</v>
      </c>
      <c r="Y546" s="21">
        <f t="shared" si="88"/>
        <v>5333871.4901626762</v>
      </c>
      <c r="Z546" s="15">
        <f>IFERROR(INDEX(Cost_Components!$T$2:$T$27,MATCH(E546,Cost_Components!$A$2:$A$27,0)),"")</f>
        <v>0.8</v>
      </c>
      <c r="AA546" s="24">
        <f>IFERROR(INDEX(Cost_Components!$U$2:$U$27,MATCH(E546,Cost_Components!$A$2:$A$27,0)),"")</f>
        <v>2025</v>
      </c>
      <c r="AB546" s="24">
        <f>IFERROR(INDEX(Cost_Components!$V$2:$V$27,MATCH(E546,Cost_Components!$A$2:$A$27,0)),"")</f>
        <v>2050</v>
      </c>
      <c r="AC546" s="24">
        <f>IFERROR(INDEX(Cost_Components!$M$2:$M$27,MATCH(E546,Cost_Components!$A$2:$A$27,0)),"")</f>
        <v>30</v>
      </c>
      <c r="AD546" s="24">
        <f>IFERROR(INDEX(Cost_Components!$N$2:$N$27,MATCH(E546,Cost_Components!$A$2:$A$27,0)),"")</f>
        <v>95</v>
      </c>
      <c r="AE546" s="14" t="str">
        <f>IFERROR(INDEX(Cost_Components!$O$2:$O$27,MATCH(E546,Cost_Components!$A$2:$A$27,0)),"")</f>
        <v>Both</v>
      </c>
      <c r="AF546" s="11">
        <v>1297118.2580325301</v>
      </c>
      <c r="AG546" s="11">
        <v>1290393.83432143</v>
      </c>
      <c r="AH546" s="21">
        <f t="shared" si="89"/>
        <v>1</v>
      </c>
    </row>
    <row r="547" spans="1:34" hidden="1">
      <c r="A547" t="s">
        <v>217</v>
      </c>
      <c r="B547" s="18">
        <v>2050</v>
      </c>
      <c r="C547" t="s">
        <v>217</v>
      </c>
      <c r="D547" t="s">
        <v>173</v>
      </c>
      <c r="E547" s="20" t="s">
        <v>308</v>
      </c>
      <c r="F547" s="20" t="s">
        <v>309</v>
      </c>
      <c r="G547" s="20" t="s">
        <v>218</v>
      </c>
      <c r="H547" s="20" t="s">
        <v>192</v>
      </c>
      <c r="I547" s="20" t="s">
        <v>264</v>
      </c>
      <c r="J547" s="15">
        <f>IFERROR(INDEX(Cost_Components!$K$2:$K$27,MATCH(E547,Cost_Components!$A$2:$A$27,0)),"")</f>
        <v>0.5</v>
      </c>
      <c r="K547" s="15">
        <f t="shared" si="80"/>
        <v>0.8</v>
      </c>
      <c r="L547" s="15">
        <f>IFERROR(INDEX(Cost_Components!$S$2:$S$27,MATCH(E547,Cost_Components!$A$2:$A$27,0)),"")</f>
        <v>0.31</v>
      </c>
      <c r="M547" s="26">
        <f>IFERROR(INDEX(Cost_Components!$L$2:$L$27,MATCH(E547,Cost_Components!$A$2:$A$27,0)),"")</f>
        <v>1</v>
      </c>
      <c r="N547" s="27">
        <f>IFERROR(INDEX(Cost_Components!$P$2:$P$27,MATCH(E547,Cost_Components!$A$2:$A$27,0)),"")</f>
        <v>35.362648999999998</v>
      </c>
      <c r="O547" s="21">
        <f t="shared" si="81"/>
        <v>652195.15919251496</v>
      </c>
      <c r="P547" s="21">
        <f t="shared" si="82"/>
        <v>648668.86758336006</v>
      </c>
      <c r="Q547" s="21">
        <f t="shared" si="83"/>
        <v>7110981.3392891297</v>
      </c>
      <c r="R547" s="21">
        <f t="shared" si="84"/>
        <v>18450678.795219224</v>
      </c>
      <c r="S547" s="21">
        <f t="shared" si="85"/>
        <v>11339697.455930095</v>
      </c>
      <c r="T547" s="14">
        <f>IFERROR(INDEX(Cost_Components!$R$2:$R$27,MATCH(E547,Cost_Components!$A$2:$A$27,0)),"")</f>
        <v>1</v>
      </c>
      <c r="U547" s="24">
        <f>IFERROR(INDEX(Cost_Components!$Q$2:$Q$27,MATCH(E547,Cost_Components!$A$2:$A$27,0)),"")</f>
        <v>2023</v>
      </c>
      <c r="V547" s="28">
        <f>1/(1+Calculation_Assumptions!$B$5)^(B547-Calculation_Assumptions!$B$2)</f>
        <v>0.47760556926165965</v>
      </c>
      <c r="W547" s="21">
        <f t="shared" si="86"/>
        <v>3396244.2905602236</v>
      </c>
      <c r="X547" s="21">
        <f t="shared" si="87"/>
        <v>8812146.9492547102</v>
      </c>
      <c r="Y547" s="21">
        <f t="shared" si="88"/>
        <v>5415902.6586944871</v>
      </c>
      <c r="Z547" s="15">
        <f>IFERROR(INDEX(Cost_Components!$T$2:$T$27,MATCH(E547,Cost_Components!$A$2:$A$27,0)),"")</f>
        <v>0.8</v>
      </c>
      <c r="AA547" s="24">
        <f>IFERROR(INDEX(Cost_Components!$U$2:$U$27,MATCH(E547,Cost_Components!$A$2:$A$27,0)),"")</f>
        <v>2025</v>
      </c>
      <c r="AB547" s="24">
        <f>IFERROR(INDEX(Cost_Components!$V$2:$V$27,MATCH(E547,Cost_Components!$A$2:$A$27,0)),"")</f>
        <v>2050</v>
      </c>
      <c r="AC547" s="24">
        <f>IFERROR(INDEX(Cost_Components!$M$2:$M$27,MATCH(E547,Cost_Components!$A$2:$A$27,0)),"")</f>
        <v>30</v>
      </c>
      <c r="AD547" s="24">
        <f>IFERROR(INDEX(Cost_Components!$N$2:$N$27,MATCH(E547,Cost_Components!$A$2:$A$27,0)),"")</f>
        <v>95</v>
      </c>
      <c r="AE547" s="14" t="str">
        <f>IFERROR(INDEX(Cost_Components!$O$2:$O$27,MATCH(E547,Cost_Components!$A$2:$A$27,0)),"")</f>
        <v>Both</v>
      </c>
      <c r="AF547" s="11">
        <v>1304390.3183850299</v>
      </c>
      <c r="AG547" s="11">
        <v>1297337.7351667201</v>
      </c>
      <c r="AH547" s="21">
        <f t="shared" si="89"/>
        <v>1</v>
      </c>
    </row>
    <row r="548" spans="1:34" hidden="1">
      <c r="A548" t="s">
        <v>217</v>
      </c>
      <c r="B548" s="18">
        <v>2025</v>
      </c>
      <c r="C548" t="s">
        <v>217</v>
      </c>
      <c r="D548" t="s">
        <v>173</v>
      </c>
      <c r="E548" s="20" t="s">
        <v>310</v>
      </c>
      <c r="F548" s="20" t="s">
        <v>311</v>
      </c>
      <c r="G548" s="20" t="s">
        <v>218</v>
      </c>
      <c r="H548" s="20" t="s">
        <v>192</v>
      </c>
      <c r="I548" s="20" t="s">
        <v>264</v>
      </c>
      <c r="J548" s="15">
        <f>IFERROR(INDEX(Cost_Components!$K$2:$K$27,MATCH(E548,Cost_Components!$A$2:$A$27,0)),"")</f>
        <v>0.5</v>
      </c>
      <c r="K548" s="15">
        <f t="shared" si="80"/>
        <v>0.32884615384615384</v>
      </c>
      <c r="L548" s="15">
        <f>IFERROR(INDEX(Cost_Components!$S$2:$S$27,MATCH(E548,Cost_Components!$A$2:$A$27,0)),"")</f>
        <v>0.31</v>
      </c>
      <c r="M548" s="26">
        <f>IFERROR(INDEX(Cost_Components!$L$2:$L$27,MATCH(E548,Cost_Components!$A$2:$A$27,0)),"")</f>
        <v>1</v>
      </c>
      <c r="N548" s="27">
        <f>IFERROR(INDEX(Cost_Components!$P$2:$P$27,MATCH(E548,Cost_Components!$A$2:$A$27,0)),"")</f>
        <v>119.721487</v>
      </c>
      <c r="O548" s="21">
        <f t="shared" si="81"/>
        <v>491208.05843253998</v>
      </c>
      <c r="P548" s="21">
        <f t="shared" si="82"/>
        <v>491166.00779476098</v>
      </c>
      <c r="Q548" s="21">
        <f t="shared" si="83"/>
        <v>18228968.693283137</v>
      </c>
      <c r="R548" s="21">
        <f t="shared" si="84"/>
        <v>19338836.961748932</v>
      </c>
      <c r="S548" s="21">
        <f t="shared" si="85"/>
        <v>1109868.2684657946</v>
      </c>
      <c r="T548" s="14">
        <f>IFERROR(INDEX(Cost_Components!$R$2:$R$27,MATCH(E548,Cost_Components!$A$2:$A$27,0)),"")</f>
        <v>1</v>
      </c>
      <c r="U548" s="24">
        <f>IFERROR(INDEX(Cost_Components!$Q$2:$Q$27,MATCH(E548,Cost_Components!$A$2:$A$27,0)),"")</f>
        <v>2023</v>
      </c>
      <c r="V548" s="28">
        <f>1/(1+Calculation_Assumptions!$B$5)^(B548-Calculation_Assumptions!$B$2)</f>
        <v>1</v>
      </c>
      <c r="W548" s="21">
        <f t="shared" si="86"/>
        <v>18228968.693283137</v>
      </c>
      <c r="X548" s="21">
        <f t="shared" si="87"/>
        <v>19338836.961748932</v>
      </c>
      <c r="Y548" s="21">
        <f t="shared" si="88"/>
        <v>1109868.2684657946</v>
      </c>
      <c r="Z548" s="15">
        <f>IFERROR(INDEX(Cost_Components!$T$2:$T$27,MATCH(E548,Cost_Components!$A$2:$A$27,0)),"")</f>
        <v>0.8</v>
      </c>
      <c r="AA548" s="24">
        <f>IFERROR(INDEX(Cost_Components!$U$2:$U$27,MATCH(E548,Cost_Components!$A$2:$A$27,0)),"")</f>
        <v>2025</v>
      </c>
      <c r="AB548" s="24">
        <f>IFERROR(INDEX(Cost_Components!$V$2:$V$27,MATCH(E548,Cost_Components!$A$2:$A$27,0)),"")</f>
        <v>2050</v>
      </c>
      <c r="AC548" s="24">
        <f>IFERROR(INDEX(Cost_Components!$M$2:$M$27,MATCH(E548,Cost_Components!$A$2:$A$27,0)),"")</f>
        <v>30</v>
      </c>
      <c r="AD548" s="24">
        <f>IFERROR(INDEX(Cost_Components!$N$2:$N$27,MATCH(E548,Cost_Components!$A$2:$A$27,0)),"")</f>
        <v>95</v>
      </c>
      <c r="AE548" s="14" t="str">
        <f>IFERROR(INDEX(Cost_Components!$O$2:$O$27,MATCH(E548,Cost_Components!$A$2:$A$27,0)),"")</f>
        <v>Both</v>
      </c>
      <c r="AF548" s="11">
        <v>982416.11686507997</v>
      </c>
      <c r="AG548" s="11">
        <v>982332.01558952197</v>
      </c>
      <c r="AH548" s="21">
        <f t="shared" si="89"/>
        <v>1</v>
      </c>
    </row>
    <row r="549" spans="1:34" hidden="1">
      <c r="A549" t="s">
        <v>217</v>
      </c>
      <c r="B549" s="18">
        <v>2026</v>
      </c>
      <c r="C549" t="s">
        <v>217</v>
      </c>
      <c r="D549" t="s">
        <v>173</v>
      </c>
      <c r="E549" s="20" t="s">
        <v>310</v>
      </c>
      <c r="F549" s="20" t="s">
        <v>311</v>
      </c>
      <c r="G549" s="20" t="s">
        <v>218</v>
      </c>
      <c r="H549" s="20" t="s">
        <v>192</v>
      </c>
      <c r="I549" s="20" t="s">
        <v>264</v>
      </c>
      <c r="J549" s="15">
        <f>IFERROR(INDEX(Cost_Components!$K$2:$K$27,MATCH(E549,Cost_Components!$A$2:$A$27,0)),"")</f>
        <v>0.5</v>
      </c>
      <c r="K549" s="15">
        <f t="shared" si="80"/>
        <v>0.34769230769230769</v>
      </c>
      <c r="L549" s="15">
        <f>IFERROR(INDEX(Cost_Components!$S$2:$S$27,MATCH(E549,Cost_Components!$A$2:$A$27,0)),"")</f>
        <v>0.31</v>
      </c>
      <c r="M549" s="26">
        <f>IFERROR(INDEX(Cost_Components!$L$2:$L$27,MATCH(E549,Cost_Components!$A$2:$A$27,0)),"")</f>
        <v>1</v>
      </c>
      <c r="N549" s="27">
        <f>IFERROR(INDEX(Cost_Components!$P$2:$P$27,MATCH(E549,Cost_Components!$A$2:$A$27,0)),"")</f>
        <v>119.721487</v>
      </c>
      <c r="O549" s="21">
        <f t="shared" si="81"/>
        <v>500187.48408709501</v>
      </c>
      <c r="P549" s="21">
        <f t="shared" si="82"/>
        <v>500079.81204225501</v>
      </c>
      <c r="Q549" s="21">
        <f t="shared" si="83"/>
        <v>18559792.602077574</v>
      </c>
      <c r="R549" s="21">
        <f t="shared" si="84"/>
        <v>20820924.305315789</v>
      </c>
      <c r="S549" s="21">
        <f t="shared" si="85"/>
        <v>2261131.7032382153</v>
      </c>
      <c r="T549" s="14">
        <f>IFERROR(INDEX(Cost_Components!$R$2:$R$27,MATCH(E549,Cost_Components!$A$2:$A$27,0)),"")</f>
        <v>1</v>
      </c>
      <c r="U549" s="24">
        <f>IFERROR(INDEX(Cost_Components!$Q$2:$Q$27,MATCH(E549,Cost_Components!$A$2:$A$27,0)),"")</f>
        <v>2023</v>
      </c>
      <c r="V549" s="28">
        <f>1/(1+Calculation_Assumptions!$B$5)^(B549-Calculation_Assumptions!$B$2)</f>
        <v>0.970873786407767</v>
      </c>
      <c r="W549" s="21">
        <f t="shared" si="86"/>
        <v>18019216.118521918</v>
      </c>
      <c r="X549" s="21">
        <f t="shared" si="87"/>
        <v>20214489.616811447</v>
      </c>
      <c r="Y549" s="21">
        <f t="shared" si="88"/>
        <v>2195273.4982895292</v>
      </c>
      <c r="Z549" s="15">
        <f>IFERROR(INDEX(Cost_Components!$T$2:$T$27,MATCH(E549,Cost_Components!$A$2:$A$27,0)),"")</f>
        <v>0.8</v>
      </c>
      <c r="AA549" s="24">
        <f>IFERROR(INDEX(Cost_Components!$U$2:$U$27,MATCH(E549,Cost_Components!$A$2:$A$27,0)),"")</f>
        <v>2025</v>
      </c>
      <c r="AB549" s="24">
        <f>IFERROR(INDEX(Cost_Components!$V$2:$V$27,MATCH(E549,Cost_Components!$A$2:$A$27,0)),"")</f>
        <v>2050</v>
      </c>
      <c r="AC549" s="24">
        <f>IFERROR(INDEX(Cost_Components!$M$2:$M$27,MATCH(E549,Cost_Components!$A$2:$A$27,0)),"")</f>
        <v>30</v>
      </c>
      <c r="AD549" s="24">
        <f>IFERROR(INDEX(Cost_Components!$N$2:$N$27,MATCH(E549,Cost_Components!$A$2:$A$27,0)),"")</f>
        <v>95</v>
      </c>
      <c r="AE549" s="14" t="str">
        <f>IFERROR(INDEX(Cost_Components!$O$2:$O$27,MATCH(E549,Cost_Components!$A$2:$A$27,0)),"")</f>
        <v>Both</v>
      </c>
      <c r="AF549" s="11">
        <v>1000374.96817419</v>
      </c>
      <c r="AG549" s="11">
        <v>1000159.62408451</v>
      </c>
      <c r="AH549" s="21">
        <f t="shared" si="89"/>
        <v>1</v>
      </c>
    </row>
    <row r="550" spans="1:34" hidden="1">
      <c r="A550" t="s">
        <v>217</v>
      </c>
      <c r="B550" s="18">
        <v>2027</v>
      </c>
      <c r="C550" t="s">
        <v>217</v>
      </c>
      <c r="D550" t="s">
        <v>173</v>
      </c>
      <c r="E550" s="20" t="s">
        <v>310</v>
      </c>
      <c r="F550" s="20" t="s">
        <v>311</v>
      </c>
      <c r="G550" s="20" t="s">
        <v>218</v>
      </c>
      <c r="H550" s="20" t="s">
        <v>192</v>
      </c>
      <c r="I550" s="20" t="s">
        <v>264</v>
      </c>
      <c r="J550" s="15">
        <f>IFERROR(INDEX(Cost_Components!$K$2:$K$27,MATCH(E550,Cost_Components!$A$2:$A$27,0)),"")</f>
        <v>0.5</v>
      </c>
      <c r="K550" s="15">
        <f t="shared" si="80"/>
        <v>0.36653846153846154</v>
      </c>
      <c r="L550" s="15">
        <f>IFERROR(INDEX(Cost_Components!$S$2:$S$27,MATCH(E550,Cost_Components!$A$2:$A$27,0)),"")</f>
        <v>0.31</v>
      </c>
      <c r="M550" s="26">
        <f>IFERROR(INDEX(Cost_Components!$L$2:$L$27,MATCH(E550,Cost_Components!$A$2:$A$27,0)),"")</f>
        <v>1</v>
      </c>
      <c r="N550" s="27">
        <f>IFERROR(INDEX(Cost_Components!$P$2:$P$27,MATCH(E550,Cost_Components!$A$2:$A$27,0)),"")</f>
        <v>119.721487</v>
      </c>
      <c r="O550" s="21">
        <f t="shared" si="81"/>
        <v>509119.32909407502</v>
      </c>
      <c r="P550" s="21">
        <f t="shared" si="82"/>
        <v>508929.77884367498</v>
      </c>
      <c r="Q550" s="21">
        <f t="shared" si="83"/>
        <v>18888247.26954123</v>
      </c>
      <c r="R550" s="21">
        <f t="shared" si="84"/>
        <v>22341444.058470972</v>
      </c>
      <c r="S550" s="21">
        <f t="shared" si="85"/>
        <v>3453196.7889297418</v>
      </c>
      <c r="T550" s="14">
        <f>IFERROR(INDEX(Cost_Components!$R$2:$R$27,MATCH(E550,Cost_Components!$A$2:$A$27,0)),"")</f>
        <v>1</v>
      </c>
      <c r="U550" s="24">
        <f>IFERROR(INDEX(Cost_Components!$Q$2:$Q$27,MATCH(E550,Cost_Components!$A$2:$A$27,0)),"")</f>
        <v>2023</v>
      </c>
      <c r="V550" s="28">
        <f>1/(1+Calculation_Assumptions!$B$5)^(B550-Calculation_Assumptions!$B$2)</f>
        <v>0.94259590913375435</v>
      </c>
      <c r="W550" s="21">
        <f t="shared" si="86"/>
        <v>17803984.606976368</v>
      </c>
      <c r="X550" s="21">
        <f t="shared" si="87"/>
        <v>21058953.773655359</v>
      </c>
      <c r="Y550" s="21">
        <f t="shared" si="88"/>
        <v>3254969.1666789912</v>
      </c>
      <c r="Z550" s="15">
        <f>IFERROR(INDEX(Cost_Components!$T$2:$T$27,MATCH(E550,Cost_Components!$A$2:$A$27,0)),"")</f>
        <v>0.8</v>
      </c>
      <c r="AA550" s="24">
        <f>IFERROR(INDEX(Cost_Components!$U$2:$U$27,MATCH(E550,Cost_Components!$A$2:$A$27,0)),"")</f>
        <v>2025</v>
      </c>
      <c r="AB550" s="24">
        <f>IFERROR(INDEX(Cost_Components!$V$2:$V$27,MATCH(E550,Cost_Components!$A$2:$A$27,0)),"")</f>
        <v>2050</v>
      </c>
      <c r="AC550" s="24">
        <f>IFERROR(INDEX(Cost_Components!$M$2:$M$27,MATCH(E550,Cost_Components!$A$2:$A$27,0)),"")</f>
        <v>30</v>
      </c>
      <c r="AD550" s="24">
        <f>IFERROR(INDEX(Cost_Components!$N$2:$N$27,MATCH(E550,Cost_Components!$A$2:$A$27,0)),"")</f>
        <v>95</v>
      </c>
      <c r="AE550" s="14" t="str">
        <f>IFERROR(INDEX(Cost_Components!$O$2:$O$27,MATCH(E550,Cost_Components!$A$2:$A$27,0)),"")</f>
        <v>Both</v>
      </c>
      <c r="AF550" s="11">
        <v>1018238.65818815</v>
      </c>
      <c r="AG550" s="11">
        <v>1017859.55768735</v>
      </c>
      <c r="AH550" s="21">
        <f t="shared" si="89"/>
        <v>1</v>
      </c>
    </row>
    <row r="551" spans="1:34" hidden="1">
      <c r="A551" t="s">
        <v>217</v>
      </c>
      <c r="B551" s="18">
        <v>2028</v>
      </c>
      <c r="C551" t="s">
        <v>217</v>
      </c>
      <c r="D551" t="s">
        <v>173</v>
      </c>
      <c r="E551" s="20" t="s">
        <v>310</v>
      </c>
      <c r="F551" s="20" t="s">
        <v>311</v>
      </c>
      <c r="G551" s="20" t="s">
        <v>218</v>
      </c>
      <c r="H551" s="20" t="s">
        <v>192</v>
      </c>
      <c r="I551" s="20" t="s">
        <v>264</v>
      </c>
      <c r="J551" s="15">
        <f>IFERROR(INDEX(Cost_Components!$K$2:$K$27,MATCH(E551,Cost_Components!$A$2:$A$27,0)),"")</f>
        <v>0.5</v>
      </c>
      <c r="K551" s="15">
        <f t="shared" si="80"/>
        <v>0.38538461538461538</v>
      </c>
      <c r="L551" s="15">
        <f>IFERROR(INDEX(Cost_Components!$S$2:$S$27,MATCH(E551,Cost_Components!$A$2:$A$27,0)),"")</f>
        <v>0.31</v>
      </c>
      <c r="M551" s="26">
        <f>IFERROR(INDEX(Cost_Components!$L$2:$L$27,MATCH(E551,Cost_Components!$A$2:$A$27,0)),"")</f>
        <v>1</v>
      </c>
      <c r="N551" s="27">
        <f>IFERROR(INDEX(Cost_Components!$P$2:$P$27,MATCH(E551,Cost_Components!$A$2:$A$27,0)),"")</f>
        <v>119.721487</v>
      </c>
      <c r="O551" s="21">
        <f t="shared" si="81"/>
        <v>517880.64004142501</v>
      </c>
      <c r="P551" s="21">
        <f t="shared" si="82"/>
        <v>517596.86272902502</v>
      </c>
      <c r="Q551" s="21">
        <f t="shared" si="83"/>
        <v>19209914.482460663</v>
      </c>
      <c r="R551" s="21">
        <f t="shared" si="84"/>
        <v>23894401.228807569</v>
      </c>
      <c r="S551" s="21">
        <f t="shared" si="85"/>
        <v>4684486.7463469058</v>
      </c>
      <c r="T551" s="14">
        <f>IFERROR(INDEX(Cost_Components!$R$2:$R$27,MATCH(E551,Cost_Components!$A$2:$A$27,0)),"")</f>
        <v>1</v>
      </c>
      <c r="U551" s="24">
        <f>IFERROR(INDEX(Cost_Components!$Q$2:$Q$27,MATCH(E551,Cost_Components!$A$2:$A$27,0)),"")</f>
        <v>2023</v>
      </c>
      <c r="V551" s="28">
        <f>1/(1+Calculation_Assumptions!$B$5)^(B551-Calculation_Assumptions!$B$2)</f>
        <v>0.91514165935315961</v>
      </c>
      <c r="W551" s="21">
        <f t="shared" si="86"/>
        <v>17579793.015511341</v>
      </c>
      <c r="X551" s="21">
        <f t="shared" si="87"/>
        <v>21866761.989781134</v>
      </c>
      <c r="Y551" s="21">
        <f t="shared" si="88"/>
        <v>4286968.9742697915</v>
      </c>
      <c r="Z551" s="15">
        <f>IFERROR(INDEX(Cost_Components!$T$2:$T$27,MATCH(E551,Cost_Components!$A$2:$A$27,0)),"")</f>
        <v>0.8</v>
      </c>
      <c r="AA551" s="24">
        <f>IFERROR(INDEX(Cost_Components!$U$2:$U$27,MATCH(E551,Cost_Components!$A$2:$A$27,0)),"")</f>
        <v>2025</v>
      </c>
      <c r="AB551" s="24">
        <f>IFERROR(INDEX(Cost_Components!$V$2:$V$27,MATCH(E551,Cost_Components!$A$2:$A$27,0)),"")</f>
        <v>2050</v>
      </c>
      <c r="AC551" s="24">
        <f>IFERROR(INDEX(Cost_Components!$M$2:$M$27,MATCH(E551,Cost_Components!$A$2:$A$27,0)),"")</f>
        <v>30</v>
      </c>
      <c r="AD551" s="24">
        <f>IFERROR(INDEX(Cost_Components!$N$2:$N$27,MATCH(E551,Cost_Components!$A$2:$A$27,0)),"")</f>
        <v>95</v>
      </c>
      <c r="AE551" s="14" t="str">
        <f>IFERROR(INDEX(Cost_Components!$O$2:$O$27,MATCH(E551,Cost_Components!$A$2:$A$27,0)),"")</f>
        <v>Both</v>
      </c>
      <c r="AF551" s="11">
        <v>1035761.28008285</v>
      </c>
      <c r="AG551" s="11">
        <v>1035193.72545805</v>
      </c>
      <c r="AH551" s="21">
        <f t="shared" si="89"/>
        <v>1</v>
      </c>
    </row>
    <row r="552" spans="1:34" hidden="1">
      <c r="A552" t="s">
        <v>217</v>
      </c>
      <c r="B552" s="18">
        <v>2029</v>
      </c>
      <c r="C552" t="s">
        <v>217</v>
      </c>
      <c r="D552" t="s">
        <v>173</v>
      </c>
      <c r="E552" s="20" t="s">
        <v>310</v>
      </c>
      <c r="F552" s="20" t="s">
        <v>311</v>
      </c>
      <c r="G552" s="20" t="s">
        <v>218</v>
      </c>
      <c r="H552" s="20" t="s">
        <v>192</v>
      </c>
      <c r="I552" s="20" t="s">
        <v>264</v>
      </c>
      <c r="J552" s="15">
        <f>IFERROR(INDEX(Cost_Components!$K$2:$K$27,MATCH(E552,Cost_Components!$A$2:$A$27,0)),"")</f>
        <v>0.5</v>
      </c>
      <c r="K552" s="15">
        <f t="shared" si="80"/>
        <v>0.40423076923076923</v>
      </c>
      <c r="L552" s="15">
        <f>IFERROR(INDEX(Cost_Components!$S$2:$S$27,MATCH(E552,Cost_Components!$A$2:$A$27,0)),"")</f>
        <v>0.31</v>
      </c>
      <c r="M552" s="26">
        <f>IFERROR(INDEX(Cost_Components!$L$2:$L$27,MATCH(E552,Cost_Components!$A$2:$A$27,0)),"")</f>
        <v>1</v>
      </c>
      <c r="N552" s="27">
        <f>IFERROR(INDEX(Cost_Components!$P$2:$P$27,MATCH(E552,Cost_Components!$A$2:$A$27,0)),"")</f>
        <v>119.721487</v>
      </c>
      <c r="O552" s="21">
        <f t="shared" si="81"/>
        <v>526340.89115313999</v>
      </c>
      <c r="P552" s="21">
        <f t="shared" si="82"/>
        <v>525952.86807197495</v>
      </c>
      <c r="Q552" s="21">
        <f t="shared" si="83"/>
        <v>19520036.431822415</v>
      </c>
      <c r="R552" s="21">
        <f t="shared" si="84"/>
        <v>25472324.684540298</v>
      </c>
      <c r="S552" s="21">
        <f t="shared" si="85"/>
        <v>5952288.2527178824</v>
      </c>
      <c r="T552" s="14">
        <f>IFERROR(INDEX(Cost_Components!$R$2:$R$27,MATCH(E552,Cost_Components!$A$2:$A$27,0)),"")</f>
        <v>1</v>
      </c>
      <c r="U552" s="24">
        <f>IFERROR(INDEX(Cost_Components!$Q$2:$Q$27,MATCH(E552,Cost_Components!$A$2:$A$27,0)),"")</f>
        <v>2023</v>
      </c>
      <c r="V552" s="28">
        <f>1/(1+Calculation_Assumptions!$B$5)^(B552-Calculation_Assumptions!$B$2)</f>
        <v>0.888487047915689</v>
      </c>
      <c r="W552" s="21">
        <f t="shared" si="86"/>
        <v>17343299.544516597</v>
      </c>
      <c r="X552" s="21">
        <f t="shared" si="87"/>
        <v>22631830.562517144</v>
      </c>
      <c r="Y552" s="21">
        <f t="shared" si="88"/>
        <v>5288531.0180005459</v>
      </c>
      <c r="Z552" s="15">
        <f>IFERROR(INDEX(Cost_Components!$T$2:$T$27,MATCH(E552,Cost_Components!$A$2:$A$27,0)),"")</f>
        <v>0.8</v>
      </c>
      <c r="AA552" s="24">
        <f>IFERROR(INDEX(Cost_Components!$U$2:$U$27,MATCH(E552,Cost_Components!$A$2:$A$27,0)),"")</f>
        <v>2025</v>
      </c>
      <c r="AB552" s="24">
        <f>IFERROR(INDEX(Cost_Components!$V$2:$V$27,MATCH(E552,Cost_Components!$A$2:$A$27,0)),"")</f>
        <v>2050</v>
      </c>
      <c r="AC552" s="24">
        <f>IFERROR(INDEX(Cost_Components!$M$2:$M$27,MATCH(E552,Cost_Components!$A$2:$A$27,0)),"")</f>
        <v>30</v>
      </c>
      <c r="AD552" s="24">
        <f>IFERROR(INDEX(Cost_Components!$N$2:$N$27,MATCH(E552,Cost_Components!$A$2:$A$27,0)),"")</f>
        <v>95</v>
      </c>
      <c r="AE552" s="14" t="str">
        <f>IFERROR(INDEX(Cost_Components!$O$2:$O$27,MATCH(E552,Cost_Components!$A$2:$A$27,0)),"")</f>
        <v>Both</v>
      </c>
      <c r="AF552" s="11">
        <v>1052681.78230628</v>
      </c>
      <c r="AG552" s="11">
        <v>1051905.7361439499</v>
      </c>
      <c r="AH552" s="21">
        <f t="shared" si="89"/>
        <v>1</v>
      </c>
    </row>
    <row r="553" spans="1:34" hidden="1">
      <c r="A553" t="s">
        <v>217</v>
      </c>
      <c r="B553" s="18">
        <v>2030</v>
      </c>
      <c r="C553" t="s">
        <v>217</v>
      </c>
      <c r="D553" t="s">
        <v>173</v>
      </c>
      <c r="E553" s="20" t="s">
        <v>310</v>
      </c>
      <c r="F553" s="20" t="s">
        <v>311</v>
      </c>
      <c r="G553" s="20" t="s">
        <v>218</v>
      </c>
      <c r="H553" s="20" t="s">
        <v>192</v>
      </c>
      <c r="I553" s="20" t="s">
        <v>264</v>
      </c>
      <c r="J553" s="15">
        <f>IFERROR(INDEX(Cost_Components!$K$2:$K$27,MATCH(E553,Cost_Components!$A$2:$A$27,0)),"")</f>
        <v>0.5</v>
      </c>
      <c r="K553" s="15">
        <f t="shared" si="80"/>
        <v>0.42307692307692307</v>
      </c>
      <c r="L553" s="15">
        <f>IFERROR(INDEX(Cost_Components!$S$2:$S$27,MATCH(E553,Cost_Components!$A$2:$A$27,0)),"")</f>
        <v>0.31</v>
      </c>
      <c r="M553" s="26">
        <f>IFERROR(INDEX(Cost_Components!$L$2:$L$27,MATCH(E553,Cost_Components!$A$2:$A$27,0)),"")</f>
        <v>1</v>
      </c>
      <c r="N553" s="27">
        <f>IFERROR(INDEX(Cost_Components!$P$2:$P$27,MATCH(E553,Cost_Components!$A$2:$A$27,0)),"")</f>
        <v>119.721487</v>
      </c>
      <c r="O553" s="21">
        <f t="shared" si="81"/>
        <v>534461.62093723996</v>
      </c>
      <c r="P553" s="21">
        <f t="shared" si="82"/>
        <v>533960.83661125996</v>
      </c>
      <c r="Q553" s="21">
        <f t="shared" si="83"/>
        <v>19817241.461247865</v>
      </c>
      <c r="R553" s="21">
        <f t="shared" si="84"/>
        <v>27071228.46282322</v>
      </c>
      <c r="S553" s="21">
        <f t="shared" si="85"/>
        <v>7253987.0015753545</v>
      </c>
      <c r="T553" s="14">
        <f>IFERROR(INDEX(Cost_Components!$R$2:$R$27,MATCH(E553,Cost_Components!$A$2:$A$27,0)),"")</f>
        <v>1</v>
      </c>
      <c r="U553" s="24">
        <f>IFERROR(INDEX(Cost_Components!$Q$2:$Q$27,MATCH(E553,Cost_Components!$A$2:$A$27,0)),"")</f>
        <v>2023</v>
      </c>
      <c r="V553" s="28">
        <f>1/(1+Calculation_Assumptions!$B$5)^(B553-Calculation_Assumptions!$B$2)</f>
        <v>0.86260878438416411</v>
      </c>
      <c r="W553" s="21">
        <f t="shared" si="86"/>
        <v>17094526.566734478</v>
      </c>
      <c r="X553" s="21">
        <f t="shared" si="87"/>
        <v>23351879.47610192</v>
      </c>
      <c r="Y553" s="21">
        <f t="shared" si="88"/>
        <v>6257352.909367444</v>
      </c>
      <c r="Z553" s="15">
        <f>IFERROR(INDEX(Cost_Components!$T$2:$T$27,MATCH(E553,Cost_Components!$A$2:$A$27,0)),"")</f>
        <v>0.8</v>
      </c>
      <c r="AA553" s="24">
        <f>IFERROR(INDEX(Cost_Components!$U$2:$U$27,MATCH(E553,Cost_Components!$A$2:$A$27,0)),"")</f>
        <v>2025</v>
      </c>
      <c r="AB553" s="24">
        <f>IFERROR(INDEX(Cost_Components!$V$2:$V$27,MATCH(E553,Cost_Components!$A$2:$A$27,0)),"")</f>
        <v>2050</v>
      </c>
      <c r="AC553" s="24">
        <f>IFERROR(INDEX(Cost_Components!$M$2:$M$27,MATCH(E553,Cost_Components!$A$2:$A$27,0)),"")</f>
        <v>30</v>
      </c>
      <c r="AD553" s="24">
        <f>IFERROR(INDEX(Cost_Components!$N$2:$N$27,MATCH(E553,Cost_Components!$A$2:$A$27,0)),"")</f>
        <v>95</v>
      </c>
      <c r="AE553" s="14" t="str">
        <f>IFERROR(INDEX(Cost_Components!$O$2:$O$27,MATCH(E553,Cost_Components!$A$2:$A$27,0)),"")</f>
        <v>Both</v>
      </c>
      <c r="AF553" s="11">
        <v>1068923.2418744799</v>
      </c>
      <c r="AG553" s="11">
        <v>1067921.6732225199</v>
      </c>
      <c r="AH553" s="21">
        <f t="shared" si="89"/>
        <v>1</v>
      </c>
    </row>
    <row r="554" spans="1:34" hidden="1">
      <c r="A554" t="s">
        <v>217</v>
      </c>
      <c r="B554" s="18">
        <v>2031</v>
      </c>
      <c r="C554" t="s">
        <v>217</v>
      </c>
      <c r="D554" t="s">
        <v>173</v>
      </c>
      <c r="E554" s="20" t="s">
        <v>310</v>
      </c>
      <c r="F554" s="20" t="s">
        <v>311</v>
      </c>
      <c r="G554" s="20" t="s">
        <v>218</v>
      </c>
      <c r="H554" s="20" t="s">
        <v>192</v>
      </c>
      <c r="I554" s="20" t="s">
        <v>264</v>
      </c>
      <c r="J554" s="15">
        <f>IFERROR(INDEX(Cost_Components!$K$2:$K$27,MATCH(E554,Cost_Components!$A$2:$A$27,0)),"")</f>
        <v>0.5</v>
      </c>
      <c r="K554" s="15">
        <f t="shared" si="80"/>
        <v>0.44192307692307692</v>
      </c>
      <c r="L554" s="15">
        <f>IFERROR(INDEX(Cost_Components!$S$2:$S$27,MATCH(E554,Cost_Components!$A$2:$A$27,0)),"")</f>
        <v>0.31</v>
      </c>
      <c r="M554" s="26">
        <f>IFERROR(INDEX(Cost_Components!$L$2:$L$27,MATCH(E554,Cost_Components!$A$2:$A$27,0)),"")</f>
        <v>1</v>
      </c>
      <c r="N554" s="27">
        <f>IFERROR(INDEX(Cost_Components!$P$2:$P$27,MATCH(E554,Cost_Components!$A$2:$A$27,0)),"")</f>
        <v>119.721487</v>
      </c>
      <c r="O554" s="21">
        <f t="shared" si="81"/>
        <v>542273.46501959499</v>
      </c>
      <c r="P554" s="21">
        <f t="shared" si="82"/>
        <v>541652.49599249498</v>
      </c>
      <c r="Q554" s="21">
        <f t="shared" si="83"/>
        <v>20102707.099819742</v>
      </c>
      <c r="R554" s="21">
        <f t="shared" si="84"/>
        <v>28690435.248505332</v>
      </c>
      <c r="S554" s="21">
        <f t="shared" si="85"/>
        <v>8587728.1486855894</v>
      </c>
      <c r="T554" s="14">
        <f>IFERROR(INDEX(Cost_Components!$R$2:$R$27,MATCH(E554,Cost_Components!$A$2:$A$27,0)),"")</f>
        <v>1</v>
      </c>
      <c r="U554" s="24">
        <f>IFERROR(INDEX(Cost_Components!$Q$2:$Q$27,MATCH(E554,Cost_Components!$A$2:$A$27,0)),"")</f>
        <v>2023</v>
      </c>
      <c r="V554" s="28">
        <f>1/(1+Calculation_Assumptions!$B$5)^(B554-Calculation_Assumptions!$B$2)</f>
        <v>0.83748425668365445</v>
      </c>
      <c r="W554" s="21">
        <f t="shared" si="86"/>
        <v>16835700.712821759</v>
      </c>
      <c r="X554" s="21">
        <f t="shared" si="87"/>
        <v>24027787.838025007</v>
      </c>
      <c r="Y554" s="21">
        <f t="shared" si="88"/>
        <v>7192087.1252032472</v>
      </c>
      <c r="Z554" s="15">
        <f>IFERROR(INDEX(Cost_Components!$T$2:$T$27,MATCH(E554,Cost_Components!$A$2:$A$27,0)),"")</f>
        <v>0.8</v>
      </c>
      <c r="AA554" s="24">
        <f>IFERROR(INDEX(Cost_Components!$U$2:$U$27,MATCH(E554,Cost_Components!$A$2:$A$27,0)),"")</f>
        <v>2025</v>
      </c>
      <c r="AB554" s="24">
        <f>IFERROR(INDEX(Cost_Components!$V$2:$V$27,MATCH(E554,Cost_Components!$A$2:$A$27,0)),"")</f>
        <v>2050</v>
      </c>
      <c r="AC554" s="24">
        <f>IFERROR(INDEX(Cost_Components!$M$2:$M$27,MATCH(E554,Cost_Components!$A$2:$A$27,0)),"")</f>
        <v>30</v>
      </c>
      <c r="AD554" s="24">
        <f>IFERROR(INDEX(Cost_Components!$N$2:$N$27,MATCH(E554,Cost_Components!$A$2:$A$27,0)),"")</f>
        <v>95</v>
      </c>
      <c r="AE554" s="14" t="str">
        <f>IFERROR(INDEX(Cost_Components!$O$2:$O$27,MATCH(E554,Cost_Components!$A$2:$A$27,0)),"")</f>
        <v>Both</v>
      </c>
      <c r="AF554" s="11">
        <v>1084546.93003919</v>
      </c>
      <c r="AG554" s="11">
        <v>1083304.99198499</v>
      </c>
      <c r="AH554" s="21">
        <f t="shared" si="89"/>
        <v>1</v>
      </c>
    </row>
    <row r="555" spans="1:34" hidden="1">
      <c r="A555" t="s">
        <v>217</v>
      </c>
      <c r="B555" s="18">
        <v>2032</v>
      </c>
      <c r="C555" t="s">
        <v>217</v>
      </c>
      <c r="D555" t="s">
        <v>173</v>
      </c>
      <c r="E555" s="20" t="s">
        <v>310</v>
      </c>
      <c r="F555" s="20" t="s">
        <v>311</v>
      </c>
      <c r="G555" s="20" t="s">
        <v>218</v>
      </c>
      <c r="H555" s="20" t="s">
        <v>192</v>
      </c>
      <c r="I555" s="20" t="s">
        <v>264</v>
      </c>
      <c r="J555" s="15">
        <f>IFERROR(INDEX(Cost_Components!$K$2:$K$27,MATCH(E555,Cost_Components!$A$2:$A$27,0)),"")</f>
        <v>0.5</v>
      </c>
      <c r="K555" s="15">
        <f t="shared" si="80"/>
        <v>0.46076923076923082</v>
      </c>
      <c r="L555" s="15">
        <f>IFERROR(INDEX(Cost_Components!$S$2:$S$27,MATCH(E555,Cost_Components!$A$2:$A$27,0)),"")</f>
        <v>0.31</v>
      </c>
      <c r="M555" s="26">
        <f>IFERROR(INDEX(Cost_Components!$L$2:$L$27,MATCH(E555,Cost_Components!$A$2:$A$27,0)),"")</f>
        <v>1</v>
      </c>
      <c r="N555" s="27">
        <f>IFERROR(INDEX(Cost_Components!$P$2:$P$27,MATCH(E555,Cost_Components!$A$2:$A$27,0)),"")</f>
        <v>119.721487</v>
      </c>
      <c r="O555" s="21">
        <f t="shared" si="81"/>
        <v>549770.86700017995</v>
      </c>
      <c r="P555" s="21">
        <f t="shared" si="82"/>
        <v>549023.30766605504</v>
      </c>
      <c r="Q555" s="21">
        <f t="shared" si="83"/>
        <v>20376264.905345969</v>
      </c>
      <c r="R555" s="21">
        <f t="shared" si="84"/>
        <v>30327547.721706096</v>
      </c>
      <c r="S555" s="21">
        <f t="shared" si="85"/>
        <v>9951282.8163601272</v>
      </c>
      <c r="T555" s="14">
        <f>IFERROR(INDEX(Cost_Components!$R$2:$R$27,MATCH(E555,Cost_Components!$A$2:$A$27,0)),"")</f>
        <v>1</v>
      </c>
      <c r="U555" s="24">
        <f>IFERROR(INDEX(Cost_Components!$Q$2:$Q$27,MATCH(E555,Cost_Components!$A$2:$A$27,0)),"")</f>
        <v>2023</v>
      </c>
      <c r="V555" s="28">
        <f>1/(1+Calculation_Assumptions!$B$5)^(B555-Calculation_Assumptions!$B$2)</f>
        <v>0.81309151134335378</v>
      </c>
      <c r="W555" s="21">
        <f t="shared" si="86"/>
        <v>16567768.027420294</v>
      </c>
      <c r="X555" s="21">
        <f t="shared" si="87"/>
        <v>24659071.612379696</v>
      </c>
      <c r="Y555" s="21">
        <f t="shared" si="88"/>
        <v>8091303.5849594017</v>
      </c>
      <c r="Z555" s="15">
        <f>IFERROR(INDEX(Cost_Components!$T$2:$T$27,MATCH(E555,Cost_Components!$A$2:$A$27,0)),"")</f>
        <v>0.8</v>
      </c>
      <c r="AA555" s="24">
        <f>IFERROR(INDEX(Cost_Components!$U$2:$U$27,MATCH(E555,Cost_Components!$A$2:$A$27,0)),"")</f>
        <v>2025</v>
      </c>
      <c r="AB555" s="24">
        <f>IFERROR(INDEX(Cost_Components!$V$2:$V$27,MATCH(E555,Cost_Components!$A$2:$A$27,0)),"")</f>
        <v>2050</v>
      </c>
      <c r="AC555" s="24">
        <f>IFERROR(INDEX(Cost_Components!$M$2:$M$27,MATCH(E555,Cost_Components!$A$2:$A$27,0)),"")</f>
        <v>30</v>
      </c>
      <c r="AD555" s="24">
        <f>IFERROR(INDEX(Cost_Components!$N$2:$N$27,MATCH(E555,Cost_Components!$A$2:$A$27,0)),"")</f>
        <v>95</v>
      </c>
      <c r="AE555" s="14" t="str">
        <f>IFERROR(INDEX(Cost_Components!$O$2:$O$27,MATCH(E555,Cost_Components!$A$2:$A$27,0)),"")</f>
        <v>Both</v>
      </c>
      <c r="AF555" s="11">
        <v>1099541.7340003599</v>
      </c>
      <c r="AG555" s="11">
        <v>1098046.6153321101</v>
      </c>
      <c r="AH555" s="21">
        <f t="shared" si="89"/>
        <v>1</v>
      </c>
    </row>
    <row r="556" spans="1:34" hidden="1">
      <c r="A556" t="s">
        <v>217</v>
      </c>
      <c r="B556" s="18">
        <v>2033</v>
      </c>
      <c r="C556" t="s">
        <v>217</v>
      </c>
      <c r="D556" t="s">
        <v>173</v>
      </c>
      <c r="E556" s="20" t="s">
        <v>310</v>
      </c>
      <c r="F556" s="20" t="s">
        <v>311</v>
      </c>
      <c r="G556" s="20" t="s">
        <v>218</v>
      </c>
      <c r="H556" s="20" t="s">
        <v>192</v>
      </c>
      <c r="I556" s="20" t="s">
        <v>264</v>
      </c>
      <c r="J556" s="15">
        <f>IFERROR(INDEX(Cost_Components!$K$2:$K$27,MATCH(E556,Cost_Components!$A$2:$A$27,0)),"")</f>
        <v>0.5</v>
      </c>
      <c r="K556" s="15">
        <f t="shared" si="80"/>
        <v>0.47961538461538467</v>
      </c>
      <c r="L556" s="15">
        <f>IFERROR(INDEX(Cost_Components!$S$2:$S$27,MATCH(E556,Cost_Components!$A$2:$A$27,0)),"")</f>
        <v>0.31</v>
      </c>
      <c r="M556" s="26">
        <f>IFERROR(INDEX(Cost_Components!$L$2:$L$27,MATCH(E556,Cost_Components!$A$2:$A$27,0)),"")</f>
        <v>1</v>
      </c>
      <c r="N556" s="27">
        <f>IFERROR(INDEX(Cost_Components!$P$2:$P$27,MATCH(E556,Cost_Components!$A$2:$A$27,0)),"")</f>
        <v>119.721487</v>
      </c>
      <c r="O556" s="21">
        <f t="shared" si="81"/>
        <v>556963.904192955</v>
      </c>
      <c r="P556" s="21">
        <f t="shared" si="82"/>
        <v>556084.34994470002</v>
      </c>
      <c r="Q556" s="21">
        <f t="shared" si="83"/>
        <v>20638326.034570433</v>
      </c>
      <c r="R556" s="21">
        <f t="shared" si="84"/>
        <v>31981016.1071872</v>
      </c>
      <c r="S556" s="21">
        <f t="shared" si="85"/>
        <v>11342690.072616767</v>
      </c>
      <c r="T556" s="14">
        <f>IFERROR(INDEX(Cost_Components!$R$2:$R$27,MATCH(E556,Cost_Components!$A$2:$A$27,0)),"")</f>
        <v>1</v>
      </c>
      <c r="U556" s="24">
        <f>IFERROR(INDEX(Cost_Components!$Q$2:$Q$27,MATCH(E556,Cost_Components!$A$2:$A$27,0)),"")</f>
        <v>2023</v>
      </c>
      <c r="V556" s="28">
        <f>1/(1+Calculation_Assumptions!$B$5)^(B556-Calculation_Assumptions!$B$2)</f>
        <v>0.78940923431393573</v>
      </c>
      <c r="W556" s="21">
        <f t="shared" si="86"/>
        <v>16292085.152471611</v>
      </c>
      <c r="X556" s="21">
        <f t="shared" si="87"/>
        <v>25246109.437756293</v>
      </c>
      <c r="Y556" s="21">
        <f t="shared" si="88"/>
        <v>8954024.2852846812</v>
      </c>
      <c r="Z556" s="15">
        <f>IFERROR(INDEX(Cost_Components!$T$2:$T$27,MATCH(E556,Cost_Components!$A$2:$A$27,0)),"")</f>
        <v>0.8</v>
      </c>
      <c r="AA556" s="24">
        <f>IFERROR(INDEX(Cost_Components!$U$2:$U$27,MATCH(E556,Cost_Components!$A$2:$A$27,0)),"")</f>
        <v>2025</v>
      </c>
      <c r="AB556" s="24">
        <f>IFERROR(INDEX(Cost_Components!$V$2:$V$27,MATCH(E556,Cost_Components!$A$2:$A$27,0)),"")</f>
        <v>2050</v>
      </c>
      <c r="AC556" s="24">
        <f>IFERROR(INDEX(Cost_Components!$M$2:$M$27,MATCH(E556,Cost_Components!$A$2:$A$27,0)),"")</f>
        <v>30</v>
      </c>
      <c r="AD556" s="24">
        <f>IFERROR(INDEX(Cost_Components!$N$2:$N$27,MATCH(E556,Cost_Components!$A$2:$A$27,0)),"")</f>
        <v>95</v>
      </c>
      <c r="AE556" s="14" t="str">
        <f>IFERROR(INDEX(Cost_Components!$O$2:$O$27,MATCH(E556,Cost_Components!$A$2:$A$27,0)),"")</f>
        <v>Both</v>
      </c>
      <c r="AF556" s="11">
        <v>1113927.80838591</v>
      </c>
      <c r="AG556" s="11">
        <v>1112168.6998894</v>
      </c>
      <c r="AH556" s="21">
        <f t="shared" si="89"/>
        <v>1</v>
      </c>
    </row>
    <row r="557" spans="1:34" hidden="1">
      <c r="A557" t="s">
        <v>217</v>
      </c>
      <c r="B557" s="18">
        <v>2034</v>
      </c>
      <c r="C557" t="s">
        <v>217</v>
      </c>
      <c r="D557" t="s">
        <v>173</v>
      </c>
      <c r="E557" s="20" t="s">
        <v>310</v>
      </c>
      <c r="F557" s="20" t="s">
        <v>311</v>
      </c>
      <c r="G557" s="20" t="s">
        <v>218</v>
      </c>
      <c r="H557" s="20" t="s">
        <v>192</v>
      </c>
      <c r="I557" s="20" t="s">
        <v>264</v>
      </c>
      <c r="J557" s="15">
        <f>IFERROR(INDEX(Cost_Components!$K$2:$K$27,MATCH(E557,Cost_Components!$A$2:$A$27,0)),"")</f>
        <v>0.5</v>
      </c>
      <c r="K557" s="15">
        <f t="shared" si="80"/>
        <v>0.49846153846153851</v>
      </c>
      <c r="L557" s="15">
        <f>IFERROR(INDEX(Cost_Components!$S$2:$S$27,MATCH(E557,Cost_Components!$A$2:$A$27,0)),"")</f>
        <v>0.31</v>
      </c>
      <c r="M557" s="26">
        <f>IFERROR(INDEX(Cost_Components!$L$2:$L$27,MATCH(E557,Cost_Components!$A$2:$A$27,0)),"")</f>
        <v>1</v>
      </c>
      <c r="N557" s="27">
        <f>IFERROR(INDEX(Cost_Components!$P$2:$P$27,MATCH(E557,Cost_Components!$A$2:$A$27,0)),"")</f>
        <v>119.721487</v>
      </c>
      <c r="O557" s="21">
        <f t="shared" si="81"/>
        <v>563930.89894503995</v>
      </c>
      <c r="P557" s="21">
        <f t="shared" si="82"/>
        <v>562914.69122867996</v>
      </c>
      <c r="Q557" s="21">
        <f t="shared" si="83"/>
        <v>20891825.005293462</v>
      </c>
      <c r="R557" s="21">
        <f t="shared" si="84"/>
        <v>33653454.207647391</v>
      </c>
      <c r="S557" s="21">
        <f t="shared" si="85"/>
        <v>12761629.202353928</v>
      </c>
      <c r="T557" s="14">
        <f>IFERROR(INDEX(Cost_Components!$R$2:$R$27,MATCH(E557,Cost_Components!$A$2:$A$27,0)),"")</f>
        <v>1</v>
      </c>
      <c r="U557" s="24">
        <f>IFERROR(INDEX(Cost_Components!$Q$2:$Q$27,MATCH(E557,Cost_Components!$A$2:$A$27,0)),"")</f>
        <v>2023</v>
      </c>
      <c r="V557" s="28">
        <f>1/(1+Calculation_Assumptions!$B$5)^(B557-Calculation_Assumptions!$B$2)</f>
        <v>0.76641673234362695</v>
      </c>
      <c r="W557" s="21">
        <f t="shared" si="86"/>
        <v>16011844.253251892</v>
      </c>
      <c r="X557" s="21">
        <f t="shared" si="87"/>
        <v>25792570.405900996</v>
      </c>
      <c r="Y557" s="21">
        <f t="shared" si="88"/>
        <v>9780726.1526491046</v>
      </c>
      <c r="Z557" s="15">
        <f>IFERROR(INDEX(Cost_Components!$T$2:$T$27,MATCH(E557,Cost_Components!$A$2:$A$27,0)),"")</f>
        <v>0.8</v>
      </c>
      <c r="AA557" s="24">
        <f>IFERROR(INDEX(Cost_Components!$U$2:$U$27,MATCH(E557,Cost_Components!$A$2:$A$27,0)),"")</f>
        <v>2025</v>
      </c>
      <c r="AB557" s="24">
        <f>IFERROR(INDEX(Cost_Components!$V$2:$V$27,MATCH(E557,Cost_Components!$A$2:$A$27,0)),"")</f>
        <v>2050</v>
      </c>
      <c r="AC557" s="24">
        <f>IFERROR(INDEX(Cost_Components!$M$2:$M$27,MATCH(E557,Cost_Components!$A$2:$A$27,0)),"")</f>
        <v>30</v>
      </c>
      <c r="AD557" s="24">
        <f>IFERROR(INDEX(Cost_Components!$N$2:$N$27,MATCH(E557,Cost_Components!$A$2:$A$27,0)),"")</f>
        <v>95</v>
      </c>
      <c r="AE557" s="14" t="str">
        <f>IFERROR(INDEX(Cost_Components!$O$2:$O$27,MATCH(E557,Cost_Components!$A$2:$A$27,0)),"")</f>
        <v>Both</v>
      </c>
      <c r="AF557" s="11">
        <v>1127861.7978900799</v>
      </c>
      <c r="AG557" s="11">
        <v>1125829.3824573599</v>
      </c>
      <c r="AH557" s="21">
        <f t="shared" si="89"/>
        <v>1</v>
      </c>
    </row>
    <row r="558" spans="1:34" hidden="1">
      <c r="A558" t="s">
        <v>217</v>
      </c>
      <c r="B558" s="18">
        <v>2035</v>
      </c>
      <c r="C558" t="s">
        <v>217</v>
      </c>
      <c r="D558" t="s">
        <v>173</v>
      </c>
      <c r="E558" s="20" t="s">
        <v>310</v>
      </c>
      <c r="F558" s="20" t="s">
        <v>311</v>
      </c>
      <c r="G558" s="20" t="s">
        <v>218</v>
      </c>
      <c r="H558" s="20" t="s">
        <v>192</v>
      </c>
      <c r="I558" s="20" t="s">
        <v>264</v>
      </c>
      <c r="J558" s="15">
        <f>IFERROR(INDEX(Cost_Components!$K$2:$K$27,MATCH(E558,Cost_Components!$A$2:$A$27,0)),"")</f>
        <v>0.5</v>
      </c>
      <c r="K558" s="15">
        <f t="shared" si="80"/>
        <v>0.51730769230769236</v>
      </c>
      <c r="L558" s="15">
        <f>IFERROR(INDEX(Cost_Components!$S$2:$S$27,MATCH(E558,Cost_Components!$A$2:$A$27,0)),"")</f>
        <v>0.31</v>
      </c>
      <c r="M558" s="26">
        <f>IFERROR(INDEX(Cost_Components!$L$2:$L$27,MATCH(E558,Cost_Components!$A$2:$A$27,0)),"")</f>
        <v>1</v>
      </c>
      <c r="N558" s="27">
        <f>IFERROR(INDEX(Cost_Components!$P$2:$P$27,MATCH(E558,Cost_Components!$A$2:$A$27,0)),"")</f>
        <v>119.721487</v>
      </c>
      <c r="O558" s="21">
        <f t="shared" si="81"/>
        <v>570740.04491933505</v>
      </c>
      <c r="P558" s="21">
        <f t="shared" si="82"/>
        <v>569583.09548001003</v>
      </c>
      <c r="Q558" s="21">
        <f t="shared" si="83"/>
        <v>21139313.899888229</v>
      </c>
      <c r="R558" s="21">
        <f t="shared" si="84"/>
        <v>35347555.39912115</v>
      </c>
      <c r="S558" s="21">
        <f t="shared" si="85"/>
        <v>14208241.499232922</v>
      </c>
      <c r="T558" s="14">
        <f>IFERROR(INDEX(Cost_Components!$R$2:$R$27,MATCH(E558,Cost_Components!$A$2:$A$27,0)),"")</f>
        <v>1</v>
      </c>
      <c r="U558" s="24">
        <f>IFERROR(INDEX(Cost_Components!$Q$2:$Q$27,MATCH(E558,Cost_Components!$A$2:$A$27,0)),"")</f>
        <v>2023</v>
      </c>
      <c r="V558" s="28">
        <f>1/(1+Calculation_Assumptions!$B$5)^(B558-Calculation_Assumptions!$B$2)</f>
        <v>0.74409391489672516</v>
      </c>
      <c r="W558" s="21">
        <f t="shared" si="86"/>
        <v>15729634.837998591</v>
      </c>
      <c r="X558" s="21">
        <f t="shared" si="87"/>
        <v>26301900.87896093</v>
      </c>
      <c r="Y558" s="21">
        <f t="shared" si="88"/>
        <v>10572266.04096234</v>
      </c>
      <c r="Z558" s="15">
        <f>IFERROR(INDEX(Cost_Components!$T$2:$T$27,MATCH(E558,Cost_Components!$A$2:$A$27,0)),"")</f>
        <v>0.8</v>
      </c>
      <c r="AA558" s="24">
        <f>IFERROR(INDEX(Cost_Components!$U$2:$U$27,MATCH(E558,Cost_Components!$A$2:$A$27,0)),"")</f>
        <v>2025</v>
      </c>
      <c r="AB558" s="24">
        <f>IFERROR(INDEX(Cost_Components!$V$2:$V$27,MATCH(E558,Cost_Components!$A$2:$A$27,0)),"")</f>
        <v>2050</v>
      </c>
      <c r="AC558" s="24">
        <f>IFERROR(INDEX(Cost_Components!$M$2:$M$27,MATCH(E558,Cost_Components!$A$2:$A$27,0)),"")</f>
        <v>30</v>
      </c>
      <c r="AD558" s="24">
        <f>IFERROR(INDEX(Cost_Components!$N$2:$N$27,MATCH(E558,Cost_Components!$A$2:$A$27,0)),"")</f>
        <v>95</v>
      </c>
      <c r="AE558" s="14" t="str">
        <f>IFERROR(INDEX(Cost_Components!$O$2:$O$27,MATCH(E558,Cost_Components!$A$2:$A$27,0)),"")</f>
        <v>Both</v>
      </c>
      <c r="AF558" s="11">
        <v>1141480.0898386701</v>
      </c>
      <c r="AG558" s="11">
        <v>1139166.1909600201</v>
      </c>
      <c r="AH558" s="21">
        <f t="shared" si="89"/>
        <v>1</v>
      </c>
    </row>
    <row r="559" spans="1:34" hidden="1">
      <c r="A559" t="s">
        <v>217</v>
      </c>
      <c r="B559" s="18">
        <v>2036</v>
      </c>
      <c r="C559" t="s">
        <v>217</v>
      </c>
      <c r="D559" t="s">
        <v>173</v>
      </c>
      <c r="E559" s="20" t="s">
        <v>310</v>
      </c>
      <c r="F559" s="20" t="s">
        <v>311</v>
      </c>
      <c r="G559" s="20" t="s">
        <v>218</v>
      </c>
      <c r="H559" s="20" t="s">
        <v>192</v>
      </c>
      <c r="I559" s="20" t="s">
        <v>264</v>
      </c>
      <c r="J559" s="15">
        <f>IFERROR(INDEX(Cost_Components!$K$2:$K$27,MATCH(E559,Cost_Components!$A$2:$A$27,0)),"")</f>
        <v>0.5</v>
      </c>
      <c r="K559" s="15">
        <f t="shared" si="80"/>
        <v>0.5361538461538462</v>
      </c>
      <c r="L559" s="15">
        <f>IFERROR(INDEX(Cost_Components!$S$2:$S$27,MATCH(E559,Cost_Components!$A$2:$A$27,0)),"")</f>
        <v>0.31</v>
      </c>
      <c r="M559" s="26">
        <f>IFERROR(INDEX(Cost_Components!$L$2:$L$27,MATCH(E559,Cost_Components!$A$2:$A$27,0)),"")</f>
        <v>1</v>
      </c>
      <c r="N559" s="27">
        <f>IFERROR(INDEX(Cost_Components!$P$2:$P$27,MATCH(E559,Cost_Components!$A$2:$A$27,0)),"")</f>
        <v>119.721487</v>
      </c>
      <c r="O559" s="21">
        <f t="shared" si="81"/>
        <v>577399.55035316502</v>
      </c>
      <c r="P559" s="21">
        <f t="shared" si="82"/>
        <v>576098.28276520001</v>
      </c>
      <c r="Q559" s="21">
        <f t="shared" si="83"/>
        <v>21381116.351946827</v>
      </c>
      <c r="R559" s="21">
        <f t="shared" si="84"/>
        <v>37062778.103618748</v>
      </c>
      <c r="S559" s="21">
        <f t="shared" si="85"/>
        <v>15681661.751671921</v>
      </c>
      <c r="T559" s="14">
        <f>IFERROR(INDEX(Cost_Components!$R$2:$R$27,MATCH(E559,Cost_Components!$A$2:$A$27,0)),"")</f>
        <v>1</v>
      </c>
      <c r="U559" s="24">
        <f>IFERROR(INDEX(Cost_Components!$Q$2:$Q$27,MATCH(E559,Cost_Components!$A$2:$A$27,0)),"")</f>
        <v>2023</v>
      </c>
      <c r="V559" s="28">
        <f>1/(1+Calculation_Assumptions!$B$5)^(B559-Calculation_Assumptions!$B$2)</f>
        <v>0.72242127659876232</v>
      </c>
      <c r="W559" s="21">
        <f t="shared" si="86"/>
        <v>15446173.370080099</v>
      </c>
      <c r="X559" s="21">
        <f t="shared" si="87"/>
        <v>26774939.471912913</v>
      </c>
      <c r="Y559" s="21">
        <f t="shared" si="88"/>
        <v>11328766.101832813</v>
      </c>
      <c r="Z559" s="15">
        <f>IFERROR(INDEX(Cost_Components!$T$2:$T$27,MATCH(E559,Cost_Components!$A$2:$A$27,0)),"")</f>
        <v>0.8</v>
      </c>
      <c r="AA559" s="24">
        <f>IFERROR(INDEX(Cost_Components!$U$2:$U$27,MATCH(E559,Cost_Components!$A$2:$A$27,0)),"")</f>
        <v>2025</v>
      </c>
      <c r="AB559" s="24">
        <f>IFERROR(INDEX(Cost_Components!$V$2:$V$27,MATCH(E559,Cost_Components!$A$2:$A$27,0)),"")</f>
        <v>2050</v>
      </c>
      <c r="AC559" s="24">
        <f>IFERROR(INDEX(Cost_Components!$M$2:$M$27,MATCH(E559,Cost_Components!$A$2:$A$27,0)),"")</f>
        <v>30</v>
      </c>
      <c r="AD559" s="24">
        <f>IFERROR(INDEX(Cost_Components!$N$2:$N$27,MATCH(E559,Cost_Components!$A$2:$A$27,0)),"")</f>
        <v>95</v>
      </c>
      <c r="AE559" s="14" t="str">
        <f>IFERROR(INDEX(Cost_Components!$O$2:$O$27,MATCH(E559,Cost_Components!$A$2:$A$27,0)),"")</f>
        <v>Both</v>
      </c>
      <c r="AF559" s="11">
        <v>1154799.10070633</v>
      </c>
      <c r="AG559" s="11">
        <v>1152196.5655304</v>
      </c>
      <c r="AH559" s="21">
        <f t="shared" si="89"/>
        <v>1</v>
      </c>
    </row>
    <row r="560" spans="1:34" hidden="1">
      <c r="A560" t="s">
        <v>217</v>
      </c>
      <c r="B560" s="18">
        <v>2037</v>
      </c>
      <c r="C560" t="s">
        <v>217</v>
      </c>
      <c r="D560" t="s">
        <v>173</v>
      </c>
      <c r="E560" s="20" t="s">
        <v>310</v>
      </c>
      <c r="F560" s="20" t="s">
        <v>311</v>
      </c>
      <c r="G560" s="20" t="s">
        <v>218</v>
      </c>
      <c r="H560" s="20" t="s">
        <v>192</v>
      </c>
      <c r="I560" s="20" t="s">
        <v>264</v>
      </c>
      <c r="J560" s="15">
        <f>IFERROR(INDEX(Cost_Components!$K$2:$K$27,MATCH(E560,Cost_Components!$A$2:$A$27,0)),"")</f>
        <v>0.5</v>
      </c>
      <c r="K560" s="15">
        <f t="shared" si="80"/>
        <v>0.55500000000000005</v>
      </c>
      <c r="L560" s="15">
        <f>IFERROR(INDEX(Cost_Components!$S$2:$S$27,MATCH(E560,Cost_Components!$A$2:$A$27,0)),"")</f>
        <v>0.31</v>
      </c>
      <c r="M560" s="26">
        <f>IFERROR(INDEX(Cost_Components!$L$2:$L$27,MATCH(E560,Cost_Components!$A$2:$A$27,0)),"")</f>
        <v>1</v>
      </c>
      <c r="N560" s="27">
        <f>IFERROR(INDEX(Cost_Components!$P$2:$P$27,MATCH(E560,Cost_Components!$A$2:$A$27,0)),"")</f>
        <v>119.721487</v>
      </c>
      <c r="O560" s="21">
        <f t="shared" si="81"/>
        <v>583916.27367823001</v>
      </c>
      <c r="P560" s="21">
        <f t="shared" si="82"/>
        <v>582467.54661059496</v>
      </c>
      <c r="Q560" s="21">
        <f t="shared" si="83"/>
        <v>21617503.050933294</v>
      </c>
      <c r="R560" s="21">
        <f t="shared" si="84"/>
        <v>38798565.135382444</v>
      </c>
      <c r="S560" s="21">
        <f t="shared" si="85"/>
        <v>17181062.08444915</v>
      </c>
      <c r="T560" s="14">
        <f>IFERROR(INDEX(Cost_Components!$R$2:$R$27,MATCH(E560,Cost_Components!$A$2:$A$27,0)),"")</f>
        <v>1</v>
      </c>
      <c r="U560" s="24">
        <f>IFERROR(INDEX(Cost_Components!$Q$2:$Q$27,MATCH(E560,Cost_Components!$A$2:$A$27,0)),"")</f>
        <v>2023</v>
      </c>
      <c r="V560" s="28">
        <f>1/(1+Calculation_Assumptions!$B$5)^(B560-Calculation_Assumptions!$B$2)</f>
        <v>0.70137988019297326</v>
      </c>
      <c r="W560" s="21">
        <f t="shared" si="86"/>
        <v>15162081.699934827</v>
      </c>
      <c r="X560" s="21">
        <f t="shared" si="87"/>
        <v>27212532.966313809</v>
      </c>
      <c r="Y560" s="21">
        <f t="shared" si="88"/>
        <v>12050451.26637898</v>
      </c>
      <c r="Z560" s="15">
        <f>IFERROR(INDEX(Cost_Components!$T$2:$T$27,MATCH(E560,Cost_Components!$A$2:$A$27,0)),"")</f>
        <v>0.8</v>
      </c>
      <c r="AA560" s="24">
        <f>IFERROR(INDEX(Cost_Components!$U$2:$U$27,MATCH(E560,Cost_Components!$A$2:$A$27,0)),"")</f>
        <v>2025</v>
      </c>
      <c r="AB560" s="24">
        <f>IFERROR(INDEX(Cost_Components!$V$2:$V$27,MATCH(E560,Cost_Components!$A$2:$A$27,0)),"")</f>
        <v>2050</v>
      </c>
      <c r="AC560" s="24">
        <f>IFERROR(INDEX(Cost_Components!$M$2:$M$27,MATCH(E560,Cost_Components!$A$2:$A$27,0)),"")</f>
        <v>30</v>
      </c>
      <c r="AD560" s="24">
        <f>IFERROR(INDEX(Cost_Components!$N$2:$N$27,MATCH(E560,Cost_Components!$A$2:$A$27,0)),"")</f>
        <v>95</v>
      </c>
      <c r="AE560" s="14" t="str">
        <f>IFERROR(INDEX(Cost_Components!$O$2:$O$27,MATCH(E560,Cost_Components!$A$2:$A$27,0)),"")</f>
        <v>Both</v>
      </c>
      <c r="AF560" s="11">
        <v>1167832.54735646</v>
      </c>
      <c r="AG560" s="11">
        <v>1164935.0932211899</v>
      </c>
      <c r="AH560" s="21">
        <f t="shared" si="89"/>
        <v>1</v>
      </c>
    </row>
    <row r="561" spans="1:34" hidden="1">
      <c r="A561" t="s">
        <v>217</v>
      </c>
      <c r="B561" s="18">
        <v>2038</v>
      </c>
      <c r="C561" t="s">
        <v>217</v>
      </c>
      <c r="D561" t="s">
        <v>173</v>
      </c>
      <c r="E561" s="20" t="s">
        <v>310</v>
      </c>
      <c r="F561" s="20" t="s">
        <v>311</v>
      </c>
      <c r="G561" s="20" t="s">
        <v>218</v>
      </c>
      <c r="H561" s="20" t="s">
        <v>192</v>
      </c>
      <c r="I561" s="20" t="s">
        <v>264</v>
      </c>
      <c r="J561" s="15">
        <f>IFERROR(INDEX(Cost_Components!$K$2:$K$27,MATCH(E561,Cost_Components!$A$2:$A$27,0)),"")</f>
        <v>0.5</v>
      </c>
      <c r="K561" s="15">
        <f t="shared" si="80"/>
        <v>0.57384615384615389</v>
      </c>
      <c r="L561" s="15">
        <f>IFERROR(INDEX(Cost_Components!$S$2:$S$27,MATCH(E561,Cost_Components!$A$2:$A$27,0)),"")</f>
        <v>0.31</v>
      </c>
      <c r="M561" s="26">
        <f>IFERROR(INDEX(Cost_Components!$L$2:$L$27,MATCH(E561,Cost_Components!$A$2:$A$27,0)),"")</f>
        <v>1</v>
      </c>
      <c r="N561" s="27">
        <f>IFERROR(INDEX(Cost_Components!$P$2:$P$27,MATCH(E561,Cost_Components!$A$2:$A$27,0)),"")</f>
        <v>119.721487</v>
      </c>
      <c r="O561" s="21">
        <f t="shared" si="81"/>
        <v>590261.16021782998</v>
      </c>
      <c r="P561" s="21">
        <f t="shared" si="82"/>
        <v>588662.15841064998</v>
      </c>
      <c r="Q561" s="21">
        <f t="shared" si="83"/>
        <v>21847407.773121297</v>
      </c>
      <c r="R561" s="21">
        <f t="shared" si="84"/>
        <v>40551953.914953381</v>
      </c>
      <c r="S561" s="21">
        <f t="shared" si="85"/>
        <v>18704546.141832083</v>
      </c>
      <c r="T561" s="14">
        <f>IFERROR(INDEX(Cost_Components!$R$2:$R$27,MATCH(E561,Cost_Components!$A$2:$A$27,0)),"")</f>
        <v>1</v>
      </c>
      <c r="U561" s="24">
        <f>IFERROR(INDEX(Cost_Components!$Q$2:$Q$27,MATCH(E561,Cost_Components!$A$2:$A$27,0)),"")</f>
        <v>2023</v>
      </c>
      <c r="V561" s="28">
        <f>1/(1+Calculation_Assumptions!$B$5)^(B561-Calculation_Assumptions!$B$2)</f>
        <v>0.68095133999317792</v>
      </c>
      <c r="W561" s="21">
        <f t="shared" si="86"/>
        <v>14877021.598484319</v>
      </c>
      <c r="X561" s="21">
        <f t="shared" si="87"/>
        <v>27613907.357729103</v>
      </c>
      <c r="Y561" s="21">
        <f t="shared" si="88"/>
        <v>12736885.759244783</v>
      </c>
      <c r="Z561" s="15">
        <f>IFERROR(INDEX(Cost_Components!$T$2:$T$27,MATCH(E561,Cost_Components!$A$2:$A$27,0)),"")</f>
        <v>0.8</v>
      </c>
      <c r="AA561" s="24">
        <f>IFERROR(INDEX(Cost_Components!$U$2:$U$27,MATCH(E561,Cost_Components!$A$2:$A$27,0)),"")</f>
        <v>2025</v>
      </c>
      <c r="AB561" s="24">
        <f>IFERROR(INDEX(Cost_Components!$V$2:$V$27,MATCH(E561,Cost_Components!$A$2:$A$27,0)),"")</f>
        <v>2050</v>
      </c>
      <c r="AC561" s="24">
        <f>IFERROR(INDEX(Cost_Components!$M$2:$M$27,MATCH(E561,Cost_Components!$A$2:$A$27,0)),"")</f>
        <v>30</v>
      </c>
      <c r="AD561" s="24">
        <f>IFERROR(INDEX(Cost_Components!$N$2:$N$27,MATCH(E561,Cost_Components!$A$2:$A$27,0)),"")</f>
        <v>95</v>
      </c>
      <c r="AE561" s="14" t="str">
        <f>IFERROR(INDEX(Cost_Components!$O$2:$O$27,MATCH(E561,Cost_Components!$A$2:$A$27,0)),"")</f>
        <v>Both</v>
      </c>
      <c r="AF561" s="11">
        <v>1180522.32043566</v>
      </c>
      <c r="AG561" s="11">
        <v>1177324.3168213</v>
      </c>
      <c r="AH561" s="21">
        <f t="shared" si="89"/>
        <v>1</v>
      </c>
    </row>
    <row r="562" spans="1:34" hidden="1">
      <c r="A562" t="s">
        <v>217</v>
      </c>
      <c r="B562" s="18">
        <v>2039</v>
      </c>
      <c r="C562" t="s">
        <v>217</v>
      </c>
      <c r="D562" t="s">
        <v>173</v>
      </c>
      <c r="E562" s="20" t="s">
        <v>310</v>
      </c>
      <c r="F562" s="20" t="s">
        <v>311</v>
      </c>
      <c r="G562" s="20" t="s">
        <v>218</v>
      </c>
      <c r="H562" s="20" t="s">
        <v>192</v>
      </c>
      <c r="I562" s="20" t="s">
        <v>264</v>
      </c>
      <c r="J562" s="15">
        <f>IFERROR(INDEX(Cost_Components!$K$2:$K$27,MATCH(E562,Cost_Components!$A$2:$A$27,0)),"")</f>
        <v>0.5</v>
      </c>
      <c r="K562" s="15">
        <f t="shared" si="80"/>
        <v>0.59269230769230763</v>
      </c>
      <c r="L562" s="15">
        <f>IFERROR(INDEX(Cost_Components!$S$2:$S$27,MATCH(E562,Cost_Components!$A$2:$A$27,0)),"")</f>
        <v>0.31</v>
      </c>
      <c r="M562" s="26">
        <f>IFERROR(INDEX(Cost_Components!$L$2:$L$27,MATCH(E562,Cost_Components!$A$2:$A$27,0)),"")</f>
        <v>1</v>
      </c>
      <c r="N562" s="27">
        <f>IFERROR(INDEX(Cost_Components!$P$2:$P$27,MATCH(E562,Cost_Components!$A$2:$A$27,0)),"")</f>
        <v>119.721487</v>
      </c>
      <c r="O562" s="21">
        <f t="shared" si="81"/>
        <v>596415.10290943505</v>
      </c>
      <c r="P562" s="21">
        <f t="shared" si="82"/>
        <v>594663.262699735</v>
      </c>
      <c r="Q562" s="21">
        <f t="shared" si="83"/>
        <v>22070130.723152012</v>
      </c>
      <c r="R562" s="21">
        <f t="shared" si="84"/>
        <v>42320425.50266768</v>
      </c>
      <c r="S562" s="21">
        <f t="shared" si="85"/>
        <v>20250294.779515669</v>
      </c>
      <c r="T562" s="14">
        <f>IFERROR(INDEX(Cost_Components!$R$2:$R$27,MATCH(E562,Cost_Components!$A$2:$A$27,0)),"")</f>
        <v>1</v>
      </c>
      <c r="U562" s="24">
        <f>IFERROR(INDEX(Cost_Components!$Q$2:$Q$27,MATCH(E562,Cost_Components!$A$2:$A$27,0)),"")</f>
        <v>2023</v>
      </c>
      <c r="V562" s="28">
        <f>1/(1+Calculation_Assumptions!$B$5)^(B562-Calculation_Assumptions!$B$2)</f>
        <v>0.66111780581861923</v>
      </c>
      <c r="W562" s="21">
        <f t="shared" si="86"/>
        <v>14590956.397820354</v>
      </c>
      <c r="X562" s="21">
        <f t="shared" si="87"/>
        <v>27978786.849633992</v>
      </c>
      <c r="Y562" s="21">
        <f t="shared" si="88"/>
        <v>13387830.451813638</v>
      </c>
      <c r="Z562" s="15">
        <f>IFERROR(INDEX(Cost_Components!$T$2:$T$27,MATCH(E562,Cost_Components!$A$2:$A$27,0)),"")</f>
        <v>0.8</v>
      </c>
      <c r="AA562" s="24">
        <f>IFERROR(INDEX(Cost_Components!$U$2:$U$27,MATCH(E562,Cost_Components!$A$2:$A$27,0)),"")</f>
        <v>2025</v>
      </c>
      <c r="AB562" s="24">
        <f>IFERROR(INDEX(Cost_Components!$V$2:$V$27,MATCH(E562,Cost_Components!$A$2:$A$27,0)),"")</f>
        <v>2050</v>
      </c>
      <c r="AC562" s="24">
        <f>IFERROR(INDEX(Cost_Components!$M$2:$M$27,MATCH(E562,Cost_Components!$A$2:$A$27,0)),"")</f>
        <v>30</v>
      </c>
      <c r="AD562" s="24">
        <f>IFERROR(INDEX(Cost_Components!$N$2:$N$27,MATCH(E562,Cost_Components!$A$2:$A$27,0)),"")</f>
        <v>95</v>
      </c>
      <c r="AE562" s="14" t="str">
        <f>IFERROR(INDEX(Cost_Components!$O$2:$O$27,MATCH(E562,Cost_Components!$A$2:$A$27,0)),"")</f>
        <v>Both</v>
      </c>
      <c r="AF562" s="11">
        <v>1192830.2058188701</v>
      </c>
      <c r="AG562" s="11">
        <v>1189326.52539947</v>
      </c>
      <c r="AH562" s="21">
        <f t="shared" si="89"/>
        <v>1</v>
      </c>
    </row>
    <row r="563" spans="1:34" hidden="1">
      <c r="A563" t="s">
        <v>217</v>
      </c>
      <c r="B563" s="18">
        <v>2040</v>
      </c>
      <c r="C563" t="s">
        <v>217</v>
      </c>
      <c r="D563" t="s">
        <v>173</v>
      </c>
      <c r="E563" s="20" t="s">
        <v>310</v>
      </c>
      <c r="F563" s="20" t="s">
        <v>311</v>
      </c>
      <c r="G563" s="20" t="s">
        <v>218</v>
      </c>
      <c r="H563" s="20" t="s">
        <v>192</v>
      </c>
      <c r="I563" s="20" t="s">
        <v>264</v>
      </c>
      <c r="J563" s="15">
        <f>IFERROR(INDEX(Cost_Components!$K$2:$K$27,MATCH(E563,Cost_Components!$A$2:$A$27,0)),"")</f>
        <v>0.5</v>
      </c>
      <c r="K563" s="15">
        <f t="shared" si="80"/>
        <v>0.61153846153846159</v>
      </c>
      <c r="L563" s="15">
        <f>IFERROR(INDEX(Cost_Components!$S$2:$S$27,MATCH(E563,Cost_Components!$A$2:$A$27,0)),"")</f>
        <v>0.31</v>
      </c>
      <c r="M563" s="26">
        <f>IFERROR(INDEX(Cost_Components!$L$2:$L$27,MATCH(E563,Cost_Components!$A$2:$A$27,0)),"")</f>
        <v>1</v>
      </c>
      <c r="N563" s="27">
        <f>IFERROR(INDEX(Cost_Components!$P$2:$P$27,MATCH(E563,Cost_Components!$A$2:$A$27,0)),"")</f>
        <v>119.721487</v>
      </c>
      <c r="O563" s="21">
        <f t="shared" si="81"/>
        <v>602510.755838315</v>
      </c>
      <c r="P563" s="21">
        <f t="shared" si="82"/>
        <v>600603.94068132504</v>
      </c>
      <c r="Q563" s="21">
        <f t="shared" si="83"/>
        <v>22290611.031692687</v>
      </c>
      <c r="R563" s="21">
        <f t="shared" si="84"/>
        <v>44112399.59988717</v>
      </c>
      <c r="S563" s="21">
        <f t="shared" si="85"/>
        <v>21821788.568194482</v>
      </c>
      <c r="T563" s="14">
        <f>IFERROR(INDEX(Cost_Components!$R$2:$R$27,MATCH(E563,Cost_Components!$A$2:$A$27,0)),"")</f>
        <v>1</v>
      </c>
      <c r="U563" s="24">
        <f>IFERROR(INDEX(Cost_Components!$Q$2:$Q$27,MATCH(E563,Cost_Components!$A$2:$A$27,0)),"")</f>
        <v>2023</v>
      </c>
      <c r="V563" s="28">
        <f>1/(1+Calculation_Assumptions!$B$5)^(B563-Calculation_Assumptions!$B$2)</f>
        <v>0.64186194739671765</v>
      </c>
      <c r="W563" s="21">
        <f t="shared" si="86"/>
        <v>14307495.005465025</v>
      </c>
      <c r="X563" s="21">
        <f t="shared" si="87"/>
        <v>28314070.711525768</v>
      </c>
      <c r="Y563" s="21">
        <f t="shared" si="88"/>
        <v>14006575.706060741</v>
      </c>
      <c r="Z563" s="15">
        <f>IFERROR(INDEX(Cost_Components!$T$2:$T$27,MATCH(E563,Cost_Components!$A$2:$A$27,0)),"")</f>
        <v>0.8</v>
      </c>
      <c r="AA563" s="24">
        <f>IFERROR(INDEX(Cost_Components!$U$2:$U$27,MATCH(E563,Cost_Components!$A$2:$A$27,0)),"")</f>
        <v>2025</v>
      </c>
      <c r="AB563" s="24">
        <f>IFERROR(INDEX(Cost_Components!$V$2:$V$27,MATCH(E563,Cost_Components!$A$2:$A$27,0)),"")</f>
        <v>2050</v>
      </c>
      <c r="AC563" s="24">
        <f>IFERROR(INDEX(Cost_Components!$M$2:$M$27,MATCH(E563,Cost_Components!$A$2:$A$27,0)),"")</f>
        <v>30</v>
      </c>
      <c r="AD563" s="24">
        <f>IFERROR(INDEX(Cost_Components!$N$2:$N$27,MATCH(E563,Cost_Components!$A$2:$A$27,0)),"")</f>
        <v>95</v>
      </c>
      <c r="AE563" s="14" t="str">
        <f>IFERROR(INDEX(Cost_Components!$O$2:$O$27,MATCH(E563,Cost_Components!$A$2:$A$27,0)),"")</f>
        <v>Both</v>
      </c>
      <c r="AF563" s="11">
        <v>1205021.51167663</v>
      </c>
      <c r="AG563" s="11">
        <v>1201207.8813626501</v>
      </c>
      <c r="AH563" s="21">
        <f t="shared" si="89"/>
        <v>1</v>
      </c>
    </row>
    <row r="564" spans="1:34" hidden="1">
      <c r="A564" t="s">
        <v>217</v>
      </c>
      <c r="B564" s="18">
        <v>2041</v>
      </c>
      <c r="C564" t="s">
        <v>217</v>
      </c>
      <c r="D564" t="s">
        <v>173</v>
      </c>
      <c r="E564" s="20" t="s">
        <v>310</v>
      </c>
      <c r="F564" s="20" t="s">
        <v>311</v>
      </c>
      <c r="G564" s="20" t="s">
        <v>218</v>
      </c>
      <c r="H564" s="20" t="s">
        <v>192</v>
      </c>
      <c r="I564" s="20" t="s">
        <v>264</v>
      </c>
      <c r="J564" s="15">
        <f>IFERROR(INDEX(Cost_Components!$K$2:$K$27,MATCH(E564,Cost_Components!$A$2:$A$27,0)),"")</f>
        <v>0.5</v>
      </c>
      <c r="K564" s="15">
        <f t="shared" si="80"/>
        <v>0.63038461538461543</v>
      </c>
      <c r="L564" s="15">
        <f>IFERROR(INDEX(Cost_Components!$S$2:$S$27,MATCH(E564,Cost_Components!$A$2:$A$27,0)),"")</f>
        <v>0.31</v>
      </c>
      <c r="M564" s="26">
        <f>IFERROR(INDEX(Cost_Components!$L$2:$L$27,MATCH(E564,Cost_Components!$A$2:$A$27,0)),"")</f>
        <v>1</v>
      </c>
      <c r="N564" s="27">
        <f>IFERROR(INDEX(Cost_Components!$P$2:$P$27,MATCH(E564,Cost_Components!$A$2:$A$27,0)),"")</f>
        <v>119.721487</v>
      </c>
      <c r="O564" s="21">
        <f t="shared" si="81"/>
        <v>608602.70458692999</v>
      </c>
      <c r="P564" s="21">
        <f t="shared" si="82"/>
        <v>606538.96964380005</v>
      </c>
      <c r="Q564" s="21">
        <f t="shared" si="83"/>
        <v>22510881.684453115</v>
      </c>
      <c r="R564" s="21">
        <f t="shared" si="84"/>
        <v>45931601.256622985</v>
      </c>
      <c r="S564" s="21">
        <f t="shared" si="85"/>
        <v>23420719.57216987</v>
      </c>
      <c r="T564" s="14">
        <f>IFERROR(INDEX(Cost_Components!$R$2:$R$27,MATCH(E564,Cost_Components!$A$2:$A$27,0)),"")</f>
        <v>1</v>
      </c>
      <c r="U564" s="24">
        <f>IFERROR(INDEX(Cost_Components!$Q$2:$Q$27,MATCH(E564,Cost_Components!$A$2:$A$27,0)),"")</f>
        <v>2023</v>
      </c>
      <c r="V564" s="28">
        <f>1/(1+Calculation_Assumptions!$B$5)^(B564-Calculation_Assumptions!$B$2)</f>
        <v>0.62316693922011435</v>
      </c>
      <c r="W564" s="21">
        <f t="shared" si="86"/>
        <v>14028037.23844678</v>
      </c>
      <c r="X564" s="21">
        <f t="shared" si="87"/>
        <v>28623055.368568502</v>
      </c>
      <c r="Y564" s="21">
        <f t="shared" si="88"/>
        <v>14595018.130121725</v>
      </c>
      <c r="Z564" s="15">
        <f>IFERROR(INDEX(Cost_Components!$T$2:$T$27,MATCH(E564,Cost_Components!$A$2:$A$27,0)),"")</f>
        <v>0.8</v>
      </c>
      <c r="AA564" s="24">
        <f>IFERROR(INDEX(Cost_Components!$U$2:$U$27,MATCH(E564,Cost_Components!$A$2:$A$27,0)),"")</f>
        <v>2025</v>
      </c>
      <c r="AB564" s="24">
        <f>IFERROR(INDEX(Cost_Components!$V$2:$V$27,MATCH(E564,Cost_Components!$A$2:$A$27,0)),"")</f>
        <v>2050</v>
      </c>
      <c r="AC564" s="24">
        <f>IFERROR(INDEX(Cost_Components!$M$2:$M$27,MATCH(E564,Cost_Components!$A$2:$A$27,0)),"")</f>
        <v>30</v>
      </c>
      <c r="AD564" s="24">
        <f>IFERROR(INDEX(Cost_Components!$N$2:$N$27,MATCH(E564,Cost_Components!$A$2:$A$27,0)),"")</f>
        <v>95</v>
      </c>
      <c r="AE564" s="14" t="str">
        <f>IFERROR(INDEX(Cost_Components!$O$2:$O$27,MATCH(E564,Cost_Components!$A$2:$A$27,0)),"")</f>
        <v>Both</v>
      </c>
      <c r="AF564" s="11">
        <v>1217205.40917386</v>
      </c>
      <c r="AG564" s="11">
        <v>1213077.9392876001</v>
      </c>
      <c r="AH564" s="21">
        <f t="shared" si="89"/>
        <v>1</v>
      </c>
    </row>
    <row r="565" spans="1:34" hidden="1">
      <c r="A565" t="s">
        <v>217</v>
      </c>
      <c r="B565" s="18">
        <v>2042</v>
      </c>
      <c r="C565" t="s">
        <v>217</v>
      </c>
      <c r="D565" t="s">
        <v>173</v>
      </c>
      <c r="E565" s="20" t="s">
        <v>310</v>
      </c>
      <c r="F565" s="20" t="s">
        <v>311</v>
      </c>
      <c r="G565" s="20" t="s">
        <v>218</v>
      </c>
      <c r="H565" s="20" t="s">
        <v>192</v>
      </c>
      <c r="I565" s="20" t="s">
        <v>264</v>
      </c>
      <c r="J565" s="15">
        <f>IFERROR(INDEX(Cost_Components!$K$2:$K$27,MATCH(E565,Cost_Components!$A$2:$A$27,0)),"")</f>
        <v>0.5</v>
      </c>
      <c r="K565" s="15">
        <f t="shared" si="80"/>
        <v>0.64923076923076928</v>
      </c>
      <c r="L565" s="15">
        <f>IFERROR(INDEX(Cost_Components!$S$2:$S$27,MATCH(E565,Cost_Components!$A$2:$A$27,0)),"")</f>
        <v>0.31</v>
      </c>
      <c r="M565" s="26">
        <f>IFERROR(INDEX(Cost_Components!$L$2:$L$27,MATCH(E565,Cost_Components!$A$2:$A$27,0)),"")</f>
        <v>1</v>
      </c>
      <c r="N565" s="27">
        <f>IFERROR(INDEX(Cost_Components!$P$2:$P$27,MATCH(E565,Cost_Components!$A$2:$A$27,0)),"")</f>
        <v>119.721487</v>
      </c>
      <c r="O565" s="21">
        <f t="shared" si="81"/>
        <v>614635.05844317505</v>
      </c>
      <c r="P565" s="21">
        <f t="shared" si="82"/>
        <v>612412.60439144506</v>
      </c>
      <c r="Q565" s="21">
        <f t="shared" si="83"/>
        <v>22728873.773138821</v>
      </c>
      <c r="R565" s="21">
        <f t="shared" si="84"/>
        <v>47773661.189478159</v>
      </c>
      <c r="S565" s="21">
        <f t="shared" si="85"/>
        <v>25044787.416339338</v>
      </c>
      <c r="T565" s="14">
        <f>IFERROR(INDEX(Cost_Components!$R$2:$R$27,MATCH(E565,Cost_Components!$A$2:$A$27,0)),"")</f>
        <v>1</v>
      </c>
      <c r="U565" s="24">
        <f>IFERROR(INDEX(Cost_Components!$Q$2:$Q$27,MATCH(E565,Cost_Components!$A$2:$A$27,0)),"")</f>
        <v>2023</v>
      </c>
      <c r="V565" s="28">
        <f>1/(1+Calculation_Assumptions!$B$5)^(B565-Calculation_Assumptions!$B$2)</f>
        <v>0.60501644584477121</v>
      </c>
      <c r="W565" s="21">
        <f t="shared" si="86"/>
        <v>13751342.428278884</v>
      </c>
      <c r="X565" s="21">
        <f t="shared" si="87"/>
        <v>28903850.697850361</v>
      </c>
      <c r="Y565" s="21">
        <f t="shared" si="88"/>
        <v>15152508.269571476</v>
      </c>
      <c r="Z565" s="15">
        <f>IFERROR(INDEX(Cost_Components!$T$2:$T$27,MATCH(E565,Cost_Components!$A$2:$A$27,0)),"")</f>
        <v>0.8</v>
      </c>
      <c r="AA565" s="24">
        <f>IFERROR(INDEX(Cost_Components!$U$2:$U$27,MATCH(E565,Cost_Components!$A$2:$A$27,0)),"")</f>
        <v>2025</v>
      </c>
      <c r="AB565" s="24">
        <f>IFERROR(INDEX(Cost_Components!$V$2:$V$27,MATCH(E565,Cost_Components!$A$2:$A$27,0)),"")</f>
        <v>2050</v>
      </c>
      <c r="AC565" s="24">
        <f>IFERROR(INDEX(Cost_Components!$M$2:$M$27,MATCH(E565,Cost_Components!$A$2:$A$27,0)),"")</f>
        <v>30</v>
      </c>
      <c r="AD565" s="24">
        <f>IFERROR(INDEX(Cost_Components!$N$2:$N$27,MATCH(E565,Cost_Components!$A$2:$A$27,0)),"")</f>
        <v>95</v>
      </c>
      <c r="AE565" s="14" t="str">
        <f>IFERROR(INDEX(Cost_Components!$O$2:$O$27,MATCH(E565,Cost_Components!$A$2:$A$27,0)),"")</f>
        <v>Both</v>
      </c>
      <c r="AF565" s="11">
        <v>1229270.1168863501</v>
      </c>
      <c r="AG565" s="11">
        <v>1224825.2087828901</v>
      </c>
      <c r="AH565" s="21">
        <f t="shared" si="89"/>
        <v>1</v>
      </c>
    </row>
    <row r="566" spans="1:34" hidden="1">
      <c r="A566" t="s">
        <v>217</v>
      </c>
      <c r="B566" s="18">
        <v>2043</v>
      </c>
      <c r="C566" t="s">
        <v>217</v>
      </c>
      <c r="D566" t="s">
        <v>173</v>
      </c>
      <c r="E566" s="20" t="s">
        <v>310</v>
      </c>
      <c r="F566" s="20" t="s">
        <v>311</v>
      </c>
      <c r="G566" s="20" t="s">
        <v>218</v>
      </c>
      <c r="H566" s="20" t="s">
        <v>192</v>
      </c>
      <c r="I566" s="20" t="s">
        <v>264</v>
      </c>
      <c r="J566" s="15">
        <f>IFERROR(INDEX(Cost_Components!$K$2:$K$27,MATCH(E566,Cost_Components!$A$2:$A$27,0)),"")</f>
        <v>0.5</v>
      </c>
      <c r="K566" s="15">
        <f t="shared" si="80"/>
        <v>0.66807692307692301</v>
      </c>
      <c r="L566" s="15">
        <f>IFERROR(INDEX(Cost_Components!$S$2:$S$27,MATCH(E566,Cost_Components!$A$2:$A$27,0)),"")</f>
        <v>0.31</v>
      </c>
      <c r="M566" s="26">
        <f>IFERROR(INDEX(Cost_Components!$L$2:$L$27,MATCH(E566,Cost_Components!$A$2:$A$27,0)),"")</f>
        <v>1</v>
      </c>
      <c r="N566" s="27">
        <f>IFERROR(INDEX(Cost_Components!$P$2:$P$27,MATCH(E566,Cost_Components!$A$2:$A$27,0)),"")</f>
        <v>119.721487</v>
      </c>
      <c r="O566" s="21">
        <f t="shared" si="81"/>
        <v>620480.89020835503</v>
      </c>
      <c r="P566" s="21">
        <f t="shared" si="82"/>
        <v>618098.13743520505</v>
      </c>
      <c r="Q566" s="21">
        <f t="shared" si="83"/>
        <v>22939884.718958665</v>
      </c>
      <c r="R566" s="21">
        <f t="shared" si="84"/>
        <v>49628023.969672389</v>
      </c>
      <c r="S566" s="21">
        <f t="shared" si="85"/>
        <v>26688139.250713725</v>
      </c>
      <c r="T566" s="14">
        <f>IFERROR(INDEX(Cost_Components!$R$2:$R$27,MATCH(E566,Cost_Components!$A$2:$A$27,0)),"")</f>
        <v>1</v>
      </c>
      <c r="U566" s="24">
        <f>IFERROR(INDEX(Cost_Components!$Q$2:$Q$27,MATCH(E566,Cost_Components!$A$2:$A$27,0)),"")</f>
        <v>2023</v>
      </c>
      <c r="V566" s="28">
        <f>1/(1+Calculation_Assumptions!$B$5)^(B566-Calculation_Assumptions!$B$2)</f>
        <v>0.5873946076162827</v>
      </c>
      <c r="W566" s="21">
        <f t="shared" si="86"/>
        <v>13474764.583255485</v>
      </c>
      <c r="X566" s="21">
        <f t="shared" si="87"/>
        <v>29151233.666437186</v>
      </c>
      <c r="Y566" s="21">
        <f t="shared" si="88"/>
        <v>15676469.083181702</v>
      </c>
      <c r="Z566" s="15">
        <f>IFERROR(INDEX(Cost_Components!$T$2:$T$27,MATCH(E566,Cost_Components!$A$2:$A$27,0)),"")</f>
        <v>0.8</v>
      </c>
      <c r="AA566" s="24">
        <f>IFERROR(INDEX(Cost_Components!$U$2:$U$27,MATCH(E566,Cost_Components!$A$2:$A$27,0)),"")</f>
        <v>2025</v>
      </c>
      <c r="AB566" s="24">
        <f>IFERROR(INDEX(Cost_Components!$V$2:$V$27,MATCH(E566,Cost_Components!$A$2:$A$27,0)),"")</f>
        <v>2050</v>
      </c>
      <c r="AC566" s="24">
        <f>IFERROR(INDEX(Cost_Components!$M$2:$M$27,MATCH(E566,Cost_Components!$A$2:$A$27,0)),"")</f>
        <v>30</v>
      </c>
      <c r="AD566" s="24">
        <f>IFERROR(INDEX(Cost_Components!$N$2:$N$27,MATCH(E566,Cost_Components!$A$2:$A$27,0)),"")</f>
        <v>95</v>
      </c>
      <c r="AE566" s="14" t="str">
        <f>IFERROR(INDEX(Cost_Components!$O$2:$O$27,MATCH(E566,Cost_Components!$A$2:$A$27,0)),"")</f>
        <v>Both</v>
      </c>
      <c r="AF566" s="11">
        <v>1240961.7804167101</v>
      </c>
      <c r="AG566" s="11">
        <v>1236196.2748704101</v>
      </c>
      <c r="AH566" s="21">
        <f t="shared" si="89"/>
        <v>1</v>
      </c>
    </row>
    <row r="567" spans="1:34" hidden="1">
      <c r="A567" t="s">
        <v>217</v>
      </c>
      <c r="B567" s="18">
        <v>2044</v>
      </c>
      <c r="C567" t="s">
        <v>217</v>
      </c>
      <c r="D567" t="s">
        <v>173</v>
      </c>
      <c r="E567" s="20" t="s">
        <v>310</v>
      </c>
      <c r="F567" s="20" t="s">
        <v>311</v>
      </c>
      <c r="G567" s="20" t="s">
        <v>218</v>
      </c>
      <c r="H567" s="20" t="s">
        <v>192</v>
      </c>
      <c r="I567" s="20" t="s">
        <v>264</v>
      </c>
      <c r="J567" s="15">
        <f>IFERROR(INDEX(Cost_Components!$K$2:$K$27,MATCH(E567,Cost_Components!$A$2:$A$27,0)),"")</f>
        <v>0.5</v>
      </c>
      <c r="K567" s="15">
        <f t="shared" si="80"/>
        <v>0.68692307692307697</v>
      </c>
      <c r="L567" s="15">
        <f>IFERROR(INDEX(Cost_Components!$S$2:$S$27,MATCH(E567,Cost_Components!$A$2:$A$27,0)),"")</f>
        <v>0.31</v>
      </c>
      <c r="M567" s="26">
        <f>IFERROR(INDEX(Cost_Components!$L$2:$L$27,MATCH(E567,Cost_Components!$A$2:$A$27,0)),"")</f>
        <v>1</v>
      </c>
      <c r="N567" s="27">
        <f>IFERROR(INDEX(Cost_Components!$P$2:$P$27,MATCH(E567,Cost_Components!$A$2:$A$27,0)),"")</f>
        <v>119.721487</v>
      </c>
      <c r="O567" s="21">
        <f t="shared" si="81"/>
        <v>626046.60974222003</v>
      </c>
      <c r="P567" s="21">
        <f t="shared" si="82"/>
        <v>623502.10899685498</v>
      </c>
      <c r="Q567" s="21">
        <f t="shared" si="83"/>
        <v>23140445.887389261</v>
      </c>
      <c r="R567" s="21">
        <f t="shared" si="84"/>
        <v>51485730.251796164</v>
      </c>
      <c r="S567" s="21">
        <f t="shared" si="85"/>
        <v>28345284.364406902</v>
      </c>
      <c r="T567" s="14">
        <f>IFERROR(INDEX(Cost_Components!$R$2:$R$27,MATCH(E567,Cost_Components!$A$2:$A$27,0)),"")</f>
        <v>1</v>
      </c>
      <c r="U567" s="24">
        <f>IFERROR(INDEX(Cost_Components!$Q$2:$Q$27,MATCH(E567,Cost_Components!$A$2:$A$27,0)),"")</f>
        <v>2023</v>
      </c>
      <c r="V567" s="28">
        <f>1/(1+Calculation_Assumptions!$B$5)^(B567-Calculation_Assumptions!$B$2)</f>
        <v>0.57028602681192497</v>
      </c>
      <c r="W567" s="21">
        <f t="shared" si="86"/>
        <v>13196672.943775572</v>
      </c>
      <c r="X567" s="21">
        <f t="shared" si="87"/>
        <v>29361592.542807363</v>
      </c>
      <c r="Y567" s="21">
        <f t="shared" si="88"/>
        <v>16164919.599031793</v>
      </c>
      <c r="Z567" s="15">
        <f>IFERROR(INDEX(Cost_Components!$T$2:$T$27,MATCH(E567,Cost_Components!$A$2:$A$27,0)),"")</f>
        <v>0.8</v>
      </c>
      <c r="AA567" s="24">
        <f>IFERROR(INDEX(Cost_Components!$U$2:$U$27,MATCH(E567,Cost_Components!$A$2:$A$27,0)),"")</f>
        <v>2025</v>
      </c>
      <c r="AB567" s="24">
        <f>IFERROR(INDEX(Cost_Components!$V$2:$V$27,MATCH(E567,Cost_Components!$A$2:$A$27,0)),"")</f>
        <v>2050</v>
      </c>
      <c r="AC567" s="24">
        <f>IFERROR(INDEX(Cost_Components!$M$2:$M$27,MATCH(E567,Cost_Components!$A$2:$A$27,0)),"")</f>
        <v>30</v>
      </c>
      <c r="AD567" s="24">
        <f>IFERROR(INDEX(Cost_Components!$N$2:$N$27,MATCH(E567,Cost_Components!$A$2:$A$27,0)),"")</f>
        <v>95</v>
      </c>
      <c r="AE567" s="14" t="str">
        <f>IFERROR(INDEX(Cost_Components!$O$2:$O$27,MATCH(E567,Cost_Components!$A$2:$A$27,0)),"")</f>
        <v>Both</v>
      </c>
      <c r="AF567" s="11">
        <v>1252093.2194844401</v>
      </c>
      <c r="AG567" s="11">
        <v>1247004.21799371</v>
      </c>
      <c r="AH567" s="21">
        <f t="shared" si="89"/>
        <v>1</v>
      </c>
    </row>
    <row r="568" spans="1:34" hidden="1">
      <c r="A568" t="s">
        <v>217</v>
      </c>
      <c r="B568" s="18">
        <v>2045</v>
      </c>
      <c r="C568" t="s">
        <v>217</v>
      </c>
      <c r="D568" t="s">
        <v>173</v>
      </c>
      <c r="E568" s="20" t="s">
        <v>310</v>
      </c>
      <c r="F568" s="20" t="s">
        <v>311</v>
      </c>
      <c r="G568" s="20" t="s">
        <v>218</v>
      </c>
      <c r="H568" s="20" t="s">
        <v>192</v>
      </c>
      <c r="I568" s="20" t="s">
        <v>264</v>
      </c>
      <c r="J568" s="15">
        <f>IFERROR(INDEX(Cost_Components!$K$2:$K$27,MATCH(E568,Cost_Components!$A$2:$A$27,0)),"")</f>
        <v>0.5</v>
      </c>
      <c r="K568" s="15">
        <f t="shared" si="80"/>
        <v>0.70576923076923082</v>
      </c>
      <c r="L568" s="15">
        <f>IFERROR(INDEX(Cost_Components!$S$2:$S$27,MATCH(E568,Cost_Components!$A$2:$A$27,0)),"")</f>
        <v>0.31</v>
      </c>
      <c r="M568" s="26">
        <f>IFERROR(INDEX(Cost_Components!$L$2:$L$27,MATCH(E568,Cost_Components!$A$2:$A$27,0)),"")</f>
        <v>1</v>
      </c>
      <c r="N568" s="27">
        <f>IFERROR(INDEX(Cost_Components!$P$2:$P$27,MATCH(E568,Cost_Components!$A$2:$A$27,0)),"")</f>
        <v>119.721487</v>
      </c>
      <c r="O568" s="21">
        <f t="shared" si="81"/>
        <v>631267.17574646499</v>
      </c>
      <c r="P568" s="21">
        <f t="shared" si="82"/>
        <v>628559.84913604497</v>
      </c>
      <c r="Q568" s="21">
        <f t="shared" si="83"/>
        <v>23328157.140189517</v>
      </c>
      <c r="R568" s="21">
        <f t="shared" si="84"/>
        <v>53339388.280190706</v>
      </c>
      <c r="S568" s="21">
        <f t="shared" si="85"/>
        <v>30011231.140001189</v>
      </c>
      <c r="T568" s="14">
        <f>IFERROR(INDEX(Cost_Components!$R$2:$R$27,MATCH(E568,Cost_Components!$A$2:$A$27,0)),"")</f>
        <v>1</v>
      </c>
      <c r="U568" s="24">
        <f>IFERROR(INDEX(Cost_Components!$Q$2:$Q$27,MATCH(E568,Cost_Components!$A$2:$A$27,0)),"")</f>
        <v>2023</v>
      </c>
      <c r="V568" s="28">
        <f>1/(1+Calculation_Assumptions!$B$5)^(B568-Calculation_Assumptions!$B$2)</f>
        <v>0.55367575418633497</v>
      </c>
      <c r="W568" s="21">
        <f t="shared" si="86"/>
        <v>12916234.998371767</v>
      </c>
      <c r="X568" s="21">
        <f t="shared" si="87"/>
        <v>29532726.033872347</v>
      </c>
      <c r="Y568" s="21">
        <f t="shared" si="88"/>
        <v>16616491.03550058</v>
      </c>
      <c r="Z568" s="15">
        <f>IFERROR(INDEX(Cost_Components!$T$2:$T$27,MATCH(E568,Cost_Components!$A$2:$A$27,0)),"")</f>
        <v>0.8</v>
      </c>
      <c r="AA568" s="24">
        <f>IFERROR(INDEX(Cost_Components!$U$2:$U$27,MATCH(E568,Cost_Components!$A$2:$A$27,0)),"")</f>
        <v>2025</v>
      </c>
      <c r="AB568" s="24">
        <f>IFERROR(INDEX(Cost_Components!$V$2:$V$27,MATCH(E568,Cost_Components!$A$2:$A$27,0)),"")</f>
        <v>2050</v>
      </c>
      <c r="AC568" s="24">
        <f>IFERROR(INDEX(Cost_Components!$M$2:$M$27,MATCH(E568,Cost_Components!$A$2:$A$27,0)),"")</f>
        <v>30</v>
      </c>
      <c r="AD568" s="24">
        <f>IFERROR(INDEX(Cost_Components!$N$2:$N$27,MATCH(E568,Cost_Components!$A$2:$A$27,0)),"")</f>
        <v>95</v>
      </c>
      <c r="AE568" s="14" t="str">
        <f>IFERROR(INDEX(Cost_Components!$O$2:$O$27,MATCH(E568,Cost_Components!$A$2:$A$27,0)),"")</f>
        <v>Both</v>
      </c>
      <c r="AF568" s="11">
        <v>1262534.35149293</v>
      </c>
      <c r="AG568" s="11">
        <v>1257119.6982720899</v>
      </c>
      <c r="AH568" s="21">
        <f t="shared" si="89"/>
        <v>1</v>
      </c>
    </row>
    <row r="569" spans="1:34" hidden="1">
      <c r="A569" t="s">
        <v>217</v>
      </c>
      <c r="B569" s="18">
        <v>2046</v>
      </c>
      <c r="C569" t="s">
        <v>217</v>
      </c>
      <c r="D569" t="s">
        <v>173</v>
      </c>
      <c r="E569" s="20" t="s">
        <v>310</v>
      </c>
      <c r="F569" s="20" t="s">
        <v>311</v>
      </c>
      <c r="G569" s="20" t="s">
        <v>218</v>
      </c>
      <c r="H569" s="20" t="s">
        <v>192</v>
      </c>
      <c r="I569" s="20" t="s">
        <v>264</v>
      </c>
      <c r="J569" s="15">
        <f>IFERROR(INDEX(Cost_Components!$K$2:$K$27,MATCH(E569,Cost_Components!$A$2:$A$27,0)),"")</f>
        <v>0.5</v>
      </c>
      <c r="K569" s="15">
        <f t="shared" si="80"/>
        <v>0.72461538461538466</v>
      </c>
      <c r="L569" s="15">
        <f>IFERROR(INDEX(Cost_Components!$S$2:$S$27,MATCH(E569,Cost_Components!$A$2:$A$27,0)),"")</f>
        <v>0.31</v>
      </c>
      <c r="M569" s="26">
        <f>IFERROR(INDEX(Cost_Components!$L$2:$L$27,MATCH(E569,Cost_Components!$A$2:$A$27,0)),"")</f>
        <v>1</v>
      </c>
      <c r="N569" s="27">
        <f>IFERROR(INDEX(Cost_Components!$P$2:$P$27,MATCH(E569,Cost_Components!$A$2:$A$27,0)),"")</f>
        <v>119.721487</v>
      </c>
      <c r="O569" s="21">
        <f t="shared" si="81"/>
        <v>636171.81890515005</v>
      </c>
      <c r="P569" s="21">
        <f t="shared" si="82"/>
        <v>633301.13632591499</v>
      </c>
      <c r="Q569" s="21">
        <f t="shared" si="83"/>
        <v>23504123.665515758</v>
      </c>
      <c r="R569" s="21">
        <f t="shared" si="84"/>
        <v>55189197.577156737</v>
      </c>
      <c r="S569" s="21">
        <f t="shared" si="85"/>
        <v>31685073.911640979</v>
      </c>
      <c r="T569" s="14">
        <f>IFERROR(INDEX(Cost_Components!$R$2:$R$27,MATCH(E569,Cost_Components!$A$2:$A$27,0)),"")</f>
        <v>1</v>
      </c>
      <c r="U569" s="24">
        <f>IFERROR(INDEX(Cost_Components!$Q$2:$Q$27,MATCH(E569,Cost_Components!$A$2:$A$27,0)),"")</f>
        <v>2023</v>
      </c>
      <c r="V569" s="28">
        <f>1/(1+Calculation_Assumptions!$B$5)^(B569-Calculation_Assumptions!$B$2)</f>
        <v>0.5375492759090631</v>
      </c>
      <c r="W569" s="21">
        <f t="shared" si="86"/>
        <v>12634624.65727507</v>
      </c>
      <c r="X569" s="21">
        <f t="shared" si="87"/>
        <v>29666913.195602823</v>
      </c>
      <c r="Y569" s="21">
        <f t="shared" si="88"/>
        <v>17032288.538327754</v>
      </c>
      <c r="Z569" s="15">
        <f>IFERROR(INDEX(Cost_Components!$T$2:$T$27,MATCH(E569,Cost_Components!$A$2:$A$27,0)),"")</f>
        <v>0.8</v>
      </c>
      <c r="AA569" s="24">
        <f>IFERROR(INDEX(Cost_Components!$U$2:$U$27,MATCH(E569,Cost_Components!$A$2:$A$27,0)),"")</f>
        <v>2025</v>
      </c>
      <c r="AB569" s="24">
        <f>IFERROR(INDEX(Cost_Components!$V$2:$V$27,MATCH(E569,Cost_Components!$A$2:$A$27,0)),"")</f>
        <v>2050</v>
      </c>
      <c r="AC569" s="24">
        <f>IFERROR(INDEX(Cost_Components!$M$2:$M$27,MATCH(E569,Cost_Components!$A$2:$A$27,0)),"")</f>
        <v>30</v>
      </c>
      <c r="AD569" s="24">
        <f>IFERROR(INDEX(Cost_Components!$N$2:$N$27,MATCH(E569,Cost_Components!$A$2:$A$27,0)),"")</f>
        <v>95</v>
      </c>
      <c r="AE569" s="14" t="str">
        <f>IFERROR(INDEX(Cost_Components!$O$2:$O$27,MATCH(E569,Cost_Components!$A$2:$A$27,0)),"")</f>
        <v>Both</v>
      </c>
      <c r="AF569" s="11">
        <v>1272343.6378103001</v>
      </c>
      <c r="AG569" s="11">
        <v>1266602.27265183</v>
      </c>
      <c r="AH569" s="21">
        <f t="shared" si="89"/>
        <v>1</v>
      </c>
    </row>
    <row r="570" spans="1:34" hidden="1">
      <c r="A570" t="s">
        <v>217</v>
      </c>
      <c r="B570" s="18">
        <v>2047</v>
      </c>
      <c r="C570" t="s">
        <v>217</v>
      </c>
      <c r="D570" t="s">
        <v>173</v>
      </c>
      <c r="E570" s="20" t="s">
        <v>310</v>
      </c>
      <c r="F570" s="20" t="s">
        <v>311</v>
      </c>
      <c r="G570" s="20" t="s">
        <v>218</v>
      </c>
      <c r="H570" s="20" t="s">
        <v>192</v>
      </c>
      <c r="I570" s="20" t="s">
        <v>264</v>
      </c>
      <c r="J570" s="15">
        <f>IFERROR(INDEX(Cost_Components!$K$2:$K$27,MATCH(E570,Cost_Components!$A$2:$A$27,0)),"")</f>
        <v>0.5</v>
      </c>
      <c r="K570" s="15">
        <f t="shared" si="80"/>
        <v>0.74346153846153851</v>
      </c>
      <c r="L570" s="15">
        <f>IFERROR(INDEX(Cost_Components!$S$2:$S$27,MATCH(E570,Cost_Components!$A$2:$A$27,0)),"")</f>
        <v>0.31</v>
      </c>
      <c r="M570" s="26">
        <f>IFERROR(INDEX(Cost_Components!$L$2:$L$27,MATCH(E570,Cost_Components!$A$2:$A$27,0)),"")</f>
        <v>1</v>
      </c>
      <c r="N570" s="27">
        <f>IFERROR(INDEX(Cost_Components!$P$2:$P$27,MATCH(E570,Cost_Components!$A$2:$A$27,0)),"")</f>
        <v>119.721487</v>
      </c>
      <c r="O570" s="21">
        <f t="shared" si="81"/>
        <v>640591.40118187002</v>
      </c>
      <c r="P570" s="21">
        <f t="shared" si="82"/>
        <v>637557.12841660006</v>
      </c>
      <c r="Q570" s="21">
        <f t="shared" si="83"/>
        <v>23662079.113060445</v>
      </c>
      <c r="R570" s="21">
        <f t="shared" si="84"/>
        <v>57017965.009814352</v>
      </c>
      <c r="S570" s="21">
        <f t="shared" si="85"/>
        <v>33355885.896753907</v>
      </c>
      <c r="T570" s="14">
        <f>IFERROR(INDEX(Cost_Components!$R$2:$R$27,MATCH(E570,Cost_Components!$A$2:$A$27,0)),"")</f>
        <v>1</v>
      </c>
      <c r="U570" s="24">
        <f>IFERROR(INDEX(Cost_Components!$Q$2:$Q$27,MATCH(E570,Cost_Components!$A$2:$A$27,0)),"")</f>
        <v>2023</v>
      </c>
      <c r="V570" s="28">
        <f>1/(1+Calculation_Assumptions!$B$5)^(B570-Calculation_Assumptions!$B$2)</f>
        <v>0.52189250088258554</v>
      </c>
      <c r="W570" s="21">
        <f t="shared" si="86"/>
        <v>12349061.644396707</v>
      </c>
      <c r="X570" s="21">
        <f t="shared" si="87"/>
        <v>29757248.354207769</v>
      </c>
      <c r="Y570" s="21">
        <f t="shared" si="88"/>
        <v>17408186.709811062</v>
      </c>
      <c r="Z570" s="15">
        <f>IFERROR(INDEX(Cost_Components!$T$2:$T$27,MATCH(E570,Cost_Components!$A$2:$A$27,0)),"")</f>
        <v>0.8</v>
      </c>
      <c r="AA570" s="24">
        <f>IFERROR(INDEX(Cost_Components!$U$2:$U$27,MATCH(E570,Cost_Components!$A$2:$A$27,0)),"")</f>
        <v>2025</v>
      </c>
      <c r="AB570" s="24">
        <f>IFERROR(INDEX(Cost_Components!$V$2:$V$27,MATCH(E570,Cost_Components!$A$2:$A$27,0)),"")</f>
        <v>2050</v>
      </c>
      <c r="AC570" s="24">
        <f>IFERROR(INDEX(Cost_Components!$M$2:$M$27,MATCH(E570,Cost_Components!$A$2:$A$27,0)),"")</f>
        <v>30</v>
      </c>
      <c r="AD570" s="24">
        <f>IFERROR(INDEX(Cost_Components!$N$2:$N$27,MATCH(E570,Cost_Components!$A$2:$A$27,0)),"")</f>
        <v>95</v>
      </c>
      <c r="AE570" s="14" t="str">
        <f>IFERROR(INDEX(Cost_Components!$O$2:$O$27,MATCH(E570,Cost_Components!$A$2:$A$27,0)),"")</f>
        <v>Both</v>
      </c>
      <c r="AF570" s="11">
        <v>1281182.80236374</v>
      </c>
      <c r="AG570" s="11">
        <v>1275114.2568332001</v>
      </c>
      <c r="AH570" s="21">
        <f t="shared" si="89"/>
        <v>1</v>
      </c>
    </row>
    <row r="571" spans="1:34" hidden="1">
      <c r="A571" t="s">
        <v>217</v>
      </c>
      <c r="B571" s="18">
        <v>2048</v>
      </c>
      <c r="C571" t="s">
        <v>217</v>
      </c>
      <c r="D571" t="s">
        <v>173</v>
      </c>
      <c r="E571" s="20" t="s">
        <v>310</v>
      </c>
      <c r="F571" s="20" t="s">
        <v>311</v>
      </c>
      <c r="G571" s="20" t="s">
        <v>218</v>
      </c>
      <c r="H571" s="20" t="s">
        <v>192</v>
      </c>
      <c r="I571" s="20" t="s">
        <v>264</v>
      </c>
      <c r="J571" s="15">
        <f>IFERROR(INDEX(Cost_Components!$K$2:$K$27,MATCH(E571,Cost_Components!$A$2:$A$27,0)),"")</f>
        <v>0.5</v>
      </c>
      <c r="K571" s="15">
        <f t="shared" si="80"/>
        <v>0.76230769230769235</v>
      </c>
      <c r="L571" s="15">
        <f>IFERROR(INDEX(Cost_Components!$S$2:$S$27,MATCH(E571,Cost_Components!$A$2:$A$27,0)),"")</f>
        <v>0.31</v>
      </c>
      <c r="M571" s="26">
        <f>IFERROR(INDEX(Cost_Components!$L$2:$L$27,MATCH(E571,Cost_Components!$A$2:$A$27,0)),"")</f>
        <v>1</v>
      </c>
      <c r="N571" s="27">
        <f>IFERROR(INDEX(Cost_Components!$P$2:$P$27,MATCH(E571,Cost_Components!$A$2:$A$27,0)),"")</f>
        <v>119.721487</v>
      </c>
      <c r="O571" s="21">
        <f t="shared" si="81"/>
        <v>644718.40788850002</v>
      </c>
      <c r="P571" s="21">
        <f t="shared" si="82"/>
        <v>641520.28922783502</v>
      </c>
      <c r="Q571" s="21">
        <f t="shared" si="83"/>
        <v>23809166.519778211</v>
      </c>
      <c r="R571" s="21">
        <f t="shared" si="84"/>
        <v>58839974.36175815</v>
      </c>
      <c r="S571" s="21">
        <f t="shared" si="85"/>
        <v>35030807.841979936</v>
      </c>
      <c r="T571" s="14">
        <f>IFERROR(INDEX(Cost_Components!$R$2:$R$27,MATCH(E571,Cost_Components!$A$2:$A$27,0)),"")</f>
        <v>1</v>
      </c>
      <c r="U571" s="24">
        <f>IFERROR(INDEX(Cost_Components!$Q$2:$Q$27,MATCH(E571,Cost_Components!$A$2:$A$27,0)),"")</f>
        <v>2023</v>
      </c>
      <c r="V571" s="28">
        <f>1/(1+Calculation_Assumptions!$B$5)^(B571-Calculation_Assumptions!$B$2)</f>
        <v>0.50669174842969467</v>
      </c>
      <c r="W571" s="21">
        <f t="shared" si="86"/>
        <v>12063908.212560169</v>
      </c>
      <c r="X571" s="21">
        <f t="shared" si="87"/>
        <v>29813729.486917645</v>
      </c>
      <c r="Y571" s="21">
        <f t="shared" si="88"/>
        <v>17749821.274357472</v>
      </c>
      <c r="Z571" s="15">
        <f>IFERROR(INDEX(Cost_Components!$T$2:$T$27,MATCH(E571,Cost_Components!$A$2:$A$27,0)),"")</f>
        <v>0.8</v>
      </c>
      <c r="AA571" s="24">
        <f>IFERROR(INDEX(Cost_Components!$U$2:$U$27,MATCH(E571,Cost_Components!$A$2:$A$27,0)),"")</f>
        <v>2025</v>
      </c>
      <c r="AB571" s="24">
        <f>IFERROR(INDEX(Cost_Components!$V$2:$V$27,MATCH(E571,Cost_Components!$A$2:$A$27,0)),"")</f>
        <v>2050</v>
      </c>
      <c r="AC571" s="24">
        <f>IFERROR(INDEX(Cost_Components!$M$2:$M$27,MATCH(E571,Cost_Components!$A$2:$A$27,0)),"")</f>
        <v>30</v>
      </c>
      <c r="AD571" s="24">
        <f>IFERROR(INDEX(Cost_Components!$N$2:$N$27,MATCH(E571,Cost_Components!$A$2:$A$27,0)),"")</f>
        <v>95</v>
      </c>
      <c r="AE571" s="14" t="str">
        <f>IFERROR(INDEX(Cost_Components!$O$2:$O$27,MATCH(E571,Cost_Components!$A$2:$A$27,0)),"")</f>
        <v>Both</v>
      </c>
      <c r="AF571" s="11">
        <v>1289436.815777</v>
      </c>
      <c r="AG571" s="11">
        <v>1283040.57845567</v>
      </c>
      <c r="AH571" s="21">
        <f t="shared" si="89"/>
        <v>1</v>
      </c>
    </row>
    <row r="572" spans="1:34" hidden="1">
      <c r="A572" t="s">
        <v>217</v>
      </c>
      <c r="B572" s="18">
        <v>2049</v>
      </c>
      <c r="C572" t="s">
        <v>217</v>
      </c>
      <c r="D572" t="s">
        <v>173</v>
      </c>
      <c r="E572" s="20" t="s">
        <v>310</v>
      </c>
      <c r="F572" s="20" t="s">
        <v>311</v>
      </c>
      <c r="G572" s="20" t="s">
        <v>218</v>
      </c>
      <c r="H572" s="20" t="s">
        <v>192</v>
      </c>
      <c r="I572" s="20" t="s">
        <v>264</v>
      </c>
      <c r="J572" s="15">
        <f>IFERROR(INDEX(Cost_Components!$K$2:$K$27,MATCH(E572,Cost_Components!$A$2:$A$27,0)),"")</f>
        <v>0.5</v>
      </c>
      <c r="K572" s="15">
        <f t="shared" si="80"/>
        <v>0.7811538461538462</v>
      </c>
      <c r="L572" s="15">
        <f>IFERROR(INDEX(Cost_Components!$S$2:$S$27,MATCH(E572,Cost_Components!$A$2:$A$27,0)),"")</f>
        <v>0.31</v>
      </c>
      <c r="M572" s="26">
        <f>IFERROR(INDEX(Cost_Components!$L$2:$L$27,MATCH(E572,Cost_Components!$A$2:$A$27,0)),"")</f>
        <v>1</v>
      </c>
      <c r="N572" s="27">
        <f>IFERROR(INDEX(Cost_Components!$P$2:$P$27,MATCH(E572,Cost_Components!$A$2:$A$27,0)),"")</f>
        <v>119.721487</v>
      </c>
      <c r="O572" s="21">
        <f t="shared" si="81"/>
        <v>648559.12901626504</v>
      </c>
      <c r="P572" s="21">
        <f t="shared" si="82"/>
        <v>645196.91716071498</v>
      </c>
      <c r="Q572" s="21">
        <f t="shared" si="83"/>
        <v>23945619.64239195</v>
      </c>
      <c r="R572" s="21">
        <f t="shared" si="84"/>
        <v>60653833.473013468</v>
      </c>
      <c r="S572" s="21">
        <f t="shared" si="85"/>
        <v>36708213.830621518</v>
      </c>
      <c r="T572" s="14">
        <f>IFERROR(INDEX(Cost_Components!$R$2:$R$27,MATCH(E572,Cost_Components!$A$2:$A$27,0)),"")</f>
        <v>1</v>
      </c>
      <c r="U572" s="24">
        <f>IFERROR(INDEX(Cost_Components!$Q$2:$Q$27,MATCH(E572,Cost_Components!$A$2:$A$27,0)),"")</f>
        <v>2023</v>
      </c>
      <c r="V572" s="28">
        <f>1/(1+Calculation_Assumptions!$B$5)^(B572-Calculation_Assumptions!$B$2)</f>
        <v>0.49193373633950943</v>
      </c>
      <c r="W572" s="21">
        <f t="shared" si="86"/>
        <v>11779658.13964662</v>
      </c>
      <c r="X572" s="21">
        <f t="shared" si="87"/>
        <v>29837666.923693918</v>
      </c>
      <c r="Y572" s="21">
        <f t="shared" si="88"/>
        <v>18058008.784047298</v>
      </c>
      <c r="Z572" s="15">
        <f>IFERROR(INDEX(Cost_Components!$T$2:$T$27,MATCH(E572,Cost_Components!$A$2:$A$27,0)),"")</f>
        <v>0.8</v>
      </c>
      <c r="AA572" s="24">
        <f>IFERROR(INDEX(Cost_Components!$U$2:$U$27,MATCH(E572,Cost_Components!$A$2:$A$27,0)),"")</f>
        <v>2025</v>
      </c>
      <c r="AB572" s="24">
        <f>IFERROR(INDEX(Cost_Components!$V$2:$V$27,MATCH(E572,Cost_Components!$A$2:$A$27,0)),"")</f>
        <v>2050</v>
      </c>
      <c r="AC572" s="24">
        <f>IFERROR(INDEX(Cost_Components!$M$2:$M$27,MATCH(E572,Cost_Components!$A$2:$A$27,0)),"")</f>
        <v>30</v>
      </c>
      <c r="AD572" s="24">
        <f>IFERROR(INDEX(Cost_Components!$N$2:$N$27,MATCH(E572,Cost_Components!$A$2:$A$27,0)),"")</f>
        <v>95</v>
      </c>
      <c r="AE572" s="14" t="str">
        <f>IFERROR(INDEX(Cost_Components!$O$2:$O$27,MATCH(E572,Cost_Components!$A$2:$A$27,0)),"")</f>
        <v>Both</v>
      </c>
      <c r="AF572" s="11">
        <v>1297118.2580325301</v>
      </c>
      <c r="AG572" s="11">
        <v>1290393.83432143</v>
      </c>
      <c r="AH572" s="21">
        <f t="shared" si="89"/>
        <v>1</v>
      </c>
    </row>
    <row r="573" spans="1:34" hidden="1">
      <c r="A573" t="s">
        <v>217</v>
      </c>
      <c r="B573" s="18">
        <v>2050</v>
      </c>
      <c r="C573" t="s">
        <v>217</v>
      </c>
      <c r="D573" t="s">
        <v>173</v>
      </c>
      <c r="E573" s="20" t="s">
        <v>310</v>
      </c>
      <c r="F573" s="20" t="s">
        <v>311</v>
      </c>
      <c r="G573" s="20" t="s">
        <v>218</v>
      </c>
      <c r="H573" s="20" t="s">
        <v>192</v>
      </c>
      <c r="I573" s="20" t="s">
        <v>264</v>
      </c>
      <c r="J573" s="15">
        <f>IFERROR(INDEX(Cost_Components!$K$2:$K$27,MATCH(E573,Cost_Components!$A$2:$A$27,0)),"")</f>
        <v>0.5</v>
      </c>
      <c r="K573" s="15">
        <f t="shared" si="80"/>
        <v>0.8</v>
      </c>
      <c r="L573" s="15">
        <f>IFERROR(INDEX(Cost_Components!$S$2:$S$27,MATCH(E573,Cost_Components!$A$2:$A$27,0)),"")</f>
        <v>0.31</v>
      </c>
      <c r="M573" s="26">
        <f>IFERROR(INDEX(Cost_Components!$L$2:$L$27,MATCH(E573,Cost_Components!$A$2:$A$27,0)),"")</f>
        <v>1</v>
      </c>
      <c r="N573" s="27">
        <f>IFERROR(INDEX(Cost_Components!$P$2:$P$27,MATCH(E573,Cost_Components!$A$2:$A$27,0)),"")</f>
        <v>119.721487</v>
      </c>
      <c r="O573" s="21">
        <f t="shared" si="81"/>
        <v>652195.15919251496</v>
      </c>
      <c r="P573" s="21">
        <f t="shared" si="82"/>
        <v>648668.86758336006</v>
      </c>
      <c r="Q573" s="21">
        <f t="shared" si="83"/>
        <v>24074476.433282647</v>
      </c>
      <c r="R573" s="21">
        <f t="shared" si="84"/>
        <v>62465419.418183692</v>
      </c>
      <c r="S573" s="21">
        <f t="shared" si="85"/>
        <v>38390942.984901041</v>
      </c>
      <c r="T573" s="14">
        <f>IFERROR(INDEX(Cost_Components!$R$2:$R$27,MATCH(E573,Cost_Components!$A$2:$A$27,0)),"")</f>
        <v>1</v>
      </c>
      <c r="U573" s="24">
        <f>IFERROR(INDEX(Cost_Components!$Q$2:$Q$27,MATCH(E573,Cost_Components!$A$2:$A$27,0)),"")</f>
        <v>2023</v>
      </c>
      <c r="V573" s="28">
        <f>1/(1+Calculation_Assumptions!$B$5)^(B573-Calculation_Assumptions!$B$2)</f>
        <v>0.47760556926165965</v>
      </c>
      <c r="W573" s="21">
        <f t="shared" si="86"/>
        <v>11498104.021594368</v>
      </c>
      <c r="X573" s="21">
        <f t="shared" si="87"/>
        <v>29833832.200389951</v>
      </c>
      <c r="Y573" s="21">
        <f t="shared" si="88"/>
        <v>18335728.17879558</v>
      </c>
      <c r="Z573" s="15">
        <f>IFERROR(INDEX(Cost_Components!$T$2:$T$27,MATCH(E573,Cost_Components!$A$2:$A$27,0)),"")</f>
        <v>0.8</v>
      </c>
      <c r="AA573" s="24">
        <f>IFERROR(INDEX(Cost_Components!$U$2:$U$27,MATCH(E573,Cost_Components!$A$2:$A$27,0)),"")</f>
        <v>2025</v>
      </c>
      <c r="AB573" s="24">
        <f>IFERROR(INDEX(Cost_Components!$V$2:$V$27,MATCH(E573,Cost_Components!$A$2:$A$27,0)),"")</f>
        <v>2050</v>
      </c>
      <c r="AC573" s="24">
        <f>IFERROR(INDEX(Cost_Components!$M$2:$M$27,MATCH(E573,Cost_Components!$A$2:$A$27,0)),"")</f>
        <v>30</v>
      </c>
      <c r="AD573" s="24">
        <f>IFERROR(INDEX(Cost_Components!$N$2:$N$27,MATCH(E573,Cost_Components!$A$2:$A$27,0)),"")</f>
        <v>95</v>
      </c>
      <c r="AE573" s="14" t="str">
        <f>IFERROR(INDEX(Cost_Components!$O$2:$O$27,MATCH(E573,Cost_Components!$A$2:$A$27,0)),"")</f>
        <v>Both</v>
      </c>
      <c r="AF573" s="11">
        <v>1304390.3183850299</v>
      </c>
      <c r="AG573" s="11">
        <v>1297337.7351667201</v>
      </c>
      <c r="AH573" s="21">
        <f t="shared" si="89"/>
        <v>1</v>
      </c>
    </row>
    <row r="574" spans="1:34" hidden="1">
      <c r="A574" t="s">
        <v>217</v>
      </c>
      <c r="B574" s="18">
        <v>2025</v>
      </c>
      <c r="C574" t="s">
        <v>217</v>
      </c>
      <c r="D574" t="s">
        <v>181</v>
      </c>
      <c r="E574" s="20" t="s">
        <v>313</v>
      </c>
      <c r="F574" s="20" t="s">
        <v>314</v>
      </c>
      <c r="G574" s="20" t="s">
        <v>221</v>
      </c>
      <c r="H574" s="20" t="s">
        <v>192</v>
      </c>
      <c r="I574" s="20" t="s">
        <v>167</v>
      </c>
      <c r="J574" s="15">
        <f>IFERROR(INDEX(Cost_Components!$K$2:$K$27,MATCH(E574,Cost_Components!$A$2:$A$27,0)),"")</f>
        <v>0.52</v>
      </c>
      <c r="K574" s="15">
        <f t="shared" si="80"/>
        <v>0.32884615384615384</v>
      </c>
      <c r="L574" s="15">
        <f>IFERROR(INDEX(Cost_Components!$S$2:$S$27,MATCH(E574,Cost_Components!$A$2:$A$27,0)),"")</f>
        <v>0.31</v>
      </c>
      <c r="M574" s="26">
        <f>IFERROR(INDEX(Cost_Components!$L$2:$L$27,MATCH(E574,Cost_Components!$A$2:$A$27,0)),"")</f>
        <v>1</v>
      </c>
      <c r="N574" s="27">
        <f>IFERROR(INDEX(Cost_Components!$P$2:$P$27,MATCH(E574,Cost_Components!$A$2:$A$27,0)),"")</f>
        <v>186.479792</v>
      </c>
      <c r="O574" s="21">
        <f t="shared" si="81"/>
        <v>198920.09723332603</v>
      </c>
      <c r="P574" s="21">
        <f t="shared" si="82"/>
        <v>198920.09723332603</v>
      </c>
      <c r="Q574" s="21">
        <f t="shared" si="83"/>
        <v>11499319.290574029</v>
      </c>
      <c r="R574" s="21">
        <f t="shared" si="84"/>
        <v>12198409.421142425</v>
      </c>
      <c r="S574" s="21">
        <f t="shared" si="85"/>
        <v>699090.1305683963</v>
      </c>
      <c r="T574" s="14">
        <f>IFERROR(INDEX(Cost_Components!$R$2:$R$27,MATCH(E574,Cost_Components!$A$2:$A$27,0)),"")</f>
        <v>1</v>
      </c>
      <c r="U574" s="24">
        <f>IFERROR(INDEX(Cost_Components!$Q$2:$Q$27,MATCH(E574,Cost_Components!$A$2:$A$27,0)),"")</f>
        <v>2023</v>
      </c>
      <c r="V574" s="28">
        <f>1/(1+Calculation_Assumptions!$B$5)^(B574-Calculation_Assumptions!$B$2)</f>
        <v>1</v>
      </c>
      <c r="W574" s="21">
        <f t="shared" si="86"/>
        <v>11499319.290574029</v>
      </c>
      <c r="X574" s="21">
        <f t="shared" si="87"/>
        <v>12198409.421142425</v>
      </c>
      <c r="Y574" s="21">
        <f t="shared" si="88"/>
        <v>699090.1305683963</v>
      </c>
      <c r="Z574" s="15">
        <f>IFERROR(INDEX(Cost_Components!$T$2:$T$27,MATCH(E574,Cost_Components!$A$2:$A$27,0)),"")</f>
        <v>0.8</v>
      </c>
      <c r="AA574" s="24">
        <f>IFERROR(INDEX(Cost_Components!$U$2:$U$27,MATCH(E574,Cost_Components!$A$2:$A$27,0)),"")</f>
        <v>2025</v>
      </c>
      <c r="AB574" s="24">
        <f>IFERROR(INDEX(Cost_Components!$V$2:$V$27,MATCH(E574,Cost_Components!$A$2:$A$27,0)),"")</f>
        <v>2050</v>
      </c>
      <c r="AC574" s="24">
        <f>IFERROR(INDEX(Cost_Components!$M$2:$M$27,MATCH(E574,Cost_Components!$A$2:$A$27,0)),"")</f>
        <v>30</v>
      </c>
      <c r="AD574" s="24">
        <f>IFERROR(INDEX(Cost_Components!$N$2:$N$27,MATCH(E574,Cost_Components!$A$2:$A$27,0)),"")</f>
        <v>95</v>
      </c>
      <c r="AE574" s="14" t="str">
        <f>IFERROR(INDEX(Cost_Components!$O$2:$O$27,MATCH(E574,Cost_Components!$A$2:$A$27,0)),"")</f>
        <v>Both</v>
      </c>
      <c r="AF574" s="11">
        <v>382538.64852562698</v>
      </c>
      <c r="AG574" s="11">
        <v>382538.64852562698</v>
      </c>
      <c r="AH574" s="21">
        <f t="shared" si="89"/>
        <v>1</v>
      </c>
    </row>
    <row r="575" spans="1:34" hidden="1">
      <c r="A575" t="s">
        <v>217</v>
      </c>
      <c r="B575" s="18">
        <v>2026</v>
      </c>
      <c r="C575" t="s">
        <v>217</v>
      </c>
      <c r="D575" t="s">
        <v>181</v>
      </c>
      <c r="E575" s="20" t="s">
        <v>313</v>
      </c>
      <c r="F575" s="20" t="s">
        <v>314</v>
      </c>
      <c r="G575" s="20" t="s">
        <v>221</v>
      </c>
      <c r="H575" s="20" t="s">
        <v>192</v>
      </c>
      <c r="I575" s="20" t="s">
        <v>167</v>
      </c>
      <c r="J575" s="15">
        <f>IFERROR(INDEX(Cost_Components!$K$2:$K$27,MATCH(E575,Cost_Components!$A$2:$A$27,0)),"")</f>
        <v>0.52</v>
      </c>
      <c r="K575" s="15">
        <f t="shared" si="80"/>
        <v>0.34769230769230769</v>
      </c>
      <c r="L575" s="15">
        <f>IFERROR(INDEX(Cost_Components!$S$2:$S$27,MATCH(E575,Cost_Components!$A$2:$A$27,0)),"")</f>
        <v>0.31</v>
      </c>
      <c r="M575" s="26">
        <f>IFERROR(INDEX(Cost_Components!$L$2:$L$27,MATCH(E575,Cost_Components!$A$2:$A$27,0)),"")</f>
        <v>1</v>
      </c>
      <c r="N575" s="27">
        <f>IFERROR(INDEX(Cost_Components!$P$2:$P$27,MATCH(E575,Cost_Components!$A$2:$A$27,0)),"")</f>
        <v>186.479792</v>
      </c>
      <c r="O575" s="21">
        <f t="shared" si="81"/>
        <v>206000.45016169114</v>
      </c>
      <c r="P575" s="21">
        <f t="shared" si="82"/>
        <v>206000.22263656004</v>
      </c>
      <c r="Q575" s="21">
        <f t="shared" si="83"/>
        <v>11908612.387458017</v>
      </c>
      <c r="R575" s="21">
        <f t="shared" si="84"/>
        <v>13356572.56640189</v>
      </c>
      <c r="S575" s="21">
        <f t="shared" si="85"/>
        <v>1447960.1789438725</v>
      </c>
      <c r="T575" s="14">
        <f>IFERROR(INDEX(Cost_Components!$R$2:$R$27,MATCH(E575,Cost_Components!$A$2:$A$27,0)),"")</f>
        <v>1</v>
      </c>
      <c r="U575" s="24">
        <f>IFERROR(INDEX(Cost_Components!$Q$2:$Q$27,MATCH(E575,Cost_Components!$A$2:$A$27,0)),"")</f>
        <v>2023</v>
      </c>
      <c r="V575" s="28">
        <f>1/(1+Calculation_Assumptions!$B$5)^(B575-Calculation_Assumptions!$B$2)</f>
        <v>0.970873786407767</v>
      </c>
      <c r="W575" s="21">
        <f t="shared" si="86"/>
        <v>11561759.599473802</v>
      </c>
      <c r="X575" s="21">
        <f t="shared" si="87"/>
        <v>12967546.180972708</v>
      </c>
      <c r="Y575" s="21">
        <f t="shared" si="88"/>
        <v>1405786.5814989053</v>
      </c>
      <c r="Z575" s="15">
        <f>IFERROR(INDEX(Cost_Components!$T$2:$T$27,MATCH(E575,Cost_Components!$A$2:$A$27,0)),"")</f>
        <v>0.8</v>
      </c>
      <c r="AA575" s="24">
        <f>IFERROR(INDEX(Cost_Components!$U$2:$U$27,MATCH(E575,Cost_Components!$A$2:$A$27,0)),"")</f>
        <v>2025</v>
      </c>
      <c r="AB575" s="24">
        <f>IFERROR(INDEX(Cost_Components!$V$2:$V$27,MATCH(E575,Cost_Components!$A$2:$A$27,0)),"")</f>
        <v>2050</v>
      </c>
      <c r="AC575" s="24">
        <f>IFERROR(INDEX(Cost_Components!$M$2:$M$27,MATCH(E575,Cost_Components!$A$2:$A$27,0)),"")</f>
        <v>30</v>
      </c>
      <c r="AD575" s="24">
        <f>IFERROR(INDEX(Cost_Components!$N$2:$N$27,MATCH(E575,Cost_Components!$A$2:$A$27,0)),"")</f>
        <v>95</v>
      </c>
      <c r="AE575" s="14" t="str">
        <f>IFERROR(INDEX(Cost_Components!$O$2:$O$27,MATCH(E575,Cost_Components!$A$2:$A$27,0)),"")</f>
        <v>Both</v>
      </c>
      <c r="AF575" s="11">
        <v>396154.71184940601</v>
      </c>
      <c r="AG575" s="11">
        <v>396154.27430107701</v>
      </c>
      <c r="AH575" s="21">
        <f t="shared" si="89"/>
        <v>1</v>
      </c>
    </row>
    <row r="576" spans="1:34" hidden="1">
      <c r="A576" t="s">
        <v>217</v>
      </c>
      <c r="B576" s="18">
        <v>2027</v>
      </c>
      <c r="C576" t="s">
        <v>217</v>
      </c>
      <c r="D576" t="s">
        <v>181</v>
      </c>
      <c r="E576" s="20" t="s">
        <v>313</v>
      </c>
      <c r="F576" s="20" t="s">
        <v>314</v>
      </c>
      <c r="G576" s="20" t="s">
        <v>221</v>
      </c>
      <c r="H576" s="20" t="s">
        <v>192</v>
      </c>
      <c r="I576" s="20" t="s">
        <v>167</v>
      </c>
      <c r="J576" s="15">
        <f>IFERROR(INDEX(Cost_Components!$K$2:$K$27,MATCH(E576,Cost_Components!$A$2:$A$27,0)),"")</f>
        <v>0.52</v>
      </c>
      <c r="K576" s="15">
        <f t="shared" si="80"/>
        <v>0.36653846153846154</v>
      </c>
      <c r="L576" s="15">
        <f>IFERROR(INDEX(Cost_Components!$S$2:$S$27,MATCH(E576,Cost_Components!$A$2:$A$27,0)),"")</f>
        <v>0.31</v>
      </c>
      <c r="M576" s="26">
        <f>IFERROR(INDEX(Cost_Components!$L$2:$L$27,MATCH(E576,Cost_Components!$A$2:$A$27,0)),"")</f>
        <v>1</v>
      </c>
      <c r="N576" s="27">
        <f>IFERROR(INDEX(Cost_Components!$P$2:$P$27,MATCH(E576,Cost_Components!$A$2:$A$27,0)),"")</f>
        <v>186.479792</v>
      </c>
      <c r="O576" s="21">
        <f t="shared" si="81"/>
        <v>213102.3602739065</v>
      </c>
      <c r="P576" s="21">
        <f t="shared" si="82"/>
        <v>213101.79803124265</v>
      </c>
      <c r="Q576" s="21">
        <f t="shared" si="83"/>
        <v>12319145.481224561</v>
      </c>
      <c r="R576" s="21">
        <f t="shared" si="84"/>
        <v>14565975.953505211</v>
      </c>
      <c r="S576" s="21">
        <f t="shared" si="85"/>
        <v>2246830.4722806495</v>
      </c>
      <c r="T576" s="14">
        <f>IFERROR(INDEX(Cost_Components!$R$2:$R$27,MATCH(E576,Cost_Components!$A$2:$A$27,0)),"")</f>
        <v>1</v>
      </c>
      <c r="U576" s="24">
        <f>IFERROR(INDEX(Cost_Components!$Q$2:$Q$27,MATCH(E576,Cost_Components!$A$2:$A$27,0)),"")</f>
        <v>2023</v>
      </c>
      <c r="V576" s="28">
        <f>1/(1+Calculation_Assumptions!$B$5)^(B576-Calculation_Assumptions!$B$2)</f>
        <v>0.94259590913375435</v>
      </c>
      <c r="W576" s="21">
        <f t="shared" si="86"/>
        <v>11611976.134625847</v>
      </c>
      <c r="X576" s="21">
        <f t="shared" si="87"/>
        <v>13729829.346314648</v>
      </c>
      <c r="Y576" s="21">
        <f t="shared" si="88"/>
        <v>2117853.2116888016</v>
      </c>
      <c r="Z576" s="15">
        <f>IFERROR(INDEX(Cost_Components!$T$2:$T$27,MATCH(E576,Cost_Components!$A$2:$A$27,0)),"")</f>
        <v>0.8</v>
      </c>
      <c r="AA576" s="24">
        <f>IFERROR(INDEX(Cost_Components!$U$2:$U$27,MATCH(E576,Cost_Components!$A$2:$A$27,0)),"")</f>
        <v>2025</v>
      </c>
      <c r="AB576" s="24">
        <f>IFERROR(INDEX(Cost_Components!$V$2:$V$27,MATCH(E576,Cost_Components!$A$2:$A$27,0)),"")</f>
        <v>2050</v>
      </c>
      <c r="AC576" s="24">
        <f>IFERROR(INDEX(Cost_Components!$M$2:$M$27,MATCH(E576,Cost_Components!$A$2:$A$27,0)),"")</f>
        <v>30</v>
      </c>
      <c r="AD576" s="24">
        <f>IFERROR(INDEX(Cost_Components!$N$2:$N$27,MATCH(E576,Cost_Components!$A$2:$A$27,0)),"")</f>
        <v>95</v>
      </c>
      <c r="AE576" s="14" t="str">
        <f>IFERROR(INDEX(Cost_Components!$O$2:$O$27,MATCH(E576,Cost_Components!$A$2:$A$27,0)),"")</f>
        <v>Both</v>
      </c>
      <c r="AF576" s="11">
        <v>409812.23129597399</v>
      </c>
      <c r="AG576" s="11">
        <v>409811.15006008203</v>
      </c>
      <c r="AH576" s="21">
        <f t="shared" si="89"/>
        <v>1</v>
      </c>
    </row>
    <row r="577" spans="1:34" hidden="1">
      <c r="A577" t="s">
        <v>217</v>
      </c>
      <c r="B577" s="18">
        <v>2028</v>
      </c>
      <c r="C577" t="s">
        <v>217</v>
      </c>
      <c r="D577" t="s">
        <v>181</v>
      </c>
      <c r="E577" s="20" t="s">
        <v>313</v>
      </c>
      <c r="F577" s="20" t="s">
        <v>314</v>
      </c>
      <c r="G577" s="20" t="s">
        <v>221</v>
      </c>
      <c r="H577" s="20" t="s">
        <v>192</v>
      </c>
      <c r="I577" s="20" t="s">
        <v>167</v>
      </c>
      <c r="J577" s="15">
        <f>IFERROR(INDEX(Cost_Components!$K$2:$K$27,MATCH(E577,Cost_Components!$A$2:$A$27,0)),"")</f>
        <v>0.52</v>
      </c>
      <c r="K577" s="15">
        <f t="shared" si="80"/>
        <v>0.38538461538461538</v>
      </c>
      <c r="L577" s="15">
        <f>IFERROR(INDEX(Cost_Components!$S$2:$S$27,MATCH(E577,Cost_Components!$A$2:$A$27,0)),"")</f>
        <v>0.31</v>
      </c>
      <c r="M577" s="26">
        <f>IFERROR(INDEX(Cost_Components!$L$2:$L$27,MATCH(E577,Cost_Components!$A$2:$A$27,0)),"")</f>
        <v>1</v>
      </c>
      <c r="N577" s="27">
        <f>IFERROR(INDEX(Cost_Components!$P$2:$P$27,MATCH(E577,Cost_Components!$A$2:$A$27,0)),"")</f>
        <v>186.479792</v>
      </c>
      <c r="O577" s="21">
        <f t="shared" si="81"/>
        <v>220210.02812770105</v>
      </c>
      <c r="P577" s="21">
        <f t="shared" si="82"/>
        <v>220209.05324150721</v>
      </c>
      <c r="Q577" s="21">
        <f t="shared" si="83"/>
        <v>12730006.917947888</v>
      </c>
      <c r="R577" s="21">
        <f t="shared" si="84"/>
        <v>15825711.416173453</v>
      </c>
      <c r="S577" s="21">
        <f t="shared" si="85"/>
        <v>3095704.4982255641</v>
      </c>
      <c r="T577" s="14">
        <f>IFERROR(INDEX(Cost_Components!$R$2:$R$27,MATCH(E577,Cost_Components!$A$2:$A$27,0)),"")</f>
        <v>1</v>
      </c>
      <c r="U577" s="24">
        <f>IFERROR(INDEX(Cost_Components!$Q$2:$Q$27,MATCH(E577,Cost_Components!$A$2:$A$27,0)),"")</f>
        <v>2023</v>
      </c>
      <c r="V577" s="28">
        <f>1/(1+Calculation_Assumptions!$B$5)^(B577-Calculation_Assumptions!$B$2)</f>
        <v>0.91514165935315961</v>
      </c>
      <c r="W577" s="21">
        <f t="shared" si="86"/>
        <v>11649759.654468032</v>
      </c>
      <c r="X577" s="21">
        <f t="shared" si="87"/>
        <v>14482767.805841215</v>
      </c>
      <c r="Y577" s="21">
        <f t="shared" si="88"/>
        <v>2833008.1513731829</v>
      </c>
      <c r="Z577" s="15">
        <f>IFERROR(INDEX(Cost_Components!$T$2:$T$27,MATCH(E577,Cost_Components!$A$2:$A$27,0)),"")</f>
        <v>0.8</v>
      </c>
      <c r="AA577" s="24">
        <f>IFERROR(INDEX(Cost_Components!$U$2:$U$27,MATCH(E577,Cost_Components!$A$2:$A$27,0)),"")</f>
        <v>2025</v>
      </c>
      <c r="AB577" s="24">
        <f>IFERROR(INDEX(Cost_Components!$V$2:$V$27,MATCH(E577,Cost_Components!$A$2:$A$27,0)),"")</f>
        <v>2050</v>
      </c>
      <c r="AC577" s="24">
        <f>IFERROR(INDEX(Cost_Components!$M$2:$M$27,MATCH(E577,Cost_Components!$A$2:$A$27,0)),"")</f>
        <v>30</v>
      </c>
      <c r="AD577" s="24">
        <f>IFERROR(INDEX(Cost_Components!$N$2:$N$27,MATCH(E577,Cost_Components!$A$2:$A$27,0)),"")</f>
        <v>95</v>
      </c>
      <c r="AE577" s="14" t="str">
        <f>IFERROR(INDEX(Cost_Components!$O$2:$O$27,MATCH(E577,Cost_Components!$A$2:$A$27,0)),"")</f>
        <v>Both</v>
      </c>
      <c r="AF577" s="11">
        <v>423480.82332250202</v>
      </c>
      <c r="AG577" s="11">
        <v>423478.94854135998</v>
      </c>
      <c r="AH577" s="21">
        <f t="shared" si="89"/>
        <v>1</v>
      </c>
    </row>
    <row r="578" spans="1:34" hidden="1">
      <c r="A578" t="s">
        <v>217</v>
      </c>
      <c r="B578" s="18">
        <v>2029</v>
      </c>
      <c r="C578" t="s">
        <v>217</v>
      </c>
      <c r="D578" t="s">
        <v>181</v>
      </c>
      <c r="E578" s="20" t="s">
        <v>313</v>
      </c>
      <c r="F578" s="20" t="s">
        <v>314</v>
      </c>
      <c r="G578" s="20" t="s">
        <v>221</v>
      </c>
      <c r="H578" s="20" t="s">
        <v>192</v>
      </c>
      <c r="I578" s="20" t="s">
        <v>167</v>
      </c>
      <c r="J578" s="15">
        <f>IFERROR(INDEX(Cost_Components!$K$2:$K$27,MATCH(E578,Cost_Components!$A$2:$A$27,0)),"")</f>
        <v>0.52</v>
      </c>
      <c r="K578" s="15">
        <f t="shared" ref="K578:K641" si="90">IF(OR(L578="",Z578="",AA578="",AB578=""),"",IF(B578&lt;AA578,L578,IF(B578&gt;AB578,Z578,L578+(Z578-L578)*MIN(MAX((B578-AA578+1)/MAX(AB578-AA578+1,1),0),1))))</f>
        <v>0.40423076923076923</v>
      </c>
      <c r="L578" s="15">
        <f>IFERROR(INDEX(Cost_Components!$S$2:$S$27,MATCH(E578,Cost_Components!$A$2:$A$27,0)),"")</f>
        <v>0.31</v>
      </c>
      <c r="M578" s="26">
        <f>IFERROR(INDEX(Cost_Components!$L$2:$L$27,MATCH(E578,Cost_Components!$A$2:$A$27,0)),"")</f>
        <v>1</v>
      </c>
      <c r="N578" s="27">
        <f>IFERROR(INDEX(Cost_Components!$P$2:$P$27,MATCH(E578,Cost_Components!$A$2:$A$27,0)),"")</f>
        <v>186.479792</v>
      </c>
      <c r="O578" s="21">
        <f t="shared" ref="O578:O641" si="91">AF578*J578</f>
        <v>227286.72959705596</v>
      </c>
      <c r="P578" s="21">
        <f t="shared" ref="P578:P641" si="92">AG578*J578</f>
        <v>227285.27419571948</v>
      </c>
      <c r="Q578" s="21">
        <f t="shared" ref="Q578:Q641" si="93">P578*L578*M578*N578</f>
        <v>13139074.303571029</v>
      </c>
      <c r="R578" s="21">
        <f t="shared" ref="R578:R641" si="94">O578*K578*M578*N578</f>
        <v>17133071.3633307</v>
      </c>
      <c r="S578" s="21">
        <f t="shared" ref="S578:S641" si="95">R578-Q578</f>
        <v>3993997.0597596709</v>
      </c>
      <c r="T578" s="14">
        <f>IFERROR(INDEX(Cost_Components!$R$2:$R$27,MATCH(E578,Cost_Components!$A$2:$A$27,0)),"")</f>
        <v>1</v>
      </c>
      <c r="U578" s="24">
        <f>IFERROR(INDEX(Cost_Components!$Q$2:$Q$27,MATCH(E578,Cost_Components!$A$2:$A$27,0)),"")</f>
        <v>2023</v>
      </c>
      <c r="V578" s="28">
        <f>1/(1+Calculation_Assumptions!$B$5)^(B578-Calculation_Assumptions!$B$2)</f>
        <v>0.888487047915689</v>
      </c>
      <c r="W578" s="21">
        <f t="shared" ref="W578:W641" si="96">Q578*V578</f>
        <v>11673897.340324711</v>
      </c>
      <c r="X578" s="21">
        <f t="shared" ref="X578:X641" si="97">R578*V578</f>
        <v>15222511.997334523</v>
      </c>
      <c r="Y578" s="21">
        <f t="shared" ref="Y578:Y641" si="98">S578*V578</f>
        <v>3548614.6570098116</v>
      </c>
      <c r="Z578" s="15">
        <f>IFERROR(INDEX(Cost_Components!$T$2:$T$27,MATCH(E578,Cost_Components!$A$2:$A$27,0)),"")</f>
        <v>0.8</v>
      </c>
      <c r="AA578" s="24">
        <f>IFERROR(INDEX(Cost_Components!$U$2:$U$27,MATCH(E578,Cost_Components!$A$2:$A$27,0)),"")</f>
        <v>2025</v>
      </c>
      <c r="AB578" s="24">
        <f>IFERROR(INDEX(Cost_Components!$V$2:$V$27,MATCH(E578,Cost_Components!$A$2:$A$27,0)),"")</f>
        <v>2050</v>
      </c>
      <c r="AC578" s="24">
        <f>IFERROR(INDEX(Cost_Components!$M$2:$M$27,MATCH(E578,Cost_Components!$A$2:$A$27,0)),"")</f>
        <v>30</v>
      </c>
      <c r="AD578" s="24">
        <f>IFERROR(INDEX(Cost_Components!$N$2:$N$27,MATCH(E578,Cost_Components!$A$2:$A$27,0)),"")</f>
        <v>95</v>
      </c>
      <c r="AE578" s="14" t="str">
        <f>IFERROR(INDEX(Cost_Components!$O$2:$O$27,MATCH(E578,Cost_Components!$A$2:$A$27,0)),"")</f>
        <v>Both</v>
      </c>
      <c r="AF578" s="11">
        <v>437089.86460972298</v>
      </c>
      <c r="AG578" s="11">
        <v>437087.06576099899</v>
      </c>
      <c r="AH578" s="21">
        <f t="shared" ref="AH578:AH641" si="99">IF(H578="shared-count-once",COUNTIFS($A$2:$A$1353,A578,$B$2:$B$1353,B578,$E$2:$E$1353,E578),1)</f>
        <v>1</v>
      </c>
    </row>
    <row r="579" spans="1:34" hidden="1">
      <c r="A579" t="s">
        <v>217</v>
      </c>
      <c r="B579" s="18">
        <v>2030</v>
      </c>
      <c r="C579" t="s">
        <v>217</v>
      </c>
      <c r="D579" t="s">
        <v>181</v>
      </c>
      <c r="E579" s="20" t="s">
        <v>313</v>
      </c>
      <c r="F579" s="20" t="s">
        <v>314</v>
      </c>
      <c r="G579" s="20" t="s">
        <v>221</v>
      </c>
      <c r="H579" s="20" t="s">
        <v>192</v>
      </c>
      <c r="I579" s="20" t="s">
        <v>167</v>
      </c>
      <c r="J579" s="15">
        <f>IFERROR(INDEX(Cost_Components!$K$2:$K$27,MATCH(E579,Cost_Components!$A$2:$A$27,0)),"")</f>
        <v>0.52</v>
      </c>
      <c r="K579" s="15">
        <f t="shared" si="90"/>
        <v>0.42307692307692307</v>
      </c>
      <c r="L579" s="15">
        <f>IFERROR(INDEX(Cost_Components!$S$2:$S$27,MATCH(E579,Cost_Components!$A$2:$A$27,0)),"")</f>
        <v>0.31</v>
      </c>
      <c r="M579" s="26">
        <f>IFERROR(INDEX(Cost_Components!$L$2:$L$27,MATCH(E579,Cost_Components!$A$2:$A$27,0)),"")</f>
        <v>1</v>
      </c>
      <c r="N579" s="27">
        <f>IFERROR(INDEX(Cost_Components!$P$2:$P$27,MATCH(E579,Cost_Components!$A$2:$A$27,0)),"")</f>
        <v>186.479792</v>
      </c>
      <c r="O579" s="21">
        <f t="shared" si="91"/>
        <v>234331.00559772854</v>
      </c>
      <c r="P579" s="21">
        <f t="shared" si="92"/>
        <v>234329.00321047413</v>
      </c>
      <c r="Q579" s="21">
        <f t="shared" si="93"/>
        <v>13546263.371259529</v>
      </c>
      <c r="R579" s="21">
        <f t="shared" si="94"/>
        <v>18487614.192814145</v>
      </c>
      <c r="S579" s="21">
        <f t="shared" si="95"/>
        <v>4941350.8215546161</v>
      </c>
      <c r="T579" s="14">
        <f>IFERROR(INDEX(Cost_Components!$R$2:$R$27,MATCH(E579,Cost_Components!$A$2:$A$27,0)),"")</f>
        <v>1</v>
      </c>
      <c r="U579" s="24">
        <f>IFERROR(INDEX(Cost_Components!$Q$2:$Q$27,MATCH(E579,Cost_Components!$A$2:$A$27,0)),"")</f>
        <v>2023</v>
      </c>
      <c r="V579" s="28">
        <f>1/(1+Calculation_Assumptions!$B$5)^(B579-Calculation_Assumptions!$B$2)</f>
        <v>0.86260878438416411</v>
      </c>
      <c r="W579" s="21">
        <f t="shared" si="96"/>
        <v>11685125.77962991</v>
      </c>
      <c r="X579" s="21">
        <f t="shared" si="97"/>
        <v>15947578.405026829</v>
      </c>
      <c r="Y579" s="21">
        <f t="shared" si="98"/>
        <v>4262452.6253969176</v>
      </c>
      <c r="Z579" s="15">
        <f>IFERROR(INDEX(Cost_Components!$T$2:$T$27,MATCH(E579,Cost_Components!$A$2:$A$27,0)),"")</f>
        <v>0.8</v>
      </c>
      <c r="AA579" s="24">
        <f>IFERROR(INDEX(Cost_Components!$U$2:$U$27,MATCH(E579,Cost_Components!$A$2:$A$27,0)),"")</f>
        <v>2025</v>
      </c>
      <c r="AB579" s="24">
        <f>IFERROR(INDEX(Cost_Components!$V$2:$V$27,MATCH(E579,Cost_Components!$A$2:$A$27,0)),"")</f>
        <v>2050</v>
      </c>
      <c r="AC579" s="24">
        <f>IFERROR(INDEX(Cost_Components!$M$2:$M$27,MATCH(E579,Cost_Components!$A$2:$A$27,0)),"")</f>
        <v>30</v>
      </c>
      <c r="AD579" s="24">
        <f>IFERROR(INDEX(Cost_Components!$N$2:$N$27,MATCH(E579,Cost_Components!$A$2:$A$27,0)),"")</f>
        <v>95</v>
      </c>
      <c r="AE579" s="14" t="str">
        <f>IFERROR(INDEX(Cost_Components!$O$2:$O$27,MATCH(E579,Cost_Components!$A$2:$A$27,0)),"")</f>
        <v>Both</v>
      </c>
      <c r="AF579" s="11">
        <v>450636.54922640102</v>
      </c>
      <c r="AG579" s="11">
        <v>450632.698481681</v>
      </c>
      <c r="AH579" s="21">
        <f t="shared" si="99"/>
        <v>1</v>
      </c>
    </row>
    <row r="580" spans="1:34" hidden="1">
      <c r="A580" t="s">
        <v>217</v>
      </c>
      <c r="B580" s="18">
        <v>2031</v>
      </c>
      <c r="C580" t="s">
        <v>217</v>
      </c>
      <c r="D580" t="s">
        <v>181</v>
      </c>
      <c r="E580" s="20" t="s">
        <v>313</v>
      </c>
      <c r="F580" s="20" t="s">
        <v>314</v>
      </c>
      <c r="G580" s="20" t="s">
        <v>221</v>
      </c>
      <c r="H580" s="20" t="s">
        <v>192</v>
      </c>
      <c r="I580" s="20" t="s">
        <v>167</v>
      </c>
      <c r="J580" s="15">
        <f>IFERROR(INDEX(Cost_Components!$K$2:$K$27,MATCH(E580,Cost_Components!$A$2:$A$27,0)),"")</f>
        <v>0.52</v>
      </c>
      <c r="K580" s="15">
        <f t="shared" si="90"/>
        <v>0.44192307692307692</v>
      </c>
      <c r="L580" s="15">
        <f>IFERROR(INDEX(Cost_Components!$S$2:$S$27,MATCH(E580,Cost_Components!$A$2:$A$27,0)),"")</f>
        <v>0.31</v>
      </c>
      <c r="M580" s="26">
        <f>IFERROR(INDEX(Cost_Components!$L$2:$L$27,MATCH(E580,Cost_Components!$A$2:$A$27,0)),"")</f>
        <v>1</v>
      </c>
      <c r="N580" s="27">
        <f>IFERROR(INDEX(Cost_Components!$P$2:$P$27,MATCH(E580,Cost_Components!$A$2:$A$27,0)),"")</f>
        <v>186.479792</v>
      </c>
      <c r="O580" s="21">
        <f t="shared" si="91"/>
        <v>241293.7318886744</v>
      </c>
      <c r="P580" s="21">
        <f t="shared" si="92"/>
        <v>241291.1144579754</v>
      </c>
      <c r="Q580" s="21">
        <f t="shared" si="93"/>
        <v>13948734.219027149</v>
      </c>
      <c r="R580" s="21">
        <f t="shared" si="94"/>
        <v>19884949.718690705</v>
      </c>
      <c r="S580" s="21">
        <f t="shared" si="95"/>
        <v>5936215.499663556</v>
      </c>
      <c r="T580" s="14">
        <f>IFERROR(INDEX(Cost_Components!$R$2:$R$27,MATCH(E580,Cost_Components!$A$2:$A$27,0)),"")</f>
        <v>1</v>
      </c>
      <c r="U580" s="24">
        <f>IFERROR(INDEX(Cost_Components!$Q$2:$Q$27,MATCH(E580,Cost_Components!$A$2:$A$27,0)),"")</f>
        <v>2023</v>
      </c>
      <c r="V580" s="28">
        <f>1/(1+Calculation_Assumptions!$B$5)^(B580-Calculation_Assumptions!$B$2)</f>
        <v>0.83748425668365445</v>
      </c>
      <c r="W580" s="21">
        <f t="shared" si="96"/>
        <v>11681845.309099806</v>
      </c>
      <c r="X580" s="21">
        <f t="shared" si="97"/>
        <v>16653332.334349528</v>
      </c>
      <c r="Y580" s="21">
        <f t="shared" si="98"/>
        <v>4971487.0252497215</v>
      </c>
      <c r="Z580" s="15">
        <f>IFERROR(INDEX(Cost_Components!$T$2:$T$27,MATCH(E580,Cost_Components!$A$2:$A$27,0)),"")</f>
        <v>0.8</v>
      </c>
      <c r="AA580" s="24">
        <f>IFERROR(INDEX(Cost_Components!$U$2:$U$27,MATCH(E580,Cost_Components!$A$2:$A$27,0)),"")</f>
        <v>2025</v>
      </c>
      <c r="AB580" s="24">
        <f>IFERROR(INDEX(Cost_Components!$V$2:$V$27,MATCH(E580,Cost_Components!$A$2:$A$27,0)),"")</f>
        <v>2050</v>
      </c>
      <c r="AC580" s="24">
        <f>IFERROR(INDEX(Cost_Components!$M$2:$M$27,MATCH(E580,Cost_Components!$A$2:$A$27,0)),"")</f>
        <v>30</v>
      </c>
      <c r="AD580" s="24">
        <f>IFERROR(INDEX(Cost_Components!$N$2:$N$27,MATCH(E580,Cost_Components!$A$2:$A$27,0)),"")</f>
        <v>95</v>
      </c>
      <c r="AE580" s="14" t="str">
        <f>IFERROR(INDEX(Cost_Components!$O$2:$O$27,MATCH(E580,Cost_Components!$A$2:$A$27,0)),"")</f>
        <v>Both</v>
      </c>
      <c r="AF580" s="11">
        <v>464026.40747822</v>
      </c>
      <c r="AG580" s="11">
        <v>464021.37395764497</v>
      </c>
      <c r="AH580" s="21">
        <f t="shared" si="99"/>
        <v>1</v>
      </c>
    </row>
    <row r="581" spans="1:34" hidden="1">
      <c r="A581" t="s">
        <v>217</v>
      </c>
      <c r="B581" s="18">
        <v>2032</v>
      </c>
      <c r="C581" t="s">
        <v>217</v>
      </c>
      <c r="D581" t="s">
        <v>181</v>
      </c>
      <c r="E581" s="20" t="s">
        <v>313</v>
      </c>
      <c r="F581" s="20" t="s">
        <v>314</v>
      </c>
      <c r="G581" s="20" t="s">
        <v>221</v>
      </c>
      <c r="H581" s="20" t="s">
        <v>192</v>
      </c>
      <c r="I581" s="20" t="s">
        <v>167</v>
      </c>
      <c r="J581" s="15">
        <f>IFERROR(INDEX(Cost_Components!$K$2:$K$27,MATCH(E581,Cost_Components!$A$2:$A$27,0)),"")</f>
        <v>0.52</v>
      </c>
      <c r="K581" s="15">
        <f t="shared" si="90"/>
        <v>0.46076923076923082</v>
      </c>
      <c r="L581" s="15">
        <f>IFERROR(INDEX(Cost_Components!$S$2:$S$27,MATCH(E581,Cost_Components!$A$2:$A$27,0)),"")</f>
        <v>0.31</v>
      </c>
      <c r="M581" s="26">
        <f>IFERROR(INDEX(Cost_Components!$L$2:$L$27,MATCH(E581,Cost_Components!$A$2:$A$27,0)),"")</f>
        <v>1</v>
      </c>
      <c r="N581" s="27">
        <f>IFERROR(INDEX(Cost_Components!$P$2:$P$27,MATCH(E581,Cost_Components!$A$2:$A$27,0)),"")</f>
        <v>186.479792</v>
      </c>
      <c r="O581" s="21">
        <f t="shared" si="91"/>
        <v>248109.16839930415</v>
      </c>
      <c r="P581" s="21">
        <f t="shared" si="92"/>
        <v>248105.86548155046</v>
      </c>
      <c r="Q581" s="21">
        <f t="shared" si="93"/>
        <v>14342686.358583648</v>
      </c>
      <c r="R581" s="21">
        <f t="shared" si="94"/>
        <v>21318569.479785182</v>
      </c>
      <c r="S581" s="21">
        <f t="shared" si="95"/>
        <v>6975883.1212015338</v>
      </c>
      <c r="T581" s="14">
        <f>IFERROR(INDEX(Cost_Components!$R$2:$R$27,MATCH(E581,Cost_Components!$A$2:$A$27,0)),"")</f>
        <v>1</v>
      </c>
      <c r="U581" s="24">
        <f>IFERROR(INDEX(Cost_Components!$Q$2:$Q$27,MATCH(E581,Cost_Components!$A$2:$A$27,0)),"")</f>
        <v>2023</v>
      </c>
      <c r="V581" s="28">
        <f>1/(1+Calculation_Assumptions!$B$5)^(B581-Calculation_Assumptions!$B$2)</f>
        <v>0.81309151134335378</v>
      </c>
      <c r="W581" s="21">
        <f t="shared" si="96"/>
        <v>11661916.528024482</v>
      </c>
      <c r="X581" s="21">
        <f t="shared" si="97"/>
        <v>17333947.877996828</v>
      </c>
      <c r="Y581" s="21">
        <f t="shared" si="98"/>
        <v>5672031.3499723468</v>
      </c>
      <c r="Z581" s="15">
        <f>IFERROR(INDEX(Cost_Components!$T$2:$T$27,MATCH(E581,Cost_Components!$A$2:$A$27,0)),"")</f>
        <v>0.8</v>
      </c>
      <c r="AA581" s="24">
        <f>IFERROR(INDEX(Cost_Components!$U$2:$U$27,MATCH(E581,Cost_Components!$A$2:$A$27,0)),"")</f>
        <v>2025</v>
      </c>
      <c r="AB581" s="24">
        <f>IFERROR(INDEX(Cost_Components!$V$2:$V$27,MATCH(E581,Cost_Components!$A$2:$A$27,0)),"")</f>
        <v>2050</v>
      </c>
      <c r="AC581" s="24">
        <f>IFERROR(INDEX(Cost_Components!$M$2:$M$27,MATCH(E581,Cost_Components!$A$2:$A$27,0)),"")</f>
        <v>30</v>
      </c>
      <c r="AD581" s="24">
        <f>IFERROR(INDEX(Cost_Components!$N$2:$N$27,MATCH(E581,Cost_Components!$A$2:$A$27,0)),"")</f>
        <v>95</v>
      </c>
      <c r="AE581" s="14" t="str">
        <f>IFERROR(INDEX(Cost_Components!$O$2:$O$27,MATCH(E581,Cost_Components!$A$2:$A$27,0)),"")</f>
        <v>Both</v>
      </c>
      <c r="AF581" s="11">
        <v>477133.01615250797</v>
      </c>
      <c r="AG581" s="11">
        <v>477126.664387597</v>
      </c>
      <c r="AH581" s="21">
        <f t="shared" si="99"/>
        <v>1</v>
      </c>
    </row>
    <row r="582" spans="1:34" hidden="1">
      <c r="A582" t="s">
        <v>217</v>
      </c>
      <c r="B582" s="18">
        <v>2033</v>
      </c>
      <c r="C582" t="s">
        <v>217</v>
      </c>
      <c r="D582" t="s">
        <v>181</v>
      </c>
      <c r="E582" s="20" t="s">
        <v>313</v>
      </c>
      <c r="F582" s="20" t="s">
        <v>314</v>
      </c>
      <c r="G582" s="20" t="s">
        <v>221</v>
      </c>
      <c r="H582" s="20" t="s">
        <v>192</v>
      </c>
      <c r="I582" s="20" t="s">
        <v>167</v>
      </c>
      <c r="J582" s="15">
        <f>IFERROR(INDEX(Cost_Components!$K$2:$K$27,MATCH(E582,Cost_Components!$A$2:$A$27,0)),"")</f>
        <v>0.52</v>
      </c>
      <c r="K582" s="15">
        <f t="shared" si="90"/>
        <v>0.47961538461538467</v>
      </c>
      <c r="L582" s="15">
        <f>IFERROR(INDEX(Cost_Components!$S$2:$S$27,MATCH(E582,Cost_Components!$A$2:$A$27,0)),"")</f>
        <v>0.31</v>
      </c>
      <c r="M582" s="26">
        <f>IFERROR(INDEX(Cost_Components!$L$2:$L$27,MATCH(E582,Cost_Components!$A$2:$A$27,0)),"")</f>
        <v>1</v>
      </c>
      <c r="N582" s="27">
        <f>IFERROR(INDEX(Cost_Components!$P$2:$P$27,MATCH(E582,Cost_Components!$A$2:$A$27,0)),"")</f>
        <v>186.479792</v>
      </c>
      <c r="O582" s="21">
        <f t="shared" si="91"/>
        <v>254788.77471274554</v>
      </c>
      <c r="P582" s="21">
        <f t="shared" si="92"/>
        <v>254784.71305636078</v>
      </c>
      <c r="Q582" s="21">
        <f t="shared" si="93"/>
        <v>14728782.09161425</v>
      </c>
      <c r="R582" s="21">
        <f t="shared" si="94"/>
        <v>22787945.487431716</v>
      </c>
      <c r="S582" s="21">
        <f t="shared" si="95"/>
        <v>8059163.3958174661</v>
      </c>
      <c r="T582" s="14">
        <f>IFERROR(INDEX(Cost_Components!$R$2:$R$27,MATCH(E582,Cost_Components!$A$2:$A$27,0)),"")</f>
        <v>1</v>
      </c>
      <c r="U582" s="24">
        <f>IFERROR(INDEX(Cost_Components!$Q$2:$Q$27,MATCH(E582,Cost_Components!$A$2:$A$27,0)),"")</f>
        <v>2023</v>
      </c>
      <c r="V582" s="28">
        <f>1/(1+Calculation_Assumptions!$B$5)^(B582-Calculation_Assumptions!$B$2)</f>
        <v>0.78940923431393573</v>
      </c>
      <c r="W582" s="21">
        <f t="shared" si="96"/>
        <v>11627036.593318013</v>
      </c>
      <c r="X582" s="21">
        <f t="shared" si="97"/>
        <v>17989014.598821178</v>
      </c>
      <c r="Y582" s="21">
        <f t="shared" si="98"/>
        <v>6361978.0055031637</v>
      </c>
      <c r="Z582" s="15">
        <f>IFERROR(INDEX(Cost_Components!$T$2:$T$27,MATCH(E582,Cost_Components!$A$2:$A$27,0)),"")</f>
        <v>0.8</v>
      </c>
      <c r="AA582" s="24">
        <f>IFERROR(INDEX(Cost_Components!$U$2:$U$27,MATCH(E582,Cost_Components!$A$2:$A$27,0)),"")</f>
        <v>2025</v>
      </c>
      <c r="AB582" s="24">
        <f>IFERROR(INDEX(Cost_Components!$V$2:$V$27,MATCH(E582,Cost_Components!$A$2:$A$27,0)),"")</f>
        <v>2050</v>
      </c>
      <c r="AC582" s="24">
        <f>IFERROR(INDEX(Cost_Components!$M$2:$M$27,MATCH(E582,Cost_Components!$A$2:$A$27,0)),"")</f>
        <v>30</v>
      </c>
      <c r="AD582" s="24">
        <f>IFERROR(INDEX(Cost_Components!$N$2:$N$27,MATCH(E582,Cost_Components!$A$2:$A$27,0)),"")</f>
        <v>95</v>
      </c>
      <c r="AE582" s="14" t="str">
        <f>IFERROR(INDEX(Cost_Components!$O$2:$O$27,MATCH(E582,Cost_Components!$A$2:$A$27,0)),"")</f>
        <v>Both</v>
      </c>
      <c r="AF582" s="11">
        <v>489978.41290912603</v>
      </c>
      <c r="AG582" s="11">
        <v>489970.602031463</v>
      </c>
      <c r="AH582" s="21">
        <f t="shared" si="99"/>
        <v>1</v>
      </c>
    </row>
    <row r="583" spans="1:34" hidden="1">
      <c r="A583" t="s">
        <v>217</v>
      </c>
      <c r="B583" s="18">
        <v>2034</v>
      </c>
      <c r="C583" t="s">
        <v>217</v>
      </c>
      <c r="D583" t="s">
        <v>181</v>
      </c>
      <c r="E583" s="20" t="s">
        <v>313</v>
      </c>
      <c r="F583" s="20" t="s">
        <v>314</v>
      </c>
      <c r="G583" s="20" t="s">
        <v>221</v>
      </c>
      <c r="H583" s="20" t="s">
        <v>192</v>
      </c>
      <c r="I583" s="20" t="s">
        <v>167</v>
      </c>
      <c r="J583" s="15">
        <f>IFERROR(INDEX(Cost_Components!$K$2:$K$27,MATCH(E583,Cost_Components!$A$2:$A$27,0)),"")</f>
        <v>0.52</v>
      </c>
      <c r="K583" s="15">
        <f t="shared" si="90"/>
        <v>0.49846153846153851</v>
      </c>
      <c r="L583" s="15">
        <f>IFERROR(INDEX(Cost_Components!$S$2:$S$27,MATCH(E583,Cost_Components!$A$2:$A$27,0)),"")</f>
        <v>0.31</v>
      </c>
      <c r="M583" s="26">
        <f>IFERROR(INDEX(Cost_Components!$L$2:$L$27,MATCH(E583,Cost_Components!$A$2:$A$27,0)),"")</f>
        <v>1</v>
      </c>
      <c r="N583" s="27">
        <f>IFERROR(INDEX(Cost_Components!$P$2:$P$27,MATCH(E583,Cost_Components!$A$2:$A$27,0)),"")</f>
        <v>186.479792</v>
      </c>
      <c r="O583" s="21">
        <f t="shared" si="91"/>
        <v>261373.10764315038</v>
      </c>
      <c r="P583" s="21">
        <f t="shared" si="92"/>
        <v>261368.21203803908</v>
      </c>
      <c r="Q583" s="21">
        <f t="shared" si="93"/>
        <v>15109365.843042282</v>
      </c>
      <c r="R583" s="21">
        <f t="shared" si="94"/>
        <v>24295415.523463093</v>
      </c>
      <c r="S583" s="21">
        <f t="shared" si="95"/>
        <v>9186049.6804208104</v>
      </c>
      <c r="T583" s="14">
        <f>IFERROR(INDEX(Cost_Components!$R$2:$R$27,MATCH(E583,Cost_Components!$A$2:$A$27,0)),"")</f>
        <v>1</v>
      </c>
      <c r="U583" s="24">
        <f>IFERROR(INDEX(Cost_Components!$Q$2:$Q$27,MATCH(E583,Cost_Components!$A$2:$A$27,0)),"")</f>
        <v>2023</v>
      </c>
      <c r="V583" s="28">
        <f>1/(1+Calculation_Assumptions!$B$5)^(B583-Calculation_Assumptions!$B$2)</f>
        <v>0.76641673234362695</v>
      </c>
      <c r="W583" s="21">
        <f t="shared" si="96"/>
        <v>11580070.797208875</v>
      </c>
      <c r="X583" s="21">
        <f t="shared" si="97"/>
        <v>18620412.976423211</v>
      </c>
      <c r="Y583" s="21">
        <f t="shared" si="98"/>
        <v>7040342.179214336</v>
      </c>
      <c r="Z583" s="15">
        <f>IFERROR(INDEX(Cost_Components!$T$2:$T$27,MATCH(E583,Cost_Components!$A$2:$A$27,0)),"")</f>
        <v>0.8</v>
      </c>
      <c r="AA583" s="24">
        <f>IFERROR(INDEX(Cost_Components!$U$2:$U$27,MATCH(E583,Cost_Components!$A$2:$A$27,0)),"")</f>
        <v>2025</v>
      </c>
      <c r="AB583" s="24">
        <f>IFERROR(INDEX(Cost_Components!$V$2:$V$27,MATCH(E583,Cost_Components!$A$2:$A$27,0)),"")</f>
        <v>2050</v>
      </c>
      <c r="AC583" s="24">
        <f>IFERROR(INDEX(Cost_Components!$M$2:$M$27,MATCH(E583,Cost_Components!$A$2:$A$27,0)),"")</f>
        <v>30</v>
      </c>
      <c r="AD583" s="24">
        <f>IFERROR(INDEX(Cost_Components!$N$2:$N$27,MATCH(E583,Cost_Components!$A$2:$A$27,0)),"")</f>
        <v>95</v>
      </c>
      <c r="AE583" s="14" t="str">
        <f>IFERROR(INDEX(Cost_Components!$O$2:$O$27,MATCH(E583,Cost_Components!$A$2:$A$27,0)),"")</f>
        <v>Both</v>
      </c>
      <c r="AF583" s="11">
        <v>502640.59162144299</v>
      </c>
      <c r="AG583" s="11">
        <v>502631.17699622898</v>
      </c>
      <c r="AH583" s="21">
        <f t="shared" si="99"/>
        <v>1</v>
      </c>
    </row>
    <row r="584" spans="1:34" hidden="1">
      <c r="A584" t="s">
        <v>217</v>
      </c>
      <c r="B584" s="18">
        <v>2035</v>
      </c>
      <c r="C584" t="s">
        <v>217</v>
      </c>
      <c r="D584" t="s">
        <v>181</v>
      </c>
      <c r="E584" s="20" t="s">
        <v>313</v>
      </c>
      <c r="F584" s="20" t="s">
        <v>314</v>
      </c>
      <c r="G584" s="20" t="s">
        <v>221</v>
      </c>
      <c r="H584" s="20" t="s">
        <v>192</v>
      </c>
      <c r="I584" s="20" t="s">
        <v>167</v>
      </c>
      <c r="J584" s="15">
        <f>IFERROR(INDEX(Cost_Components!$K$2:$K$27,MATCH(E584,Cost_Components!$A$2:$A$27,0)),"")</f>
        <v>0.52</v>
      </c>
      <c r="K584" s="15">
        <f t="shared" si="90"/>
        <v>0.51730769230769236</v>
      </c>
      <c r="L584" s="15">
        <f>IFERROR(INDEX(Cost_Components!$S$2:$S$27,MATCH(E584,Cost_Components!$A$2:$A$27,0)),"")</f>
        <v>0.31</v>
      </c>
      <c r="M584" s="26">
        <f>IFERROR(INDEX(Cost_Components!$L$2:$L$27,MATCH(E584,Cost_Components!$A$2:$A$27,0)),"")</f>
        <v>1</v>
      </c>
      <c r="N584" s="27">
        <f>IFERROR(INDEX(Cost_Components!$P$2:$P$27,MATCH(E584,Cost_Components!$A$2:$A$27,0)),"")</f>
        <v>186.479792</v>
      </c>
      <c r="O584" s="21">
        <f t="shared" si="91"/>
        <v>267839.71926160698</v>
      </c>
      <c r="P584" s="21">
        <f t="shared" si="92"/>
        <v>267833.91274010227</v>
      </c>
      <c r="Q584" s="21">
        <f t="shared" si="93"/>
        <v>15483139.824879332</v>
      </c>
      <c r="R584" s="21">
        <f t="shared" si="94"/>
        <v>25837809.599842947</v>
      </c>
      <c r="S584" s="21">
        <f t="shared" si="95"/>
        <v>10354669.774963615</v>
      </c>
      <c r="T584" s="14">
        <f>IFERROR(INDEX(Cost_Components!$R$2:$R$27,MATCH(E584,Cost_Components!$A$2:$A$27,0)),"")</f>
        <v>1</v>
      </c>
      <c r="U584" s="24">
        <f>IFERROR(INDEX(Cost_Components!$Q$2:$Q$27,MATCH(E584,Cost_Components!$A$2:$A$27,0)),"")</f>
        <v>2023</v>
      </c>
      <c r="V584" s="28">
        <f>1/(1+Calculation_Assumptions!$B$5)^(B584-Calculation_Assumptions!$B$2)</f>
        <v>0.74409391489672516</v>
      </c>
      <c r="W584" s="21">
        <f t="shared" si="96"/>
        <v>11520910.127187857</v>
      </c>
      <c r="X584" s="21">
        <f t="shared" si="97"/>
        <v>19225756.897503328</v>
      </c>
      <c r="Y584" s="21">
        <f t="shared" si="98"/>
        <v>7704846.7703154683</v>
      </c>
      <c r="Z584" s="15">
        <f>IFERROR(INDEX(Cost_Components!$T$2:$T$27,MATCH(E584,Cost_Components!$A$2:$A$27,0)),"")</f>
        <v>0.8</v>
      </c>
      <c r="AA584" s="24">
        <f>IFERROR(INDEX(Cost_Components!$U$2:$U$27,MATCH(E584,Cost_Components!$A$2:$A$27,0)),"")</f>
        <v>2025</v>
      </c>
      <c r="AB584" s="24">
        <f>IFERROR(INDEX(Cost_Components!$V$2:$V$27,MATCH(E584,Cost_Components!$A$2:$A$27,0)),"")</f>
        <v>2050</v>
      </c>
      <c r="AC584" s="24">
        <f>IFERROR(INDEX(Cost_Components!$M$2:$M$27,MATCH(E584,Cost_Components!$A$2:$A$27,0)),"")</f>
        <v>30</v>
      </c>
      <c r="AD584" s="24">
        <f>IFERROR(INDEX(Cost_Components!$N$2:$N$27,MATCH(E584,Cost_Components!$A$2:$A$27,0)),"")</f>
        <v>95</v>
      </c>
      <c r="AE584" s="14" t="str">
        <f>IFERROR(INDEX(Cost_Components!$O$2:$O$27,MATCH(E584,Cost_Components!$A$2:$A$27,0)),"")</f>
        <v>Both</v>
      </c>
      <c r="AF584" s="11">
        <v>515076.38319539803</v>
      </c>
      <c r="AG584" s="11">
        <v>515065.216807889</v>
      </c>
      <c r="AH584" s="21">
        <f t="shared" si="99"/>
        <v>1</v>
      </c>
    </row>
    <row r="585" spans="1:34" hidden="1">
      <c r="A585" t="s">
        <v>217</v>
      </c>
      <c r="B585" s="18">
        <v>2036</v>
      </c>
      <c r="C585" t="s">
        <v>217</v>
      </c>
      <c r="D585" t="s">
        <v>181</v>
      </c>
      <c r="E585" s="20" t="s">
        <v>313</v>
      </c>
      <c r="F585" s="20" t="s">
        <v>314</v>
      </c>
      <c r="G585" s="20" t="s">
        <v>221</v>
      </c>
      <c r="H585" s="20" t="s">
        <v>192</v>
      </c>
      <c r="I585" s="20" t="s">
        <v>167</v>
      </c>
      <c r="J585" s="15">
        <f>IFERROR(INDEX(Cost_Components!$K$2:$K$27,MATCH(E585,Cost_Components!$A$2:$A$27,0)),"")</f>
        <v>0.52</v>
      </c>
      <c r="K585" s="15">
        <f t="shared" si="90"/>
        <v>0.5361538461538462</v>
      </c>
      <c r="L585" s="15">
        <f>IFERROR(INDEX(Cost_Components!$S$2:$S$27,MATCH(E585,Cost_Components!$A$2:$A$27,0)),"")</f>
        <v>0.31</v>
      </c>
      <c r="M585" s="26">
        <f>IFERROR(INDEX(Cost_Components!$L$2:$L$27,MATCH(E585,Cost_Components!$A$2:$A$27,0)),"")</f>
        <v>1</v>
      </c>
      <c r="N585" s="27">
        <f>IFERROR(INDEX(Cost_Components!$P$2:$P$27,MATCH(E585,Cost_Components!$A$2:$A$27,0)),"")</f>
        <v>186.479792</v>
      </c>
      <c r="O585" s="21">
        <f t="shared" si="91"/>
        <v>274221.44921265065</v>
      </c>
      <c r="P585" s="21">
        <f t="shared" si="92"/>
        <v>274214.65168902482</v>
      </c>
      <c r="Q585" s="21">
        <f t="shared" si="93"/>
        <v>15852002.275199758</v>
      </c>
      <c r="R585" s="21">
        <f t="shared" si="94"/>
        <v>27417169.916420169</v>
      </c>
      <c r="S585" s="21">
        <f t="shared" si="95"/>
        <v>11565167.641220411</v>
      </c>
      <c r="T585" s="14">
        <f>IFERROR(INDEX(Cost_Components!$R$2:$R$27,MATCH(E585,Cost_Components!$A$2:$A$27,0)),"")</f>
        <v>1</v>
      </c>
      <c r="U585" s="24">
        <f>IFERROR(INDEX(Cost_Components!$Q$2:$Q$27,MATCH(E585,Cost_Components!$A$2:$A$27,0)),"")</f>
        <v>2023</v>
      </c>
      <c r="V585" s="28">
        <f>1/(1+Calculation_Assumptions!$B$5)^(B585-Calculation_Assumptions!$B$2)</f>
        <v>0.72242127659876232</v>
      </c>
      <c r="W585" s="21">
        <f t="shared" si="96"/>
        <v>11451823.720296293</v>
      </c>
      <c r="X585" s="21">
        <f t="shared" si="97"/>
        <v>19806746.891745441</v>
      </c>
      <c r="Y585" s="21">
        <f t="shared" si="98"/>
        <v>8354923.1714491462</v>
      </c>
      <c r="Z585" s="15">
        <f>IFERROR(INDEX(Cost_Components!$T$2:$T$27,MATCH(E585,Cost_Components!$A$2:$A$27,0)),"")</f>
        <v>0.8</v>
      </c>
      <c r="AA585" s="24">
        <f>IFERROR(INDEX(Cost_Components!$U$2:$U$27,MATCH(E585,Cost_Components!$A$2:$A$27,0)),"")</f>
        <v>2025</v>
      </c>
      <c r="AB585" s="24">
        <f>IFERROR(INDEX(Cost_Components!$V$2:$V$27,MATCH(E585,Cost_Components!$A$2:$A$27,0)),"")</f>
        <v>2050</v>
      </c>
      <c r="AC585" s="24">
        <f>IFERROR(INDEX(Cost_Components!$M$2:$M$27,MATCH(E585,Cost_Components!$A$2:$A$27,0)),"")</f>
        <v>30</v>
      </c>
      <c r="AD585" s="24">
        <f>IFERROR(INDEX(Cost_Components!$N$2:$N$27,MATCH(E585,Cost_Components!$A$2:$A$27,0)),"")</f>
        <v>95</v>
      </c>
      <c r="AE585" s="14" t="str">
        <f>IFERROR(INDEX(Cost_Components!$O$2:$O$27,MATCH(E585,Cost_Components!$A$2:$A$27,0)),"")</f>
        <v>Both</v>
      </c>
      <c r="AF585" s="11">
        <v>527348.94079355896</v>
      </c>
      <c r="AG585" s="11">
        <v>527335.86863273999</v>
      </c>
      <c r="AH585" s="21">
        <f t="shared" si="99"/>
        <v>1</v>
      </c>
    </row>
    <row r="586" spans="1:34" hidden="1">
      <c r="A586" t="s">
        <v>217</v>
      </c>
      <c r="B586" s="18">
        <v>2037</v>
      </c>
      <c r="C586" t="s">
        <v>217</v>
      </c>
      <c r="D586" t="s">
        <v>181</v>
      </c>
      <c r="E586" s="20" t="s">
        <v>313</v>
      </c>
      <c r="F586" s="20" t="s">
        <v>314</v>
      </c>
      <c r="G586" s="20" t="s">
        <v>221</v>
      </c>
      <c r="H586" s="20" t="s">
        <v>192</v>
      </c>
      <c r="I586" s="20" t="s">
        <v>167</v>
      </c>
      <c r="J586" s="15">
        <f>IFERROR(INDEX(Cost_Components!$K$2:$K$27,MATCH(E586,Cost_Components!$A$2:$A$27,0)),"")</f>
        <v>0.52</v>
      </c>
      <c r="K586" s="15">
        <f t="shared" si="90"/>
        <v>0.55500000000000005</v>
      </c>
      <c r="L586" s="15">
        <f>IFERROR(INDEX(Cost_Components!$S$2:$S$27,MATCH(E586,Cost_Components!$A$2:$A$27,0)),"")</f>
        <v>0.31</v>
      </c>
      <c r="M586" s="26">
        <f>IFERROR(INDEX(Cost_Components!$L$2:$L$27,MATCH(E586,Cost_Components!$A$2:$A$27,0)),"")</f>
        <v>1</v>
      </c>
      <c r="N586" s="27">
        <f>IFERROR(INDEX(Cost_Components!$P$2:$P$27,MATCH(E586,Cost_Components!$A$2:$A$27,0)),"")</f>
        <v>186.479792</v>
      </c>
      <c r="O586" s="21">
        <f t="shared" si="91"/>
        <v>280593.77672177233</v>
      </c>
      <c r="P586" s="21">
        <f t="shared" si="92"/>
        <v>280585.90390502365</v>
      </c>
      <c r="Q586" s="21">
        <f t="shared" si="93"/>
        <v>16220316.309485646</v>
      </c>
      <c r="R586" s="21">
        <f t="shared" si="94"/>
        <v>29040413.361361656</v>
      </c>
      <c r="S586" s="21">
        <f t="shared" si="95"/>
        <v>12820097.05187601</v>
      </c>
      <c r="T586" s="14">
        <f>IFERROR(INDEX(Cost_Components!$R$2:$R$27,MATCH(E586,Cost_Components!$A$2:$A$27,0)),"")</f>
        <v>1</v>
      </c>
      <c r="U586" s="24">
        <f>IFERROR(INDEX(Cost_Components!$Q$2:$Q$27,MATCH(E586,Cost_Components!$A$2:$A$27,0)),"")</f>
        <v>2023</v>
      </c>
      <c r="V586" s="28">
        <f>1/(1+Calculation_Assumptions!$B$5)^(B586-Calculation_Assumptions!$B$2)</f>
        <v>0.70137988019297326</v>
      </c>
      <c r="W586" s="21">
        <f t="shared" si="96"/>
        <v>11376603.509839173</v>
      </c>
      <c r="X586" s="21">
        <f t="shared" si="97"/>
        <v>20368361.64414626</v>
      </c>
      <c r="Y586" s="21">
        <f t="shared" si="98"/>
        <v>8991758.1343070865</v>
      </c>
      <c r="Z586" s="15">
        <f>IFERROR(INDEX(Cost_Components!$T$2:$T$27,MATCH(E586,Cost_Components!$A$2:$A$27,0)),"")</f>
        <v>0.8</v>
      </c>
      <c r="AA586" s="24">
        <f>IFERROR(INDEX(Cost_Components!$U$2:$U$27,MATCH(E586,Cost_Components!$A$2:$A$27,0)),"")</f>
        <v>2025</v>
      </c>
      <c r="AB586" s="24">
        <f>IFERROR(INDEX(Cost_Components!$V$2:$V$27,MATCH(E586,Cost_Components!$A$2:$A$27,0)),"")</f>
        <v>2050</v>
      </c>
      <c r="AC586" s="24">
        <f>IFERROR(INDEX(Cost_Components!$M$2:$M$27,MATCH(E586,Cost_Components!$A$2:$A$27,0)),"")</f>
        <v>30</v>
      </c>
      <c r="AD586" s="24">
        <f>IFERROR(INDEX(Cost_Components!$N$2:$N$27,MATCH(E586,Cost_Components!$A$2:$A$27,0)),"")</f>
        <v>95</v>
      </c>
      <c r="AE586" s="14" t="str">
        <f>IFERROR(INDEX(Cost_Components!$O$2:$O$27,MATCH(E586,Cost_Components!$A$2:$A$27,0)),"")</f>
        <v>Both</v>
      </c>
      <c r="AF586" s="11">
        <v>539603.41677263903</v>
      </c>
      <c r="AG586" s="11">
        <v>539588.27674043004</v>
      </c>
      <c r="AH586" s="21">
        <f t="shared" si="99"/>
        <v>1</v>
      </c>
    </row>
    <row r="587" spans="1:34" hidden="1">
      <c r="A587" t="s">
        <v>217</v>
      </c>
      <c r="B587" s="18">
        <v>2038</v>
      </c>
      <c r="C587" t="s">
        <v>217</v>
      </c>
      <c r="D587" t="s">
        <v>181</v>
      </c>
      <c r="E587" s="20" t="s">
        <v>313</v>
      </c>
      <c r="F587" s="20" t="s">
        <v>314</v>
      </c>
      <c r="G587" s="20" t="s">
        <v>221</v>
      </c>
      <c r="H587" s="20" t="s">
        <v>192</v>
      </c>
      <c r="I587" s="20" t="s">
        <v>167</v>
      </c>
      <c r="J587" s="15">
        <f>IFERROR(INDEX(Cost_Components!$K$2:$K$27,MATCH(E587,Cost_Components!$A$2:$A$27,0)),"")</f>
        <v>0.52</v>
      </c>
      <c r="K587" s="15">
        <f t="shared" si="90"/>
        <v>0.57384615384615389</v>
      </c>
      <c r="L587" s="15">
        <f>IFERROR(INDEX(Cost_Components!$S$2:$S$27,MATCH(E587,Cost_Components!$A$2:$A$27,0)),"")</f>
        <v>0.31</v>
      </c>
      <c r="M587" s="26">
        <f>IFERROR(INDEX(Cost_Components!$L$2:$L$27,MATCH(E587,Cost_Components!$A$2:$A$27,0)),"")</f>
        <v>1</v>
      </c>
      <c r="N587" s="27">
        <f>IFERROR(INDEX(Cost_Components!$P$2:$P$27,MATCH(E587,Cost_Components!$A$2:$A$27,0)),"")</f>
        <v>186.479792</v>
      </c>
      <c r="O587" s="21">
        <f t="shared" si="91"/>
        <v>286928.90852621838</v>
      </c>
      <c r="P587" s="21">
        <f t="shared" si="92"/>
        <v>286919.87409543328</v>
      </c>
      <c r="Q587" s="21">
        <f t="shared" si="93"/>
        <v>16586475.117014604</v>
      </c>
      <c r="R587" s="21">
        <f t="shared" si="94"/>
        <v>30704466.625264734</v>
      </c>
      <c r="S587" s="21">
        <f t="shared" si="95"/>
        <v>14117991.50825013</v>
      </c>
      <c r="T587" s="14">
        <f>IFERROR(INDEX(Cost_Components!$R$2:$R$27,MATCH(E587,Cost_Components!$A$2:$A$27,0)),"")</f>
        <v>1</v>
      </c>
      <c r="U587" s="24">
        <f>IFERROR(INDEX(Cost_Components!$Q$2:$Q$27,MATCH(E587,Cost_Components!$A$2:$A$27,0)),"")</f>
        <v>2023</v>
      </c>
      <c r="V587" s="28">
        <f>1/(1+Calculation_Assumptions!$B$5)^(B587-Calculation_Assumptions!$B$2)</f>
        <v>0.68095133999317792</v>
      </c>
      <c r="W587" s="21">
        <f t="shared" si="96"/>
        <v>11294582.456694597</v>
      </c>
      <c r="X587" s="21">
        <f t="shared" si="97"/>
        <v>20908247.692249831</v>
      </c>
      <c r="Y587" s="21">
        <f t="shared" si="98"/>
        <v>9613665.2355552334</v>
      </c>
      <c r="Z587" s="15">
        <f>IFERROR(INDEX(Cost_Components!$T$2:$T$27,MATCH(E587,Cost_Components!$A$2:$A$27,0)),"")</f>
        <v>0.8</v>
      </c>
      <c r="AA587" s="24">
        <f>IFERROR(INDEX(Cost_Components!$U$2:$U$27,MATCH(E587,Cost_Components!$A$2:$A$27,0)),"")</f>
        <v>2025</v>
      </c>
      <c r="AB587" s="24">
        <f>IFERROR(INDEX(Cost_Components!$V$2:$V$27,MATCH(E587,Cost_Components!$A$2:$A$27,0)),"")</f>
        <v>2050</v>
      </c>
      <c r="AC587" s="24">
        <f>IFERROR(INDEX(Cost_Components!$M$2:$M$27,MATCH(E587,Cost_Components!$A$2:$A$27,0)),"")</f>
        <v>30</v>
      </c>
      <c r="AD587" s="24">
        <f>IFERROR(INDEX(Cost_Components!$N$2:$N$27,MATCH(E587,Cost_Components!$A$2:$A$27,0)),"")</f>
        <v>95</v>
      </c>
      <c r="AE587" s="14" t="str">
        <f>IFERROR(INDEX(Cost_Components!$O$2:$O$27,MATCH(E587,Cost_Components!$A$2:$A$27,0)),"")</f>
        <v>Both</v>
      </c>
      <c r="AF587" s="11">
        <v>551786.36255041999</v>
      </c>
      <c r="AG587" s="11">
        <v>551768.98864506395</v>
      </c>
      <c r="AH587" s="21">
        <f t="shared" si="99"/>
        <v>1</v>
      </c>
    </row>
    <row r="588" spans="1:34" hidden="1">
      <c r="A588" t="s">
        <v>217</v>
      </c>
      <c r="B588" s="18">
        <v>2039</v>
      </c>
      <c r="C588" t="s">
        <v>217</v>
      </c>
      <c r="D588" t="s">
        <v>181</v>
      </c>
      <c r="E588" s="20" t="s">
        <v>313</v>
      </c>
      <c r="F588" s="20" t="s">
        <v>314</v>
      </c>
      <c r="G588" s="20" t="s">
        <v>221</v>
      </c>
      <c r="H588" s="20" t="s">
        <v>192</v>
      </c>
      <c r="I588" s="20" t="s">
        <v>167</v>
      </c>
      <c r="J588" s="15">
        <f>IFERROR(INDEX(Cost_Components!$K$2:$K$27,MATCH(E588,Cost_Components!$A$2:$A$27,0)),"")</f>
        <v>0.52</v>
      </c>
      <c r="K588" s="15">
        <f t="shared" si="90"/>
        <v>0.59269230769230763</v>
      </c>
      <c r="L588" s="15">
        <f>IFERROR(INDEX(Cost_Components!$S$2:$S$27,MATCH(E588,Cost_Components!$A$2:$A$27,0)),"")</f>
        <v>0.31</v>
      </c>
      <c r="M588" s="26">
        <f>IFERROR(INDEX(Cost_Components!$L$2:$L$27,MATCH(E588,Cost_Components!$A$2:$A$27,0)),"")</f>
        <v>1</v>
      </c>
      <c r="N588" s="27">
        <f>IFERROR(INDEX(Cost_Components!$P$2:$P$27,MATCH(E588,Cost_Components!$A$2:$A$27,0)),"")</f>
        <v>186.479792</v>
      </c>
      <c r="O588" s="21">
        <f t="shared" si="91"/>
        <v>293193.69630334788</v>
      </c>
      <c r="P588" s="21">
        <f t="shared" si="92"/>
        <v>293183.41122909903</v>
      </c>
      <c r="Q588" s="21">
        <f t="shared" si="93"/>
        <v>16948562.278594382</v>
      </c>
      <c r="R588" s="21">
        <f t="shared" si="94"/>
        <v>32405273.820436902</v>
      </c>
      <c r="S588" s="21">
        <f t="shared" si="95"/>
        <v>15456711.54184252</v>
      </c>
      <c r="T588" s="14">
        <f>IFERROR(INDEX(Cost_Components!$R$2:$R$27,MATCH(E588,Cost_Components!$A$2:$A$27,0)),"")</f>
        <v>1</v>
      </c>
      <c r="U588" s="24">
        <f>IFERROR(INDEX(Cost_Components!$Q$2:$Q$27,MATCH(E588,Cost_Components!$A$2:$A$27,0)),"")</f>
        <v>2023</v>
      </c>
      <c r="V588" s="28">
        <f>1/(1+Calculation_Assumptions!$B$5)^(B588-Calculation_Assumptions!$B$2)</f>
        <v>0.66111780581861923</v>
      </c>
      <c r="W588" s="21">
        <f t="shared" si="96"/>
        <v>11204996.305404535</v>
      </c>
      <c r="X588" s="21">
        <f t="shared" si="97"/>
        <v>21423703.525118791</v>
      </c>
      <c r="Y588" s="21">
        <f t="shared" si="98"/>
        <v>10218707.219714254</v>
      </c>
      <c r="Z588" s="15">
        <f>IFERROR(INDEX(Cost_Components!$T$2:$T$27,MATCH(E588,Cost_Components!$A$2:$A$27,0)),"")</f>
        <v>0.8</v>
      </c>
      <c r="AA588" s="24">
        <f>IFERROR(INDEX(Cost_Components!$U$2:$U$27,MATCH(E588,Cost_Components!$A$2:$A$27,0)),"")</f>
        <v>2025</v>
      </c>
      <c r="AB588" s="24">
        <f>IFERROR(INDEX(Cost_Components!$V$2:$V$27,MATCH(E588,Cost_Components!$A$2:$A$27,0)),"")</f>
        <v>2050</v>
      </c>
      <c r="AC588" s="24">
        <f>IFERROR(INDEX(Cost_Components!$M$2:$M$27,MATCH(E588,Cost_Components!$A$2:$A$27,0)),"")</f>
        <v>30</v>
      </c>
      <c r="AD588" s="24">
        <f>IFERROR(INDEX(Cost_Components!$N$2:$N$27,MATCH(E588,Cost_Components!$A$2:$A$27,0)),"")</f>
        <v>95</v>
      </c>
      <c r="AE588" s="14" t="str">
        <f>IFERROR(INDEX(Cost_Components!$O$2:$O$27,MATCH(E588,Cost_Components!$A$2:$A$27,0)),"")</f>
        <v>Both</v>
      </c>
      <c r="AF588" s="11">
        <v>563834.03135259205</v>
      </c>
      <c r="AG588" s="11">
        <v>563814.25236365199</v>
      </c>
      <c r="AH588" s="21">
        <f t="shared" si="99"/>
        <v>1</v>
      </c>
    </row>
    <row r="589" spans="1:34" hidden="1">
      <c r="A589" t="s">
        <v>217</v>
      </c>
      <c r="B589" s="18">
        <v>2040</v>
      </c>
      <c r="C589" t="s">
        <v>217</v>
      </c>
      <c r="D589" t="s">
        <v>181</v>
      </c>
      <c r="E589" s="20" t="s">
        <v>313</v>
      </c>
      <c r="F589" s="20" t="s">
        <v>314</v>
      </c>
      <c r="G589" s="20" t="s">
        <v>221</v>
      </c>
      <c r="H589" s="20" t="s">
        <v>192</v>
      </c>
      <c r="I589" s="20" t="s">
        <v>167</v>
      </c>
      <c r="J589" s="15">
        <f>IFERROR(INDEX(Cost_Components!$K$2:$K$27,MATCH(E589,Cost_Components!$A$2:$A$27,0)),"")</f>
        <v>0.52</v>
      </c>
      <c r="K589" s="15">
        <f t="shared" si="90"/>
        <v>0.61153846153846159</v>
      </c>
      <c r="L589" s="15">
        <f>IFERROR(INDEX(Cost_Components!$S$2:$S$27,MATCH(E589,Cost_Components!$A$2:$A$27,0)),"")</f>
        <v>0.31</v>
      </c>
      <c r="M589" s="26">
        <f>IFERROR(INDEX(Cost_Components!$L$2:$L$27,MATCH(E589,Cost_Components!$A$2:$A$27,0)),"")</f>
        <v>1</v>
      </c>
      <c r="N589" s="27">
        <f>IFERROR(INDEX(Cost_Components!$P$2:$P$27,MATCH(E589,Cost_Components!$A$2:$A$27,0)),"")</f>
        <v>186.479792</v>
      </c>
      <c r="O589" s="21">
        <f t="shared" si="91"/>
        <v>299431.86380712333</v>
      </c>
      <c r="P589" s="21">
        <f t="shared" si="92"/>
        <v>299420.23489974596</v>
      </c>
      <c r="Q589" s="21">
        <f t="shared" si="93"/>
        <v>17309105.16865569</v>
      </c>
      <c r="R589" s="21">
        <f t="shared" si="94"/>
        <v>34147079.527950101</v>
      </c>
      <c r="S589" s="21">
        <f t="shared" si="95"/>
        <v>16837974.359294411</v>
      </c>
      <c r="T589" s="14">
        <f>IFERROR(INDEX(Cost_Components!$R$2:$R$27,MATCH(E589,Cost_Components!$A$2:$A$27,0)),"")</f>
        <v>1</v>
      </c>
      <c r="U589" s="24">
        <f>IFERROR(INDEX(Cost_Components!$Q$2:$Q$27,MATCH(E589,Cost_Components!$A$2:$A$27,0)),"")</f>
        <v>2023</v>
      </c>
      <c r="V589" s="28">
        <f>1/(1+Calculation_Assumptions!$B$5)^(B589-Calculation_Assumptions!$B$2)</f>
        <v>0.64186194739671765</v>
      </c>
      <c r="W589" s="21">
        <f t="shared" si="96"/>
        <v>11110055.951247932</v>
      </c>
      <c r="X589" s="21">
        <f t="shared" si="97"/>
        <v>21917710.963720642</v>
      </c>
      <c r="Y589" s="21">
        <f t="shared" si="98"/>
        <v>10807655.01247271</v>
      </c>
      <c r="Z589" s="15">
        <f>IFERROR(INDEX(Cost_Components!$T$2:$T$27,MATCH(E589,Cost_Components!$A$2:$A$27,0)),"")</f>
        <v>0.8</v>
      </c>
      <c r="AA589" s="24">
        <f>IFERROR(INDEX(Cost_Components!$U$2:$U$27,MATCH(E589,Cost_Components!$A$2:$A$27,0)),"")</f>
        <v>2025</v>
      </c>
      <c r="AB589" s="24">
        <f>IFERROR(INDEX(Cost_Components!$V$2:$V$27,MATCH(E589,Cost_Components!$A$2:$A$27,0)),"")</f>
        <v>2050</v>
      </c>
      <c r="AC589" s="24">
        <f>IFERROR(INDEX(Cost_Components!$M$2:$M$27,MATCH(E589,Cost_Components!$A$2:$A$27,0)),"")</f>
        <v>30</v>
      </c>
      <c r="AD589" s="24">
        <f>IFERROR(INDEX(Cost_Components!$N$2:$N$27,MATCH(E589,Cost_Components!$A$2:$A$27,0)),"")</f>
        <v>95</v>
      </c>
      <c r="AE589" s="14" t="str">
        <f>IFERROR(INDEX(Cost_Components!$O$2:$O$27,MATCH(E589,Cost_Components!$A$2:$A$27,0)),"")</f>
        <v>Both</v>
      </c>
      <c r="AF589" s="11">
        <v>575830.50732139102</v>
      </c>
      <c r="AG589" s="11">
        <v>575808.14403797302</v>
      </c>
      <c r="AH589" s="21">
        <f t="shared" si="99"/>
        <v>1</v>
      </c>
    </row>
    <row r="590" spans="1:34" hidden="1">
      <c r="A590" t="s">
        <v>217</v>
      </c>
      <c r="B590" s="18">
        <v>2041</v>
      </c>
      <c r="C590" t="s">
        <v>217</v>
      </c>
      <c r="D590" t="s">
        <v>181</v>
      </c>
      <c r="E590" s="20" t="s">
        <v>313</v>
      </c>
      <c r="F590" s="20" t="s">
        <v>314</v>
      </c>
      <c r="G590" s="20" t="s">
        <v>221</v>
      </c>
      <c r="H590" s="20" t="s">
        <v>192</v>
      </c>
      <c r="I590" s="20" t="s">
        <v>167</v>
      </c>
      <c r="J590" s="15">
        <f>IFERROR(INDEX(Cost_Components!$K$2:$K$27,MATCH(E590,Cost_Components!$A$2:$A$27,0)),"")</f>
        <v>0.52</v>
      </c>
      <c r="K590" s="15">
        <f t="shared" si="90"/>
        <v>0.63038461538461543</v>
      </c>
      <c r="L590" s="15">
        <f>IFERROR(INDEX(Cost_Components!$S$2:$S$27,MATCH(E590,Cost_Components!$A$2:$A$27,0)),"")</f>
        <v>0.31</v>
      </c>
      <c r="M590" s="26">
        <f>IFERROR(INDEX(Cost_Components!$L$2:$L$27,MATCH(E590,Cost_Components!$A$2:$A$27,0)),"")</f>
        <v>1</v>
      </c>
      <c r="N590" s="27">
        <f>IFERROR(INDEX(Cost_Components!$P$2:$P$27,MATCH(E590,Cost_Components!$A$2:$A$27,0)),"")</f>
        <v>186.479792</v>
      </c>
      <c r="O590" s="21">
        <f t="shared" si="91"/>
        <v>305607.48122663877</v>
      </c>
      <c r="P590" s="21">
        <f t="shared" si="92"/>
        <v>305594.41715631139</v>
      </c>
      <c r="Q590" s="21">
        <f t="shared" si="93"/>
        <v>17666026.837777756</v>
      </c>
      <c r="R590" s="21">
        <f t="shared" si="94"/>
        <v>35925379.390091814</v>
      </c>
      <c r="S590" s="21">
        <f t="shared" si="95"/>
        <v>18259352.552314058</v>
      </c>
      <c r="T590" s="14">
        <f>IFERROR(INDEX(Cost_Components!$R$2:$R$27,MATCH(E590,Cost_Components!$A$2:$A$27,0)),"")</f>
        <v>1</v>
      </c>
      <c r="U590" s="24">
        <f>IFERROR(INDEX(Cost_Components!$Q$2:$Q$27,MATCH(E590,Cost_Components!$A$2:$A$27,0)),"")</f>
        <v>2023</v>
      </c>
      <c r="V590" s="28">
        <f>1/(1+Calculation_Assumptions!$B$5)^(B590-Calculation_Assumptions!$B$2)</f>
        <v>0.62316693922011435</v>
      </c>
      <c r="W590" s="21">
        <f t="shared" si="96"/>
        <v>11008883.87267836</v>
      </c>
      <c r="X590" s="21">
        <f t="shared" si="97"/>
        <v>22387508.714844894</v>
      </c>
      <c r="Y590" s="21">
        <f t="shared" si="98"/>
        <v>11378624.842166534</v>
      </c>
      <c r="Z590" s="15">
        <f>IFERROR(INDEX(Cost_Components!$T$2:$T$27,MATCH(E590,Cost_Components!$A$2:$A$27,0)),"")</f>
        <v>0.8</v>
      </c>
      <c r="AA590" s="24">
        <f>IFERROR(INDEX(Cost_Components!$U$2:$U$27,MATCH(E590,Cost_Components!$A$2:$A$27,0)),"")</f>
        <v>2025</v>
      </c>
      <c r="AB590" s="24">
        <f>IFERROR(INDEX(Cost_Components!$V$2:$V$27,MATCH(E590,Cost_Components!$A$2:$A$27,0)),"")</f>
        <v>2050</v>
      </c>
      <c r="AC590" s="24">
        <f>IFERROR(INDEX(Cost_Components!$M$2:$M$27,MATCH(E590,Cost_Components!$A$2:$A$27,0)),"")</f>
        <v>30</v>
      </c>
      <c r="AD590" s="24">
        <f>IFERROR(INDEX(Cost_Components!$N$2:$N$27,MATCH(E590,Cost_Components!$A$2:$A$27,0)),"")</f>
        <v>95</v>
      </c>
      <c r="AE590" s="14" t="str">
        <f>IFERROR(INDEX(Cost_Components!$O$2:$O$27,MATCH(E590,Cost_Components!$A$2:$A$27,0)),"")</f>
        <v>Both</v>
      </c>
      <c r="AF590" s="11">
        <v>587706.69466661301</v>
      </c>
      <c r="AG590" s="11">
        <v>587681.57145444502</v>
      </c>
      <c r="AH590" s="21">
        <f t="shared" si="99"/>
        <v>1</v>
      </c>
    </row>
    <row r="591" spans="1:34" hidden="1">
      <c r="A591" t="s">
        <v>217</v>
      </c>
      <c r="B591" s="18">
        <v>2042</v>
      </c>
      <c r="C591" t="s">
        <v>217</v>
      </c>
      <c r="D591" t="s">
        <v>181</v>
      </c>
      <c r="E591" s="20" t="s">
        <v>313</v>
      </c>
      <c r="F591" s="20" t="s">
        <v>314</v>
      </c>
      <c r="G591" s="20" t="s">
        <v>221</v>
      </c>
      <c r="H591" s="20" t="s">
        <v>192</v>
      </c>
      <c r="I591" s="20" t="s">
        <v>167</v>
      </c>
      <c r="J591" s="15">
        <f>IFERROR(INDEX(Cost_Components!$K$2:$K$27,MATCH(E591,Cost_Components!$A$2:$A$27,0)),"")</f>
        <v>0.52</v>
      </c>
      <c r="K591" s="15">
        <f t="shared" si="90"/>
        <v>0.64923076923076928</v>
      </c>
      <c r="L591" s="15">
        <f>IFERROR(INDEX(Cost_Components!$S$2:$S$27,MATCH(E591,Cost_Components!$A$2:$A$27,0)),"")</f>
        <v>0.31</v>
      </c>
      <c r="M591" s="26">
        <f>IFERROR(INDEX(Cost_Components!$L$2:$L$27,MATCH(E591,Cost_Components!$A$2:$A$27,0)),"")</f>
        <v>1</v>
      </c>
      <c r="N591" s="27">
        <f>IFERROR(INDEX(Cost_Components!$P$2:$P$27,MATCH(E591,Cost_Components!$A$2:$A$27,0)),"")</f>
        <v>186.479792</v>
      </c>
      <c r="O591" s="21">
        <f t="shared" si="91"/>
        <v>311647.72987276036</v>
      </c>
      <c r="P591" s="21">
        <f t="shared" si="92"/>
        <v>311633.14190915506</v>
      </c>
      <c r="Q591" s="21">
        <f t="shared" si="93"/>
        <v>18015117.879892971</v>
      </c>
      <c r="R591" s="21">
        <f t="shared" si="94"/>
        <v>37730697.880222462</v>
      </c>
      <c r="S591" s="21">
        <f t="shared" si="95"/>
        <v>19715580.000329491</v>
      </c>
      <c r="T591" s="14">
        <f>IFERROR(INDEX(Cost_Components!$R$2:$R$27,MATCH(E591,Cost_Components!$A$2:$A$27,0)),"")</f>
        <v>1</v>
      </c>
      <c r="U591" s="24">
        <f>IFERROR(INDEX(Cost_Components!$Q$2:$Q$27,MATCH(E591,Cost_Components!$A$2:$A$27,0)),"")</f>
        <v>2023</v>
      </c>
      <c r="V591" s="28">
        <f>1/(1+Calculation_Assumptions!$B$5)^(B591-Calculation_Assumptions!$B$2)</f>
        <v>0.60501644584477121</v>
      </c>
      <c r="W591" s="21">
        <f t="shared" si="96"/>
        <v>10899442.591167435</v>
      </c>
      <c r="X591" s="21">
        <f t="shared" si="97"/>
        <v>22827692.730735037</v>
      </c>
      <c r="Y591" s="21">
        <f t="shared" si="98"/>
        <v>11928250.139567602</v>
      </c>
      <c r="Z591" s="15">
        <f>IFERROR(INDEX(Cost_Components!$T$2:$T$27,MATCH(E591,Cost_Components!$A$2:$A$27,0)),"")</f>
        <v>0.8</v>
      </c>
      <c r="AA591" s="24">
        <f>IFERROR(INDEX(Cost_Components!$U$2:$U$27,MATCH(E591,Cost_Components!$A$2:$A$27,0)),"")</f>
        <v>2025</v>
      </c>
      <c r="AB591" s="24">
        <f>IFERROR(INDEX(Cost_Components!$V$2:$V$27,MATCH(E591,Cost_Components!$A$2:$A$27,0)),"")</f>
        <v>2050</v>
      </c>
      <c r="AC591" s="24">
        <f>IFERROR(INDEX(Cost_Components!$M$2:$M$27,MATCH(E591,Cost_Components!$A$2:$A$27,0)),"")</f>
        <v>30</v>
      </c>
      <c r="AD591" s="24">
        <f>IFERROR(INDEX(Cost_Components!$N$2:$N$27,MATCH(E591,Cost_Components!$A$2:$A$27,0)),"")</f>
        <v>95</v>
      </c>
      <c r="AE591" s="14" t="str">
        <f>IFERROR(INDEX(Cost_Components!$O$2:$O$27,MATCH(E591,Cost_Components!$A$2:$A$27,0)),"")</f>
        <v>Both</v>
      </c>
      <c r="AF591" s="11">
        <v>599322.55744761601</v>
      </c>
      <c r="AG591" s="11">
        <v>599294.50367145205</v>
      </c>
      <c r="AH591" s="21">
        <f t="shared" si="99"/>
        <v>1</v>
      </c>
    </row>
    <row r="592" spans="1:34" hidden="1">
      <c r="A592" t="s">
        <v>217</v>
      </c>
      <c r="B592" s="18">
        <v>2043</v>
      </c>
      <c r="C592" t="s">
        <v>217</v>
      </c>
      <c r="D592" t="s">
        <v>181</v>
      </c>
      <c r="E592" s="20" t="s">
        <v>313</v>
      </c>
      <c r="F592" s="20" t="s">
        <v>314</v>
      </c>
      <c r="G592" s="20" t="s">
        <v>221</v>
      </c>
      <c r="H592" s="20" t="s">
        <v>192</v>
      </c>
      <c r="I592" s="20" t="s">
        <v>167</v>
      </c>
      <c r="J592" s="15">
        <f>IFERROR(INDEX(Cost_Components!$K$2:$K$27,MATCH(E592,Cost_Components!$A$2:$A$27,0)),"")</f>
        <v>0.52</v>
      </c>
      <c r="K592" s="15">
        <f t="shared" si="90"/>
        <v>0.66807692307692301</v>
      </c>
      <c r="L592" s="15">
        <f>IFERROR(INDEX(Cost_Components!$S$2:$S$27,MATCH(E592,Cost_Components!$A$2:$A$27,0)),"")</f>
        <v>0.31</v>
      </c>
      <c r="M592" s="26">
        <f>IFERROR(INDEX(Cost_Components!$L$2:$L$27,MATCH(E592,Cost_Components!$A$2:$A$27,0)),"")</f>
        <v>1</v>
      </c>
      <c r="N592" s="27">
        <f>IFERROR(INDEX(Cost_Components!$P$2:$P$27,MATCH(E592,Cost_Components!$A$2:$A$27,0)),"")</f>
        <v>186.479792</v>
      </c>
      <c r="O592" s="21">
        <f t="shared" si="91"/>
        <v>317575.43204242026</v>
      </c>
      <c r="P592" s="21">
        <f t="shared" si="92"/>
        <v>317559.22980712372</v>
      </c>
      <c r="Q592" s="21">
        <f t="shared" si="93"/>
        <v>18357697.527854916</v>
      </c>
      <c r="R592" s="21">
        <f t="shared" si="94"/>
        <v>39564451.034082927</v>
      </c>
      <c r="S592" s="21">
        <f t="shared" si="95"/>
        <v>21206753.506228011</v>
      </c>
      <c r="T592" s="14">
        <f>IFERROR(INDEX(Cost_Components!$R$2:$R$27,MATCH(E592,Cost_Components!$A$2:$A$27,0)),"")</f>
        <v>1</v>
      </c>
      <c r="U592" s="24">
        <f>IFERROR(INDEX(Cost_Components!$Q$2:$Q$27,MATCH(E592,Cost_Components!$A$2:$A$27,0)),"")</f>
        <v>2023</v>
      </c>
      <c r="V592" s="28">
        <f>1/(1+Calculation_Assumptions!$B$5)^(B592-Calculation_Assumptions!$B$2)</f>
        <v>0.5873946076162827</v>
      </c>
      <c r="W592" s="21">
        <f t="shared" si="96"/>
        <v>10783212.536112741</v>
      </c>
      <c r="X592" s="21">
        <f t="shared" si="97"/>
        <v>23239945.19071877</v>
      </c>
      <c r="Y592" s="21">
        <f t="shared" si="98"/>
        <v>12456732.654606029</v>
      </c>
      <c r="Z592" s="15">
        <f>IFERROR(INDEX(Cost_Components!$T$2:$T$27,MATCH(E592,Cost_Components!$A$2:$A$27,0)),"")</f>
        <v>0.8</v>
      </c>
      <c r="AA592" s="24">
        <f>IFERROR(INDEX(Cost_Components!$U$2:$U$27,MATCH(E592,Cost_Components!$A$2:$A$27,0)),"")</f>
        <v>2025</v>
      </c>
      <c r="AB592" s="24">
        <f>IFERROR(INDEX(Cost_Components!$V$2:$V$27,MATCH(E592,Cost_Components!$A$2:$A$27,0)),"")</f>
        <v>2050</v>
      </c>
      <c r="AC592" s="24">
        <f>IFERROR(INDEX(Cost_Components!$M$2:$M$27,MATCH(E592,Cost_Components!$A$2:$A$27,0)),"")</f>
        <v>30</v>
      </c>
      <c r="AD592" s="24">
        <f>IFERROR(INDEX(Cost_Components!$N$2:$N$27,MATCH(E592,Cost_Components!$A$2:$A$27,0)),"")</f>
        <v>95</v>
      </c>
      <c r="AE592" s="14" t="str">
        <f>IFERROR(INDEX(Cost_Components!$O$2:$O$27,MATCH(E592,Cost_Components!$A$2:$A$27,0)),"")</f>
        <v>Both</v>
      </c>
      <c r="AF592" s="11">
        <v>610721.98469696206</v>
      </c>
      <c r="AG592" s="11">
        <v>610690.82655216102</v>
      </c>
      <c r="AH592" s="21">
        <f t="shared" si="99"/>
        <v>1</v>
      </c>
    </row>
    <row r="593" spans="1:34" hidden="1">
      <c r="A593" t="s">
        <v>217</v>
      </c>
      <c r="B593" s="18">
        <v>2044</v>
      </c>
      <c r="C593" t="s">
        <v>217</v>
      </c>
      <c r="D593" t="s">
        <v>181</v>
      </c>
      <c r="E593" s="20" t="s">
        <v>313</v>
      </c>
      <c r="F593" s="20" t="s">
        <v>314</v>
      </c>
      <c r="G593" s="20" t="s">
        <v>221</v>
      </c>
      <c r="H593" s="20" t="s">
        <v>192</v>
      </c>
      <c r="I593" s="20" t="s">
        <v>167</v>
      </c>
      <c r="J593" s="15">
        <f>IFERROR(INDEX(Cost_Components!$K$2:$K$27,MATCH(E593,Cost_Components!$A$2:$A$27,0)),"")</f>
        <v>0.52</v>
      </c>
      <c r="K593" s="15">
        <f t="shared" si="90"/>
        <v>0.68692307692307697</v>
      </c>
      <c r="L593" s="15">
        <f>IFERROR(INDEX(Cost_Components!$S$2:$S$27,MATCH(E593,Cost_Components!$A$2:$A$27,0)),"")</f>
        <v>0.31</v>
      </c>
      <c r="M593" s="26">
        <f>IFERROR(INDEX(Cost_Components!$L$2:$L$27,MATCH(E593,Cost_Components!$A$2:$A$27,0)),"")</f>
        <v>1</v>
      </c>
      <c r="N593" s="27">
        <f>IFERROR(INDEX(Cost_Components!$P$2:$P$27,MATCH(E593,Cost_Components!$A$2:$A$27,0)),"")</f>
        <v>186.479792</v>
      </c>
      <c r="O593" s="21">
        <f t="shared" si="91"/>
        <v>323382.69262743805</v>
      </c>
      <c r="P593" s="21">
        <f t="shared" si="92"/>
        <v>323364.78795374313</v>
      </c>
      <c r="Q593" s="21">
        <f t="shared" si="93"/>
        <v>18693309.503298819</v>
      </c>
      <c r="R593" s="21">
        <f t="shared" si="94"/>
        <v>41424440.900773212</v>
      </c>
      <c r="S593" s="21">
        <f t="shared" si="95"/>
        <v>22731131.397474393</v>
      </c>
      <c r="T593" s="14">
        <f>IFERROR(INDEX(Cost_Components!$R$2:$R$27,MATCH(E593,Cost_Components!$A$2:$A$27,0)),"")</f>
        <v>1</v>
      </c>
      <c r="U593" s="24">
        <f>IFERROR(INDEX(Cost_Components!$Q$2:$Q$27,MATCH(E593,Cost_Components!$A$2:$A$27,0)),"")</f>
        <v>2023</v>
      </c>
      <c r="V593" s="28">
        <f>1/(1+Calculation_Assumptions!$B$5)^(B593-Calculation_Assumptions!$B$2)</f>
        <v>0.57028602681192497</v>
      </c>
      <c r="W593" s="21">
        <f t="shared" si="96"/>
        <v>10660533.204601882</v>
      </c>
      <c r="X593" s="21">
        <f t="shared" si="97"/>
        <v>23623779.814207353</v>
      </c>
      <c r="Y593" s="21">
        <f t="shared" si="98"/>
        <v>12963246.609605471</v>
      </c>
      <c r="Z593" s="15">
        <f>IFERROR(INDEX(Cost_Components!$T$2:$T$27,MATCH(E593,Cost_Components!$A$2:$A$27,0)),"")</f>
        <v>0.8</v>
      </c>
      <c r="AA593" s="24">
        <f>IFERROR(INDEX(Cost_Components!$U$2:$U$27,MATCH(E593,Cost_Components!$A$2:$A$27,0)),"")</f>
        <v>2025</v>
      </c>
      <c r="AB593" s="24">
        <f>IFERROR(INDEX(Cost_Components!$V$2:$V$27,MATCH(E593,Cost_Components!$A$2:$A$27,0)),"")</f>
        <v>2050</v>
      </c>
      <c r="AC593" s="24">
        <f>IFERROR(INDEX(Cost_Components!$M$2:$M$27,MATCH(E593,Cost_Components!$A$2:$A$27,0)),"")</f>
        <v>30</v>
      </c>
      <c r="AD593" s="24">
        <f>IFERROR(INDEX(Cost_Components!$N$2:$N$27,MATCH(E593,Cost_Components!$A$2:$A$27,0)),"")</f>
        <v>95</v>
      </c>
      <c r="AE593" s="14" t="str">
        <f>IFERROR(INDEX(Cost_Components!$O$2:$O$27,MATCH(E593,Cost_Components!$A$2:$A$27,0)),"")</f>
        <v>Both</v>
      </c>
      <c r="AF593" s="11">
        <v>621889.79351430398</v>
      </c>
      <c r="AG593" s="11">
        <v>621855.36144950602</v>
      </c>
      <c r="AH593" s="21">
        <f t="shared" si="99"/>
        <v>1</v>
      </c>
    </row>
    <row r="594" spans="1:34" hidden="1">
      <c r="A594" t="s">
        <v>217</v>
      </c>
      <c r="B594" s="18">
        <v>2045</v>
      </c>
      <c r="C594" t="s">
        <v>217</v>
      </c>
      <c r="D594" t="s">
        <v>181</v>
      </c>
      <c r="E594" s="20" t="s">
        <v>313</v>
      </c>
      <c r="F594" s="20" t="s">
        <v>314</v>
      </c>
      <c r="G594" s="20" t="s">
        <v>221</v>
      </c>
      <c r="H594" s="20" t="s">
        <v>192</v>
      </c>
      <c r="I594" s="20" t="s">
        <v>167</v>
      </c>
      <c r="J594" s="15">
        <f>IFERROR(INDEX(Cost_Components!$K$2:$K$27,MATCH(E594,Cost_Components!$A$2:$A$27,0)),"")</f>
        <v>0.52</v>
      </c>
      <c r="K594" s="15">
        <f t="shared" si="90"/>
        <v>0.70576923076923082</v>
      </c>
      <c r="L594" s="15">
        <f>IFERROR(INDEX(Cost_Components!$S$2:$S$27,MATCH(E594,Cost_Components!$A$2:$A$27,0)),"")</f>
        <v>0.31</v>
      </c>
      <c r="M594" s="26">
        <f>IFERROR(INDEX(Cost_Components!$L$2:$L$27,MATCH(E594,Cost_Components!$A$2:$A$27,0)),"")</f>
        <v>1</v>
      </c>
      <c r="N594" s="27">
        <f>IFERROR(INDEX(Cost_Components!$P$2:$P$27,MATCH(E594,Cost_Components!$A$2:$A$27,0)),"")</f>
        <v>186.479792</v>
      </c>
      <c r="O594" s="21">
        <f t="shared" si="91"/>
        <v>328994.50130450592</v>
      </c>
      <c r="P594" s="21">
        <f t="shared" si="92"/>
        <v>328974.81033502077</v>
      </c>
      <c r="Q594" s="21">
        <f t="shared" si="93"/>
        <v>19017617.803399377</v>
      </c>
      <c r="R594" s="21">
        <f t="shared" si="94"/>
        <v>43299525.394757181</v>
      </c>
      <c r="S594" s="21">
        <f t="shared" si="95"/>
        <v>24281907.591357805</v>
      </c>
      <c r="T594" s="14">
        <f>IFERROR(INDEX(Cost_Components!$R$2:$R$27,MATCH(E594,Cost_Components!$A$2:$A$27,0)),"")</f>
        <v>1</v>
      </c>
      <c r="U594" s="24">
        <f>IFERROR(INDEX(Cost_Components!$Q$2:$Q$27,MATCH(E594,Cost_Components!$A$2:$A$27,0)),"")</f>
        <v>2023</v>
      </c>
      <c r="V594" s="28">
        <f>1/(1+Calculation_Assumptions!$B$5)^(B594-Calculation_Assumptions!$B$2)</f>
        <v>0.55367575418633497</v>
      </c>
      <c r="W594" s="21">
        <f t="shared" si="96"/>
        <v>10529593.880124621</v>
      </c>
      <c r="X594" s="21">
        <f t="shared" si="97"/>
        <v>23973897.378852546</v>
      </c>
      <c r="Y594" s="21">
        <f t="shared" si="98"/>
        <v>13444303.498727925</v>
      </c>
      <c r="Z594" s="15">
        <f>IFERROR(INDEX(Cost_Components!$T$2:$T$27,MATCH(E594,Cost_Components!$A$2:$A$27,0)),"")</f>
        <v>0.8</v>
      </c>
      <c r="AA594" s="24">
        <f>IFERROR(INDEX(Cost_Components!$U$2:$U$27,MATCH(E594,Cost_Components!$A$2:$A$27,0)),"")</f>
        <v>2025</v>
      </c>
      <c r="AB594" s="24">
        <f>IFERROR(INDEX(Cost_Components!$V$2:$V$27,MATCH(E594,Cost_Components!$A$2:$A$27,0)),"")</f>
        <v>2050</v>
      </c>
      <c r="AC594" s="24">
        <f>IFERROR(INDEX(Cost_Components!$M$2:$M$27,MATCH(E594,Cost_Components!$A$2:$A$27,0)),"")</f>
        <v>30</v>
      </c>
      <c r="AD594" s="24">
        <f>IFERROR(INDEX(Cost_Components!$N$2:$N$27,MATCH(E594,Cost_Components!$A$2:$A$27,0)),"")</f>
        <v>95</v>
      </c>
      <c r="AE594" s="14" t="str">
        <f>IFERROR(INDEX(Cost_Components!$O$2:$O$27,MATCH(E594,Cost_Components!$A$2:$A$27,0)),"")</f>
        <v>Both</v>
      </c>
      <c r="AF594" s="11">
        <v>632681.73327789595</v>
      </c>
      <c r="AG594" s="11">
        <v>632643.86602888606</v>
      </c>
      <c r="AH594" s="21">
        <f t="shared" si="99"/>
        <v>1</v>
      </c>
    </row>
    <row r="595" spans="1:34" hidden="1">
      <c r="A595" t="s">
        <v>217</v>
      </c>
      <c r="B595" s="18">
        <v>2046</v>
      </c>
      <c r="C595" t="s">
        <v>217</v>
      </c>
      <c r="D595" t="s">
        <v>181</v>
      </c>
      <c r="E595" s="20" t="s">
        <v>313</v>
      </c>
      <c r="F595" s="20" t="s">
        <v>314</v>
      </c>
      <c r="G595" s="20" t="s">
        <v>221</v>
      </c>
      <c r="H595" s="20" t="s">
        <v>192</v>
      </c>
      <c r="I595" s="20" t="s">
        <v>167</v>
      </c>
      <c r="J595" s="15">
        <f>IFERROR(INDEX(Cost_Components!$K$2:$K$27,MATCH(E595,Cost_Components!$A$2:$A$27,0)),"")</f>
        <v>0.52</v>
      </c>
      <c r="K595" s="15">
        <f t="shared" si="90"/>
        <v>0.72461538461538466</v>
      </c>
      <c r="L595" s="15">
        <f>IFERROR(INDEX(Cost_Components!$S$2:$S$27,MATCH(E595,Cost_Components!$A$2:$A$27,0)),"")</f>
        <v>0.31</v>
      </c>
      <c r="M595" s="26">
        <f>IFERROR(INDEX(Cost_Components!$L$2:$L$27,MATCH(E595,Cost_Components!$A$2:$A$27,0)),"")</f>
        <v>1</v>
      </c>
      <c r="N595" s="27">
        <f>IFERROR(INDEX(Cost_Components!$P$2:$P$27,MATCH(E595,Cost_Components!$A$2:$A$27,0)),"")</f>
        <v>186.479792</v>
      </c>
      <c r="O595" s="21">
        <f t="shared" si="91"/>
        <v>334386.33778951183</v>
      </c>
      <c r="P595" s="21">
        <f t="shared" si="92"/>
        <v>334364.7812489504</v>
      </c>
      <c r="Q595" s="21">
        <f t="shared" si="93"/>
        <v>19329205.20642323</v>
      </c>
      <c r="R595" s="21">
        <f t="shared" si="94"/>
        <v>45184330.480730288</v>
      </c>
      <c r="S595" s="21">
        <f t="shared" si="95"/>
        <v>25855125.274307057</v>
      </c>
      <c r="T595" s="14">
        <f>IFERROR(INDEX(Cost_Components!$R$2:$R$27,MATCH(E595,Cost_Components!$A$2:$A$27,0)),"")</f>
        <v>1</v>
      </c>
      <c r="U595" s="24">
        <f>IFERROR(INDEX(Cost_Components!$Q$2:$Q$27,MATCH(E595,Cost_Components!$A$2:$A$27,0)),"")</f>
        <v>2023</v>
      </c>
      <c r="V595" s="28">
        <f>1/(1+Calculation_Assumptions!$B$5)^(B595-Calculation_Assumptions!$B$2)</f>
        <v>0.5375492759090631</v>
      </c>
      <c r="W595" s="21">
        <f t="shared" si="96"/>
        <v>10390400.262610501</v>
      </c>
      <c r="X595" s="21">
        <f t="shared" si="97"/>
        <v>24288804.132352374</v>
      </c>
      <c r="Y595" s="21">
        <f t="shared" si="98"/>
        <v>13898403.869741876</v>
      </c>
      <c r="Z595" s="15">
        <f>IFERROR(INDEX(Cost_Components!$T$2:$T$27,MATCH(E595,Cost_Components!$A$2:$A$27,0)),"")</f>
        <v>0.8</v>
      </c>
      <c r="AA595" s="24">
        <f>IFERROR(INDEX(Cost_Components!$U$2:$U$27,MATCH(E595,Cost_Components!$A$2:$A$27,0)),"")</f>
        <v>2025</v>
      </c>
      <c r="AB595" s="24">
        <f>IFERROR(INDEX(Cost_Components!$V$2:$V$27,MATCH(E595,Cost_Components!$A$2:$A$27,0)),"")</f>
        <v>2050</v>
      </c>
      <c r="AC595" s="24">
        <f>IFERROR(INDEX(Cost_Components!$M$2:$M$27,MATCH(E595,Cost_Components!$A$2:$A$27,0)),"")</f>
        <v>30</v>
      </c>
      <c r="AD595" s="24">
        <f>IFERROR(INDEX(Cost_Components!$N$2:$N$27,MATCH(E595,Cost_Components!$A$2:$A$27,0)),"")</f>
        <v>95</v>
      </c>
      <c r="AE595" s="14" t="str">
        <f>IFERROR(INDEX(Cost_Components!$O$2:$O$27,MATCH(E595,Cost_Components!$A$2:$A$27,0)),"")</f>
        <v>Both</v>
      </c>
      <c r="AF595" s="11">
        <v>643050.64959521499</v>
      </c>
      <c r="AG595" s="11">
        <v>643009.19470951997</v>
      </c>
      <c r="AH595" s="21">
        <f t="shared" si="99"/>
        <v>1</v>
      </c>
    </row>
    <row r="596" spans="1:34" hidden="1">
      <c r="A596" t="s">
        <v>217</v>
      </c>
      <c r="B596" s="18">
        <v>2047</v>
      </c>
      <c r="C596" t="s">
        <v>217</v>
      </c>
      <c r="D596" t="s">
        <v>181</v>
      </c>
      <c r="E596" s="20" t="s">
        <v>313</v>
      </c>
      <c r="F596" s="20" t="s">
        <v>314</v>
      </c>
      <c r="G596" s="20" t="s">
        <v>221</v>
      </c>
      <c r="H596" s="20" t="s">
        <v>192</v>
      </c>
      <c r="I596" s="20" t="s">
        <v>167</v>
      </c>
      <c r="J596" s="15">
        <f>IFERROR(INDEX(Cost_Components!$K$2:$K$27,MATCH(E596,Cost_Components!$A$2:$A$27,0)),"")</f>
        <v>0.52</v>
      </c>
      <c r="K596" s="15">
        <f t="shared" si="90"/>
        <v>0.74346153846153851</v>
      </c>
      <c r="L596" s="15">
        <f>IFERROR(INDEX(Cost_Components!$S$2:$S$27,MATCH(E596,Cost_Components!$A$2:$A$27,0)),"")</f>
        <v>0.31</v>
      </c>
      <c r="M596" s="26">
        <f>IFERROR(INDEX(Cost_Components!$L$2:$L$27,MATCH(E596,Cost_Components!$A$2:$A$27,0)),"")</f>
        <v>1</v>
      </c>
      <c r="N596" s="27">
        <f>IFERROR(INDEX(Cost_Components!$P$2:$P$27,MATCH(E596,Cost_Components!$A$2:$A$27,0)),"")</f>
        <v>186.479792</v>
      </c>
      <c r="O596" s="21">
        <f t="shared" si="91"/>
        <v>339565.12429246737</v>
      </c>
      <c r="P596" s="21">
        <f t="shared" si="92"/>
        <v>339541.62808561377</v>
      </c>
      <c r="Q596" s="21">
        <f t="shared" si="93"/>
        <v>19628472.176031452</v>
      </c>
      <c r="R596" s="21">
        <f t="shared" si="94"/>
        <v>47077496.629183285</v>
      </c>
      <c r="S596" s="21">
        <f t="shared" si="95"/>
        <v>27449024.453151833</v>
      </c>
      <c r="T596" s="14">
        <f>IFERROR(INDEX(Cost_Components!$R$2:$R$27,MATCH(E596,Cost_Components!$A$2:$A$27,0)),"")</f>
        <v>1</v>
      </c>
      <c r="U596" s="24">
        <f>IFERROR(INDEX(Cost_Components!$Q$2:$Q$27,MATCH(E596,Cost_Components!$A$2:$A$27,0)),"")</f>
        <v>2023</v>
      </c>
      <c r="V596" s="28">
        <f>1/(1+Calculation_Assumptions!$B$5)^(B596-Calculation_Assumptions!$B$2)</f>
        <v>0.52189250088258554</v>
      </c>
      <c r="W596" s="21">
        <f t="shared" si="96"/>
        <v>10243952.432453301</v>
      </c>
      <c r="X596" s="21">
        <f t="shared" si="97"/>
        <v>24569392.451095954</v>
      </c>
      <c r="Y596" s="21">
        <f t="shared" si="98"/>
        <v>14325440.018642655</v>
      </c>
      <c r="Z596" s="15">
        <f>IFERROR(INDEX(Cost_Components!$T$2:$T$27,MATCH(E596,Cost_Components!$A$2:$A$27,0)),"")</f>
        <v>0.8</v>
      </c>
      <c r="AA596" s="24">
        <f>IFERROR(INDEX(Cost_Components!$U$2:$U$27,MATCH(E596,Cost_Components!$A$2:$A$27,0)),"")</f>
        <v>2025</v>
      </c>
      <c r="AB596" s="24">
        <f>IFERROR(INDEX(Cost_Components!$V$2:$V$27,MATCH(E596,Cost_Components!$A$2:$A$27,0)),"")</f>
        <v>2050</v>
      </c>
      <c r="AC596" s="24">
        <f>IFERROR(INDEX(Cost_Components!$M$2:$M$27,MATCH(E596,Cost_Components!$A$2:$A$27,0)),"")</f>
        <v>30</v>
      </c>
      <c r="AD596" s="24">
        <f>IFERROR(INDEX(Cost_Components!$N$2:$N$27,MATCH(E596,Cost_Components!$A$2:$A$27,0)),"")</f>
        <v>95</v>
      </c>
      <c r="AE596" s="14" t="str">
        <f>IFERROR(INDEX(Cost_Components!$O$2:$O$27,MATCH(E596,Cost_Components!$A$2:$A$27,0)),"")</f>
        <v>Both</v>
      </c>
      <c r="AF596" s="11">
        <v>653009.85440859105</v>
      </c>
      <c r="AG596" s="11">
        <v>652964.66939541104</v>
      </c>
      <c r="AH596" s="21">
        <f t="shared" si="99"/>
        <v>1</v>
      </c>
    </row>
    <row r="597" spans="1:34" hidden="1">
      <c r="A597" t="s">
        <v>217</v>
      </c>
      <c r="B597" s="18">
        <v>2048</v>
      </c>
      <c r="C597" t="s">
        <v>217</v>
      </c>
      <c r="D597" t="s">
        <v>181</v>
      </c>
      <c r="E597" s="20" t="s">
        <v>313</v>
      </c>
      <c r="F597" s="20" t="s">
        <v>314</v>
      </c>
      <c r="G597" s="20" t="s">
        <v>221</v>
      </c>
      <c r="H597" s="20" t="s">
        <v>192</v>
      </c>
      <c r="I597" s="20" t="s">
        <v>167</v>
      </c>
      <c r="J597" s="15">
        <f>IFERROR(INDEX(Cost_Components!$K$2:$K$27,MATCH(E597,Cost_Components!$A$2:$A$27,0)),"")</f>
        <v>0.52</v>
      </c>
      <c r="K597" s="15">
        <f t="shared" si="90"/>
        <v>0.76230769230769235</v>
      </c>
      <c r="L597" s="15">
        <f>IFERROR(INDEX(Cost_Components!$S$2:$S$27,MATCH(E597,Cost_Components!$A$2:$A$27,0)),"")</f>
        <v>0.31</v>
      </c>
      <c r="M597" s="26">
        <f>IFERROR(INDEX(Cost_Components!$L$2:$L$27,MATCH(E597,Cost_Components!$A$2:$A$27,0)),"")</f>
        <v>1</v>
      </c>
      <c r="N597" s="27">
        <f>IFERROR(INDEX(Cost_Components!$P$2:$P$27,MATCH(E597,Cost_Components!$A$2:$A$27,0)),"")</f>
        <v>186.479792</v>
      </c>
      <c r="O597" s="21">
        <f t="shared" si="91"/>
        <v>344548.57424426608</v>
      </c>
      <c r="P597" s="21">
        <f t="shared" si="92"/>
        <v>344523.06974311359</v>
      </c>
      <c r="Q597" s="21">
        <f t="shared" si="93"/>
        <v>19916443.019318167</v>
      </c>
      <c r="R597" s="21">
        <f t="shared" si="94"/>
        <v>48979295.646797381</v>
      </c>
      <c r="S597" s="21">
        <f t="shared" si="95"/>
        <v>29062852.627479214</v>
      </c>
      <c r="T597" s="14">
        <f>IFERROR(INDEX(Cost_Components!$R$2:$R$27,MATCH(E597,Cost_Components!$A$2:$A$27,0)),"")</f>
        <v>1</v>
      </c>
      <c r="U597" s="24">
        <f>IFERROR(INDEX(Cost_Components!$Q$2:$Q$27,MATCH(E597,Cost_Components!$A$2:$A$27,0)),"")</f>
        <v>2023</v>
      </c>
      <c r="V597" s="28">
        <f>1/(1+Calculation_Assumptions!$B$5)^(B597-Calculation_Assumptions!$B$2)</f>
        <v>0.50669174842969467</v>
      </c>
      <c r="W597" s="21">
        <f t="shared" si="96"/>
        <v>10091497.33595871</v>
      </c>
      <c r="X597" s="21">
        <f t="shared" si="97"/>
        <v>24817404.948130697</v>
      </c>
      <c r="Y597" s="21">
        <f t="shared" si="98"/>
        <v>14725907.612171989</v>
      </c>
      <c r="Z597" s="15">
        <f>IFERROR(INDEX(Cost_Components!$T$2:$T$27,MATCH(E597,Cost_Components!$A$2:$A$27,0)),"")</f>
        <v>0.8</v>
      </c>
      <c r="AA597" s="24">
        <f>IFERROR(INDEX(Cost_Components!$U$2:$U$27,MATCH(E597,Cost_Components!$A$2:$A$27,0)),"")</f>
        <v>2025</v>
      </c>
      <c r="AB597" s="24">
        <f>IFERROR(INDEX(Cost_Components!$V$2:$V$27,MATCH(E597,Cost_Components!$A$2:$A$27,0)),"")</f>
        <v>2050</v>
      </c>
      <c r="AC597" s="24">
        <f>IFERROR(INDEX(Cost_Components!$M$2:$M$27,MATCH(E597,Cost_Components!$A$2:$A$27,0)),"")</f>
        <v>30</v>
      </c>
      <c r="AD597" s="24">
        <f>IFERROR(INDEX(Cost_Components!$N$2:$N$27,MATCH(E597,Cost_Components!$A$2:$A$27,0)),"")</f>
        <v>95</v>
      </c>
      <c r="AE597" s="14" t="str">
        <f>IFERROR(INDEX(Cost_Components!$O$2:$O$27,MATCH(E597,Cost_Components!$A$2:$A$27,0)),"")</f>
        <v>Both</v>
      </c>
      <c r="AF597" s="11">
        <v>662593.41200820403</v>
      </c>
      <c r="AG597" s="11">
        <v>662544.364890603</v>
      </c>
      <c r="AH597" s="21">
        <f t="shared" si="99"/>
        <v>1</v>
      </c>
    </row>
    <row r="598" spans="1:34" hidden="1">
      <c r="A598" t="s">
        <v>217</v>
      </c>
      <c r="B598" s="18">
        <v>2049</v>
      </c>
      <c r="C598" t="s">
        <v>217</v>
      </c>
      <c r="D598" t="s">
        <v>181</v>
      </c>
      <c r="E598" s="20" t="s">
        <v>313</v>
      </c>
      <c r="F598" s="20" t="s">
        <v>314</v>
      </c>
      <c r="G598" s="20" t="s">
        <v>221</v>
      </c>
      <c r="H598" s="20" t="s">
        <v>192</v>
      </c>
      <c r="I598" s="20" t="s">
        <v>167</v>
      </c>
      <c r="J598" s="15">
        <f>IFERROR(INDEX(Cost_Components!$K$2:$K$27,MATCH(E598,Cost_Components!$A$2:$A$27,0)),"")</f>
        <v>0.52</v>
      </c>
      <c r="K598" s="15">
        <f t="shared" si="90"/>
        <v>0.7811538461538462</v>
      </c>
      <c r="L598" s="15">
        <f>IFERROR(INDEX(Cost_Components!$S$2:$S$27,MATCH(E598,Cost_Components!$A$2:$A$27,0)),"")</f>
        <v>0.31</v>
      </c>
      <c r="M598" s="26">
        <f>IFERROR(INDEX(Cost_Components!$L$2:$L$27,MATCH(E598,Cost_Components!$A$2:$A$27,0)),"")</f>
        <v>1</v>
      </c>
      <c r="N598" s="27">
        <f>IFERROR(INDEX(Cost_Components!$P$2:$P$27,MATCH(E598,Cost_Components!$A$2:$A$27,0)),"")</f>
        <v>186.479792</v>
      </c>
      <c r="O598" s="21">
        <f t="shared" si="91"/>
        <v>349362.61028747412</v>
      </c>
      <c r="P598" s="21">
        <f t="shared" si="92"/>
        <v>349335.03109550657</v>
      </c>
      <c r="Q598" s="21">
        <f t="shared" si="93"/>
        <v>20194616.420471117</v>
      </c>
      <c r="R598" s="21">
        <f t="shared" si="94"/>
        <v>50891444.181476548</v>
      </c>
      <c r="S598" s="21">
        <f t="shared" si="95"/>
        <v>30696827.761005431</v>
      </c>
      <c r="T598" s="14">
        <f>IFERROR(INDEX(Cost_Components!$R$2:$R$27,MATCH(E598,Cost_Components!$A$2:$A$27,0)),"")</f>
        <v>1</v>
      </c>
      <c r="U598" s="24">
        <f>IFERROR(INDEX(Cost_Components!$Q$2:$Q$27,MATCH(E598,Cost_Components!$A$2:$A$27,0)),"")</f>
        <v>2023</v>
      </c>
      <c r="V598" s="28">
        <f>1/(1+Calculation_Assumptions!$B$5)^(B598-Calculation_Assumptions!$B$2)</f>
        <v>0.49193373633950943</v>
      </c>
      <c r="W598" s="21">
        <f t="shared" si="96"/>
        <v>9934413.1096655671</v>
      </c>
      <c r="X598" s="21">
        <f t="shared" si="97"/>
        <v>25035218.283907346</v>
      </c>
      <c r="Y598" s="21">
        <f t="shared" si="98"/>
        <v>15100805.174241779</v>
      </c>
      <c r="Z598" s="15">
        <f>IFERROR(INDEX(Cost_Components!$T$2:$T$27,MATCH(E598,Cost_Components!$A$2:$A$27,0)),"")</f>
        <v>0.8</v>
      </c>
      <c r="AA598" s="24">
        <f>IFERROR(INDEX(Cost_Components!$U$2:$U$27,MATCH(E598,Cost_Components!$A$2:$A$27,0)),"")</f>
        <v>2025</v>
      </c>
      <c r="AB598" s="24">
        <f>IFERROR(INDEX(Cost_Components!$V$2:$V$27,MATCH(E598,Cost_Components!$A$2:$A$27,0)),"")</f>
        <v>2050</v>
      </c>
      <c r="AC598" s="24">
        <f>IFERROR(INDEX(Cost_Components!$M$2:$M$27,MATCH(E598,Cost_Components!$A$2:$A$27,0)),"")</f>
        <v>30</v>
      </c>
      <c r="AD598" s="24">
        <f>IFERROR(INDEX(Cost_Components!$N$2:$N$27,MATCH(E598,Cost_Components!$A$2:$A$27,0)),"")</f>
        <v>95</v>
      </c>
      <c r="AE598" s="14" t="str">
        <f>IFERROR(INDEX(Cost_Components!$O$2:$O$27,MATCH(E598,Cost_Components!$A$2:$A$27,0)),"")</f>
        <v>Both</v>
      </c>
      <c r="AF598" s="11">
        <v>671851.17362975795</v>
      </c>
      <c r="AG598" s="11">
        <v>671798.13672212802</v>
      </c>
      <c r="AH598" s="21">
        <f t="shared" si="99"/>
        <v>1</v>
      </c>
    </row>
    <row r="599" spans="1:34" hidden="1">
      <c r="A599" t="s">
        <v>217</v>
      </c>
      <c r="B599" s="18">
        <v>2050</v>
      </c>
      <c r="C599" t="s">
        <v>217</v>
      </c>
      <c r="D599" t="s">
        <v>181</v>
      </c>
      <c r="E599" s="20" t="s">
        <v>313</v>
      </c>
      <c r="F599" s="20" t="s">
        <v>314</v>
      </c>
      <c r="G599" s="20" t="s">
        <v>221</v>
      </c>
      <c r="H599" s="20" t="s">
        <v>192</v>
      </c>
      <c r="I599" s="20" t="s">
        <v>167</v>
      </c>
      <c r="J599" s="15">
        <f>IFERROR(INDEX(Cost_Components!$K$2:$K$27,MATCH(E599,Cost_Components!$A$2:$A$27,0)),"")</f>
        <v>0.52</v>
      </c>
      <c r="K599" s="15">
        <f t="shared" si="90"/>
        <v>0.8</v>
      </c>
      <c r="L599" s="15">
        <f>IFERROR(INDEX(Cost_Components!$S$2:$S$27,MATCH(E599,Cost_Components!$A$2:$A$27,0)),"")</f>
        <v>0.31</v>
      </c>
      <c r="M599" s="26">
        <f>IFERROR(INDEX(Cost_Components!$L$2:$L$27,MATCH(E599,Cost_Components!$A$2:$A$27,0)),"")</f>
        <v>1</v>
      </c>
      <c r="N599" s="27">
        <f>IFERROR(INDEX(Cost_Components!$P$2:$P$27,MATCH(E599,Cost_Components!$A$2:$A$27,0)),"")</f>
        <v>186.479792</v>
      </c>
      <c r="O599" s="21">
        <f t="shared" si="91"/>
        <v>354058.53273970971</v>
      </c>
      <c r="P599" s="21">
        <f t="shared" si="92"/>
        <v>354028.81306537683</v>
      </c>
      <c r="Q599" s="21">
        <f t="shared" si="93"/>
        <v>20465958.02095589</v>
      </c>
      <c r="R599" s="21">
        <f t="shared" si="94"/>
        <v>52819809.232901007</v>
      </c>
      <c r="S599" s="21">
        <f t="shared" si="95"/>
        <v>32353851.211945117</v>
      </c>
      <c r="T599" s="14">
        <f>IFERROR(INDEX(Cost_Components!$R$2:$R$27,MATCH(E599,Cost_Components!$A$2:$A$27,0)),"")</f>
        <v>1</v>
      </c>
      <c r="U599" s="24">
        <f>IFERROR(INDEX(Cost_Components!$Q$2:$Q$27,MATCH(E599,Cost_Components!$A$2:$A$27,0)),"")</f>
        <v>2023</v>
      </c>
      <c r="V599" s="28">
        <f>1/(1+Calculation_Assumptions!$B$5)^(B599-Calculation_Assumptions!$B$2)</f>
        <v>0.47760556926165965</v>
      </c>
      <c r="W599" s="21">
        <f t="shared" si="96"/>
        <v>9774655.531083867</v>
      </c>
      <c r="X599" s="21">
        <f t="shared" si="97"/>
        <v>25227035.056971952</v>
      </c>
      <c r="Y599" s="21">
        <f t="shared" si="98"/>
        <v>15452379.525888084</v>
      </c>
      <c r="Z599" s="15">
        <f>IFERROR(INDEX(Cost_Components!$T$2:$T$27,MATCH(E599,Cost_Components!$A$2:$A$27,0)),"")</f>
        <v>0.8</v>
      </c>
      <c r="AA599" s="24">
        <f>IFERROR(INDEX(Cost_Components!$U$2:$U$27,MATCH(E599,Cost_Components!$A$2:$A$27,0)),"")</f>
        <v>2025</v>
      </c>
      <c r="AB599" s="24">
        <f>IFERROR(INDEX(Cost_Components!$V$2:$V$27,MATCH(E599,Cost_Components!$A$2:$A$27,0)),"")</f>
        <v>2050</v>
      </c>
      <c r="AC599" s="24">
        <f>IFERROR(INDEX(Cost_Components!$M$2:$M$27,MATCH(E599,Cost_Components!$A$2:$A$27,0)),"")</f>
        <v>30</v>
      </c>
      <c r="AD599" s="24">
        <f>IFERROR(INDEX(Cost_Components!$N$2:$N$27,MATCH(E599,Cost_Components!$A$2:$A$27,0)),"")</f>
        <v>95</v>
      </c>
      <c r="AE599" s="14" t="str">
        <f>IFERROR(INDEX(Cost_Components!$O$2:$O$27,MATCH(E599,Cost_Components!$A$2:$A$27,0)),"")</f>
        <v>Both</v>
      </c>
      <c r="AF599" s="11">
        <v>680881.79373021098</v>
      </c>
      <c r="AG599" s="11">
        <v>680824.64051033999</v>
      </c>
      <c r="AH599" s="21">
        <f t="shared" si="99"/>
        <v>1</v>
      </c>
    </row>
    <row r="600" spans="1:34" hidden="1">
      <c r="A600" t="s">
        <v>217</v>
      </c>
      <c r="B600" s="18">
        <v>2025</v>
      </c>
      <c r="C600" t="s">
        <v>217</v>
      </c>
      <c r="D600" t="s">
        <v>181</v>
      </c>
      <c r="E600" s="20" t="s">
        <v>315</v>
      </c>
      <c r="F600" s="20" t="s">
        <v>316</v>
      </c>
      <c r="G600" s="20" t="s">
        <v>221</v>
      </c>
      <c r="H600" s="20" t="s">
        <v>192</v>
      </c>
      <c r="I600" s="20" t="s">
        <v>264</v>
      </c>
      <c r="J600" s="15">
        <f>IFERROR(INDEX(Cost_Components!$K$2:$K$27,MATCH(E600,Cost_Components!$A$2:$A$27,0)),"")</f>
        <v>0.5</v>
      </c>
      <c r="K600" s="15">
        <f t="shared" si="90"/>
        <v>0.32884615384615384</v>
      </c>
      <c r="L600" s="15">
        <f>IFERROR(INDEX(Cost_Components!$S$2:$S$27,MATCH(E600,Cost_Components!$A$2:$A$27,0)),"")</f>
        <v>0.31</v>
      </c>
      <c r="M600" s="26">
        <f>IFERROR(INDEX(Cost_Components!$L$2:$L$27,MATCH(E600,Cost_Components!$A$2:$A$27,0)),"")</f>
        <v>1</v>
      </c>
      <c r="N600" s="27">
        <f>IFERROR(INDEX(Cost_Components!$P$2:$P$27,MATCH(E600,Cost_Components!$A$2:$A$27,0)),"")</f>
        <v>35.362648999999998</v>
      </c>
      <c r="O600" s="21">
        <f t="shared" si="91"/>
        <v>1703547.9018162901</v>
      </c>
      <c r="P600" s="21">
        <f t="shared" si="92"/>
        <v>1703486.5640634249</v>
      </c>
      <c r="Q600" s="21">
        <f t="shared" si="93"/>
        <v>18674337.206769183</v>
      </c>
      <c r="R600" s="21">
        <f t="shared" si="94"/>
        <v>19810338.985829465</v>
      </c>
      <c r="S600" s="21">
        <f t="shared" si="95"/>
        <v>1136001.7790602818</v>
      </c>
      <c r="T600" s="14">
        <f>IFERROR(INDEX(Cost_Components!$R$2:$R$27,MATCH(E600,Cost_Components!$A$2:$A$27,0)),"")</f>
        <v>1</v>
      </c>
      <c r="U600" s="24">
        <f>IFERROR(INDEX(Cost_Components!$Q$2:$Q$27,MATCH(E600,Cost_Components!$A$2:$A$27,0)),"")</f>
        <v>2023</v>
      </c>
      <c r="V600" s="28">
        <f>1/(1+Calculation_Assumptions!$B$5)^(B600-Calculation_Assumptions!$B$2)</f>
        <v>1</v>
      </c>
      <c r="W600" s="21">
        <f t="shared" si="96"/>
        <v>18674337.206769183</v>
      </c>
      <c r="X600" s="21">
        <f t="shared" si="97"/>
        <v>19810338.985829465</v>
      </c>
      <c r="Y600" s="21">
        <f t="shared" si="98"/>
        <v>1136001.7790602818</v>
      </c>
      <c r="Z600" s="15">
        <f>IFERROR(INDEX(Cost_Components!$T$2:$T$27,MATCH(E600,Cost_Components!$A$2:$A$27,0)),"")</f>
        <v>0.8</v>
      </c>
      <c r="AA600" s="24">
        <f>IFERROR(INDEX(Cost_Components!$U$2:$U$27,MATCH(E600,Cost_Components!$A$2:$A$27,0)),"")</f>
        <v>2025</v>
      </c>
      <c r="AB600" s="24">
        <f>IFERROR(INDEX(Cost_Components!$V$2:$V$27,MATCH(E600,Cost_Components!$A$2:$A$27,0)),"")</f>
        <v>2050</v>
      </c>
      <c r="AC600" s="24">
        <f>IFERROR(INDEX(Cost_Components!$M$2:$M$27,MATCH(E600,Cost_Components!$A$2:$A$27,0)),"")</f>
        <v>30</v>
      </c>
      <c r="AD600" s="24">
        <f>IFERROR(INDEX(Cost_Components!$N$2:$N$27,MATCH(E600,Cost_Components!$A$2:$A$27,0)),"")</f>
        <v>95</v>
      </c>
      <c r="AE600" s="14" t="str">
        <f>IFERROR(INDEX(Cost_Components!$O$2:$O$27,MATCH(E600,Cost_Components!$A$2:$A$27,0)),"")</f>
        <v>Both</v>
      </c>
      <c r="AF600" s="11">
        <v>3407095.8036325802</v>
      </c>
      <c r="AG600" s="11">
        <v>3406973.1281268499</v>
      </c>
      <c r="AH600" s="21">
        <f t="shared" si="99"/>
        <v>1</v>
      </c>
    </row>
    <row r="601" spans="1:34" hidden="1">
      <c r="A601" t="s">
        <v>217</v>
      </c>
      <c r="B601" s="18">
        <v>2026</v>
      </c>
      <c r="C601" t="s">
        <v>217</v>
      </c>
      <c r="D601" t="s">
        <v>181</v>
      </c>
      <c r="E601" s="20" t="s">
        <v>315</v>
      </c>
      <c r="F601" s="20" t="s">
        <v>316</v>
      </c>
      <c r="G601" s="20" t="s">
        <v>221</v>
      </c>
      <c r="H601" s="20" t="s">
        <v>192</v>
      </c>
      <c r="I601" s="20" t="s">
        <v>264</v>
      </c>
      <c r="J601" s="15">
        <f>IFERROR(INDEX(Cost_Components!$K$2:$K$27,MATCH(E601,Cost_Components!$A$2:$A$27,0)),"")</f>
        <v>0.5</v>
      </c>
      <c r="K601" s="15">
        <f t="shared" si="90"/>
        <v>0.34769230769230769</v>
      </c>
      <c r="L601" s="15">
        <f>IFERROR(INDEX(Cost_Components!$S$2:$S$27,MATCH(E601,Cost_Components!$A$2:$A$27,0)),"")</f>
        <v>0.31</v>
      </c>
      <c r="M601" s="26">
        <f>IFERROR(INDEX(Cost_Components!$L$2:$L$27,MATCH(E601,Cost_Components!$A$2:$A$27,0)),"")</f>
        <v>1</v>
      </c>
      <c r="N601" s="27">
        <f>IFERROR(INDEX(Cost_Components!$P$2:$P$27,MATCH(E601,Cost_Components!$A$2:$A$27,0)),"")</f>
        <v>35.362648999999998</v>
      </c>
      <c r="O601" s="21">
        <f t="shared" si="91"/>
        <v>1762087.4832118051</v>
      </c>
      <c r="P601" s="21">
        <f t="shared" si="92"/>
        <v>1761903.9857134901</v>
      </c>
      <c r="Q601" s="21">
        <f t="shared" si="93"/>
        <v>19314733.587731019</v>
      </c>
      <c r="R601" s="21">
        <f t="shared" si="94"/>
        <v>21665431.301232945</v>
      </c>
      <c r="S601" s="21">
        <f t="shared" si="95"/>
        <v>2350697.7135019265</v>
      </c>
      <c r="T601" s="14">
        <f>IFERROR(INDEX(Cost_Components!$R$2:$R$27,MATCH(E601,Cost_Components!$A$2:$A$27,0)),"")</f>
        <v>1</v>
      </c>
      <c r="U601" s="24">
        <f>IFERROR(INDEX(Cost_Components!$Q$2:$Q$27,MATCH(E601,Cost_Components!$A$2:$A$27,0)),"")</f>
        <v>2023</v>
      </c>
      <c r="V601" s="28">
        <f>1/(1+Calculation_Assumptions!$B$5)^(B601-Calculation_Assumptions!$B$2)</f>
        <v>0.970873786407767</v>
      </c>
      <c r="W601" s="21">
        <f t="shared" si="96"/>
        <v>18752168.531777687</v>
      </c>
      <c r="X601" s="21">
        <f t="shared" si="97"/>
        <v>21034399.321585383</v>
      </c>
      <c r="Y601" s="21">
        <f t="shared" si="98"/>
        <v>2282230.7898076959</v>
      </c>
      <c r="Z601" s="15">
        <f>IFERROR(INDEX(Cost_Components!$T$2:$T$27,MATCH(E601,Cost_Components!$A$2:$A$27,0)),"")</f>
        <v>0.8</v>
      </c>
      <c r="AA601" s="24">
        <f>IFERROR(INDEX(Cost_Components!$U$2:$U$27,MATCH(E601,Cost_Components!$A$2:$A$27,0)),"")</f>
        <v>2025</v>
      </c>
      <c r="AB601" s="24">
        <f>IFERROR(INDEX(Cost_Components!$V$2:$V$27,MATCH(E601,Cost_Components!$A$2:$A$27,0)),"")</f>
        <v>2050</v>
      </c>
      <c r="AC601" s="24">
        <f>IFERROR(INDEX(Cost_Components!$M$2:$M$27,MATCH(E601,Cost_Components!$A$2:$A$27,0)),"")</f>
        <v>30</v>
      </c>
      <c r="AD601" s="24">
        <f>IFERROR(INDEX(Cost_Components!$N$2:$N$27,MATCH(E601,Cost_Components!$A$2:$A$27,0)),"")</f>
        <v>95</v>
      </c>
      <c r="AE601" s="14" t="str">
        <f>IFERROR(INDEX(Cost_Components!$O$2:$O$27,MATCH(E601,Cost_Components!$A$2:$A$27,0)),"")</f>
        <v>Both</v>
      </c>
      <c r="AF601" s="11">
        <v>3524174.9664236102</v>
      </c>
      <c r="AG601" s="11">
        <v>3523807.9714269801</v>
      </c>
      <c r="AH601" s="21">
        <f t="shared" si="99"/>
        <v>1</v>
      </c>
    </row>
    <row r="602" spans="1:34" hidden="1">
      <c r="A602" t="s">
        <v>217</v>
      </c>
      <c r="B602" s="18">
        <v>2027</v>
      </c>
      <c r="C602" t="s">
        <v>217</v>
      </c>
      <c r="D602" t="s">
        <v>181</v>
      </c>
      <c r="E602" s="20" t="s">
        <v>315</v>
      </c>
      <c r="F602" s="20" t="s">
        <v>316</v>
      </c>
      <c r="G602" s="20" t="s">
        <v>221</v>
      </c>
      <c r="H602" s="20" t="s">
        <v>192</v>
      </c>
      <c r="I602" s="20" t="s">
        <v>264</v>
      </c>
      <c r="J602" s="15">
        <f>IFERROR(INDEX(Cost_Components!$K$2:$K$27,MATCH(E602,Cost_Components!$A$2:$A$27,0)),"")</f>
        <v>0.5</v>
      </c>
      <c r="K602" s="15">
        <f t="shared" si="90"/>
        <v>0.36653846153846154</v>
      </c>
      <c r="L602" s="15">
        <f>IFERROR(INDEX(Cost_Components!$S$2:$S$27,MATCH(E602,Cost_Components!$A$2:$A$27,0)),"")</f>
        <v>0.31</v>
      </c>
      <c r="M602" s="26">
        <f>IFERROR(INDEX(Cost_Components!$L$2:$L$27,MATCH(E602,Cost_Components!$A$2:$A$27,0)),"")</f>
        <v>1</v>
      </c>
      <c r="N602" s="27">
        <f>IFERROR(INDEX(Cost_Components!$P$2:$P$27,MATCH(E602,Cost_Components!$A$2:$A$27,0)),"")</f>
        <v>35.362648999999998</v>
      </c>
      <c r="O602" s="21">
        <f t="shared" si="91"/>
        <v>1820316.628979035</v>
      </c>
      <c r="P602" s="21">
        <f t="shared" si="92"/>
        <v>1819950.91682366</v>
      </c>
      <c r="Q602" s="21">
        <f t="shared" si="93"/>
        <v>19951068.495347615</v>
      </c>
      <c r="R602" s="21">
        <f t="shared" si="94"/>
        <v>23594527.220205668</v>
      </c>
      <c r="S602" s="21">
        <f t="shared" si="95"/>
        <v>3643458.724858053</v>
      </c>
      <c r="T602" s="14">
        <f>IFERROR(INDEX(Cost_Components!$R$2:$R$27,MATCH(E602,Cost_Components!$A$2:$A$27,0)),"")</f>
        <v>1</v>
      </c>
      <c r="U602" s="24">
        <f>IFERROR(INDEX(Cost_Components!$Q$2:$Q$27,MATCH(E602,Cost_Components!$A$2:$A$27,0)),"")</f>
        <v>2023</v>
      </c>
      <c r="V602" s="28">
        <f>1/(1+Calculation_Assumptions!$B$5)^(B602-Calculation_Assumptions!$B$2)</f>
        <v>0.94259590913375435</v>
      </c>
      <c r="W602" s="21">
        <f t="shared" si="96"/>
        <v>18805795.54656199</v>
      </c>
      <c r="X602" s="21">
        <f t="shared" si="97"/>
        <v>22240104.835710876</v>
      </c>
      <c r="Y602" s="21">
        <f t="shared" si="98"/>
        <v>3434309.2891488858</v>
      </c>
      <c r="Z602" s="15">
        <f>IFERROR(INDEX(Cost_Components!$T$2:$T$27,MATCH(E602,Cost_Components!$A$2:$A$27,0)),"")</f>
        <v>0.8</v>
      </c>
      <c r="AA602" s="24">
        <f>IFERROR(INDEX(Cost_Components!$U$2:$U$27,MATCH(E602,Cost_Components!$A$2:$A$27,0)),"")</f>
        <v>2025</v>
      </c>
      <c r="AB602" s="24">
        <f>IFERROR(INDEX(Cost_Components!$V$2:$V$27,MATCH(E602,Cost_Components!$A$2:$A$27,0)),"")</f>
        <v>2050</v>
      </c>
      <c r="AC602" s="24">
        <f>IFERROR(INDEX(Cost_Components!$M$2:$M$27,MATCH(E602,Cost_Components!$A$2:$A$27,0)),"")</f>
        <v>30</v>
      </c>
      <c r="AD602" s="24">
        <f>IFERROR(INDEX(Cost_Components!$N$2:$N$27,MATCH(E602,Cost_Components!$A$2:$A$27,0)),"")</f>
        <v>95</v>
      </c>
      <c r="AE602" s="14" t="str">
        <f>IFERROR(INDEX(Cost_Components!$O$2:$O$27,MATCH(E602,Cost_Components!$A$2:$A$27,0)),"")</f>
        <v>Both</v>
      </c>
      <c r="AF602" s="11">
        <v>3640633.2579580699</v>
      </c>
      <c r="AG602" s="11">
        <v>3639901.83364732</v>
      </c>
      <c r="AH602" s="21">
        <f t="shared" si="99"/>
        <v>1</v>
      </c>
    </row>
    <row r="603" spans="1:34" hidden="1">
      <c r="A603" t="s">
        <v>217</v>
      </c>
      <c r="B603" s="18">
        <v>2028</v>
      </c>
      <c r="C603" t="s">
        <v>217</v>
      </c>
      <c r="D603" t="s">
        <v>181</v>
      </c>
      <c r="E603" s="20" t="s">
        <v>315</v>
      </c>
      <c r="F603" s="20" t="s">
        <v>316</v>
      </c>
      <c r="G603" s="20" t="s">
        <v>221</v>
      </c>
      <c r="H603" s="20" t="s">
        <v>192</v>
      </c>
      <c r="I603" s="20" t="s">
        <v>264</v>
      </c>
      <c r="J603" s="15">
        <f>IFERROR(INDEX(Cost_Components!$K$2:$K$27,MATCH(E603,Cost_Components!$A$2:$A$27,0)),"")</f>
        <v>0.5</v>
      </c>
      <c r="K603" s="15">
        <f t="shared" si="90"/>
        <v>0.38538461538461538</v>
      </c>
      <c r="L603" s="15">
        <f>IFERROR(INDEX(Cost_Components!$S$2:$S$27,MATCH(E603,Cost_Components!$A$2:$A$27,0)),"")</f>
        <v>0.31</v>
      </c>
      <c r="M603" s="26">
        <f>IFERROR(INDEX(Cost_Components!$L$2:$L$27,MATCH(E603,Cost_Components!$A$2:$A$27,0)),"")</f>
        <v>1</v>
      </c>
      <c r="N603" s="27">
        <f>IFERROR(INDEX(Cost_Components!$P$2:$P$27,MATCH(E603,Cost_Components!$A$2:$A$27,0)),"")</f>
        <v>35.362648999999998</v>
      </c>
      <c r="O603" s="21">
        <f t="shared" si="91"/>
        <v>1878289.3969633901</v>
      </c>
      <c r="P603" s="21">
        <f t="shared" si="92"/>
        <v>1877682.3623644749</v>
      </c>
      <c r="Q603" s="21">
        <f t="shared" si="93"/>
        <v>20583944.917273574</v>
      </c>
      <c r="R603" s="21">
        <f t="shared" si="94"/>
        <v>25597742.78560327</v>
      </c>
      <c r="S603" s="21">
        <f t="shared" si="95"/>
        <v>5013797.8683296964</v>
      </c>
      <c r="T603" s="14">
        <f>IFERROR(INDEX(Cost_Components!$R$2:$R$27,MATCH(E603,Cost_Components!$A$2:$A$27,0)),"")</f>
        <v>1</v>
      </c>
      <c r="U603" s="24">
        <f>IFERROR(INDEX(Cost_Components!$Q$2:$Q$27,MATCH(E603,Cost_Components!$A$2:$A$27,0)),"")</f>
        <v>2023</v>
      </c>
      <c r="V603" s="28">
        <f>1/(1+Calculation_Assumptions!$B$5)^(B603-Calculation_Assumptions!$B$2)</f>
        <v>0.91514165935315961</v>
      </c>
      <c r="W603" s="21">
        <f t="shared" si="96"/>
        <v>18837225.507627774</v>
      </c>
      <c r="X603" s="21">
        <f t="shared" si="97"/>
        <v>23425560.808512345</v>
      </c>
      <c r="Y603" s="21">
        <f t="shared" si="98"/>
        <v>4588335.3008845728</v>
      </c>
      <c r="Z603" s="15">
        <f>IFERROR(INDEX(Cost_Components!$T$2:$T$27,MATCH(E603,Cost_Components!$A$2:$A$27,0)),"")</f>
        <v>0.8</v>
      </c>
      <c r="AA603" s="24">
        <f>IFERROR(INDEX(Cost_Components!$U$2:$U$27,MATCH(E603,Cost_Components!$A$2:$A$27,0)),"")</f>
        <v>2025</v>
      </c>
      <c r="AB603" s="24">
        <f>IFERROR(INDEX(Cost_Components!$V$2:$V$27,MATCH(E603,Cost_Components!$A$2:$A$27,0)),"")</f>
        <v>2050</v>
      </c>
      <c r="AC603" s="24">
        <f>IFERROR(INDEX(Cost_Components!$M$2:$M$27,MATCH(E603,Cost_Components!$A$2:$A$27,0)),"")</f>
        <v>30</v>
      </c>
      <c r="AD603" s="24">
        <f>IFERROR(INDEX(Cost_Components!$N$2:$N$27,MATCH(E603,Cost_Components!$A$2:$A$27,0)),"")</f>
        <v>95</v>
      </c>
      <c r="AE603" s="14" t="str">
        <f>IFERROR(INDEX(Cost_Components!$O$2:$O$27,MATCH(E603,Cost_Components!$A$2:$A$27,0)),"")</f>
        <v>Both</v>
      </c>
      <c r="AF603" s="11">
        <v>3756578.7939267801</v>
      </c>
      <c r="AG603" s="11">
        <v>3755364.7247289498</v>
      </c>
      <c r="AH603" s="21">
        <f t="shared" si="99"/>
        <v>1</v>
      </c>
    </row>
    <row r="604" spans="1:34" hidden="1">
      <c r="A604" t="s">
        <v>217</v>
      </c>
      <c r="B604" s="18">
        <v>2029</v>
      </c>
      <c r="C604" t="s">
        <v>217</v>
      </c>
      <c r="D604" t="s">
        <v>181</v>
      </c>
      <c r="E604" s="20" t="s">
        <v>315</v>
      </c>
      <c r="F604" s="20" t="s">
        <v>316</v>
      </c>
      <c r="G604" s="20" t="s">
        <v>221</v>
      </c>
      <c r="H604" s="20" t="s">
        <v>192</v>
      </c>
      <c r="I604" s="20" t="s">
        <v>264</v>
      </c>
      <c r="J604" s="15">
        <f>IFERROR(INDEX(Cost_Components!$K$2:$K$27,MATCH(E604,Cost_Components!$A$2:$A$27,0)),"")</f>
        <v>0.5</v>
      </c>
      <c r="K604" s="15">
        <f t="shared" si="90"/>
        <v>0.40423076923076923</v>
      </c>
      <c r="L604" s="15">
        <f>IFERROR(INDEX(Cost_Components!$S$2:$S$27,MATCH(E604,Cost_Components!$A$2:$A$27,0)),"")</f>
        <v>0.31</v>
      </c>
      <c r="M604" s="26">
        <f>IFERROR(INDEX(Cost_Components!$L$2:$L$27,MATCH(E604,Cost_Components!$A$2:$A$27,0)),"")</f>
        <v>1</v>
      </c>
      <c r="N604" s="27">
        <f>IFERROR(INDEX(Cost_Components!$P$2:$P$27,MATCH(E604,Cost_Components!$A$2:$A$27,0)),"")</f>
        <v>35.362648999999998</v>
      </c>
      <c r="O604" s="21">
        <f t="shared" si="91"/>
        <v>1935930.0959509551</v>
      </c>
      <c r="P604" s="21">
        <f t="shared" si="92"/>
        <v>1935023.6340378199</v>
      </c>
      <c r="Q604" s="21">
        <f t="shared" si="93"/>
        <v>21212544.088927004</v>
      </c>
      <c r="R604" s="21">
        <f t="shared" si="94"/>
        <v>27673483.427578494</v>
      </c>
      <c r="S604" s="21">
        <f t="shared" si="95"/>
        <v>6460939.3386514895</v>
      </c>
      <c r="T604" s="14">
        <f>IFERROR(INDEX(Cost_Components!$R$2:$R$27,MATCH(E604,Cost_Components!$A$2:$A$27,0)),"")</f>
        <v>1</v>
      </c>
      <c r="U604" s="24">
        <f>IFERROR(INDEX(Cost_Components!$Q$2:$Q$27,MATCH(E604,Cost_Components!$A$2:$A$27,0)),"")</f>
        <v>2023</v>
      </c>
      <c r="V604" s="28">
        <f>1/(1+Calculation_Assumptions!$B$5)^(B604-Calculation_Assumptions!$B$2)</f>
        <v>0.888487047915689</v>
      </c>
      <c r="W604" s="21">
        <f t="shared" si="96"/>
        <v>18847070.676352154</v>
      </c>
      <c r="X604" s="21">
        <f t="shared" si="97"/>
        <v>24587531.596112959</v>
      </c>
      <c r="Y604" s="21">
        <f t="shared" si="98"/>
        <v>5740460.9197608056</v>
      </c>
      <c r="Z604" s="15">
        <f>IFERROR(INDEX(Cost_Components!$T$2:$T$27,MATCH(E604,Cost_Components!$A$2:$A$27,0)),"")</f>
        <v>0.8</v>
      </c>
      <c r="AA604" s="24">
        <f>IFERROR(INDEX(Cost_Components!$U$2:$U$27,MATCH(E604,Cost_Components!$A$2:$A$27,0)),"")</f>
        <v>2025</v>
      </c>
      <c r="AB604" s="24">
        <f>IFERROR(INDEX(Cost_Components!$V$2:$V$27,MATCH(E604,Cost_Components!$A$2:$A$27,0)),"")</f>
        <v>2050</v>
      </c>
      <c r="AC604" s="24">
        <f>IFERROR(INDEX(Cost_Components!$M$2:$M$27,MATCH(E604,Cost_Components!$A$2:$A$27,0)),"")</f>
        <v>30</v>
      </c>
      <c r="AD604" s="24">
        <f>IFERROR(INDEX(Cost_Components!$N$2:$N$27,MATCH(E604,Cost_Components!$A$2:$A$27,0)),"")</f>
        <v>95</v>
      </c>
      <c r="AE604" s="14" t="str">
        <f>IFERROR(INDEX(Cost_Components!$O$2:$O$27,MATCH(E604,Cost_Components!$A$2:$A$27,0)),"")</f>
        <v>Both</v>
      </c>
      <c r="AF604" s="11">
        <v>3871860.1919019101</v>
      </c>
      <c r="AG604" s="11">
        <v>3870047.2680756398</v>
      </c>
      <c r="AH604" s="21">
        <f t="shared" si="99"/>
        <v>1</v>
      </c>
    </row>
    <row r="605" spans="1:34" hidden="1">
      <c r="A605" t="s">
        <v>217</v>
      </c>
      <c r="B605" s="18">
        <v>2030</v>
      </c>
      <c r="C605" t="s">
        <v>217</v>
      </c>
      <c r="D605" t="s">
        <v>181</v>
      </c>
      <c r="E605" s="20" t="s">
        <v>315</v>
      </c>
      <c r="F605" s="20" t="s">
        <v>316</v>
      </c>
      <c r="G605" s="20" t="s">
        <v>221</v>
      </c>
      <c r="H605" s="20" t="s">
        <v>192</v>
      </c>
      <c r="I605" s="20" t="s">
        <v>264</v>
      </c>
      <c r="J605" s="15">
        <f>IFERROR(INDEX(Cost_Components!$K$2:$K$27,MATCH(E605,Cost_Components!$A$2:$A$27,0)),"")</f>
        <v>0.5</v>
      </c>
      <c r="K605" s="15">
        <f t="shared" si="90"/>
        <v>0.42307692307692307</v>
      </c>
      <c r="L605" s="15">
        <f>IFERROR(INDEX(Cost_Components!$S$2:$S$27,MATCH(E605,Cost_Components!$A$2:$A$27,0)),"")</f>
        <v>0.31</v>
      </c>
      <c r="M605" s="26">
        <f>IFERROR(INDEX(Cost_Components!$L$2:$L$27,MATCH(E605,Cost_Components!$A$2:$A$27,0)),"")</f>
        <v>1</v>
      </c>
      <c r="N605" s="27">
        <f>IFERROR(INDEX(Cost_Components!$P$2:$P$27,MATCH(E605,Cost_Components!$A$2:$A$27,0)),"")</f>
        <v>35.362648999999998</v>
      </c>
      <c r="O605" s="21">
        <f t="shared" si="91"/>
        <v>1993277.440039465</v>
      </c>
      <c r="P605" s="21">
        <f t="shared" si="92"/>
        <v>1992013.9711835899</v>
      </c>
      <c r="Q605" s="21">
        <f t="shared" si="93"/>
        <v>21837296.168479033</v>
      </c>
      <c r="R605" s="21">
        <f t="shared" si="94"/>
        <v>29821664.430349059</v>
      </c>
      <c r="S605" s="21">
        <f t="shared" si="95"/>
        <v>7984368.2618700266</v>
      </c>
      <c r="T605" s="14">
        <f>IFERROR(INDEX(Cost_Components!$R$2:$R$27,MATCH(E605,Cost_Components!$A$2:$A$27,0)),"")</f>
        <v>1</v>
      </c>
      <c r="U605" s="24">
        <f>IFERROR(INDEX(Cost_Components!$Q$2:$Q$27,MATCH(E605,Cost_Components!$A$2:$A$27,0)),"")</f>
        <v>2023</v>
      </c>
      <c r="V605" s="28">
        <f>1/(1+Calculation_Assumptions!$B$5)^(B605-Calculation_Assumptions!$B$2)</f>
        <v>0.86260878438416411</v>
      </c>
      <c r="W605" s="21">
        <f t="shared" si="96"/>
        <v>18837043.502128664</v>
      </c>
      <c r="X605" s="21">
        <f t="shared" si="97"/>
        <v>25724429.702575866</v>
      </c>
      <c r="Y605" s="21">
        <f t="shared" si="98"/>
        <v>6887386.2004472045</v>
      </c>
      <c r="Z605" s="15">
        <f>IFERROR(INDEX(Cost_Components!$T$2:$T$27,MATCH(E605,Cost_Components!$A$2:$A$27,0)),"")</f>
        <v>0.8</v>
      </c>
      <c r="AA605" s="24">
        <f>IFERROR(INDEX(Cost_Components!$U$2:$U$27,MATCH(E605,Cost_Components!$A$2:$A$27,0)),"")</f>
        <v>2025</v>
      </c>
      <c r="AB605" s="24">
        <f>IFERROR(INDEX(Cost_Components!$V$2:$V$27,MATCH(E605,Cost_Components!$A$2:$A$27,0)),"")</f>
        <v>2050</v>
      </c>
      <c r="AC605" s="24">
        <f>IFERROR(INDEX(Cost_Components!$M$2:$M$27,MATCH(E605,Cost_Components!$A$2:$A$27,0)),"")</f>
        <v>30</v>
      </c>
      <c r="AD605" s="24">
        <f>IFERROR(INDEX(Cost_Components!$N$2:$N$27,MATCH(E605,Cost_Components!$A$2:$A$27,0)),"")</f>
        <v>95</v>
      </c>
      <c r="AE605" s="14" t="str">
        <f>IFERROR(INDEX(Cost_Components!$O$2:$O$27,MATCH(E605,Cost_Components!$A$2:$A$27,0)),"")</f>
        <v>Both</v>
      </c>
      <c r="AF605" s="11">
        <v>3986554.8800789299</v>
      </c>
      <c r="AG605" s="11">
        <v>3984027.9423671798</v>
      </c>
      <c r="AH605" s="21">
        <f t="shared" si="99"/>
        <v>1</v>
      </c>
    </row>
    <row r="606" spans="1:34" hidden="1">
      <c r="A606" t="s">
        <v>217</v>
      </c>
      <c r="B606" s="18">
        <v>2031</v>
      </c>
      <c r="C606" t="s">
        <v>217</v>
      </c>
      <c r="D606" t="s">
        <v>181</v>
      </c>
      <c r="E606" s="20" t="s">
        <v>315</v>
      </c>
      <c r="F606" s="20" t="s">
        <v>316</v>
      </c>
      <c r="G606" s="20" t="s">
        <v>221</v>
      </c>
      <c r="H606" s="20" t="s">
        <v>192</v>
      </c>
      <c r="I606" s="20" t="s">
        <v>264</v>
      </c>
      <c r="J606" s="15">
        <f>IFERROR(INDEX(Cost_Components!$K$2:$K$27,MATCH(E606,Cost_Components!$A$2:$A$27,0)),"")</f>
        <v>0.5</v>
      </c>
      <c r="K606" s="15">
        <f t="shared" si="90"/>
        <v>0.44192307692307692</v>
      </c>
      <c r="L606" s="15">
        <f>IFERROR(INDEX(Cost_Components!$S$2:$S$27,MATCH(E606,Cost_Components!$A$2:$A$27,0)),"")</f>
        <v>0.31</v>
      </c>
      <c r="M606" s="26">
        <f>IFERROR(INDEX(Cost_Components!$L$2:$L$27,MATCH(E606,Cost_Components!$A$2:$A$27,0)),"")</f>
        <v>1</v>
      </c>
      <c r="N606" s="27">
        <f>IFERROR(INDEX(Cost_Components!$P$2:$P$27,MATCH(E606,Cost_Components!$A$2:$A$27,0)),"")</f>
        <v>35.362648999999998</v>
      </c>
      <c r="O606" s="21">
        <f t="shared" si="91"/>
        <v>2050377.6417162749</v>
      </c>
      <c r="P606" s="21">
        <f t="shared" si="92"/>
        <v>2048699.4216127051</v>
      </c>
      <c r="Q606" s="21">
        <f t="shared" si="93"/>
        <v>22458705.951427862</v>
      </c>
      <c r="R606" s="21">
        <f t="shared" si="94"/>
        <v>32042421.463776145</v>
      </c>
      <c r="S606" s="21">
        <f t="shared" si="95"/>
        <v>9583715.5123482831</v>
      </c>
      <c r="T606" s="14">
        <f>IFERROR(INDEX(Cost_Components!$R$2:$R$27,MATCH(E606,Cost_Components!$A$2:$A$27,0)),"")</f>
        <v>1</v>
      </c>
      <c r="U606" s="24">
        <f>IFERROR(INDEX(Cost_Components!$Q$2:$Q$27,MATCH(E606,Cost_Components!$A$2:$A$27,0)),"")</f>
        <v>2023</v>
      </c>
      <c r="V606" s="28">
        <f>1/(1+Calculation_Assumptions!$B$5)^(B606-Calculation_Assumptions!$B$2)</f>
        <v>0.83748425668365445</v>
      </c>
      <c r="W606" s="21">
        <f t="shared" si="96"/>
        <v>18808812.65980833</v>
      </c>
      <c r="X606" s="21">
        <f t="shared" si="97"/>
        <v>26835023.521934941</v>
      </c>
      <c r="Y606" s="21">
        <f t="shared" si="98"/>
        <v>8026210.8621266102</v>
      </c>
      <c r="Z606" s="15">
        <f>IFERROR(INDEX(Cost_Components!$T$2:$T$27,MATCH(E606,Cost_Components!$A$2:$A$27,0)),"")</f>
        <v>0.8</v>
      </c>
      <c r="AA606" s="24">
        <f>IFERROR(INDEX(Cost_Components!$U$2:$U$27,MATCH(E606,Cost_Components!$A$2:$A$27,0)),"")</f>
        <v>2025</v>
      </c>
      <c r="AB606" s="24">
        <f>IFERROR(INDEX(Cost_Components!$V$2:$V$27,MATCH(E606,Cost_Components!$A$2:$A$27,0)),"")</f>
        <v>2050</v>
      </c>
      <c r="AC606" s="24">
        <f>IFERROR(INDEX(Cost_Components!$M$2:$M$27,MATCH(E606,Cost_Components!$A$2:$A$27,0)),"")</f>
        <v>30</v>
      </c>
      <c r="AD606" s="24">
        <f>IFERROR(INDEX(Cost_Components!$N$2:$N$27,MATCH(E606,Cost_Components!$A$2:$A$27,0)),"")</f>
        <v>95</v>
      </c>
      <c r="AE606" s="14" t="str">
        <f>IFERROR(INDEX(Cost_Components!$O$2:$O$27,MATCH(E606,Cost_Components!$A$2:$A$27,0)),"")</f>
        <v>Both</v>
      </c>
      <c r="AF606" s="11">
        <v>4100755.2834325498</v>
      </c>
      <c r="AG606" s="11">
        <v>4097398.8432254102</v>
      </c>
      <c r="AH606" s="21">
        <f t="shared" si="99"/>
        <v>1</v>
      </c>
    </row>
    <row r="607" spans="1:34" hidden="1">
      <c r="A607" t="s">
        <v>217</v>
      </c>
      <c r="B607" s="18">
        <v>2032</v>
      </c>
      <c r="C607" t="s">
        <v>217</v>
      </c>
      <c r="D607" t="s">
        <v>181</v>
      </c>
      <c r="E607" s="20" t="s">
        <v>315</v>
      </c>
      <c r="F607" s="20" t="s">
        <v>316</v>
      </c>
      <c r="G607" s="20" t="s">
        <v>221</v>
      </c>
      <c r="H607" s="20" t="s">
        <v>192</v>
      </c>
      <c r="I607" s="20" t="s">
        <v>264</v>
      </c>
      <c r="J607" s="15">
        <f>IFERROR(INDEX(Cost_Components!$K$2:$K$27,MATCH(E607,Cost_Components!$A$2:$A$27,0)),"")</f>
        <v>0.5</v>
      </c>
      <c r="K607" s="15">
        <f t="shared" si="90"/>
        <v>0.46076923076923082</v>
      </c>
      <c r="L607" s="15">
        <f>IFERROR(INDEX(Cost_Components!$S$2:$S$27,MATCH(E607,Cost_Components!$A$2:$A$27,0)),"")</f>
        <v>0.31</v>
      </c>
      <c r="M607" s="26">
        <f>IFERROR(INDEX(Cost_Components!$L$2:$L$27,MATCH(E607,Cost_Components!$A$2:$A$27,0)),"")</f>
        <v>1</v>
      </c>
      <c r="N607" s="27">
        <f>IFERROR(INDEX(Cost_Components!$P$2:$P$27,MATCH(E607,Cost_Components!$A$2:$A$27,0)),"")</f>
        <v>35.362648999999998</v>
      </c>
      <c r="O607" s="21">
        <f t="shared" si="91"/>
        <v>2107079.7473303401</v>
      </c>
      <c r="P607" s="21">
        <f t="shared" si="92"/>
        <v>2104929.2770836349</v>
      </c>
      <c r="Q607" s="21">
        <f t="shared" si="93"/>
        <v>23075121.310553018</v>
      </c>
      <c r="R607" s="21">
        <f t="shared" si="94"/>
        <v>34332800.761839271</v>
      </c>
      <c r="S607" s="21">
        <f t="shared" si="95"/>
        <v>11257679.451286253</v>
      </c>
      <c r="T607" s="14">
        <f>IFERROR(INDEX(Cost_Components!$R$2:$R$27,MATCH(E607,Cost_Components!$A$2:$A$27,0)),"")</f>
        <v>1</v>
      </c>
      <c r="U607" s="24">
        <f>IFERROR(INDEX(Cost_Components!$Q$2:$Q$27,MATCH(E607,Cost_Components!$A$2:$A$27,0)),"")</f>
        <v>2023</v>
      </c>
      <c r="V607" s="28">
        <f>1/(1+Calculation_Assumptions!$B$5)^(B607-Calculation_Assumptions!$B$2)</f>
        <v>0.81309151134335378</v>
      </c>
      <c r="W607" s="21">
        <f t="shared" si="96"/>
        <v>18762185.260828786</v>
      </c>
      <c r="X607" s="21">
        <f t="shared" si="97"/>
        <v>27915708.860094141</v>
      </c>
      <c r="Y607" s="21">
        <f t="shared" si="98"/>
        <v>9153523.5992653575</v>
      </c>
      <c r="Z607" s="15">
        <f>IFERROR(INDEX(Cost_Components!$T$2:$T$27,MATCH(E607,Cost_Components!$A$2:$A$27,0)),"")</f>
        <v>0.8</v>
      </c>
      <c r="AA607" s="24">
        <f>IFERROR(INDEX(Cost_Components!$U$2:$U$27,MATCH(E607,Cost_Components!$A$2:$A$27,0)),"")</f>
        <v>2025</v>
      </c>
      <c r="AB607" s="24">
        <f>IFERROR(INDEX(Cost_Components!$V$2:$V$27,MATCH(E607,Cost_Components!$A$2:$A$27,0)),"")</f>
        <v>2050</v>
      </c>
      <c r="AC607" s="24">
        <f>IFERROR(INDEX(Cost_Components!$M$2:$M$27,MATCH(E607,Cost_Components!$A$2:$A$27,0)),"")</f>
        <v>30</v>
      </c>
      <c r="AD607" s="24">
        <f>IFERROR(INDEX(Cost_Components!$N$2:$N$27,MATCH(E607,Cost_Components!$A$2:$A$27,0)),"")</f>
        <v>95</v>
      </c>
      <c r="AE607" s="14" t="str">
        <f>IFERROR(INDEX(Cost_Components!$O$2:$O$27,MATCH(E607,Cost_Components!$A$2:$A$27,0)),"")</f>
        <v>Both</v>
      </c>
      <c r="AF607" s="11">
        <v>4214159.4946606802</v>
      </c>
      <c r="AG607" s="11">
        <v>4209858.5541672697</v>
      </c>
      <c r="AH607" s="21">
        <f t="shared" si="99"/>
        <v>1</v>
      </c>
    </row>
    <row r="608" spans="1:34" hidden="1">
      <c r="A608" t="s">
        <v>217</v>
      </c>
      <c r="B608" s="18">
        <v>2033</v>
      </c>
      <c r="C608" t="s">
        <v>217</v>
      </c>
      <c r="D608" t="s">
        <v>181</v>
      </c>
      <c r="E608" s="20" t="s">
        <v>315</v>
      </c>
      <c r="F608" s="20" t="s">
        <v>316</v>
      </c>
      <c r="G608" s="20" t="s">
        <v>221</v>
      </c>
      <c r="H608" s="20" t="s">
        <v>192</v>
      </c>
      <c r="I608" s="20" t="s">
        <v>264</v>
      </c>
      <c r="J608" s="15">
        <f>IFERROR(INDEX(Cost_Components!$K$2:$K$27,MATCH(E608,Cost_Components!$A$2:$A$27,0)),"")</f>
        <v>0.5</v>
      </c>
      <c r="K608" s="15">
        <f t="shared" si="90"/>
        <v>0.47961538461538467</v>
      </c>
      <c r="L608" s="15">
        <f>IFERROR(INDEX(Cost_Components!$S$2:$S$27,MATCH(E608,Cost_Components!$A$2:$A$27,0)),"")</f>
        <v>0.31</v>
      </c>
      <c r="M608" s="26">
        <f>IFERROR(INDEX(Cost_Components!$L$2:$L$27,MATCH(E608,Cost_Components!$A$2:$A$27,0)),"")</f>
        <v>1</v>
      </c>
      <c r="N608" s="27">
        <f>IFERROR(INDEX(Cost_Components!$P$2:$P$27,MATCH(E608,Cost_Components!$A$2:$A$27,0)),"")</f>
        <v>35.362648999999998</v>
      </c>
      <c r="O608" s="21">
        <f t="shared" si="91"/>
        <v>2163109.2095111902</v>
      </c>
      <c r="P608" s="21">
        <f t="shared" si="92"/>
        <v>2160430.7980448301</v>
      </c>
      <c r="Q608" s="21">
        <f t="shared" si="93"/>
        <v>23683552.360015254</v>
      </c>
      <c r="R608" s="21">
        <f t="shared" si="94"/>
        <v>36687349.938688755</v>
      </c>
      <c r="S608" s="21">
        <f t="shared" si="95"/>
        <v>13003797.578673501</v>
      </c>
      <c r="T608" s="14">
        <f>IFERROR(INDEX(Cost_Components!$R$2:$R$27,MATCH(E608,Cost_Components!$A$2:$A$27,0)),"")</f>
        <v>1</v>
      </c>
      <c r="U608" s="24">
        <f>IFERROR(INDEX(Cost_Components!$Q$2:$Q$27,MATCH(E608,Cost_Components!$A$2:$A$27,0)),"")</f>
        <v>2023</v>
      </c>
      <c r="V608" s="28">
        <f>1/(1+Calculation_Assumptions!$B$5)^(B608-Calculation_Assumptions!$B$2)</f>
        <v>0.78940923431393573</v>
      </c>
      <c r="W608" s="21">
        <f t="shared" si="96"/>
        <v>18696014.934353646</v>
      </c>
      <c r="X608" s="21">
        <f t="shared" si="97"/>
        <v>28961332.824107707</v>
      </c>
      <c r="Y608" s="21">
        <f t="shared" si="98"/>
        <v>10265317.889754059</v>
      </c>
      <c r="Z608" s="15">
        <f>IFERROR(INDEX(Cost_Components!$T$2:$T$27,MATCH(E608,Cost_Components!$A$2:$A$27,0)),"")</f>
        <v>0.8</v>
      </c>
      <c r="AA608" s="24">
        <f>IFERROR(INDEX(Cost_Components!$U$2:$U$27,MATCH(E608,Cost_Components!$A$2:$A$27,0)),"")</f>
        <v>2025</v>
      </c>
      <c r="AB608" s="24">
        <f>IFERROR(INDEX(Cost_Components!$V$2:$V$27,MATCH(E608,Cost_Components!$A$2:$A$27,0)),"")</f>
        <v>2050</v>
      </c>
      <c r="AC608" s="24">
        <f>IFERROR(INDEX(Cost_Components!$M$2:$M$27,MATCH(E608,Cost_Components!$A$2:$A$27,0)),"")</f>
        <v>30</v>
      </c>
      <c r="AD608" s="24">
        <f>IFERROR(INDEX(Cost_Components!$N$2:$N$27,MATCH(E608,Cost_Components!$A$2:$A$27,0)),"")</f>
        <v>95</v>
      </c>
      <c r="AE608" s="14" t="str">
        <f>IFERROR(INDEX(Cost_Components!$O$2:$O$27,MATCH(E608,Cost_Components!$A$2:$A$27,0)),"")</f>
        <v>Both</v>
      </c>
      <c r="AF608" s="11">
        <v>4326218.4190223804</v>
      </c>
      <c r="AG608" s="11">
        <v>4320861.5960896602</v>
      </c>
      <c r="AH608" s="21">
        <f t="shared" si="99"/>
        <v>1</v>
      </c>
    </row>
    <row r="609" spans="1:34" hidden="1">
      <c r="A609" t="s">
        <v>217</v>
      </c>
      <c r="B609" s="18">
        <v>2034</v>
      </c>
      <c r="C609" t="s">
        <v>217</v>
      </c>
      <c r="D609" t="s">
        <v>181</v>
      </c>
      <c r="E609" s="20" t="s">
        <v>315</v>
      </c>
      <c r="F609" s="20" t="s">
        <v>316</v>
      </c>
      <c r="G609" s="20" t="s">
        <v>221</v>
      </c>
      <c r="H609" s="20" t="s">
        <v>192</v>
      </c>
      <c r="I609" s="20" t="s">
        <v>264</v>
      </c>
      <c r="J609" s="15">
        <f>IFERROR(INDEX(Cost_Components!$K$2:$K$27,MATCH(E609,Cost_Components!$A$2:$A$27,0)),"")</f>
        <v>0.5</v>
      </c>
      <c r="K609" s="15">
        <f t="shared" si="90"/>
        <v>0.49846153846153851</v>
      </c>
      <c r="L609" s="15">
        <f>IFERROR(INDEX(Cost_Components!$S$2:$S$27,MATCH(E609,Cost_Components!$A$2:$A$27,0)),"")</f>
        <v>0.31</v>
      </c>
      <c r="M609" s="26">
        <f>IFERROR(INDEX(Cost_Components!$L$2:$L$27,MATCH(E609,Cost_Components!$A$2:$A$27,0)),"")</f>
        <v>1</v>
      </c>
      <c r="N609" s="27">
        <f>IFERROR(INDEX(Cost_Components!$P$2:$P$27,MATCH(E609,Cost_Components!$A$2:$A$27,0)),"")</f>
        <v>35.362648999999998</v>
      </c>
      <c r="O609" s="21">
        <f t="shared" si="91"/>
        <v>2218361.767565445</v>
      </c>
      <c r="P609" s="21">
        <f t="shared" si="92"/>
        <v>2215101.3819678351</v>
      </c>
      <c r="Q609" s="21">
        <f t="shared" si="93"/>
        <v>24282874.32768248</v>
      </c>
      <c r="R609" s="21">
        <f t="shared" si="94"/>
        <v>39102886.349885225</v>
      </c>
      <c r="S609" s="21">
        <f t="shared" si="95"/>
        <v>14820012.022202745</v>
      </c>
      <c r="T609" s="14">
        <f>IFERROR(INDEX(Cost_Components!$R$2:$R$27,MATCH(E609,Cost_Components!$A$2:$A$27,0)),"")</f>
        <v>1</v>
      </c>
      <c r="U609" s="24">
        <f>IFERROR(INDEX(Cost_Components!$Q$2:$Q$27,MATCH(E609,Cost_Components!$A$2:$A$27,0)),"")</f>
        <v>2023</v>
      </c>
      <c r="V609" s="28">
        <f>1/(1+Calculation_Assumptions!$B$5)^(B609-Calculation_Assumptions!$B$2)</f>
        <v>0.76641673234362695</v>
      </c>
      <c r="W609" s="21">
        <f t="shared" si="96"/>
        <v>18610801.194133352</v>
      </c>
      <c r="X609" s="21">
        <f t="shared" si="97"/>
        <v>29969106.381483249</v>
      </c>
      <c r="Y609" s="21">
        <f t="shared" si="98"/>
        <v>11358305.187349895</v>
      </c>
      <c r="Z609" s="15">
        <f>IFERROR(INDEX(Cost_Components!$T$2:$T$27,MATCH(E609,Cost_Components!$A$2:$A$27,0)),"")</f>
        <v>0.8</v>
      </c>
      <c r="AA609" s="24">
        <f>IFERROR(INDEX(Cost_Components!$U$2:$U$27,MATCH(E609,Cost_Components!$A$2:$A$27,0)),"")</f>
        <v>2025</v>
      </c>
      <c r="AB609" s="24">
        <f>IFERROR(INDEX(Cost_Components!$V$2:$V$27,MATCH(E609,Cost_Components!$A$2:$A$27,0)),"")</f>
        <v>2050</v>
      </c>
      <c r="AC609" s="24">
        <f>IFERROR(INDEX(Cost_Components!$M$2:$M$27,MATCH(E609,Cost_Components!$A$2:$A$27,0)),"")</f>
        <v>30</v>
      </c>
      <c r="AD609" s="24">
        <f>IFERROR(INDEX(Cost_Components!$N$2:$N$27,MATCH(E609,Cost_Components!$A$2:$A$27,0)),"")</f>
        <v>95</v>
      </c>
      <c r="AE609" s="14" t="str">
        <f>IFERROR(INDEX(Cost_Components!$O$2:$O$27,MATCH(E609,Cost_Components!$A$2:$A$27,0)),"")</f>
        <v>Both</v>
      </c>
      <c r="AF609" s="11">
        <v>4436723.5351308901</v>
      </c>
      <c r="AG609" s="11">
        <v>4430202.7639356703</v>
      </c>
      <c r="AH609" s="21">
        <f t="shared" si="99"/>
        <v>1</v>
      </c>
    </row>
    <row r="610" spans="1:34" hidden="1">
      <c r="A610" t="s">
        <v>217</v>
      </c>
      <c r="B610" s="18">
        <v>2035</v>
      </c>
      <c r="C610" t="s">
        <v>217</v>
      </c>
      <c r="D610" t="s">
        <v>181</v>
      </c>
      <c r="E610" s="20" t="s">
        <v>315</v>
      </c>
      <c r="F610" s="20" t="s">
        <v>316</v>
      </c>
      <c r="G610" s="20" t="s">
        <v>221</v>
      </c>
      <c r="H610" s="20" t="s">
        <v>192</v>
      </c>
      <c r="I610" s="20" t="s">
        <v>264</v>
      </c>
      <c r="J610" s="15">
        <f>IFERROR(INDEX(Cost_Components!$K$2:$K$27,MATCH(E610,Cost_Components!$A$2:$A$27,0)),"")</f>
        <v>0.5</v>
      </c>
      <c r="K610" s="15">
        <f t="shared" si="90"/>
        <v>0.51730769230769236</v>
      </c>
      <c r="L610" s="15">
        <f>IFERROR(INDEX(Cost_Components!$S$2:$S$27,MATCH(E610,Cost_Components!$A$2:$A$27,0)),"")</f>
        <v>0.31</v>
      </c>
      <c r="M610" s="26">
        <f>IFERROR(INDEX(Cost_Components!$L$2:$L$27,MATCH(E610,Cost_Components!$A$2:$A$27,0)),"")</f>
        <v>1</v>
      </c>
      <c r="N610" s="27">
        <f>IFERROR(INDEX(Cost_Components!$P$2:$P$27,MATCH(E610,Cost_Components!$A$2:$A$27,0)),"")</f>
        <v>35.362648999999998</v>
      </c>
      <c r="O610" s="21">
        <f t="shared" si="91"/>
        <v>2272766.7685437398</v>
      </c>
      <c r="P610" s="21">
        <f t="shared" si="92"/>
        <v>2268872.7736903951</v>
      </c>
      <c r="Q610" s="21">
        <f t="shared" si="93"/>
        <v>24872338.971717659</v>
      </c>
      <c r="R610" s="21">
        <f t="shared" si="94"/>
        <v>41576564.211772658</v>
      </c>
      <c r="S610" s="21">
        <f t="shared" si="95"/>
        <v>16704225.240054999</v>
      </c>
      <c r="T610" s="14">
        <f>IFERROR(INDEX(Cost_Components!$R$2:$R$27,MATCH(E610,Cost_Components!$A$2:$A$27,0)),"")</f>
        <v>1</v>
      </c>
      <c r="U610" s="24">
        <f>IFERROR(INDEX(Cost_Components!$Q$2:$Q$27,MATCH(E610,Cost_Components!$A$2:$A$27,0)),"")</f>
        <v>2023</v>
      </c>
      <c r="V610" s="28">
        <f>1/(1+Calculation_Assumptions!$B$5)^(B610-Calculation_Assumptions!$B$2)</f>
        <v>0.74409391489672516</v>
      </c>
      <c r="W610" s="21">
        <f t="shared" si="96"/>
        <v>18507356.078103781</v>
      </c>
      <c r="X610" s="21">
        <f t="shared" si="97"/>
        <v>30936868.432292994</v>
      </c>
      <c r="Y610" s="21">
        <f t="shared" si="98"/>
        <v>12429512.354189213</v>
      </c>
      <c r="Z610" s="15">
        <f>IFERROR(INDEX(Cost_Components!$T$2:$T$27,MATCH(E610,Cost_Components!$A$2:$A$27,0)),"")</f>
        <v>0.8</v>
      </c>
      <c r="AA610" s="24">
        <f>IFERROR(INDEX(Cost_Components!$U$2:$U$27,MATCH(E610,Cost_Components!$A$2:$A$27,0)),"")</f>
        <v>2025</v>
      </c>
      <c r="AB610" s="24">
        <f>IFERROR(INDEX(Cost_Components!$V$2:$V$27,MATCH(E610,Cost_Components!$A$2:$A$27,0)),"")</f>
        <v>2050</v>
      </c>
      <c r="AC610" s="24">
        <f>IFERROR(INDEX(Cost_Components!$M$2:$M$27,MATCH(E610,Cost_Components!$A$2:$A$27,0)),"")</f>
        <v>30</v>
      </c>
      <c r="AD610" s="24">
        <f>IFERROR(INDEX(Cost_Components!$N$2:$N$27,MATCH(E610,Cost_Components!$A$2:$A$27,0)),"")</f>
        <v>95</v>
      </c>
      <c r="AE610" s="14" t="str">
        <f>IFERROR(INDEX(Cost_Components!$O$2:$O$27,MATCH(E610,Cost_Components!$A$2:$A$27,0)),"")</f>
        <v>Both</v>
      </c>
      <c r="AF610" s="11">
        <v>4545533.5370874796</v>
      </c>
      <c r="AG610" s="11">
        <v>4537745.5473807901</v>
      </c>
      <c r="AH610" s="21">
        <f t="shared" si="99"/>
        <v>1</v>
      </c>
    </row>
    <row r="611" spans="1:34" hidden="1">
      <c r="A611" t="s">
        <v>217</v>
      </c>
      <c r="B611" s="18">
        <v>2036</v>
      </c>
      <c r="C611" t="s">
        <v>217</v>
      </c>
      <c r="D611" t="s">
        <v>181</v>
      </c>
      <c r="E611" s="20" t="s">
        <v>315</v>
      </c>
      <c r="F611" s="20" t="s">
        <v>316</v>
      </c>
      <c r="G611" s="20" t="s">
        <v>221</v>
      </c>
      <c r="H611" s="20" t="s">
        <v>192</v>
      </c>
      <c r="I611" s="20" t="s">
        <v>264</v>
      </c>
      <c r="J611" s="15">
        <f>IFERROR(INDEX(Cost_Components!$K$2:$K$27,MATCH(E611,Cost_Components!$A$2:$A$27,0)),"")</f>
        <v>0.5</v>
      </c>
      <c r="K611" s="15">
        <f t="shared" si="90"/>
        <v>0.5361538461538462</v>
      </c>
      <c r="L611" s="15">
        <f>IFERROR(INDEX(Cost_Components!$S$2:$S$27,MATCH(E611,Cost_Components!$A$2:$A$27,0)),"")</f>
        <v>0.31</v>
      </c>
      <c r="M611" s="26">
        <f>IFERROR(INDEX(Cost_Components!$L$2:$L$27,MATCH(E611,Cost_Components!$A$2:$A$27,0)),"")</f>
        <v>1</v>
      </c>
      <c r="N611" s="27">
        <f>IFERROR(INDEX(Cost_Components!$P$2:$P$27,MATCH(E611,Cost_Components!$A$2:$A$27,0)),"")</f>
        <v>35.362648999999998</v>
      </c>
      <c r="O611" s="21">
        <f t="shared" si="91"/>
        <v>2326223.0316740698</v>
      </c>
      <c r="P611" s="21">
        <f t="shared" si="92"/>
        <v>2321646.4260249049</v>
      </c>
      <c r="Q611" s="21">
        <f t="shared" si="93"/>
        <v>25450865.976343185</v>
      </c>
      <c r="R611" s="21">
        <f t="shared" si="94"/>
        <v>44104770.592053682</v>
      </c>
      <c r="S611" s="21">
        <f t="shared" si="95"/>
        <v>18653904.615710497</v>
      </c>
      <c r="T611" s="14">
        <f>IFERROR(INDEX(Cost_Components!$R$2:$R$27,MATCH(E611,Cost_Components!$A$2:$A$27,0)),"")</f>
        <v>1</v>
      </c>
      <c r="U611" s="24">
        <f>IFERROR(INDEX(Cost_Components!$Q$2:$Q$27,MATCH(E611,Cost_Components!$A$2:$A$27,0)),"")</f>
        <v>2023</v>
      </c>
      <c r="V611" s="28">
        <f>1/(1+Calculation_Assumptions!$B$5)^(B611-Calculation_Assumptions!$B$2)</f>
        <v>0.72242127659876232</v>
      </c>
      <c r="W611" s="21">
        <f t="shared" si="96"/>
        <v>18386247.08917385</v>
      </c>
      <c r="X611" s="21">
        <f t="shared" si="97"/>
        <v>31862224.67520697</v>
      </c>
      <c r="Y611" s="21">
        <f t="shared" si="98"/>
        <v>13475977.586033123</v>
      </c>
      <c r="Z611" s="15">
        <f>IFERROR(INDEX(Cost_Components!$T$2:$T$27,MATCH(E611,Cost_Components!$A$2:$A$27,0)),"")</f>
        <v>0.8</v>
      </c>
      <c r="AA611" s="24">
        <f>IFERROR(INDEX(Cost_Components!$U$2:$U$27,MATCH(E611,Cost_Components!$A$2:$A$27,0)),"")</f>
        <v>2025</v>
      </c>
      <c r="AB611" s="24">
        <f>IFERROR(INDEX(Cost_Components!$V$2:$V$27,MATCH(E611,Cost_Components!$A$2:$A$27,0)),"")</f>
        <v>2050</v>
      </c>
      <c r="AC611" s="24">
        <f>IFERROR(INDEX(Cost_Components!$M$2:$M$27,MATCH(E611,Cost_Components!$A$2:$A$27,0)),"")</f>
        <v>30</v>
      </c>
      <c r="AD611" s="24">
        <f>IFERROR(INDEX(Cost_Components!$N$2:$N$27,MATCH(E611,Cost_Components!$A$2:$A$27,0)),"")</f>
        <v>95</v>
      </c>
      <c r="AE611" s="14" t="str">
        <f>IFERROR(INDEX(Cost_Components!$O$2:$O$27,MATCH(E611,Cost_Components!$A$2:$A$27,0)),"")</f>
        <v>Both</v>
      </c>
      <c r="AF611" s="11">
        <v>4652446.0633481396</v>
      </c>
      <c r="AG611" s="11">
        <v>4643292.8520498099</v>
      </c>
      <c r="AH611" s="21">
        <f t="shared" si="99"/>
        <v>1</v>
      </c>
    </row>
    <row r="612" spans="1:34" hidden="1">
      <c r="A612" t="s">
        <v>217</v>
      </c>
      <c r="B612" s="18">
        <v>2037</v>
      </c>
      <c r="C612" t="s">
        <v>217</v>
      </c>
      <c r="D612" t="s">
        <v>181</v>
      </c>
      <c r="E612" s="20" t="s">
        <v>315</v>
      </c>
      <c r="F612" s="20" t="s">
        <v>316</v>
      </c>
      <c r="G612" s="20" t="s">
        <v>221</v>
      </c>
      <c r="H612" s="20" t="s">
        <v>192</v>
      </c>
      <c r="I612" s="20" t="s">
        <v>264</v>
      </c>
      <c r="J612" s="15">
        <f>IFERROR(INDEX(Cost_Components!$K$2:$K$27,MATCH(E612,Cost_Components!$A$2:$A$27,0)),"")</f>
        <v>0.5</v>
      </c>
      <c r="K612" s="15">
        <f t="shared" si="90"/>
        <v>0.55500000000000005</v>
      </c>
      <c r="L612" s="15">
        <f>IFERROR(INDEX(Cost_Components!$S$2:$S$27,MATCH(E612,Cost_Components!$A$2:$A$27,0)),"")</f>
        <v>0.31</v>
      </c>
      <c r="M612" s="26">
        <f>IFERROR(INDEX(Cost_Components!$L$2:$L$27,MATCH(E612,Cost_Components!$A$2:$A$27,0)),"")</f>
        <v>1</v>
      </c>
      <c r="N612" s="27">
        <f>IFERROR(INDEX(Cost_Components!$P$2:$P$27,MATCH(E612,Cost_Components!$A$2:$A$27,0)),"")</f>
        <v>35.362648999999998</v>
      </c>
      <c r="O612" s="21">
        <f t="shared" si="91"/>
        <v>2378653.79165735</v>
      </c>
      <c r="P612" s="21">
        <f t="shared" si="92"/>
        <v>2373348.357711555</v>
      </c>
      <c r="Q612" s="21">
        <f t="shared" si="93"/>
        <v>26017644.327828851</v>
      </c>
      <c r="R612" s="21">
        <f t="shared" si="94"/>
        <v>46684102.015428387</v>
      </c>
      <c r="S612" s="21">
        <f t="shared" si="95"/>
        <v>20666457.687599536</v>
      </c>
      <c r="T612" s="14">
        <f>IFERROR(INDEX(Cost_Components!$R$2:$R$27,MATCH(E612,Cost_Components!$A$2:$A$27,0)),"")</f>
        <v>1</v>
      </c>
      <c r="U612" s="24">
        <f>IFERROR(INDEX(Cost_Components!$Q$2:$Q$27,MATCH(E612,Cost_Components!$A$2:$A$27,0)),"")</f>
        <v>2023</v>
      </c>
      <c r="V612" s="28">
        <f>1/(1+Calculation_Assumptions!$B$5)^(B612-Calculation_Assumptions!$B$2)</f>
        <v>0.70137988019297326</v>
      </c>
      <c r="W612" s="21">
        <f t="shared" si="96"/>
        <v>18248252.261555988</v>
      </c>
      <c r="X612" s="21">
        <f t="shared" si="97"/>
        <v>32743289.878497705</v>
      </c>
      <c r="Y612" s="21">
        <f t="shared" si="98"/>
        <v>14495037.616941715</v>
      </c>
      <c r="Z612" s="15">
        <f>IFERROR(INDEX(Cost_Components!$T$2:$T$27,MATCH(E612,Cost_Components!$A$2:$A$27,0)),"")</f>
        <v>0.8</v>
      </c>
      <c r="AA612" s="24">
        <f>IFERROR(INDEX(Cost_Components!$U$2:$U$27,MATCH(E612,Cost_Components!$A$2:$A$27,0)),"")</f>
        <v>2025</v>
      </c>
      <c r="AB612" s="24">
        <f>IFERROR(INDEX(Cost_Components!$V$2:$V$27,MATCH(E612,Cost_Components!$A$2:$A$27,0)),"")</f>
        <v>2050</v>
      </c>
      <c r="AC612" s="24">
        <f>IFERROR(INDEX(Cost_Components!$M$2:$M$27,MATCH(E612,Cost_Components!$A$2:$A$27,0)),"")</f>
        <v>30</v>
      </c>
      <c r="AD612" s="24">
        <f>IFERROR(INDEX(Cost_Components!$N$2:$N$27,MATCH(E612,Cost_Components!$A$2:$A$27,0)),"")</f>
        <v>95</v>
      </c>
      <c r="AE612" s="14" t="str">
        <f>IFERROR(INDEX(Cost_Components!$O$2:$O$27,MATCH(E612,Cost_Components!$A$2:$A$27,0)),"")</f>
        <v>Both</v>
      </c>
      <c r="AF612" s="11">
        <v>4757307.5833147001</v>
      </c>
      <c r="AG612" s="11">
        <v>4746696.7154231099</v>
      </c>
      <c r="AH612" s="21">
        <f t="shared" si="99"/>
        <v>1</v>
      </c>
    </row>
    <row r="613" spans="1:34" hidden="1">
      <c r="A613" t="s">
        <v>217</v>
      </c>
      <c r="B613" s="18">
        <v>2038</v>
      </c>
      <c r="C613" t="s">
        <v>217</v>
      </c>
      <c r="D613" t="s">
        <v>181</v>
      </c>
      <c r="E613" s="20" t="s">
        <v>315</v>
      </c>
      <c r="F613" s="20" t="s">
        <v>316</v>
      </c>
      <c r="G613" s="20" t="s">
        <v>221</v>
      </c>
      <c r="H613" s="20" t="s">
        <v>192</v>
      </c>
      <c r="I613" s="20" t="s">
        <v>264</v>
      </c>
      <c r="J613" s="15">
        <f>IFERROR(INDEX(Cost_Components!$K$2:$K$27,MATCH(E613,Cost_Components!$A$2:$A$27,0)),"")</f>
        <v>0.5</v>
      </c>
      <c r="K613" s="15">
        <f t="shared" si="90"/>
        <v>0.57384615384615389</v>
      </c>
      <c r="L613" s="15">
        <f>IFERROR(INDEX(Cost_Components!$S$2:$S$27,MATCH(E613,Cost_Components!$A$2:$A$27,0)),"")</f>
        <v>0.31</v>
      </c>
      <c r="M613" s="26">
        <f>IFERROR(INDEX(Cost_Components!$L$2:$L$27,MATCH(E613,Cost_Components!$A$2:$A$27,0)),"")</f>
        <v>1</v>
      </c>
      <c r="N613" s="27">
        <f>IFERROR(INDEX(Cost_Components!$P$2:$P$27,MATCH(E613,Cost_Components!$A$2:$A$27,0)),"")</f>
        <v>35.362648999999998</v>
      </c>
      <c r="O613" s="21">
        <f t="shared" si="91"/>
        <v>2430002.8081828551</v>
      </c>
      <c r="P613" s="21">
        <f t="shared" si="92"/>
        <v>2423925.167415835</v>
      </c>
      <c r="Q613" s="21">
        <f t="shared" si="93"/>
        <v>26572088.618253645</v>
      </c>
      <c r="R613" s="21">
        <f t="shared" si="94"/>
        <v>49311366.873530261</v>
      </c>
      <c r="S613" s="21">
        <f t="shared" si="95"/>
        <v>22739278.255276617</v>
      </c>
      <c r="T613" s="14">
        <f>IFERROR(INDEX(Cost_Components!$R$2:$R$27,MATCH(E613,Cost_Components!$A$2:$A$27,0)),"")</f>
        <v>1</v>
      </c>
      <c r="U613" s="24">
        <f>IFERROR(INDEX(Cost_Components!$Q$2:$Q$27,MATCH(E613,Cost_Components!$A$2:$A$27,0)),"")</f>
        <v>2023</v>
      </c>
      <c r="V613" s="28">
        <f>1/(1+Calculation_Assumptions!$B$5)^(B613-Calculation_Assumptions!$B$2)</f>
        <v>0.68095133999317792</v>
      </c>
      <c r="W613" s="21">
        <f t="shared" si="96"/>
        <v>18094299.351017293</v>
      </c>
      <c r="X613" s="21">
        <f t="shared" si="97"/>
        <v>33578641.349425636</v>
      </c>
      <c r="Y613" s="21">
        <f t="shared" si="98"/>
        <v>15484341.998408346</v>
      </c>
      <c r="Z613" s="15">
        <f>IFERROR(INDEX(Cost_Components!$T$2:$T$27,MATCH(E613,Cost_Components!$A$2:$A$27,0)),"")</f>
        <v>0.8</v>
      </c>
      <c r="AA613" s="24">
        <f>IFERROR(INDEX(Cost_Components!$U$2:$U$27,MATCH(E613,Cost_Components!$A$2:$A$27,0)),"")</f>
        <v>2025</v>
      </c>
      <c r="AB613" s="24">
        <f>IFERROR(INDEX(Cost_Components!$V$2:$V$27,MATCH(E613,Cost_Components!$A$2:$A$27,0)),"")</f>
        <v>2050</v>
      </c>
      <c r="AC613" s="24">
        <f>IFERROR(INDEX(Cost_Components!$M$2:$M$27,MATCH(E613,Cost_Components!$A$2:$A$27,0)),"")</f>
        <v>30</v>
      </c>
      <c r="AD613" s="24">
        <f>IFERROR(INDEX(Cost_Components!$N$2:$N$27,MATCH(E613,Cost_Components!$A$2:$A$27,0)),"")</f>
        <v>95</v>
      </c>
      <c r="AE613" s="14" t="str">
        <f>IFERROR(INDEX(Cost_Components!$O$2:$O$27,MATCH(E613,Cost_Components!$A$2:$A$27,0)),"")</f>
        <v>Both</v>
      </c>
      <c r="AF613" s="11">
        <v>4860005.6163657103</v>
      </c>
      <c r="AG613" s="11">
        <v>4847850.3348316699</v>
      </c>
      <c r="AH613" s="21">
        <f t="shared" si="99"/>
        <v>1</v>
      </c>
    </row>
    <row r="614" spans="1:34" hidden="1">
      <c r="A614" t="s">
        <v>217</v>
      </c>
      <c r="B614" s="18">
        <v>2039</v>
      </c>
      <c r="C614" t="s">
        <v>217</v>
      </c>
      <c r="D614" t="s">
        <v>181</v>
      </c>
      <c r="E614" s="20" t="s">
        <v>315</v>
      </c>
      <c r="F614" s="20" t="s">
        <v>316</v>
      </c>
      <c r="G614" s="20" t="s">
        <v>221</v>
      </c>
      <c r="H614" s="20" t="s">
        <v>192</v>
      </c>
      <c r="I614" s="20" t="s">
        <v>264</v>
      </c>
      <c r="J614" s="15">
        <f>IFERROR(INDEX(Cost_Components!$K$2:$K$27,MATCH(E614,Cost_Components!$A$2:$A$27,0)),"")</f>
        <v>0.5</v>
      </c>
      <c r="K614" s="15">
        <f t="shared" si="90"/>
        <v>0.59269230769230763</v>
      </c>
      <c r="L614" s="15">
        <f>IFERROR(INDEX(Cost_Components!$S$2:$S$27,MATCH(E614,Cost_Components!$A$2:$A$27,0)),"")</f>
        <v>0.31</v>
      </c>
      <c r="M614" s="26">
        <f>IFERROR(INDEX(Cost_Components!$L$2:$L$27,MATCH(E614,Cost_Components!$A$2:$A$27,0)),"")</f>
        <v>1</v>
      </c>
      <c r="N614" s="27">
        <f>IFERROR(INDEX(Cost_Components!$P$2:$P$27,MATCH(E614,Cost_Components!$A$2:$A$27,0)),"")</f>
        <v>35.362648999999998</v>
      </c>
      <c r="O614" s="21">
        <f t="shared" si="91"/>
        <v>2480174.2943198001</v>
      </c>
      <c r="P614" s="21">
        <f t="shared" si="92"/>
        <v>2473283.6949525201</v>
      </c>
      <c r="Q614" s="21">
        <f t="shared" si="93"/>
        <v>27113177.586429</v>
      </c>
      <c r="R614" s="21">
        <f t="shared" si="94"/>
        <v>51982394.768255249</v>
      </c>
      <c r="S614" s="21">
        <f t="shared" si="95"/>
        <v>24869217.181826249</v>
      </c>
      <c r="T614" s="14">
        <f>IFERROR(INDEX(Cost_Components!$R$2:$R$27,MATCH(E614,Cost_Components!$A$2:$A$27,0)),"")</f>
        <v>1</v>
      </c>
      <c r="U614" s="24">
        <f>IFERROR(INDEX(Cost_Components!$Q$2:$Q$27,MATCH(E614,Cost_Components!$A$2:$A$27,0)),"")</f>
        <v>2023</v>
      </c>
      <c r="V614" s="28">
        <f>1/(1+Calculation_Assumptions!$B$5)^(B614-Calculation_Assumptions!$B$2)</f>
        <v>0.66111780581861923</v>
      </c>
      <c r="W614" s="21">
        <f t="shared" si="96"/>
        <v>17925004.474710505</v>
      </c>
      <c r="X614" s="21">
        <f t="shared" si="97"/>
        <v>34366486.770386182</v>
      </c>
      <c r="Y614" s="21">
        <f t="shared" si="98"/>
        <v>16441482.295675674</v>
      </c>
      <c r="Z614" s="15">
        <f>IFERROR(INDEX(Cost_Components!$T$2:$T$27,MATCH(E614,Cost_Components!$A$2:$A$27,0)),"")</f>
        <v>0.8</v>
      </c>
      <c r="AA614" s="24">
        <f>IFERROR(INDEX(Cost_Components!$U$2:$U$27,MATCH(E614,Cost_Components!$A$2:$A$27,0)),"")</f>
        <v>2025</v>
      </c>
      <c r="AB614" s="24">
        <f>IFERROR(INDEX(Cost_Components!$V$2:$V$27,MATCH(E614,Cost_Components!$A$2:$A$27,0)),"")</f>
        <v>2050</v>
      </c>
      <c r="AC614" s="24">
        <f>IFERROR(INDEX(Cost_Components!$M$2:$M$27,MATCH(E614,Cost_Components!$A$2:$A$27,0)),"")</f>
        <v>30</v>
      </c>
      <c r="AD614" s="24">
        <f>IFERROR(INDEX(Cost_Components!$N$2:$N$27,MATCH(E614,Cost_Components!$A$2:$A$27,0)),"")</f>
        <v>95</v>
      </c>
      <c r="AE614" s="14" t="str">
        <f>IFERROR(INDEX(Cost_Components!$O$2:$O$27,MATCH(E614,Cost_Components!$A$2:$A$27,0)),"")</f>
        <v>Both</v>
      </c>
      <c r="AF614" s="11">
        <v>4960348.5886396002</v>
      </c>
      <c r="AG614" s="11">
        <v>4946567.3899050402</v>
      </c>
      <c r="AH614" s="21">
        <f t="shared" si="99"/>
        <v>1</v>
      </c>
    </row>
    <row r="615" spans="1:34" hidden="1">
      <c r="A615" t="s">
        <v>217</v>
      </c>
      <c r="B615" s="18">
        <v>2040</v>
      </c>
      <c r="C615" t="s">
        <v>217</v>
      </c>
      <c r="D615" t="s">
        <v>181</v>
      </c>
      <c r="E615" s="20" t="s">
        <v>315</v>
      </c>
      <c r="F615" s="20" t="s">
        <v>316</v>
      </c>
      <c r="G615" s="20" t="s">
        <v>221</v>
      </c>
      <c r="H615" s="20" t="s">
        <v>192</v>
      </c>
      <c r="I615" s="20" t="s">
        <v>264</v>
      </c>
      <c r="J615" s="15">
        <f>IFERROR(INDEX(Cost_Components!$K$2:$K$27,MATCH(E615,Cost_Components!$A$2:$A$27,0)),"")</f>
        <v>0.5</v>
      </c>
      <c r="K615" s="15">
        <f t="shared" si="90"/>
        <v>0.61153846153846159</v>
      </c>
      <c r="L615" s="15">
        <f>IFERROR(INDEX(Cost_Components!$S$2:$S$27,MATCH(E615,Cost_Components!$A$2:$A$27,0)),"")</f>
        <v>0.31</v>
      </c>
      <c r="M615" s="26">
        <f>IFERROR(INDEX(Cost_Components!$L$2:$L$27,MATCH(E615,Cost_Components!$A$2:$A$27,0)),"")</f>
        <v>1</v>
      </c>
      <c r="N615" s="27">
        <f>IFERROR(INDEX(Cost_Components!$P$2:$P$27,MATCH(E615,Cost_Components!$A$2:$A$27,0)),"")</f>
        <v>35.362648999999998</v>
      </c>
      <c r="O615" s="21">
        <f t="shared" si="91"/>
        <v>2529211.779656535</v>
      </c>
      <c r="P615" s="21">
        <f t="shared" si="92"/>
        <v>2521470.0766744148</v>
      </c>
      <c r="Q615" s="21">
        <f t="shared" si="93"/>
        <v>27641416.998486526</v>
      </c>
      <c r="R615" s="21">
        <f t="shared" si="94"/>
        <v>54695772.758826323</v>
      </c>
      <c r="S615" s="21">
        <f t="shared" si="95"/>
        <v>27054355.760339797</v>
      </c>
      <c r="T615" s="14">
        <f>IFERROR(INDEX(Cost_Components!$R$2:$R$27,MATCH(E615,Cost_Components!$A$2:$A$27,0)),"")</f>
        <v>1</v>
      </c>
      <c r="U615" s="24">
        <f>IFERROR(INDEX(Cost_Components!$Q$2:$Q$27,MATCH(E615,Cost_Components!$A$2:$A$27,0)),"")</f>
        <v>2023</v>
      </c>
      <c r="V615" s="28">
        <f>1/(1+Calculation_Assumptions!$B$5)^(B615-Calculation_Assumptions!$B$2)</f>
        <v>0.64186194739671765</v>
      </c>
      <c r="W615" s="21">
        <f t="shared" si="96"/>
        <v>17741973.743453294</v>
      </c>
      <c r="X615" s="21">
        <f t="shared" si="97"/>
        <v>35107135.217348605</v>
      </c>
      <c r="Y615" s="21">
        <f t="shared" si="98"/>
        <v>17365161.473895308</v>
      </c>
      <c r="Z615" s="15">
        <f>IFERROR(INDEX(Cost_Components!$T$2:$T$27,MATCH(E615,Cost_Components!$A$2:$A$27,0)),"")</f>
        <v>0.8</v>
      </c>
      <c r="AA615" s="24">
        <f>IFERROR(INDEX(Cost_Components!$U$2:$U$27,MATCH(E615,Cost_Components!$A$2:$A$27,0)),"")</f>
        <v>2025</v>
      </c>
      <c r="AB615" s="24">
        <f>IFERROR(INDEX(Cost_Components!$V$2:$V$27,MATCH(E615,Cost_Components!$A$2:$A$27,0)),"")</f>
        <v>2050</v>
      </c>
      <c r="AC615" s="24">
        <f>IFERROR(INDEX(Cost_Components!$M$2:$M$27,MATCH(E615,Cost_Components!$A$2:$A$27,0)),"")</f>
        <v>30</v>
      </c>
      <c r="AD615" s="24">
        <f>IFERROR(INDEX(Cost_Components!$N$2:$N$27,MATCH(E615,Cost_Components!$A$2:$A$27,0)),"")</f>
        <v>95</v>
      </c>
      <c r="AE615" s="14" t="str">
        <f>IFERROR(INDEX(Cost_Components!$O$2:$O$27,MATCH(E615,Cost_Components!$A$2:$A$27,0)),"")</f>
        <v>Both</v>
      </c>
      <c r="AF615" s="11">
        <v>5058423.55931307</v>
      </c>
      <c r="AG615" s="11">
        <v>5042940.1533488296</v>
      </c>
      <c r="AH615" s="21">
        <f t="shared" si="99"/>
        <v>1</v>
      </c>
    </row>
    <row r="616" spans="1:34" hidden="1">
      <c r="A616" t="s">
        <v>217</v>
      </c>
      <c r="B616" s="18">
        <v>2041</v>
      </c>
      <c r="C616" t="s">
        <v>217</v>
      </c>
      <c r="D616" t="s">
        <v>181</v>
      </c>
      <c r="E616" s="20" t="s">
        <v>315</v>
      </c>
      <c r="F616" s="20" t="s">
        <v>316</v>
      </c>
      <c r="G616" s="20" t="s">
        <v>221</v>
      </c>
      <c r="H616" s="20" t="s">
        <v>192</v>
      </c>
      <c r="I616" s="20" t="s">
        <v>264</v>
      </c>
      <c r="J616" s="15">
        <f>IFERROR(INDEX(Cost_Components!$K$2:$K$27,MATCH(E616,Cost_Components!$A$2:$A$27,0)),"")</f>
        <v>0.5</v>
      </c>
      <c r="K616" s="15">
        <f t="shared" si="90"/>
        <v>0.63038461538461543</v>
      </c>
      <c r="L616" s="15">
        <f>IFERROR(INDEX(Cost_Components!$S$2:$S$27,MATCH(E616,Cost_Components!$A$2:$A$27,0)),"")</f>
        <v>0.31</v>
      </c>
      <c r="M616" s="26">
        <f>IFERROR(INDEX(Cost_Components!$L$2:$L$27,MATCH(E616,Cost_Components!$A$2:$A$27,0)),"")</f>
        <v>1</v>
      </c>
      <c r="N616" s="27">
        <f>IFERROR(INDEX(Cost_Components!$P$2:$P$27,MATCH(E616,Cost_Components!$A$2:$A$27,0)),"")</f>
        <v>35.362648999999998</v>
      </c>
      <c r="O616" s="21">
        <f t="shared" si="91"/>
        <v>2577066.4761680099</v>
      </c>
      <c r="P616" s="21">
        <f t="shared" si="92"/>
        <v>2568438.3190627601</v>
      </c>
      <c r="Q616" s="21">
        <f t="shared" si="93"/>
        <v>28156302.65410158</v>
      </c>
      <c r="R616" s="21">
        <f t="shared" si="94"/>
        <v>57448145.994939759</v>
      </c>
      <c r="S616" s="21">
        <f t="shared" si="95"/>
        <v>29291843.340838179</v>
      </c>
      <c r="T616" s="14">
        <f>IFERROR(INDEX(Cost_Components!$R$2:$R$27,MATCH(E616,Cost_Components!$A$2:$A$27,0)),"")</f>
        <v>1</v>
      </c>
      <c r="U616" s="24">
        <f>IFERROR(INDEX(Cost_Components!$Q$2:$Q$27,MATCH(E616,Cost_Components!$A$2:$A$27,0)),"")</f>
        <v>2023</v>
      </c>
      <c r="V616" s="28">
        <f>1/(1+Calculation_Assumptions!$B$5)^(B616-Calculation_Assumptions!$B$2)</f>
        <v>0.62316693922011435</v>
      </c>
      <c r="W616" s="21">
        <f t="shared" si="96"/>
        <v>17546076.944711663</v>
      </c>
      <c r="X616" s="21">
        <f t="shared" si="97"/>
        <v>35799785.303536877</v>
      </c>
      <c r="Y616" s="21">
        <f t="shared" si="98"/>
        <v>18253708.358825218</v>
      </c>
      <c r="Z616" s="15">
        <f>IFERROR(INDEX(Cost_Components!$T$2:$T$27,MATCH(E616,Cost_Components!$A$2:$A$27,0)),"")</f>
        <v>0.8</v>
      </c>
      <c r="AA616" s="24">
        <f>IFERROR(INDEX(Cost_Components!$U$2:$U$27,MATCH(E616,Cost_Components!$A$2:$A$27,0)),"")</f>
        <v>2025</v>
      </c>
      <c r="AB616" s="24">
        <f>IFERROR(INDEX(Cost_Components!$V$2:$V$27,MATCH(E616,Cost_Components!$A$2:$A$27,0)),"")</f>
        <v>2050</v>
      </c>
      <c r="AC616" s="24">
        <f>IFERROR(INDEX(Cost_Components!$M$2:$M$27,MATCH(E616,Cost_Components!$A$2:$A$27,0)),"")</f>
        <v>30</v>
      </c>
      <c r="AD616" s="24">
        <f>IFERROR(INDEX(Cost_Components!$N$2:$N$27,MATCH(E616,Cost_Components!$A$2:$A$27,0)),"")</f>
        <v>95</v>
      </c>
      <c r="AE616" s="14" t="str">
        <f>IFERROR(INDEX(Cost_Components!$O$2:$O$27,MATCH(E616,Cost_Components!$A$2:$A$27,0)),"")</f>
        <v>Both</v>
      </c>
      <c r="AF616" s="11">
        <v>5154132.9523360198</v>
      </c>
      <c r="AG616" s="11">
        <v>5136876.6381255202</v>
      </c>
      <c r="AH616" s="21">
        <f t="shared" si="99"/>
        <v>1</v>
      </c>
    </row>
    <row r="617" spans="1:34" hidden="1">
      <c r="A617" t="s">
        <v>217</v>
      </c>
      <c r="B617" s="18">
        <v>2042</v>
      </c>
      <c r="C617" t="s">
        <v>217</v>
      </c>
      <c r="D617" t="s">
        <v>181</v>
      </c>
      <c r="E617" s="20" t="s">
        <v>315</v>
      </c>
      <c r="F617" s="20" t="s">
        <v>316</v>
      </c>
      <c r="G617" s="20" t="s">
        <v>221</v>
      </c>
      <c r="H617" s="20" t="s">
        <v>192</v>
      </c>
      <c r="I617" s="20" t="s">
        <v>264</v>
      </c>
      <c r="J617" s="15">
        <f>IFERROR(INDEX(Cost_Components!$K$2:$K$27,MATCH(E617,Cost_Components!$A$2:$A$27,0)),"")</f>
        <v>0.5</v>
      </c>
      <c r="K617" s="15">
        <f t="shared" si="90"/>
        <v>0.64923076923076928</v>
      </c>
      <c r="L617" s="15">
        <f>IFERROR(INDEX(Cost_Components!$S$2:$S$27,MATCH(E617,Cost_Components!$A$2:$A$27,0)),"")</f>
        <v>0.31</v>
      </c>
      <c r="M617" s="26">
        <f>IFERROR(INDEX(Cost_Components!$L$2:$L$27,MATCH(E617,Cost_Components!$A$2:$A$27,0)),"")</f>
        <v>1</v>
      </c>
      <c r="N617" s="27">
        <f>IFERROR(INDEX(Cost_Components!$P$2:$P$27,MATCH(E617,Cost_Components!$A$2:$A$27,0)),"")</f>
        <v>35.362648999999998</v>
      </c>
      <c r="O617" s="21">
        <f t="shared" si="91"/>
        <v>2623513.214612775</v>
      </c>
      <c r="P617" s="21">
        <f t="shared" si="92"/>
        <v>2613966.2705694651</v>
      </c>
      <c r="Q617" s="21">
        <f t="shared" si="93"/>
        <v>28655399.234435976</v>
      </c>
      <c r="R617" s="21">
        <f t="shared" si="94"/>
        <v>60231980.115538433</v>
      </c>
      <c r="S617" s="21">
        <f t="shared" si="95"/>
        <v>31576580.881102458</v>
      </c>
      <c r="T617" s="14">
        <f>IFERROR(INDEX(Cost_Components!$R$2:$R$27,MATCH(E617,Cost_Components!$A$2:$A$27,0)),"")</f>
        <v>1</v>
      </c>
      <c r="U617" s="24">
        <f>IFERROR(INDEX(Cost_Components!$Q$2:$Q$27,MATCH(E617,Cost_Components!$A$2:$A$27,0)),"")</f>
        <v>2023</v>
      </c>
      <c r="V617" s="28">
        <f>1/(1+Calculation_Assumptions!$B$5)^(B617-Calculation_Assumptions!$B$2)</f>
        <v>0.60501644584477121</v>
      </c>
      <c r="W617" s="21">
        <f t="shared" si="96"/>
        <v>17336987.799081434</v>
      </c>
      <c r="X617" s="21">
        <f t="shared" si="97"/>
        <v>36441338.535695992</v>
      </c>
      <c r="Y617" s="21">
        <f t="shared" si="98"/>
        <v>19104350.736614563</v>
      </c>
      <c r="Z617" s="15">
        <f>IFERROR(INDEX(Cost_Components!$T$2:$T$27,MATCH(E617,Cost_Components!$A$2:$A$27,0)),"")</f>
        <v>0.8</v>
      </c>
      <c r="AA617" s="24">
        <f>IFERROR(INDEX(Cost_Components!$U$2:$U$27,MATCH(E617,Cost_Components!$A$2:$A$27,0)),"")</f>
        <v>2025</v>
      </c>
      <c r="AB617" s="24">
        <f>IFERROR(INDEX(Cost_Components!$V$2:$V$27,MATCH(E617,Cost_Components!$A$2:$A$27,0)),"")</f>
        <v>2050</v>
      </c>
      <c r="AC617" s="24">
        <f>IFERROR(INDEX(Cost_Components!$M$2:$M$27,MATCH(E617,Cost_Components!$A$2:$A$27,0)),"")</f>
        <v>30</v>
      </c>
      <c r="AD617" s="24">
        <f>IFERROR(INDEX(Cost_Components!$N$2:$N$27,MATCH(E617,Cost_Components!$A$2:$A$27,0)),"")</f>
        <v>95</v>
      </c>
      <c r="AE617" s="14" t="str">
        <f>IFERROR(INDEX(Cost_Components!$O$2:$O$27,MATCH(E617,Cost_Components!$A$2:$A$27,0)),"")</f>
        <v>Both</v>
      </c>
      <c r="AF617" s="11">
        <v>5247026.42922555</v>
      </c>
      <c r="AG617" s="11">
        <v>5227932.5411389302</v>
      </c>
      <c r="AH617" s="21">
        <f t="shared" si="99"/>
        <v>1</v>
      </c>
    </row>
    <row r="618" spans="1:34" hidden="1">
      <c r="A618" t="s">
        <v>217</v>
      </c>
      <c r="B618" s="18">
        <v>2043</v>
      </c>
      <c r="C618" t="s">
        <v>217</v>
      </c>
      <c r="D618" t="s">
        <v>181</v>
      </c>
      <c r="E618" s="20" t="s">
        <v>315</v>
      </c>
      <c r="F618" s="20" t="s">
        <v>316</v>
      </c>
      <c r="G618" s="20" t="s">
        <v>221</v>
      </c>
      <c r="H618" s="20" t="s">
        <v>192</v>
      </c>
      <c r="I618" s="20" t="s">
        <v>264</v>
      </c>
      <c r="J618" s="15">
        <f>IFERROR(INDEX(Cost_Components!$K$2:$K$27,MATCH(E618,Cost_Components!$A$2:$A$27,0)),"")</f>
        <v>0.5</v>
      </c>
      <c r="K618" s="15">
        <f t="shared" si="90"/>
        <v>0.66807692307692301</v>
      </c>
      <c r="L618" s="15">
        <f>IFERROR(INDEX(Cost_Components!$S$2:$S$27,MATCH(E618,Cost_Components!$A$2:$A$27,0)),"")</f>
        <v>0.31</v>
      </c>
      <c r="M618" s="26">
        <f>IFERROR(INDEX(Cost_Components!$L$2:$L$27,MATCH(E618,Cost_Components!$A$2:$A$27,0)),"")</f>
        <v>1</v>
      </c>
      <c r="N618" s="27">
        <f>IFERROR(INDEX(Cost_Components!$P$2:$P$27,MATCH(E618,Cost_Components!$A$2:$A$27,0)),"")</f>
        <v>35.362648999999998</v>
      </c>
      <c r="O618" s="21">
        <f t="shared" si="91"/>
        <v>2668245.1755099948</v>
      </c>
      <c r="P618" s="21">
        <f t="shared" si="92"/>
        <v>2657749.904765055</v>
      </c>
      <c r="Q618" s="21">
        <f t="shared" si="93"/>
        <v>29135373.873716921</v>
      </c>
      <c r="R618" s="21">
        <f t="shared" si="94"/>
        <v>63037211.519035876</v>
      </c>
      <c r="S618" s="21">
        <f t="shared" si="95"/>
        <v>33901837.645318955</v>
      </c>
      <c r="T618" s="14">
        <f>IFERROR(INDEX(Cost_Components!$R$2:$R$27,MATCH(E618,Cost_Components!$A$2:$A$27,0)),"")</f>
        <v>1</v>
      </c>
      <c r="U618" s="24">
        <f>IFERROR(INDEX(Cost_Components!$Q$2:$Q$27,MATCH(E618,Cost_Components!$A$2:$A$27,0)),"")</f>
        <v>2023</v>
      </c>
      <c r="V618" s="28">
        <f>1/(1+Calculation_Assumptions!$B$5)^(B618-Calculation_Assumptions!$B$2)</f>
        <v>0.5873946076162827</v>
      </c>
      <c r="W618" s="21">
        <f t="shared" si="96"/>
        <v>17113961.504305646</v>
      </c>
      <c r="X618" s="21">
        <f t="shared" si="97"/>
        <v>37027718.125448696</v>
      </c>
      <c r="Y618" s="21">
        <f t="shared" si="98"/>
        <v>19913756.62114305</v>
      </c>
      <c r="Z618" s="15">
        <f>IFERROR(INDEX(Cost_Components!$T$2:$T$27,MATCH(E618,Cost_Components!$A$2:$A$27,0)),"")</f>
        <v>0.8</v>
      </c>
      <c r="AA618" s="24">
        <f>IFERROR(INDEX(Cost_Components!$U$2:$U$27,MATCH(E618,Cost_Components!$A$2:$A$27,0)),"")</f>
        <v>2025</v>
      </c>
      <c r="AB618" s="24">
        <f>IFERROR(INDEX(Cost_Components!$V$2:$V$27,MATCH(E618,Cost_Components!$A$2:$A$27,0)),"")</f>
        <v>2050</v>
      </c>
      <c r="AC618" s="24">
        <f>IFERROR(INDEX(Cost_Components!$M$2:$M$27,MATCH(E618,Cost_Components!$A$2:$A$27,0)),"")</f>
        <v>30</v>
      </c>
      <c r="AD618" s="24">
        <f>IFERROR(INDEX(Cost_Components!$N$2:$N$27,MATCH(E618,Cost_Components!$A$2:$A$27,0)),"")</f>
        <v>95</v>
      </c>
      <c r="AE618" s="14" t="str">
        <f>IFERROR(INDEX(Cost_Components!$O$2:$O$27,MATCH(E618,Cost_Components!$A$2:$A$27,0)),"")</f>
        <v>Both</v>
      </c>
      <c r="AF618" s="11">
        <v>5336490.3510199897</v>
      </c>
      <c r="AG618" s="11">
        <v>5315499.8095301101</v>
      </c>
      <c r="AH618" s="21">
        <f t="shared" si="99"/>
        <v>1</v>
      </c>
    </row>
    <row r="619" spans="1:34" hidden="1">
      <c r="A619" t="s">
        <v>217</v>
      </c>
      <c r="B619" s="18">
        <v>2044</v>
      </c>
      <c r="C619" t="s">
        <v>217</v>
      </c>
      <c r="D619" t="s">
        <v>181</v>
      </c>
      <c r="E619" s="20" t="s">
        <v>315</v>
      </c>
      <c r="F619" s="20" t="s">
        <v>316</v>
      </c>
      <c r="G619" s="20" t="s">
        <v>221</v>
      </c>
      <c r="H619" s="20" t="s">
        <v>192</v>
      </c>
      <c r="I619" s="20" t="s">
        <v>264</v>
      </c>
      <c r="J619" s="15">
        <f>IFERROR(INDEX(Cost_Components!$K$2:$K$27,MATCH(E619,Cost_Components!$A$2:$A$27,0)),"")</f>
        <v>0.5</v>
      </c>
      <c r="K619" s="15">
        <f t="shared" si="90"/>
        <v>0.68692307692307697</v>
      </c>
      <c r="L619" s="15">
        <f>IFERROR(INDEX(Cost_Components!$S$2:$S$27,MATCH(E619,Cost_Components!$A$2:$A$27,0)),"")</f>
        <v>0.31</v>
      </c>
      <c r="M619" s="26">
        <f>IFERROR(INDEX(Cost_Components!$L$2:$L$27,MATCH(E619,Cost_Components!$A$2:$A$27,0)),"")</f>
        <v>1</v>
      </c>
      <c r="N619" s="27">
        <f>IFERROR(INDEX(Cost_Components!$P$2:$P$27,MATCH(E619,Cost_Components!$A$2:$A$27,0)),"")</f>
        <v>35.362648999999998</v>
      </c>
      <c r="O619" s="21">
        <f t="shared" si="91"/>
        <v>2711132.2210931098</v>
      </c>
      <c r="P619" s="21">
        <f t="shared" si="92"/>
        <v>2699661.6525276452</v>
      </c>
      <c r="Q619" s="21">
        <f t="shared" si="93"/>
        <v>29594828.105499472</v>
      </c>
      <c r="R619" s="21">
        <f t="shared" si="94"/>
        <v>65857250.53423515</v>
      </c>
      <c r="S619" s="21">
        <f t="shared" si="95"/>
        <v>36262422.428735673</v>
      </c>
      <c r="T619" s="14">
        <f>IFERROR(INDEX(Cost_Components!$R$2:$R$27,MATCH(E619,Cost_Components!$A$2:$A$27,0)),"")</f>
        <v>1</v>
      </c>
      <c r="U619" s="24">
        <f>IFERROR(INDEX(Cost_Components!$Q$2:$Q$27,MATCH(E619,Cost_Components!$A$2:$A$27,0)),"")</f>
        <v>2023</v>
      </c>
      <c r="V619" s="28">
        <f>1/(1+Calculation_Assumptions!$B$5)^(B619-Calculation_Assumptions!$B$2)</f>
        <v>0.57028602681192497</v>
      </c>
      <c r="W619" s="21">
        <f t="shared" si="96"/>
        <v>16877516.934467182</v>
      </c>
      <c r="X619" s="21">
        <f t="shared" si="97"/>
        <v>37557469.743926488</v>
      </c>
      <c r="Y619" s="21">
        <f t="shared" si="98"/>
        <v>20679952.809459303</v>
      </c>
      <c r="Z619" s="15">
        <f>IFERROR(INDEX(Cost_Components!$T$2:$T$27,MATCH(E619,Cost_Components!$A$2:$A$27,0)),"")</f>
        <v>0.8</v>
      </c>
      <c r="AA619" s="24">
        <f>IFERROR(INDEX(Cost_Components!$U$2:$U$27,MATCH(E619,Cost_Components!$A$2:$A$27,0)),"")</f>
        <v>2025</v>
      </c>
      <c r="AB619" s="24">
        <f>IFERROR(INDEX(Cost_Components!$V$2:$V$27,MATCH(E619,Cost_Components!$A$2:$A$27,0)),"")</f>
        <v>2050</v>
      </c>
      <c r="AC619" s="24">
        <f>IFERROR(INDEX(Cost_Components!$M$2:$M$27,MATCH(E619,Cost_Components!$A$2:$A$27,0)),"")</f>
        <v>30</v>
      </c>
      <c r="AD619" s="24">
        <f>IFERROR(INDEX(Cost_Components!$N$2:$N$27,MATCH(E619,Cost_Components!$A$2:$A$27,0)),"")</f>
        <v>95</v>
      </c>
      <c r="AE619" s="14" t="str">
        <f>IFERROR(INDEX(Cost_Components!$O$2:$O$27,MATCH(E619,Cost_Components!$A$2:$A$27,0)),"")</f>
        <v>Both</v>
      </c>
      <c r="AF619" s="11">
        <v>5422264.4421862196</v>
      </c>
      <c r="AG619" s="11">
        <v>5399323.3050552905</v>
      </c>
      <c r="AH619" s="21">
        <f t="shared" si="99"/>
        <v>1</v>
      </c>
    </row>
    <row r="620" spans="1:34" hidden="1">
      <c r="A620" t="s">
        <v>217</v>
      </c>
      <c r="B620" s="18">
        <v>2045</v>
      </c>
      <c r="C620" t="s">
        <v>217</v>
      </c>
      <c r="D620" t="s">
        <v>181</v>
      </c>
      <c r="E620" s="20" t="s">
        <v>315</v>
      </c>
      <c r="F620" s="20" t="s">
        <v>316</v>
      </c>
      <c r="G620" s="20" t="s">
        <v>221</v>
      </c>
      <c r="H620" s="20" t="s">
        <v>192</v>
      </c>
      <c r="I620" s="20" t="s">
        <v>264</v>
      </c>
      <c r="J620" s="15">
        <f>IFERROR(INDEX(Cost_Components!$K$2:$K$27,MATCH(E620,Cost_Components!$A$2:$A$27,0)),"")</f>
        <v>0.5</v>
      </c>
      <c r="K620" s="15">
        <f t="shared" si="90"/>
        <v>0.70576923076923082</v>
      </c>
      <c r="L620" s="15">
        <f>IFERROR(INDEX(Cost_Components!$S$2:$S$27,MATCH(E620,Cost_Components!$A$2:$A$27,0)),"")</f>
        <v>0.31</v>
      </c>
      <c r="M620" s="26">
        <f>IFERROR(INDEX(Cost_Components!$L$2:$L$27,MATCH(E620,Cost_Components!$A$2:$A$27,0)),"")</f>
        <v>1</v>
      </c>
      <c r="N620" s="27">
        <f>IFERROR(INDEX(Cost_Components!$P$2:$P$27,MATCH(E620,Cost_Components!$A$2:$A$27,0)),"")</f>
        <v>35.362648999999998</v>
      </c>
      <c r="O620" s="21">
        <f t="shared" si="91"/>
        <v>2752069.4227610999</v>
      </c>
      <c r="P620" s="21">
        <f t="shared" si="92"/>
        <v>2739599.0162048452</v>
      </c>
      <c r="Q620" s="21">
        <f t="shared" si="93"/>
        <v>30032638.307347145</v>
      </c>
      <c r="R620" s="21">
        <f t="shared" si="94"/>
        <v>68685789.73578684</v>
      </c>
      <c r="S620" s="21">
        <f t="shared" si="95"/>
        <v>38653151.428439692</v>
      </c>
      <c r="T620" s="14">
        <f>IFERROR(INDEX(Cost_Components!$R$2:$R$27,MATCH(E620,Cost_Components!$A$2:$A$27,0)),"")</f>
        <v>1</v>
      </c>
      <c r="U620" s="24">
        <f>IFERROR(INDEX(Cost_Components!$Q$2:$Q$27,MATCH(E620,Cost_Components!$A$2:$A$27,0)),"")</f>
        <v>2023</v>
      </c>
      <c r="V620" s="28">
        <f>1/(1+Calculation_Assumptions!$B$5)^(B620-Calculation_Assumptions!$B$2)</f>
        <v>0.55367575418633497</v>
      </c>
      <c r="W620" s="21">
        <f t="shared" si="96"/>
        <v>16628343.665025845</v>
      </c>
      <c r="X620" s="21">
        <f t="shared" si="97"/>
        <v>38029656.433845803</v>
      </c>
      <c r="Y620" s="21">
        <f t="shared" si="98"/>
        <v>21401312.768819958</v>
      </c>
      <c r="Z620" s="15">
        <f>IFERROR(INDEX(Cost_Components!$T$2:$T$27,MATCH(E620,Cost_Components!$A$2:$A$27,0)),"")</f>
        <v>0.8</v>
      </c>
      <c r="AA620" s="24">
        <f>IFERROR(INDEX(Cost_Components!$U$2:$U$27,MATCH(E620,Cost_Components!$A$2:$A$27,0)),"")</f>
        <v>2025</v>
      </c>
      <c r="AB620" s="24">
        <f>IFERROR(INDEX(Cost_Components!$V$2:$V$27,MATCH(E620,Cost_Components!$A$2:$A$27,0)),"")</f>
        <v>2050</v>
      </c>
      <c r="AC620" s="24">
        <f>IFERROR(INDEX(Cost_Components!$M$2:$M$27,MATCH(E620,Cost_Components!$A$2:$A$27,0)),"")</f>
        <v>30</v>
      </c>
      <c r="AD620" s="24">
        <f>IFERROR(INDEX(Cost_Components!$N$2:$N$27,MATCH(E620,Cost_Components!$A$2:$A$27,0)),"")</f>
        <v>95</v>
      </c>
      <c r="AE620" s="14" t="str">
        <f>IFERROR(INDEX(Cost_Components!$O$2:$O$27,MATCH(E620,Cost_Components!$A$2:$A$27,0)),"")</f>
        <v>Both</v>
      </c>
      <c r="AF620" s="11">
        <v>5504138.8455221998</v>
      </c>
      <c r="AG620" s="11">
        <v>5479198.0324096903</v>
      </c>
      <c r="AH620" s="21">
        <f t="shared" si="99"/>
        <v>1</v>
      </c>
    </row>
    <row r="621" spans="1:34" hidden="1">
      <c r="A621" t="s">
        <v>217</v>
      </c>
      <c r="B621" s="18">
        <v>2046</v>
      </c>
      <c r="C621" t="s">
        <v>217</v>
      </c>
      <c r="D621" t="s">
        <v>181</v>
      </c>
      <c r="E621" s="20" t="s">
        <v>315</v>
      </c>
      <c r="F621" s="20" t="s">
        <v>316</v>
      </c>
      <c r="G621" s="20" t="s">
        <v>221</v>
      </c>
      <c r="H621" s="20" t="s">
        <v>192</v>
      </c>
      <c r="I621" s="20" t="s">
        <v>264</v>
      </c>
      <c r="J621" s="15">
        <f>IFERROR(INDEX(Cost_Components!$K$2:$K$27,MATCH(E621,Cost_Components!$A$2:$A$27,0)),"")</f>
        <v>0.5</v>
      </c>
      <c r="K621" s="15">
        <f t="shared" si="90"/>
        <v>0.72461538461538466</v>
      </c>
      <c r="L621" s="15">
        <f>IFERROR(INDEX(Cost_Components!$S$2:$S$27,MATCH(E621,Cost_Components!$A$2:$A$27,0)),"")</f>
        <v>0.31</v>
      </c>
      <c r="M621" s="26">
        <f>IFERROR(INDEX(Cost_Components!$L$2:$L$27,MATCH(E621,Cost_Components!$A$2:$A$27,0)),"")</f>
        <v>1</v>
      </c>
      <c r="N621" s="27">
        <f>IFERROR(INDEX(Cost_Components!$P$2:$P$27,MATCH(E621,Cost_Components!$A$2:$A$27,0)),"")</f>
        <v>35.362648999999998</v>
      </c>
      <c r="O621" s="21">
        <f t="shared" si="91"/>
        <v>2790931.18615002</v>
      </c>
      <c r="P621" s="21">
        <f t="shared" si="92"/>
        <v>2777438.9682708001</v>
      </c>
      <c r="Q621" s="21">
        <f t="shared" si="93"/>
        <v>30447455.799703553</v>
      </c>
      <c r="R621" s="21">
        <f t="shared" si="94"/>
        <v>71515712.433597043</v>
      </c>
      <c r="S621" s="21">
        <f t="shared" si="95"/>
        <v>41068256.63389349</v>
      </c>
      <c r="T621" s="14">
        <f>IFERROR(INDEX(Cost_Components!$R$2:$R$27,MATCH(E621,Cost_Components!$A$2:$A$27,0)),"")</f>
        <v>1</v>
      </c>
      <c r="U621" s="24">
        <f>IFERROR(INDEX(Cost_Components!$Q$2:$Q$27,MATCH(E621,Cost_Components!$A$2:$A$27,0)),"")</f>
        <v>2023</v>
      </c>
      <c r="V621" s="28">
        <f>1/(1+Calculation_Assumptions!$B$5)^(B621-Calculation_Assumptions!$B$2)</f>
        <v>0.5375492759090631</v>
      </c>
      <c r="W621" s="21">
        <f t="shared" si="96"/>
        <v>16367007.818403849</v>
      </c>
      <c r="X621" s="21">
        <f t="shared" si="97"/>
        <v>38443219.434800871</v>
      </c>
      <c r="Y621" s="21">
        <f t="shared" si="98"/>
        <v>22076211.616397023</v>
      </c>
      <c r="Z621" s="15">
        <f>IFERROR(INDEX(Cost_Components!$T$2:$T$27,MATCH(E621,Cost_Components!$A$2:$A$27,0)),"")</f>
        <v>0.8</v>
      </c>
      <c r="AA621" s="24">
        <f>IFERROR(INDEX(Cost_Components!$U$2:$U$27,MATCH(E621,Cost_Components!$A$2:$A$27,0)),"")</f>
        <v>2025</v>
      </c>
      <c r="AB621" s="24">
        <f>IFERROR(INDEX(Cost_Components!$V$2:$V$27,MATCH(E621,Cost_Components!$A$2:$A$27,0)),"")</f>
        <v>2050</v>
      </c>
      <c r="AC621" s="24">
        <f>IFERROR(INDEX(Cost_Components!$M$2:$M$27,MATCH(E621,Cost_Components!$A$2:$A$27,0)),"")</f>
        <v>30</v>
      </c>
      <c r="AD621" s="24">
        <f>IFERROR(INDEX(Cost_Components!$N$2:$N$27,MATCH(E621,Cost_Components!$A$2:$A$27,0)),"")</f>
        <v>95</v>
      </c>
      <c r="AE621" s="14" t="str">
        <f>IFERROR(INDEX(Cost_Components!$O$2:$O$27,MATCH(E621,Cost_Components!$A$2:$A$27,0)),"")</f>
        <v>Both</v>
      </c>
      <c r="AF621" s="11">
        <v>5581862.37230004</v>
      </c>
      <c r="AG621" s="11">
        <v>5554877.9365416002</v>
      </c>
      <c r="AH621" s="21">
        <f t="shared" si="99"/>
        <v>1</v>
      </c>
    </row>
    <row r="622" spans="1:34" hidden="1">
      <c r="A622" t="s">
        <v>217</v>
      </c>
      <c r="B622" s="18">
        <v>2047</v>
      </c>
      <c r="C622" t="s">
        <v>217</v>
      </c>
      <c r="D622" t="s">
        <v>181</v>
      </c>
      <c r="E622" s="20" t="s">
        <v>315</v>
      </c>
      <c r="F622" s="20" t="s">
        <v>316</v>
      </c>
      <c r="G622" s="20" t="s">
        <v>221</v>
      </c>
      <c r="H622" s="20" t="s">
        <v>192</v>
      </c>
      <c r="I622" s="20" t="s">
        <v>264</v>
      </c>
      <c r="J622" s="15">
        <f>IFERROR(INDEX(Cost_Components!$K$2:$K$27,MATCH(E622,Cost_Components!$A$2:$A$27,0)),"")</f>
        <v>0.5</v>
      </c>
      <c r="K622" s="15">
        <f t="shared" si="90"/>
        <v>0.74346153846153851</v>
      </c>
      <c r="L622" s="15">
        <f>IFERROR(INDEX(Cost_Components!$S$2:$S$27,MATCH(E622,Cost_Components!$A$2:$A$27,0)),"")</f>
        <v>0.31</v>
      </c>
      <c r="M622" s="26">
        <f>IFERROR(INDEX(Cost_Components!$L$2:$L$27,MATCH(E622,Cost_Components!$A$2:$A$27,0)),"")</f>
        <v>1</v>
      </c>
      <c r="N622" s="27">
        <f>IFERROR(INDEX(Cost_Components!$P$2:$P$27,MATCH(E622,Cost_Components!$A$2:$A$27,0)),"")</f>
        <v>35.362648999999998</v>
      </c>
      <c r="O622" s="21">
        <f t="shared" si="91"/>
        <v>2827367.6312560802</v>
      </c>
      <c r="P622" s="21">
        <f t="shared" si="92"/>
        <v>2812834.7331009549</v>
      </c>
      <c r="Q622" s="21">
        <f t="shared" si="93"/>
        <v>30835479.082113903</v>
      </c>
      <c r="R622" s="21">
        <f t="shared" si="94"/>
        <v>74333670.486111417</v>
      </c>
      <c r="S622" s="21">
        <f t="shared" si="95"/>
        <v>43498191.403997511</v>
      </c>
      <c r="T622" s="14">
        <f>IFERROR(INDEX(Cost_Components!$R$2:$R$27,MATCH(E622,Cost_Components!$A$2:$A$27,0)),"")</f>
        <v>1</v>
      </c>
      <c r="U622" s="24">
        <f>IFERROR(INDEX(Cost_Components!$Q$2:$Q$27,MATCH(E622,Cost_Components!$A$2:$A$27,0)),"")</f>
        <v>2023</v>
      </c>
      <c r="V622" s="28">
        <f>1/(1+Calculation_Assumptions!$B$5)^(B622-Calculation_Assumptions!$B$2)</f>
        <v>0.52189250088258554</v>
      </c>
      <c r="W622" s="21">
        <f t="shared" si="96"/>
        <v>16092805.294077078</v>
      </c>
      <c r="X622" s="21">
        <f t="shared" si="97"/>
        <v>38794185.189778723</v>
      </c>
      <c r="Y622" s="21">
        <f t="shared" si="98"/>
        <v>22701379.895701647</v>
      </c>
      <c r="Z622" s="15">
        <f>IFERROR(INDEX(Cost_Components!$T$2:$T$27,MATCH(E622,Cost_Components!$A$2:$A$27,0)),"")</f>
        <v>0.8</v>
      </c>
      <c r="AA622" s="24">
        <f>IFERROR(INDEX(Cost_Components!$U$2:$U$27,MATCH(E622,Cost_Components!$A$2:$A$27,0)),"")</f>
        <v>2025</v>
      </c>
      <c r="AB622" s="24">
        <f>IFERROR(INDEX(Cost_Components!$V$2:$V$27,MATCH(E622,Cost_Components!$A$2:$A$27,0)),"")</f>
        <v>2050</v>
      </c>
      <c r="AC622" s="24">
        <f>IFERROR(INDEX(Cost_Components!$M$2:$M$27,MATCH(E622,Cost_Components!$A$2:$A$27,0)),"")</f>
        <v>30</v>
      </c>
      <c r="AD622" s="24">
        <f>IFERROR(INDEX(Cost_Components!$N$2:$N$27,MATCH(E622,Cost_Components!$A$2:$A$27,0)),"")</f>
        <v>95</v>
      </c>
      <c r="AE622" s="14" t="str">
        <f>IFERROR(INDEX(Cost_Components!$O$2:$O$27,MATCH(E622,Cost_Components!$A$2:$A$27,0)),"")</f>
        <v>Both</v>
      </c>
      <c r="AF622" s="11">
        <v>5654735.2625121605</v>
      </c>
      <c r="AG622" s="11">
        <v>5625669.4662019098</v>
      </c>
      <c r="AH622" s="21">
        <f t="shared" si="99"/>
        <v>1</v>
      </c>
    </row>
    <row r="623" spans="1:34" hidden="1">
      <c r="A623" t="s">
        <v>217</v>
      </c>
      <c r="B623" s="18">
        <v>2048</v>
      </c>
      <c r="C623" t="s">
        <v>217</v>
      </c>
      <c r="D623" t="s">
        <v>181</v>
      </c>
      <c r="E623" s="20" t="s">
        <v>315</v>
      </c>
      <c r="F623" s="20" t="s">
        <v>316</v>
      </c>
      <c r="G623" s="20" t="s">
        <v>221</v>
      </c>
      <c r="H623" s="20" t="s">
        <v>192</v>
      </c>
      <c r="I623" s="20" t="s">
        <v>264</v>
      </c>
      <c r="J623" s="15">
        <f>IFERROR(INDEX(Cost_Components!$K$2:$K$27,MATCH(E623,Cost_Components!$A$2:$A$27,0)),"")</f>
        <v>0.5</v>
      </c>
      <c r="K623" s="15">
        <f t="shared" si="90"/>
        <v>0.76230769230769235</v>
      </c>
      <c r="L623" s="15">
        <f>IFERROR(INDEX(Cost_Components!$S$2:$S$27,MATCH(E623,Cost_Components!$A$2:$A$27,0)),"")</f>
        <v>0.31</v>
      </c>
      <c r="M623" s="26">
        <f>IFERROR(INDEX(Cost_Components!$L$2:$L$27,MATCH(E623,Cost_Components!$A$2:$A$27,0)),"")</f>
        <v>1</v>
      </c>
      <c r="N623" s="27">
        <f>IFERROR(INDEX(Cost_Components!$P$2:$P$27,MATCH(E623,Cost_Components!$A$2:$A$27,0)),"")</f>
        <v>35.362648999999998</v>
      </c>
      <c r="O623" s="21">
        <f t="shared" si="91"/>
        <v>2861768.3044320452</v>
      </c>
      <c r="P623" s="21">
        <f t="shared" si="92"/>
        <v>2846179.575408835</v>
      </c>
      <c r="Q623" s="21">
        <f t="shared" si="93"/>
        <v>31201019.28800701</v>
      </c>
      <c r="R623" s="21">
        <f t="shared" si="94"/>
        <v>77145315.920257658</v>
      </c>
      <c r="S623" s="21">
        <f t="shared" si="95"/>
        <v>45944296.632250652</v>
      </c>
      <c r="T623" s="14">
        <f>IFERROR(INDEX(Cost_Components!$R$2:$R$27,MATCH(E623,Cost_Components!$A$2:$A$27,0)),"")</f>
        <v>1</v>
      </c>
      <c r="U623" s="24">
        <f>IFERROR(INDEX(Cost_Components!$Q$2:$Q$27,MATCH(E623,Cost_Components!$A$2:$A$27,0)),"")</f>
        <v>2023</v>
      </c>
      <c r="V623" s="28">
        <f>1/(1+Calculation_Assumptions!$B$5)^(B623-Calculation_Assumptions!$B$2)</f>
        <v>0.50669174842969467</v>
      </c>
      <c r="W623" s="21">
        <f t="shared" si="96"/>
        <v>15809299.015828898</v>
      </c>
      <c r="X623" s="21">
        <f t="shared" si="97"/>
        <v>39088895.006796509</v>
      </c>
      <c r="Y623" s="21">
        <f t="shared" si="98"/>
        <v>23279595.990967616</v>
      </c>
      <c r="Z623" s="15">
        <f>IFERROR(INDEX(Cost_Components!$T$2:$T$27,MATCH(E623,Cost_Components!$A$2:$A$27,0)),"")</f>
        <v>0.8</v>
      </c>
      <c r="AA623" s="24">
        <f>IFERROR(INDEX(Cost_Components!$U$2:$U$27,MATCH(E623,Cost_Components!$A$2:$A$27,0)),"")</f>
        <v>2025</v>
      </c>
      <c r="AB623" s="24">
        <f>IFERROR(INDEX(Cost_Components!$V$2:$V$27,MATCH(E623,Cost_Components!$A$2:$A$27,0)),"")</f>
        <v>2050</v>
      </c>
      <c r="AC623" s="24">
        <f>IFERROR(INDEX(Cost_Components!$M$2:$M$27,MATCH(E623,Cost_Components!$A$2:$A$27,0)),"")</f>
        <v>30</v>
      </c>
      <c r="AD623" s="24">
        <f>IFERROR(INDEX(Cost_Components!$N$2:$N$27,MATCH(E623,Cost_Components!$A$2:$A$27,0)),"")</f>
        <v>95</v>
      </c>
      <c r="AE623" s="14" t="str">
        <f>IFERROR(INDEX(Cost_Components!$O$2:$O$27,MATCH(E623,Cost_Components!$A$2:$A$27,0)),"")</f>
        <v>Both</v>
      </c>
      <c r="AF623" s="11">
        <v>5723536.6088640904</v>
      </c>
      <c r="AG623" s="11">
        <v>5692359.1508176699</v>
      </c>
      <c r="AH623" s="21">
        <f t="shared" si="99"/>
        <v>1</v>
      </c>
    </row>
    <row r="624" spans="1:34" hidden="1">
      <c r="A624" t="s">
        <v>217</v>
      </c>
      <c r="B624" s="18">
        <v>2049</v>
      </c>
      <c r="C624" t="s">
        <v>217</v>
      </c>
      <c r="D624" t="s">
        <v>181</v>
      </c>
      <c r="E624" s="20" t="s">
        <v>315</v>
      </c>
      <c r="F624" s="20" t="s">
        <v>316</v>
      </c>
      <c r="G624" s="20" t="s">
        <v>221</v>
      </c>
      <c r="H624" s="20" t="s">
        <v>192</v>
      </c>
      <c r="I624" s="20" t="s">
        <v>264</v>
      </c>
      <c r="J624" s="15">
        <f>IFERROR(INDEX(Cost_Components!$K$2:$K$27,MATCH(E624,Cost_Components!$A$2:$A$27,0)),"")</f>
        <v>0.5</v>
      </c>
      <c r="K624" s="15">
        <f t="shared" si="90"/>
        <v>0.7811538461538462</v>
      </c>
      <c r="L624" s="15">
        <f>IFERROR(INDEX(Cost_Components!$S$2:$S$27,MATCH(E624,Cost_Components!$A$2:$A$27,0)),"")</f>
        <v>0.31</v>
      </c>
      <c r="M624" s="26">
        <f>IFERROR(INDEX(Cost_Components!$L$2:$L$27,MATCH(E624,Cost_Components!$A$2:$A$27,0)),"")</f>
        <v>1</v>
      </c>
      <c r="N624" s="27">
        <f>IFERROR(INDEX(Cost_Components!$P$2:$P$27,MATCH(E624,Cost_Components!$A$2:$A$27,0)),"")</f>
        <v>35.362648999999998</v>
      </c>
      <c r="O624" s="21">
        <f t="shared" si="91"/>
        <v>2894218.5555462148</v>
      </c>
      <c r="P624" s="21">
        <f t="shared" si="92"/>
        <v>2877561.9052454098</v>
      </c>
      <c r="Q624" s="21">
        <f t="shared" si="93"/>
        <v>31545045.605599049</v>
      </c>
      <c r="R624" s="21">
        <f t="shared" si="94"/>
        <v>79948936.192429498</v>
      </c>
      <c r="S624" s="21">
        <f t="shared" si="95"/>
        <v>48403890.586830452</v>
      </c>
      <c r="T624" s="14">
        <f>IFERROR(INDEX(Cost_Components!$R$2:$R$27,MATCH(E624,Cost_Components!$A$2:$A$27,0)),"")</f>
        <v>1</v>
      </c>
      <c r="U624" s="24">
        <f>IFERROR(INDEX(Cost_Components!$Q$2:$Q$27,MATCH(E624,Cost_Components!$A$2:$A$27,0)),"")</f>
        <v>2023</v>
      </c>
      <c r="V624" s="28">
        <f>1/(1+Calculation_Assumptions!$B$5)^(B624-Calculation_Assumptions!$B$2)</f>
        <v>0.49193373633950943</v>
      </c>
      <c r="W624" s="21">
        <f t="shared" si="96"/>
        <v>15518072.147762563</v>
      </c>
      <c r="X624" s="21">
        <f t="shared" si="97"/>
        <v>39329578.897510879</v>
      </c>
      <c r="Y624" s="21">
        <f t="shared" si="98"/>
        <v>23811506.749748316</v>
      </c>
      <c r="Z624" s="15">
        <f>IFERROR(INDEX(Cost_Components!$T$2:$T$27,MATCH(E624,Cost_Components!$A$2:$A$27,0)),"")</f>
        <v>0.8</v>
      </c>
      <c r="AA624" s="24">
        <f>IFERROR(INDEX(Cost_Components!$U$2:$U$27,MATCH(E624,Cost_Components!$A$2:$A$27,0)),"")</f>
        <v>2025</v>
      </c>
      <c r="AB624" s="24">
        <f>IFERROR(INDEX(Cost_Components!$V$2:$V$27,MATCH(E624,Cost_Components!$A$2:$A$27,0)),"")</f>
        <v>2050</v>
      </c>
      <c r="AC624" s="24">
        <f>IFERROR(INDEX(Cost_Components!$M$2:$M$27,MATCH(E624,Cost_Components!$A$2:$A$27,0)),"")</f>
        <v>30</v>
      </c>
      <c r="AD624" s="24">
        <f>IFERROR(INDEX(Cost_Components!$N$2:$N$27,MATCH(E624,Cost_Components!$A$2:$A$27,0)),"")</f>
        <v>95</v>
      </c>
      <c r="AE624" s="14" t="str">
        <f>IFERROR(INDEX(Cost_Components!$O$2:$O$27,MATCH(E624,Cost_Components!$A$2:$A$27,0)),"")</f>
        <v>Both</v>
      </c>
      <c r="AF624" s="11">
        <v>5788437.1110924296</v>
      </c>
      <c r="AG624" s="11">
        <v>5755123.8104908196</v>
      </c>
      <c r="AH624" s="21">
        <f t="shared" si="99"/>
        <v>1</v>
      </c>
    </row>
    <row r="625" spans="1:34" hidden="1">
      <c r="A625" t="s">
        <v>217</v>
      </c>
      <c r="B625" s="18">
        <v>2050</v>
      </c>
      <c r="C625" t="s">
        <v>217</v>
      </c>
      <c r="D625" t="s">
        <v>181</v>
      </c>
      <c r="E625" s="20" t="s">
        <v>315</v>
      </c>
      <c r="F625" s="20" t="s">
        <v>316</v>
      </c>
      <c r="G625" s="20" t="s">
        <v>221</v>
      </c>
      <c r="H625" s="20" t="s">
        <v>192</v>
      </c>
      <c r="I625" s="20" t="s">
        <v>264</v>
      </c>
      <c r="J625" s="15">
        <f>IFERROR(INDEX(Cost_Components!$K$2:$K$27,MATCH(E625,Cost_Components!$A$2:$A$27,0)),"")</f>
        <v>0.5</v>
      </c>
      <c r="K625" s="15">
        <f t="shared" si="90"/>
        <v>0.8</v>
      </c>
      <c r="L625" s="15">
        <f>IFERROR(INDEX(Cost_Components!$S$2:$S$27,MATCH(E625,Cost_Components!$A$2:$A$27,0)),"")</f>
        <v>0.31</v>
      </c>
      <c r="M625" s="26">
        <f>IFERROR(INDEX(Cost_Components!$L$2:$L$27,MATCH(E625,Cost_Components!$A$2:$A$27,0)),"")</f>
        <v>1</v>
      </c>
      <c r="N625" s="27">
        <f>IFERROR(INDEX(Cost_Components!$P$2:$P$27,MATCH(E625,Cost_Components!$A$2:$A$27,0)),"")</f>
        <v>35.362648999999998</v>
      </c>
      <c r="O625" s="21">
        <f t="shared" si="91"/>
        <v>2924867.3459290401</v>
      </c>
      <c r="P625" s="21">
        <f t="shared" si="92"/>
        <v>2907132.4074879298</v>
      </c>
      <c r="Q625" s="21">
        <f t="shared" si="93"/>
        <v>31869209.905981392</v>
      </c>
      <c r="R625" s="21">
        <f t="shared" si="94"/>
        <v>82744845.860520184</v>
      </c>
      <c r="S625" s="21">
        <f t="shared" si="95"/>
        <v>50875635.954538792</v>
      </c>
      <c r="T625" s="14">
        <f>IFERROR(INDEX(Cost_Components!$R$2:$R$27,MATCH(E625,Cost_Components!$A$2:$A$27,0)),"")</f>
        <v>1</v>
      </c>
      <c r="U625" s="24">
        <f>IFERROR(INDEX(Cost_Components!$Q$2:$Q$27,MATCH(E625,Cost_Components!$A$2:$A$27,0)),"")</f>
        <v>2023</v>
      </c>
      <c r="V625" s="28">
        <f>1/(1+Calculation_Assumptions!$B$5)^(B625-Calculation_Assumptions!$B$2)</f>
        <v>0.47760556926165965</v>
      </c>
      <c r="W625" s="21">
        <f t="shared" si="96"/>
        <v>15220912.139065566</v>
      </c>
      <c r="X625" s="21">
        <f t="shared" si="97"/>
        <v>39519399.210682027</v>
      </c>
      <c r="Y625" s="21">
        <f t="shared" si="98"/>
        <v>24298487.07161646</v>
      </c>
      <c r="Z625" s="15">
        <f>IFERROR(INDEX(Cost_Components!$T$2:$T$27,MATCH(E625,Cost_Components!$A$2:$A$27,0)),"")</f>
        <v>0.8</v>
      </c>
      <c r="AA625" s="24">
        <f>IFERROR(INDEX(Cost_Components!$U$2:$U$27,MATCH(E625,Cost_Components!$A$2:$A$27,0)),"")</f>
        <v>2025</v>
      </c>
      <c r="AB625" s="24">
        <f>IFERROR(INDEX(Cost_Components!$V$2:$V$27,MATCH(E625,Cost_Components!$A$2:$A$27,0)),"")</f>
        <v>2050</v>
      </c>
      <c r="AC625" s="24">
        <f>IFERROR(INDEX(Cost_Components!$M$2:$M$27,MATCH(E625,Cost_Components!$A$2:$A$27,0)),"")</f>
        <v>30</v>
      </c>
      <c r="AD625" s="24">
        <f>IFERROR(INDEX(Cost_Components!$N$2:$N$27,MATCH(E625,Cost_Components!$A$2:$A$27,0)),"")</f>
        <v>95</v>
      </c>
      <c r="AE625" s="14" t="str">
        <f>IFERROR(INDEX(Cost_Components!$O$2:$O$27,MATCH(E625,Cost_Components!$A$2:$A$27,0)),"")</f>
        <v>Both</v>
      </c>
      <c r="AF625" s="11">
        <v>5849734.6918580802</v>
      </c>
      <c r="AG625" s="11">
        <v>5814264.8149758596</v>
      </c>
      <c r="AH625" s="21">
        <f t="shared" si="99"/>
        <v>1</v>
      </c>
    </row>
    <row r="626" spans="1:34" hidden="1">
      <c r="A626" t="s">
        <v>217</v>
      </c>
      <c r="B626" s="18">
        <v>2025</v>
      </c>
      <c r="C626" t="s">
        <v>217</v>
      </c>
      <c r="D626" t="s">
        <v>181</v>
      </c>
      <c r="E626" s="20" t="s">
        <v>317</v>
      </c>
      <c r="F626" s="20" t="s">
        <v>318</v>
      </c>
      <c r="G626" s="20" t="s">
        <v>221</v>
      </c>
      <c r="H626" s="20" t="s">
        <v>192</v>
      </c>
      <c r="I626" s="20" t="s">
        <v>264</v>
      </c>
      <c r="J626" s="15">
        <f>IFERROR(INDEX(Cost_Components!$K$2:$K$27,MATCH(E626,Cost_Components!$A$2:$A$27,0)),"")</f>
        <v>0.5</v>
      </c>
      <c r="K626" s="15">
        <f t="shared" si="90"/>
        <v>0.32884615384615384</v>
      </c>
      <c r="L626" s="15">
        <f>IFERROR(INDEX(Cost_Components!$S$2:$S$27,MATCH(E626,Cost_Components!$A$2:$A$27,0)),"")</f>
        <v>0.31</v>
      </c>
      <c r="M626" s="26">
        <f>IFERROR(INDEX(Cost_Components!$L$2:$L$27,MATCH(E626,Cost_Components!$A$2:$A$27,0)),"")</f>
        <v>1</v>
      </c>
      <c r="N626" s="27">
        <f>IFERROR(INDEX(Cost_Components!$P$2:$P$27,MATCH(E626,Cost_Components!$A$2:$A$27,0)),"")</f>
        <v>119.721487</v>
      </c>
      <c r="O626" s="21">
        <f t="shared" si="91"/>
        <v>1703547.9018162901</v>
      </c>
      <c r="P626" s="21">
        <f t="shared" si="92"/>
        <v>1703486.5640634249</v>
      </c>
      <c r="Q626" s="21">
        <f t="shared" si="93"/>
        <v>63222622.805600137</v>
      </c>
      <c r="R626" s="21">
        <f t="shared" si="94"/>
        <v>67068596.624579109</v>
      </c>
      <c r="S626" s="21">
        <f t="shared" si="95"/>
        <v>3845973.8189789727</v>
      </c>
      <c r="T626" s="14">
        <f>IFERROR(INDEX(Cost_Components!$R$2:$R$27,MATCH(E626,Cost_Components!$A$2:$A$27,0)),"")</f>
        <v>1</v>
      </c>
      <c r="U626" s="24">
        <f>IFERROR(INDEX(Cost_Components!$Q$2:$Q$27,MATCH(E626,Cost_Components!$A$2:$A$27,0)),"")</f>
        <v>2023</v>
      </c>
      <c r="V626" s="28">
        <f>1/(1+Calculation_Assumptions!$B$5)^(B626-Calculation_Assumptions!$B$2)</f>
        <v>1</v>
      </c>
      <c r="W626" s="21">
        <f t="shared" si="96"/>
        <v>63222622.805600137</v>
      </c>
      <c r="X626" s="21">
        <f t="shared" si="97"/>
        <v>67068596.624579109</v>
      </c>
      <c r="Y626" s="21">
        <f t="shared" si="98"/>
        <v>3845973.8189789727</v>
      </c>
      <c r="Z626" s="15">
        <f>IFERROR(INDEX(Cost_Components!$T$2:$T$27,MATCH(E626,Cost_Components!$A$2:$A$27,0)),"")</f>
        <v>0.8</v>
      </c>
      <c r="AA626" s="24">
        <f>IFERROR(INDEX(Cost_Components!$U$2:$U$27,MATCH(E626,Cost_Components!$A$2:$A$27,0)),"")</f>
        <v>2025</v>
      </c>
      <c r="AB626" s="24">
        <f>IFERROR(INDEX(Cost_Components!$V$2:$V$27,MATCH(E626,Cost_Components!$A$2:$A$27,0)),"")</f>
        <v>2050</v>
      </c>
      <c r="AC626" s="24">
        <f>IFERROR(INDEX(Cost_Components!$M$2:$M$27,MATCH(E626,Cost_Components!$A$2:$A$27,0)),"")</f>
        <v>30</v>
      </c>
      <c r="AD626" s="24">
        <f>IFERROR(INDEX(Cost_Components!$N$2:$N$27,MATCH(E626,Cost_Components!$A$2:$A$27,0)),"")</f>
        <v>95</v>
      </c>
      <c r="AE626" s="14" t="str">
        <f>IFERROR(INDEX(Cost_Components!$O$2:$O$27,MATCH(E626,Cost_Components!$A$2:$A$27,0)),"")</f>
        <v>Both</v>
      </c>
      <c r="AF626" s="11">
        <v>3407095.8036325802</v>
      </c>
      <c r="AG626" s="11">
        <v>3406973.1281268499</v>
      </c>
      <c r="AH626" s="21">
        <f t="shared" si="99"/>
        <v>1</v>
      </c>
    </row>
    <row r="627" spans="1:34" hidden="1">
      <c r="A627" t="s">
        <v>217</v>
      </c>
      <c r="B627" s="18">
        <v>2026</v>
      </c>
      <c r="C627" t="s">
        <v>217</v>
      </c>
      <c r="D627" t="s">
        <v>181</v>
      </c>
      <c r="E627" s="20" t="s">
        <v>317</v>
      </c>
      <c r="F627" s="20" t="s">
        <v>318</v>
      </c>
      <c r="G627" s="20" t="s">
        <v>221</v>
      </c>
      <c r="H627" s="20" t="s">
        <v>192</v>
      </c>
      <c r="I627" s="20" t="s">
        <v>264</v>
      </c>
      <c r="J627" s="15">
        <f>IFERROR(INDEX(Cost_Components!$K$2:$K$27,MATCH(E627,Cost_Components!$A$2:$A$27,0)),"")</f>
        <v>0.5</v>
      </c>
      <c r="K627" s="15">
        <f t="shared" si="90"/>
        <v>0.34769230769230769</v>
      </c>
      <c r="L627" s="15">
        <f>IFERROR(INDEX(Cost_Components!$S$2:$S$27,MATCH(E627,Cost_Components!$A$2:$A$27,0)),"")</f>
        <v>0.31</v>
      </c>
      <c r="M627" s="26">
        <f>IFERROR(INDEX(Cost_Components!$L$2:$L$27,MATCH(E627,Cost_Components!$A$2:$A$27,0)),"")</f>
        <v>1</v>
      </c>
      <c r="N627" s="27">
        <f>IFERROR(INDEX(Cost_Components!$P$2:$P$27,MATCH(E627,Cost_Components!$A$2:$A$27,0)),"")</f>
        <v>119.721487</v>
      </c>
      <c r="O627" s="21">
        <f t="shared" si="91"/>
        <v>1762087.4832118051</v>
      </c>
      <c r="P627" s="21">
        <f t="shared" si="92"/>
        <v>1761903.9857134901</v>
      </c>
      <c r="Q627" s="21">
        <f t="shared" si="93"/>
        <v>65390707.187462188</v>
      </c>
      <c r="R627" s="21">
        <f t="shared" si="94"/>
        <v>73349076.645246595</v>
      </c>
      <c r="S627" s="21">
        <f t="shared" si="95"/>
        <v>7958369.4577844068</v>
      </c>
      <c r="T627" s="14">
        <f>IFERROR(INDEX(Cost_Components!$R$2:$R$27,MATCH(E627,Cost_Components!$A$2:$A$27,0)),"")</f>
        <v>1</v>
      </c>
      <c r="U627" s="24">
        <f>IFERROR(INDEX(Cost_Components!$Q$2:$Q$27,MATCH(E627,Cost_Components!$A$2:$A$27,0)),"")</f>
        <v>2023</v>
      </c>
      <c r="V627" s="28">
        <f>1/(1+Calculation_Assumptions!$B$5)^(B627-Calculation_Assumptions!$B$2)</f>
        <v>0.970873786407767</v>
      </c>
      <c r="W627" s="21">
        <f t="shared" si="96"/>
        <v>63486123.482973002</v>
      </c>
      <c r="X627" s="21">
        <f t="shared" si="97"/>
        <v>71212695.772084072</v>
      </c>
      <c r="Y627" s="21">
        <f t="shared" si="98"/>
        <v>7726572.289111075</v>
      </c>
      <c r="Z627" s="15">
        <f>IFERROR(INDEX(Cost_Components!$T$2:$T$27,MATCH(E627,Cost_Components!$A$2:$A$27,0)),"")</f>
        <v>0.8</v>
      </c>
      <c r="AA627" s="24">
        <f>IFERROR(INDEX(Cost_Components!$U$2:$U$27,MATCH(E627,Cost_Components!$A$2:$A$27,0)),"")</f>
        <v>2025</v>
      </c>
      <c r="AB627" s="24">
        <f>IFERROR(INDEX(Cost_Components!$V$2:$V$27,MATCH(E627,Cost_Components!$A$2:$A$27,0)),"")</f>
        <v>2050</v>
      </c>
      <c r="AC627" s="24">
        <f>IFERROR(INDEX(Cost_Components!$M$2:$M$27,MATCH(E627,Cost_Components!$A$2:$A$27,0)),"")</f>
        <v>30</v>
      </c>
      <c r="AD627" s="24">
        <f>IFERROR(INDEX(Cost_Components!$N$2:$N$27,MATCH(E627,Cost_Components!$A$2:$A$27,0)),"")</f>
        <v>95</v>
      </c>
      <c r="AE627" s="14" t="str">
        <f>IFERROR(INDEX(Cost_Components!$O$2:$O$27,MATCH(E627,Cost_Components!$A$2:$A$27,0)),"")</f>
        <v>Both</v>
      </c>
      <c r="AF627" s="11">
        <v>3524174.9664236102</v>
      </c>
      <c r="AG627" s="11">
        <v>3523807.9714269801</v>
      </c>
      <c r="AH627" s="21">
        <f t="shared" si="99"/>
        <v>1</v>
      </c>
    </row>
    <row r="628" spans="1:34" hidden="1">
      <c r="A628" t="s">
        <v>217</v>
      </c>
      <c r="B628" s="18">
        <v>2027</v>
      </c>
      <c r="C628" t="s">
        <v>217</v>
      </c>
      <c r="D628" t="s">
        <v>181</v>
      </c>
      <c r="E628" s="20" t="s">
        <v>317</v>
      </c>
      <c r="F628" s="20" t="s">
        <v>318</v>
      </c>
      <c r="G628" s="20" t="s">
        <v>221</v>
      </c>
      <c r="H628" s="20" t="s">
        <v>192</v>
      </c>
      <c r="I628" s="20" t="s">
        <v>264</v>
      </c>
      <c r="J628" s="15">
        <f>IFERROR(INDEX(Cost_Components!$K$2:$K$27,MATCH(E628,Cost_Components!$A$2:$A$27,0)),"")</f>
        <v>0.5</v>
      </c>
      <c r="K628" s="15">
        <f t="shared" si="90"/>
        <v>0.36653846153846154</v>
      </c>
      <c r="L628" s="15">
        <f>IFERROR(INDEX(Cost_Components!$S$2:$S$27,MATCH(E628,Cost_Components!$A$2:$A$27,0)),"")</f>
        <v>0.31</v>
      </c>
      <c r="M628" s="26">
        <f>IFERROR(INDEX(Cost_Components!$L$2:$L$27,MATCH(E628,Cost_Components!$A$2:$A$27,0)),"")</f>
        <v>1</v>
      </c>
      <c r="N628" s="27">
        <f>IFERROR(INDEX(Cost_Components!$P$2:$P$27,MATCH(E628,Cost_Components!$A$2:$A$27,0)),"")</f>
        <v>119.721487</v>
      </c>
      <c r="O628" s="21">
        <f t="shared" si="91"/>
        <v>1820316.628979035</v>
      </c>
      <c r="P628" s="21">
        <f t="shared" si="92"/>
        <v>1819950.91682366</v>
      </c>
      <c r="Q628" s="21">
        <f t="shared" si="93"/>
        <v>67545041.309033975</v>
      </c>
      <c r="R628" s="21">
        <f t="shared" si="94"/>
        <v>79880098.458263099</v>
      </c>
      <c r="S628" s="21">
        <f t="shared" si="95"/>
        <v>12335057.149229124</v>
      </c>
      <c r="T628" s="14">
        <f>IFERROR(INDEX(Cost_Components!$R$2:$R$27,MATCH(E628,Cost_Components!$A$2:$A$27,0)),"")</f>
        <v>1</v>
      </c>
      <c r="U628" s="24">
        <f>IFERROR(INDEX(Cost_Components!$Q$2:$Q$27,MATCH(E628,Cost_Components!$A$2:$A$27,0)),"")</f>
        <v>2023</v>
      </c>
      <c r="V628" s="28">
        <f>1/(1+Calculation_Assumptions!$B$5)^(B628-Calculation_Assumptions!$B$2)</f>
        <v>0.94259590913375435</v>
      </c>
      <c r="W628" s="21">
        <f t="shared" si="96"/>
        <v>63667679.62016587</v>
      </c>
      <c r="X628" s="21">
        <f t="shared" si="97"/>
        <v>75294654.027960315</v>
      </c>
      <c r="Y628" s="21">
        <f t="shared" si="98"/>
        <v>11626974.407794442</v>
      </c>
      <c r="Z628" s="15">
        <f>IFERROR(INDEX(Cost_Components!$T$2:$T$27,MATCH(E628,Cost_Components!$A$2:$A$27,0)),"")</f>
        <v>0.8</v>
      </c>
      <c r="AA628" s="24">
        <f>IFERROR(INDEX(Cost_Components!$U$2:$U$27,MATCH(E628,Cost_Components!$A$2:$A$27,0)),"")</f>
        <v>2025</v>
      </c>
      <c r="AB628" s="24">
        <f>IFERROR(INDEX(Cost_Components!$V$2:$V$27,MATCH(E628,Cost_Components!$A$2:$A$27,0)),"")</f>
        <v>2050</v>
      </c>
      <c r="AC628" s="24">
        <f>IFERROR(INDEX(Cost_Components!$M$2:$M$27,MATCH(E628,Cost_Components!$A$2:$A$27,0)),"")</f>
        <v>30</v>
      </c>
      <c r="AD628" s="24">
        <f>IFERROR(INDEX(Cost_Components!$N$2:$N$27,MATCH(E628,Cost_Components!$A$2:$A$27,0)),"")</f>
        <v>95</v>
      </c>
      <c r="AE628" s="14" t="str">
        <f>IFERROR(INDEX(Cost_Components!$O$2:$O$27,MATCH(E628,Cost_Components!$A$2:$A$27,0)),"")</f>
        <v>Both</v>
      </c>
      <c r="AF628" s="11">
        <v>3640633.2579580699</v>
      </c>
      <c r="AG628" s="11">
        <v>3639901.83364732</v>
      </c>
      <c r="AH628" s="21">
        <f t="shared" si="99"/>
        <v>1</v>
      </c>
    </row>
    <row r="629" spans="1:34" hidden="1">
      <c r="A629" t="s">
        <v>217</v>
      </c>
      <c r="B629" s="18">
        <v>2028</v>
      </c>
      <c r="C629" t="s">
        <v>217</v>
      </c>
      <c r="D629" t="s">
        <v>181</v>
      </c>
      <c r="E629" s="20" t="s">
        <v>317</v>
      </c>
      <c r="F629" s="20" t="s">
        <v>318</v>
      </c>
      <c r="G629" s="20" t="s">
        <v>221</v>
      </c>
      <c r="H629" s="20" t="s">
        <v>192</v>
      </c>
      <c r="I629" s="20" t="s">
        <v>264</v>
      </c>
      <c r="J629" s="15">
        <f>IFERROR(INDEX(Cost_Components!$K$2:$K$27,MATCH(E629,Cost_Components!$A$2:$A$27,0)),"")</f>
        <v>0.5</v>
      </c>
      <c r="K629" s="15">
        <f t="shared" si="90"/>
        <v>0.38538461538461538</v>
      </c>
      <c r="L629" s="15">
        <f>IFERROR(INDEX(Cost_Components!$S$2:$S$27,MATCH(E629,Cost_Components!$A$2:$A$27,0)),"")</f>
        <v>0.31</v>
      </c>
      <c r="M629" s="26">
        <f>IFERROR(INDEX(Cost_Components!$L$2:$L$27,MATCH(E629,Cost_Components!$A$2:$A$27,0)),"")</f>
        <v>1</v>
      </c>
      <c r="N629" s="27">
        <f>IFERROR(INDEX(Cost_Components!$P$2:$P$27,MATCH(E629,Cost_Components!$A$2:$A$27,0)),"")</f>
        <v>119.721487</v>
      </c>
      <c r="O629" s="21">
        <f t="shared" si="91"/>
        <v>1878289.3969633901</v>
      </c>
      <c r="P629" s="21">
        <f t="shared" si="92"/>
        <v>1877682.3623644749</v>
      </c>
      <c r="Q629" s="21">
        <f t="shared" si="93"/>
        <v>69687666.606143802</v>
      </c>
      <c r="R629" s="21">
        <f t="shared" si="94"/>
        <v>86662054.930781513</v>
      </c>
      <c r="S629" s="21">
        <f t="shared" si="95"/>
        <v>16974388.324637711</v>
      </c>
      <c r="T629" s="14">
        <f>IFERROR(INDEX(Cost_Components!$R$2:$R$27,MATCH(E629,Cost_Components!$A$2:$A$27,0)),"")</f>
        <v>1</v>
      </c>
      <c r="U629" s="24">
        <f>IFERROR(INDEX(Cost_Components!$Q$2:$Q$27,MATCH(E629,Cost_Components!$A$2:$A$27,0)),"")</f>
        <v>2023</v>
      </c>
      <c r="V629" s="28">
        <f>1/(1+Calculation_Assumptions!$B$5)^(B629-Calculation_Assumptions!$B$2)</f>
        <v>0.91514165935315961</v>
      </c>
      <c r="W629" s="21">
        <f t="shared" si="96"/>
        <v>63774086.854396209</v>
      </c>
      <c r="X629" s="21">
        <f t="shared" si="97"/>
        <v>79308056.752310067</v>
      </c>
      <c r="Y629" s="21">
        <f t="shared" si="98"/>
        <v>15533969.897913855</v>
      </c>
      <c r="Z629" s="15">
        <f>IFERROR(INDEX(Cost_Components!$T$2:$T$27,MATCH(E629,Cost_Components!$A$2:$A$27,0)),"")</f>
        <v>0.8</v>
      </c>
      <c r="AA629" s="24">
        <f>IFERROR(INDEX(Cost_Components!$U$2:$U$27,MATCH(E629,Cost_Components!$A$2:$A$27,0)),"")</f>
        <v>2025</v>
      </c>
      <c r="AB629" s="24">
        <f>IFERROR(INDEX(Cost_Components!$V$2:$V$27,MATCH(E629,Cost_Components!$A$2:$A$27,0)),"")</f>
        <v>2050</v>
      </c>
      <c r="AC629" s="24">
        <f>IFERROR(INDEX(Cost_Components!$M$2:$M$27,MATCH(E629,Cost_Components!$A$2:$A$27,0)),"")</f>
        <v>30</v>
      </c>
      <c r="AD629" s="24">
        <f>IFERROR(INDEX(Cost_Components!$N$2:$N$27,MATCH(E629,Cost_Components!$A$2:$A$27,0)),"")</f>
        <v>95</v>
      </c>
      <c r="AE629" s="14" t="str">
        <f>IFERROR(INDEX(Cost_Components!$O$2:$O$27,MATCH(E629,Cost_Components!$A$2:$A$27,0)),"")</f>
        <v>Both</v>
      </c>
      <c r="AF629" s="11">
        <v>3756578.7939267801</v>
      </c>
      <c r="AG629" s="11">
        <v>3755364.7247289498</v>
      </c>
      <c r="AH629" s="21">
        <f t="shared" si="99"/>
        <v>1</v>
      </c>
    </row>
    <row r="630" spans="1:34" hidden="1">
      <c r="A630" t="s">
        <v>217</v>
      </c>
      <c r="B630" s="18">
        <v>2029</v>
      </c>
      <c r="C630" t="s">
        <v>217</v>
      </c>
      <c r="D630" t="s">
        <v>181</v>
      </c>
      <c r="E630" s="20" t="s">
        <v>317</v>
      </c>
      <c r="F630" s="20" t="s">
        <v>318</v>
      </c>
      <c r="G630" s="20" t="s">
        <v>221</v>
      </c>
      <c r="H630" s="20" t="s">
        <v>192</v>
      </c>
      <c r="I630" s="20" t="s">
        <v>264</v>
      </c>
      <c r="J630" s="15">
        <f>IFERROR(INDEX(Cost_Components!$K$2:$K$27,MATCH(E630,Cost_Components!$A$2:$A$27,0)),"")</f>
        <v>0.5</v>
      </c>
      <c r="K630" s="15">
        <f t="shared" si="90"/>
        <v>0.40423076923076923</v>
      </c>
      <c r="L630" s="15">
        <f>IFERROR(INDEX(Cost_Components!$S$2:$S$27,MATCH(E630,Cost_Components!$A$2:$A$27,0)),"")</f>
        <v>0.31</v>
      </c>
      <c r="M630" s="26">
        <f>IFERROR(INDEX(Cost_Components!$L$2:$L$27,MATCH(E630,Cost_Components!$A$2:$A$27,0)),"")</f>
        <v>1</v>
      </c>
      <c r="N630" s="27">
        <f>IFERROR(INDEX(Cost_Components!$P$2:$P$27,MATCH(E630,Cost_Components!$A$2:$A$27,0)),"")</f>
        <v>119.721487</v>
      </c>
      <c r="O630" s="21">
        <f t="shared" si="91"/>
        <v>1935930.0959509551</v>
      </c>
      <c r="P630" s="21">
        <f t="shared" si="92"/>
        <v>1935023.6340378199</v>
      </c>
      <c r="Q630" s="21">
        <f t="shared" si="93"/>
        <v>71815811.122617006</v>
      </c>
      <c r="R630" s="21">
        <f t="shared" si="94"/>
        <v>93689547.590723604</v>
      </c>
      <c r="S630" s="21">
        <f t="shared" si="95"/>
        <v>21873736.468106598</v>
      </c>
      <c r="T630" s="14">
        <f>IFERROR(INDEX(Cost_Components!$R$2:$R$27,MATCH(E630,Cost_Components!$A$2:$A$27,0)),"")</f>
        <v>1</v>
      </c>
      <c r="U630" s="24">
        <f>IFERROR(INDEX(Cost_Components!$Q$2:$Q$27,MATCH(E630,Cost_Components!$A$2:$A$27,0)),"")</f>
        <v>2023</v>
      </c>
      <c r="V630" s="28">
        <f>1/(1+Calculation_Assumptions!$B$5)^(B630-Calculation_Assumptions!$B$2)</f>
        <v>0.888487047915689</v>
      </c>
      <c r="W630" s="21">
        <f t="shared" si="96"/>
        <v>63807418.018004686</v>
      </c>
      <c r="X630" s="21">
        <f t="shared" si="97"/>
        <v>83241949.559438467</v>
      </c>
      <c r="Y630" s="21">
        <f t="shared" si="98"/>
        <v>19434531.541433781</v>
      </c>
      <c r="Z630" s="15">
        <f>IFERROR(INDEX(Cost_Components!$T$2:$T$27,MATCH(E630,Cost_Components!$A$2:$A$27,0)),"")</f>
        <v>0.8</v>
      </c>
      <c r="AA630" s="24">
        <f>IFERROR(INDEX(Cost_Components!$U$2:$U$27,MATCH(E630,Cost_Components!$A$2:$A$27,0)),"")</f>
        <v>2025</v>
      </c>
      <c r="AB630" s="24">
        <f>IFERROR(INDEX(Cost_Components!$V$2:$V$27,MATCH(E630,Cost_Components!$A$2:$A$27,0)),"")</f>
        <v>2050</v>
      </c>
      <c r="AC630" s="24">
        <f>IFERROR(INDEX(Cost_Components!$M$2:$M$27,MATCH(E630,Cost_Components!$A$2:$A$27,0)),"")</f>
        <v>30</v>
      </c>
      <c r="AD630" s="24">
        <f>IFERROR(INDEX(Cost_Components!$N$2:$N$27,MATCH(E630,Cost_Components!$A$2:$A$27,0)),"")</f>
        <v>95</v>
      </c>
      <c r="AE630" s="14" t="str">
        <f>IFERROR(INDEX(Cost_Components!$O$2:$O$27,MATCH(E630,Cost_Components!$A$2:$A$27,0)),"")</f>
        <v>Both</v>
      </c>
      <c r="AF630" s="11">
        <v>3871860.1919019101</v>
      </c>
      <c r="AG630" s="11">
        <v>3870047.2680756398</v>
      </c>
      <c r="AH630" s="21">
        <f t="shared" si="99"/>
        <v>1</v>
      </c>
    </row>
    <row r="631" spans="1:34" hidden="1">
      <c r="A631" t="s">
        <v>217</v>
      </c>
      <c r="B631" s="18">
        <v>2030</v>
      </c>
      <c r="C631" t="s">
        <v>217</v>
      </c>
      <c r="D631" t="s">
        <v>181</v>
      </c>
      <c r="E631" s="20" t="s">
        <v>317</v>
      </c>
      <c r="F631" s="20" t="s">
        <v>318</v>
      </c>
      <c r="G631" s="20" t="s">
        <v>221</v>
      </c>
      <c r="H631" s="20" t="s">
        <v>192</v>
      </c>
      <c r="I631" s="20" t="s">
        <v>264</v>
      </c>
      <c r="J631" s="15">
        <f>IFERROR(INDEX(Cost_Components!$K$2:$K$27,MATCH(E631,Cost_Components!$A$2:$A$27,0)),"")</f>
        <v>0.5</v>
      </c>
      <c r="K631" s="15">
        <f t="shared" si="90"/>
        <v>0.42307692307692307</v>
      </c>
      <c r="L631" s="15">
        <f>IFERROR(INDEX(Cost_Components!$S$2:$S$27,MATCH(E631,Cost_Components!$A$2:$A$27,0)),"")</f>
        <v>0.31</v>
      </c>
      <c r="M631" s="26">
        <f>IFERROR(INDEX(Cost_Components!$L$2:$L$27,MATCH(E631,Cost_Components!$A$2:$A$27,0)),"")</f>
        <v>1</v>
      </c>
      <c r="N631" s="27">
        <f>IFERROR(INDEX(Cost_Components!$P$2:$P$27,MATCH(E631,Cost_Components!$A$2:$A$27,0)),"")</f>
        <v>119.721487</v>
      </c>
      <c r="O631" s="21">
        <f t="shared" si="91"/>
        <v>1993277.440039465</v>
      </c>
      <c r="P631" s="21">
        <f t="shared" si="92"/>
        <v>1992013.9711835899</v>
      </c>
      <c r="Q631" s="21">
        <f t="shared" si="93"/>
        <v>73930931.174011096</v>
      </c>
      <c r="R631" s="21">
        <f t="shared" si="94"/>
        <v>100962289.62984072</v>
      </c>
      <c r="S631" s="21">
        <f t="shared" si="95"/>
        <v>27031358.45582962</v>
      </c>
      <c r="T631" s="14">
        <f>IFERROR(INDEX(Cost_Components!$R$2:$R$27,MATCH(E631,Cost_Components!$A$2:$A$27,0)),"")</f>
        <v>1</v>
      </c>
      <c r="U631" s="24">
        <f>IFERROR(INDEX(Cost_Components!$Q$2:$Q$27,MATCH(E631,Cost_Components!$A$2:$A$27,0)),"")</f>
        <v>2023</v>
      </c>
      <c r="V631" s="28">
        <f>1/(1+Calculation_Assumptions!$B$5)^(B631-Calculation_Assumptions!$B$2)</f>
        <v>0.86260878438416411</v>
      </c>
      <c r="W631" s="21">
        <f t="shared" si="96"/>
        <v>63773470.668403015</v>
      </c>
      <c r="X631" s="21">
        <f t="shared" si="97"/>
        <v>87090957.926238805</v>
      </c>
      <c r="Y631" s="21">
        <f t="shared" si="98"/>
        <v>23317487.257835783</v>
      </c>
      <c r="Z631" s="15">
        <f>IFERROR(INDEX(Cost_Components!$T$2:$T$27,MATCH(E631,Cost_Components!$A$2:$A$27,0)),"")</f>
        <v>0.8</v>
      </c>
      <c r="AA631" s="24">
        <f>IFERROR(INDEX(Cost_Components!$U$2:$U$27,MATCH(E631,Cost_Components!$A$2:$A$27,0)),"")</f>
        <v>2025</v>
      </c>
      <c r="AB631" s="24">
        <f>IFERROR(INDEX(Cost_Components!$V$2:$V$27,MATCH(E631,Cost_Components!$A$2:$A$27,0)),"")</f>
        <v>2050</v>
      </c>
      <c r="AC631" s="24">
        <f>IFERROR(INDEX(Cost_Components!$M$2:$M$27,MATCH(E631,Cost_Components!$A$2:$A$27,0)),"")</f>
        <v>30</v>
      </c>
      <c r="AD631" s="24">
        <f>IFERROR(INDEX(Cost_Components!$N$2:$N$27,MATCH(E631,Cost_Components!$A$2:$A$27,0)),"")</f>
        <v>95</v>
      </c>
      <c r="AE631" s="14" t="str">
        <f>IFERROR(INDEX(Cost_Components!$O$2:$O$27,MATCH(E631,Cost_Components!$A$2:$A$27,0)),"")</f>
        <v>Both</v>
      </c>
      <c r="AF631" s="11">
        <v>3986554.8800789299</v>
      </c>
      <c r="AG631" s="11">
        <v>3984027.9423671798</v>
      </c>
      <c r="AH631" s="21">
        <f t="shared" si="99"/>
        <v>1</v>
      </c>
    </row>
    <row r="632" spans="1:34" hidden="1">
      <c r="A632" t="s">
        <v>217</v>
      </c>
      <c r="B632" s="18">
        <v>2031</v>
      </c>
      <c r="C632" t="s">
        <v>217</v>
      </c>
      <c r="D632" t="s">
        <v>181</v>
      </c>
      <c r="E632" s="20" t="s">
        <v>317</v>
      </c>
      <c r="F632" s="20" t="s">
        <v>318</v>
      </c>
      <c r="G632" s="20" t="s">
        <v>221</v>
      </c>
      <c r="H632" s="20" t="s">
        <v>192</v>
      </c>
      <c r="I632" s="20" t="s">
        <v>264</v>
      </c>
      <c r="J632" s="15">
        <f>IFERROR(INDEX(Cost_Components!$K$2:$K$27,MATCH(E632,Cost_Components!$A$2:$A$27,0)),"")</f>
        <v>0.5</v>
      </c>
      <c r="K632" s="15">
        <f t="shared" si="90"/>
        <v>0.44192307692307692</v>
      </c>
      <c r="L632" s="15">
        <f>IFERROR(INDEX(Cost_Components!$S$2:$S$27,MATCH(E632,Cost_Components!$A$2:$A$27,0)),"")</f>
        <v>0.31</v>
      </c>
      <c r="M632" s="26">
        <f>IFERROR(INDEX(Cost_Components!$L$2:$L$27,MATCH(E632,Cost_Components!$A$2:$A$27,0)),"")</f>
        <v>1</v>
      </c>
      <c r="N632" s="27">
        <f>IFERROR(INDEX(Cost_Components!$P$2:$P$27,MATCH(E632,Cost_Components!$A$2:$A$27,0)),"")</f>
        <v>119.721487</v>
      </c>
      <c r="O632" s="21">
        <f t="shared" si="91"/>
        <v>2050377.6417162749</v>
      </c>
      <c r="P632" s="21">
        <f t="shared" si="92"/>
        <v>2048699.4216127051</v>
      </c>
      <c r="Q632" s="21">
        <f t="shared" si="93"/>
        <v>76034735.76316902</v>
      </c>
      <c r="R632" s="21">
        <f t="shared" si="94"/>
        <v>108480740.36320063</v>
      </c>
      <c r="S632" s="21">
        <f t="shared" si="95"/>
        <v>32446004.600031614</v>
      </c>
      <c r="T632" s="14">
        <f>IFERROR(INDEX(Cost_Components!$R$2:$R$27,MATCH(E632,Cost_Components!$A$2:$A$27,0)),"")</f>
        <v>1</v>
      </c>
      <c r="U632" s="24">
        <f>IFERROR(INDEX(Cost_Components!$Q$2:$Q$27,MATCH(E632,Cost_Components!$A$2:$A$27,0)),"")</f>
        <v>2023</v>
      </c>
      <c r="V632" s="28">
        <f>1/(1+Calculation_Assumptions!$B$5)^(B632-Calculation_Assumptions!$B$2)</f>
        <v>0.83748425668365445</v>
      </c>
      <c r="W632" s="21">
        <f t="shared" si="96"/>
        <v>63677894.162755683</v>
      </c>
      <c r="X632" s="21">
        <f t="shared" si="97"/>
        <v>90850912.207567587</v>
      </c>
      <c r="Y632" s="21">
        <f t="shared" si="98"/>
        <v>27173018.044811908</v>
      </c>
      <c r="Z632" s="15">
        <f>IFERROR(INDEX(Cost_Components!$T$2:$T$27,MATCH(E632,Cost_Components!$A$2:$A$27,0)),"")</f>
        <v>0.8</v>
      </c>
      <c r="AA632" s="24">
        <f>IFERROR(INDEX(Cost_Components!$U$2:$U$27,MATCH(E632,Cost_Components!$A$2:$A$27,0)),"")</f>
        <v>2025</v>
      </c>
      <c r="AB632" s="24">
        <f>IFERROR(INDEX(Cost_Components!$V$2:$V$27,MATCH(E632,Cost_Components!$A$2:$A$27,0)),"")</f>
        <v>2050</v>
      </c>
      <c r="AC632" s="24">
        <f>IFERROR(INDEX(Cost_Components!$M$2:$M$27,MATCH(E632,Cost_Components!$A$2:$A$27,0)),"")</f>
        <v>30</v>
      </c>
      <c r="AD632" s="24">
        <f>IFERROR(INDEX(Cost_Components!$N$2:$N$27,MATCH(E632,Cost_Components!$A$2:$A$27,0)),"")</f>
        <v>95</v>
      </c>
      <c r="AE632" s="14" t="str">
        <f>IFERROR(INDEX(Cost_Components!$O$2:$O$27,MATCH(E632,Cost_Components!$A$2:$A$27,0)),"")</f>
        <v>Both</v>
      </c>
      <c r="AF632" s="11">
        <v>4100755.2834325498</v>
      </c>
      <c r="AG632" s="11">
        <v>4097398.8432254102</v>
      </c>
      <c r="AH632" s="21">
        <f t="shared" si="99"/>
        <v>1</v>
      </c>
    </row>
    <row r="633" spans="1:34" hidden="1">
      <c r="A633" t="s">
        <v>217</v>
      </c>
      <c r="B633" s="18">
        <v>2032</v>
      </c>
      <c r="C633" t="s">
        <v>217</v>
      </c>
      <c r="D633" t="s">
        <v>181</v>
      </c>
      <c r="E633" s="20" t="s">
        <v>317</v>
      </c>
      <c r="F633" s="20" t="s">
        <v>318</v>
      </c>
      <c r="G633" s="20" t="s">
        <v>221</v>
      </c>
      <c r="H633" s="20" t="s">
        <v>192</v>
      </c>
      <c r="I633" s="20" t="s">
        <v>264</v>
      </c>
      <c r="J633" s="15">
        <f>IFERROR(INDEX(Cost_Components!$K$2:$K$27,MATCH(E633,Cost_Components!$A$2:$A$27,0)),"")</f>
        <v>0.5</v>
      </c>
      <c r="K633" s="15">
        <f t="shared" si="90"/>
        <v>0.46076923076923082</v>
      </c>
      <c r="L633" s="15">
        <f>IFERROR(INDEX(Cost_Components!$S$2:$S$27,MATCH(E633,Cost_Components!$A$2:$A$27,0)),"")</f>
        <v>0.31</v>
      </c>
      <c r="M633" s="26">
        <f>IFERROR(INDEX(Cost_Components!$L$2:$L$27,MATCH(E633,Cost_Components!$A$2:$A$27,0)),"")</f>
        <v>1</v>
      </c>
      <c r="N633" s="27">
        <f>IFERROR(INDEX(Cost_Components!$P$2:$P$27,MATCH(E633,Cost_Components!$A$2:$A$27,0)),"")</f>
        <v>119.721487</v>
      </c>
      <c r="O633" s="21">
        <f t="shared" si="91"/>
        <v>2107079.7473303401</v>
      </c>
      <c r="P633" s="21">
        <f t="shared" si="92"/>
        <v>2104929.2770836349</v>
      </c>
      <c r="Q633" s="21">
        <f t="shared" si="93"/>
        <v>78121631.55550921</v>
      </c>
      <c r="R633" s="21">
        <f t="shared" si="94"/>
        <v>116234899.71246584</v>
      </c>
      <c r="S633" s="21">
        <f t="shared" si="95"/>
        <v>38113268.156956628</v>
      </c>
      <c r="T633" s="14">
        <f>IFERROR(INDEX(Cost_Components!$R$2:$R$27,MATCH(E633,Cost_Components!$A$2:$A$27,0)),"")</f>
        <v>1</v>
      </c>
      <c r="U633" s="24">
        <f>IFERROR(INDEX(Cost_Components!$Q$2:$Q$27,MATCH(E633,Cost_Components!$A$2:$A$27,0)),"")</f>
        <v>2023</v>
      </c>
      <c r="V633" s="28">
        <f>1/(1+Calculation_Assumptions!$B$5)^(B633-Calculation_Assumptions!$B$2)</f>
        <v>0.81309151134335378</v>
      </c>
      <c r="W633" s="21">
        <f t="shared" si="96"/>
        <v>63520035.470077619</v>
      </c>
      <c r="X633" s="21">
        <f t="shared" si="97"/>
        <v>94509610.278052002</v>
      </c>
      <c r="Y633" s="21">
        <f t="shared" si="98"/>
        <v>30989574.807974383</v>
      </c>
      <c r="Z633" s="15">
        <f>IFERROR(INDEX(Cost_Components!$T$2:$T$27,MATCH(E633,Cost_Components!$A$2:$A$27,0)),"")</f>
        <v>0.8</v>
      </c>
      <c r="AA633" s="24">
        <f>IFERROR(INDEX(Cost_Components!$U$2:$U$27,MATCH(E633,Cost_Components!$A$2:$A$27,0)),"")</f>
        <v>2025</v>
      </c>
      <c r="AB633" s="24">
        <f>IFERROR(INDEX(Cost_Components!$V$2:$V$27,MATCH(E633,Cost_Components!$A$2:$A$27,0)),"")</f>
        <v>2050</v>
      </c>
      <c r="AC633" s="24">
        <f>IFERROR(INDEX(Cost_Components!$M$2:$M$27,MATCH(E633,Cost_Components!$A$2:$A$27,0)),"")</f>
        <v>30</v>
      </c>
      <c r="AD633" s="24">
        <f>IFERROR(INDEX(Cost_Components!$N$2:$N$27,MATCH(E633,Cost_Components!$A$2:$A$27,0)),"")</f>
        <v>95</v>
      </c>
      <c r="AE633" s="14" t="str">
        <f>IFERROR(INDEX(Cost_Components!$O$2:$O$27,MATCH(E633,Cost_Components!$A$2:$A$27,0)),"")</f>
        <v>Both</v>
      </c>
      <c r="AF633" s="11">
        <v>4214159.4946606802</v>
      </c>
      <c r="AG633" s="11">
        <v>4209858.5541672697</v>
      </c>
      <c r="AH633" s="21">
        <f t="shared" si="99"/>
        <v>1</v>
      </c>
    </row>
    <row r="634" spans="1:34" hidden="1">
      <c r="A634" t="s">
        <v>217</v>
      </c>
      <c r="B634" s="18">
        <v>2033</v>
      </c>
      <c r="C634" t="s">
        <v>217</v>
      </c>
      <c r="D634" t="s">
        <v>181</v>
      </c>
      <c r="E634" s="20" t="s">
        <v>317</v>
      </c>
      <c r="F634" s="20" t="s">
        <v>318</v>
      </c>
      <c r="G634" s="20" t="s">
        <v>221</v>
      </c>
      <c r="H634" s="20" t="s">
        <v>192</v>
      </c>
      <c r="I634" s="20" t="s">
        <v>264</v>
      </c>
      <c r="J634" s="15">
        <f>IFERROR(INDEX(Cost_Components!$K$2:$K$27,MATCH(E634,Cost_Components!$A$2:$A$27,0)),"")</f>
        <v>0.5</v>
      </c>
      <c r="K634" s="15">
        <f t="shared" si="90"/>
        <v>0.47961538461538467</v>
      </c>
      <c r="L634" s="15">
        <f>IFERROR(INDEX(Cost_Components!$S$2:$S$27,MATCH(E634,Cost_Components!$A$2:$A$27,0)),"")</f>
        <v>0.31</v>
      </c>
      <c r="M634" s="26">
        <f>IFERROR(INDEX(Cost_Components!$L$2:$L$27,MATCH(E634,Cost_Components!$A$2:$A$27,0)),"")</f>
        <v>1</v>
      </c>
      <c r="N634" s="27">
        <f>IFERROR(INDEX(Cost_Components!$P$2:$P$27,MATCH(E634,Cost_Components!$A$2:$A$27,0)),"")</f>
        <v>119.721487</v>
      </c>
      <c r="O634" s="21">
        <f t="shared" si="91"/>
        <v>2163109.2095111902</v>
      </c>
      <c r="P634" s="21">
        <f t="shared" si="92"/>
        <v>2160430.7980448301</v>
      </c>
      <c r="Q634" s="21">
        <f t="shared" si="93"/>
        <v>80181496.187782362</v>
      </c>
      <c r="R634" s="21">
        <f t="shared" si="94"/>
        <v>124206308.43433638</v>
      </c>
      <c r="S634" s="21">
        <f t="shared" si="95"/>
        <v>44024812.246554017</v>
      </c>
      <c r="T634" s="14">
        <f>IFERROR(INDEX(Cost_Components!$R$2:$R$27,MATCH(E634,Cost_Components!$A$2:$A$27,0)),"")</f>
        <v>1</v>
      </c>
      <c r="U634" s="24">
        <f>IFERROR(INDEX(Cost_Components!$Q$2:$Q$27,MATCH(E634,Cost_Components!$A$2:$A$27,0)),"")</f>
        <v>2023</v>
      </c>
      <c r="V634" s="28">
        <f>1/(1+Calculation_Assumptions!$B$5)^(B634-Calculation_Assumptions!$B$2)</f>
        <v>0.78940923431393573</v>
      </c>
      <c r="W634" s="21">
        <f t="shared" si="96"/>
        <v>63296013.511743031</v>
      </c>
      <c r="X634" s="21">
        <f t="shared" si="97"/>
        <v>98049606.838110015</v>
      </c>
      <c r="Y634" s="21">
        <f t="shared" si="98"/>
        <v>34753593.326366991</v>
      </c>
      <c r="Z634" s="15">
        <f>IFERROR(INDEX(Cost_Components!$T$2:$T$27,MATCH(E634,Cost_Components!$A$2:$A$27,0)),"")</f>
        <v>0.8</v>
      </c>
      <c r="AA634" s="24">
        <f>IFERROR(INDEX(Cost_Components!$U$2:$U$27,MATCH(E634,Cost_Components!$A$2:$A$27,0)),"")</f>
        <v>2025</v>
      </c>
      <c r="AB634" s="24">
        <f>IFERROR(INDEX(Cost_Components!$V$2:$V$27,MATCH(E634,Cost_Components!$A$2:$A$27,0)),"")</f>
        <v>2050</v>
      </c>
      <c r="AC634" s="24">
        <f>IFERROR(INDEX(Cost_Components!$M$2:$M$27,MATCH(E634,Cost_Components!$A$2:$A$27,0)),"")</f>
        <v>30</v>
      </c>
      <c r="AD634" s="24">
        <f>IFERROR(INDEX(Cost_Components!$N$2:$N$27,MATCH(E634,Cost_Components!$A$2:$A$27,0)),"")</f>
        <v>95</v>
      </c>
      <c r="AE634" s="14" t="str">
        <f>IFERROR(INDEX(Cost_Components!$O$2:$O$27,MATCH(E634,Cost_Components!$A$2:$A$27,0)),"")</f>
        <v>Both</v>
      </c>
      <c r="AF634" s="11">
        <v>4326218.4190223804</v>
      </c>
      <c r="AG634" s="11">
        <v>4320861.5960896602</v>
      </c>
      <c r="AH634" s="21">
        <f t="shared" si="99"/>
        <v>1</v>
      </c>
    </row>
    <row r="635" spans="1:34" hidden="1">
      <c r="A635" t="s">
        <v>217</v>
      </c>
      <c r="B635" s="18">
        <v>2034</v>
      </c>
      <c r="C635" t="s">
        <v>217</v>
      </c>
      <c r="D635" t="s">
        <v>181</v>
      </c>
      <c r="E635" s="20" t="s">
        <v>317</v>
      </c>
      <c r="F635" s="20" t="s">
        <v>318</v>
      </c>
      <c r="G635" s="20" t="s">
        <v>221</v>
      </c>
      <c r="H635" s="20" t="s">
        <v>192</v>
      </c>
      <c r="I635" s="20" t="s">
        <v>264</v>
      </c>
      <c r="J635" s="15">
        <f>IFERROR(INDEX(Cost_Components!$K$2:$K$27,MATCH(E635,Cost_Components!$A$2:$A$27,0)),"")</f>
        <v>0.5</v>
      </c>
      <c r="K635" s="15">
        <f t="shared" si="90"/>
        <v>0.49846153846153851</v>
      </c>
      <c r="L635" s="15">
        <f>IFERROR(INDEX(Cost_Components!$S$2:$S$27,MATCH(E635,Cost_Components!$A$2:$A$27,0)),"")</f>
        <v>0.31</v>
      </c>
      <c r="M635" s="26">
        <f>IFERROR(INDEX(Cost_Components!$L$2:$L$27,MATCH(E635,Cost_Components!$A$2:$A$27,0)),"")</f>
        <v>1</v>
      </c>
      <c r="N635" s="27">
        <f>IFERROR(INDEX(Cost_Components!$P$2:$P$27,MATCH(E635,Cost_Components!$A$2:$A$27,0)),"")</f>
        <v>119.721487</v>
      </c>
      <c r="O635" s="21">
        <f t="shared" si="91"/>
        <v>2218361.767565445</v>
      </c>
      <c r="P635" s="21">
        <f t="shared" si="92"/>
        <v>2215101.3819678351</v>
      </c>
      <c r="Q635" s="21">
        <f t="shared" si="93"/>
        <v>82210521.704532713</v>
      </c>
      <c r="R635" s="21">
        <f t="shared" si="94"/>
        <v>132384191.5745696</v>
      </c>
      <c r="S635" s="21">
        <f t="shared" si="95"/>
        <v>50173669.870036885</v>
      </c>
      <c r="T635" s="14">
        <f>IFERROR(INDEX(Cost_Components!$R$2:$R$27,MATCH(E635,Cost_Components!$A$2:$A$27,0)),"")</f>
        <v>1</v>
      </c>
      <c r="U635" s="24">
        <f>IFERROR(INDEX(Cost_Components!$Q$2:$Q$27,MATCH(E635,Cost_Components!$A$2:$A$27,0)),"")</f>
        <v>2023</v>
      </c>
      <c r="V635" s="28">
        <f>1/(1+Calculation_Assumptions!$B$5)^(B635-Calculation_Assumptions!$B$2)</f>
        <v>0.76641673234362695</v>
      </c>
      <c r="W635" s="21">
        <f t="shared" si="96"/>
        <v>63007519.409052782</v>
      </c>
      <c r="X635" s="21">
        <f t="shared" si="97"/>
        <v>101461459.52053434</v>
      </c>
      <c r="Y635" s="21">
        <f t="shared" si="98"/>
        <v>38453940.111481562</v>
      </c>
      <c r="Z635" s="15">
        <f>IFERROR(INDEX(Cost_Components!$T$2:$T$27,MATCH(E635,Cost_Components!$A$2:$A$27,0)),"")</f>
        <v>0.8</v>
      </c>
      <c r="AA635" s="24">
        <f>IFERROR(INDEX(Cost_Components!$U$2:$U$27,MATCH(E635,Cost_Components!$A$2:$A$27,0)),"")</f>
        <v>2025</v>
      </c>
      <c r="AB635" s="24">
        <f>IFERROR(INDEX(Cost_Components!$V$2:$V$27,MATCH(E635,Cost_Components!$A$2:$A$27,0)),"")</f>
        <v>2050</v>
      </c>
      <c r="AC635" s="24">
        <f>IFERROR(INDEX(Cost_Components!$M$2:$M$27,MATCH(E635,Cost_Components!$A$2:$A$27,0)),"")</f>
        <v>30</v>
      </c>
      <c r="AD635" s="24">
        <f>IFERROR(INDEX(Cost_Components!$N$2:$N$27,MATCH(E635,Cost_Components!$A$2:$A$27,0)),"")</f>
        <v>95</v>
      </c>
      <c r="AE635" s="14" t="str">
        <f>IFERROR(INDEX(Cost_Components!$O$2:$O$27,MATCH(E635,Cost_Components!$A$2:$A$27,0)),"")</f>
        <v>Both</v>
      </c>
      <c r="AF635" s="11">
        <v>4436723.5351308901</v>
      </c>
      <c r="AG635" s="11">
        <v>4430202.7639356703</v>
      </c>
      <c r="AH635" s="21">
        <f t="shared" si="99"/>
        <v>1</v>
      </c>
    </row>
    <row r="636" spans="1:34" hidden="1">
      <c r="A636" t="s">
        <v>217</v>
      </c>
      <c r="B636" s="18">
        <v>2035</v>
      </c>
      <c r="C636" t="s">
        <v>217</v>
      </c>
      <c r="D636" t="s">
        <v>181</v>
      </c>
      <c r="E636" s="20" t="s">
        <v>317</v>
      </c>
      <c r="F636" s="20" t="s">
        <v>318</v>
      </c>
      <c r="G636" s="20" t="s">
        <v>221</v>
      </c>
      <c r="H636" s="20" t="s">
        <v>192</v>
      </c>
      <c r="I636" s="20" t="s">
        <v>264</v>
      </c>
      <c r="J636" s="15">
        <f>IFERROR(INDEX(Cost_Components!$K$2:$K$27,MATCH(E636,Cost_Components!$A$2:$A$27,0)),"")</f>
        <v>0.5</v>
      </c>
      <c r="K636" s="15">
        <f t="shared" si="90"/>
        <v>0.51730769230769236</v>
      </c>
      <c r="L636" s="15">
        <f>IFERROR(INDEX(Cost_Components!$S$2:$S$27,MATCH(E636,Cost_Components!$A$2:$A$27,0)),"")</f>
        <v>0.31</v>
      </c>
      <c r="M636" s="26">
        <f>IFERROR(INDEX(Cost_Components!$L$2:$L$27,MATCH(E636,Cost_Components!$A$2:$A$27,0)),"")</f>
        <v>1</v>
      </c>
      <c r="N636" s="27">
        <f>IFERROR(INDEX(Cost_Components!$P$2:$P$27,MATCH(E636,Cost_Components!$A$2:$A$27,0)),"")</f>
        <v>119.721487</v>
      </c>
      <c r="O636" s="21">
        <f t="shared" si="91"/>
        <v>2272766.7685437398</v>
      </c>
      <c r="P636" s="21">
        <f t="shared" si="92"/>
        <v>2268872.7736903951</v>
      </c>
      <c r="Q636" s="21">
        <f t="shared" si="93"/>
        <v>84206174.906808853</v>
      </c>
      <c r="R636" s="21">
        <f t="shared" si="94"/>
        <v>140758914.63290563</v>
      </c>
      <c r="S636" s="21">
        <f t="shared" si="95"/>
        <v>56552739.726096779</v>
      </c>
      <c r="T636" s="14">
        <f>IFERROR(INDEX(Cost_Components!$R$2:$R$27,MATCH(E636,Cost_Components!$A$2:$A$27,0)),"")</f>
        <v>1</v>
      </c>
      <c r="U636" s="24">
        <f>IFERROR(INDEX(Cost_Components!$Q$2:$Q$27,MATCH(E636,Cost_Components!$A$2:$A$27,0)),"")</f>
        <v>2023</v>
      </c>
      <c r="V636" s="28">
        <f>1/(1+Calculation_Assumptions!$B$5)^(B636-Calculation_Assumptions!$B$2)</f>
        <v>0.74409391489672516</v>
      </c>
      <c r="W636" s="21">
        <f t="shared" si="96"/>
        <v>62657302.344885781</v>
      </c>
      <c r="X636" s="21">
        <f t="shared" si="97"/>
        <v>104737851.84581268</v>
      </c>
      <c r="Y636" s="21">
        <f t="shared" si="98"/>
        <v>42080549.500926904</v>
      </c>
      <c r="Z636" s="15">
        <f>IFERROR(INDEX(Cost_Components!$T$2:$T$27,MATCH(E636,Cost_Components!$A$2:$A$27,0)),"")</f>
        <v>0.8</v>
      </c>
      <c r="AA636" s="24">
        <f>IFERROR(INDEX(Cost_Components!$U$2:$U$27,MATCH(E636,Cost_Components!$A$2:$A$27,0)),"")</f>
        <v>2025</v>
      </c>
      <c r="AB636" s="24">
        <f>IFERROR(INDEX(Cost_Components!$V$2:$V$27,MATCH(E636,Cost_Components!$A$2:$A$27,0)),"")</f>
        <v>2050</v>
      </c>
      <c r="AC636" s="24">
        <f>IFERROR(INDEX(Cost_Components!$M$2:$M$27,MATCH(E636,Cost_Components!$A$2:$A$27,0)),"")</f>
        <v>30</v>
      </c>
      <c r="AD636" s="24">
        <f>IFERROR(INDEX(Cost_Components!$N$2:$N$27,MATCH(E636,Cost_Components!$A$2:$A$27,0)),"")</f>
        <v>95</v>
      </c>
      <c r="AE636" s="14" t="str">
        <f>IFERROR(INDEX(Cost_Components!$O$2:$O$27,MATCH(E636,Cost_Components!$A$2:$A$27,0)),"")</f>
        <v>Both</v>
      </c>
      <c r="AF636" s="11">
        <v>4545533.5370874796</v>
      </c>
      <c r="AG636" s="11">
        <v>4537745.5473807901</v>
      </c>
      <c r="AH636" s="21">
        <f t="shared" si="99"/>
        <v>1</v>
      </c>
    </row>
    <row r="637" spans="1:34" hidden="1">
      <c r="A637" t="s">
        <v>217</v>
      </c>
      <c r="B637" s="18">
        <v>2036</v>
      </c>
      <c r="C637" t="s">
        <v>217</v>
      </c>
      <c r="D637" t="s">
        <v>181</v>
      </c>
      <c r="E637" s="20" t="s">
        <v>317</v>
      </c>
      <c r="F637" s="20" t="s">
        <v>318</v>
      </c>
      <c r="G637" s="20" t="s">
        <v>221</v>
      </c>
      <c r="H637" s="20" t="s">
        <v>192</v>
      </c>
      <c r="I637" s="20" t="s">
        <v>264</v>
      </c>
      <c r="J637" s="15">
        <f>IFERROR(INDEX(Cost_Components!$K$2:$K$27,MATCH(E637,Cost_Components!$A$2:$A$27,0)),"")</f>
        <v>0.5</v>
      </c>
      <c r="K637" s="15">
        <f t="shared" si="90"/>
        <v>0.5361538461538462</v>
      </c>
      <c r="L637" s="15">
        <f>IFERROR(INDEX(Cost_Components!$S$2:$S$27,MATCH(E637,Cost_Components!$A$2:$A$27,0)),"")</f>
        <v>0.31</v>
      </c>
      <c r="M637" s="26">
        <f>IFERROR(INDEX(Cost_Components!$L$2:$L$27,MATCH(E637,Cost_Components!$A$2:$A$27,0)),"")</f>
        <v>1</v>
      </c>
      <c r="N637" s="27">
        <f>IFERROR(INDEX(Cost_Components!$P$2:$P$27,MATCH(E637,Cost_Components!$A$2:$A$27,0)),"")</f>
        <v>119.721487</v>
      </c>
      <c r="O637" s="21">
        <f t="shared" si="91"/>
        <v>2326223.0316740698</v>
      </c>
      <c r="P637" s="21">
        <f t="shared" si="92"/>
        <v>2321646.4260249049</v>
      </c>
      <c r="Q637" s="21">
        <f t="shared" si="93"/>
        <v>86164798.347700506</v>
      </c>
      <c r="R637" s="21">
        <f t="shared" si="94"/>
        <v>149318245.90048492</v>
      </c>
      <c r="S637" s="21">
        <f t="shared" si="95"/>
        <v>63153447.552784413</v>
      </c>
      <c r="T637" s="14">
        <f>IFERROR(INDEX(Cost_Components!$R$2:$R$27,MATCH(E637,Cost_Components!$A$2:$A$27,0)),"")</f>
        <v>1</v>
      </c>
      <c r="U637" s="24">
        <f>IFERROR(INDEX(Cost_Components!$Q$2:$Q$27,MATCH(E637,Cost_Components!$A$2:$A$27,0)),"")</f>
        <v>2023</v>
      </c>
      <c r="V637" s="28">
        <f>1/(1+Calculation_Assumptions!$B$5)^(B637-Calculation_Assumptions!$B$2)</f>
        <v>0.72242127659876232</v>
      </c>
      <c r="W637" s="21">
        <f t="shared" si="96"/>
        <v>62247283.620220728</v>
      </c>
      <c r="X637" s="21">
        <f t="shared" si="97"/>
        <v>107870677.82291622</v>
      </c>
      <c r="Y637" s="21">
        <f t="shared" si="98"/>
        <v>45623394.202695496</v>
      </c>
      <c r="Z637" s="15">
        <f>IFERROR(INDEX(Cost_Components!$T$2:$T$27,MATCH(E637,Cost_Components!$A$2:$A$27,0)),"")</f>
        <v>0.8</v>
      </c>
      <c r="AA637" s="24">
        <f>IFERROR(INDEX(Cost_Components!$U$2:$U$27,MATCH(E637,Cost_Components!$A$2:$A$27,0)),"")</f>
        <v>2025</v>
      </c>
      <c r="AB637" s="24">
        <f>IFERROR(INDEX(Cost_Components!$V$2:$V$27,MATCH(E637,Cost_Components!$A$2:$A$27,0)),"")</f>
        <v>2050</v>
      </c>
      <c r="AC637" s="24">
        <f>IFERROR(INDEX(Cost_Components!$M$2:$M$27,MATCH(E637,Cost_Components!$A$2:$A$27,0)),"")</f>
        <v>30</v>
      </c>
      <c r="AD637" s="24">
        <f>IFERROR(INDEX(Cost_Components!$N$2:$N$27,MATCH(E637,Cost_Components!$A$2:$A$27,0)),"")</f>
        <v>95</v>
      </c>
      <c r="AE637" s="14" t="str">
        <f>IFERROR(INDEX(Cost_Components!$O$2:$O$27,MATCH(E637,Cost_Components!$A$2:$A$27,0)),"")</f>
        <v>Both</v>
      </c>
      <c r="AF637" s="11">
        <v>4652446.0633481396</v>
      </c>
      <c r="AG637" s="11">
        <v>4643292.8520498099</v>
      </c>
      <c r="AH637" s="21">
        <f t="shared" si="99"/>
        <v>1</v>
      </c>
    </row>
    <row r="638" spans="1:34" hidden="1">
      <c r="A638" t="s">
        <v>217</v>
      </c>
      <c r="B638" s="18">
        <v>2037</v>
      </c>
      <c r="C638" t="s">
        <v>217</v>
      </c>
      <c r="D638" t="s">
        <v>181</v>
      </c>
      <c r="E638" s="20" t="s">
        <v>317</v>
      </c>
      <c r="F638" s="20" t="s">
        <v>318</v>
      </c>
      <c r="G638" s="20" t="s">
        <v>221</v>
      </c>
      <c r="H638" s="20" t="s">
        <v>192</v>
      </c>
      <c r="I638" s="20" t="s">
        <v>264</v>
      </c>
      <c r="J638" s="15">
        <f>IFERROR(INDEX(Cost_Components!$K$2:$K$27,MATCH(E638,Cost_Components!$A$2:$A$27,0)),"")</f>
        <v>0.5</v>
      </c>
      <c r="K638" s="15">
        <f t="shared" si="90"/>
        <v>0.55500000000000005</v>
      </c>
      <c r="L638" s="15">
        <f>IFERROR(INDEX(Cost_Components!$S$2:$S$27,MATCH(E638,Cost_Components!$A$2:$A$27,0)),"")</f>
        <v>0.31</v>
      </c>
      <c r="M638" s="26">
        <f>IFERROR(INDEX(Cost_Components!$L$2:$L$27,MATCH(E638,Cost_Components!$A$2:$A$27,0)),"")</f>
        <v>1</v>
      </c>
      <c r="N638" s="27">
        <f>IFERROR(INDEX(Cost_Components!$P$2:$P$27,MATCH(E638,Cost_Components!$A$2:$A$27,0)),"")</f>
        <v>119.721487</v>
      </c>
      <c r="O638" s="21">
        <f t="shared" si="91"/>
        <v>2378653.79165735</v>
      </c>
      <c r="P638" s="21">
        <f t="shared" si="92"/>
        <v>2373348.357711555</v>
      </c>
      <c r="Q638" s="21">
        <f t="shared" si="93"/>
        <v>88083646.311812937</v>
      </c>
      <c r="R638" s="21">
        <f t="shared" si="94"/>
        <v>158050662.79245043</v>
      </c>
      <c r="S638" s="21">
        <f t="shared" si="95"/>
        <v>69967016.480637491</v>
      </c>
      <c r="T638" s="14">
        <f>IFERROR(INDEX(Cost_Components!$R$2:$R$27,MATCH(E638,Cost_Components!$A$2:$A$27,0)),"")</f>
        <v>1</v>
      </c>
      <c r="U638" s="24">
        <f>IFERROR(INDEX(Cost_Components!$Q$2:$Q$27,MATCH(E638,Cost_Components!$A$2:$A$27,0)),"")</f>
        <v>2023</v>
      </c>
      <c r="V638" s="28">
        <f>1/(1+Calculation_Assumptions!$B$5)^(B638-Calculation_Assumptions!$B$2)</f>
        <v>0.70137988019297326</v>
      </c>
      <c r="W638" s="21">
        <f t="shared" si="96"/>
        <v>61780097.297139592</v>
      </c>
      <c r="X638" s="21">
        <f t="shared" si="97"/>
        <v>110853554.9337889</v>
      </c>
      <c r="Y638" s="21">
        <f t="shared" si="98"/>
        <v>49073457.636649311</v>
      </c>
      <c r="Z638" s="15">
        <f>IFERROR(INDEX(Cost_Components!$T$2:$T$27,MATCH(E638,Cost_Components!$A$2:$A$27,0)),"")</f>
        <v>0.8</v>
      </c>
      <c r="AA638" s="24">
        <f>IFERROR(INDEX(Cost_Components!$U$2:$U$27,MATCH(E638,Cost_Components!$A$2:$A$27,0)),"")</f>
        <v>2025</v>
      </c>
      <c r="AB638" s="24">
        <f>IFERROR(INDEX(Cost_Components!$V$2:$V$27,MATCH(E638,Cost_Components!$A$2:$A$27,0)),"")</f>
        <v>2050</v>
      </c>
      <c r="AC638" s="24">
        <f>IFERROR(INDEX(Cost_Components!$M$2:$M$27,MATCH(E638,Cost_Components!$A$2:$A$27,0)),"")</f>
        <v>30</v>
      </c>
      <c r="AD638" s="24">
        <f>IFERROR(INDEX(Cost_Components!$N$2:$N$27,MATCH(E638,Cost_Components!$A$2:$A$27,0)),"")</f>
        <v>95</v>
      </c>
      <c r="AE638" s="14" t="str">
        <f>IFERROR(INDEX(Cost_Components!$O$2:$O$27,MATCH(E638,Cost_Components!$A$2:$A$27,0)),"")</f>
        <v>Both</v>
      </c>
      <c r="AF638" s="11">
        <v>4757307.5833147001</v>
      </c>
      <c r="AG638" s="11">
        <v>4746696.7154231099</v>
      </c>
      <c r="AH638" s="21">
        <f t="shared" si="99"/>
        <v>1</v>
      </c>
    </row>
    <row r="639" spans="1:34" hidden="1">
      <c r="A639" t="s">
        <v>217</v>
      </c>
      <c r="B639" s="18">
        <v>2038</v>
      </c>
      <c r="C639" t="s">
        <v>217</v>
      </c>
      <c r="D639" t="s">
        <v>181</v>
      </c>
      <c r="E639" s="20" t="s">
        <v>317</v>
      </c>
      <c r="F639" s="20" t="s">
        <v>318</v>
      </c>
      <c r="G639" s="20" t="s">
        <v>221</v>
      </c>
      <c r="H639" s="20" t="s">
        <v>192</v>
      </c>
      <c r="I639" s="20" t="s">
        <v>264</v>
      </c>
      <c r="J639" s="15">
        <f>IFERROR(INDEX(Cost_Components!$K$2:$K$27,MATCH(E639,Cost_Components!$A$2:$A$27,0)),"")</f>
        <v>0.5</v>
      </c>
      <c r="K639" s="15">
        <f t="shared" si="90"/>
        <v>0.57384615384615389</v>
      </c>
      <c r="L639" s="15">
        <f>IFERROR(INDEX(Cost_Components!$S$2:$S$27,MATCH(E639,Cost_Components!$A$2:$A$27,0)),"")</f>
        <v>0.31</v>
      </c>
      <c r="M639" s="26">
        <f>IFERROR(INDEX(Cost_Components!$L$2:$L$27,MATCH(E639,Cost_Components!$A$2:$A$27,0)),"")</f>
        <v>1</v>
      </c>
      <c r="N639" s="27">
        <f>IFERROR(INDEX(Cost_Components!$P$2:$P$27,MATCH(E639,Cost_Components!$A$2:$A$27,0)),"")</f>
        <v>119.721487</v>
      </c>
      <c r="O639" s="21">
        <f t="shared" si="91"/>
        <v>2430002.8081828551</v>
      </c>
      <c r="P639" s="21">
        <f t="shared" si="92"/>
        <v>2423925.167415835</v>
      </c>
      <c r="Q639" s="21">
        <f t="shared" si="93"/>
        <v>89960736.880121782</v>
      </c>
      <c r="R639" s="21">
        <f t="shared" si="94"/>
        <v>166945360.00687006</v>
      </c>
      <c r="S639" s="21">
        <f t="shared" si="95"/>
        <v>76984623.126748279</v>
      </c>
      <c r="T639" s="14">
        <f>IFERROR(INDEX(Cost_Components!$R$2:$R$27,MATCH(E639,Cost_Components!$A$2:$A$27,0)),"")</f>
        <v>1</v>
      </c>
      <c r="U639" s="24">
        <f>IFERROR(INDEX(Cost_Components!$Q$2:$Q$27,MATCH(E639,Cost_Components!$A$2:$A$27,0)),"")</f>
        <v>2023</v>
      </c>
      <c r="V639" s="28">
        <f>1/(1+Calculation_Assumptions!$B$5)^(B639-Calculation_Assumptions!$B$2)</f>
        <v>0.68095133999317792</v>
      </c>
      <c r="W639" s="21">
        <f t="shared" si="96"/>
        <v>61258884.325292625</v>
      </c>
      <c r="X639" s="21">
        <f t="shared" si="97"/>
        <v>113681666.60232167</v>
      </c>
      <c r="Y639" s="21">
        <f t="shared" si="98"/>
        <v>52422782.277029037</v>
      </c>
      <c r="Z639" s="15">
        <f>IFERROR(INDEX(Cost_Components!$T$2:$T$27,MATCH(E639,Cost_Components!$A$2:$A$27,0)),"")</f>
        <v>0.8</v>
      </c>
      <c r="AA639" s="24">
        <f>IFERROR(INDEX(Cost_Components!$U$2:$U$27,MATCH(E639,Cost_Components!$A$2:$A$27,0)),"")</f>
        <v>2025</v>
      </c>
      <c r="AB639" s="24">
        <f>IFERROR(INDEX(Cost_Components!$V$2:$V$27,MATCH(E639,Cost_Components!$A$2:$A$27,0)),"")</f>
        <v>2050</v>
      </c>
      <c r="AC639" s="24">
        <f>IFERROR(INDEX(Cost_Components!$M$2:$M$27,MATCH(E639,Cost_Components!$A$2:$A$27,0)),"")</f>
        <v>30</v>
      </c>
      <c r="AD639" s="24">
        <f>IFERROR(INDEX(Cost_Components!$N$2:$N$27,MATCH(E639,Cost_Components!$A$2:$A$27,0)),"")</f>
        <v>95</v>
      </c>
      <c r="AE639" s="14" t="str">
        <f>IFERROR(INDEX(Cost_Components!$O$2:$O$27,MATCH(E639,Cost_Components!$A$2:$A$27,0)),"")</f>
        <v>Both</v>
      </c>
      <c r="AF639" s="11">
        <v>4860005.6163657103</v>
      </c>
      <c r="AG639" s="11">
        <v>4847850.3348316699</v>
      </c>
      <c r="AH639" s="21">
        <f t="shared" si="99"/>
        <v>1</v>
      </c>
    </row>
    <row r="640" spans="1:34" hidden="1">
      <c r="A640" t="s">
        <v>217</v>
      </c>
      <c r="B640" s="18">
        <v>2039</v>
      </c>
      <c r="C640" t="s">
        <v>217</v>
      </c>
      <c r="D640" t="s">
        <v>181</v>
      </c>
      <c r="E640" s="20" t="s">
        <v>317</v>
      </c>
      <c r="F640" s="20" t="s">
        <v>318</v>
      </c>
      <c r="G640" s="20" t="s">
        <v>221</v>
      </c>
      <c r="H640" s="20" t="s">
        <v>192</v>
      </c>
      <c r="I640" s="20" t="s">
        <v>264</v>
      </c>
      <c r="J640" s="15">
        <f>IFERROR(INDEX(Cost_Components!$K$2:$K$27,MATCH(E640,Cost_Components!$A$2:$A$27,0)),"")</f>
        <v>0.5</v>
      </c>
      <c r="K640" s="15">
        <f t="shared" si="90"/>
        <v>0.59269230769230763</v>
      </c>
      <c r="L640" s="15">
        <f>IFERROR(INDEX(Cost_Components!$S$2:$S$27,MATCH(E640,Cost_Components!$A$2:$A$27,0)),"")</f>
        <v>0.31</v>
      </c>
      <c r="M640" s="26">
        <f>IFERROR(INDEX(Cost_Components!$L$2:$L$27,MATCH(E640,Cost_Components!$A$2:$A$27,0)),"")</f>
        <v>1</v>
      </c>
      <c r="N640" s="27">
        <f>IFERROR(INDEX(Cost_Components!$P$2:$P$27,MATCH(E640,Cost_Components!$A$2:$A$27,0)),"")</f>
        <v>119.721487</v>
      </c>
      <c r="O640" s="21">
        <f t="shared" si="91"/>
        <v>2480174.2943198001</v>
      </c>
      <c r="P640" s="21">
        <f t="shared" si="92"/>
        <v>2473283.6949525201</v>
      </c>
      <c r="Q640" s="21">
        <f t="shared" si="93"/>
        <v>91792612.537096739</v>
      </c>
      <c r="R640" s="21">
        <f t="shared" si="94"/>
        <v>175988218.51486689</v>
      </c>
      <c r="S640" s="21">
        <f t="shared" si="95"/>
        <v>84195605.97777015</v>
      </c>
      <c r="T640" s="14">
        <f>IFERROR(INDEX(Cost_Components!$R$2:$R$27,MATCH(E640,Cost_Components!$A$2:$A$27,0)),"")</f>
        <v>1</v>
      </c>
      <c r="U640" s="24">
        <f>IFERROR(INDEX(Cost_Components!$Q$2:$Q$27,MATCH(E640,Cost_Components!$A$2:$A$27,0)),"")</f>
        <v>2023</v>
      </c>
      <c r="V640" s="28">
        <f>1/(1+Calculation_Assumptions!$B$5)^(B640-Calculation_Assumptions!$B$2)</f>
        <v>0.66111780581861923</v>
      </c>
      <c r="W640" s="21">
        <f t="shared" si="96"/>
        <v>60685730.590884075</v>
      </c>
      <c r="X640" s="21">
        <f t="shared" si="97"/>
        <v>116348944.87447649</v>
      </c>
      <c r="Y640" s="21">
        <f t="shared" si="98"/>
        <v>55663214.283592425</v>
      </c>
      <c r="Z640" s="15">
        <f>IFERROR(INDEX(Cost_Components!$T$2:$T$27,MATCH(E640,Cost_Components!$A$2:$A$27,0)),"")</f>
        <v>0.8</v>
      </c>
      <c r="AA640" s="24">
        <f>IFERROR(INDEX(Cost_Components!$U$2:$U$27,MATCH(E640,Cost_Components!$A$2:$A$27,0)),"")</f>
        <v>2025</v>
      </c>
      <c r="AB640" s="24">
        <f>IFERROR(INDEX(Cost_Components!$V$2:$V$27,MATCH(E640,Cost_Components!$A$2:$A$27,0)),"")</f>
        <v>2050</v>
      </c>
      <c r="AC640" s="24">
        <f>IFERROR(INDEX(Cost_Components!$M$2:$M$27,MATCH(E640,Cost_Components!$A$2:$A$27,0)),"")</f>
        <v>30</v>
      </c>
      <c r="AD640" s="24">
        <f>IFERROR(INDEX(Cost_Components!$N$2:$N$27,MATCH(E640,Cost_Components!$A$2:$A$27,0)),"")</f>
        <v>95</v>
      </c>
      <c r="AE640" s="14" t="str">
        <f>IFERROR(INDEX(Cost_Components!$O$2:$O$27,MATCH(E640,Cost_Components!$A$2:$A$27,0)),"")</f>
        <v>Both</v>
      </c>
      <c r="AF640" s="11">
        <v>4960348.5886396002</v>
      </c>
      <c r="AG640" s="11">
        <v>4946567.3899050402</v>
      </c>
      <c r="AH640" s="21">
        <f t="shared" si="99"/>
        <v>1</v>
      </c>
    </row>
    <row r="641" spans="1:34" hidden="1">
      <c r="A641" t="s">
        <v>217</v>
      </c>
      <c r="B641" s="18">
        <v>2040</v>
      </c>
      <c r="C641" t="s">
        <v>217</v>
      </c>
      <c r="D641" t="s">
        <v>181</v>
      </c>
      <c r="E641" s="20" t="s">
        <v>317</v>
      </c>
      <c r="F641" s="20" t="s">
        <v>318</v>
      </c>
      <c r="G641" s="20" t="s">
        <v>221</v>
      </c>
      <c r="H641" s="20" t="s">
        <v>192</v>
      </c>
      <c r="I641" s="20" t="s">
        <v>264</v>
      </c>
      <c r="J641" s="15">
        <f>IFERROR(INDEX(Cost_Components!$K$2:$K$27,MATCH(E641,Cost_Components!$A$2:$A$27,0)),"")</f>
        <v>0.5</v>
      </c>
      <c r="K641" s="15">
        <f t="shared" si="90"/>
        <v>0.61153846153846159</v>
      </c>
      <c r="L641" s="15">
        <f>IFERROR(INDEX(Cost_Components!$S$2:$S$27,MATCH(E641,Cost_Components!$A$2:$A$27,0)),"")</f>
        <v>0.31</v>
      </c>
      <c r="M641" s="26">
        <f>IFERROR(INDEX(Cost_Components!$L$2:$L$27,MATCH(E641,Cost_Components!$A$2:$A$27,0)),"")</f>
        <v>1</v>
      </c>
      <c r="N641" s="27">
        <f>IFERROR(INDEX(Cost_Components!$P$2:$P$27,MATCH(E641,Cost_Components!$A$2:$A$27,0)),"")</f>
        <v>119.721487</v>
      </c>
      <c r="O641" s="21">
        <f t="shared" si="91"/>
        <v>2529211.779656535</v>
      </c>
      <c r="P641" s="21">
        <f t="shared" si="92"/>
        <v>2521470.0766744148</v>
      </c>
      <c r="Q641" s="21">
        <f t="shared" si="93"/>
        <v>93580985.571694136</v>
      </c>
      <c r="R641" s="21">
        <f t="shared" si="94"/>
        <v>185174454.75594261</v>
      </c>
      <c r="S641" s="21">
        <f t="shared" si="95"/>
        <v>91593469.184248477</v>
      </c>
      <c r="T641" s="14">
        <f>IFERROR(INDEX(Cost_Components!$R$2:$R$27,MATCH(E641,Cost_Components!$A$2:$A$27,0)),"")</f>
        <v>1</v>
      </c>
      <c r="U641" s="24">
        <f>IFERROR(INDEX(Cost_Components!$Q$2:$Q$27,MATCH(E641,Cost_Components!$A$2:$A$27,0)),"")</f>
        <v>2023</v>
      </c>
      <c r="V641" s="28">
        <f>1/(1+Calculation_Assumptions!$B$5)^(B641-Calculation_Assumptions!$B$2)</f>
        <v>0.64186194739671765</v>
      </c>
      <c r="W641" s="21">
        <f t="shared" si="96"/>
        <v>60066073.638351731</v>
      </c>
      <c r="X641" s="21">
        <f t="shared" si="97"/>
        <v>118856436.13777471</v>
      </c>
      <c r="Y641" s="21">
        <f t="shared" si="98"/>
        <v>58790362.499422975</v>
      </c>
      <c r="Z641" s="15">
        <f>IFERROR(INDEX(Cost_Components!$T$2:$T$27,MATCH(E641,Cost_Components!$A$2:$A$27,0)),"")</f>
        <v>0.8</v>
      </c>
      <c r="AA641" s="24">
        <f>IFERROR(INDEX(Cost_Components!$U$2:$U$27,MATCH(E641,Cost_Components!$A$2:$A$27,0)),"")</f>
        <v>2025</v>
      </c>
      <c r="AB641" s="24">
        <f>IFERROR(INDEX(Cost_Components!$V$2:$V$27,MATCH(E641,Cost_Components!$A$2:$A$27,0)),"")</f>
        <v>2050</v>
      </c>
      <c r="AC641" s="24">
        <f>IFERROR(INDEX(Cost_Components!$M$2:$M$27,MATCH(E641,Cost_Components!$A$2:$A$27,0)),"")</f>
        <v>30</v>
      </c>
      <c r="AD641" s="24">
        <f>IFERROR(INDEX(Cost_Components!$N$2:$N$27,MATCH(E641,Cost_Components!$A$2:$A$27,0)),"")</f>
        <v>95</v>
      </c>
      <c r="AE641" s="14" t="str">
        <f>IFERROR(INDEX(Cost_Components!$O$2:$O$27,MATCH(E641,Cost_Components!$A$2:$A$27,0)),"")</f>
        <v>Both</v>
      </c>
      <c r="AF641" s="11">
        <v>5058423.55931307</v>
      </c>
      <c r="AG641" s="11">
        <v>5042940.1533488296</v>
      </c>
      <c r="AH641" s="21">
        <f t="shared" si="99"/>
        <v>1</v>
      </c>
    </row>
    <row r="642" spans="1:34" hidden="1">
      <c r="A642" t="s">
        <v>217</v>
      </c>
      <c r="B642" s="18">
        <v>2041</v>
      </c>
      <c r="C642" t="s">
        <v>217</v>
      </c>
      <c r="D642" t="s">
        <v>181</v>
      </c>
      <c r="E642" s="20" t="s">
        <v>317</v>
      </c>
      <c r="F642" s="20" t="s">
        <v>318</v>
      </c>
      <c r="G642" s="20" t="s">
        <v>221</v>
      </c>
      <c r="H642" s="20" t="s">
        <v>192</v>
      </c>
      <c r="I642" s="20" t="s">
        <v>264</v>
      </c>
      <c r="J642" s="15">
        <f>IFERROR(INDEX(Cost_Components!$K$2:$K$27,MATCH(E642,Cost_Components!$A$2:$A$27,0)),"")</f>
        <v>0.5</v>
      </c>
      <c r="K642" s="15">
        <f t="shared" ref="K642:K705" si="100">IF(OR(L642="",Z642="",AA642="",AB642=""),"",IF(B642&lt;AA642,L642,IF(B642&gt;AB642,Z642,L642+(Z642-L642)*MIN(MAX((B642-AA642+1)/MAX(AB642-AA642+1,1),0),1))))</f>
        <v>0.63038461538461543</v>
      </c>
      <c r="L642" s="15">
        <f>IFERROR(INDEX(Cost_Components!$S$2:$S$27,MATCH(E642,Cost_Components!$A$2:$A$27,0)),"")</f>
        <v>0.31</v>
      </c>
      <c r="M642" s="26">
        <f>IFERROR(INDEX(Cost_Components!$L$2:$L$27,MATCH(E642,Cost_Components!$A$2:$A$27,0)),"")</f>
        <v>1</v>
      </c>
      <c r="N642" s="27">
        <f>IFERROR(INDEX(Cost_Components!$P$2:$P$27,MATCH(E642,Cost_Components!$A$2:$A$27,0)),"")</f>
        <v>119.721487</v>
      </c>
      <c r="O642" s="21">
        <f t="shared" ref="O642:O705" si="101">AF642*J642</f>
        <v>2577066.4761680099</v>
      </c>
      <c r="P642" s="21">
        <f t="shared" ref="P642:P705" si="102">AG642*J642</f>
        <v>2568438.3190627601</v>
      </c>
      <c r="Q642" s="21">
        <f t="shared" ref="Q642:Q705" si="103">P642*L642*M642*N642</f>
        <v>95324148.996051967</v>
      </c>
      <c r="R642" s="21">
        <f t="shared" ref="R642:R705" si="104">O642*K642*M642*N642</f>
        <v>194492710.76686823</v>
      </c>
      <c r="S642" s="21">
        <f t="shared" ref="S642:S705" si="105">R642-Q642</f>
        <v>99168561.770816267</v>
      </c>
      <c r="T642" s="14">
        <f>IFERROR(INDEX(Cost_Components!$R$2:$R$27,MATCH(E642,Cost_Components!$A$2:$A$27,0)),"")</f>
        <v>1</v>
      </c>
      <c r="U642" s="24">
        <f>IFERROR(INDEX(Cost_Components!$Q$2:$Q$27,MATCH(E642,Cost_Components!$A$2:$A$27,0)),"")</f>
        <v>2023</v>
      </c>
      <c r="V642" s="28">
        <f>1/(1+Calculation_Assumptions!$B$5)^(B642-Calculation_Assumptions!$B$2)</f>
        <v>0.62316693922011435</v>
      </c>
      <c r="W642" s="21">
        <f t="shared" ref="W642:W705" si="106">Q642*V642</f>
        <v>59402858.163631842</v>
      </c>
      <c r="X642" s="21">
        <f t="shared" ref="X642:X705" si="107">R642*V642</f>
        <v>121201427.26921226</v>
      </c>
      <c r="Y642" s="21">
        <f t="shared" ref="Y642:Y705" si="108">S642*V642</f>
        <v>61798569.105580412</v>
      </c>
      <c r="Z642" s="15">
        <f>IFERROR(INDEX(Cost_Components!$T$2:$T$27,MATCH(E642,Cost_Components!$A$2:$A$27,0)),"")</f>
        <v>0.8</v>
      </c>
      <c r="AA642" s="24">
        <f>IFERROR(INDEX(Cost_Components!$U$2:$U$27,MATCH(E642,Cost_Components!$A$2:$A$27,0)),"")</f>
        <v>2025</v>
      </c>
      <c r="AB642" s="24">
        <f>IFERROR(INDEX(Cost_Components!$V$2:$V$27,MATCH(E642,Cost_Components!$A$2:$A$27,0)),"")</f>
        <v>2050</v>
      </c>
      <c r="AC642" s="24">
        <f>IFERROR(INDEX(Cost_Components!$M$2:$M$27,MATCH(E642,Cost_Components!$A$2:$A$27,0)),"")</f>
        <v>30</v>
      </c>
      <c r="AD642" s="24">
        <f>IFERROR(INDEX(Cost_Components!$N$2:$N$27,MATCH(E642,Cost_Components!$A$2:$A$27,0)),"")</f>
        <v>95</v>
      </c>
      <c r="AE642" s="14" t="str">
        <f>IFERROR(INDEX(Cost_Components!$O$2:$O$27,MATCH(E642,Cost_Components!$A$2:$A$27,0)),"")</f>
        <v>Both</v>
      </c>
      <c r="AF642" s="11">
        <v>5154132.9523360198</v>
      </c>
      <c r="AG642" s="11">
        <v>5136876.6381255202</v>
      </c>
      <c r="AH642" s="21">
        <f t="shared" ref="AH642:AH705" si="109">IF(H642="shared-count-once",COUNTIFS($A$2:$A$1353,A642,$B$2:$B$1353,B642,$E$2:$E$1353,E642),1)</f>
        <v>1</v>
      </c>
    </row>
    <row r="643" spans="1:34" hidden="1">
      <c r="A643" t="s">
        <v>217</v>
      </c>
      <c r="B643" s="18">
        <v>2042</v>
      </c>
      <c r="C643" t="s">
        <v>217</v>
      </c>
      <c r="D643" t="s">
        <v>181</v>
      </c>
      <c r="E643" s="20" t="s">
        <v>317</v>
      </c>
      <c r="F643" s="20" t="s">
        <v>318</v>
      </c>
      <c r="G643" s="20" t="s">
        <v>221</v>
      </c>
      <c r="H643" s="20" t="s">
        <v>192</v>
      </c>
      <c r="I643" s="20" t="s">
        <v>264</v>
      </c>
      <c r="J643" s="15">
        <f>IFERROR(INDEX(Cost_Components!$K$2:$K$27,MATCH(E643,Cost_Components!$A$2:$A$27,0)),"")</f>
        <v>0.5</v>
      </c>
      <c r="K643" s="15">
        <f t="shared" si="100"/>
        <v>0.64923076923076928</v>
      </c>
      <c r="L643" s="15">
        <f>IFERROR(INDEX(Cost_Components!$S$2:$S$27,MATCH(E643,Cost_Components!$A$2:$A$27,0)),"")</f>
        <v>0.31</v>
      </c>
      <c r="M643" s="26">
        <f>IFERROR(INDEX(Cost_Components!$L$2:$L$27,MATCH(E643,Cost_Components!$A$2:$A$27,0)),"")</f>
        <v>1</v>
      </c>
      <c r="N643" s="27">
        <f>IFERROR(INDEX(Cost_Components!$P$2:$P$27,MATCH(E643,Cost_Components!$A$2:$A$27,0)),"")</f>
        <v>119.721487</v>
      </c>
      <c r="O643" s="21">
        <f t="shared" si="101"/>
        <v>2623513.214612775</v>
      </c>
      <c r="P643" s="21">
        <f t="shared" si="102"/>
        <v>2613966.2705694651</v>
      </c>
      <c r="Q643" s="21">
        <f t="shared" si="103"/>
        <v>97013857.952930421</v>
      </c>
      <c r="R643" s="21">
        <f t="shared" si="104"/>
        <v>203917478.70434406</v>
      </c>
      <c r="S643" s="21">
        <f t="shared" si="105"/>
        <v>106903620.75141364</v>
      </c>
      <c r="T643" s="14">
        <f>IFERROR(INDEX(Cost_Components!$R$2:$R$27,MATCH(E643,Cost_Components!$A$2:$A$27,0)),"")</f>
        <v>1</v>
      </c>
      <c r="U643" s="24">
        <f>IFERROR(INDEX(Cost_Components!$Q$2:$Q$27,MATCH(E643,Cost_Components!$A$2:$A$27,0)),"")</f>
        <v>2023</v>
      </c>
      <c r="V643" s="28">
        <f>1/(1+Calculation_Assumptions!$B$5)^(B643-Calculation_Assumptions!$B$2)</f>
        <v>0.60501644584477121</v>
      </c>
      <c r="W643" s="21">
        <f t="shared" si="106"/>
        <v>58694979.536371455</v>
      </c>
      <c r="X643" s="21">
        <f t="shared" si="107"/>
        <v>123373428.21132907</v>
      </c>
      <c r="Y643" s="21">
        <f t="shared" si="108"/>
        <v>64678448.674957611</v>
      </c>
      <c r="Z643" s="15">
        <f>IFERROR(INDEX(Cost_Components!$T$2:$T$27,MATCH(E643,Cost_Components!$A$2:$A$27,0)),"")</f>
        <v>0.8</v>
      </c>
      <c r="AA643" s="24">
        <f>IFERROR(INDEX(Cost_Components!$U$2:$U$27,MATCH(E643,Cost_Components!$A$2:$A$27,0)),"")</f>
        <v>2025</v>
      </c>
      <c r="AB643" s="24">
        <f>IFERROR(INDEX(Cost_Components!$V$2:$V$27,MATCH(E643,Cost_Components!$A$2:$A$27,0)),"")</f>
        <v>2050</v>
      </c>
      <c r="AC643" s="24">
        <f>IFERROR(INDEX(Cost_Components!$M$2:$M$27,MATCH(E643,Cost_Components!$A$2:$A$27,0)),"")</f>
        <v>30</v>
      </c>
      <c r="AD643" s="24">
        <f>IFERROR(INDEX(Cost_Components!$N$2:$N$27,MATCH(E643,Cost_Components!$A$2:$A$27,0)),"")</f>
        <v>95</v>
      </c>
      <c r="AE643" s="14" t="str">
        <f>IFERROR(INDEX(Cost_Components!$O$2:$O$27,MATCH(E643,Cost_Components!$A$2:$A$27,0)),"")</f>
        <v>Both</v>
      </c>
      <c r="AF643" s="11">
        <v>5247026.42922555</v>
      </c>
      <c r="AG643" s="11">
        <v>5227932.5411389302</v>
      </c>
      <c r="AH643" s="21">
        <f t="shared" si="109"/>
        <v>1</v>
      </c>
    </row>
    <row r="644" spans="1:34" hidden="1">
      <c r="A644" t="s">
        <v>217</v>
      </c>
      <c r="B644" s="18">
        <v>2043</v>
      </c>
      <c r="C644" t="s">
        <v>217</v>
      </c>
      <c r="D644" t="s">
        <v>181</v>
      </c>
      <c r="E644" s="20" t="s">
        <v>317</v>
      </c>
      <c r="F644" s="20" t="s">
        <v>318</v>
      </c>
      <c r="G644" s="20" t="s">
        <v>221</v>
      </c>
      <c r="H644" s="20" t="s">
        <v>192</v>
      </c>
      <c r="I644" s="20" t="s">
        <v>264</v>
      </c>
      <c r="J644" s="15">
        <f>IFERROR(INDEX(Cost_Components!$K$2:$K$27,MATCH(E644,Cost_Components!$A$2:$A$27,0)),"")</f>
        <v>0.5</v>
      </c>
      <c r="K644" s="15">
        <f t="shared" si="100"/>
        <v>0.66807692307692301</v>
      </c>
      <c r="L644" s="15">
        <f>IFERROR(INDEX(Cost_Components!$S$2:$S$27,MATCH(E644,Cost_Components!$A$2:$A$27,0)),"")</f>
        <v>0.31</v>
      </c>
      <c r="M644" s="26">
        <f>IFERROR(INDEX(Cost_Components!$L$2:$L$27,MATCH(E644,Cost_Components!$A$2:$A$27,0)),"")</f>
        <v>1</v>
      </c>
      <c r="N644" s="27">
        <f>IFERROR(INDEX(Cost_Components!$P$2:$P$27,MATCH(E644,Cost_Components!$A$2:$A$27,0)),"")</f>
        <v>119.721487</v>
      </c>
      <c r="O644" s="21">
        <f t="shared" si="101"/>
        <v>2668245.1755099948</v>
      </c>
      <c r="P644" s="21">
        <f t="shared" si="102"/>
        <v>2657749.904765055</v>
      </c>
      <c r="Q644" s="21">
        <f t="shared" si="103"/>
        <v>98638828.908500031</v>
      </c>
      <c r="R644" s="21">
        <f t="shared" si="104"/>
        <v>213414687.8926549</v>
      </c>
      <c r="S644" s="21">
        <f t="shared" si="105"/>
        <v>114775858.98415487</v>
      </c>
      <c r="T644" s="14">
        <f>IFERROR(INDEX(Cost_Components!$R$2:$R$27,MATCH(E644,Cost_Components!$A$2:$A$27,0)),"")</f>
        <v>1</v>
      </c>
      <c r="U644" s="24">
        <f>IFERROR(INDEX(Cost_Components!$Q$2:$Q$27,MATCH(E644,Cost_Components!$A$2:$A$27,0)),"")</f>
        <v>2023</v>
      </c>
      <c r="V644" s="28">
        <f>1/(1+Calculation_Assumptions!$B$5)^(B644-Calculation_Assumptions!$B$2)</f>
        <v>0.5873946076162827</v>
      </c>
      <c r="W644" s="21">
        <f t="shared" si="106"/>
        <v>57939916.202438019</v>
      </c>
      <c r="X644" s="21">
        <f t="shared" si="107"/>
        <v>125358636.85425746</v>
      </c>
      <c r="Y644" s="21">
        <f t="shared" si="108"/>
        <v>67418720.651819438</v>
      </c>
      <c r="Z644" s="15">
        <f>IFERROR(INDEX(Cost_Components!$T$2:$T$27,MATCH(E644,Cost_Components!$A$2:$A$27,0)),"")</f>
        <v>0.8</v>
      </c>
      <c r="AA644" s="24">
        <f>IFERROR(INDEX(Cost_Components!$U$2:$U$27,MATCH(E644,Cost_Components!$A$2:$A$27,0)),"")</f>
        <v>2025</v>
      </c>
      <c r="AB644" s="24">
        <f>IFERROR(INDEX(Cost_Components!$V$2:$V$27,MATCH(E644,Cost_Components!$A$2:$A$27,0)),"")</f>
        <v>2050</v>
      </c>
      <c r="AC644" s="24">
        <f>IFERROR(INDEX(Cost_Components!$M$2:$M$27,MATCH(E644,Cost_Components!$A$2:$A$27,0)),"")</f>
        <v>30</v>
      </c>
      <c r="AD644" s="24">
        <f>IFERROR(INDEX(Cost_Components!$N$2:$N$27,MATCH(E644,Cost_Components!$A$2:$A$27,0)),"")</f>
        <v>95</v>
      </c>
      <c r="AE644" s="14" t="str">
        <f>IFERROR(INDEX(Cost_Components!$O$2:$O$27,MATCH(E644,Cost_Components!$A$2:$A$27,0)),"")</f>
        <v>Both</v>
      </c>
      <c r="AF644" s="11">
        <v>5336490.3510199897</v>
      </c>
      <c r="AG644" s="11">
        <v>5315499.8095301101</v>
      </c>
      <c r="AH644" s="21">
        <f t="shared" si="109"/>
        <v>1</v>
      </c>
    </row>
    <row r="645" spans="1:34" hidden="1">
      <c r="A645" t="s">
        <v>217</v>
      </c>
      <c r="B645" s="18">
        <v>2044</v>
      </c>
      <c r="C645" t="s">
        <v>217</v>
      </c>
      <c r="D645" t="s">
        <v>181</v>
      </c>
      <c r="E645" s="20" t="s">
        <v>317</v>
      </c>
      <c r="F645" s="20" t="s">
        <v>318</v>
      </c>
      <c r="G645" s="20" t="s">
        <v>221</v>
      </c>
      <c r="H645" s="20" t="s">
        <v>192</v>
      </c>
      <c r="I645" s="20" t="s">
        <v>264</v>
      </c>
      <c r="J645" s="15">
        <f>IFERROR(INDEX(Cost_Components!$K$2:$K$27,MATCH(E645,Cost_Components!$A$2:$A$27,0)),"")</f>
        <v>0.5</v>
      </c>
      <c r="K645" s="15">
        <f t="shared" si="100"/>
        <v>0.68692307692307697</v>
      </c>
      <c r="L645" s="15">
        <f>IFERROR(INDEX(Cost_Components!$S$2:$S$27,MATCH(E645,Cost_Components!$A$2:$A$27,0)),"")</f>
        <v>0.31</v>
      </c>
      <c r="M645" s="26">
        <f>IFERROR(INDEX(Cost_Components!$L$2:$L$27,MATCH(E645,Cost_Components!$A$2:$A$27,0)),"")</f>
        <v>1</v>
      </c>
      <c r="N645" s="27">
        <f>IFERROR(INDEX(Cost_Components!$P$2:$P$27,MATCH(E645,Cost_Components!$A$2:$A$27,0)),"")</f>
        <v>119.721487</v>
      </c>
      <c r="O645" s="21">
        <f t="shared" si="101"/>
        <v>2711132.2210931098</v>
      </c>
      <c r="P645" s="21">
        <f t="shared" si="102"/>
        <v>2699661.6525276452</v>
      </c>
      <c r="Q645" s="21">
        <f t="shared" si="103"/>
        <v>100194327.30562097</v>
      </c>
      <c r="R645" s="21">
        <f t="shared" si="104"/>
        <v>222962028.7691167</v>
      </c>
      <c r="S645" s="21">
        <f t="shared" si="105"/>
        <v>122767701.46349573</v>
      </c>
      <c r="T645" s="14">
        <f>IFERROR(INDEX(Cost_Components!$R$2:$R$27,MATCH(E645,Cost_Components!$A$2:$A$27,0)),"")</f>
        <v>1</v>
      </c>
      <c r="U645" s="24">
        <f>IFERROR(INDEX(Cost_Components!$Q$2:$Q$27,MATCH(E645,Cost_Components!$A$2:$A$27,0)),"")</f>
        <v>2023</v>
      </c>
      <c r="V645" s="28">
        <f>1/(1+Calculation_Assumptions!$B$5)^(B645-Calculation_Assumptions!$B$2)</f>
        <v>0.57028602681192497</v>
      </c>
      <c r="W645" s="21">
        <f t="shared" si="106"/>
        <v>57139424.828216143</v>
      </c>
      <c r="X645" s="21">
        <f t="shared" si="107"/>
        <v>127152129.51666567</v>
      </c>
      <c r="Y645" s="21">
        <f t="shared" si="108"/>
        <v>70012704.688449532</v>
      </c>
      <c r="Z645" s="15">
        <f>IFERROR(INDEX(Cost_Components!$T$2:$T$27,MATCH(E645,Cost_Components!$A$2:$A$27,0)),"")</f>
        <v>0.8</v>
      </c>
      <c r="AA645" s="24">
        <f>IFERROR(INDEX(Cost_Components!$U$2:$U$27,MATCH(E645,Cost_Components!$A$2:$A$27,0)),"")</f>
        <v>2025</v>
      </c>
      <c r="AB645" s="24">
        <f>IFERROR(INDEX(Cost_Components!$V$2:$V$27,MATCH(E645,Cost_Components!$A$2:$A$27,0)),"")</f>
        <v>2050</v>
      </c>
      <c r="AC645" s="24">
        <f>IFERROR(INDEX(Cost_Components!$M$2:$M$27,MATCH(E645,Cost_Components!$A$2:$A$27,0)),"")</f>
        <v>30</v>
      </c>
      <c r="AD645" s="24">
        <f>IFERROR(INDEX(Cost_Components!$N$2:$N$27,MATCH(E645,Cost_Components!$A$2:$A$27,0)),"")</f>
        <v>95</v>
      </c>
      <c r="AE645" s="14" t="str">
        <f>IFERROR(INDEX(Cost_Components!$O$2:$O$27,MATCH(E645,Cost_Components!$A$2:$A$27,0)),"")</f>
        <v>Both</v>
      </c>
      <c r="AF645" s="11">
        <v>5422264.4421862196</v>
      </c>
      <c r="AG645" s="11">
        <v>5399323.3050552905</v>
      </c>
      <c r="AH645" s="21">
        <f t="shared" si="109"/>
        <v>1</v>
      </c>
    </row>
    <row r="646" spans="1:34" hidden="1">
      <c r="A646" t="s">
        <v>217</v>
      </c>
      <c r="B646" s="18">
        <v>2045</v>
      </c>
      <c r="C646" t="s">
        <v>217</v>
      </c>
      <c r="D646" t="s">
        <v>181</v>
      </c>
      <c r="E646" s="20" t="s">
        <v>317</v>
      </c>
      <c r="F646" s="20" t="s">
        <v>318</v>
      </c>
      <c r="G646" s="20" t="s">
        <v>221</v>
      </c>
      <c r="H646" s="20" t="s">
        <v>192</v>
      </c>
      <c r="I646" s="20" t="s">
        <v>264</v>
      </c>
      <c r="J646" s="15">
        <f>IFERROR(INDEX(Cost_Components!$K$2:$K$27,MATCH(E646,Cost_Components!$A$2:$A$27,0)),"")</f>
        <v>0.5</v>
      </c>
      <c r="K646" s="15">
        <f t="shared" si="100"/>
        <v>0.70576923076923082</v>
      </c>
      <c r="L646" s="15">
        <f>IFERROR(INDEX(Cost_Components!$S$2:$S$27,MATCH(E646,Cost_Components!$A$2:$A$27,0)),"")</f>
        <v>0.31</v>
      </c>
      <c r="M646" s="26">
        <f>IFERROR(INDEX(Cost_Components!$L$2:$L$27,MATCH(E646,Cost_Components!$A$2:$A$27,0)),"")</f>
        <v>1</v>
      </c>
      <c r="N646" s="27">
        <f>IFERROR(INDEX(Cost_Components!$P$2:$P$27,MATCH(E646,Cost_Components!$A$2:$A$27,0)),"")</f>
        <v>119.721487</v>
      </c>
      <c r="O646" s="21">
        <f t="shared" si="101"/>
        <v>2752069.4227610999</v>
      </c>
      <c r="P646" s="21">
        <f t="shared" si="102"/>
        <v>2739599.0162048452</v>
      </c>
      <c r="Q646" s="21">
        <f t="shared" si="103"/>
        <v>101676549.08117215</v>
      </c>
      <c r="R646" s="21">
        <f t="shared" si="104"/>
        <v>232538147.32424986</v>
      </c>
      <c r="S646" s="21">
        <f t="shared" si="105"/>
        <v>130861598.24307771</v>
      </c>
      <c r="T646" s="14">
        <f>IFERROR(INDEX(Cost_Components!$R$2:$R$27,MATCH(E646,Cost_Components!$A$2:$A$27,0)),"")</f>
        <v>1</v>
      </c>
      <c r="U646" s="24">
        <f>IFERROR(INDEX(Cost_Components!$Q$2:$Q$27,MATCH(E646,Cost_Components!$A$2:$A$27,0)),"")</f>
        <v>2023</v>
      </c>
      <c r="V646" s="28">
        <f>1/(1+Calculation_Assumptions!$B$5)^(B646-Calculation_Assumptions!$B$2)</f>
        <v>0.55367575418633497</v>
      </c>
      <c r="W646" s="21">
        <f t="shared" si="106"/>
        <v>56295839.995581895</v>
      </c>
      <c r="X646" s="21">
        <f t="shared" si="107"/>
        <v>128750734.09684712</v>
      </c>
      <c r="Y646" s="21">
        <f t="shared" si="108"/>
        <v>72454894.101265222</v>
      </c>
      <c r="Z646" s="15">
        <f>IFERROR(INDEX(Cost_Components!$T$2:$T$27,MATCH(E646,Cost_Components!$A$2:$A$27,0)),"")</f>
        <v>0.8</v>
      </c>
      <c r="AA646" s="24">
        <f>IFERROR(INDEX(Cost_Components!$U$2:$U$27,MATCH(E646,Cost_Components!$A$2:$A$27,0)),"")</f>
        <v>2025</v>
      </c>
      <c r="AB646" s="24">
        <f>IFERROR(INDEX(Cost_Components!$V$2:$V$27,MATCH(E646,Cost_Components!$A$2:$A$27,0)),"")</f>
        <v>2050</v>
      </c>
      <c r="AC646" s="24">
        <f>IFERROR(INDEX(Cost_Components!$M$2:$M$27,MATCH(E646,Cost_Components!$A$2:$A$27,0)),"")</f>
        <v>30</v>
      </c>
      <c r="AD646" s="24">
        <f>IFERROR(INDEX(Cost_Components!$N$2:$N$27,MATCH(E646,Cost_Components!$A$2:$A$27,0)),"")</f>
        <v>95</v>
      </c>
      <c r="AE646" s="14" t="str">
        <f>IFERROR(INDEX(Cost_Components!$O$2:$O$27,MATCH(E646,Cost_Components!$A$2:$A$27,0)),"")</f>
        <v>Both</v>
      </c>
      <c r="AF646" s="11">
        <v>5504138.8455221998</v>
      </c>
      <c r="AG646" s="11">
        <v>5479198.0324096903</v>
      </c>
      <c r="AH646" s="21">
        <f t="shared" si="109"/>
        <v>1</v>
      </c>
    </row>
    <row r="647" spans="1:34" hidden="1">
      <c r="A647" t="s">
        <v>217</v>
      </c>
      <c r="B647" s="18">
        <v>2046</v>
      </c>
      <c r="C647" t="s">
        <v>217</v>
      </c>
      <c r="D647" t="s">
        <v>181</v>
      </c>
      <c r="E647" s="20" t="s">
        <v>317</v>
      </c>
      <c r="F647" s="20" t="s">
        <v>318</v>
      </c>
      <c r="G647" s="20" t="s">
        <v>221</v>
      </c>
      <c r="H647" s="20" t="s">
        <v>192</v>
      </c>
      <c r="I647" s="20" t="s">
        <v>264</v>
      </c>
      <c r="J647" s="15">
        <f>IFERROR(INDEX(Cost_Components!$K$2:$K$27,MATCH(E647,Cost_Components!$A$2:$A$27,0)),"")</f>
        <v>0.5</v>
      </c>
      <c r="K647" s="15">
        <f t="shared" si="100"/>
        <v>0.72461538461538466</v>
      </c>
      <c r="L647" s="15">
        <f>IFERROR(INDEX(Cost_Components!$S$2:$S$27,MATCH(E647,Cost_Components!$A$2:$A$27,0)),"")</f>
        <v>0.31</v>
      </c>
      <c r="M647" s="26">
        <f>IFERROR(INDEX(Cost_Components!$L$2:$L$27,MATCH(E647,Cost_Components!$A$2:$A$27,0)),"")</f>
        <v>1</v>
      </c>
      <c r="N647" s="27">
        <f>IFERROR(INDEX(Cost_Components!$P$2:$P$27,MATCH(E647,Cost_Components!$A$2:$A$27,0)),"")</f>
        <v>119.721487</v>
      </c>
      <c r="O647" s="21">
        <f t="shared" si="101"/>
        <v>2790931.18615002</v>
      </c>
      <c r="P647" s="21">
        <f t="shared" si="102"/>
        <v>2777438.9682708001</v>
      </c>
      <c r="Q647" s="21">
        <f t="shared" si="103"/>
        <v>103080928.23326905</v>
      </c>
      <c r="R647" s="21">
        <f t="shared" si="104"/>
        <v>242118949.75443235</v>
      </c>
      <c r="S647" s="21">
        <f t="shared" si="105"/>
        <v>139038021.52116328</v>
      </c>
      <c r="T647" s="14">
        <f>IFERROR(INDEX(Cost_Components!$R$2:$R$27,MATCH(E647,Cost_Components!$A$2:$A$27,0)),"")</f>
        <v>1</v>
      </c>
      <c r="U647" s="24">
        <f>IFERROR(INDEX(Cost_Components!$Q$2:$Q$27,MATCH(E647,Cost_Components!$A$2:$A$27,0)),"")</f>
        <v>2023</v>
      </c>
      <c r="V647" s="28">
        <f>1/(1+Calculation_Assumptions!$B$5)^(B647-Calculation_Assumptions!$B$2)</f>
        <v>0.5375492759090631</v>
      </c>
      <c r="W647" s="21">
        <f t="shared" si="106"/>
        <v>55411078.331827879</v>
      </c>
      <c r="X647" s="21">
        <f t="shared" si="107"/>
        <v>130150866.12435794</v>
      </c>
      <c r="Y647" s="21">
        <f t="shared" si="108"/>
        <v>74739787.79253006</v>
      </c>
      <c r="Z647" s="15">
        <f>IFERROR(INDEX(Cost_Components!$T$2:$T$27,MATCH(E647,Cost_Components!$A$2:$A$27,0)),"")</f>
        <v>0.8</v>
      </c>
      <c r="AA647" s="24">
        <f>IFERROR(INDEX(Cost_Components!$U$2:$U$27,MATCH(E647,Cost_Components!$A$2:$A$27,0)),"")</f>
        <v>2025</v>
      </c>
      <c r="AB647" s="24">
        <f>IFERROR(INDEX(Cost_Components!$V$2:$V$27,MATCH(E647,Cost_Components!$A$2:$A$27,0)),"")</f>
        <v>2050</v>
      </c>
      <c r="AC647" s="24">
        <f>IFERROR(INDEX(Cost_Components!$M$2:$M$27,MATCH(E647,Cost_Components!$A$2:$A$27,0)),"")</f>
        <v>30</v>
      </c>
      <c r="AD647" s="24">
        <f>IFERROR(INDEX(Cost_Components!$N$2:$N$27,MATCH(E647,Cost_Components!$A$2:$A$27,0)),"")</f>
        <v>95</v>
      </c>
      <c r="AE647" s="14" t="str">
        <f>IFERROR(INDEX(Cost_Components!$O$2:$O$27,MATCH(E647,Cost_Components!$A$2:$A$27,0)),"")</f>
        <v>Both</v>
      </c>
      <c r="AF647" s="11">
        <v>5581862.37230004</v>
      </c>
      <c r="AG647" s="11">
        <v>5554877.9365416002</v>
      </c>
      <c r="AH647" s="21">
        <f t="shared" si="109"/>
        <v>1</v>
      </c>
    </row>
    <row r="648" spans="1:34" hidden="1">
      <c r="A648" t="s">
        <v>217</v>
      </c>
      <c r="B648" s="18">
        <v>2047</v>
      </c>
      <c r="C648" t="s">
        <v>217</v>
      </c>
      <c r="D648" t="s">
        <v>181</v>
      </c>
      <c r="E648" s="20" t="s">
        <v>317</v>
      </c>
      <c r="F648" s="20" t="s">
        <v>318</v>
      </c>
      <c r="G648" s="20" t="s">
        <v>221</v>
      </c>
      <c r="H648" s="20" t="s">
        <v>192</v>
      </c>
      <c r="I648" s="20" t="s">
        <v>264</v>
      </c>
      <c r="J648" s="15">
        <f>IFERROR(INDEX(Cost_Components!$K$2:$K$27,MATCH(E648,Cost_Components!$A$2:$A$27,0)),"")</f>
        <v>0.5</v>
      </c>
      <c r="K648" s="15">
        <f t="shared" si="100"/>
        <v>0.74346153846153851</v>
      </c>
      <c r="L648" s="15">
        <f>IFERROR(INDEX(Cost_Components!$S$2:$S$27,MATCH(E648,Cost_Components!$A$2:$A$27,0)),"")</f>
        <v>0.31</v>
      </c>
      <c r="M648" s="26">
        <f>IFERROR(INDEX(Cost_Components!$L$2:$L$27,MATCH(E648,Cost_Components!$A$2:$A$27,0)),"")</f>
        <v>1</v>
      </c>
      <c r="N648" s="27">
        <f>IFERROR(INDEX(Cost_Components!$P$2:$P$27,MATCH(E648,Cost_Components!$A$2:$A$27,0)),"")</f>
        <v>119.721487</v>
      </c>
      <c r="O648" s="21">
        <f t="shared" si="101"/>
        <v>2827367.6312560802</v>
      </c>
      <c r="P648" s="21">
        <f t="shared" si="102"/>
        <v>2812834.7331009549</v>
      </c>
      <c r="Q648" s="21">
        <f t="shared" si="103"/>
        <v>104394594.64894928</v>
      </c>
      <c r="R648" s="21">
        <f t="shared" si="104"/>
        <v>251659245.45882502</v>
      </c>
      <c r="S648" s="21">
        <f t="shared" si="105"/>
        <v>147264650.80987573</v>
      </c>
      <c r="T648" s="14">
        <f>IFERROR(INDEX(Cost_Components!$R$2:$R$27,MATCH(E648,Cost_Components!$A$2:$A$27,0)),"")</f>
        <v>1</v>
      </c>
      <c r="U648" s="24">
        <f>IFERROR(INDEX(Cost_Components!$Q$2:$Q$27,MATCH(E648,Cost_Components!$A$2:$A$27,0)),"")</f>
        <v>2023</v>
      </c>
      <c r="V648" s="28">
        <f>1/(1+Calculation_Assumptions!$B$5)^(B648-Calculation_Assumptions!$B$2)</f>
        <v>0.52189250088258554</v>
      </c>
      <c r="W648" s="21">
        <f t="shared" si="106"/>
        <v>54482756.079963923</v>
      </c>
      <c r="X648" s="21">
        <f t="shared" si="107"/>
        <v>131339072.98273064</v>
      </c>
      <c r="Y648" s="21">
        <f t="shared" si="108"/>
        <v>76856316.902766719</v>
      </c>
      <c r="Z648" s="15">
        <f>IFERROR(INDEX(Cost_Components!$T$2:$T$27,MATCH(E648,Cost_Components!$A$2:$A$27,0)),"")</f>
        <v>0.8</v>
      </c>
      <c r="AA648" s="24">
        <f>IFERROR(INDEX(Cost_Components!$U$2:$U$27,MATCH(E648,Cost_Components!$A$2:$A$27,0)),"")</f>
        <v>2025</v>
      </c>
      <c r="AB648" s="24">
        <f>IFERROR(INDEX(Cost_Components!$V$2:$V$27,MATCH(E648,Cost_Components!$A$2:$A$27,0)),"")</f>
        <v>2050</v>
      </c>
      <c r="AC648" s="24">
        <f>IFERROR(INDEX(Cost_Components!$M$2:$M$27,MATCH(E648,Cost_Components!$A$2:$A$27,0)),"")</f>
        <v>30</v>
      </c>
      <c r="AD648" s="24">
        <f>IFERROR(INDEX(Cost_Components!$N$2:$N$27,MATCH(E648,Cost_Components!$A$2:$A$27,0)),"")</f>
        <v>95</v>
      </c>
      <c r="AE648" s="14" t="str">
        <f>IFERROR(INDEX(Cost_Components!$O$2:$O$27,MATCH(E648,Cost_Components!$A$2:$A$27,0)),"")</f>
        <v>Both</v>
      </c>
      <c r="AF648" s="11">
        <v>5654735.2625121605</v>
      </c>
      <c r="AG648" s="11">
        <v>5625669.4662019098</v>
      </c>
      <c r="AH648" s="21">
        <f t="shared" si="109"/>
        <v>1</v>
      </c>
    </row>
    <row r="649" spans="1:34" hidden="1">
      <c r="A649" t="s">
        <v>217</v>
      </c>
      <c r="B649" s="18">
        <v>2048</v>
      </c>
      <c r="C649" t="s">
        <v>217</v>
      </c>
      <c r="D649" t="s">
        <v>181</v>
      </c>
      <c r="E649" s="20" t="s">
        <v>317</v>
      </c>
      <c r="F649" s="20" t="s">
        <v>318</v>
      </c>
      <c r="G649" s="20" t="s">
        <v>221</v>
      </c>
      <c r="H649" s="20" t="s">
        <v>192</v>
      </c>
      <c r="I649" s="20" t="s">
        <v>264</v>
      </c>
      <c r="J649" s="15">
        <f>IFERROR(INDEX(Cost_Components!$K$2:$K$27,MATCH(E649,Cost_Components!$A$2:$A$27,0)),"")</f>
        <v>0.5</v>
      </c>
      <c r="K649" s="15">
        <f t="shared" si="100"/>
        <v>0.76230769230769235</v>
      </c>
      <c r="L649" s="15">
        <f>IFERROR(INDEX(Cost_Components!$S$2:$S$27,MATCH(E649,Cost_Components!$A$2:$A$27,0)),"")</f>
        <v>0.31</v>
      </c>
      <c r="M649" s="26">
        <f>IFERROR(INDEX(Cost_Components!$L$2:$L$27,MATCH(E649,Cost_Components!$A$2:$A$27,0)),"")</f>
        <v>1</v>
      </c>
      <c r="N649" s="27">
        <f>IFERROR(INDEX(Cost_Components!$P$2:$P$27,MATCH(E649,Cost_Components!$A$2:$A$27,0)),"")</f>
        <v>119.721487</v>
      </c>
      <c r="O649" s="21">
        <f t="shared" si="101"/>
        <v>2861768.3044320452</v>
      </c>
      <c r="P649" s="21">
        <f t="shared" si="102"/>
        <v>2846179.575408835</v>
      </c>
      <c r="Q649" s="21">
        <f t="shared" si="103"/>
        <v>105632143.82146204</v>
      </c>
      <c r="R649" s="21">
        <f t="shared" si="104"/>
        <v>261178169.57259116</v>
      </c>
      <c r="S649" s="21">
        <f t="shared" si="105"/>
        <v>155546025.75112912</v>
      </c>
      <c r="T649" s="14">
        <f>IFERROR(INDEX(Cost_Components!$R$2:$R$27,MATCH(E649,Cost_Components!$A$2:$A$27,0)),"")</f>
        <v>1</v>
      </c>
      <c r="U649" s="24">
        <f>IFERROR(INDEX(Cost_Components!$Q$2:$Q$27,MATCH(E649,Cost_Components!$A$2:$A$27,0)),"")</f>
        <v>2023</v>
      </c>
      <c r="V649" s="28">
        <f>1/(1+Calculation_Assumptions!$B$5)^(B649-Calculation_Assumptions!$B$2)</f>
        <v>0.50669174842969467</v>
      </c>
      <c r="W649" s="21">
        <f t="shared" si="106"/>
        <v>53522935.64327357</v>
      </c>
      <c r="X649" s="21">
        <f t="shared" si="107"/>
        <v>132336823.3924035</v>
      </c>
      <c r="Y649" s="21">
        <f t="shared" si="108"/>
        <v>78813887.749129921</v>
      </c>
      <c r="Z649" s="15">
        <f>IFERROR(INDEX(Cost_Components!$T$2:$T$27,MATCH(E649,Cost_Components!$A$2:$A$27,0)),"")</f>
        <v>0.8</v>
      </c>
      <c r="AA649" s="24">
        <f>IFERROR(INDEX(Cost_Components!$U$2:$U$27,MATCH(E649,Cost_Components!$A$2:$A$27,0)),"")</f>
        <v>2025</v>
      </c>
      <c r="AB649" s="24">
        <f>IFERROR(INDEX(Cost_Components!$V$2:$V$27,MATCH(E649,Cost_Components!$A$2:$A$27,0)),"")</f>
        <v>2050</v>
      </c>
      <c r="AC649" s="24">
        <f>IFERROR(INDEX(Cost_Components!$M$2:$M$27,MATCH(E649,Cost_Components!$A$2:$A$27,0)),"")</f>
        <v>30</v>
      </c>
      <c r="AD649" s="24">
        <f>IFERROR(INDEX(Cost_Components!$N$2:$N$27,MATCH(E649,Cost_Components!$A$2:$A$27,0)),"")</f>
        <v>95</v>
      </c>
      <c r="AE649" s="14" t="str">
        <f>IFERROR(INDEX(Cost_Components!$O$2:$O$27,MATCH(E649,Cost_Components!$A$2:$A$27,0)),"")</f>
        <v>Both</v>
      </c>
      <c r="AF649" s="11">
        <v>5723536.6088640904</v>
      </c>
      <c r="AG649" s="11">
        <v>5692359.1508176699</v>
      </c>
      <c r="AH649" s="21">
        <f t="shared" si="109"/>
        <v>1</v>
      </c>
    </row>
    <row r="650" spans="1:34" hidden="1">
      <c r="A650" t="s">
        <v>217</v>
      </c>
      <c r="B650" s="18">
        <v>2049</v>
      </c>
      <c r="C650" t="s">
        <v>217</v>
      </c>
      <c r="D650" t="s">
        <v>181</v>
      </c>
      <c r="E650" s="20" t="s">
        <v>317</v>
      </c>
      <c r="F650" s="20" t="s">
        <v>318</v>
      </c>
      <c r="G650" s="20" t="s">
        <v>221</v>
      </c>
      <c r="H650" s="20" t="s">
        <v>192</v>
      </c>
      <c r="I650" s="20" t="s">
        <v>264</v>
      </c>
      <c r="J650" s="15">
        <f>IFERROR(INDEX(Cost_Components!$K$2:$K$27,MATCH(E650,Cost_Components!$A$2:$A$27,0)),"")</f>
        <v>0.5</v>
      </c>
      <c r="K650" s="15">
        <f t="shared" si="100"/>
        <v>0.7811538461538462</v>
      </c>
      <c r="L650" s="15">
        <f>IFERROR(INDEX(Cost_Components!$S$2:$S$27,MATCH(E650,Cost_Components!$A$2:$A$27,0)),"")</f>
        <v>0.31</v>
      </c>
      <c r="M650" s="26">
        <f>IFERROR(INDEX(Cost_Components!$L$2:$L$27,MATCH(E650,Cost_Components!$A$2:$A$27,0)),"")</f>
        <v>1</v>
      </c>
      <c r="N650" s="27">
        <f>IFERROR(INDEX(Cost_Components!$P$2:$P$27,MATCH(E650,Cost_Components!$A$2:$A$27,0)),"")</f>
        <v>119.721487</v>
      </c>
      <c r="O650" s="21">
        <f t="shared" si="101"/>
        <v>2894218.5555462148</v>
      </c>
      <c r="P650" s="21">
        <f t="shared" si="102"/>
        <v>2877561.9052454098</v>
      </c>
      <c r="Q650" s="21">
        <f t="shared" si="103"/>
        <v>106796856.97146539</v>
      </c>
      <c r="R650" s="21">
        <f t="shared" si="104"/>
        <v>270669924.21935862</v>
      </c>
      <c r="S650" s="21">
        <f t="shared" si="105"/>
        <v>163873067.24789321</v>
      </c>
      <c r="T650" s="14">
        <f>IFERROR(INDEX(Cost_Components!$R$2:$R$27,MATCH(E650,Cost_Components!$A$2:$A$27,0)),"")</f>
        <v>1</v>
      </c>
      <c r="U650" s="24">
        <f>IFERROR(INDEX(Cost_Components!$Q$2:$Q$27,MATCH(E650,Cost_Components!$A$2:$A$27,0)),"")</f>
        <v>2023</v>
      </c>
      <c r="V650" s="28">
        <f>1/(1+Calculation_Assumptions!$B$5)^(B650-Calculation_Assumptions!$B$2)</f>
        <v>0.49193373633950943</v>
      </c>
      <c r="W650" s="21">
        <f t="shared" si="106"/>
        <v>52536976.879289158</v>
      </c>
      <c r="X650" s="21">
        <f t="shared" si="107"/>
        <v>133151667.13596097</v>
      </c>
      <c r="Y650" s="21">
        <f t="shared" si="108"/>
        <v>80614690.256671801</v>
      </c>
      <c r="Z650" s="15">
        <f>IFERROR(INDEX(Cost_Components!$T$2:$T$27,MATCH(E650,Cost_Components!$A$2:$A$27,0)),"")</f>
        <v>0.8</v>
      </c>
      <c r="AA650" s="24">
        <f>IFERROR(INDEX(Cost_Components!$U$2:$U$27,MATCH(E650,Cost_Components!$A$2:$A$27,0)),"")</f>
        <v>2025</v>
      </c>
      <c r="AB650" s="24">
        <f>IFERROR(INDEX(Cost_Components!$V$2:$V$27,MATCH(E650,Cost_Components!$A$2:$A$27,0)),"")</f>
        <v>2050</v>
      </c>
      <c r="AC650" s="24">
        <f>IFERROR(INDEX(Cost_Components!$M$2:$M$27,MATCH(E650,Cost_Components!$A$2:$A$27,0)),"")</f>
        <v>30</v>
      </c>
      <c r="AD650" s="24">
        <f>IFERROR(INDEX(Cost_Components!$N$2:$N$27,MATCH(E650,Cost_Components!$A$2:$A$27,0)),"")</f>
        <v>95</v>
      </c>
      <c r="AE650" s="14" t="str">
        <f>IFERROR(INDEX(Cost_Components!$O$2:$O$27,MATCH(E650,Cost_Components!$A$2:$A$27,0)),"")</f>
        <v>Both</v>
      </c>
      <c r="AF650" s="11">
        <v>5788437.1110924296</v>
      </c>
      <c r="AG650" s="11">
        <v>5755123.8104908196</v>
      </c>
      <c r="AH650" s="21">
        <f t="shared" si="109"/>
        <v>1</v>
      </c>
    </row>
    <row r="651" spans="1:34" hidden="1">
      <c r="A651" t="s">
        <v>217</v>
      </c>
      <c r="B651" s="18">
        <v>2050</v>
      </c>
      <c r="C651" t="s">
        <v>217</v>
      </c>
      <c r="D651" t="s">
        <v>181</v>
      </c>
      <c r="E651" s="20" t="s">
        <v>317</v>
      </c>
      <c r="F651" s="20" t="s">
        <v>318</v>
      </c>
      <c r="G651" s="20" t="s">
        <v>221</v>
      </c>
      <c r="H651" s="20" t="s">
        <v>192</v>
      </c>
      <c r="I651" s="20" t="s">
        <v>264</v>
      </c>
      <c r="J651" s="15">
        <f>IFERROR(INDEX(Cost_Components!$K$2:$K$27,MATCH(E651,Cost_Components!$A$2:$A$27,0)),"")</f>
        <v>0.5</v>
      </c>
      <c r="K651" s="15">
        <f t="shared" si="100"/>
        <v>0.8</v>
      </c>
      <c r="L651" s="15">
        <f>IFERROR(INDEX(Cost_Components!$S$2:$S$27,MATCH(E651,Cost_Components!$A$2:$A$27,0)),"")</f>
        <v>0.31</v>
      </c>
      <c r="M651" s="26">
        <f>IFERROR(INDEX(Cost_Components!$L$2:$L$27,MATCH(E651,Cost_Components!$A$2:$A$27,0)),"")</f>
        <v>1</v>
      </c>
      <c r="N651" s="27">
        <f>IFERROR(INDEX(Cost_Components!$P$2:$P$27,MATCH(E651,Cost_Components!$A$2:$A$27,0)),"")</f>
        <v>119.721487</v>
      </c>
      <c r="O651" s="21">
        <f t="shared" si="101"/>
        <v>2924867.3459290401</v>
      </c>
      <c r="P651" s="21">
        <f t="shared" si="102"/>
        <v>2907132.4074879298</v>
      </c>
      <c r="Q651" s="21">
        <f t="shared" si="103"/>
        <v>107894326.56640691</v>
      </c>
      <c r="R651" s="21">
        <f t="shared" si="104"/>
        <v>280135574.34589452</v>
      </c>
      <c r="S651" s="21">
        <f t="shared" si="105"/>
        <v>172241247.77948761</v>
      </c>
      <c r="T651" s="14">
        <f>IFERROR(INDEX(Cost_Components!$R$2:$R$27,MATCH(E651,Cost_Components!$A$2:$A$27,0)),"")</f>
        <v>1</v>
      </c>
      <c r="U651" s="24">
        <f>IFERROR(INDEX(Cost_Components!$Q$2:$Q$27,MATCH(E651,Cost_Components!$A$2:$A$27,0)),"")</f>
        <v>2023</v>
      </c>
      <c r="V651" s="28">
        <f>1/(1+Calculation_Assumptions!$B$5)^(B651-Calculation_Assumptions!$B$2)</f>
        <v>0.47760556926165965</v>
      </c>
      <c r="W651" s="21">
        <f t="shared" si="106"/>
        <v>51530931.259852178</v>
      </c>
      <c r="X651" s="21">
        <f t="shared" si="107"/>
        <v>133794310.45591293</v>
      </c>
      <c r="Y651" s="21">
        <f t="shared" si="108"/>
        <v>82263379.196060747</v>
      </c>
      <c r="Z651" s="15">
        <f>IFERROR(INDEX(Cost_Components!$T$2:$T$27,MATCH(E651,Cost_Components!$A$2:$A$27,0)),"")</f>
        <v>0.8</v>
      </c>
      <c r="AA651" s="24">
        <f>IFERROR(INDEX(Cost_Components!$U$2:$U$27,MATCH(E651,Cost_Components!$A$2:$A$27,0)),"")</f>
        <v>2025</v>
      </c>
      <c r="AB651" s="24">
        <f>IFERROR(INDEX(Cost_Components!$V$2:$V$27,MATCH(E651,Cost_Components!$A$2:$A$27,0)),"")</f>
        <v>2050</v>
      </c>
      <c r="AC651" s="24">
        <f>IFERROR(INDEX(Cost_Components!$M$2:$M$27,MATCH(E651,Cost_Components!$A$2:$A$27,0)),"")</f>
        <v>30</v>
      </c>
      <c r="AD651" s="24">
        <f>IFERROR(INDEX(Cost_Components!$N$2:$N$27,MATCH(E651,Cost_Components!$A$2:$A$27,0)),"")</f>
        <v>95</v>
      </c>
      <c r="AE651" s="14" t="str">
        <f>IFERROR(INDEX(Cost_Components!$O$2:$O$27,MATCH(E651,Cost_Components!$A$2:$A$27,0)),"")</f>
        <v>Both</v>
      </c>
      <c r="AF651" s="11">
        <v>5849734.6918580802</v>
      </c>
      <c r="AG651" s="11">
        <v>5814264.8149758596</v>
      </c>
      <c r="AH651" s="21">
        <f t="shared" si="109"/>
        <v>1</v>
      </c>
    </row>
    <row r="652" spans="1:34" hidden="1">
      <c r="A652" t="s">
        <v>223</v>
      </c>
      <c r="B652" s="18">
        <v>2025</v>
      </c>
      <c r="C652" t="s">
        <v>223</v>
      </c>
      <c r="D652" t="s">
        <v>227</v>
      </c>
      <c r="E652" s="20" t="s">
        <v>319</v>
      </c>
      <c r="F652" s="20" t="s">
        <v>320</v>
      </c>
      <c r="G652" s="20" t="s">
        <v>224</v>
      </c>
      <c r="H652" s="20" t="s">
        <v>192</v>
      </c>
      <c r="I652" s="20" t="s">
        <v>264</v>
      </c>
      <c r="J652" s="15">
        <f>IFERROR(INDEX(Cost_Components!$K$2:$K$27,MATCH(E652,Cost_Components!$A$2:$A$27,0)),"")</f>
        <v>0.8</v>
      </c>
      <c r="K652" s="15">
        <f t="shared" si="100"/>
        <v>0.32884615384615384</v>
      </c>
      <c r="L652" s="15">
        <f>IFERROR(INDEX(Cost_Components!$S$2:$S$27,MATCH(E652,Cost_Components!$A$2:$A$27,0)),"")</f>
        <v>0.31</v>
      </c>
      <c r="M652" s="26">
        <f>IFERROR(INDEX(Cost_Components!$L$2:$L$27,MATCH(E652,Cost_Components!$A$2:$A$27,0)),"")</f>
        <v>1</v>
      </c>
      <c r="N652" s="27">
        <f>IFERROR(INDEX(Cost_Components!$P$2:$P$27,MATCH(E652,Cost_Components!$A$2:$A$27,0)),"")</f>
        <v>176.67</v>
      </c>
      <c r="O652" s="21">
        <f t="shared" si="101"/>
        <v>13266185.973540321</v>
      </c>
      <c r="P652" s="21">
        <f t="shared" si="102"/>
        <v>13265587.769600481</v>
      </c>
      <c r="Q652" s="21">
        <f t="shared" si="103"/>
        <v>726525731.28914821</v>
      </c>
      <c r="R652" s="21">
        <f t="shared" si="104"/>
        <v>770728923.05126536</v>
      </c>
      <c r="S652" s="21">
        <f t="shared" si="105"/>
        <v>44203191.762117147</v>
      </c>
      <c r="T652" s="14">
        <f>IFERROR(INDEX(Cost_Components!$R$2:$R$27,MATCH(E652,Cost_Components!$A$2:$A$27,0)),"")</f>
        <v>0</v>
      </c>
      <c r="U652" s="24">
        <f>IFERROR(INDEX(Cost_Components!$Q$2:$Q$27,MATCH(E652,Cost_Components!$A$2:$A$27,0)),"")</f>
        <v>2014</v>
      </c>
      <c r="V652" s="28">
        <f>1/(1+Calculation_Assumptions!$B$5)^(B652-Calculation_Assumptions!$B$2)</f>
        <v>1</v>
      </c>
      <c r="W652" s="21">
        <f t="shared" si="106"/>
        <v>726525731.28914821</v>
      </c>
      <c r="X652" s="21">
        <f t="shared" si="107"/>
        <v>770728923.05126536</v>
      </c>
      <c r="Y652" s="21">
        <f t="shared" si="108"/>
        <v>44203191.762117147</v>
      </c>
      <c r="Z652" s="15">
        <f>IFERROR(INDEX(Cost_Components!$T$2:$T$27,MATCH(E652,Cost_Components!$A$2:$A$27,0)),"")</f>
        <v>0.8</v>
      </c>
      <c r="AA652" s="24">
        <f>IFERROR(INDEX(Cost_Components!$U$2:$U$27,MATCH(E652,Cost_Components!$A$2:$A$27,0)),"")</f>
        <v>2025</v>
      </c>
      <c r="AB652" s="24">
        <f>IFERROR(INDEX(Cost_Components!$V$2:$V$27,MATCH(E652,Cost_Components!$A$2:$A$27,0)),"")</f>
        <v>2050</v>
      </c>
      <c r="AC652" s="24">
        <f>IFERROR(INDEX(Cost_Components!$M$2:$M$27,MATCH(E652,Cost_Components!$A$2:$A$27,0)),"")</f>
        <v>0</v>
      </c>
      <c r="AD652" s="24">
        <f>IFERROR(INDEX(Cost_Components!$N$2:$N$27,MATCH(E652,Cost_Components!$A$2:$A$27,0)),"")</f>
        <v>95</v>
      </c>
      <c r="AE652" s="14" t="str">
        <f>IFERROR(INDEX(Cost_Components!$O$2:$O$27,MATCH(E652,Cost_Components!$A$2:$A$27,0)),"")</f>
        <v>Both</v>
      </c>
      <c r="AF652" s="11">
        <v>16582732.466925399</v>
      </c>
      <c r="AG652" s="11">
        <v>16581984.712000599</v>
      </c>
      <c r="AH652" s="21">
        <f t="shared" si="109"/>
        <v>1</v>
      </c>
    </row>
    <row r="653" spans="1:34" hidden="1">
      <c r="A653" t="s">
        <v>223</v>
      </c>
      <c r="B653" s="18">
        <v>2026</v>
      </c>
      <c r="C653" t="s">
        <v>223</v>
      </c>
      <c r="D653" t="s">
        <v>227</v>
      </c>
      <c r="E653" s="20" t="s">
        <v>319</v>
      </c>
      <c r="F653" s="20" t="s">
        <v>320</v>
      </c>
      <c r="G653" s="20" t="s">
        <v>224</v>
      </c>
      <c r="H653" s="20" t="s">
        <v>192</v>
      </c>
      <c r="I653" s="20" t="s">
        <v>264</v>
      </c>
      <c r="J653" s="15">
        <f>IFERROR(INDEX(Cost_Components!$K$2:$K$27,MATCH(E653,Cost_Components!$A$2:$A$27,0)),"")</f>
        <v>0.8</v>
      </c>
      <c r="K653" s="15">
        <f t="shared" si="100"/>
        <v>0.34769230769230769</v>
      </c>
      <c r="L653" s="15">
        <f>IFERROR(INDEX(Cost_Components!$S$2:$S$27,MATCH(E653,Cost_Components!$A$2:$A$27,0)),"")</f>
        <v>0.31</v>
      </c>
      <c r="M653" s="26">
        <f>IFERROR(INDEX(Cost_Components!$L$2:$L$27,MATCH(E653,Cost_Components!$A$2:$A$27,0)),"")</f>
        <v>1</v>
      </c>
      <c r="N653" s="27">
        <f>IFERROR(INDEX(Cost_Components!$P$2:$P$27,MATCH(E653,Cost_Components!$A$2:$A$27,0)),"")</f>
        <v>176.67</v>
      </c>
      <c r="O653" s="21">
        <f t="shared" si="101"/>
        <v>13778877.585929442</v>
      </c>
      <c r="P653" s="21">
        <f t="shared" si="102"/>
        <v>13777041.328389762</v>
      </c>
      <c r="Q653" s="21">
        <f t="shared" si="103"/>
        <v>754536866.36085188</v>
      </c>
      <c r="R653" s="21">
        <f t="shared" si="104"/>
        <v>846392357.69537067</v>
      </c>
      <c r="S653" s="21">
        <f t="shared" si="105"/>
        <v>91855491.33451879</v>
      </c>
      <c r="T653" s="14">
        <f>IFERROR(INDEX(Cost_Components!$R$2:$R$27,MATCH(E653,Cost_Components!$A$2:$A$27,0)),"")</f>
        <v>0</v>
      </c>
      <c r="U653" s="24">
        <f>IFERROR(INDEX(Cost_Components!$Q$2:$Q$27,MATCH(E653,Cost_Components!$A$2:$A$27,0)),"")</f>
        <v>2014</v>
      </c>
      <c r="V653" s="28">
        <f>1/(1+Calculation_Assumptions!$B$5)^(B653-Calculation_Assumptions!$B$2)</f>
        <v>0.970873786407767</v>
      </c>
      <c r="W653" s="21">
        <f t="shared" si="106"/>
        <v>732560064.42801154</v>
      </c>
      <c r="X653" s="21">
        <f t="shared" si="107"/>
        <v>821740153.1023016</v>
      </c>
      <c r="Y653" s="21">
        <f t="shared" si="108"/>
        <v>89180088.674290091</v>
      </c>
      <c r="Z653" s="15">
        <f>IFERROR(INDEX(Cost_Components!$T$2:$T$27,MATCH(E653,Cost_Components!$A$2:$A$27,0)),"")</f>
        <v>0.8</v>
      </c>
      <c r="AA653" s="24">
        <f>IFERROR(INDEX(Cost_Components!$U$2:$U$27,MATCH(E653,Cost_Components!$A$2:$A$27,0)),"")</f>
        <v>2025</v>
      </c>
      <c r="AB653" s="24">
        <f>IFERROR(INDEX(Cost_Components!$V$2:$V$27,MATCH(E653,Cost_Components!$A$2:$A$27,0)),"")</f>
        <v>2050</v>
      </c>
      <c r="AC653" s="24">
        <f>IFERROR(INDEX(Cost_Components!$M$2:$M$27,MATCH(E653,Cost_Components!$A$2:$A$27,0)),"")</f>
        <v>0</v>
      </c>
      <c r="AD653" s="24">
        <f>IFERROR(INDEX(Cost_Components!$N$2:$N$27,MATCH(E653,Cost_Components!$A$2:$A$27,0)),"")</f>
        <v>95</v>
      </c>
      <c r="AE653" s="14" t="str">
        <f>IFERROR(INDEX(Cost_Components!$O$2:$O$27,MATCH(E653,Cost_Components!$A$2:$A$27,0)),"")</f>
        <v>Both</v>
      </c>
      <c r="AF653" s="11">
        <v>17223596.982411802</v>
      </c>
      <c r="AG653" s="11">
        <v>17221301.660487201</v>
      </c>
      <c r="AH653" s="21">
        <f t="shared" si="109"/>
        <v>1</v>
      </c>
    </row>
    <row r="654" spans="1:34" hidden="1">
      <c r="A654" t="s">
        <v>223</v>
      </c>
      <c r="B654" s="18">
        <v>2027</v>
      </c>
      <c r="C654" t="s">
        <v>223</v>
      </c>
      <c r="D654" t="s">
        <v>227</v>
      </c>
      <c r="E654" s="20" t="s">
        <v>319</v>
      </c>
      <c r="F654" s="20" t="s">
        <v>320</v>
      </c>
      <c r="G654" s="20" t="s">
        <v>224</v>
      </c>
      <c r="H654" s="20" t="s">
        <v>192</v>
      </c>
      <c r="I654" s="20" t="s">
        <v>264</v>
      </c>
      <c r="J654" s="15">
        <f>IFERROR(INDEX(Cost_Components!$K$2:$K$27,MATCH(E654,Cost_Components!$A$2:$A$27,0)),"")</f>
        <v>0.8</v>
      </c>
      <c r="K654" s="15">
        <f t="shared" si="100"/>
        <v>0.36653846153846154</v>
      </c>
      <c r="L654" s="15">
        <f>IFERROR(INDEX(Cost_Components!$S$2:$S$27,MATCH(E654,Cost_Components!$A$2:$A$27,0)),"")</f>
        <v>0.31</v>
      </c>
      <c r="M654" s="26">
        <f>IFERROR(INDEX(Cost_Components!$L$2:$L$27,MATCH(E654,Cost_Components!$A$2:$A$27,0)),"")</f>
        <v>1</v>
      </c>
      <c r="N654" s="27">
        <f>IFERROR(INDEX(Cost_Components!$P$2:$P$27,MATCH(E654,Cost_Components!$A$2:$A$27,0)),"")</f>
        <v>176.67</v>
      </c>
      <c r="O654" s="21">
        <f t="shared" si="101"/>
        <v>14284537.886748239</v>
      </c>
      <c r="P654" s="21">
        <f t="shared" si="102"/>
        <v>14280784.652698079</v>
      </c>
      <c r="Q654" s="21">
        <f t="shared" si="103"/>
        <v>782125729.62357259</v>
      </c>
      <c r="R654" s="21">
        <f t="shared" si="104"/>
        <v>925014534.98252916</v>
      </c>
      <c r="S654" s="21">
        <f t="shared" si="105"/>
        <v>142888805.35895658</v>
      </c>
      <c r="T654" s="14">
        <f>IFERROR(INDEX(Cost_Components!$R$2:$R$27,MATCH(E654,Cost_Components!$A$2:$A$27,0)),"")</f>
        <v>0</v>
      </c>
      <c r="U654" s="24">
        <f>IFERROR(INDEX(Cost_Components!$Q$2:$Q$27,MATCH(E654,Cost_Components!$A$2:$A$27,0)),"")</f>
        <v>2014</v>
      </c>
      <c r="V654" s="28">
        <f>1/(1+Calculation_Assumptions!$B$5)^(B654-Calculation_Assumptions!$B$2)</f>
        <v>0.94259590913375435</v>
      </c>
      <c r="W654" s="21">
        <f t="shared" si="106"/>
        <v>737228513.17143238</v>
      </c>
      <c r="X654" s="21">
        <f t="shared" si="107"/>
        <v>871914916.56379414</v>
      </c>
      <c r="Y654" s="21">
        <f t="shared" si="108"/>
        <v>134686403.39236173</v>
      </c>
      <c r="Z654" s="15">
        <f>IFERROR(INDEX(Cost_Components!$T$2:$T$27,MATCH(E654,Cost_Components!$A$2:$A$27,0)),"")</f>
        <v>0.8</v>
      </c>
      <c r="AA654" s="24">
        <f>IFERROR(INDEX(Cost_Components!$U$2:$U$27,MATCH(E654,Cost_Components!$A$2:$A$27,0)),"")</f>
        <v>2025</v>
      </c>
      <c r="AB654" s="24">
        <f>IFERROR(INDEX(Cost_Components!$V$2:$V$27,MATCH(E654,Cost_Components!$A$2:$A$27,0)),"")</f>
        <v>2050</v>
      </c>
      <c r="AC654" s="24">
        <f>IFERROR(INDEX(Cost_Components!$M$2:$M$27,MATCH(E654,Cost_Components!$A$2:$A$27,0)),"")</f>
        <v>0</v>
      </c>
      <c r="AD654" s="24">
        <f>IFERROR(INDEX(Cost_Components!$N$2:$N$27,MATCH(E654,Cost_Components!$A$2:$A$27,0)),"")</f>
        <v>95</v>
      </c>
      <c r="AE654" s="14" t="str">
        <f>IFERROR(INDEX(Cost_Components!$O$2:$O$27,MATCH(E654,Cost_Components!$A$2:$A$27,0)),"")</f>
        <v>Both</v>
      </c>
      <c r="AF654" s="11">
        <v>17855672.358435299</v>
      </c>
      <c r="AG654" s="11">
        <v>17850980.815872598</v>
      </c>
      <c r="AH654" s="21">
        <f t="shared" si="109"/>
        <v>1</v>
      </c>
    </row>
    <row r="655" spans="1:34" hidden="1">
      <c r="A655" t="s">
        <v>223</v>
      </c>
      <c r="B655" s="18">
        <v>2028</v>
      </c>
      <c r="C655" t="s">
        <v>223</v>
      </c>
      <c r="D655" t="s">
        <v>227</v>
      </c>
      <c r="E655" s="20" t="s">
        <v>319</v>
      </c>
      <c r="F655" s="20" t="s">
        <v>320</v>
      </c>
      <c r="G655" s="20" t="s">
        <v>224</v>
      </c>
      <c r="H655" s="20" t="s">
        <v>192</v>
      </c>
      <c r="I655" s="20" t="s">
        <v>264</v>
      </c>
      <c r="J655" s="15">
        <f>IFERROR(INDEX(Cost_Components!$K$2:$K$27,MATCH(E655,Cost_Components!$A$2:$A$27,0)),"")</f>
        <v>0.8</v>
      </c>
      <c r="K655" s="15">
        <f t="shared" si="100"/>
        <v>0.38538461538461538</v>
      </c>
      <c r="L655" s="15">
        <f>IFERROR(INDEX(Cost_Components!$S$2:$S$27,MATCH(E655,Cost_Components!$A$2:$A$27,0)),"")</f>
        <v>0.31</v>
      </c>
      <c r="M655" s="26">
        <f>IFERROR(INDEX(Cost_Components!$L$2:$L$27,MATCH(E655,Cost_Components!$A$2:$A$27,0)),"")</f>
        <v>1</v>
      </c>
      <c r="N655" s="27">
        <f>IFERROR(INDEX(Cost_Components!$P$2:$P$27,MATCH(E655,Cost_Components!$A$2:$A$27,0)),"")</f>
        <v>176.67</v>
      </c>
      <c r="O655" s="21">
        <f t="shared" si="101"/>
        <v>14782494.225980479</v>
      </c>
      <c r="P655" s="21">
        <f t="shared" si="102"/>
        <v>14776108.6874568</v>
      </c>
      <c r="Q655" s="21">
        <f t="shared" si="103"/>
        <v>809253487.76202774</v>
      </c>
      <c r="R655" s="21">
        <f t="shared" si="104"/>
        <v>1006479423.6206843</v>
      </c>
      <c r="S655" s="21">
        <f t="shared" si="105"/>
        <v>197225935.85865653</v>
      </c>
      <c r="T655" s="14">
        <f>IFERROR(INDEX(Cost_Components!$R$2:$R$27,MATCH(E655,Cost_Components!$A$2:$A$27,0)),"")</f>
        <v>0</v>
      </c>
      <c r="U655" s="24">
        <f>IFERROR(INDEX(Cost_Components!$Q$2:$Q$27,MATCH(E655,Cost_Components!$A$2:$A$27,0)),"")</f>
        <v>2014</v>
      </c>
      <c r="V655" s="28">
        <f>1/(1+Calculation_Assumptions!$B$5)^(B655-Calculation_Assumptions!$B$2)</f>
        <v>0.91514165935315961</v>
      </c>
      <c r="W655" s="21">
        <f t="shared" si="106"/>
        <v>740581579.6278739</v>
      </c>
      <c r="X655" s="21">
        <f t="shared" si="107"/>
        <v>921071249.83704472</v>
      </c>
      <c r="Y655" s="21">
        <f t="shared" si="108"/>
        <v>180489670.20917076</v>
      </c>
      <c r="Z655" s="15">
        <f>IFERROR(INDEX(Cost_Components!$T$2:$T$27,MATCH(E655,Cost_Components!$A$2:$A$27,0)),"")</f>
        <v>0.8</v>
      </c>
      <c r="AA655" s="24">
        <f>IFERROR(INDEX(Cost_Components!$U$2:$U$27,MATCH(E655,Cost_Components!$A$2:$A$27,0)),"")</f>
        <v>2025</v>
      </c>
      <c r="AB655" s="24">
        <f>IFERROR(INDEX(Cost_Components!$V$2:$V$27,MATCH(E655,Cost_Components!$A$2:$A$27,0)),"")</f>
        <v>2050</v>
      </c>
      <c r="AC655" s="24">
        <f>IFERROR(INDEX(Cost_Components!$M$2:$M$27,MATCH(E655,Cost_Components!$A$2:$A$27,0)),"")</f>
        <v>0</v>
      </c>
      <c r="AD655" s="24">
        <f>IFERROR(INDEX(Cost_Components!$N$2:$N$27,MATCH(E655,Cost_Components!$A$2:$A$27,0)),"")</f>
        <v>95</v>
      </c>
      <c r="AE655" s="14" t="str">
        <f>IFERROR(INDEX(Cost_Components!$O$2:$O$27,MATCH(E655,Cost_Components!$A$2:$A$27,0)),"")</f>
        <v>Both</v>
      </c>
      <c r="AF655" s="11">
        <v>18478117.782475598</v>
      </c>
      <c r="AG655" s="11">
        <v>18470135.859320998</v>
      </c>
      <c r="AH655" s="21">
        <f t="shared" si="109"/>
        <v>1</v>
      </c>
    </row>
    <row r="656" spans="1:34" hidden="1">
      <c r="A656" t="s">
        <v>223</v>
      </c>
      <c r="B656" s="18">
        <v>2029</v>
      </c>
      <c r="C656" t="s">
        <v>223</v>
      </c>
      <c r="D656" t="s">
        <v>227</v>
      </c>
      <c r="E656" s="20" t="s">
        <v>319</v>
      </c>
      <c r="F656" s="20" t="s">
        <v>320</v>
      </c>
      <c r="G656" s="20" t="s">
        <v>224</v>
      </c>
      <c r="H656" s="20" t="s">
        <v>192</v>
      </c>
      <c r="I656" s="20" t="s">
        <v>264</v>
      </c>
      <c r="J656" s="15">
        <f>IFERROR(INDEX(Cost_Components!$K$2:$K$27,MATCH(E656,Cost_Components!$A$2:$A$27,0)),"")</f>
        <v>0.8</v>
      </c>
      <c r="K656" s="15">
        <f t="shared" si="100"/>
        <v>0.40423076923076923</v>
      </c>
      <c r="L656" s="15">
        <f>IFERROR(INDEX(Cost_Components!$S$2:$S$27,MATCH(E656,Cost_Components!$A$2:$A$27,0)),"")</f>
        <v>0.31</v>
      </c>
      <c r="M656" s="26">
        <f>IFERROR(INDEX(Cost_Components!$L$2:$L$27,MATCH(E656,Cost_Components!$A$2:$A$27,0)),"")</f>
        <v>1</v>
      </c>
      <c r="N656" s="27">
        <f>IFERROR(INDEX(Cost_Components!$P$2:$P$27,MATCH(E656,Cost_Components!$A$2:$A$27,0)),"")</f>
        <v>176.67</v>
      </c>
      <c r="O656" s="21">
        <f t="shared" si="101"/>
        <v>15272143.278868079</v>
      </c>
      <c r="P656" s="21">
        <f t="shared" si="102"/>
        <v>15262376.230902482</v>
      </c>
      <c r="Q656" s="21">
        <f t="shared" si="103"/>
        <v>835885242.70119786</v>
      </c>
      <c r="R656" s="21">
        <f t="shared" si="104"/>
        <v>1090666984.7248392</v>
      </c>
      <c r="S656" s="21">
        <f t="shared" si="105"/>
        <v>254781742.02364135</v>
      </c>
      <c r="T656" s="14">
        <f>IFERROR(INDEX(Cost_Components!$R$2:$R$27,MATCH(E656,Cost_Components!$A$2:$A$27,0)),"")</f>
        <v>0</v>
      </c>
      <c r="U656" s="24">
        <f>IFERROR(INDEX(Cost_Components!$Q$2:$Q$27,MATCH(E656,Cost_Components!$A$2:$A$27,0)),"")</f>
        <v>2014</v>
      </c>
      <c r="V656" s="28">
        <f>1/(1+Calculation_Assumptions!$B$5)^(B656-Calculation_Assumptions!$B$2)</f>
        <v>0.888487047915689</v>
      </c>
      <c r="W656" s="21">
        <f t="shared" si="106"/>
        <v>742673211.68387651</v>
      </c>
      <c r="X656" s="21">
        <f t="shared" si="107"/>
        <v>969043489.51727831</v>
      </c>
      <c r="Y656" s="21">
        <f t="shared" si="108"/>
        <v>226370277.83340174</v>
      </c>
      <c r="Z656" s="15">
        <f>IFERROR(INDEX(Cost_Components!$T$2:$T$27,MATCH(E656,Cost_Components!$A$2:$A$27,0)),"")</f>
        <v>0.8</v>
      </c>
      <c r="AA656" s="24">
        <f>IFERROR(INDEX(Cost_Components!$U$2:$U$27,MATCH(E656,Cost_Components!$A$2:$A$27,0)),"")</f>
        <v>2025</v>
      </c>
      <c r="AB656" s="24">
        <f>IFERROR(INDEX(Cost_Components!$V$2:$V$27,MATCH(E656,Cost_Components!$A$2:$A$27,0)),"")</f>
        <v>2050</v>
      </c>
      <c r="AC656" s="24">
        <f>IFERROR(INDEX(Cost_Components!$M$2:$M$27,MATCH(E656,Cost_Components!$A$2:$A$27,0)),"")</f>
        <v>0</v>
      </c>
      <c r="AD656" s="24">
        <f>IFERROR(INDEX(Cost_Components!$N$2:$N$27,MATCH(E656,Cost_Components!$A$2:$A$27,0)),"")</f>
        <v>95</v>
      </c>
      <c r="AE656" s="14" t="str">
        <f>IFERROR(INDEX(Cost_Components!$O$2:$O$27,MATCH(E656,Cost_Components!$A$2:$A$27,0)),"")</f>
        <v>Both</v>
      </c>
      <c r="AF656" s="11">
        <v>19090179.098585099</v>
      </c>
      <c r="AG656" s="11">
        <v>19077970.288628101</v>
      </c>
      <c r="AH656" s="21">
        <f t="shared" si="109"/>
        <v>1</v>
      </c>
    </row>
    <row r="657" spans="1:34" hidden="1">
      <c r="A657" t="s">
        <v>223</v>
      </c>
      <c r="B657" s="18">
        <v>2030</v>
      </c>
      <c r="C657" t="s">
        <v>223</v>
      </c>
      <c r="D657" t="s">
        <v>227</v>
      </c>
      <c r="E657" s="20" t="s">
        <v>319</v>
      </c>
      <c r="F657" s="20" t="s">
        <v>320</v>
      </c>
      <c r="G657" s="20" t="s">
        <v>224</v>
      </c>
      <c r="H657" s="20" t="s">
        <v>192</v>
      </c>
      <c r="I657" s="20" t="s">
        <v>264</v>
      </c>
      <c r="J657" s="15">
        <f>IFERROR(INDEX(Cost_Components!$K$2:$K$27,MATCH(E657,Cost_Components!$A$2:$A$27,0)),"")</f>
        <v>0.8</v>
      </c>
      <c r="K657" s="15">
        <f t="shared" si="100"/>
        <v>0.42307692307692307</v>
      </c>
      <c r="L657" s="15">
        <f>IFERROR(INDEX(Cost_Components!$S$2:$S$27,MATCH(E657,Cost_Components!$A$2:$A$27,0)),"")</f>
        <v>0.31</v>
      </c>
      <c r="M657" s="26">
        <f>IFERROR(INDEX(Cost_Components!$L$2:$L$27,MATCH(E657,Cost_Components!$A$2:$A$27,0)),"")</f>
        <v>1</v>
      </c>
      <c r="N657" s="27">
        <f>IFERROR(INDEX(Cost_Components!$P$2:$P$27,MATCH(E657,Cost_Components!$A$2:$A$27,0)),"")</f>
        <v>176.67</v>
      </c>
      <c r="O657" s="21">
        <f t="shared" si="101"/>
        <v>15752888.281899361</v>
      </c>
      <c r="P657" s="21">
        <f t="shared" si="102"/>
        <v>15738959.51159424</v>
      </c>
      <c r="Q657" s="21">
        <f t="shared" si="103"/>
        <v>861986612.84313977</v>
      </c>
      <c r="R657" s="21">
        <f t="shared" si="104"/>
        <v>1177449634.6305676</v>
      </c>
      <c r="S657" s="21">
        <f t="shared" si="105"/>
        <v>315463021.78742778</v>
      </c>
      <c r="T657" s="14">
        <f>IFERROR(INDEX(Cost_Components!$R$2:$R$27,MATCH(E657,Cost_Components!$A$2:$A$27,0)),"")</f>
        <v>0</v>
      </c>
      <c r="U657" s="24">
        <f>IFERROR(INDEX(Cost_Components!$Q$2:$Q$27,MATCH(E657,Cost_Components!$A$2:$A$27,0)),"")</f>
        <v>2014</v>
      </c>
      <c r="V657" s="28">
        <f>1/(1+Calculation_Assumptions!$B$5)^(B657-Calculation_Assumptions!$B$2)</f>
        <v>0.86260878438416411</v>
      </c>
      <c r="W657" s="21">
        <f t="shared" si="106"/>
        <v>743557224.26004386</v>
      </c>
      <c r="X657" s="21">
        <f t="shared" si="107"/>
        <v>1015678398.0022521</v>
      </c>
      <c r="Y657" s="21">
        <f t="shared" si="108"/>
        <v>272121173.74220818</v>
      </c>
      <c r="Z657" s="15">
        <f>IFERROR(INDEX(Cost_Components!$T$2:$T$27,MATCH(E657,Cost_Components!$A$2:$A$27,0)),"")</f>
        <v>0.8</v>
      </c>
      <c r="AA657" s="24">
        <f>IFERROR(INDEX(Cost_Components!$U$2:$U$27,MATCH(E657,Cost_Components!$A$2:$A$27,0)),"")</f>
        <v>2025</v>
      </c>
      <c r="AB657" s="24">
        <f>IFERROR(INDEX(Cost_Components!$V$2:$V$27,MATCH(E657,Cost_Components!$A$2:$A$27,0)),"")</f>
        <v>2050</v>
      </c>
      <c r="AC657" s="24">
        <f>IFERROR(INDEX(Cost_Components!$M$2:$M$27,MATCH(E657,Cost_Components!$A$2:$A$27,0)),"")</f>
        <v>0</v>
      </c>
      <c r="AD657" s="24">
        <f>IFERROR(INDEX(Cost_Components!$N$2:$N$27,MATCH(E657,Cost_Components!$A$2:$A$27,0)),"")</f>
        <v>95</v>
      </c>
      <c r="AE657" s="14" t="str">
        <f>IFERROR(INDEX(Cost_Components!$O$2:$O$27,MATCH(E657,Cost_Components!$A$2:$A$27,0)),"")</f>
        <v>Both</v>
      </c>
      <c r="AF657" s="11">
        <v>19691110.3523742</v>
      </c>
      <c r="AG657" s="11">
        <v>19673699.389492799</v>
      </c>
      <c r="AH657" s="21">
        <f t="shared" si="109"/>
        <v>1</v>
      </c>
    </row>
    <row r="658" spans="1:34" hidden="1">
      <c r="A658" t="s">
        <v>223</v>
      </c>
      <c r="B658" s="18">
        <v>2031</v>
      </c>
      <c r="C658" t="s">
        <v>223</v>
      </c>
      <c r="D658" t="s">
        <v>227</v>
      </c>
      <c r="E658" s="20" t="s">
        <v>319</v>
      </c>
      <c r="F658" s="20" t="s">
        <v>320</v>
      </c>
      <c r="G658" s="20" t="s">
        <v>224</v>
      </c>
      <c r="H658" s="20" t="s">
        <v>192</v>
      </c>
      <c r="I658" s="20" t="s">
        <v>264</v>
      </c>
      <c r="J658" s="15">
        <f>IFERROR(INDEX(Cost_Components!$K$2:$K$27,MATCH(E658,Cost_Components!$A$2:$A$27,0)),"")</f>
        <v>0.8</v>
      </c>
      <c r="K658" s="15">
        <f t="shared" si="100"/>
        <v>0.44192307692307692</v>
      </c>
      <c r="L658" s="15">
        <f>IFERROR(INDEX(Cost_Components!$S$2:$S$27,MATCH(E658,Cost_Components!$A$2:$A$27,0)),"")</f>
        <v>0.31</v>
      </c>
      <c r="M658" s="26">
        <f>IFERROR(INDEX(Cost_Components!$L$2:$L$27,MATCH(E658,Cost_Components!$A$2:$A$27,0)),"")</f>
        <v>1</v>
      </c>
      <c r="N658" s="27">
        <f>IFERROR(INDEX(Cost_Components!$P$2:$P$27,MATCH(E658,Cost_Components!$A$2:$A$27,0)),"")</f>
        <v>176.67</v>
      </c>
      <c r="O658" s="21">
        <f t="shared" si="101"/>
        <v>16224098.97324544</v>
      </c>
      <c r="P658" s="21">
        <f t="shared" si="102"/>
        <v>16205200.519363441</v>
      </c>
      <c r="Q658" s="21">
        <f t="shared" si="103"/>
        <v>887521560.48434103</v>
      </c>
      <c r="R658" s="21">
        <f t="shared" si="104"/>
        <v>1266689226.4915998</v>
      </c>
      <c r="S658" s="21">
        <f t="shared" si="105"/>
        <v>379167666.00725877</v>
      </c>
      <c r="T658" s="14">
        <f>IFERROR(INDEX(Cost_Components!$R$2:$R$27,MATCH(E658,Cost_Components!$A$2:$A$27,0)),"")</f>
        <v>0</v>
      </c>
      <c r="U658" s="24">
        <f>IFERROR(INDEX(Cost_Components!$Q$2:$Q$27,MATCH(E658,Cost_Components!$A$2:$A$27,0)),"")</f>
        <v>2014</v>
      </c>
      <c r="V658" s="28">
        <f>1/(1+Calculation_Assumptions!$B$5)^(B658-Calculation_Assumptions!$B$2)</f>
        <v>0.83748425668365445</v>
      </c>
      <c r="W658" s="21">
        <f t="shared" si="106"/>
        <v>743285334.37294543</v>
      </c>
      <c r="X658" s="21">
        <f t="shared" si="107"/>
        <v>1060832285.2975106</v>
      </c>
      <c r="Y658" s="21">
        <f t="shared" si="108"/>
        <v>317546950.92456526</v>
      </c>
      <c r="Z658" s="15">
        <f>IFERROR(INDEX(Cost_Components!$T$2:$T$27,MATCH(E658,Cost_Components!$A$2:$A$27,0)),"")</f>
        <v>0.8</v>
      </c>
      <c r="AA658" s="24">
        <f>IFERROR(INDEX(Cost_Components!$U$2:$U$27,MATCH(E658,Cost_Components!$A$2:$A$27,0)),"")</f>
        <v>2025</v>
      </c>
      <c r="AB658" s="24">
        <f>IFERROR(INDEX(Cost_Components!$V$2:$V$27,MATCH(E658,Cost_Components!$A$2:$A$27,0)),"")</f>
        <v>2050</v>
      </c>
      <c r="AC658" s="24">
        <f>IFERROR(INDEX(Cost_Components!$M$2:$M$27,MATCH(E658,Cost_Components!$A$2:$A$27,0)),"")</f>
        <v>0</v>
      </c>
      <c r="AD658" s="24">
        <f>IFERROR(INDEX(Cost_Components!$N$2:$N$27,MATCH(E658,Cost_Components!$A$2:$A$27,0)),"")</f>
        <v>95</v>
      </c>
      <c r="AE658" s="14" t="str">
        <f>IFERROR(INDEX(Cost_Components!$O$2:$O$27,MATCH(E658,Cost_Components!$A$2:$A$27,0)),"")</f>
        <v>Both</v>
      </c>
      <c r="AF658" s="11">
        <v>20280123.716556799</v>
      </c>
      <c r="AG658" s="11">
        <v>20256500.649204299</v>
      </c>
      <c r="AH658" s="21">
        <f t="shared" si="109"/>
        <v>1</v>
      </c>
    </row>
    <row r="659" spans="1:34" hidden="1">
      <c r="A659" t="s">
        <v>223</v>
      </c>
      <c r="B659" s="18">
        <v>2032</v>
      </c>
      <c r="C659" t="s">
        <v>223</v>
      </c>
      <c r="D659" t="s">
        <v>227</v>
      </c>
      <c r="E659" s="20" t="s">
        <v>319</v>
      </c>
      <c r="F659" s="20" t="s">
        <v>320</v>
      </c>
      <c r="G659" s="20" t="s">
        <v>224</v>
      </c>
      <c r="H659" s="20" t="s">
        <v>192</v>
      </c>
      <c r="I659" s="20" t="s">
        <v>264</v>
      </c>
      <c r="J659" s="15">
        <f>IFERROR(INDEX(Cost_Components!$K$2:$K$27,MATCH(E659,Cost_Components!$A$2:$A$27,0)),"")</f>
        <v>0.8</v>
      </c>
      <c r="K659" s="15">
        <f t="shared" si="100"/>
        <v>0.46076923076923082</v>
      </c>
      <c r="L659" s="15">
        <f>IFERROR(INDEX(Cost_Components!$S$2:$S$27,MATCH(E659,Cost_Components!$A$2:$A$27,0)),"")</f>
        <v>0.31</v>
      </c>
      <c r="M659" s="26">
        <f>IFERROR(INDEX(Cost_Components!$L$2:$L$27,MATCH(E659,Cost_Components!$A$2:$A$27,0)),"")</f>
        <v>1</v>
      </c>
      <c r="N659" s="27">
        <f>IFERROR(INDEX(Cost_Components!$P$2:$P$27,MATCH(E659,Cost_Components!$A$2:$A$27,0)),"")</f>
        <v>176.67</v>
      </c>
      <c r="O659" s="21">
        <f t="shared" si="101"/>
        <v>16685182.450354639</v>
      </c>
      <c r="P659" s="21">
        <f t="shared" si="102"/>
        <v>16660481.93478976</v>
      </c>
      <c r="Q659" s="21">
        <f t="shared" si="103"/>
        <v>912456276.45998514</v>
      </c>
      <c r="R659" s="21">
        <f t="shared" si="104"/>
        <v>1358242260.7069142</v>
      </c>
      <c r="S659" s="21">
        <f t="shared" si="105"/>
        <v>445785984.24692905</v>
      </c>
      <c r="T659" s="14">
        <f>IFERROR(INDEX(Cost_Components!$R$2:$R$27,MATCH(E659,Cost_Components!$A$2:$A$27,0)),"")</f>
        <v>0</v>
      </c>
      <c r="U659" s="24">
        <f>IFERROR(INDEX(Cost_Components!$Q$2:$Q$27,MATCH(E659,Cost_Components!$A$2:$A$27,0)),"")</f>
        <v>2014</v>
      </c>
      <c r="V659" s="28">
        <f>1/(1+Calculation_Assumptions!$B$5)^(B659-Calculation_Assumptions!$B$2)</f>
        <v>0.81309151134335378</v>
      </c>
      <c r="W659" s="21">
        <f t="shared" si="106"/>
        <v>741910452.86157835</v>
      </c>
      <c r="X659" s="21">
        <f t="shared" si="107"/>
        <v>1104375252.5285983</v>
      </c>
      <c r="Y659" s="21">
        <f t="shared" si="108"/>
        <v>362464799.66702002</v>
      </c>
      <c r="Z659" s="15">
        <f>IFERROR(INDEX(Cost_Components!$T$2:$T$27,MATCH(E659,Cost_Components!$A$2:$A$27,0)),"")</f>
        <v>0.8</v>
      </c>
      <c r="AA659" s="24">
        <f>IFERROR(INDEX(Cost_Components!$U$2:$U$27,MATCH(E659,Cost_Components!$A$2:$A$27,0)),"")</f>
        <v>2025</v>
      </c>
      <c r="AB659" s="24">
        <f>IFERROR(INDEX(Cost_Components!$V$2:$V$27,MATCH(E659,Cost_Components!$A$2:$A$27,0)),"")</f>
        <v>2050</v>
      </c>
      <c r="AC659" s="24">
        <f>IFERROR(INDEX(Cost_Components!$M$2:$M$27,MATCH(E659,Cost_Components!$A$2:$A$27,0)),"")</f>
        <v>0</v>
      </c>
      <c r="AD659" s="24">
        <f>IFERROR(INDEX(Cost_Components!$N$2:$N$27,MATCH(E659,Cost_Components!$A$2:$A$27,0)),"")</f>
        <v>95</v>
      </c>
      <c r="AE659" s="14" t="str">
        <f>IFERROR(INDEX(Cost_Components!$O$2:$O$27,MATCH(E659,Cost_Components!$A$2:$A$27,0)),"")</f>
        <v>Both</v>
      </c>
      <c r="AF659" s="11">
        <v>20856478.062943298</v>
      </c>
      <c r="AG659" s="11">
        <v>20825602.418487199</v>
      </c>
      <c r="AH659" s="21">
        <f t="shared" si="109"/>
        <v>1</v>
      </c>
    </row>
    <row r="660" spans="1:34" hidden="1">
      <c r="A660" t="s">
        <v>223</v>
      </c>
      <c r="B660" s="18">
        <v>2033</v>
      </c>
      <c r="C660" t="s">
        <v>223</v>
      </c>
      <c r="D660" t="s">
        <v>227</v>
      </c>
      <c r="E660" s="20" t="s">
        <v>319</v>
      </c>
      <c r="F660" s="20" t="s">
        <v>320</v>
      </c>
      <c r="G660" s="20" t="s">
        <v>224</v>
      </c>
      <c r="H660" s="20" t="s">
        <v>192</v>
      </c>
      <c r="I660" s="20" t="s">
        <v>264</v>
      </c>
      <c r="J660" s="15">
        <f>IFERROR(INDEX(Cost_Components!$K$2:$K$27,MATCH(E660,Cost_Components!$A$2:$A$27,0)),"")</f>
        <v>0.8</v>
      </c>
      <c r="K660" s="15">
        <f t="shared" si="100"/>
        <v>0.47961538461538467</v>
      </c>
      <c r="L660" s="15">
        <f>IFERROR(INDEX(Cost_Components!$S$2:$S$27,MATCH(E660,Cost_Components!$A$2:$A$27,0)),"")</f>
        <v>0.31</v>
      </c>
      <c r="M660" s="26">
        <f>IFERROR(INDEX(Cost_Components!$L$2:$L$27,MATCH(E660,Cost_Components!$A$2:$A$27,0)),"")</f>
        <v>1</v>
      </c>
      <c r="N660" s="27">
        <f>IFERROR(INDEX(Cost_Components!$P$2:$P$27,MATCH(E660,Cost_Components!$A$2:$A$27,0)),"")</f>
        <v>176.67</v>
      </c>
      <c r="O660" s="21">
        <f t="shared" si="101"/>
        <v>17135503.316377603</v>
      </c>
      <c r="P660" s="21">
        <f t="shared" si="102"/>
        <v>17104146.815432001</v>
      </c>
      <c r="Q660" s="21">
        <f t="shared" si="103"/>
        <v>936754781.54353511</v>
      </c>
      <c r="R660" s="21">
        <f t="shared" si="104"/>
        <v>1451953740.5837791</v>
      </c>
      <c r="S660" s="21">
        <f t="shared" si="105"/>
        <v>515198959.04024398</v>
      </c>
      <c r="T660" s="14">
        <f>IFERROR(INDEX(Cost_Components!$R$2:$R$27,MATCH(E660,Cost_Components!$A$2:$A$27,0)),"")</f>
        <v>0</v>
      </c>
      <c r="U660" s="24">
        <f>IFERROR(INDEX(Cost_Components!$Q$2:$Q$27,MATCH(E660,Cost_Components!$A$2:$A$27,0)),"")</f>
        <v>2014</v>
      </c>
      <c r="V660" s="28">
        <f>1/(1+Calculation_Assumptions!$B$5)^(B660-Calculation_Assumptions!$B$2)</f>
        <v>0.78940923431393573</v>
      </c>
      <c r="W660" s="21">
        <f t="shared" si="106"/>
        <v>739482874.83820021</v>
      </c>
      <c r="X660" s="21">
        <f t="shared" si="107"/>
        <v>1146185690.6134958</v>
      </c>
      <c r="Y660" s="21">
        <f t="shared" si="108"/>
        <v>406702815.77529573</v>
      </c>
      <c r="Z660" s="15">
        <f>IFERROR(INDEX(Cost_Components!$T$2:$T$27,MATCH(E660,Cost_Components!$A$2:$A$27,0)),"")</f>
        <v>0.8</v>
      </c>
      <c r="AA660" s="24">
        <f>IFERROR(INDEX(Cost_Components!$U$2:$U$27,MATCH(E660,Cost_Components!$A$2:$A$27,0)),"")</f>
        <v>2025</v>
      </c>
      <c r="AB660" s="24">
        <f>IFERROR(INDEX(Cost_Components!$V$2:$V$27,MATCH(E660,Cost_Components!$A$2:$A$27,0)),"")</f>
        <v>2050</v>
      </c>
      <c r="AC660" s="24">
        <f>IFERROR(INDEX(Cost_Components!$M$2:$M$27,MATCH(E660,Cost_Components!$A$2:$A$27,0)),"")</f>
        <v>0</v>
      </c>
      <c r="AD660" s="24">
        <f>IFERROR(INDEX(Cost_Components!$N$2:$N$27,MATCH(E660,Cost_Components!$A$2:$A$27,0)),"")</f>
        <v>95</v>
      </c>
      <c r="AE660" s="14" t="str">
        <f>IFERROR(INDEX(Cost_Components!$O$2:$O$27,MATCH(E660,Cost_Components!$A$2:$A$27,0)),"")</f>
        <v>Both</v>
      </c>
      <c r="AF660" s="11">
        <v>21419379.145472001</v>
      </c>
      <c r="AG660" s="11">
        <v>21380183.51929</v>
      </c>
      <c r="AH660" s="21">
        <f t="shared" si="109"/>
        <v>1</v>
      </c>
    </row>
    <row r="661" spans="1:34" hidden="1">
      <c r="A661" t="s">
        <v>223</v>
      </c>
      <c r="B661" s="18">
        <v>2034</v>
      </c>
      <c r="C661" t="s">
        <v>223</v>
      </c>
      <c r="D661" t="s">
        <v>227</v>
      </c>
      <c r="E661" s="20" t="s">
        <v>319</v>
      </c>
      <c r="F661" s="20" t="s">
        <v>320</v>
      </c>
      <c r="G661" s="20" t="s">
        <v>224</v>
      </c>
      <c r="H661" s="20" t="s">
        <v>192</v>
      </c>
      <c r="I661" s="20" t="s">
        <v>264</v>
      </c>
      <c r="J661" s="15">
        <f>IFERROR(INDEX(Cost_Components!$K$2:$K$27,MATCH(E661,Cost_Components!$A$2:$A$27,0)),"")</f>
        <v>0.8</v>
      </c>
      <c r="K661" s="15">
        <f t="shared" si="100"/>
        <v>0.49846153846153851</v>
      </c>
      <c r="L661" s="15">
        <f>IFERROR(INDEX(Cost_Components!$S$2:$S$27,MATCH(E661,Cost_Components!$A$2:$A$27,0)),"")</f>
        <v>0.31</v>
      </c>
      <c r="M661" s="26">
        <f>IFERROR(INDEX(Cost_Components!$L$2:$L$27,MATCH(E661,Cost_Components!$A$2:$A$27,0)),"")</f>
        <v>1</v>
      </c>
      <c r="N661" s="27">
        <f>IFERROR(INDEX(Cost_Components!$P$2:$P$27,MATCH(E661,Cost_Components!$A$2:$A$27,0)),"")</f>
        <v>176.67</v>
      </c>
      <c r="O661" s="21">
        <f t="shared" si="101"/>
        <v>17574523.276826959</v>
      </c>
      <c r="P661" s="21">
        <f t="shared" si="102"/>
        <v>17535639.728236642</v>
      </c>
      <c r="Q661" s="21">
        <f t="shared" si="103"/>
        <v>960386655.94414592</v>
      </c>
      <c r="R661" s="21">
        <f t="shared" si="104"/>
        <v>1547668758.231868</v>
      </c>
      <c r="S661" s="21">
        <f t="shared" si="105"/>
        <v>587282102.28772211</v>
      </c>
      <c r="T661" s="14">
        <f>IFERROR(INDEX(Cost_Components!$R$2:$R$27,MATCH(E661,Cost_Components!$A$2:$A$27,0)),"")</f>
        <v>0</v>
      </c>
      <c r="U661" s="24">
        <f>IFERROR(INDEX(Cost_Components!$Q$2:$Q$27,MATCH(E661,Cost_Components!$A$2:$A$27,0)),"")</f>
        <v>2014</v>
      </c>
      <c r="V661" s="28">
        <f>1/(1+Calculation_Assumptions!$B$5)^(B661-Calculation_Assumptions!$B$2)</f>
        <v>0.76641673234362695</v>
      </c>
      <c r="W661" s="21">
        <f t="shared" si="106"/>
        <v>736056402.63513541</v>
      </c>
      <c r="X661" s="21">
        <f t="shared" si="107"/>
        <v>1186159232.434387</v>
      </c>
      <c r="Y661" s="21">
        <f t="shared" si="108"/>
        <v>450102829.79925168</v>
      </c>
      <c r="Z661" s="15">
        <f>IFERROR(INDEX(Cost_Components!$T$2:$T$27,MATCH(E661,Cost_Components!$A$2:$A$27,0)),"")</f>
        <v>0.8</v>
      </c>
      <c r="AA661" s="24">
        <f>IFERROR(INDEX(Cost_Components!$U$2:$U$27,MATCH(E661,Cost_Components!$A$2:$A$27,0)),"")</f>
        <v>2025</v>
      </c>
      <c r="AB661" s="24">
        <f>IFERROR(INDEX(Cost_Components!$V$2:$V$27,MATCH(E661,Cost_Components!$A$2:$A$27,0)),"")</f>
        <v>2050</v>
      </c>
      <c r="AC661" s="24">
        <f>IFERROR(INDEX(Cost_Components!$M$2:$M$27,MATCH(E661,Cost_Components!$A$2:$A$27,0)),"")</f>
        <v>0</v>
      </c>
      <c r="AD661" s="24">
        <f>IFERROR(INDEX(Cost_Components!$N$2:$N$27,MATCH(E661,Cost_Components!$A$2:$A$27,0)),"")</f>
        <v>95</v>
      </c>
      <c r="AE661" s="14" t="str">
        <f>IFERROR(INDEX(Cost_Components!$O$2:$O$27,MATCH(E661,Cost_Components!$A$2:$A$27,0)),"")</f>
        <v>Both</v>
      </c>
      <c r="AF661" s="11">
        <v>21968154.0960337</v>
      </c>
      <c r="AG661" s="11">
        <v>21919549.660295799</v>
      </c>
      <c r="AH661" s="21">
        <f t="shared" si="109"/>
        <v>1</v>
      </c>
    </row>
    <row r="662" spans="1:34" hidden="1">
      <c r="A662" t="s">
        <v>223</v>
      </c>
      <c r="B662" s="18">
        <v>2035</v>
      </c>
      <c r="C662" t="s">
        <v>223</v>
      </c>
      <c r="D662" t="s">
        <v>227</v>
      </c>
      <c r="E662" s="20" t="s">
        <v>319</v>
      </c>
      <c r="F662" s="20" t="s">
        <v>320</v>
      </c>
      <c r="G662" s="20" t="s">
        <v>224</v>
      </c>
      <c r="H662" s="20" t="s">
        <v>192</v>
      </c>
      <c r="I662" s="20" t="s">
        <v>264</v>
      </c>
      <c r="J662" s="15">
        <f>IFERROR(INDEX(Cost_Components!$K$2:$K$27,MATCH(E662,Cost_Components!$A$2:$A$27,0)),"")</f>
        <v>0.8</v>
      </c>
      <c r="K662" s="15">
        <f t="shared" si="100"/>
        <v>0.51730769230769236</v>
      </c>
      <c r="L662" s="15">
        <f>IFERROR(INDEX(Cost_Components!$S$2:$S$27,MATCH(E662,Cost_Components!$A$2:$A$27,0)),"")</f>
        <v>0.31</v>
      </c>
      <c r="M662" s="26">
        <f>IFERROR(INDEX(Cost_Components!$L$2:$L$27,MATCH(E662,Cost_Components!$A$2:$A$27,0)),"")</f>
        <v>1</v>
      </c>
      <c r="N662" s="27">
        <f>IFERROR(INDEX(Cost_Components!$P$2:$P$27,MATCH(E662,Cost_Components!$A$2:$A$27,0)),"")</f>
        <v>176.67</v>
      </c>
      <c r="O662" s="21">
        <f t="shared" si="101"/>
        <v>18001831.693414804</v>
      </c>
      <c r="P662" s="21">
        <f t="shared" si="102"/>
        <v>17954536.4272612</v>
      </c>
      <c r="Q662" s="21">
        <f t="shared" si="103"/>
        <v>983328664.68731308</v>
      </c>
      <c r="R662" s="21">
        <f t="shared" si="104"/>
        <v>1645236903.4983358</v>
      </c>
      <c r="S662" s="21">
        <f t="shared" si="105"/>
        <v>661908238.81102276</v>
      </c>
      <c r="T662" s="14">
        <f>IFERROR(INDEX(Cost_Components!$R$2:$R$27,MATCH(E662,Cost_Components!$A$2:$A$27,0)),"")</f>
        <v>0</v>
      </c>
      <c r="U662" s="24">
        <f>IFERROR(INDEX(Cost_Components!$Q$2:$Q$27,MATCH(E662,Cost_Components!$A$2:$A$27,0)),"")</f>
        <v>2014</v>
      </c>
      <c r="V662" s="28">
        <f>1/(1+Calculation_Assumptions!$B$5)^(B662-Calculation_Assumptions!$B$2)</f>
        <v>0.74409391489672516</v>
      </c>
      <c r="W662" s="21">
        <f t="shared" si="106"/>
        <v>731688875.73735189</v>
      </c>
      <c r="X662" s="21">
        <f t="shared" si="107"/>
        <v>1224210768.4566424</v>
      </c>
      <c r="Y662" s="21">
        <f t="shared" si="108"/>
        <v>492521892.71929038</v>
      </c>
      <c r="Z662" s="15">
        <f>IFERROR(INDEX(Cost_Components!$T$2:$T$27,MATCH(E662,Cost_Components!$A$2:$A$27,0)),"")</f>
        <v>0.8</v>
      </c>
      <c r="AA662" s="24">
        <f>IFERROR(INDEX(Cost_Components!$U$2:$U$27,MATCH(E662,Cost_Components!$A$2:$A$27,0)),"")</f>
        <v>2025</v>
      </c>
      <c r="AB662" s="24">
        <f>IFERROR(INDEX(Cost_Components!$V$2:$V$27,MATCH(E662,Cost_Components!$A$2:$A$27,0)),"")</f>
        <v>2050</v>
      </c>
      <c r="AC662" s="24">
        <f>IFERROR(INDEX(Cost_Components!$M$2:$M$27,MATCH(E662,Cost_Components!$A$2:$A$27,0)),"")</f>
        <v>0</v>
      </c>
      <c r="AD662" s="24">
        <f>IFERROR(INDEX(Cost_Components!$N$2:$N$27,MATCH(E662,Cost_Components!$A$2:$A$27,0)),"")</f>
        <v>95</v>
      </c>
      <c r="AE662" s="14" t="str">
        <f>IFERROR(INDEX(Cost_Components!$O$2:$O$27,MATCH(E662,Cost_Components!$A$2:$A$27,0)),"")</f>
        <v>Both</v>
      </c>
      <c r="AF662" s="11">
        <v>22502289.616768502</v>
      </c>
      <c r="AG662" s="11">
        <v>22443170.534076501</v>
      </c>
      <c r="AH662" s="21">
        <f t="shared" si="109"/>
        <v>1</v>
      </c>
    </row>
    <row r="663" spans="1:34" hidden="1">
      <c r="A663" t="s">
        <v>223</v>
      </c>
      <c r="B663" s="18">
        <v>2036</v>
      </c>
      <c r="C663" t="s">
        <v>223</v>
      </c>
      <c r="D663" t="s">
        <v>227</v>
      </c>
      <c r="E663" s="20" t="s">
        <v>319</v>
      </c>
      <c r="F663" s="20" t="s">
        <v>320</v>
      </c>
      <c r="G663" s="20" t="s">
        <v>224</v>
      </c>
      <c r="H663" s="20" t="s">
        <v>192</v>
      </c>
      <c r="I663" s="20" t="s">
        <v>264</v>
      </c>
      <c r="J663" s="15">
        <f>IFERROR(INDEX(Cost_Components!$K$2:$K$27,MATCH(E663,Cost_Components!$A$2:$A$27,0)),"")</f>
        <v>0.8</v>
      </c>
      <c r="K663" s="15">
        <f t="shared" si="100"/>
        <v>0.5361538461538462</v>
      </c>
      <c r="L663" s="15">
        <f>IFERROR(INDEX(Cost_Components!$S$2:$S$27,MATCH(E663,Cost_Components!$A$2:$A$27,0)),"")</f>
        <v>0.31</v>
      </c>
      <c r="M663" s="26">
        <f>IFERROR(INDEX(Cost_Components!$L$2:$L$27,MATCH(E663,Cost_Components!$A$2:$A$27,0)),"")</f>
        <v>1</v>
      </c>
      <c r="N663" s="27">
        <f>IFERROR(INDEX(Cost_Components!$P$2:$P$27,MATCH(E663,Cost_Components!$A$2:$A$27,0)),"")</f>
        <v>176.67</v>
      </c>
      <c r="O663" s="21">
        <f t="shared" si="101"/>
        <v>18417194.071332242</v>
      </c>
      <c r="P663" s="21">
        <f t="shared" si="102"/>
        <v>18360592.242004078</v>
      </c>
      <c r="Q663" s="21">
        <f t="shared" si="103"/>
        <v>1005567407.7324066</v>
      </c>
      <c r="R663" s="21">
        <f t="shared" si="104"/>
        <v>1744518981.982954</v>
      </c>
      <c r="S663" s="21">
        <f t="shared" si="105"/>
        <v>738951574.25054741</v>
      </c>
      <c r="T663" s="14">
        <f>IFERROR(INDEX(Cost_Components!$R$2:$R$27,MATCH(E663,Cost_Components!$A$2:$A$27,0)),"")</f>
        <v>0</v>
      </c>
      <c r="U663" s="24">
        <f>IFERROR(INDEX(Cost_Components!$Q$2:$Q$27,MATCH(E663,Cost_Components!$A$2:$A$27,0)),"")</f>
        <v>2014</v>
      </c>
      <c r="V663" s="28">
        <f>1/(1+Calculation_Assumptions!$B$5)^(B663-Calculation_Assumptions!$B$2)</f>
        <v>0.72242127659876232</v>
      </c>
      <c r="W663" s="21">
        <f t="shared" si="106"/>
        <v>726443290.40015328</v>
      </c>
      <c r="X663" s="21">
        <f t="shared" si="107"/>
        <v>1260277630.0148988</v>
      </c>
      <c r="Y663" s="21">
        <f t="shared" si="108"/>
        <v>533834339.61474556</v>
      </c>
      <c r="Z663" s="15">
        <f>IFERROR(INDEX(Cost_Components!$T$2:$T$27,MATCH(E663,Cost_Components!$A$2:$A$27,0)),"")</f>
        <v>0.8</v>
      </c>
      <c r="AA663" s="24">
        <f>IFERROR(INDEX(Cost_Components!$U$2:$U$27,MATCH(E663,Cost_Components!$A$2:$A$27,0)),"")</f>
        <v>2025</v>
      </c>
      <c r="AB663" s="24">
        <f>IFERROR(INDEX(Cost_Components!$V$2:$V$27,MATCH(E663,Cost_Components!$A$2:$A$27,0)),"")</f>
        <v>2050</v>
      </c>
      <c r="AC663" s="24">
        <f>IFERROR(INDEX(Cost_Components!$M$2:$M$27,MATCH(E663,Cost_Components!$A$2:$A$27,0)),"")</f>
        <v>0</v>
      </c>
      <c r="AD663" s="24">
        <f>IFERROR(INDEX(Cost_Components!$N$2:$N$27,MATCH(E663,Cost_Components!$A$2:$A$27,0)),"")</f>
        <v>95</v>
      </c>
      <c r="AE663" s="14" t="str">
        <f>IFERROR(INDEX(Cost_Components!$O$2:$O$27,MATCH(E663,Cost_Components!$A$2:$A$27,0)),"")</f>
        <v>Both</v>
      </c>
      <c r="AF663" s="11">
        <v>23021492.5891653</v>
      </c>
      <c r="AG663" s="11">
        <v>22950740.302505098</v>
      </c>
      <c r="AH663" s="21">
        <f t="shared" si="109"/>
        <v>1</v>
      </c>
    </row>
    <row r="664" spans="1:34" hidden="1">
      <c r="A664" t="s">
        <v>223</v>
      </c>
      <c r="B664" s="18">
        <v>2037</v>
      </c>
      <c r="C664" t="s">
        <v>223</v>
      </c>
      <c r="D664" t="s">
        <v>227</v>
      </c>
      <c r="E664" s="20" t="s">
        <v>319</v>
      </c>
      <c r="F664" s="20" t="s">
        <v>320</v>
      </c>
      <c r="G664" s="20" t="s">
        <v>224</v>
      </c>
      <c r="H664" s="20" t="s">
        <v>192</v>
      </c>
      <c r="I664" s="20" t="s">
        <v>264</v>
      </c>
      <c r="J664" s="15">
        <f>IFERROR(INDEX(Cost_Components!$K$2:$K$27,MATCH(E664,Cost_Components!$A$2:$A$27,0)),"")</f>
        <v>0.8</v>
      </c>
      <c r="K664" s="15">
        <f t="shared" si="100"/>
        <v>0.55500000000000005</v>
      </c>
      <c r="L664" s="15">
        <f>IFERROR(INDEX(Cost_Components!$S$2:$S$27,MATCH(E664,Cost_Components!$A$2:$A$27,0)),"")</f>
        <v>0.31</v>
      </c>
      <c r="M664" s="26">
        <f>IFERROR(INDEX(Cost_Components!$L$2:$L$27,MATCH(E664,Cost_Components!$A$2:$A$27,0)),"")</f>
        <v>1</v>
      </c>
      <c r="N664" s="27">
        <f>IFERROR(INDEX(Cost_Components!$P$2:$P$27,MATCH(E664,Cost_Components!$A$2:$A$27,0)),"")</f>
        <v>176.67</v>
      </c>
      <c r="O664" s="21">
        <f t="shared" si="101"/>
        <v>18820504.657640003</v>
      </c>
      <c r="P664" s="21">
        <f t="shared" si="102"/>
        <v>18753694.617201041</v>
      </c>
      <c r="Q664" s="21">
        <f t="shared" si="103"/>
        <v>1027096720.6864815</v>
      </c>
      <c r="R664" s="21">
        <f t="shared" si="104"/>
        <v>1845385299.6152189</v>
      </c>
      <c r="S664" s="21">
        <f t="shared" si="105"/>
        <v>818288578.9287374</v>
      </c>
      <c r="T664" s="14">
        <f>IFERROR(INDEX(Cost_Components!$R$2:$R$27,MATCH(E664,Cost_Components!$A$2:$A$27,0)),"")</f>
        <v>0</v>
      </c>
      <c r="U664" s="24">
        <f>IFERROR(INDEX(Cost_Components!$Q$2:$Q$27,MATCH(E664,Cost_Components!$A$2:$A$27,0)),"")</f>
        <v>2014</v>
      </c>
      <c r="V664" s="28">
        <f>1/(1+Calculation_Assumptions!$B$5)^(B664-Calculation_Assumptions!$B$2)</f>
        <v>0.70137988019297326</v>
      </c>
      <c r="W664" s="21">
        <f t="shared" si="106"/>
        <v>720384974.90168011</v>
      </c>
      <c r="X664" s="21">
        <f t="shared" si="107"/>
        <v>1294316120.3539963</v>
      </c>
      <c r="Y664" s="21">
        <f t="shared" si="108"/>
        <v>573931145.45231616</v>
      </c>
      <c r="Z664" s="15">
        <f>IFERROR(INDEX(Cost_Components!$T$2:$T$27,MATCH(E664,Cost_Components!$A$2:$A$27,0)),"")</f>
        <v>0.8</v>
      </c>
      <c r="AA664" s="24">
        <f>IFERROR(INDEX(Cost_Components!$U$2:$U$27,MATCH(E664,Cost_Components!$A$2:$A$27,0)),"")</f>
        <v>2025</v>
      </c>
      <c r="AB664" s="24">
        <f>IFERROR(INDEX(Cost_Components!$V$2:$V$27,MATCH(E664,Cost_Components!$A$2:$A$27,0)),"")</f>
        <v>2050</v>
      </c>
      <c r="AC664" s="24">
        <f>IFERROR(INDEX(Cost_Components!$M$2:$M$27,MATCH(E664,Cost_Components!$A$2:$A$27,0)),"")</f>
        <v>0</v>
      </c>
      <c r="AD664" s="24">
        <f>IFERROR(INDEX(Cost_Components!$N$2:$N$27,MATCH(E664,Cost_Components!$A$2:$A$27,0)),"")</f>
        <v>95</v>
      </c>
      <c r="AE664" s="14" t="str">
        <f>IFERROR(INDEX(Cost_Components!$O$2:$O$27,MATCH(E664,Cost_Components!$A$2:$A$27,0)),"")</f>
        <v>Both</v>
      </c>
      <c r="AF664" s="11">
        <v>23525630.822050001</v>
      </c>
      <c r="AG664" s="11">
        <v>23442118.271501299</v>
      </c>
      <c r="AH664" s="21">
        <f t="shared" si="109"/>
        <v>1</v>
      </c>
    </row>
    <row r="665" spans="1:34" hidden="1">
      <c r="A665" t="s">
        <v>223</v>
      </c>
      <c r="B665" s="18">
        <v>2038</v>
      </c>
      <c r="C665" t="s">
        <v>223</v>
      </c>
      <c r="D665" t="s">
        <v>227</v>
      </c>
      <c r="E665" s="20" t="s">
        <v>319</v>
      </c>
      <c r="F665" s="20" t="s">
        <v>320</v>
      </c>
      <c r="G665" s="20" t="s">
        <v>224</v>
      </c>
      <c r="H665" s="20" t="s">
        <v>192</v>
      </c>
      <c r="I665" s="20" t="s">
        <v>264</v>
      </c>
      <c r="J665" s="15">
        <f>IFERROR(INDEX(Cost_Components!$K$2:$K$27,MATCH(E665,Cost_Components!$A$2:$A$27,0)),"")</f>
        <v>0.8</v>
      </c>
      <c r="K665" s="15">
        <f t="shared" si="100"/>
        <v>0.57384615384615389</v>
      </c>
      <c r="L665" s="15">
        <f>IFERROR(INDEX(Cost_Components!$S$2:$S$27,MATCH(E665,Cost_Components!$A$2:$A$27,0)),"")</f>
        <v>0.31</v>
      </c>
      <c r="M665" s="26">
        <f>IFERROR(INDEX(Cost_Components!$L$2:$L$27,MATCH(E665,Cost_Components!$A$2:$A$27,0)),"")</f>
        <v>1</v>
      </c>
      <c r="N665" s="27">
        <f>IFERROR(INDEX(Cost_Components!$P$2:$P$27,MATCH(E665,Cost_Components!$A$2:$A$27,0)),"")</f>
        <v>176.67</v>
      </c>
      <c r="O665" s="21">
        <f t="shared" si="101"/>
        <v>19211691.816665199</v>
      </c>
      <c r="P665" s="21">
        <f t="shared" si="102"/>
        <v>19133768.72236624</v>
      </c>
      <c r="Q665" s="21">
        <f t="shared" si="103"/>
        <v>1047912505.2559375</v>
      </c>
      <c r="R665" s="21">
        <f t="shared" si="104"/>
        <v>1947708212.7420611</v>
      </c>
      <c r="S665" s="21">
        <f t="shared" si="105"/>
        <v>899795707.48612368</v>
      </c>
      <c r="T665" s="14">
        <f>IFERROR(INDEX(Cost_Components!$R$2:$R$27,MATCH(E665,Cost_Components!$A$2:$A$27,0)),"")</f>
        <v>0</v>
      </c>
      <c r="U665" s="24">
        <f>IFERROR(INDEX(Cost_Components!$Q$2:$Q$27,MATCH(E665,Cost_Components!$A$2:$A$27,0)),"")</f>
        <v>2014</v>
      </c>
      <c r="V665" s="28">
        <f>1/(1+Calculation_Assumptions!$B$5)^(B665-Calculation_Assumptions!$B$2)</f>
        <v>0.68095133999317792</v>
      </c>
      <c r="W665" s="21">
        <f t="shared" si="106"/>
        <v>713577424.64963865</v>
      </c>
      <c r="X665" s="21">
        <f t="shared" si="107"/>
        <v>1326294517.3824241</v>
      </c>
      <c r="Y665" s="21">
        <f t="shared" si="108"/>
        <v>612717092.73278546</v>
      </c>
      <c r="Z665" s="15">
        <f>IFERROR(INDEX(Cost_Components!$T$2:$T$27,MATCH(E665,Cost_Components!$A$2:$A$27,0)),"")</f>
        <v>0.8</v>
      </c>
      <c r="AA665" s="24">
        <f>IFERROR(INDEX(Cost_Components!$U$2:$U$27,MATCH(E665,Cost_Components!$A$2:$A$27,0)),"")</f>
        <v>2025</v>
      </c>
      <c r="AB665" s="24">
        <f>IFERROR(INDEX(Cost_Components!$V$2:$V$27,MATCH(E665,Cost_Components!$A$2:$A$27,0)),"")</f>
        <v>2050</v>
      </c>
      <c r="AC665" s="24">
        <f>IFERROR(INDEX(Cost_Components!$M$2:$M$27,MATCH(E665,Cost_Components!$A$2:$A$27,0)),"")</f>
        <v>0</v>
      </c>
      <c r="AD665" s="24">
        <f>IFERROR(INDEX(Cost_Components!$N$2:$N$27,MATCH(E665,Cost_Components!$A$2:$A$27,0)),"")</f>
        <v>95</v>
      </c>
      <c r="AE665" s="14" t="str">
        <f>IFERROR(INDEX(Cost_Components!$O$2:$O$27,MATCH(E665,Cost_Components!$A$2:$A$27,0)),"")</f>
        <v>Both</v>
      </c>
      <c r="AF665" s="11">
        <v>24014614.770831499</v>
      </c>
      <c r="AG665" s="11">
        <v>23917210.902957801</v>
      </c>
      <c r="AH665" s="21">
        <f t="shared" si="109"/>
        <v>1</v>
      </c>
    </row>
    <row r="666" spans="1:34" hidden="1">
      <c r="A666" t="s">
        <v>223</v>
      </c>
      <c r="B666" s="18">
        <v>2039</v>
      </c>
      <c r="C666" t="s">
        <v>223</v>
      </c>
      <c r="D666" t="s">
        <v>227</v>
      </c>
      <c r="E666" s="20" t="s">
        <v>319</v>
      </c>
      <c r="F666" s="20" t="s">
        <v>320</v>
      </c>
      <c r="G666" s="20" t="s">
        <v>224</v>
      </c>
      <c r="H666" s="20" t="s">
        <v>192</v>
      </c>
      <c r="I666" s="20" t="s">
        <v>264</v>
      </c>
      <c r="J666" s="15">
        <f>IFERROR(INDEX(Cost_Components!$K$2:$K$27,MATCH(E666,Cost_Components!$A$2:$A$27,0)),"")</f>
        <v>0.8</v>
      </c>
      <c r="K666" s="15">
        <f t="shared" si="100"/>
        <v>0.59269230769230763</v>
      </c>
      <c r="L666" s="15">
        <f>IFERROR(INDEX(Cost_Components!$S$2:$S$27,MATCH(E666,Cost_Components!$A$2:$A$27,0)),"")</f>
        <v>0.31</v>
      </c>
      <c r="M666" s="26">
        <f>IFERROR(INDEX(Cost_Components!$L$2:$L$27,MATCH(E666,Cost_Components!$A$2:$A$27,0)),"")</f>
        <v>1</v>
      </c>
      <c r="N666" s="27">
        <f>IFERROR(INDEX(Cost_Components!$P$2:$P$27,MATCH(E666,Cost_Components!$A$2:$A$27,0)),"")</f>
        <v>176.67</v>
      </c>
      <c r="O666" s="21">
        <f t="shared" si="101"/>
        <v>19590438.72112824</v>
      </c>
      <c r="P666" s="21">
        <f t="shared" si="102"/>
        <v>19500496.252941281</v>
      </c>
      <c r="Q666" s="21">
        <f t="shared" si="103"/>
        <v>1067997328.632212</v>
      </c>
      <c r="R666" s="21">
        <f t="shared" si="104"/>
        <v>2051333449.4061227</v>
      </c>
      <c r="S666" s="21">
        <f t="shared" si="105"/>
        <v>983336120.77391064</v>
      </c>
      <c r="T666" s="14">
        <f>IFERROR(INDEX(Cost_Components!$R$2:$R$27,MATCH(E666,Cost_Components!$A$2:$A$27,0)),"")</f>
        <v>0</v>
      </c>
      <c r="U666" s="24">
        <f>IFERROR(INDEX(Cost_Components!$Q$2:$Q$27,MATCH(E666,Cost_Components!$A$2:$A$27,0)),"")</f>
        <v>2014</v>
      </c>
      <c r="V666" s="28">
        <f>1/(1+Calculation_Assumptions!$B$5)^(B666-Calculation_Assumptions!$B$2)</f>
        <v>0.66111780581861923</v>
      </c>
      <c r="W666" s="21">
        <f t="shared" si="106"/>
        <v>706072050.52547479</v>
      </c>
      <c r="X666" s="21">
        <f t="shared" si="107"/>
        <v>1356173069.0737154</v>
      </c>
      <c r="Y666" s="21">
        <f t="shared" si="108"/>
        <v>650101018.54824054</v>
      </c>
      <c r="Z666" s="15">
        <f>IFERROR(INDEX(Cost_Components!$T$2:$T$27,MATCH(E666,Cost_Components!$A$2:$A$27,0)),"")</f>
        <v>0.8</v>
      </c>
      <c r="AA666" s="24">
        <f>IFERROR(INDEX(Cost_Components!$U$2:$U$27,MATCH(E666,Cost_Components!$A$2:$A$27,0)),"")</f>
        <v>2025</v>
      </c>
      <c r="AB666" s="24">
        <f>IFERROR(INDEX(Cost_Components!$V$2:$V$27,MATCH(E666,Cost_Components!$A$2:$A$27,0)),"")</f>
        <v>2050</v>
      </c>
      <c r="AC666" s="24">
        <f>IFERROR(INDEX(Cost_Components!$M$2:$M$27,MATCH(E666,Cost_Components!$A$2:$A$27,0)),"")</f>
        <v>0</v>
      </c>
      <c r="AD666" s="24">
        <f>IFERROR(INDEX(Cost_Components!$N$2:$N$27,MATCH(E666,Cost_Components!$A$2:$A$27,0)),"")</f>
        <v>95</v>
      </c>
      <c r="AE666" s="14" t="str">
        <f>IFERROR(INDEX(Cost_Components!$O$2:$O$27,MATCH(E666,Cost_Components!$A$2:$A$27,0)),"")</f>
        <v>Both</v>
      </c>
      <c r="AF666" s="11">
        <v>24488048.4014103</v>
      </c>
      <c r="AG666" s="11">
        <v>24375620.316176601</v>
      </c>
      <c r="AH666" s="21">
        <f t="shared" si="109"/>
        <v>1</v>
      </c>
    </row>
    <row r="667" spans="1:34" hidden="1">
      <c r="A667" t="s">
        <v>223</v>
      </c>
      <c r="B667" s="18">
        <v>2040</v>
      </c>
      <c r="C667" t="s">
        <v>223</v>
      </c>
      <c r="D667" t="s">
        <v>227</v>
      </c>
      <c r="E667" s="20" t="s">
        <v>319</v>
      </c>
      <c r="F667" s="20" t="s">
        <v>320</v>
      </c>
      <c r="G667" s="20" t="s">
        <v>224</v>
      </c>
      <c r="H667" s="20" t="s">
        <v>192</v>
      </c>
      <c r="I667" s="20" t="s">
        <v>264</v>
      </c>
      <c r="J667" s="15">
        <f>IFERROR(INDEX(Cost_Components!$K$2:$K$27,MATCH(E667,Cost_Components!$A$2:$A$27,0)),"")</f>
        <v>0.8</v>
      </c>
      <c r="K667" s="15">
        <f t="shared" si="100"/>
        <v>0.61153846153846159</v>
      </c>
      <c r="L667" s="15">
        <f>IFERROR(INDEX(Cost_Components!$S$2:$S$27,MATCH(E667,Cost_Components!$A$2:$A$27,0)),"")</f>
        <v>0.31</v>
      </c>
      <c r="M667" s="26">
        <f>IFERROR(INDEX(Cost_Components!$L$2:$L$27,MATCH(E667,Cost_Components!$A$2:$A$27,0)),"")</f>
        <v>1</v>
      </c>
      <c r="N667" s="27">
        <f>IFERROR(INDEX(Cost_Components!$P$2:$P$27,MATCH(E667,Cost_Components!$A$2:$A$27,0)),"")</f>
        <v>176.67</v>
      </c>
      <c r="O667" s="21">
        <f t="shared" si="101"/>
        <v>19956379.277364563</v>
      </c>
      <c r="P667" s="21">
        <f t="shared" si="102"/>
        <v>19853513.721413042</v>
      </c>
      <c r="Q667" s="21">
        <f t="shared" si="103"/>
        <v>1087331283.440233</v>
      </c>
      <c r="R667" s="21">
        <f t="shared" si="104"/>
        <v>2156097195.3161058</v>
      </c>
      <c r="S667" s="21">
        <f t="shared" si="105"/>
        <v>1068765911.8758729</v>
      </c>
      <c r="T667" s="14">
        <f>IFERROR(INDEX(Cost_Components!$R$2:$R$27,MATCH(E667,Cost_Components!$A$2:$A$27,0)),"")</f>
        <v>0</v>
      </c>
      <c r="U667" s="24">
        <f>IFERROR(INDEX(Cost_Components!$Q$2:$Q$27,MATCH(E667,Cost_Components!$A$2:$A$27,0)),"")</f>
        <v>2014</v>
      </c>
      <c r="V667" s="28">
        <f>1/(1+Calculation_Assumptions!$B$5)^(B667-Calculation_Assumptions!$B$2)</f>
        <v>0.64186194739671765</v>
      </c>
      <c r="W667" s="21">
        <f t="shared" si="106"/>
        <v>697916575.05432034</v>
      </c>
      <c r="X667" s="21">
        <f t="shared" si="107"/>
        <v>1383916744.5621967</v>
      </c>
      <c r="Y667" s="21">
        <f t="shared" si="108"/>
        <v>686000169.50787652</v>
      </c>
      <c r="Z667" s="15">
        <f>IFERROR(INDEX(Cost_Components!$T$2:$T$27,MATCH(E667,Cost_Components!$A$2:$A$27,0)),"")</f>
        <v>0.8</v>
      </c>
      <c r="AA667" s="24">
        <f>IFERROR(INDEX(Cost_Components!$U$2:$U$27,MATCH(E667,Cost_Components!$A$2:$A$27,0)),"")</f>
        <v>2025</v>
      </c>
      <c r="AB667" s="24">
        <f>IFERROR(INDEX(Cost_Components!$V$2:$V$27,MATCH(E667,Cost_Components!$A$2:$A$27,0)),"")</f>
        <v>2050</v>
      </c>
      <c r="AC667" s="24">
        <f>IFERROR(INDEX(Cost_Components!$M$2:$M$27,MATCH(E667,Cost_Components!$A$2:$A$27,0)),"")</f>
        <v>0</v>
      </c>
      <c r="AD667" s="24">
        <f>IFERROR(INDEX(Cost_Components!$N$2:$N$27,MATCH(E667,Cost_Components!$A$2:$A$27,0)),"")</f>
        <v>95</v>
      </c>
      <c r="AE667" s="14" t="str">
        <f>IFERROR(INDEX(Cost_Components!$O$2:$O$27,MATCH(E667,Cost_Components!$A$2:$A$27,0)),"")</f>
        <v>Both</v>
      </c>
      <c r="AF667" s="11">
        <v>24945474.096705701</v>
      </c>
      <c r="AG667" s="11">
        <v>24816892.1517663</v>
      </c>
      <c r="AH667" s="21">
        <f t="shared" si="109"/>
        <v>1</v>
      </c>
    </row>
    <row r="668" spans="1:34" hidden="1">
      <c r="A668" t="s">
        <v>223</v>
      </c>
      <c r="B668" s="18">
        <v>2041</v>
      </c>
      <c r="C668" t="s">
        <v>223</v>
      </c>
      <c r="D668" t="s">
        <v>227</v>
      </c>
      <c r="E668" s="20" t="s">
        <v>319</v>
      </c>
      <c r="F668" s="20" t="s">
        <v>320</v>
      </c>
      <c r="G668" s="20" t="s">
        <v>224</v>
      </c>
      <c r="H668" s="20" t="s">
        <v>192</v>
      </c>
      <c r="I668" s="20" t="s">
        <v>264</v>
      </c>
      <c r="J668" s="15">
        <f>IFERROR(INDEX(Cost_Components!$K$2:$K$27,MATCH(E668,Cost_Components!$A$2:$A$27,0)),"")</f>
        <v>0.8</v>
      </c>
      <c r="K668" s="15">
        <f t="shared" si="100"/>
        <v>0.63038461538461543</v>
      </c>
      <c r="L668" s="15">
        <f>IFERROR(INDEX(Cost_Components!$S$2:$S$27,MATCH(E668,Cost_Components!$A$2:$A$27,0)),"")</f>
        <v>0.31</v>
      </c>
      <c r="M668" s="26">
        <f>IFERROR(INDEX(Cost_Components!$L$2:$L$27,MATCH(E668,Cost_Components!$A$2:$A$27,0)),"")</f>
        <v>1</v>
      </c>
      <c r="N668" s="27">
        <f>IFERROR(INDEX(Cost_Components!$P$2:$P$27,MATCH(E668,Cost_Components!$A$2:$A$27,0)),"")</f>
        <v>176.67</v>
      </c>
      <c r="O668" s="21">
        <f t="shared" si="101"/>
        <v>20309156.560723841</v>
      </c>
      <c r="P668" s="21">
        <f t="shared" si="102"/>
        <v>20192468.219434481</v>
      </c>
      <c r="Q668" s="21">
        <f t="shared" si="103"/>
        <v>1105895041.7015219</v>
      </c>
      <c r="R668" s="21">
        <f t="shared" si="104"/>
        <v>2261831781.6256423</v>
      </c>
      <c r="S668" s="21">
        <f t="shared" si="105"/>
        <v>1155936739.9241204</v>
      </c>
      <c r="T668" s="14">
        <f>IFERROR(INDEX(Cost_Components!$R$2:$R$27,MATCH(E668,Cost_Components!$A$2:$A$27,0)),"")</f>
        <v>0</v>
      </c>
      <c r="U668" s="24">
        <f>IFERROR(INDEX(Cost_Components!$Q$2:$Q$27,MATCH(E668,Cost_Components!$A$2:$A$27,0)),"")</f>
        <v>2014</v>
      </c>
      <c r="V668" s="28">
        <f>1/(1+Calculation_Assumptions!$B$5)^(B668-Calculation_Assumptions!$B$2)</f>
        <v>0.62316693922011435</v>
      </c>
      <c r="W668" s="21">
        <f t="shared" si="106"/>
        <v>689157228.23583806</v>
      </c>
      <c r="X668" s="21">
        <f t="shared" si="107"/>
        <v>1409498788.3864295</v>
      </c>
      <c r="Y668" s="21">
        <f t="shared" si="108"/>
        <v>720341560.15059149</v>
      </c>
      <c r="Z668" s="15">
        <f>IFERROR(INDEX(Cost_Components!$T$2:$T$27,MATCH(E668,Cost_Components!$A$2:$A$27,0)),"")</f>
        <v>0.8</v>
      </c>
      <c r="AA668" s="24">
        <f>IFERROR(INDEX(Cost_Components!$U$2:$U$27,MATCH(E668,Cost_Components!$A$2:$A$27,0)),"")</f>
        <v>2025</v>
      </c>
      <c r="AB668" s="24">
        <f>IFERROR(INDEX(Cost_Components!$V$2:$V$27,MATCH(E668,Cost_Components!$A$2:$A$27,0)),"")</f>
        <v>2050</v>
      </c>
      <c r="AC668" s="24">
        <f>IFERROR(INDEX(Cost_Components!$M$2:$M$27,MATCH(E668,Cost_Components!$A$2:$A$27,0)),"")</f>
        <v>0</v>
      </c>
      <c r="AD668" s="24">
        <f>IFERROR(INDEX(Cost_Components!$N$2:$N$27,MATCH(E668,Cost_Components!$A$2:$A$27,0)),"")</f>
        <v>95</v>
      </c>
      <c r="AE668" s="14" t="str">
        <f>IFERROR(INDEX(Cost_Components!$O$2:$O$27,MATCH(E668,Cost_Components!$A$2:$A$27,0)),"")</f>
        <v>Both</v>
      </c>
      <c r="AF668" s="11">
        <v>25386445.700904801</v>
      </c>
      <c r="AG668" s="11">
        <v>25240585.274293099</v>
      </c>
      <c r="AH668" s="21">
        <f t="shared" si="109"/>
        <v>1</v>
      </c>
    </row>
    <row r="669" spans="1:34" hidden="1">
      <c r="A669" t="s">
        <v>223</v>
      </c>
      <c r="B669" s="18">
        <v>2042</v>
      </c>
      <c r="C669" t="s">
        <v>223</v>
      </c>
      <c r="D669" t="s">
        <v>227</v>
      </c>
      <c r="E669" s="20" t="s">
        <v>319</v>
      </c>
      <c r="F669" s="20" t="s">
        <v>320</v>
      </c>
      <c r="G669" s="20" t="s">
        <v>224</v>
      </c>
      <c r="H669" s="20" t="s">
        <v>192</v>
      </c>
      <c r="I669" s="20" t="s">
        <v>264</v>
      </c>
      <c r="J669" s="15">
        <f>IFERROR(INDEX(Cost_Components!$K$2:$K$27,MATCH(E669,Cost_Components!$A$2:$A$27,0)),"")</f>
        <v>0.8</v>
      </c>
      <c r="K669" s="15">
        <f t="shared" si="100"/>
        <v>0.64923076923076928</v>
      </c>
      <c r="L669" s="15">
        <f>IFERROR(INDEX(Cost_Components!$S$2:$S$27,MATCH(E669,Cost_Components!$A$2:$A$27,0)),"")</f>
        <v>0.31</v>
      </c>
      <c r="M669" s="26">
        <f>IFERROR(INDEX(Cost_Components!$L$2:$L$27,MATCH(E669,Cost_Components!$A$2:$A$27,0)),"")</f>
        <v>1</v>
      </c>
      <c r="N669" s="27">
        <f>IFERROR(INDEX(Cost_Components!$P$2:$P$27,MATCH(E669,Cost_Components!$A$2:$A$27,0)),"")</f>
        <v>176.67</v>
      </c>
      <c r="O669" s="21">
        <f t="shared" si="101"/>
        <v>20648408.709667843</v>
      </c>
      <c r="P669" s="21">
        <f t="shared" si="102"/>
        <v>20517002.014246881</v>
      </c>
      <c r="Q669" s="21">
        <f t="shared" si="103"/>
        <v>1123669011.2156687</v>
      </c>
      <c r="R669" s="21">
        <f t="shared" si="104"/>
        <v>2368364219.6354179</v>
      </c>
      <c r="S669" s="21">
        <f t="shared" si="105"/>
        <v>1244695208.4197493</v>
      </c>
      <c r="T669" s="14">
        <f>IFERROR(INDEX(Cost_Components!$R$2:$R$27,MATCH(E669,Cost_Components!$A$2:$A$27,0)),"")</f>
        <v>0</v>
      </c>
      <c r="U669" s="24">
        <f>IFERROR(INDEX(Cost_Components!$Q$2:$Q$27,MATCH(E669,Cost_Components!$A$2:$A$27,0)),"")</f>
        <v>2014</v>
      </c>
      <c r="V669" s="28">
        <f>1/(1+Calculation_Assumptions!$B$5)^(B669-Calculation_Assumptions!$B$2)</f>
        <v>0.60501644584477121</v>
      </c>
      <c r="W669" s="21">
        <f t="shared" si="106"/>
        <v>679838231.47161222</v>
      </c>
      <c r="X669" s="21">
        <f t="shared" si="107"/>
        <v>1432899302.6297457</v>
      </c>
      <c r="Y669" s="21">
        <f t="shared" si="108"/>
        <v>753061071.15813339</v>
      </c>
      <c r="Z669" s="15">
        <f>IFERROR(INDEX(Cost_Components!$T$2:$T$27,MATCH(E669,Cost_Components!$A$2:$A$27,0)),"")</f>
        <v>0.8</v>
      </c>
      <c r="AA669" s="24">
        <f>IFERROR(INDEX(Cost_Components!$U$2:$U$27,MATCH(E669,Cost_Components!$A$2:$A$27,0)),"")</f>
        <v>2025</v>
      </c>
      <c r="AB669" s="24">
        <f>IFERROR(INDEX(Cost_Components!$V$2:$V$27,MATCH(E669,Cost_Components!$A$2:$A$27,0)),"")</f>
        <v>2050</v>
      </c>
      <c r="AC669" s="24">
        <f>IFERROR(INDEX(Cost_Components!$M$2:$M$27,MATCH(E669,Cost_Components!$A$2:$A$27,0)),"")</f>
        <v>0</v>
      </c>
      <c r="AD669" s="24">
        <f>IFERROR(INDEX(Cost_Components!$N$2:$N$27,MATCH(E669,Cost_Components!$A$2:$A$27,0)),"")</f>
        <v>95</v>
      </c>
      <c r="AE669" s="14" t="str">
        <f>IFERROR(INDEX(Cost_Components!$O$2:$O$27,MATCH(E669,Cost_Components!$A$2:$A$27,0)),"")</f>
        <v>Both</v>
      </c>
      <c r="AF669" s="11">
        <v>25810510.887084801</v>
      </c>
      <c r="AG669" s="11">
        <v>25646252.517808601</v>
      </c>
      <c r="AH669" s="21">
        <f t="shared" si="109"/>
        <v>1</v>
      </c>
    </row>
    <row r="670" spans="1:34" hidden="1">
      <c r="A670" t="s">
        <v>223</v>
      </c>
      <c r="B670" s="18">
        <v>2043</v>
      </c>
      <c r="C670" t="s">
        <v>223</v>
      </c>
      <c r="D670" t="s">
        <v>227</v>
      </c>
      <c r="E670" s="20" t="s">
        <v>319</v>
      </c>
      <c r="F670" s="20" t="s">
        <v>320</v>
      </c>
      <c r="G670" s="20" t="s">
        <v>224</v>
      </c>
      <c r="H670" s="20" t="s">
        <v>192</v>
      </c>
      <c r="I670" s="20" t="s">
        <v>264</v>
      </c>
      <c r="J670" s="15">
        <f>IFERROR(INDEX(Cost_Components!$K$2:$K$27,MATCH(E670,Cost_Components!$A$2:$A$27,0)),"")</f>
        <v>0.8</v>
      </c>
      <c r="K670" s="15">
        <f t="shared" si="100"/>
        <v>0.66807692307692301</v>
      </c>
      <c r="L670" s="15">
        <f>IFERROR(INDEX(Cost_Components!$S$2:$S$27,MATCH(E670,Cost_Components!$A$2:$A$27,0)),"")</f>
        <v>0.31</v>
      </c>
      <c r="M670" s="26">
        <f>IFERROR(INDEX(Cost_Components!$L$2:$L$27,MATCH(E670,Cost_Components!$A$2:$A$27,0)),"")</f>
        <v>1</v>
      </c>
      <c r="N670" s="27">
        <f>IFERROR(INDEX(Cost_Components!$P$2:$P$27,MATCH(E670,Cost_Components!$A$2:$A$27,0)),"")</f>
        <v>176.67</v>
      </c>
      <c r="O670" s="21">
        <f t="shared" si="101"/>
        <v>20973810.191262882</v>
      </c>
      <c r="P670" s="21">
        <f t="shared" si="102"/>
        <v>20826798.017962243</v>
      </c>
      <c r="Q670" s="21">
        <f t="shared" si="103"/>
        <v>1140635825.8083508</v>
      </c>
      <c r="R670" s="21">
        <f t="shared" si="104"/>
        <v>2475520989.136095</v>
      </c>
      <c r="S670" s="21">
        <f t="shared" si="105"/>
        <v>1334885163.3277442</v>
      </c>
      <c r="T670" s="14">
        <f>IFERROR(INDEX(Cost_Components!$R$2:$R$27,MATCH(E670,Cost_Components!$A$2:$A$27,0)),"")</f>
        <v>0</v>
      </c>
      <c r="U670" s="24">
        <f>IFERROR(INDEX(Cost_Components!$Q$2:$Q$27,MATCH(E670,Cost_Components!$A$2:$A$27,0)),"")</f>
        <v>2014</v>
      </c>
      <c r="V670" s="28">
        <f>1/(1+Calculation_Assumptions!$B$5)^(B670-Calculation_Assumptions!$B$2)</f>
        <v>0.5873946076162827</v>
      </c>
      <c r="W670" s="21">
        <f t="shared" si="106"/>
        <v>670003333.33377075</v>
      </c>
      <c r="X670" s="21">
        <f t="shared" si="107"/>
        <v>1454107680.0594685</v>
      </c>
      <c r="Y670" s="21">
        <f t="shared" si="108"/>
        <v>784104346.72569776</v>
      </c>
      <c r="Z670" s="15">
        <f>IFERROR(INDEX(Cost_Components!$T$2:$T$27,MATCH(E670,Cost_Components!$A$2:$A$27,0)),"")</f>
        <v>0.8</v>
      </c>
      <c r="AA670" s="24">
        <f>IFERROR(INDEX(Cost_Components!$U$2:$U$27,MATCH(E670,Cost_Components!$A$2:$A$27,0)),"")</f>
        <v>2025</v>
      </c>
      <c r="AB670" s="24">
        <f>IFERROR(INDEX(Cost_Components!$V$2:$V$27,MATCH(E670,Cost_Components!$A$2:$A$27,0)),"")</f>
        <v>2050</v>
      </c>
      <c r="AC670" s="24">
        <f>IFERROR(INDEX(Cost_Components!$M$2:$M$27,MATCH(E670,Cost_Components!$A$2:$A$27,0)),"")</f>
        <v>0</v>
      </c>
      <c r="AD670" s="24">
        <f>IFERROR(INDEX(Cost_Components!$N$2:$N$27,MATCH(E670,Cost_Components!$A$2:$A$27,0)),"")</f>
        <v>95</v>
      </c>
      <c r="AE670" s="14" t="str">
        <f>IFERROR(INDEX(Cost_Components!$O$2:$O$27,MATCH(E670,Cost_Components!$A$2:$A$27,0)),"")</f>
        <v>Both</v>
      </c>
      <c r="AF670" s="11">
        <v>26217262.7390786</v>
      </c>
      <c r="AG670" s="11">
        <v>26033497.522452801</v>
      </c>
      <c r="AH670" s="21">
        <f t="shared" si="109"/>
        <v>1</v>
      </c>
    </row>
    <row r="671" spans="1:34" hidden="1">
      <c r="A671" t="s">
        <v>223</v>
      </c>
      <c r="B671" s="18">
        <v>2044</v>
      </c>
      <c r="C671" t="s">
        <v>223</v>
      </c>
      <c r="D671" t="s">
        <v>227</v>
      </c>
      <c r="E671" s="20" t="s">
        <v>319</v>
      </c>
      <c r="F671" s="20" t="s">
        <v>320</v>
      </c>
      <c r="G671" s="20" t="s">
        <v>224</v>
      </c>
      <c r="H671" s="20" t="s">
        <v>192</v>
      </c>
      <c r="I671" s="20" t="s">
        <v>264</v>
      </c>
      <c r="J671" s="15">
        <f>IFERROR(INDEX(Cost_Components!$K$2:$K$27,MATCH(E671,Cost_Components!$A$2:$A$27,0)),"")</f>
        <v>0.8</v>
      </c>
      <c r="K671" s="15">
        <f t="shared" si="100"/>
        <v>0.68692307692307697</v>
      </c>
      <c r="L671" s="15">
        <f>IFERROR(INDEX(Cost_Components!$S$2:$S$27,MATCH(E671,Cost_Components!$A$2:$A$27,0)),"")</f>
        <v>0.31</v>
      </c>
      <c r="M671" s="26">
        <f>IFERROR(INDEX(Cost_Components!$L$2:$L$27,MATCH(E671,Cost_Components!$A$2:$A$27,0)),"")</f>
        <v>1</v>
      </c>
      <c r="N671" s="27">
        <f>IFERROR(INDEX(Cost_Components!$P$2:$P$27,MATCH(E671,Cost_Components!$A$2:$A$27,0)),"")</f>
        <v>176.67</v>
      </c>
      <c r="O671" s="21">
        <f t="shared" si="101"/>
        <v>21285309.220052242</v>
      </c>
      <c r="P671" s="21">
        <f t="shared" si="102"/>
        <v>21121822.907069601</v>
      </c>
      <c r="Q671" s="21">
        <f t="shared" si="103"/>
        <v>1156793660.4275157</v>
      </c>
      <c r="R671" s="21">
        <f t="shared" si="104"/>
        <v>2583157456.0435543</v>
      </c>
      <c r="S671" s="21">
        <f t="shared" si="105"/>
        <v>1426363795.6160386</v>
      </c>
      <c r="T671" s="14">
        <f>IFERROR(INDEX(Cost_Components!$R$2:$R$27,MATCH(E671,Cost_Components!$A$2:$A$27,0)),"")</f>
        <v>0</v>
      </c>
      <c r="U671" s="24">
        <f>IFERROR(INDEX(Cost_Components!$Q$2:$Q$27,MATCH(E671,Cost_Components!$A$2:$A$27,0)),"")</f>
        <v>2014</v>
      </c>
      <c r="V671" s="28">
        <f>1/(1+Calculation_Assumptions!$B$5)^(B671-Calculation_Assumptions!$B$2)</f>
        <v>0.57028602681192497</v>
      </c>
      <c r="W671" s="21">
        <f t="shared" si="106"/>
        <v>659703260.44643104</v>
      </c>
      <c r="X671" s="21">
        <f t="shared" si="107"/>
        <v>1473138602.2366784</v>
      </c>
      <c r="Y671" s="21">
        <f t="shared" si="108"/>
        <v>813435341.7902472</v>
      </c>
      <c r="Z671" s="15">
        <f>IFERROR(INDEX(Cost_Components!$T$2:$T$27,MATCH(E671,Cost_Components!$A$2:$A$27,0)),"")</f>
        <v>0.8</v>
      </c>
      <c r="AA671" s="24">
        <f>IFERROR(INDEX(Cost_Components!$U$2:$U$27,MATCH(E671,Cost_Components!$A$2:$A$27,0)),"")</f>
        <v>2025</v>
      </c>
      <c r="AB671" s="24">
        <f>IFERROR(INDEX(Cost_Components!$V$2:$V$27,MATCH(E671,Cost_Components!$A$2:$A$27,0)),"")</f>
        <v>2050</v>
      </c>
      <c r="AC671" s="24">
        <f>IFERROR(INDEX(Cost_Components!$M$2:$M$27,MATCH(E671,Cost_Components!$A$2:$A$27,0)),"")</f>
        <v>0</v>
      </c>
      <c r="AD671" s="24">
        <f>IFERROR(INDEX(Cost_Components!$N$2:$N$27,MATCH(E671,Cost_Components!$A$2:$A$27,0)),"")</f>
        <v>95</v>
      </c>
      <c r="AE671" s="14" t="str">
        <f>IFERROR(INDEX(Cost_Components!$O$2:$O$27,MATCH(E671,Cost_Components!$A$2:$A$27,0)),"")</f>
        <v>Both</v>
      </c>
      <c r="AF671" s="11">
        <v>26606636.525065299</v>
      </c>
      <c r="AG671" s="11">
        <v>26402278.633837</v>
      </c>
      <c r="AH671" s="21">
        <f t="shared" si="109"/>
        <v>1</v>
      </c>
    </row>
    <row r="672" spans="1:34" hidden="1">
      <c r="A672" t="s">
        <v>223</v>
      </c>
      <c r="B672" s="18">
        <v>2045</v>
      </c>
      <c r="C672" t="s">
        <v>223</v>
      </c>
      <c r="D672" t="s">
        <v>227</v>
      </c>
      <c r="E672" s="20" t="s">
        <v>319</v>
      </c>
      <c r="F672" s="20" t="s">
        <v>320</v>
      </c>
      <c r="G672" s="20" t="s">
        <v>224</v>
      </c>
      <c r="H672" s="20" t="s">
        <v>192</v>
      </c>
      <c r="I672" s="20" t="s">
        <v>264</v>
      </c>
      <c r="J672" s="15">
        <f>IFERROR(INDEX(Cost_Components!$K$2:$K$27,MATCH(E672,Cost_Components!$A$2:$A$27,0)),"")</f>
        <v>0.8</v>
      </c>
      <c r="K672" s="15">
        <f t="shared" si="100"/>
        <v>0.70576923076923082</v>
      </c>
      <c r="L672" s="15">
        <f>IFERROR(INDEX(Cost_Components!$S$2:$S$27,MATCH(E672,Cost_Components!$A$2:$A$27,0)),"")</f>
        <v>0.31</v>
      </c>
      <c r="M672" s="26">
        <f>IFERROR(INDEX(Cost_Components!$L$2:$L$27,MATCH(E672,Cost_Components!$A$2:$A$27,0)),"")</f>
        <v>1</v>
      </c>
      <c r="N672" s="27">
        <f>IFERROR(INDEX(Cost_Components!$P$2:$P$27,MATCH(E672,Cost_Components!$A$2:$A$27,0)),"")</f>
        <v>176.67</v>
      </c>
      <c r="O672" s="21">
        <f t="shared" si="101"/>
        <v>21582912.974538561</v>
      </c>
      <c r="P672" s="21">
        <f t="shared" si="102"/>
        <v>21402110.423285041</v>
      </c>
      <c r="Q672" s="21">
        <f t="shared" si="103"/>
        <v>1172144363.0293479</v>
      </c>
      <c r="R672" s="21">
        <f t="shared" si="104"/>
        <v>2691135648.6975079</v>
      </c>
      <c r="S672" s="21">
        <f t="shared" si="105"/>
        <v>1518991285.66816</v>
      </c>
      <c r="T672" s="14">
        <f>IFERROR(INDEX(Cost_Components!$R$2:$R$27,MATCH(E672,Cost_Components!$A$2:$A$27,0)),"")</f>
        <v>0</v>
      </c>
      <c r="U672" s="24">
        <f>IFERROR(INDEX(Cost_Components!$Q$2:$Q$27,MATCH(E672,Cost_Components!$A$2:$A$27,0)),"")</f>
        <v>2014</v>
      </c>
      <c r="V672" s="28">
        <f>1/(1+Calculation_Assumptions!$B$5)^(B672-Calculation_Assumptions!$B$2)</f>
        <v>0.55367575418633497</v>
      </c>
      <c r="W672" s="21">
        <f t="shared" si="106"/>
        <v>648987914.2155354</v>
      </c>
      <c r="X672" s="21">
        <f t="shared" si="107"/>
        <v>1490016559.9103246</v>
      </c>
      <c r="Y672" s="21">
        <f t="shared" si="108"/>
        <v>841028645.69478905</v>
      </c>
      <c r="Z672" s="15">
        <f>IFERROR(INDEX(Cost_Components!$T$2:$T$27,MATCH(E672,Cost_Components!$A$2:$A$27,0)),"")</f>
        <v>0.8</v>
      </c>
      <c r="AA672" s="24">
        <f>IFERROR(INDEX(Cost_Components!$U$2:$U$27,MATCH(E672,Cost_Components!$A$2:$A$27,0)),"")</f>
        <v>2025</v>
      </c>
      <c r="AB672" s="24">
        <f>IFERROR(INDEX(Cost_Components!$V$2:$V$27,MATCH(E672,Cost_Components!$A$2:$A$27,0)),"")</f>
        <v>2050</v>
      </c>
      <c r="AC672" s="24">
        <f>IFERROR(INDEX(Cost_Components!$M$2:$M$27,MATCH(E672,Cost_Components!$A$2:$A$27,0)),"")</f>
        <v>0</v>
      </c>
      <c r="AD672" s="24">
        <f>IFERROR(INDEX(Cost_Components!$N$2:$N$27,MATCH(E672,Cost_Components!$A$2:$A$27,0)),"")</f>
        <v>95</v>
      </c>
      <c r="AE672" s="14" t="str">
        <f>IFERROR(INDEX(Cost_Components!$O$2:$O$27,MATCH(E672,Cost_Components!$A$2:$A$27,0)),"")</f>
        <v>Both</v>
      </c>
      <c r="AF672" s="11">
        <v>26978641.218173198</v>
      </c>
      <c r="AG672" s="11">
        <v>26752638.0291063</v>
      </c>
      <c r="AH672" s="21">
        <f t="shared" si="109"/>
        <v>1</v>
      </c>
    </row>
    <row r="673" spans="1:34" hidden="1">
      <c r="A673" t="s">
        <v>223</v>
      </c>
      <c r="B673" s="18">
        <v>2046</v>
      </c>
      <c r="C673" t="s">
        <v>223</v>
      </c>
      <c r="D673" t="s">
        <v>227</v>
      </c>
      <c r="E673" s="20" t="s">
        <v>319</v>
      </c>
      <c r="F673" s="20" t="s">
        <v>320</v>
      </c>
      <c r="G673" s="20" t="s">
        <v>224</v>
      </c>
      <c r="H673" s="20" t="s">
        <v>192</v>
      </c>
      <c r="I673" s="20" t="s">
        <v>264</v>
      </c>
      <c r="J673" s="15">
        <f>IFERROR(INDEX(Cost_Components!$K$2:$K$27,MATCH(E673,Cost_Components!$A$2:$A$27,0)),"")</f>
        <v>0.8</v>
      </c>
      <c r="K673" s="15">
        <f t="shared" si="100"/>
        <v>0.72461538461538466</v>
      </c>
      <c r="L673" s="15">
        <f>IFERROR(INDEX(Cost_Components!$S$2:$S$27,MATCH(E673,Cost_Components!$A$2:$A$27,0)),"")</f>
        <v>0.31</v>
      </c>
      <c r="M673" s="26">
        <f>IFERROR(INDEX(Cost_Components!$L$2:$L$27,MATCH(E673,Cost_Components!$A$2:$A$27,0)),"")</f>
        <v>1</v>
      </c>
      <c r="N673" s="27">
        <f>IFERROR(INDEX(Cost_Components!$P$2:$P$27,MATCH(E673,Cost_Components!$A$2:$A$27,0)),"")</f>
        <v>176.67</v>
      </c>
      <c r="O673" s="21">
        <f t="shared" si="101"/>
        <v>21866702.324282002</v>
      </c>
      <c r="P673" s="21">
        <f t="shared" si="102"/>
        <v>21667776.896118481</v>
      </c>
      <c r="Q673" s="21">
        <f t="shared" si="103"/>
        <v>1186694304.7135479</v>
      </c>
      <c r="R673" s="21">
        <f t="shared" si="104"/>
        <v>2799327124.8094683</v>
      </c>
      <c r="S673" s="21">
        <f t="shared" si="105"/>
        <v>1612632820.0959203</v>
      </c>
      <c r="T673" s="14">
        <f>IFERROR(INDEX(Cost_Components!$R$2:$R$27,MATCH(E673,Cost_Components!$A$2:$A$27,0)),"")</f>
        <v>0</v>
      </c>
      <c r="U673" s="24">
        <f>IFERROR(INDEX(Cost_Components!$Q$2:$Q$27,MATCH(E673,Cost_Components!$A$2:$A$27,0)),"")</f>
        <v>2014</v>
      </c>
      <c r="V673" s="28">
        <f>1/(1+Calculation_Assumptions!$B$5)^(B673-Calculation_Assumptions!$B$2)</f>
        <v>0.5375492759090631</v>
      </c>
      <c r="W673" s="21">
        <f t="shared" si="106"/>
        <v>637906664.22417676</v>
      </c>
      <c r="X673" s="21">
        <f t="shared" si="107"/>
        <v>1504776268.9739292</v>
      </c>
      <c r="Y673" s="21">
        <f t="shared" si="108"/>
        <v>866869604.7497524</v>
      </c>
      <c r="Z673" s="15">
        <f>IFERROR(INDEX(Cost_Components!$T$2:$T$27,MATCH(E673,Cost_Components!$A$2:$A$27,0)),"")</f>
        <v>0.8</v>
      </c>
      <c r="AA673" s="24">
        <f>IFERROR(INDEX(Cost_Components!$U$2:$U$27,MATCH(E673,Cost_Components!$A$2:$A$27,0)),"")</f>
        <v>2025</v>
      </c>
      <c r="AB673" s="24">
        <f>IFERROR(INDEX(Cost_Components!$V$2:$V$27,MATCH(E673,Cost_Components!$A$2:$A$27,0)),"")</f>
        <v>2050</v>
      </c>
      <c r="AC673" s="24">
        <f>IFERROR(INDEX(Cost_Components!$M$2:$M$27,MATCH(E673,Cost_Components!$A$2:$A$27,0)),"")</f>
        <v>0</v>
      </c>
      <c r="AD673" s="24">
        <f>IFERROR(INDEX(Cost_Components!$N$2:$N$27,MATCH(E673,Cost_Components!$A$2:$A$27,0)),"")</f>
        <v>95</v>
      </c>
      <c r="AE673" s="14" t="str">
        <f>IFERROR(INDEX(Cost_Components!$O$2:$O$27,MATCH(E673,Cost_Components!$A$2:$A$27,0)),"")</f>
        <v>Both</v>
      </c>
      <c r="AF673" s="11">
        <v>27333377.905352499</v>
      </c>
      <c r="AG673" s="11">
        <v>27084721.1201481</v>
      </c>
      <c r="AH673" s="21">
        <f t="shared" si="109"/>
        <v>1</v>
      </c>
    </row>
    <row r="674" spans="1:34" hidden="1">
      <c r="A674" t="s">
        <v>223</v>
      </c>
      <c r="B674" s="18">
        <v>2047</v>
      </c>
      <c r="C674" t="s">
        <v>223</v>
      </c>
      <c r="D674" t="s">
        <v>227</v>
      </c>
      <c r="E674" s="20" t="s">
        <v>319</v>
      </c>
      <c r="F674" s="20" t="s">
        <v>320</v>
      </c>
      <c r="G674" s="20" t="s">
        <v>224</v>
      </c>
      <c r="H674" s="20" t="s">
        <v>192</v>
      </c>
      <c r="I674" s="20" t="s">
        <v>264</v>
      </c>
      <c r="J674" s="15">
        <f>IFERROR(INDEX(Cost_Components!$K$2:$K$27,MATCH(E674,Cost_Components!$A$2:$A$27,0)),"")</f>
        <v>0.8</v>
      </c>
      <c r="K674" s="15">
        <f t="shared" si="100"/>
        <v>0.74346153846153851</v>
      </c>
      <c r="L674" s="15">
        <f>IFERROR(INDEX(Cost_Components!$S$2:$S$27,MATCH(E674,Cost_Components!$A$2:$A$27,0)),"")</f>
        <v>0.31</v>
      </c>
      <c r="M674" s="26">
        <f>IFERROR(INDEX(Cost_Components!$L$2:$L$27,MATCH(E674,Cost_Components!$A$2:$A$27,0)),"")</f>
        <v>1</v>
      </c>
      <c r="N674" s="27">
        <f>IFERROR(INDEX(Cost_Components!$P$2:$P$27,MATCH(E674,Cost_Components!$A$2:$A$27,0)),"")</f>
        <v>176.67</v>
      </c>
      <c r="O674" s="21">
        <f t="shared" si="101"/>
        <v>22136772.653429203</v>
      </c>
      <c r="P674" s="21">
        <f t="shared" si="102"/>
        <v>21918961.503149681</v>
      </c>
      <c r="Q674" s="21">
        <f t="shared" si="103"/>
        <v>1200451107.9160507</v>
      </c>
      <c r="R674" s="21">
        <f t="shared" si="104"/>
        <v>2907606425.5803943</v>
      </c>
      <c r="S674" s="21">
        <f t="shared" si="105"/>
        <v>1707155317.6643436</v>
      </c>
      <c r="T674" s="14">
        <f>IFERROR(INDEX(Cost_Components!$R$2:$R$27,MATCH(E674,Cost_Components!$A$2:$A$27,0)),"")</f>
        <v>0</v>
      </c>
      <c r="U674" s="24">
        <f>IFERROR(INDEX(Cost_Components!$Q$2:$Q$27,MATCH(E674,Cost_Components!$A$2:$A$27,0)),"")</f>
        <v>2014</v>
      </c>
      <c r="V674" s="28">
        <f>1/(1+Calculation_Assumptions!$B$5)^(B674-Calculation_Assumptions!$B$2)</f>
        <v>0.52189250088258554</v>
      </c>
      <c r="W674" s="21">
        <f t="shared" si="106"/>
        <v>626506430.89757824</v>
      </c>
      <c r="X674" s="21">
        <f t="shared" si="107"/>
        <v>1517457989.0284274</v>
      </c>
      <c r="Y674" s="21">
        <f t="shared" si="108"/>
        <v>890951558.130849</v>
      </c>
      <c r="Z674" s="15">
        <f>IFERROR(INDEX(Cost_Components!$T$2:$T$27,MATCH(E674,Cost_Components!$A$2:$A$27,0)),"")</f>
        <v>0.8</v>
      </c>
      <c r="AA674" s="24">
        <f>IFERROR(INDEX(Cost_Components!$U$2:$U$27,MATCH(E674,Cost_Components!$A$2:$A$27,0)),"")</f>
        <v>2025</v>
      </c>
      <c r="AB674" s="24">
        <f>IFERROR(INDEX(Cost_Components!$V$2:$V$27,MATCH(E674,Cost_Components!$A$2:$A$27,0)),"")</f>
        <v>2050</v>
      </c>
      <c r="AC674" s="24">
        <f>IFERROR(INDEX(Cost_Components!$M$2:$M$27,MATCH(E674,Cost_Components!$A$2:$A$27,0)),"")</f>
        <v>0</v>
      </c>
      <c r="AD674" s="24">
        <f>IFERROR(INDEX(Cost_Components!$N$2:$N$27,MATCH(E674,Cost_Components!$A$2:$A$27,0)),"")</f>
        <v>95</v>
      </c>
      <c r="AE674" s="14" t="str">
        <f>IFERROR(INDEX(Cost_Components!$O$2:$O$27,MATCH(E674,Cost_Components!$A$2:$A$27,0)),"")</f>
        <v>Both</v>
      </c>
      <c r="AF674" s="11">
        <v>27670965.816786502</v>
      </c>
      <c r="AG674" s="11">
        <v>27398701.878937099</v>
      </c>
      <c r="AH674" s="21">
        <f t="shared" si="109"/>
        <v>1</v>
      </c>
    </row>
    <row r="675" spans="1:34" hidden="1">
      <c r="A675" t="s">
        <v>223</v>
      </c>
      <c r="B675" s="18">
        <v>2048</v>
      </c>
      <c r="C675" t="s">
        <v>223</v>
      </c>
      <c r="D675" t="s">
        <v>227</v>
      </c>
      <c r="E675" s="20" t="s">
        <v>319</v>
      </c>
      <c r="F675" s="20" t="s">
        <v>320</v>
      </c>
      <c r="G675" s="20" t="s">
        <v>224</v>
      </c>
      <c r="H675" s="20" t="s">
        <v>192</v>
      </c>
      <c r="I675" s="20" t="s">
        <v>264</v>
      </c>
      <c r="J675" s="15">
        <f>IFERROR(INDEX(Cost_Components!$K$2:$K$27,MATCH(E675,Cost_Components!$A$2:$A$27,0)),"")</f>
        <v>0.8</v>
      </c>
      <c r="K675" s="15">
        <f t="shared" si="100"/>
        <v>0.76230769230769235</v>
      </c>
      <c r="L675" s="15">
        <f>IFERROR(INDEX(Cost_Components!$S$2:$S$27,MATCH(E675,Cost_Components!$A$2:$A$27,0)),"")</f>
        <v>0.31</v>
      </c>
      <c r="M675" s="26">
        <f>IFERROR(INDEX(Cost_Components!$L$2:$L$27,MATCH(E675,Cost_Components!$A$2:$A$27,0)),"")</f>
        <v>1</v>
      </c>
      <c r="N675" s="27">
        <f>IFERROR(INDEX(Cost_Components!$P$2:$P$27,MATCH(E675,Cost_Components!$A$2:$A$27,0)),"")</f>
        <v>176.67</v>
      </c>
      <c r="O675" s="21">
        <f t="shared" si="101"/>
        <v>22393352.297842402</v>
      </c>
      <c r="P675" s="21">
        <f t="shared" si="102"/>
        <v>22155938.698232159</v>
      </c>
      <c r="Q675" s="21">
        <f t="shared" si="103"/>
        <v>1213429803.8431692</v>
      </c>
      <c r="R675" s="21">
        <f t="shared" si="104"/>
        <v>3015867268.0812912</v>
      </c>
      <c r="S675" s="21">
        <f t="shared" si="105"/>
        <v>1802437464.238122</v>
      </c>
      <c r="T675" s="14">
        <f>IFERROR(INDEX(Cost_Components!$R$2:$R$27,MATCH(E675,Cost_Components!$A$2:$A$27,0)),"")</f>
        <v>0</v>
      </c>
      <c r="U675" s="24">
        <f>IFERROR(INDEX(Cost_Components!$Q$2:$Q$27,MATCH(E675,Cost_Components!$A$2:$A$27,0)),"")</f>
        <v>2014</v>
      </c>
      <c r="V675" s="28">
        <f>1/(1+Calculation_Assumptions!$B$5)^(B675-Calculation_Assumptions!$B$2)</f>
        <v>0.50669174842969467</v>
      </c>
      <c r="W675" s="21">
        <f t="shared" si="106"/>
        <v>614834868.9059968</v>
      </c>
      <c r="X675" s="21">
        <f t="shared" si="107"/>
        <v>1528115059.0959961</v>
      </c>
      <c r="Y675" s="21">
        <f t="shared" si="108"/>
        <v>913280190.18999922</v>
      </c>
      <c r="Z675" s="15">
        <f>IFERROR(INDEX(Cost_Components!$T$2:$T$27,MATCH(E675,Cost_Components!$A$2:$A$27,0)),"")</f>
        <v>0.8</v>
      </c>
      <c r="AA675" s="24">
        <f>IFERROR(INDEX(Cost_Components!$U$2:$U$27,MATCH(E675,Cost_Components!$A$2:$A$27,0)),"")</f>
        <v>2025</v>
      </c>
      <c r="AB675" s="24">
        <f>IFERROR(INDEX(Cost_Components!$V$2:$V$27,MATCH(E675,Cost_Components!$A$2:$A$27,0)),"")</f>
        <v>2050</v>
      </c>
      <c r="AC675" s="24">
        <f>IFERROR(INDEX(Cost_Components!$M$2:$M$27,MATCH(E675,Cost_Components!$A$2:$A$27,0)),"")</f>
        <v>0</v>
      </c>
      <c r="AD675" s="24">
        <f>IFERROR(INDEX(Cost_Components!$N$2:$N$27,MATCH(E675,Cost_Components!$A$2:$A$27,0)),"")</f>
        <v>95</v>
      </c>
      <c r="AE675" s="14" t="str">
        <f>IFERROR(INDEX(Cost_Components!$O$2:$O$27,MATCH(E675,Cost_Components!$A$2:$A$27,0)),"")</f>
        <v>Both</v>
      </c>
      <c r="AF675" s="11">
        <v>27991690.372303002</v>
      </c>
      <c r="AG675" s="11">
        <v>27694923.372790199</v>
      </c>
      <c r="AH675" s="21">
        <f t="shared" si="109"/>
        <v>1</v>
      </c>
    </row>
    <row r="676" spans="1:34" hidden="1">
      <c r="A676" t="s">
        <v>223</v>
      </c>
      <c r="B676" s="18">
        <v>2049</v>
      </c>
      <c r="C676" t="s">
        <v>223</v>
      </c>
      <c r="D676" t="s">
        <v>227</v>
      </c>
      <c r="E676" s="20" t="s">
        <v>319</v>
      </c>
      <c r="F676" s="20" t="s">
        <v>320</v>
      </c>
      <c r="G676" s="20" t="s">
        <v>224</v>
      </c>
      <c r="H676" s="20" t="s">
        <v>192</v>
      </c>
      <c r="I676" s="20" t="s">
        <v>264</v>
      </c>
      <c r="J676" s="15">
        <f>IFERROR(INDEX(Cost_Components!$K$2:$K$27,MATCH(E676,Cost_Components!$A$2:$A$27,0)),"")</f>
        <v>0.8</v>
      </c>
      <c r="K676" s="15">
        <f t="shared" si="100"/>
        <v>0.7811538461538462</v>
      </c>
      <c r="L676" s="15">
        <f>IFERROR(INDEX(Cost_Components!$S$2:$S$27,MATCH(E676,Cost_Components!$A$2:$A$27,0)),"")</f>
        <v>0.31</v>
      </c>
      <c r="M676" s="26">
        <f>IFERROR(INDEX(Cost_Components!$L$2:$L$27,MATCH(E676,Cost_Components!$A$2:$A$27,0)),"")</f>
        <v>1</v>
      </c>
      <c r="N676" s="27">
        <f>IFERROR(INDEX(Cost_Components!$P$2:$P$27,MATCH(E676,Cost_Components!$A$2:$A$27,0)),"")</f>
        <v>176.67</v>
      </c>
      <c r="O676" s="21">
        <f t="shared" si="101"/>
        <v>22636728.012058802</v>
      </c>
      <c r="P676" s="21">
        <f t="shared" si="102"/>
        <v>22379041.285793521</v>
      </c>
      <c r="Q676" s="21">
        <f t="shared" si="103"/>
        <v>1225648619.4279537</v>
      </c>
      <c r="R676" s="21">
        <f t="shared" si="104"/>
        <v>3124014472.5597925</v>
      </c>
      <c r="S676" s="21">
        <f t="shared" si="105"/>
        <v>1898365853.1318388</v>
      </c>
      <c r="T676" s="14">
        <f>IFERROR(INDEX(Cost_Components!$R$2:$R$27,MATCH(E676,Cost_Components!$A$2:$A$27,0)),"")</f>
        <v>0</v>
      </c>
      <c r="U676" s="24">
        <f>IFERROR(INDEX(Cost_Components!$Q$2:$Q$27,MATCH(E676,Cost_Components!$A$2:$A$27,0)),"")</f>
        <v>2014</v>
      </c>
      <c r="V676" s="28">
        <f>1/(1+Calculation_Assumptions!$B$5)^(B676-Calculation_Assumptions!$B$2)</f>
        <v>0.49193373633950943</v>
      </c>
      <c r="W676" s="21">
        <f t="shared" si="106"/>
        <v>602937904.79455471</v>
      </c>
      <c r="X676" s="21">
        <f t="shared" si="107"/>
        <v>1536808111.8650405</v>
      </c>
      <c r="Y676" s="21">
        <f t="shared" si="108"/>
        <v>933870207.07048583</v>
      </c>
      <c r="Z676" s="15">
        <f>IFERROR(INDEX(Cost_Components!$T$2:$T$27,MATCH(E676,Cost_Components!$A$2:$A$27,0)),"")</f>
        <v>0.8</v>
      </c>
      <c r="AA676" s="24">
        <f>IFERROR(INDEX(Cost_Components!$U$2:$U$27,MATCH(E676,Cost_Components!$A$2:$A$27,0)),"")</f>
        <v>2025</v>
      </c>
      <c r="AB676" s="24">
        <f>IFERROR(INDEX(Cost_Components!$V$2:$V$27,MATCH(E676,Cost_Components!$A$2:$A$27,0)),"")</f>
        <v>2050</v>
      </c>
      <c r="AC676" s="24">
        <f>IFERROR(INDEX(Cost_Components!$M$2:$M$27,MATCH(E676,Cost_Components!$A$2:$A$27,0)),"")</f>
        <v>0</v>
      </c>
      <c r="AD676" s="24">
        <f>IFERROR(INDEX(Cost_Components!$N$2:$N$27,MATCH(E676,Cost_Components!$A$2:$A$27,0)),"")</f>
        <v>95</v>
      </c>
      <c r="AE676" s="14" t="str">
        <f>IFERROR(INDEX(Cost_Components!$O$2:$O$27,MATCH(E676,Cost_Components!$A$2:$A$27,0)),"")</f>
        <v>Both</v>
      </c>
      <c r="AF676" s="11">
        <v>28295910.015073501</v>
      </c>
      <c r="AG676" s="11">
        <v>27973801.607241899</v>
      </c>
      <c r="AH676" s="21">
        <f t="shared" si="109"/>
        <v>1</v>
      </c>
    </row>
    <row r="677" spans="1:34" hidden="1">
      <c r="A677" t="s">
        <v>223</v>
      </c>
      <c r="B677" s="18">
        <v>2050</v>
      </c>
      <c r="C677" t="s">
        <v>223</v>
      </c>
      <c r="D677" t="s">
        <v>227</v>
      </c>
      <c r="E677" s="20" t="s">
        <v>319</v>
      </c>
      <c r="F677" s="20" t="s">
        <v>320</v>
      </c>
      <c r="G677" s="20" t="s">
        <v>224</v>
      </c>
      <c r="H677" s="20" t="s">
        <v>192</v>
      </c>
      <c r="I677" s="20" t="s">
        <v>264</v>
      </c>
      <c r="J677" s="15">
        <f>IFERROR(INDEX(Cost_Components!$K$2:$K$27,MATCH(E677,Cost_Components!$A$2:$A$27,0)),"")</f>
        <v>0.8</v>
      </c>
      <c r="K677" s="15">
        <f t="shared" si="100"/>
        <v>0.8</v>
      </c>
      <c r="L677" s="15">
        <f>IFERROR(INDEX(Cost_Components!$S$2:$S$27,MATCH(E677,Cost_Components!$A$2:$A$27,0)),"")</f>
        <v>0.31</v>
      </c>
      <c r="M677" s="26">
        <f>IFERROR(INDEX(Cost_Components!$L$2:$L$27,MATCH(E677,Cost_Components!$A$2:$A$27,0)),"")</f>
        <v>1</v>
      </c>
      <c r="N677" s="27">
        <f>IFERROR(INDEX(Cost_Components!$P$2:$P$27,MATCH(E677,Cost_Components!$A$2:$A$27,0)),"")</f>
        <v>176.67</v>
      </c>
      <c r="O677" s="21">
        <f t="shared" si="101"/>
        <v>22867274.340604801</v>
      </c>
      <c r="P677" s="21">
        <f t="shared" si="102"/>
        <v>22588690.726170644</v>
      </c>
      <c r="Q677" s="21">
        <f t="shared" si="103"/>
        <v>1237130637.0836959</v>
      </c>
      <c r="R677" s="21">
        <f t="shared" si="104"/>
        <v>3231969086.2037196</v>
      </c>
      <c r="S677" s="21">
        <f t="shared" si="105"/>
        <v>1994838449.1200237</v>
      </c>
      <c r="T677" s="14">
        <f>IFERROR(INDEX(Cost_Components!$R$2:$R$27,MATCH(E677,Cost_Components!$A$2:$A$27,0)),"")</f>
        <v>0</v>
      </c>
      <c r="U677" s="24">
        <f>IFERROR(INDEX(Cost_Components!$Q$2:$Q$27,MATCH(E677,Cost_Components!$A$2:$A$27,0)),"")</f>
        <v>2014</v>
      </c>
      <c r="V677" s="28">
        <f>1/(1+Calculation_Assumptions!$B$5)^(B677-Calculation_Assumptions!$B$2)</f>
        <v>0.47760556926165965</v>
      </c>
      <c r="W677" s="21">
        <f t="shared" si="106"/>
        <v>590860482.17539823</v>
      </c>
      <c r="X677" s="21">
        <f t="shared" si="107"/>
        <v>1543606435.2524135</v>
      </c>
      <c r="Y677" s="21">
        <f t="shared" si="108"/>
        <v>952745953.07701516</v>
      </c>
      <c r="Z677" s="15">
        <f>IFERROR(INDEX(Cost_Components!$T$2:$T$27,MATCH(E677,Cost_Components!$A$2:$A$27,0)),"")</f>
        <v>0.8</v>
      </c>
      <c r="AA677" s="24">
        <f>IFERROR(INDEX(Cost_Components!$U$2:$U$27,MATCH(E677,Cost_Components!$A$2:$A$27,0)),"")</f>
        <v>2025</v>
      </c>
      <c r="AB677" s="24">
        <f>IFERROR(INDEX(Cost_Components!$V$2:$V$27,MATCH(E677,Cost_Components!$A$2:$A$27,0)),"")</f>
        <v>2050</v>
      </c>
      <c r="AC677" s="24">
        <f>IFERROR(INDEX(Cost_Components!$M$2:$M$27,MATCH(E677,Cost_Components!$A$2:$A$27,0)),"")</f>
        <v>0</v>
      </c>
      <c r="AD677" s="24">
        <f>IFERROR(INDEX(Cost_Components!$N$2:$N$27,MATCH(E677,Cost_Components!$A$2:$A$27,0)),"")</f>
        <v>95</v>
      </c>
      <c r="AE677" s="14" t="str">
        <f>IFERROR(INDEX(Cost_Components!$O$2:$O$27,MATCH(E677,Cost_Components!$A$2:$A$27,0)),"")</f>
        <v>Both</v>
      </c>
      <c r="AF677" s="11">
        <v>28584092.925756</v>
      </c>
      <c r="AG677" s="11">
        <v>28235863.407713301</v>
      </c>
      <c r="AH677" s="21">
        <f t="shared" si="109"/>
        <v>1</v>
      </c>
    </row>
    <row r="678" spans="1:34" hidden="1">
      <c r="A678" t="s">
        <v>75</v>
      </c>
      <c r="B678" s="18">
        <v>2025</v>
      </c>
      <c r="C678" t="s">
        <v>159</v>
      </c>
      <c r="E678" s="20" t="s">
        <v>257</v>
      </c>
      <c r="F678" s="20" t="s">
        <v>258</v>
      </c>
      <c r="G678" s="20" t="s">
        <v>168</v>
      </c>
      <c r="H678" s="20" t="s">
        <v>169</v>
      </c>
      <c r="I678" s="20" t="s">
        <v>75</v>
      </c>
      <c r="J678" s="15">
        <f>IFERROR(INDEX(Cost_Components!$K$2:$K$27,MATCH(E678,Cost_Components!$A$2:$A$27,0)),"")</f>
        <v>0.2</v>
      </c>
      <c r="K678" s="15">
        <f t="shared" si="100"/>
        <v>0.32884615384615384</v>
      </c>
      <c r="L678" s="15">
        <f>IFERROR(INDEX(Cost_Components!$S$2:$S$27,MATCH(E678,Cost_Components!$A$2:$A$27,0)),"")</f>
        <v>0.31</v>
      </c>
      <c r="M678" s="26">
        <f>IFERROR(INDEX(Cost_Components!$L$2:$L$27,MATCH(E678,Cost_Components!$A$2:$A$27,0)),"")</f>
        <v>1</v>
      </c>
      <c r="N678" s="27">
        <f>IFERROR(INDEX(Cost_Components!$P$2:$P$27,MATCH(E678,Cost_Components!$A$2:$A$27,0)),"")</f>
        <v>1.2915840000000001</v>
      </c>
      <c r="O678" s="21">
        <f t="shared" si="101"/>
        <v>30364899.645414401</v>
      </c>
      <c r="P678" s="21">
        <f t="shared" si="102"/>
        <v>30364899.645414401</v>
      </c>
      <c r="Q678" s="21">
        <f t="shared" si="103"/>
        <v>12157833.748523105</v>
      </c>
      <c r="R678" s="21">
        <f t="shared" si="104"/>
        <v>12896957.636460612</v>
      </c>
      <c r="S678" s="21">
        <f t="shared" si="105"/>
        <v>739123.88793750666</v>
      </c>
      <c r="T678" s="14">
        <f>IFERROR(INDEX(Cost_Components!$R$2:$R$27,MATCH(E678,Cost_Components!$A$2:$A$27,0)),"")</f>
        <v>1</v>
      </c>
      <c r="U678" s="24">
        <f>IFERROR(INDEX(Cost_Components!$Q$2:$Q$27,MATCH(E678,Cost_Components!$A$2:$A$27,0)),"")</f>
        <v>2023</v>
      </c>
      <c r="V678" s="28">
        <f>1/(1+Calculation_Assumptions!$B$5)^(B678-Calculation_Assumptions!$B$2)</f>
        <v>1</v>
      </c>
      <c r="W678" s="21">
        <f t="shared" si="106"/>
        <v>12157833.748523105</v>
      </c>
      <c r="X678" s="21">
        <f t="shared" si="107"/>
        <v>12896957.636460612</v>
      </c>
      <c r="Y678" s="21">
        <f t="shared" si="108"/>
        <v>739123.88793750666</v>
      </c>
      <c r="Z678" s="15">
        <f>IFERROR(INDEX(Cost_Components!$T$2:$T$27,MATCH(E678,Cost_Components!$A$2:$A$27,0)),"")</f>
        <v>0.8</v>
      </c>
      <c r="AA678" s="24">
        <f>IFERROR(INDEX(Cost_Components!$U$2:$U$27,MATCH(E678,Cost_Components!$A$2:$A$27,0)),"")</f>
        <v>2025</v>
      </c>
      <c r="AB678" s="24">
        <f>IFERROR(INDEX(Cost_Components!$V$2:$V$27,MATCH(E678,Cost_Components!$A$2:$A$27,0)),"")</f>
        <v>2050</v>
      </c>
      <c r="AC678" s="24">
        <f>IFERROR(INDEX(Cost_Components!$M$2:$M$27,MATCH(E678,Cost_Components!$A$2:$A$27,0)),"")</f>
        <v>30</v>
      </c>
      <c r="AD678" s="24">
        <f>IFERROR(INDEX(Cost_Components!$N$2:$N$27,MATCH(E678,Cost_Components!$A$2:$A$27,0)),"")</f>
        <v>95</v>
      </c>
      <c r="AE678" s="14" t="str">
        <f>IFERROR(INDEX(Cost_Components!$O$2:$O$27,MATCH(E678,Cost_Components!$A$2:$A$27,0)),"")</f>
        <v>Both</v>
      </c>
      <c r="AF678" s="11">
        <v>151824498.227072</v>
      </c>
      <c r="AG678" s="11">
        <v>151824498.227072</v>
      </c>
      <c r="AH678" s="21">
        <f t="shared" si="109"/>
        <v>1</v>
      </c>
    </row>
    <row r="679" spans="1:34" hidden="1">
      <c r="A679" t="s">
        <v>75</v>
      </c>
      <c r="B679" s="18">
        <v>2026</v>
      </c>
      <c r="C679" t="s">
        <v>159</v>
      </c>
      <c r="E679" s="20" t="s">
        <v>257</v>
      </c>
      <c r="F679" s="20" t="s">
        <v>258</v>
      </c>
      <c r="G679" s="20" t="s">
        <v>168</v>
      </c>
      <c r="H679" s="20" t="s">
        <v>169</v>
      </c>
      <c r="I679" s="20" t="s">
        <v>75</v>
      </c>
      <c r="J679" s="15">
        <f>IFERROR(INDEX(Cost_Components!$K$2:$K$27,MATCH(E679,Cost_Components!$A$2:$A$27,0)),"")</f>
        <v>0.2</v>
      </c>
      <c r="K679" s="15">
        <f t="shared" si="100"/>
        <v>0.34769230769230769</v>
      </c>
      <c r="L679" s="15">
        <f>IFERROR(INDEX(Cost_Components!$S$2:$S$27,MATCH(E679,Cost_Components!$A$2:$A$27,0)),"")</f>
        <v>0.31</v>
      </c>
      <c r="M679" s="26">
        <f>IFERROR(INDEX(Cost_Components!$L$2:$L$27,MATCH(E679,Cost_Components!$A$2:$A$27,0)),"")</f>
        <v>1</v>
      </c>
      <c r="N679" s="27">
        <f>IFERROR(INDEX(Cost_Components!$P$2:$P$27,MATCH(E679,Cost_Components!$A$2:$A$27,0)),"")</f>
        <v>1.2915840000000001</v>
      </c>
      <c r="O679" s="21">
        <f t="shared" si="101"/>
        <v>30840743.390436605</v>
      </c>
      <c r="P679" s="21">
        <f t="shared" si="102"/>
        <v>30822448.966642804</v>
      </c>
      <c r="Q679" s="21">
        <f t="shared" si="103"/>
        <v>12341032.397101039</v>
      </c>
      <c r="R679" s="21">
        <f t="shared" si="104"/>
        <v>13849770.493430417</v>
      </c>
      <c r="S679" s="21">
        <f t="shared" si="105"/>
        <v>1508738.096329378</v>
      </c>
      <c r="T679" s="14">
        <f>IFERROR(INDEX(Cost_Components!$R$2:$R$27,MATCH(E679,Cost_Components!$A$2:$A$27,0)),"")</f>
        <v>1</v>
      </c>
      <c r="U679" s="24">
        <f>IFERROR(INDEX(Cost_Components!$Q$2:$Q$27,MATCH(E679,Cost_Components!$A$2:$A$27,0)),"")</f>
        <v>2023</v>
      </c>
      <c r="V679" s="28">
        <f>1/(1+Calculation_Assumptions!$B$5)^(B679-Calculation_Assumptions!$B$2)</f>
        <v>0.970873786407767</v>
      </c>
      <c r="W679" s="21">
        <f t="shared" si="106"/>
        <v>11981584.851554407</v>
      </c>
      <c r="X679" s="21">
        <f t="shared" si="107"/>
        <v>13446379.119835356</v>
      </c>
      <c r="Y679" s="21">
        <f t="shared" si="108"/>
        <v>1464794.2682809494</v>
      </c>
      <c r="Z679" s="15">
        <f>IFERROR(INDEX(Cost_Components!$T$2:$T$27,MATCH(E679,Cost_Components!$A$2:$A$27,0)),"")</f>
        <v>0.8</v>
      </c>
      <c r="AA679" s="24">
        <f>IFERROR(INDEX(Cost_Components!$U$2:$U$27,MATCH(E679,Cost_Components!$A$2:$A$27,0)),"")</f>
        <v>2025</v>
      </c>
      <c r="AB679" s="24">
        <f>IFERROR(INDEX(Cost_Components!$V$2:$V$27,MATCH(E679,Cost_Components!$A$2:$A$27,0)),"")</f>
        <v>2050</v>
      </c>
      <c r="AC679" s="24">
        <f>IFERROR(INDEX(Cost_Components!$M$2:$M$27,MATCH(E679,Cost_Components!$A$2:$A$27,0)),"")</f>
        <v>30</v>
      </c>
      <c r="AD679" s="24">
        <f>IFERROR(INDEX(Cost_Components!$N$2:$N$27,MATCH(E679,Cost_Components!$A$2:$A$27,0)),"")</f>
        <v>95</v>
      </c>
      <c r="AE679" s="14" t="str">
        <f>IFERROR(INDEX(Cost_Components!$O$2:$O$27,MATCH(E679,Cost_Components!$A$2:$A$27,0)),"")</f>
        <v>Both</v>
      </c>
      <c r="AF679" s="11">
        <v>154203716.95218301</v>
      </c>
      <c r="AG679" s="11">
        <v>154112244.83321401</v>
      </c>
      <c r="AH679" s="21">
        <f t="shared" si="109"/>
        <v>1</v>
      </c>
    </row>
    <row r="680" spans="1:34" hidden="1">
      <c r="A680" t="s">
        <v>75</v>
      </c>
      <c r="B680" s="18">
        <v>2027</v>
      </c>
      <c r="C680" t="s">
        <v>159</v>
      </c>
      <c r="E680" s="20" t="s">
        <v>257</v>
      </c>
      <c r="F680" s="20" t="s">
        <v>258</v>
      </c>
      <c r="G680" s="20" t="s">
        <v>168</v>
      </c>
      <c r="H680" s="20" t="s">
        <v>169</v>
      </c>
      <c r="I680" s="20" t="s">
        <v>75</v>
      </c>
      <c r="J680" s="15">
        <f>IFERROR(INDEX(Cost_Components!$K$2:$K$27,MATCH(E680,Cost_Components!$A$2:$A$27,0)),"")</f>
        <v>0.2</v>
      </c>
      <c r="K680" s="15">
        <f t="shared" si="100"/>
        <v>0.36653846153846154</v>
      </c>
      <c r="L680" s="15">
        <f>IFERROR(INDEX(Cost_Components!$S$2:$S$27,MATCH(E680,Cost_Components!$A$2:$A$27,0)),"")</f>
        <v>0.31</v>
      </c>
      <c r="M680" s="26">
        <f>IFERROR(INDEX(Cost_Components!$L$2:$L$27,MATCH(E680,Cost_Components!$A$2:$A$27,0)),"")</f>
        <v>1</v>
      </c>
      <c r="N680" s="27">
        <f>IFERROR(INDEX(Cost_Components!$P$2:$P$27,MATCH(E680,Cost_Components!$A$2:$A$27,0)),"")</f>
        <v>1.2915840000000001</v>
      </c>
      <c r="O680" s="21">
        <f t="shared" si="101"/>
        <v>31314462.928006399</v>
      </c>
      <c r="P680" s="21">
        <f t="shared" si="102"/>
        <v>31291305.832373202</v>
      </c>
      <c r="Q680" s="21">
        <f t="shared" si="103"/>
        <v>12528758.485181972</v>
      </c>
      <c r="R680" s="21">
        <f t="shared" si="104"/>
        <v>14824743.11536351</v>
      </c>
      <c r="S680" s="21">
        <f t="shared" si="105"/>
        <v>2295984.6301815379</v>
      </c>
      <c r="T680" s="14">
        <f>IFERROR(INDEX(Cost_Components!$R$2:$R$27,MATCH(E680,Cost_Components!$A$2:$A$27,0)),"")</f>
        <v>1</v>
      </c>
      <c r="U680" s="24">
        <f>IFERROR(INDEX(Cost_Components!$Q$2:$Q$27,MATCH(E680,Cost_Components!$A$2:$A$27,0)),"")</f>
        <v>2023</v>
      </c>
      <c r="V680" s="28">
        <f>1/(1+Calculation_Assumptions!$B$5)^(B680-Calculation_Assumptions!$B$2)</f>
        <v>0.94259590913375435</v>
      </c>
      <c r="W680" s="21">
        <f t="shared" si="106"/>
        <v>11809556.49465734</v>
      </c>
      <c r="X680" s="21">
        <f t="shared" si="107"/>
        <v>13973742.214500435</v>
      </c>
      <c r="Y680" s="21">
        <f t="shared" si="108"/>
        <v>2164185.7198430933</v>
      </c>
      <c r="Z680" s="15">
        <f>IFERROR(INDEX(Cost_Components!$T$2:$T$27,MATCH(E680,Cost_Components!$A$2:$A$27,0)),"")</f>
        <v>0.8</v>
      </c>
      <c r="AA680" s="24">
        <f>IFERROR(INDEX(Cost_Components!$U$2:$U$27,MATCH(E680,Cost_Components!$A$2:$A$27,0)),"")</f>
        <v>2025</v>
      </c>
      <c r="AB680" s="24">
        <f>IFERROR(INDEX(Cost_Components!$V$2:$V$27,MATCH(E680,Cost_Components!$A$2:$A$27,0)),"")</f>
        <v>2050</v>
      </c>
      <c r="AC680" s="24">
        <f>IFERROR(INDEX(Cost_Components!$M$2:$M$27,MATCH(E680,Cost_Components!$A$2:$A$27,0)),"")</f>
        <v>30</v>
      </c>
      <c r="AD680" s="24">
        <f>IFERROR(INDEX(Cost_Components!$N$2:$N$27,MATCH(E680,Cost_Components!$A$2:$A$27,0)),"")</f>
        <v>95</v>
      </c>
      <c r="AE680" s="14" t="str">
        <f>IFERROR(INDEX(Cost_Components!$O$2:$O$27,MATCH(E680,Cost_Components!$A$2:$A$27,0)),"")</f>
        <v>Both</v>
      </c>
      <c r="AF680" s="11">
        <v>156572314.64003199</v>
      </c>
      <c r="AG680" s="11">
        <v>156456529.16186601</v>
      </c>
      <c r="AH680" s="21">
        <f t="shared" si="109"/>
        <v>1</v>
      </c>
    </row>
    <row r="681" spans="1:34" hidden="1">
      <c r="A681" t="s">
        <v>75</v>
      </c>
      <c r="B681" s="18">
        <v>2028</v>
      </c>
      <c r="C681" t="s">
        <v>159</v>
      </c>
      <c r="E681" s="20" t="s">
        <v>257</v>
      </c>
      <c r="F681" s="20" t="s">
        <v>258</v>
      </c>
      <c r="G681" s="20" t="s">
        <v>168</v>
      </c>
      <c r="H681" s="20" t="s">
        <v>169</v>
      </c>
      <c r="I681" s="20" t="s">
        <v>75</v>
      </c>
      <c r="J681" s="15">
        <f>IFERROR(INDEX(Cost_Components!$K$2:$K$27,MATCH(E681,Cost_Components!$A$2:$A$27,0)),"")</f>
        <v>0.2</v>
      </c>
      <c r="K681" s="15">
        <f t="shared" si="100"/>
        <v>0.38538461538461538</v>
      </c>
      <c r="L681" s="15">
        <f>IFERROR(INDEX(Cost_Components!$S$2:$S$27,MATCH(E681,Cost_Components!$A$2:$A$27,0)),"")</f>
        <v>0.31</v>
      </c>
      <c r="M681" s="26">
        <f>IFERROR(INDEX(Cost_Components!$L$2:$L$27,MATCH(E681,Cost_Components!$A$2:$A$27,0)),"")</f>
        <v>1</v>
      </c>
      <c r="N681" s="27">
        <f>IFERROR(INDEX(Cost_Components!$P$2:$P$27,MATCH(E681,Cost_Components!$A$2:$A$27,0)),"")</f>
        <v>1.2915840000000001</v>
      </c>
      <c r="O681" s="21">
        <f t="shared" si="101"/>
        <v>31774298.356952399</v>
      </c>
      <c r="P681" s="21">
        <f t="shared" si="102"/>
        <v>31744833.855216004</v>
      </c>
      <c r="Q681" s="21">
        <f t="shared" si="103"/>
        <v>12710347.041917145</v>
      </c>
      <c r="R681" s="21">
        <f t="shared" si="104"/>
        <v>15815866.815309286</v>
      </c>
      <c r="S681" s="21">
        <f t="shared" si="105"/>
        <v>3105519.7733921409</v>
      </c>
      <c r="T681" s="14">
        <f>IFERROR(INDEX(Cost_Components!$R$2:$R$27,MATCH(E681,Cost_Components!$A$2:$A$27,0)),"")</f>
        <v>1</v>
      </c>
      <c r="U681" s="24">
        <f>IFERROR(INDEX(Cost_Components!$Q$2:$Q$27,MATCH(E681,Cost_Components!$A$2:$A$27,0)),"")</f>
        <v>2023</v>
      </c>
      <c r="V681" s="28">
        <f>1/(1+Calculation_Assumptions!$B$5)^(B681-Calculation_Assumptions!$B$2)</f>
        <v>0.91514165935315961</v>
      </c>
      <c r="W681" s="21">
        <f t="shared" si="106"/>
        <v>11631768.08289458</v>
      </c>
      <c r="X681" s="21">
        <f t="shared" si="107"/>
        <v>14473758.601470713</v>
      </c>
      <c r="Y681" s="21">
        <f t="shared" si="108"/>
        <v>2841990.5185761321</v>
      </c>
      <c r="Z681" s="15">
        <f>IFERROR(INDEX(Cost_Components!$T$2:$T$27,MATCH(E681,Cost_Components!$A$2:$A$27,0)),"")</f>
        <v>0.8</v>
      </c>
      <c r="AA681" s="24">
        <f>IFERROR(INDEX(Cost_Components!$U$2:$U$27,MATCH(E681,Cost_Components!$A$2:$A$27,0)),"")</f>
        <v>2025</v>
      </c>
      <c r="AB681" s="24">
        <f>IFERROR(INDEX(Cost_Components!$V$2:$V$27,MATCH(E681,Cost_Components!$A$2:$A$27,0)),"")</f>
        <v>2050</v>
      </c>
      <c r="AC681" s="24">
        <f>IFERROR(INDEX(Cost_Components!$M$2:$M$27,MATCH(E681,Cost_Components!$A$2:$A$27,0)),"")</f>
        <v>30</v>
      </c>
      <c r="AD681" s="24">
        <f>IFERROR(INDEX(Cost_Components!$N$2:$N$27,MATCH(E681,Cost_Components!$A$2:$A$27,0)),"")</f>
        <v>95</v>
      </c>
      <c r="AE681" s="14" t="str">
        <f>IFERROR(INDEX(Cost_Components!$O$2:$O$27,MATCH(E681,Cost_Components!$A$2:$A$27,0)),"")</f>
        <v>Both</v>
      </c>
      <c r="AF681" s="11">
        <v>158871491.784762</v>
      </c>
      <c r="AG681" s="11">
        <v>158724169.27608001</v>
      </c>
      <c r="AH681" s="21">
        <f t="shared" si="109"/>
        <v>1</v>
      </c>
    </row>
    <row r="682" spans="1:34" hidden="1">
      <c r="A682" t="s">
        <v>75</v>
      </c>
      <c r="B682" s="18">
        <v>2029</v>
      </c>
      <c r="C682" t="s">
        <v>159</v>
      </c>
      <c r="E682" s="20" t="s">
        <v>257</v>
      </c>
      <c r="F682" s="20" t="s">
        <v>258</v>
      </c>
      <c r="G682" s="20" t="s">
        <v>168</v>
      </c>
      <c r="H682" s="20" t="s">
        <v>169</v>
      </c>
      <c r="I682" s="20" t="s">
        <v>75</v>
      </c>
      <c r="J682" s="15">
        <f>IFERROR(INDEX(Cost_Components!$K$2:$K$27,MATCH(E682,Cost_Components!$A$2:$A$27,0)),"")</f>
        <v>0.2</v>
      </c>
      <c r="K682" s="15">
        <f t="shared" si="100"/>
        <v>0.40423076923076923</v>
      </c>
      <c r="L682" s="15">
        <f>IFERROR(INDEX(Cost_Components!$S$2:$S$27,MATCH(E682,Cost_Components!$A$2:$A$27,0)),"")</f>
        <v>0.31</v>
      </c>
      <c r="M682" s="26">
        <f>IFERROR(INDEX(Cost_Components!$L$2:$L$27,MATCH(E682,Cost_Components!$A$2:$A$27,0)),"")</f>
        <v>1</v>
      </c>
      <c r="N682" s="27">
        <f>IFERROR(INDEX(Cost_Components!$P$2:$P$27,MATCH(E682,Cost_Components!$A$2:$A$27,0)),"")</f>
        <v>1.2915840000000001</v>
      </c>
      <c r="O682" s="21">
        <f t="shared" si="101"/>
        <v>32188111.883227006</v>
      </c>
      <c r="P682" s="21">
        <f t="shared" si="102"/>
        <v>32180195.183009401</v>
      </c>
      <c r="Q682" s="21">
        <f t="shared" si="103"/>
        <v>12884661.816728126</v>
      </c>
      <c r="R682" s="21">
        <f t="shared" si="104"/>
        <v>16805348.639928363</v>
      </c>
      <c r="S682" s="21">
        <f t="shared" si="105"/>
        <v>3920686.823200237</v>
      </c>
      <c r="T682" s="14">
        <f>IFERROR(INDEX(Cost_Components!$R$2:$R$27,MATCH(E682,Cost_Components!$A$2:$A$27,0)),"")</f>
        <v>1</v>
      </c>
      <c r="U682" s="24">
        <f>IFERROR(INDEX(Cost_Components!$Q$2:$Q$27,MATCH(E682,Cost_Components!$A$2:$A$27,0)),"")</f>
        <v>2023</v>
      </c>
      <c r="V682" s="28">
        <f>1/(1+Calculation_Assumptions!$B$5)^(B682-Calculation_Assumptions!$B$2)</f>
        <v>0.888487047915689</v>
      </c>
      <c r="W682" s="21">
        <f t="shared" si="106"/>
        <v>11447855.140936771</v>
      </c>
      <c r="X682" s="21">
        <f t="shared" si="107"/>
        <v>14931334.602283891</v>
      </c>
      <c r="Y682" s="21">
        <f t="shared" si="108"/>
        <v>3483479.4613471194</v>
      </c>
      <c r="Z682" s="15">
        <f>IFERROR(INDEX(Cost_Components!$T$2:$T$27,MATCH(E682,Cost_Components!$A$2:$A$27,0)),"")</f>
        <v>0.8</v>
      </c>
      <c r="AA682" s="24">
        <f>IFERROR(INDEX(Cost_Components!$U$2:$U$27,MATCH(E682,Cost_Components!$A$2:$A$27,0)),"")</f>
        <v>2025</v>
      </c>
      <c r="AB682" s="24">
        <f>IFERROR(INDEX(Cost_Components!$V$2:$V$27,MATCH(E682,Cost_Components!$A$2:$A$27,0)),"")</f>
        <v>2050</v>
      </c>
      <c r="AC682" s="24">
        <f>IFERROR(INDEX(Cost_Components!$M$2:$M$27,MATCH(E682,Cost_Components!$A$2:$A$27,0)),"")</f>
        <v>30</v>
      </c>
      <c r="AD682" s="24">
        <f>IFERROR(INDEX(Cost_Components!$N$2:$N$27,MATCH(E682,Cost_Components!$A$2:$A$27,0)),"")</f>
        <v>95</v>
      </c>
      <c r="AE682" s="14" t="str">
        <f>IFERROR(INDEX(Cost_Components!$O$2:$O$27,MATCH(E682,Cost_Components!$A$2:$A$27,0)),"")</f>
        <v>Both</v>
      </c>
      <c r="AF682" s="11">
        <v>160940559.41613501</v>
      </c>
      <c r="AG682" s="11">
        <v>160900975.91504699</v>
      </c>
      <c r="AH682" s="21">
        <f t="shared" si="109"/>
        <v>1</v>
      </c>
    </row>
    <row r="683" spans="1:34" hidden="1">
      <c r="A683" t="s">
        <v>75</v>
      </c>
      <c r="B683" s="18">
        <v>2030</v>
      </c>
      <c r="C683" t="s">
        <v>159</v>
      </c>
      <c r="E683" s="20" t="s">
        <v>257</v>
      </c>
      <c r="F683" s="20" t="s">
        <v>258</v>
      </c>
      <c r="G683" s="20" t="s">
        <v>168</v>
      </c>
      <c r="H683" s="20" t="s">
        <v>169</v>
      </c>
      <c r="I683" s="20" t="s">
        <v>75</v>
      </c>
      <c r="J683" s="15">
        <f>IFERROR(INDEX(Cost_Components!$K$2:$K$27,MATCH(E683,Cost_Components!$A$2:$A$27,0)),"")</f>
        <v>0.2</v>
      </c>
      <c r="K683" s="15">
        <f t="shared" si="100"/>
        <v>0.42307692307692307</v>
      </c>
      <c r="L683" s="15">
        <f>IFERROR(INDEX(Cost_Components!$S$2:$S$27,MATCH(E683,Cost_Components!$A$2:$A$27,0)),"")</f>
        <v>0.31</v>
      </c>
      <c r="M683" s="26">
        <f>IFERROR(INDEX(Cost_Components!$L$2:$L$27,MATCH(E683,Cost_Components!$A$2:$A$27,0)),"")</f>
        <v>1</v>
      </c>
      <c r="N683" s="27">
        <f>IFERROR(INDEX(Cost_Components!$P$2:$P$27,MATCH(E683,Cost_Components!$A$2:$A$27,0)),"")</f>
        <v>1.2915840000000001</v>
      </c>
      <c r="O683" s="21">
        <f t="shared" si="101"/>
        <v>32600811.790081799</v>
      </c>
      <c r="P683" s="21">
        <f t="shared" si="102"/>
        <v>32587893.160495803</v>
      </c>
      <c r="Q683" s="21">
        <f t="shared" si="103"/>
        <v>13047900.433939803</v>
      </c>
      <c r="R683" s="21">
        <f t="shared" si="104"/>
        <v>17814367.532534275</v>
      </c>
      <c r="S683" s="21">
        <f t="shared" si="105"/>
        <v>4766467.0985944718</v>
      </c>
      <c r="T683" s="14">
        <f>IFERROR(INDEX(Cost_Components!$R$2:$R$27,MATCH(E683,Cost_Components!$A$2:$A$27,0)),"")</f>
        <v>1</v>
      </c>
      <c r="U683" s="24">
        <f>IFERROR(INDEX(Cost_Components!$Q$2:$Q$27,MATCH(E683,Cost_Components!$A$2:$A$27,0)),"")</f>
        <v>2023</v>
      </c>
      <c r="V683" s="28">
        <f>1/(1+Calculation_Assumptions!$B$5)^(B683-Calculation_Assumptions!$B$2)</f>
        <v>0.86260878438416411</v>
      </c>
      <c r="W683" s="21">
        <f t="shared" si="106"/>
        <v>11255233.532086421</v>
      </c>
      <c r="X683" s="21">
        <f t="shared" si="107"/>
        <v>15366829.921812112</v>
      </c>
      <c r="Y683" s="21">
        <f t="shared" si="108"/>
        <v>4111596.3897256912</v>
      </c>
      <c r="Z683" s="15">
        <f>IFERROR(INDEX(Cost_Components!$T$2:$T$27,MATCH(E683,Cost_Components!$A$2:$A$27,0)),"")</f>
        <v>0.8</v>
      </c>
      <c r="AA683" s="24">
        <f>IFERROR(INDEX(Cost_Components!$U$2:$U$27,MATCH(E683,Cost_Components!$A$2:$A$27,0)),"")</f>
        <v>2025</v>
      </c>
      <c r="AB683" s="24">
        <f>IFERROR(INDEX(Cost_Components!$V$2:$V$27,MATCH(E683,Cost_Components!$A$2:$A$27,0)),"")</f>
        <v>2050</v>
      </c>
      <c r="AC683" s="24">
        <f>IFERROR(INDEX(Cost_Components!$M$2:$M$27,MATCH(E683,Cost_Components!$A$2:$A$27,0)),"")</f>
        <v>30</v>
      </c>
      <c r="AD683" s="24">
        <f>IFERROR(INDEX(Cost_Components!$N$2:$N$27,MATCH(E683,Cost_Components!$A$2:$A$27,0)),"")</f>
        <v>95</v>
      </c>
      <c r="AE683" s="14" t="str">
        <f>IFERROR(INDEX(Cost_Components!$O$2:$O$27,MATCH(E683,Cost_Components!$A$2:$A$27,0)),"")</f>
        <v>Both</v>
      </c>
      <c r="AF683" s="11">
        <v>163004058.950409</v>
      </c>
      <c r="AG683" s="11">
        <v>162939465.802479</v>
      </c>
      <c r="AH683" s="21">
        <f t="shared" si="109"/>
        <v>1</v>
      </c>
    </row>
    <row r="684" spans="1:34" hidden="1">
      <c r="A684" t="s">
        <v>75</v>
      </c>
      <c r="B684" s="18">
        <v>2031</v>
      </c>
      <c r="C684" t="s">
        <v>159</v>
      </c>
      <c r="E684" s="20" t="s">
        <v>257</v>
      </c>
      <c r="F684" s="20" t="s">
        <v>258</v>
      </c>
      <c r="G684" s="20" t="s">
        <v>168</v>
      </c>
      <c r="H684" s="20" t="s">
        <v>169</v>
      </c>
      <c r="I684" s="20" t="s">
        <v>75</v>
      </c>
      <c r="J684" s="15">
        <f>IFERROR(INDEX(Cost_Components!$K$2:$K$27,MATCH(E684,Cost_Components!$A$2:$A$27,0)),"")</f>
        <v>0.2</v>
      </c>
      <c r="K684" s="15">
        <f t="shared" si="100"/>
        <v>0.44192307692307692</v>
      </c>
      <c r="L684" s="15">
        <f>IFERROR(INDEX(Cost_Components!$S$2:$S$27,MATCH(E684,Cost_Components!$A$2:$A$27,0)),"")</f>
        <v>0.31</v>
      </c>
      <c r="M684" s="26">
        <f>IFERROR(INDEX(Cost_Components!$L$2:$L$27,MATCH(E684,Cost_Components!$A$2:$A$27,0)),"")</f>
        <v>1</v>
      </c>
      <c r="N684" s="27">
        <f>IFERROR(INDEX(Cost_Components!$P$2:$P$27,MATCH(E684,Cost_Components!$A$2:$A$27,0)),"")</f>
        <v>1.2915840000000001</v>
      </c>
      <c r="O684" s="21">
        <f t="shared" si="101"/>
        <v>32999289.042807605</v>
      </c>
      <c r="P684" s="21">
        <f t="shared" si="102"/>
        <v>32979884.357487202</v>
      </c>
      <c r="Q684" s="21">
        <f t="shared" si="103"/>
        <v>13204850.196974032</v>
      </c>
      <c r="R684" s="21">
        <f t="shared" si="104"/>
        <v>18835359.786994766</v>
      </c>
      <c r="S684" s="21">
        <f t="shared" si="105"/>
        <v>5630509.5900207348</v>
      </c>
      <c r="T684" s="14">
        <f>IFERROR(INDEX(Cost_Components!$R$2:$R$27,MATCH(E684,Cost_Components!$A$2:$A$27,0)),"")</f>
        <v>1</v>
      </c>
      <c r="U684" s="24">
        <f>IFERROR(INDEX(Cost_Components!$Q$2:$Q$27,MATCH(E684,Cost_Components!$A$2:$A$27,0)),"")</f>
        <v>2023</v>
      </c>
      <c r="V684" s="28">
        <f>1/(1+Calculation_Assumptions!$B$5)^(B684-Calculation_Assumptions!$B$2)</f>
        <v>0.83748425668365445</v>
      </c>
      <c r="W684" s="21">
        <f t="shared" si="106"/>
        <v>11058854.151831806</v>
      </c>
      <c r="X684" s="21">
        <f t="shared" si="107"/>
        <v>15774317.290580507</v>
      </c>
      <c r="Y684" s="21">
        <f t="shared" si="108"/>
        <v>4715463.1387487026</v>
      </c>
      <c r="Z684" s="15">
        <f>IFERROR(INDEX(Cost_Components!$T$2:$T$27,MATCH(E684,Cost_Components!$A$2:$A$27,0)),"")</f>
        <v>0.8</v>
      </c>
      <c r="AA684" s="24">
        <f>IFERROR(INDEX(Cost_Components!$U$2:$U$27,MATCH(E684,Cost_Components!$A$2:$A$27,0)),"")</f>
        <v>2025</v>
      </c>
      <c r="AB684" s="24">
        <f>IFERROR(INDEX(Cost_Components!$V$2:$V$27,MATCH(E684,Cost_Components!$A$2:$A$27,0)),"")</f>
        <v>2050</v>
      </c>
      <c r="AC684" s="24">
        <f>IFERROR(INDEX(Cost_Components!$M$2:$M$27,MATCH(E684,Cost_Components!$A$2:$A$27,0)),"")</f>
        <v>30</v>
      </c>
      <c r="AD684" s="24">
        <f>IFERROR(INDEX(Cost_Components!$N$2:$N$27,MATCH(E684,Cost_Components!$A$2:$A$27,0)),"")</f>
        <v>95</v>
      </c>
      <c r="AE684" s="14" t="str">
        <f>IFERROR(INDEX(Cost_Components!$O$2:$O$27,MATCH(E684,Cost_Components!$A$2:$A$27,0)),"")</f>
        <v>Both</v>
      </c>
      <c r="AF684" s="11">
        <v>164996445.21403801</v>
      </c>
      <c r="AG684" s="11">
        <v>164899421.78743601</v>
      </c>
      <c r="AH684" s="21">
        <f t="shared" si="109"/>
        <v>1</v>
      </c>
    </row>
    <row r="685" spans="1:34" hidden="1">
      <c r="A685" t="s">
        <v>75</v>
      </c>
      <c r="B685" s="18">
        <v>2032</v>
      </c>
      <c r="C685" t="s">
        <v>159</v>
      </c>
      <c r="E685" s="20" t="s">
        <v>257</v>
      </c>
      <c r="F685" s="20" t="s">
        <v>258</v>
      </c>
      <c r="G685" s="20" t="s">
        <v>168</v>
      </c>
      <c r="H685" s="20" t="s">
        <v>169</v>
      </c>
      <c r="I685" s="20" t="s">
        <v>75</v>
      </c>
      <c r="J685" s="15">
        <f>IFERROR(INDEX(Cost_Components!$K$2:$K$27,MATCH(E685,Cost_Components!$A$2:$A$27,0)),"")</f>
        <v>0.2</v>
      </c>
      <c r="K685" s="15">
        <f t="shared" si="100"/>
        <v>0.46076923076923082</v>
      </c>
      <c r="L685" s="15">
        <f>IFERROR(INDEX(Cost_Components!$S$2:$S$27,MATCH(E685,Cost_Components!$A$2:$A$27,0)),"")</f>
        <v>0.31</v>
      </c>
      <c r="M685" s="26">
        <f>IFERROR(INDEX(Cost_Components!$L$2:$L$27,MATCH(E685,Cost_Components!$A$2:$A$27,0)),"")</f>
        <v>1</v>
      </c>
      <c r="N685" s="27">
        <f>IFERROR(INDEX(Cost_Components!$P$2:$P$27,MATCH(E685,Cost_Components!$A$2:$A$27,0)),"")</f>
        <v>1.2915840000000001</v>
      </c>
      <c r="O685" s="21">
        <f t="shared" si="101"/>
        <v>33387988.875048801</v>
      </c>
      <c r="P685" s="21">
        <f t="shared" si="102"/>
        <v>33360510.2375402</v>
      </c>
      <c r="Q685" s="21">
        <f t="shared" si="103"/>
        <v>13357249.388939369</v>
      </c>
      <c r="R685" s="21">
        <f t="shared" si="104"/>
        <v>19869932.262839563</v>
      </c>
      <c r="S685" s="21">
        <f t="shared" si="105"/>
        <v>6512682.8739001937</v>
      </c>
      <c r="T685" s="14">
        <f>IFERROR(INDEX(Cost_Components!$R$2:$R$27,MATCH(E685,Cost_Components!$A$2:$A$27,0)),"")</f>
        <v>1</v>
      </c>
      <c r="U685" s="24">
        <f>IFERROR(INDEX(Cost_Components!$Q$2:$Q$27,MATCH(E685,Cost_Components!$A$2:$A$27,0)),"")</f>
        <v>2023</v>
      </c>
      <c r="V685" s="28">
        <f>1/(1+Calculation_Assumptions!$B$5)^(B685-Calculation_Assumptions!$B$2)</f>
        <v>0.81309151134335378</v>
      </c>
      <c r="W685" s="21">
        <f t="shared" si="106"/>
        <v>10860666.0930428</v>
      </c>
      <c r="X685" s="21">
        <f t="shared" si="107"/>
        <v>16156073.253882285</v>
      </c>
      <c r="Y685" s="21">
        <f t="shared" si="108"/>
        <v>5295407.160839485</v>
      </c>
      <c r="Z685" s="15">
        <f>IFERROR(INDEX(Cost_Components!$T$2:$T$27,MATCH(E685,Cost_Components!$A$2:$A$27,0)),"")</f>
        <v>0.8</v>
      </c>
      <c r="AA685" s="24">
        <f>IFERROR(INDEX(Cost_Components!$U$2:$U$27,MATCH(E685,Cost_Components!$A$2:$A$27,0)),"")</f>
        <v>2025</v>
      </c>
      <c r="AB685" s="24">
        <f>IFERROR(INDEX(Cost_Components!$V$2:$V$27,MATCH(E685,Cost_Components!$A$2:$A$27,0)),"")</f>
        <v>2050</v>
      </c>
      <c r="AC685" s="24">
        <f>IFERROR(INDEX(Cost_Components!$M$2:$M$27,MATCH(E685,Cost_Components!$A$2:$A$27,0)),"")</f>
        <v>30</v>
      </c>
      <c r="AD685" s="24">
        <f>IFERROR(INDEX(Cost_Components!$N$2:$N$27,MATCH(E685,Cost_Components!$A$2:$A$27,0)),"")</f>
        <v>95</v>
      </c>
      <c r="AE685" s="14" t="str">
        <f>IFERROR(INDEX(Cost_Components!$O$2:$O$27,MATCH(E685,Cost_Components!$A$2:$A$27,0)),"")</f>
        <v>Both</v>
      </c>
      <c r="AF685" s="11">
        <v>166939944.37524399</v>
      </c>
      <c r="AG685" s="11">
        <v>166802551.18770099</v>
      </c>
      <c r="AH685" s="21">
        <f t="shared" si="109"/>
        <v>1</v>
      </c>
    </row>
    <row r="686" spans="1:34" hidden="1">
      <c r="A686" t="s">
        <v>75</v>
      </c>
      <c r="B686" s="18">
        <v>2033</v>
      </c>
      <c r="C686" t="s">
        <v>159</v>
      </c>
      <c r="E686" s="20" t="s">
        <v>257</v>
      </c>
      <c r="F686" s="20" t="s">
        <v>258</v>
      </c>
      <c r="G686" s="20" t="s">
        <v>168</v>
      </c>
      <c r="H686" s="20" t="s">
        <v>169</v>
      </c>
      <c r="I686" s="20" t="s">
        <v>75</v>
      </c>
      <c r="J686" s="15">
        <f>IFERROR(INDEX(Cost_Components!$K$2:$K$27,MATCH(E686,Cost_Components!$A$2:$A$27,0)),"")</f>
        <v>0.2</v>
      </c>
      <c r="K686" s="15">
        <f t="shared" si="100"/>
        <v>0.47961538461538467</v>
      </c>
      <c r="L686" s="15">
        <f>IFERROR(INDEX(Cost_Components!$S$2:$S$27,MATCH(E686,Cost_Components!$A$2:$A$27,0)),"")</f>
        <v>0.31</v>
      </c>
      <c r="M686" s="26">
        <f>IFERROR(INDEX(Cost_Components!$L$2:$L$27,MATCH(E686,Cost_Components!$A$2:$A$27,0)),"")</f>
        <v>1</v>
      </c>
      <c r="N686" s="27">
        <f>IFERROR(INDEX(Cost_Components!$P$2:$P$27,MATCH(E686,Cost_Components!$A$2:$A$27,0)),"")</f>
        <v>1.2915840000000001</v>
      </c>
      <c r="O686" s="21">
        <f t="shared" si="101"/>
        <v>33750878.432765804</v>
      </c>
      <c r="P686" s="21">
        <f t="shared" si="102"/>
        <v>33729989.571725801</v>
      </c>
      <c r="Q686" s="21">
        <f t="shared" si="103"/>
        <v>13505185.603812449</v>
      </c>
      <c r="R686" s="21">
        <f t="shared" si="104"/>
        <v>20907439.203239474</v>
      </c>
      <c r="S686" s="21">
        <f t="shared" si="105"/>
        <v>7402253.5994270258</v>
      </c>
      <c r="T686" s="14">
        <f>IFERROR(INDEX(Cost_Components!$R$2:$R$27,MATCH(E686,Cost_Components!$A$2:$A$27,0)),"")</f>
        <v>1</v>
      </c>
      <c r="U686" s="24">
        <f>IFERROR(INDEX(Cost_Components!$Q$2:$Q$27,MATCH(E686,Cost_Components!$A$2:$A$27,0)),"")</f>
        <v>2023</v>
      </c>
      <c r="V686" s="28">
        <f>1/(1+Calculation_Assumptions!$B$5)^(B686-Calculation_Assumptions!$B$2)</f>
        <v>0.78940923431393573</v>
      </c>
      <c r="W686" s="21">
        <f t="shared" si="106"/>
        <v>10661118.226773173</v>
      </c>
      <c r="X686" s="21">
        <f t="shared" si="107"/>
        <v>16504525.572894435</v>
      </c>
      <c r="Y686" s="21">
        <f t="shared" si="108"/>
        <v>5843407.3461212628</v>
      </c>
      <c r="Z686" s="15">
        <f>IFERROR(INDEX(Cost_Components!$T$2:$T$27,MATCH(E686,Cost_Components!$A$2:$A$27,0)),"")</f>
        <v>0.8</v>
      </c>
      <c r="AA686" s="24">
        <f>IFERROR(INDEX(Cost_Components!$U$2:$U$27,MATCH(E686,Cost_Components!$A$2:$A$27,0)),"")</f>
        <v>2025</v>
      </c>
      <c r="AB686" s="24">
        <f>IFERROR(INDEX(Cost_Components!$V$2:$V$27,MATCH(E686,Cost_Components!$A$2:$A$27,0)),"")</f>
        <v>2050</v>
      </c>
      <c r="AC686" s="24">
        <f>IFERROR(INDEX(Cost_Components!$M$2:$M$27,MATCH(E686,Cost_Components!$A$2:$A$27,0)),"")</f>
        <v>30</v>
      </c>
      <c r="AD686" s="24">
        <f>IFERROR(INDEX(Cost_Components!$N$2:$N$27,MATCH(E686,Cost_Components!$A$2:$A$27,0)),"")</f>
        <v>95</v>
      </c>
      <c r="AE686" s="14" t="str">
        <f>IFERROR(INDEX(Cost_Components!$O$2:$O$27,MATCH(E686,Cost_Components!$A$2:$A$27,0)),"")</f>
        <v>Both</v>
      </c>
      <c r="AF686" s="11">
        <v>168754392.163829</v>
      </c>
      <c r="AG686" s="11">
        <v>168649947.85862899</v>
      </c>
      <c r="AH686" s="21">
        <f t="shared" si="109"/>
        <v>1</v>
      </c>
    </row>
    <row r="687" spans="1:34" hidden="1">
      <c r="A687" t="s">
        <v>75</v>
      </c>
      <c r="B687" s="18">
        <v>2034</v>
      </c>
      <c r="C687" t="s">
        <v>159</v>
      </c>
      <c r="E687" s="20" t="s">
        <v>257</v>
      </c>
      <c r="F687" s="20" t="s">
        <v>258</v>
      </c>
      <c r="G687" s="20" t="s">
        <v>168</v>
      </c>
      <c r="H687" s="20" t="s">
        <v>169</v>
      </c>
      <c r="I687" s="20" t="s">
        <v>75</v>
      </c>
      <c r="J687" s="15">
        <f>IFERROR(INDEX(Cost_Components!$K$2:$K$27,MATCH(E687,Cost_Components!$A$2:$A$27,0)),"")</f>
        <v>0.2</v>
      </c>
      <c r="K687" s="15">
        <f t="shared" si="100"/>
        <v>0.49846153846153851</v>
      </c>
      <c r="L687" s="15">
        <f>IFERROR(INDEX(Cost_Components!$S$2:$S$27,MATCH(E687,Cost_Components!$A$2:$A$27,0)),"")</f>
        <v>0.31</v>
      </c>
      <c r="M687" s="26">
        <f>IFERROR(INDEX(Cost_Components!$L$2:$L$27,MATCH(E687,Cost_Components!$A$2:$A$27,0)),"")</f>
        <v>1</v>
      </c>
      <c r="N687" s="27">
        <f>IFERROR(INDEX(Cost_Components!$P$2:$P$27,MATCH(E687,Cost_Components!$A$2:$A$27,0)),"")</f>
        <v>1.2915840000000001</v>
      </c>
      <c r="O687" s="21">
        <f t="shared" si="101"/>
        <v>34123865.263017602</v>
      </c>
      <c r="P687" s="21">
        <f t="shared" si="102"/>
        <v>34093103.480738997</v>
      </c>
      <c r="Q687" s="21">
        <f t="shared" si="103"/>
        <v>13650573.159480708</v>
      </c>
      <c r="R687" s="21">
        <f t="shared" si="104"/>
        <v>21969113.290716406</v>
      </c>
      <c r="S687" s="21">
        <f t="shared" si="105"/>
        <v>8318540.1312356982</v>
      </c>
      <c r="T687" s="14">
        <f>IFERROR(INDEX(Cost_Components!$R$2:$R$27,MATCH(E687,Cost_Components!$A$2:$A$27,0)),"")</f>
        <v>1</v>
      </c>
      <c r="U687" s="24">
        <f>IFERROR(INDEX(Cost_Components!$Q$2:$Q$27,MATCH(E687,Cost_Components!$A$2:$A$27,0)),"")</f>
        <v>2023</v>
      </c>
      <c r="V687" s="28">
        <f>1/(1+Calculation_Assumptions!$B$5)^(B687-Calculation_Assumptions!$B$2)</f>
        <v>0.76641673234362695</v>
      </c>
      <c r="W687" s="21">
        <f t="shared" si="106"/>
        <v>10462027.675506823</v>
      </c>
      <c r="X687" s="21">
        <f t="shared" si="107"/>
        <v>16837496.020757813</v>
      </c>
      <c r="Y687" s="21">
        <f t="shared" si="108"/>
        <v>6375468.3452509893</v>
      </c>
      <c r="Z687" s="15">
        <f>IFERROR(INDEX(Cost_Components!$T$2:$T$27,MATCH(E687,Cost_Components!$A$2:$A$27,0)),"")</f>
        <v>0.8</v>
      </c>
      <c r="AA687" s="24">
        <f>IFERROR(INDEX(Cost_Components!$U$2:$U$27,MATCH(E687,Cost_Components!$A$2:$A$27,0)),"")</f>
        <v>2025</v>
      </c>
      <c r="AB687" s="24">
        <f>IFERROR(INDEX(Cost_Components!$V$2:$V$27,MATCH(E687,Cost_Components!$A$2:$A$27,0)),"")</f>
        <v>2050</v>
      </c>
      <c r="AC687" s="24">
        <f>IFERROR(INDEX(Cost_Components!$M$2:$M$27,MATCH(E687,Cost_Components!$A$2:$A$27,0)),"")</f>
        <v>30</v>
      </c>
      <c r="AD687" s="24">
        <f>IFERROR(INDEX(Cost_Components!$N$2:$N$27,MATCH(E687,Cost_Components!$A$2:$A$27,0)),"")</f>
        <v>95</v>
      </c>
      <c r="AE687" s="14" t="str">
        <f>IFERROR(INDEX(Cost_Components!$O$2:$O$27,MATCH(E687,Cost_Components!$A$2:$A$27,0)),"")</f>
        <v>Both</v>
      </c>
      <c r="AF687" s="11">
        <v>170619326.315088</v>
      </c>
      <c r="AG687" s="11">
        <v>170465517.40369499</v>
      </c>
      <c r="AH687" s="21">
        <f t="shared" si="109"/>
        <v>1</v>
      </c>
    </row>
    <row r="688" spans="1:34" hidden="1">
      <c r="A688" t="s">
        <v>75</v>
      </c>
      <c r="B688" s="18">
        <v>2035</v>
      </c>
      <c r="C688" t="s">
        <v>159</v>
      </c>
      <c r="E688" s="20" t="s">
        <v>257</v>
      </c>
      <c r="F688" s="20" t="s">
        <v>258</v>
      </c>
      <c r="G688" s="20" t="s">
        <v>168</v>
      </c>
      <c r="H688" s="20" t="s">
        <v>169</v>
      </c>
      <c r="I688" s="20" t="s">
        <v>75</v>
      </c>
      <c r="J688" s="15">
        <f>IFERROR(INDEX(Cost_Components!$K$2:$K$27,MATCH(E688,Cost_Components!$A$2:$A$27,0)),"")</f>
        <v>0.2</v>
      </c>
      <c r="K688" s="15">
        <f t="shared" si="100"/>
        <v>0.51730769230769236</v>
      </c>
      <c r="L688" s="15">
        <f>IFERROR(INDEX(Cost_Components!$S$2:$S$27,MATCH(E688,Cost_Components!$A$2:$A$27,0)),"")</f>
        <v>0.31</v>
      </c>
      <c r="M688" s="26">
        <f>IFERROR(INDEX(Cost_Components!$L$2:$L$27,MATCH(E688,Cost_Components!$A$2:$A$27,0)),"")</f>
        <v>1</v>
      </c>
      <c r="N688" s="27">
        <f>IFERROR(INDEX(Cost_Components!$P$2:$P$27,MATCH(E688,Cost_Components!$A$2:$A$27,0)),"")</f>
        <v>1.2915840000000001</v>
      </c>
      <c r="O688" s="21">
        <f t="shared" si="101"/>
        <v>34503244.086973399</v>
      </c>
      <c r="P688" s="21">
        <f t="shared" si="102"/>
        <v>34460709.031140797</v>
      </c>
      <c r="Q688" s="21">
        <f t="shared" si="103"/>
        <v>13797759.128115857</v>
      </c>
      <c r="R688" s="21">
        <f t="shared" si="104"/>
        <v>23053216.201756008</v>
      </c>
      <c r="S688" s="21">
        <f t="shared" si="105"/>
        <v>9255457.0736401509</v>
      </c>
      <c r="T688" s="14">
        <f>IFERROR(INDEX(Cost_Components!$R$2:$R$27,MATCH(E688,Cost_Components!$A$2:$A$27,0)),"")</f>
        <v>1</v>
      </c>
      <c r="U688" s="24">
        <f>IFERROR(INDEX(Cost_Components!$Q$2:$Q$27,MATCH(E688,Cost_Components!$A$2:$A$27,0)),"")</f>
        <v>2023</v>
      </c>
      <c r="V688" s="28">
        <f>1/(1+Calculation_Assumptions!$B$5)^(B688-Calculation_Assumptions!$B$2)</f>
        <v>0.74409391489672516</v>
      </c>
      <c r="W688" s="21">
        <f t="shared" si="106"/>
        <v>10266828.606441753</v>
      </c>
      <c r="X688" s="21">
        <f t="shared" si="107"/>
        <v>17153757.894525241</v>
      </c>
      <c r="Y688" s="21">
        <f t="shared" si="108"/>
        <v>6886929.2880834872</v>
      </c>
      <c r="Z688" s="15">
        <f>IFERROR(INDEX(Cost_Components!$T$2:$T$27,MATCH(E688,Cost_Components!$A$2:$A$27,0)),"")</f>
        <v>0.8</v>
      </c>
      <c r="AA688" s="24">
        <f>IFERROR(INDEX(Cost_Components!$U$2:$U$27,MATCH(E688,Cost_Components!$A$2:$A$27,0)),"")</f>
        <v>2025</v>
      </c>
      <c r="AB688" s="24">
        <f>IFERROR(INDEX(Cost_Components!$V$2:$V$27,MATCH(E688,Cost_Components!$A$2:$A$27,0)),"")</f>
        <v>2050</v>
      </c>
      <c r="AC688" s="24">
        <f>IFERROR(INDEX(Cost_Components!$M$2:$M$27,MATCH(E688,Cost_Components!$A$2:$A$27,0)),"")</f>
        <v>30</v>
      </c>
      <c r="AD688" s="24">
        <f>IFERROR(INDEX(Cost_Components!$N$2:$N$27,MATCH(E688,Cost_Components!$A$2:$A$27,0)),"")</f>
        <v>95</v>
      </c>
      <c r="AE688" s="14" t="str">
        <f>IFERROR(INDEX(Cost_Components!$O$2:$O$27,MATCH(E688,Cost_Components!$A$2:$A$27,0)),"")</f>
        <v>Both</v>
      </c>
      <c r="AF688" s="11">
        <v>172516220.43486699</v>
      </c>
      <c r="AG688" s="11">
        <v>172303545.15570399</v>
      </c>
      <c r="AH688" s="21">
        <f t="shared" si="109"/>
        <v>1</v>
      </c>
    </row>
    <row r="689" spans="1:34" hidden="1">
      <c r="A689" t="s">
        <v>75</v>
      </c>
      <c r="B689" s="18">
        <v>2036</v>
      </c>
      <c r="C689" t="s">
        <v>159</v>
      </c>
      <c r="E689" s="20" t="s">
        <v>257</v>
      </c>
      <c r="F689" s="20" t="s">
        <v>258</v>
      </c>
      <c r="G689" s="20" t="s">
        <v>168</v>
      </c>
      <c r="H689" s="20" t="s">
        <v>169</v>
      </c>
      <c r="I689" s="20" t="s">
        <v>75</v>
      </c>
      <c r="J689" s="15">
        <f>IFERROR(INDEX(Cost_Components!$K$2:$K$27,MATCH(E689,Cost_Components!$A$2:$A$27,0)),"")</f>
        <v>0.2</v>
      </c>
      <c r="K689" s="15">
        <f t="shared" si="100"/>
        <v>0.5361538461538462</v>
      </c>
      <c r="L689" s="15">
        <f>IFERROR(INDEX(Cost_Components!$S$2:$S$27,MATCH(E689,Cost_Components!$A$2:$A$27,0)),"")</f>
        <v>0.31</v>
      </c>
      <c r="M689" s="26">
        <f>IFERROR(INDEX(Cost_Components!$L$2:$L$27,MATCH(E689,Cost_Components!$A$2:$A$27,0)),"")</f>
        <v>1</v>
      </c>
      <c r="N689" s="27">
        <f>IFERROR(INDEX(Cost_Components!$P$2:$P$27,MATCH(E689,Cost_Components!$A$2:$A$27,0)),"")</f>
        <v>1.2915840000000001</v>
      </c>
      <c r="O689" s="21">
        <f t="shared" si="101"/>
        <v>34888957.328794405</v>
      </c>
      <c r="P689" s="21">
        <f t="shared" si="102"/>
        <v>34832632.967693597</v>
      </c>
      <c r="Q689" s="21">
        <f t="shared" si="103"/>
        <v>13946674.139873127</v>
      </c>
      <c r="R689" s="21">
        <f t="shared" si="104"/>
        <v>24160174.835846048</v>
      </c>
      <c r="S689" s="21">
        <f t="shared" si="105"/>
        <v>10213500.695972921</v>
      </c>
      <c r="T689" s="14">
        <f>IFERROR(INDEX(Cost_Components!$R$2:$R$27,MATCH(E689,Cost_Components!$A$2:$A$27,0)),"")</f>
        <v>1</v>
      </c>
      <c r="U689" s="24">
        <f>IFERROR(INDEX(Cost_Components!$Q$2:$Q$27,MATCH(E689,Cost_Components!$A$2:$A$27,0)),"")</f>
        <v>2023</v>
      </c>
      <c r="V689" s="28">
        <f>1/(1+Calculation_Assumptions!$B$5)^(B689-Calculation_Assumptions!$B$2)</f>
        <v>0.72242127659876232</v>
      </c>
      <c r="W689" s="21">
        <f t="shared" si="106"/>
        <v>10075374.136434089</v>
      </c>
      <c r="X689" s="21">
        <f t="shared" si="107"/>
        <v>17453824.347761195</v>
      </c>
      <c r="Y689" s="21">
        <f t="shared" si="108"/>
        <v>7378450.2113271048</v>
      </c>
      <c r="Z689" s="15">
        <f>IFERROR(INDEX(Cost_Components!$T$2:$T$27,MATCH(E689,Cost_Components!$A$2:$A$27,0)),"")</f>
        <v>0.8</v>
      </c>
      <c r="AA689" s="24">
        <f>IFERROR(INDEX(Cost_Components!$U$2:$U$27,MATCH(E689,Cost_Components!$A$2:$A$27,0)),"")</f>
        <v>2025</v>
      </c>
      <c r="AB689" s="24">
        <f>IFERROR(INDEX(Cost_Components!$V$2:$V$27,MATCH(E689,Cost_Components!$A$2:$A$27,0)),"")</f>
        <v>2050</v>
      </c>
      <c r="AC689" s="24">
        <f>IFERROR(INDEX(Cost_Components!$M$2:$M$27,MATCH(E689,Cost_Components!$A$2:$A$27,0)),"")</f>
        <v>30</v>
      </c>
      <c r="AD689" s="24">
        <f>IFERROR(INDEX(Cost_Components!$N$2:$N$27,MATCH(E689,Cost_Components!$A$2:$A$27,0)),"")</f>
        <v>95</v>
      </c>
      <c r="AE689" s="14" t="str">
        <f>IFERROR(INDEX(Cost_Components!$O$2:$O$27,MATCH(E689,Cost_Components!$A$2:$A$27,0)),"")</f>
        <v>Both</v>
      </c>
      <c r="AF689" s="11">
        <v>174444786.64397201</v>
      </c>
      <c r="AG689" s="11">
        <v>174163164.83846799</v>
      </c>
      <c r="AH689" s="21">
        <f t="shared" si="109"/>
        <v>1</v>
      </c>
    </row>
    <row r="690" spans="1:34" hidden="1">
      <c r="A690" t="s">
        <v>75</v>
      </c>
      <c r="B690" s="18">
        <v>2037</v>
      </c>
      <c r="C690" t="s">
        <v>159</v>
      </c>
      <c r="E690" s="20" t="s">
        <v>257</v>
      </c>
      <c r="F690" s="20" t="s">
        <v>258</v>
      </c>
      <c r="G690" s="20" t="s">
        <v>168</v>
      </c>
      <c r="H690" s="20" t="s">
        <v>169</v>
      </c>
      <c r="I690" s="20" t="s">
        <v>75</v>
      </c>
      <c r="J690" s="15">
        <f>IFERROR(INDEX(Cost_Components!$K$2:$K$27,MATCH(E690,Cost_Components!$A$2:$A$27,0)),"")</f>
        <v>0.2</v>
      </c>
      <c r="K690" s="15">
        <f t="shared" si="100"/>
        <v>0.55500000000000005</v>
      </c>
      <c r="L690" s="15">
        <f>IFERROR(INDEX(Cost_Components!$S$2:$S$27,MATCH(E690,Cost_Components!$A$2:$A$27,0)),"")</f>
        <v>0.31</v>
      </c>
      <c r="M690" s="26">
        <f>IFERROR(INDEX(Cost_Components!$L$2:$L$27,MATCH(E690,Cost_Components!$A$2:$A$27,0)),"")</f>
        <v>1</v>
      </c>
      <c r="N690" s="27">
        <f>IFERROR(INDEX(Cost_Components!$P$2:$P$27,MATCH(E690,Cost_Components!$A$2:$A$27,0)),"")</f>
        <v>1.2915840000000001</v>
      </c>
      <c r="O690" s="21">
        <f t="shared" si="101"/>
        <v>35276679.464864805</v>
      </c>
      <c r="P690" s="21">
        <f t="shared" si="102"/>
        <v>35204474.329786003</v>
      </c>
      <c r="Q690" s="21">
        <f t="shared" si="103"/>
        <v>14095556.089556322</v>
      </c>
      <c r="R690" s="21">
        <f t="shared" si="104"/>
        <v>25287351.097321115</v>
      </c>
      <c r="S690" s="21">
        <f t="shared" si="105"/>
        <v>11191795.007764794</v>
      </c>
      <c r="T690" s="14">
        <f>IFERROR(INDEX(Cost_Components!$R$2:$R$27,MATCH(E690,Cost_Components!$A$2:$A$27,0)),"")</f>
        <v>1</v>
      </c>
      <c r="U690" s="24">
        <f>IFERROR(INDEX(Cost_Components!$Q$2:$Q$27,MATCH(E690,Cost_Components!$A$2:$A$27,0)),"")</f>
        <v>2023</v>
      </c>
      <c r="V690" s="28">
        <f>1/(1+Calculation_Assumptions!$B$5)^(B690-Calculation_Assumptions!$B$2)</f>
        <v>0.70137988019297326</v>
      </c>
      <c r="W690" s="21">
        <f t="shared" si="106"/>
        <v>9886339.4413463473</v>
      </c>
      <c r="X690" s="21">
        <f t="shared" si="107"/>
        <v>17736039.283036735</v>
      </c>
      <c r="Y690" s="21">
        <f t="shared" si="108"/>
        <v>7849699.8416903876</v>
      </c>
      <c r="Z690" s="15">
        <f>IFERROR(INDEX(Cost_Components!$T$2:$T$27,MATCH(E690,Cost_Components!$A$2:$A$27,0)),"")</f>
        <v>0.8</v>
      </c>
      <c r="AA690" s="24">
        <f>IFERROR(INDEX(Cost_Components!$U$2:$U$27,MATCH(E690,Cost_Components!$A$2:$A$27,0)),"")</f>
        <v>2025</v>
      </c>
      <c r="AB690" s="24">
        <f>IFERROR(INDEX(Cost_Components!$V$2:$V$27,MATCH(E690,Cost_Components!$A$2:$A$27,0)),"")</f>
        <v>2050</v>
      </c>
      <c r="AC690" s="24">
        <f>IFERROR(INDEX(Cost_Components!$M$2:$M$27,MATCH(E690,Cost_Components!$A$2:$A$27,0)),"")</f>
        <v>30</v>
      </c>
      <c r="AD690" s="24">
        <f>IFERROR(INDEX(Cost_Components!$N$2:$N$27,MATCH(E690,Cost_Components!$A$2:$A$27,0)),"")</f>
        <v>95</v>
      </c>
      <c r="AE690" s="14" t="str">
        <f>IFERROR(INDEX(Cost_Components!$O$2:$O$27,MATCH(E690,Cost_Components!$A$2:$A$27,0)),"")</f>
        <v>Both</v>
      </c>
      <c r="AF690" s="11">
        <v>176383397.32432401</v>
      </c>
      <c r="AG690" s="11">
        <v>176022371.64893001</v>
      </c>
      <c r="AH690" s="21">
        <f t="shared" si="109"/>
        <v>1</v>
      </c>
    </row>
    <row r="691" spans="1:34" hidden="1">
      <c r="A691" t="s">
        <v>75</v>
      </c>
      <c r="B691" s="18">
        <v>2038</v>
      </c>
      <c r="C691" t="s">
        <v>159</v>
      </c>
      <c r="E691" s="20" t="s">
        <v>257</v>
      </c>
      <c r="F691" s="20" t="s">
        <v>258</v>
      </c>
      <c r="G691" s="20" t="s">
        <v>168</v>
      </c>
      <c r="H691" s="20" t="s">
        <v>169</v>
      </c>
      <c r="I691" s="20" t="s">
        <v>75</v>
      </c>
      <c r="J691" s="15">
        <f>IFERROR(INDEX(Cost_Components!$K$2:$K$27,MATCH(E691,Cost_Components!$A$2:$A$27,0)),"")</f>
        <v>0.2</v>
      </c>
      <c r="K691" s="15">
        <f t="shared" si="100"/>
        <v>0.57384615384615389</v>
      </c>
      <c r="L691" s="15">
        <f>IFERROR(INDEX(Cost_Components!$S$2:$S$27,MATCH(E691,Cost_Components!$A$2:$A$27,0)),"")</f>
        <v>0.31</v>
      </c>
      <c r="M691" s="26">
        <f>IFERROR(INDEX(Cost_Components!$L$2:$L$27,MATCH(E691,Cost_Components!$A$2:$A$27,0)),"")</f>
        <v>1</v>
      </c>
      <c r="N691" s="27">
        <f>IFERROR(INDEX(Cost_Components!$P$2:$P$27,MATCH(E691,Cost_Components!$A$2:$A$27,0)),"")</f>
        <v>1.2915840000000001</v>
      </c>
      <c r="O691" s="21">
        <f t="shared" si="101"/>
        <v>35657775.789346598</v>
      </c>
      <c r="P691" s="21">
        <f t="shared" si="102"/>
        <v>35567420.313994005</v>
      </c>
      <c r="Q691" s="21">
        <f t="shared" si="103"/>
        <v>14240876.409637187</v>
      </c>
      <c r="R691" s="21">
        <f t="shared" si="104"/>
        <v>26428491.894684732</v>
      </c>
      <c r="S691" s="21">
        <f t="shared" si="105"/>
        <v>12187615.485047545</v>
      </c>
      <c r="T691" s="14">
        <f>IFERROR(INDEX(Cost_Components!$R$2:$R$27,MATCH(E691,Cost_Components!$A$2:$A$27,0)),"")</f>
        <v>1</v>
      </c>
      <c r="U691" s="24">
        <f>IFERROR(INDEX(Cost_Components!$Q$2:$Q$27,MATCH(E691,Cost_Components!$A$2:$A$27,0)),"")</f>
        <v>2023</v>
      </c>
      <c r="V691" s="28">
        <f>1/(1+Calculation_Assumptions!$B$5)^(B691-Calculation_Assumptions!$B$2)</f>
        <v>0.68095133999317792</v>
      </c>
      <c r="W691" s="21">
        <f t="shared" si="106"/>
        <v>9697343.873819679</v>
      </c>
      <c r="X691" s="21">
        <f t="shared" si="107"/>
        <v>17996516.969684411</v>
      </c>
      <c r="Y691" s="21">
        <f t="shared" si="108"/>
        <v>8299173.0958647309</v>
      </c>
      <c r="Z691" s="15">
        <f>IFERROR(INDEX(Cost_Components!$T$2:$T$27,MATCH(E691,Cost_Components!$A$2:$A$27,0)),"")</f>
        <v>0.8</v>
      </c>
      <c r="AA691" s="24">
        <f>IFERROR(INDEX(Cost_Components!$U$2:$U$27,MATCH(E691,Cost_Components!$A$2:$A$27,0)),"")</f>
        <v>2025</v>
      </c>
      <c r="AB691" s="24">
        <f>IFERROR(INDEX(Cost_Components!$V$2:$V$27,MATCH(E691,Cost_Components!$A$2:$A$27,0)),"")</f>
        <v>2050</v>
      </c>
      <c r="AC691" s="24">
        <f>IFERROR(INDEX(Cost_Components!$M$2:$M$27,MATCH(E691,Cost_Components!$A$2:$A$27,0)),"")</f>
        <v>30</v>
      </c>
      <c r="AD691" s="24">
        <f>IFERROR(INDEX(Cost_Components!$N$2:$N$27,MATCH(E691,Cost_Components!$A$2:$A$27,0)),"")</f>
        <v>95</v>
      </c>
      <c r="AE691" s="14" t="str">
        <f>IFERROR(INDEX(Cost_Components!$O$2:$O$27,MATCH(E691,Cost_Components!$A$2:$A$27,0)),"")</f>
        <v>Both</v>
      </c>
      <c r="AF691" s="11">
        <v>178288878.946733</v>
      </c>
      <c r="AG691" s="11">
        <v>177837101.56997001</v>
      </c>
      <c r="AH691" s="21">
        <f t="shared" si="109"/>
        <v>1</v>
      </c>
    </row>
    <row r="692" spans="1:34" hidden="1">
      <c r="A692" t="s">
        <v>75</v>
      </c>
      <c r="B692" s="18">
        <v>2039</v>
      </c>
      <c r="C692" t="s">
        <v>159</v>
      </c>
      <c r="E692" s="20" t="s">
        <v>257</v>
      </c>
      <c r="F692" s="20" t="s">
        <v>258</v>
      </c>
      <c r="G692" s="20" t="s">
        <v>168</v>
      </c>
      <c r="H692" s="20" t="s">
        <v>169</v>
      </c>
      <c r="I692" s="20" t="s">
        <v>75</v>
      </c>
      <c r="J692" s="15">
        <f>IFERROR(INDEX(Cost_Components!$K$2:$K$27,MATCH(E692,Cost_Components!$A$2:$A$27,0)),"")</f>
        <v>0.2</v>
      </c>
      <c r="K692" s="15">
        <f t="shared" si="100"/>
        <v>0.59269230769230763</v>
      </c>
      <c r="L692" s="15">
        <f>IFERROR(INDEX(Cost_Components!$S$2:$S$27,MATCH(E692,Cost_Components!$A$2:$A$27,0)),"")</f>
        <v>0.31</v>
      </c>
      <c r="M692" s="26">
        <f>IFERROR(INDEX(Cost_Components!$L$2:$L$27,MATCH(E692,Cost_Components!$A$2:$A$27,0)),"")</f>
        <v>1</v>
      </c>
      <c r="N692" s="27">
        <f>IFERROR(INDEX(Cost_Components!$P$2:$P$27,MATCH(E692,Cost_Components!$A$2:$A$27,0)),"")</f>
        <v>1.2915840000000001</v>
      </c>
      <c r="O692" s="21">
        <f t="shared" si="101"/>
        <v>36028597.602681801</v>
      </c>
      <c r="P692" s="21">
        <f t="shared" si="102"/>
        <v>35917821.382525198</v>
      </c>
      <c r="Q692" s="21">
        <f t="shared" si="103"/>
        <v>14381173.857883502</v>
      </c>
      <c r="R692" s="21">
        <f t="shared" si="104"/>
        <v>27580320.260592997</v>
      </c>
      <c r="S692" s="21">
        <f t="shared" si="105"/>
        <v>13199146.402709495</v>
      </c>
      <c r="T692" s="14">
        <f>IFERROR(INDEX(Cost_Components!$R$2:$R$27,MATCH(E692,Cost_Components!$A$2:$A$27,0)),"")</f>
        <v>1</v>
      </c>
      <c r="U692" s="24">
        <f>IFERROR(INDEX(Cost_Components!$Q$2:$Q$27,MATCH(E692,Cost_Components!$A$2:$A$27,0)),"")</f>
        <v>2023</v>
      </c>
      <c r="V692" s="28">
        <f>1/(1+Calculation_Assumptions!$B$5)^(B692-Calculation_Assumptions!$B$2)</f>
        <v>0.66111780581861923</v>
      </c>
      <c r="W692" s="21">
        <f t="shared" si="106"/>
        <v>9507650.1060200278</v>
      </c>
      <c r="X692" s="21">
        <f t="shared" si="107"/>
        <v>18233840.81445805</v>
      </c>
      <c r="Y692" s="21">
        <f t="shared" si="108"/>
        <v>8726190.7084380221</v>
      </c>
      <c r="Z692" s="15">
        <f>IFERROR(INDEX(Cost_Components!$T$2:$T$27,MATCH(E692,Cost_Components!$A$2:$A$27,0)),"")</f>
        <v>0.8</v>
      </c>
      <c r="AA692" s="24">
        <f>IFERROR(INDEX(Cost_Components!$U$2:$U$27,MATCH(E692,Cost_Components!$A$2:$A$27,0)),"")</f>
        <v>2025</v>
      </c>
      <c r="AB692" s="24">
        <f>IFERROR(INDEX(Cost_Components!$V$2:$V$27,MATCH(E692,Cost_Components!$A$2:$A$27,0)),"")</f>
        <v>2050</v>
      </c>
      <c r="AC692" s="24">
        <f>IFERROR(INDEX(Cost_Components!$M$2:$M$27,MATCH(E692,Cost_Components!$A$2:$A$27,0)),"")</f>
        <v>30</v>
      </c>
      <c r="AD692" s="24">
        <f>IFERROR(INDEX(Cost_Components!$N$2:$N$27,MATCH(E692,Cost_Components!$A$2:$A$27,0)),"")</f>
        <v>95</v>
      </c>
      <c r="AE692" s="14" t="str">
        <f>IFERROR(INDEX(Cost_Components!$O$2:$O$27,MATCH(E692,Cost_Components!$A$2:$A$27,0)),"")</f>
        <v>Both</v>
      </c>
      <c r="AF692" s="11">
        <v>180142988.01340899</v>
      </c>
      <c r="AG692" s="11">
        <v>179589106.912626</v>
      </c>
      <c r="AH692" s="21">
        <f t="shared" si="109"/>
        <v>1</v>
      </c>
    </row>
    <row r="693" spans="1:34" hidden="1">
      <c r="A693" t="s">
        <v>75</v>
      </c>
      <c r="B693" s="18">
        <v>2040</v>
      </c>
      <c r="C693" t="s">
        <v>159</v>
      </c>
      <c r="E693" s="20" t="s">
        <v>257</v>
      </c>
      <c r="F693" s="20" t="s">
        <v>258</v>
      </c>
      <c r="G693" s="20" t="s">
        <v>168</v>
      </c>
      <c r="H693" s="20" t="s">
        <v>169</v>
      </c>
      <c r="I693" s="20" t="s">
        <v>75</v>
      </c>
      <c r="J693" s="15">
        <f>IFERROR(INDEX(Cost_Components!$K$2:$K$27,MATCH(E693,Cost_Components!$A$2:$A$27,0)),"")</f>
        <v>0.2</v>
      </c>
      <c r="K693" s="15">
        <f t="shared" si="100"/>
        <v>0.61153846153846159</v>
      </c>
      <c r="L693" s="15">
        <f>IFERROR(INDEX(Cost_Components!$S$2:$S$27,MATCH(E693,Cost_Components!$A$2:$A$27,0)),"")</f>
        <v>0.31</v>
      </c>
      <c r="M693" s="26">
        <f>IFERROR(INDEX(Cost_Components!$L$2:$L$27,MATCH(E693,Cost_Components!$A$2:$A$27,0)),"")</f>
        <v>1</v>
      </c>
      <c r="N693" s="27">
        <f>IFERROR(INDEX(Cost_Components!$P$2:$P$27,MATCH(E693,Cost_Components!$A$2:$A$27,0)),"")</f>
        <v>1.2915840000000001</v>
      </c>
      <c r="O693" s="21">
        <f t="shared" si="101"/>
        <v>36399449.295521602</v>
      </c>
      <c r="P693" s="21">
        <f t="shared" si="102"/>
        <v>36266010.644383006</v>
      </c>
      <c r="Q693" s="21">
        <f t="shared" si="103"/>
        <v>14520585.718555583</v>
      </c>
      <c r="R693" s="21">
        <f t="shared" si="104"/>
        <v>28750224.86425465</v>
      </c>
      <c r="S693" s="21">
        <f t="shared" si="105"/>
        <v>14229639.145699067</v>
      </c>
      <c r="T693" s="14">
        <f>IFERROR(INDEX(Cost_Components!$R$2:$R$27,MATCH(E693,Cost_Components!$A$2:$A$27,0)),"")</f>
        <v>1</v>
      </c>
      <c r="U693" s="24">
        <f>IFERROR(INDEX(Cost_Components!$Q$2:$Q$27,MATCH(E693,Cost_Components!$A$2:$A$27,0)),"")</f>
        <v>2023</v>
      </c>
      <c r="V693" s="28">
        <f>1/(1+Calculation_Assumptions!$B$5)^(B693-Calculation_Assumptions!$B$2)</f>
        <v>0.64186194739671765</v>
      </c>
      <c r="W693" s="21">
        <f t="shared" si="106"/>
        <v>9320211.4266530536</v>
      </c>
      <c r="X693" s="21">
        <f t="shared" si="107"/>
        <v>18453675.31946402</v>
      </c>
      <c r="Y693" s="21">
        <f t="shared" si="108"/>
        <v>9133463.8928109687</v>
      </c>
      <c r="Z693" s="15">
        <f>IFERROR(INDEX(Cost_Components!$T$2:$T$27,MATCH(E693,Cost_Components!$A$2:$A$27,0)),"")</f>
        <v>0.8</v>
      </c>
      <c r="AA693" s="24">
        <f>IFERROR(INDEX(Cost_Components!$U$2:$U$27,MATCH(E693,Cost_Components!$A$2:$A$27,0)),"")</f>
        <v>2025</v>
      </c>
      <c r="AB693" s="24">
        <f>IFERROR(INDEX(Cost_Components!$V$2:$V$27,MATCH(E693,Cost_Components!$A$2:$A$27,0)),"")</f>
        <v>2050</v>
      </c>
      <c r="AC693" s="24">
        <f>IFERROR(INDEX(Cost_Components!$M$2:$M$27,MATCH(E693,Cost_Components!$A$2:$A$27,0)),"")</f>
        <v>30</v>
      </c>
      <c r="AD693" s="24">
        <f>IFERROR(INDEX(Cost_Components!$N$2:$N$27,MATCH(E693,Cost_Components!$A$2:$A$27,0)),"")</f>
        <v>95</v>
      </c>
      <c r="AE693" s="14" t="str">
        <f>IFERROR(INDEX(Cost_Components!$O$2:$O$27,MATCH(E693,Cost_Components!$A$2:$A$27,0)),"")</f>
        <v>Both</v>
      </c>
      <c r="AF693" s="11">
        <v>181997246.477608</v>
      </c>
      <c r="AG693" s="11">
        <v>181330053.22191501</v>
      </c>
      <c r="AH693" s="21">
        <f t="shared" si="109"/>
        <v>1</v>
      </c>
    </row>
    <row r="694" spans="1:34" hidden="1">
      <c r="A694" t="s">
        <v>75</v>
      </c>
      <c r="B694" s="18">
        <v>2041</v>
      </c>
      <c r="C694" t="s">
        <v>159</v>
      </c>
      <c r="E694" s="20" t="s">
        <v>257</v>
      </c>
      <c r="F694" s="20" t="s">
        <v>258</v>
      </c>
      <c r="G694" s="20" t="s">
        <v>168</v>
      </c>
      <c r="H694" s="20" t="s">
        <v>169</v>
      </c>
      <c r="I694" s="20" t="s">
        <v>75</v>
      </c>
      <c r="J694" s="15">
        <f>IFERROR(INDEX(Cost_Components!$K$2:$K$27,MATCH(E694,Cost_Components!$A$2:$A$27,0)),"")</f>
        <v>0.2</v>
      </c>
      <c r="K694" s="15">
        <f t="shared" si="100"/>
        <v>0.63038461538461543</v>
      </c>
      <c r="L694" s="15">
        <f>IFERROR(INDEX(Cost_Components!$S$2:$S$27,MATCH(E694,Cost_Components!$A$2:$A$27,0)),"")</f>
        <v>0.31</v>
      </c>
      <c r="M694" s="26">
        <f>IFERROR(INDEX(Cost_Components!$L$2:$L$27,MATCH(E694,Cost_Components!$A$2:$A$27,0)),"")</f>
        <v>1</v>
      </c>
      <c r="N694" s="27">
        <f>IFERROR(INDEX(Cost_Components!$P$2:$P$27,MATCH(E694,Cost_Components!$A$2:$A$27,0)),"")</f>
        <v>1.2915840000000001</v>
      </c>
      <c r="O694" s="21">
        <f t="shared" si="101"/>
        <v>36779014.213767402</v>
      </c>
      <c r="P694" s="21">
        <f t="shared" si="102"/>
        <v>36620755.349436007</v>
      </c>
      <c r="Q694" s="21">
        <f t="shared" si="103"/>
        <v>14662622.319946246</v>
      </c>
      <c r="R694" s="21">
        <f t="shared" si="104"/>
        <v>29945277.821660001</v>
      </c>
      <c r="S694" s="21">
        <f t="shared" si="105"/>
        <v>15282655.501713755</v>
      </c>
      <c r="T694" s="14">
        <f>IFERROR(INDEX(Cost_Components!$R$2:$R$27,MATCH(E694,Cost_Components!$A$2:$A$27,0)),"")</f>
        <v>1</v>
      </c>
      <c r="U694" s="24">
        <f>IFERROR(INDEX(Cost_Components!$Q$2:$Q$27,MATCH(E694,Cost_Components!$A$2:$A$27,0)),"")</f>
        <v>2023</v>
      </c>
      <c r="V694" s="28">
        <f>1/(1+Calculation_Assumptions!$B$5)^(B694-Calculation_Assumptions!$B$2)</f>
        <v>0.62316693922011435</v>
      </c>
      <c r="W694" s="21">
        <f t="shared" si="106"/>
        <v>9137261.4720614348</v>
      </c>
      <c r="X694" s="21">
        <f t="shared" si="107"/>
        <v>18660907.124219835</v>
      </c>
      <c r="Y694" s="21">
        <f t="shared" si="108"/>
        <v>9523645.6521584019</v>
      </c>
      <c r="Z694" s="15">
        <f>IFERROR(INDEX(Cost_Components!$T$2:$T$27,MATCH(E694,Cost_Components!$A$2:$A$27,0)),"")</f>
        <v>0.8</v>
      </c>
      <c r="AA694" s="24">
        <f>IFERROR(INDEX(Cost_Components!$U$2:$U$27,MATCH(E694,Cost_Components!$A$2:$A$27,0)),"")</f>
        <v>2025</v>
      </c>
      <c r="AB694" s="24">
        <f>IFERROR(INDEX(Cost_Components!$V$2:$V$27,MATCH(E694,Cost_Components!$A$2:$A$27,0)),"")</f>
        <v>2050</v>
      </c>
      <c r="AC694" s="24">
        <f>IFERROR(INDEX(Cost_Components!$M$2:$M$27,MATCH(E694,Cost_Components!$A$2:$A$27,0)),"")</f>
        <v>30</v>
      </c>
      <c r="AD694" s="24">
        <f>IFERROR(INDEX(Cost_Components!$N$2:$N$27,MATCH(E694,Cost_Components!$A$2:$A$27,0)),"")</f>
        <v>95</v>
      </c>
      <c r="AE694" s="14" t="str">
        <f>IFERROR(INDEX(Cost_Components!$O$2:$O$27,MATCH(E694,Cost_Components!$A$2:$A$27,0)),"")</f>
        <v>Both</v>
      </c>
      <c r="AF694" s="11">
        <v>183895071.06883699</v>
      </c>
      <c r="AG694" s="11">
        <v>183103776.74718001</v>
      </c>
      <c r="AH694" s="21">
        <f t="shared" si="109"/>
        <v>1</v>
      </c>
    </row>
    <row r="695" spans="1:34" hidden="1">
      <c r="A695" t="s">
        <v>75</v>
      </c>
      <c r="B695" s="18">
        <v>2042</v>
      </c>
      <c r="C695" t="s">
        <v>159</v>
      </c>
      <c r="E695" s="20" t="s">
        <v>257</v>
      </c>
      <c r="F695" s="20" t="s">
        <v>258</v>
      </c>
      <c r="G695" s="20" t="s">
        <v>168</v>
      </c>
      <c r="H695" s="20" t="s">
        <v>169</v>
      </c>
      <c r="I695" s="20" t="s">
        <v>75</v>
      </c>
      <c r="J695" s="15">
        <f>IFERROR(INDEX(Cost_Components!$K$2:$K$27,MATCH(E695,Cost_Components!$A$2:$A$27,0)),"")</f>
        <v>0.2</v>
      </c>
      <c r="K695" s="15">
        <f t="shared" si="100"/>
        <v>0.64923076923076928</v>
      </c>
      <c r="L695" s="15">
        <f>IFERROR(INDEX(Cost_Components!$S$2:$S$27,MATCH(E695,Cost_Components!$A$2:$A$27,0)),"")</f>
        <v>0.31</v>
      </c>
      <c r="M695" s="26">
        <f>IFERROR(INDEX(Cost_Components!$L$2:$L$27,MATCH(E695,Cost_Components!$A$2:$A$27,0)),"")</f>
        <v>1</v>
      </c>
      <c r="N695" s="27">
        <f>IFERROR(INDEX(Cost_Components!$P$2:$P$27,MATCH(E695,Cost_Components!$A$2:$A$27,0)),"")</f>
        <v>1.2915840000000001</v>
      </c>
      <c r="O695" s="21">
        <f t="shared" si="101"/>
        <v>37163156.248978399</v>
      </c>
      <c r="P695" s="21">
        <f t="shared" si="102"/>
        <v>36949709.515839398</v>
      </c>
      <c r="Q695" s="21">
        <f t="shared" si="103"/>
        <v>14794332.620744836</v>
      </c>
      <c r="R695" s="21">
        <f t="shared" si="104"/>
        <v>31162647.132749509</v>
      </c>
      <c r="S695" s="21">
        <f t="shared" si="105"/>
        <v>16368314.512004673</v>
      </c>
      <c r="T695" s="14">
        <f>IFERROR(INDEX(Cost_Components!$R$2:$R$27,MATCH(E695,Cost_Components!$A$2:$A$27,0)),"")</f>
        <v>1</v>
      </c>
      <c r="U695" s="24">
        <f>IFERROR(INDEX(Cost_Components!$Q$2:$Q$27,MATCH(E695,Cost_Components!$A$2:$A$27,0)),"")</f>
        <v>2023</v>
      </c>
      <c r="V695" s="28">
        <f>1/(1+Calculation_Assumptions!$B$5)^(B695-Calculation_Assumptions!$B$2)</f>
        <v>0.60501644584477121</v>
      </c>
      <c r="W695" s="21">
        <f t="shared" si="106"/>
        <v>8950814.5408484004</v>
      </c>
      <c r="X695" s="21">
        <f t="shared" si="107"/>
        <v>18853914.01137086</v>
      </c>
      <c r="Y695" s="21">
        <f t="shared" si="108"/>
        <v>9903099.4705224577</v>
      </c>
      <c r="Z695" s="15">
        <f>IFERROR(INDEX(Cost_Components!$T$2:$T$27,MATCH(E695,Cost_Components!$A$2:$A$27,0)),"")</f>
        <v>0.8</v>
      </c>
      <c r="AA695" s="24">
        <f>IFERROR(INDEX(Cost_Components!$U$2:$U$27,MATCH(E695,Cost_Components!$A$2:$A$27,0)),"")</f>
        <v>2025</v>
      </c>
      <c r="AB695" s="24">
        <f>IFERROR(INDEX(Cost_Components!$V$2:$V$27,MATCH(E695,Cost_Components!$A$2:$A$27,0)),"")</f>
        <v>2050</v>
      </c>
      <c r="AC695" s="24">
        <f>IFERROR(INDEX(Cost_Components!$M$2:$M$27,MATCH(E695,Cost_Components!$A$2:$A$27,0)),"")</f>
        <v>30</v>
      </c>
      <c r="AD695" s="24">
        <f>IFERROR(INDEX(Cost_Components!$N$2:$N$27,MATCH(E695,Cost_Components!$A$2:$A$27,0)),"")</f>
        <v>95</v>
      </c>
      <c r="AE695" s="14" t="str">
        <f>IFERROR(INDEX(Cost_Components!$O$2:$O$27,MATCH(E695,Cost_Components!$A$2:$A$27,0)),"")</f>
        <v>Both</v>
      </c>
      <c r="AF695" s="11">
        <v>185815781.244892</v>
      </c>
      <c r="AG695" s="11">
        <v>184748547.57919699</v>
      </c>
      <c r="AH695" s="21">
        <f t="shared" si="109"/>
        <v>1</v>
      </c>
    </row>
    <row r="696" spans="1:34" hidden="1">
      <c r="A696" t="s">
        <v>75</v>
      </c>
      <c r="B696" s="18">
        <v>2043</v>
      </c>
      <c r="C696" t="s">
        <v>159</v>
      </c>
      <c r="E696" s="20" t="s">
        <v>257</v>
      </c>
      <c r="F696" s="20" t="s">
        <v>258</v>
      </c>
      <c r="G696" s="20" t="s">
        <v>168</v>
      </c>
      <c r="H696" s="20" t="s">
        <v>169</v>
      </c>
      <c r="I696" s="20" t="s">
        <v>75</v>
      </c>
      <c r="J696" s="15">
        <f>IFERROR(INDEX(Cost_Components!$K$2:$K$27,MATCH(E696,Cost_Components!$A$2:$A$27,0)),"")</f>
        <v>0.2</v>
      </c>
      <c r="K696" s="15">
        <f t="shared" si="100"/>
        <v>0.66807692307692301</v>
      </c>
      <c r="L696" s="15">
        <f>IFERROR(INDEX(Cost_Components!$S$2:$S$27,MATCH(E696,Cost_Components!$A$2:$A$27,0)),"")</f>
        <v>0.31</v>
      </c>
      <c r="M696" s="26">
        <f>IFERROR(INDEX(Cost_Components!$L$2:$L$27,MATCH(E696,Cost_Components!$A$2:$A$27,0)),"")</f>
        <v>1</v>
      </c>
      <c r="N696" s="27">
        <f>IFERROR(INDEX(Cost_Components!$P$2:$P$27,MATCH(E696,Cost_Components!$A$2:$A$27,0)),"")</f>
        <v>1.2915840000000001</v>
      </c>
      <c r="O696" s="21">
        <f t="shared" si="101"/>
        <v>37548418.092656605</v>
      </c>
      <c r="P696" s="21">
        <f t="shared" si="102"/>
        <v>37304470.412037402</v>
      </c>
      <c r="Q696" s="21">
        <f t="shared" si="103"/>
        <v>14936375.704924885</v>
      </c>
      <c r="R696" s="21">
        <f t="shared" si="104"/>
        <v>32399683.804109965</v>
      </c>
      <c r="S696" s="21">
        <f t="shared" si="105"/>
        <v>17463308.099185079</v>
      </c>
      <c r="T696" s="14">
        <f>IFERROR(INDEX(Cost_Components!$R$2:$R$27,MATCH(E696,Cost_Components!$A$2:$A$27,0)),"")</f>
        <v>1</v>
      </c>
      <c r="U696" s="24">
        <f>IFERROR(INDEX(Cost_Components!$Q$2:$Q$27,MATCH(E696,Cost_Components!$A$2:$A$27,0)),"")</f>
        <v>2023</v>
      </c>
      <c r="V696" s="28">
        <f>1/(1+Calculation_Assumptions!$B$5)^(B696-Calculation_Assumptions!$B$2)</f>
        <v>0.5873946076162827</v>
      </c>
      <c r="W696" s="21">
        <f t="shared" si="106"/>
        <v>8773546.5464037303</v>
      </c>
      <c r="X696" s="21">
        <f t="shared" si="107"/>
        <v>19031399.555006802</v>
      </c>
      <c r="Y696" s="21">
        <f t="shared" si="108"/>
        <v>10257853.008603072</v>
      </c>
      <c r="Z696" s="15">
        <f>IFERROR(INDEX(Cost_Components!$T$2:$T$27,MATCH(E696,Cost_Components!$A$2:$A$27,0)),"")</f>
        <v>0.8</v>
      </c>
      <c r="AA696" s="24">
        <f>IFERROR(INDEX(Cost_Components!$U$2:$U$27,MATCH(E696,Cost_Components!$A$2:$A$27,0)),"")</f>
        <v>2025</v>
      </c>
      <c r="AB696" s="24">
        <f>IFERROR(INDEX(Cost_Components!$V$2:$V$27,MATCH(E696,Cost_Components!$A$2:$A$27,0)),"")</f>
        <v>2050</v>
      </c>
      <c r="AC696" s="24">
        <f>IFERROR(INDEX(Cost_Components!$M$2:$M$27,MATCH(E696,Cost_Components!$A$2:$A$27,0)),"")</f>
        <v>30</v>
      </c>
      <c r="AD696" s="24">
        <f>IFERROR(INDEX(Cost_Components!$N$2:$N$27,MATCH(E696,Cost_Components!$A$2:$A$27,0)),"")</f>
        <v>95</v>
      </c>
      <c r="AE696" s="14" t="str">
        <f>IFERROR(INDEX(Cost_Components!$O$2:$O$27,MATCH(E696,Cost_Components!$A$2:$A$27,0)),"")</f>
        <v>Both</v>
      </c>
      <c r="AF696" s="11">
        <v>187742090.463283</v>
      </c>
      <c r="AG696" s="11">
        <v>186522352.06018701</v>
      </c>
      <c r="AH696" s="21">
        <f t="shared" si="109"/>
        <v>1</v>
      </c>
    </row>
    <row r="697" spans="1:34" hidden="1">
      <c r="A697" t="s">
        <v>75</v>
      </c>
      <c r="B697" s="18">
        <v>2044</v>
      </c>
      <c r="C697" t="s">
        <v>159</v>
      </c>
      <c r="E697" s="20" t="s">
        <v>257</v>
      </c>
      <c r="F697" s="20" t="s">
        <v>258</v>
      </c>
      <c r="G697" s="20" t="s">
        <v>168</v>
      </c>
      <c r="H697" s="20" t="s">
        <v>169</v>
      </c>
      <c r="I697" s="20" t="s">
        <v>75</v>
      </c>
      <c r="J697" s="15">
        <f>IFERROR(INDEX(Cost_Components!$K$2:$K$27,MATCH(E697,Cost_Components!$A$2:$A$27,0)),"")</f>
        <v>0.2</v>
      </c>
      <c r="K697" s="15">
        <f t="shared" si="100"/>
        <v>0.68692307692307697</v>
      </c>
      <c r="L697" s="15">
        <f>IFERROR(INDEX(Cost_Components!$S$2:$S$27,MATCH(E697,Cost_Components!$A$2:$A$27,0)),"")</f>
        <v>0.31</v>
      </c>
      <c r="M697" s="26">
        <f>IFERROR(INDEX(Cost_Components!$L$2:$L$27,MATCH(E697,Cost_Components!$A$2:$A$27,0)),"")</f>
        <v>1</v>
      </c>
      <c r="N697" s="27">
        <f>IFERROR(INDEX(Cost_Components!$P$2:$P$27,MATCH(E697,Cost_Components!$A$2:$A$27,0)),"")</f>
        <v>1.2915840000000001</v>
      </c>
      <c r="O697" s="21">
        <f t="shared" si="101"/>
        <v>37886136.812311001</v>
      </c>
      <c r="P697" s="21">
        <f t="shared" si="102"/>
        <v>37609903.0599932</v>
      </c>
      <c r="Q697" s="21">
        <f t="shared" si="103"/>
        <v>15058668.20048986</v>
      </c>
      <c r="R697" s="21">
        <f t="shared" si="104"/>
        <v>33613294.937563509</v>
      </c>
      <c r="S697" s="21">
        <f t="shared" si="105"/>
        <v>18554626.737073649</v>
      </c>
      <c r="T697" s="14">
        <f>IFERROR(INDEX(Cost_Components!$R$2:$R$27,MATCH(E697,Cost_Components!$A$2:$A$27,0)),"")</f>
        <v>1</v>
      </c>
      <c r="U697" s="24">
        <f>IFERROR(INDEX(Cost_Components!$Q$2:$Q$27,MATCH(E697,Cost_Components!$A$2:$A$27,0)),"")</f>
        <v>2023</v>
      </c>
      <c r="V697" s="28">
        <f>1/(1+Calculation_Assumptions!$B$5)^(B697-Calculation_Assumptions!$B$2)</f>
        <v>0.57028602681192497</v>
      </c>
      <c r="W697" s="21">
        <f t="shared" si="106"/>
        <v>8587748.0571364425</v>
      </c>
      <c r="X697" s="21">
        <f t="shared" si="107"/>
        <v>19169192.418000486</v>
      </c>
      <c r="Y697" s="21">
        <f t="shared" si="108"/>
        <v>10581444.360864043</v>
      </c>
      <c r="Z697" s="15">
        <f>IFERROR(INDEX(Cost_Components!$T$2:$T$27,MATCH(E697,Cost_Components!$A$2:$A$27,0)),"")</f>
        <v>0.8</v>
      </c>
      <c r="AA697" s="24">
        <f>IFERROR(INDEX(Cost_Components!$U$2:$U$27,MATCH(E697,Cost_Components!$A$2:$A$27,0)),"")</f>
        <v>2025</v>
      </c>
      <c r="AB697" s="24">
        <f>IFERROR(INDEX(Cost_Components!$V$2:$V$27,MATCH(E697,Cost_Components!$A$2:$A$27,0)),"")</f>
        <v>2050</v>
      </c>
      <c r="AC697" s="24">
        <f>IFERROR(INDEX(Cost_Components!$M$2:$M$27,MATCH(E697,Cost_Components!$A$2:$A$27,0)),"")</f>
        <v>30</v>
      </c>
      <c r="AD697" s="24">
        <f>IFERROR(INDEX(Cost_Components!$N$2:$N$27,MATCH(E697,Cost_Components!$A$2:$A$27,0)),"")</f>
        <v>95</v>
      </c>
      <c r="AE697" s="14" t="str">
        <f>IFERROR(INDEX(Cost_Components!$O$2:$O$27,MATCH(E697,Cost_Components!$A$2:$A$27,0)),"")</f>
        <v>Both</v>
      </c>
      <c r="AF697" s="11">
        <v>189430684.061555</v>
      </c>
      <c r="AG697" s="11">
        <v>188049515.29996601</v>
      </c>
      <c r="AH697" s="21">
        <f t="shared" si="109"/>
        <v>1</v>
      </c>
    </row>
    <row r="698" spans="1:34" hidden="1">
      <c r="A698" t="s">
        <v>75</v>
      </c>
      <c r="B698" s="18">
        <v>2045</v>
      </c>
      <c r="C698" t="s">
        <v>159</v>
      </c>
      <c r="E698" s="20" t="s">
        <v>257</v>
      </c>
      <c r="F698" s="20" t="s">
        <v>258</v>
      </c>
      <c r="G698" s="20" t="s">
        <v>168</v>
      </c>
      <c r="H698" s="20" t="s">
        <v>169</v>
      </c>
      <c r="I698" s="20" t="s">
        <v>75</v>
      </c>
      <c r="J698" s="15">
        <f>IFERROR(INDEX(Cost_Components!$K$2:$K$27,MATCH(E698,Cost_Components!$A$2:$A$27,0)),"")</f>
        <v>0.2</v>
      </c>
      <c r="K698" s="15">
        <f t="shared" si="100"/>
        <v>0.70576923076923082</v>
      </c>
      <c r="L698" s="15">
        <f>IFERROR(INDEX(Cost_Components!$S$2:$S$27,MATCH(E698,Cost_Components!$A$2:$A$27,0)),"")</f>
        <v>0.31</v>
      </c>
      <c r="M698" s="26">
        <f>IFERROR(INDEX(Cost_Components!$L$2:$L$27,MATCH(E698,Cost_Components!$A$2:$A$27,0)),"")</f>
        <v>1</v>
      </c>
      <c r="N698" s="27">
        <f>IFERROR(INDEX(Cost_Components!$P$2:$P$27,MATCH(E698,Cost_Components!$A$2:$A$27,0)),"")</f>
        <v>1.2915840000000001</v>
      </c>
      <c r="O698" s="21">
        <f t="shared" si="101"/>
        <v>38198692.729171999</v>
      </c>
      <c r="P698" s="21">
        <f t="shared" si="102"/>
        <v>37888070.581573002</v>
      </c>
      <c r="Q698" s="21">
        <f t="shared" si="103"/>
        <v>15170043.983749419</v>
      </c>
      <c r="R698" s="21">
        <f t="shared" si="104"/>
        <v>34820409.746959165</v>
      </c>
      <c r="S698" s="21">
        <f t="shared" si="105"/>
        <v>19650365.763209745</v>
      </c>
      <c r="T698" s="14">
        <f>IFERROR(INDEX(Cost_Components!$R$2:$R$27,MATCH(E698,Cost_Components!$A$2:$A$27,0)),"")</f>
        <v>1</v>
      </c>
      <c r="U698" s="24">
        <f>IFERROR(INDEX(Cost_Components!$Q$2:$Q$27,MATCH(E698,Cost_Components!$A$2:$A$27,0)),"")</f>
        <v>2023</v>
      </c>
      <c r="V698" s="28">
        <f>1/(1+Calculation_Assumptions!$B$5)^(B698-Calculation_Assumptions!$B$2)</f>
        <v>0.55367575418633497</v>
      </c>
      <c r="W698" s="21">
        <f t="shared" si="106"/>
        <v>8399285.5437423326</v>
      </c>
      <c r="X698" s="21">
        <f t="shared" si="107"/>
        <v>19279216.627724826</v>
      </c>
      <c r="Y698" s="21">
        <f t="shared" si="108"/>
        <v>10879931.083982492</v>
      </c>
      <c r="Z698" s="15">
        <f>IFERROR(INDEX(Cost_Components!$T$2:$T$27,MATCH(E698,Cost_Components!$A$2:$A$27,0)),"")</f>
        <v>0.8</v>
      </c>
      <c r="AA698" s="24">
        <f>IFERROR(INDEX(Cost_Components!$U$2:$U$27,MATCH(E698,Cost_Components!$A$2:$A$27,0)),"")</f>
        <v>2025</v>
      </c>
      <c r="AB698" s="24">
        <f>IFERROR(INDEX(Cost_Components!$V$2:$V$27,MATCH(E698,Cost_Components!$A$2:$A$27,0)),"")</f>
        <v>2050</v>
      </c>
      <c r="AC698" s="24">
        <f>IFERROR(INDEX(Cost_Components!$M$2:$M$27,MATCH(E698,Cost_Components!$A$2:$A$27,0)),"")</f>
        <v>30</v>
      </c>
      <c r="AD698" s="24">
        <f>IFERROR(INDEX(Cost_Components!$N$2:$N$27,MATCH(E698,Cost_Components!$A$2:$A$27,0)),"")</f>
        <v>95</v>
      </c>
      <c r="AE698" s="14" t="str">
        <f>IFERROR(INDEX(Cost_Components!$O$2:$O$27,MATCH(E698,Cost_Components!$A$2:$A$27,0)),"")</f>
        <v>Both</v>
      </c>
      <c r="AF698" s="11">
        <v>190993463.64585999</v>
      </c>
      <c r="AG698" s="11">
        <v>189440352.90786499</v>
      </c>
      <c r="AH698" s="21">
        <f t="shared" si="109"/>
        <v>1</v>
      </c>
    </row>
    <row r="699" spans="1:34" hidden="1">
      <c r="A699" t="s">
        <v>75</v>
      </c>
      <c r="B699" s="18">
        <v>2046</v>
      </c>
      <c r="C699" t="s">
        <v>159</v>
      </c>
      <c r="E699" s="20" t="s">
        <v>257</v>
      </c>
      <c r="F699" s="20" t="s">
        <v>258</v>
      </c>
      <c r="G699" s="20" t="s">
        <v>168</v>
      </c>
      <c r="H699" s="20" t="s">
        <v>169</v>
      </c>
      <c r="I699" s="20" t="s">
        <v>75</v>
      </c>
      <c r="J699" s="15">
        <f>IFERROR(INDEX(Cost_Components!$K$2:$K$27,MATCH(E699,Cost_Components!$A$2:$A$27,0)),"")</f>
        <v>0.2</v>
      </c>
      <c r="K699" s="15">
        <f t="shared" si="100"/>
        <v>0.72461538461538466</v>
      </c>
      <c r="L699" s="15">
        <f>IFERROR(INDEX(Cost_Components!$S$2:$S$27,MATCH(E699,Cost_Components!$A$2:$A$27,0)),"")</f>
        <v>0.31</v>
      </c>
      <c r="M699" s="26">
        <f>IFERROR(INDEX(Cost_Components!$L$2:$L$27,MATCH(E699,Cost_Components!$A$2:$A$27,0)),"")</f>
        <v>1</v>
      </c>
      <c r="N699" s="27">
        <f>IFERROR(INDEX(Cost_Components!$P$2:$P$27,MATCH(E699,Cost_Components!$A$2:$A$27,0)),"")</f>
        <v>1.2915840000000001</v>
      </c>
      <c r="O699" s="21">
        <f t="shared" si="101"/>
        <v>38454929.498635799</v>
      </c>
      <c r="P699" s="21">
        <f t="shared" si="102"/>
        <v>38141095.642006598</v>
      </c>
      <c r="Q699" s="21">
        <f t="shared" si="103"/>
        <v>15271352.950842489</v>
      </c>
      <c r="R699" s="21">
        <f t="shared" si="104"/>
        <v>35990031.465534769</v>
      </c>
      <c r="S699" s="21">
        <f t="shared" si="105"/>
        <v>20718678.51469228</v>
      </c>
      <c r="T699" s="14">
        <f>IFERROR(INDEX(Cost_Components!$R$2:$R$27,MATCH(E699,Cost_Components!$A$2:$A$27,0)),"")</f>
        <v>1</v>
      </c>
      <c r="U699" s="24">
        <f>IFERROR(INDEX(Cost_Components!$Q$2:$Q$27,MATCH(E699,Cost_Components!$A$2:$A$27,0)),"")</f>
        <v>2023</v>
      </c>
      <c r="V699" s="28">
        <f>1/(1+Calculation_Assumptions!$B$5)^(B699-Calculation_Assumptions!$B$2)</f>
        <v>0.5375492759090631</v>
      </c>
      <c r="W699" s="21">
        <f t="shared" si="106"/>
        <v>8209104.7208771138</v>
      </c>
      <c r="X699" s="21">
        <f t="shared" si="107"/>
        <v>19346415.354242612</v>
      </c>
      <c r="Y699" s="21">
        <f t="shared" si="108"/>
        <v>11137310.633365499</v>
      </c>
      <c r="Z699" s="15">
        <f>IFERROR(INDEX(Cost_Components!$T$2:$T$27,MATCH(E699,Cost_Components!$A$2:$A$27,0)),"")</f>
        <v>0.8</v>
      </c>
      <c r="AA699" s="24">
        <f>IFERROR(INDEX(Cost_Components!$U$2:$U$27,MATCH(E699,Cost_Components!$A$2:$A$27,0)),"")</f>
        <v>2025</v>
      </c>
      <c r="AB699" s="24">
        <f>IFERROR(INDEX(Cost_Components!$V$2:$V$27,MATCH(E699,Cost_Components!$A$2:$A$27,0)),"")</f>
        <v>2050</v>
      </c>
      <c r="AC699" s="24">
        <f>IFERROR(INDEX(Cost_Components!$M$2:$M$27,MATCH(E699,Cost_Components!$A$2:$A$27,0)),"")</f>
        <v>30</v>
      </c>
      <c r="AD699" s="24">
        <f>IFERROR(INDEX(Cost_Components!$N$2:$N$27,MATCH(E699,Cost_Components!$A$2:$A$27,0)),"")</f>
        <v>95</v>
      </c>
      <c r="AE699" s="14" t="str">
        <f>IFERROR(INDEX(Cost_Components!$O$2:$O$27,MATCH(E699,Cost_Components!$A$2:$A$27,0)),"")</f>
        <v>Both</v>
      </c>
      <c r="AF699" s="11">
        <v>192274647.49317899</v>
      </c>
      <c r="AG699" s="11">
        <v>190705478.210033</v>
      </c>
      <c r="AH699" s="21">
        <f t="shared" si="109"/>
        <v>1</v>
      </c>
    </row>
    <row r="700" spans="1:34" hidden="1">
      <c r="A700" t="s">
        <v>75</v>
      </c>
      <c r="B700" s="18">
        <v>2047</v>
      </c>
      <c r="C700" t="s">
        <v>159</v>
      </c>
      <c r="E700" s="20" t="s">
        <v>257</v>
      </c>
      <c r="F700" s="20" t="s">
        <v>258</v>
      </c>
      <c r="G700" s="20" t="s">
        <v>168</v>
      </c>
      <c r="H700" s="20" t="s">
        <v>169</v>
      </c>
      <c r="I700" s="20" t="s">
        <v>75</v>
      </c>
      <c r="J700" s="15">
        <f>IFERROR(INDEX(Cost_Components!$K$2:$K$27,MATCH(E700,Cost_Components!$A$2:$A$27,0)),"")</f>
        <v>0.2</v>
      </c>
      <c r="K700" s="15">
        <f t="shared" si="100"/>
        <v>0.74346153846153851</v>
      </c>
      <c r="L700" s="15">
        <f>IFERROR(INDEX(Cost_Components!$S$2:$S$27,MATCH(E700,Cost_Components!$A$2:$A$27,0)),"")</f>
        <v>0.31</v>
      </c>
      <c r="M700" s="26">
        <f>IFERROR(INDEX(Cost_Components!$L$2:$L$27,MATCH(E700,Cost_Components!$A$2:$A$27,0)),"")</f>
        <v>1</v>
      </c>
      <c r="N700" s="27">
        <f>IFERROR(INDEX(Cost_Components!$P$2:$P$27,MATCH(E700,Cost_Components!$A$2:$A$27,0)),"")</f>
        <v>1.2915840000000001</v>
      </c>
      <c r="O700" s="21">
        <f t="shared" si="101"/>
        <v>38720154.716293201</v>
      </c>
      <c r="P700" s="21">
        <f t="shared" si="102"/>
        <v>38334590.370484002</v>
      </c>
      <c r="Q700" s="21">
        <f t="shared" si="103"/>
        <v>15348826.506412076</v>
      </c>
      <c r="R700" s="21">
        <f t="shared" si="104"/>
        <v>37180758.597487971</v>
      </c>
      <c r="S700" s="21">
        <f t="shared" si="105"/>
        <v>21831932.091075897</v>
      </c>
      <c r="T700" s="14">
        <f>IFERROR(INDEX(Cost_Components!$R$2:$R$27,MATCH(E700,Cost_Components!$A$2:$A$27,0)),"")</f>
        <v>1</v>
      </c>
      <c r="U700" s="24">
        <f>IFERROR(INDEX(Cost_Components!$Q$2:$Q$27,MATCH(E700,Cost_Components!$A$2:$A$27,0)),"")</f>
        <v>2023</v>
      </c>
      <c r="V700" s="28">
        <f>1/(1+Calculation_Assumptions!$B$5)^(B700-Calculation_Assumptions!$B$2)</f>
        <v>0.52189250088258554</v>
      </c>
      <c r="W700" s="21">
        <f t="shared" si="106"/>
        <v>8010437.4510443164</v>
      </c>
      <c r="X700" s="21">
        <f t="shared" si="107"/>
        <v>19404359.089154691</v>
      </c>
      <c r="Y700" s="21">
        <f t="shared" si="108"/>
        <v>11393921.638110375</v>
      </c>
      <c r="Z700" s="15">
        <f>IFERROR(INDEX(Cost_Components!$T$2:$T$27,MATCH(E700,Cost_Components!$A$2:$A$27,0)),"")</f>
        <v>0.8</v>
      </c>
      <c r="AA700" s="24">
        <f>IFERROR(INDEX(Cost_Components!$U$2:$U$27,MATCH(E700,Cost_Components!$A$2:$A$27,0)),"")</f>
        <v>2025</v>
      </c>
      <c r="AB700" s="24">
        <f>IFERROR(INDEX(Cost_Components!$V$2:$V$27,MATCH(E700,Cost_Components!$A$2:$A$27,0)),"")</f>
        <v>2050</v>
      </c>
      <c r="AC700" s="24">
        <f>IFERROR(INDEX(Cost_Components!$M$2:$M$27,MATCH(E700,Cost_Components!$A$2:$A$27,0)),"")</f>
        <v>30</v>
      </c>
      <c r="AD700" s="24">
        <f>IFERROR(INDEX(Cost_Components!$N$2:$N$27,MATCH(E700,Cost_Components!$A$2:$A$27,0)),"")</f>
        <v>95</v>
      </c>
      <c r="AE700" s="14" t="str">
        <f>IFERROR(INDEX(Cost_Components!$O$2:$O$27,MATCH(E700,Cost_Components!$A$2:$A$27,0)),"")</f>
        <v>Both</v>
      </c>
      <c r="AF700" s="11">
        <v>193600773.58146599</v>
      </c>
      <c r="AG700" s="11">
        <v>191672951.85242</v>
      </c>
      <c r="AH700" s="21">
        <f t="shared" si="109"/>
        <v>1</v>
      </c>
    </row>
    <row r="701" spans="1:34" hidden="1">
      <c r="A701" t="s">
        <v>75</v>
      </c>
      <c r="B701" s="18">
        <v>2048</v>
      </c>
      <c r="C701" t="s">
        <v>159</v>
      </c>
      <c r="E701" s="20" t="s">
        <v>257</v>
      </c>
      <c r="F701" s="20" t="s">
        <v>258</v>
      </c>
      <c r="G701" s="20" t="s">
        <v>168</v>
      </c>
      <c r="H701" s="20" t="s">
        <v>169</v>
      </c>
      <c r="I701" s="20" t="s">
        <v>75</v>
      </c>
      <c r="J701" s="15">
        <f>IFERROR(INDEX(Cost_Components!$K$2:$K$27,MATCH(E701,Cost_Components!$A$2:$A$27,0)),"")</f>
        <v>0.2</v>
      </c>
      <c r="K701" s="15">
        <f t="shared" si="100"/>
        <v>0.76230769230769235</v>
      </c>
      <c r="L701" s="15">
        <f>IFERROR(INDEX(Cost_Components!$S$2:$S$27,MATCH(E701,Cost_Components!$A$2:$A$27,0)),"")</f>
        <v>0.31</v>
      </c>
      <c r="M701" s="26">
        <f>IFERROR(INDEX(Cost_Components!$L$2:$L$27,MATCH(E701,Cost_Components!$A$2:$A$27,0)),"")</f>
        <v>1</v>
      </c>
      <c r="N701" s="27">
        <f>IFERROR(INDEX(Cost_Components!$P$2:$P$27,MATCH(E701,Cost_Components!$A$2:$A$27,0)),"")</f>
        <v>1.2915840000000001</v>
      </c>
      <c r="O701" s="21">
        <f t="shared" si="101"/>
        <v>38928944.691224806</v>
      </c>
      <c r="P701" s="21">
        <f t="shared" si="102"/>
        <v>38502938.7125744</v>
      </c>
      <c r="Q701" s="21">
        <f t="shared" si="103"/>
        <v>15416231.674183926</v>
      </c>
      <c r="R701" s="21">
        <f t="shared" si="104"/>
        <v>38328832.370130979</v>
      </c>
      <c r="S701" s="21">
        <f t="shared" si="105"/>
        <v>22912600.695947051</v>
      </c>
      <c r="T701" s="14">
        <f>IFERROR(INDEX(Cost_Components!$R$2:$R$27,MATCH(E701,Cost_Components!$A$2:$A$27,0)),"")</f>
        <v>1</v>
      </c>
      <c r="U701" s="24">
        <f>IFERROR(INDEX(Cost_Components!$Q$2:$Q$27,MATCH(E701,Cost_Components!$A$2:$A$27,0)),"")</f>
        <v>2023</v>
      </c>
      <c r="V701" s="28">
        <f>1/(1+Calculation_Assumptions!$B$5)^(B701-Calculation_Assumptions!$B$2)</f>
        <v>0.50669174842969467</v>
      </c>
      <c r="W701" s="21">
        <f t="shared" si="106"/>
        <v>7811277.3811894925</v>
      </c>
      <c r="X701" s="21">
        <f t="shared" si="107"/>
        <v>19420903.088890344</v>
      </c>
      <c r="Y701" s="21">
        <f t="shared" si="108"/>
        <v>11609625.70770085</v>
      </c>
      <c r="Z701" s="15">
        <f>IFERROR(INDEX(Cost_Components!$T$2:$T$27,MATCH(E701,Cost_Components!$A$2:$A$27,0)),"")</f>
        <v>0.8</v>
      </c>
      <c r="AA701" s="24">
        <f>IFERROR(INDEX(Cost_Components!$U$2:$U$27,MATCH(E701,Cost_Components!$A$2:$A$27,0)),"")</f>
        <v>2025</v>
      </c>
      <c r="AB701" s="24">
        <f>IFERROR(INDEX(Cost_Components!$V$2:$V$27,MATCH(E701,Cost_Components!$A$2:$A$27,0)),"")</f>
        <v>2050</v>
      </c>
      <c r="AC701" s="24">
        <f>IFERROR(INDEX(Cost_Components!$M$2:$M$27,MATCH(E701,Cost_Components!$A$2:$A$27,0)),"")</f>
        <v>30</v>
      </c>
      <c r="AD701" s="24">
        <f>IFERROR(INDEX(Cost_Components!$N$2:$N$27,MATCH(E701,Cost_Components!$A$2:$A$27,0)),"")</f>
        <v>95</v>
      </c>
      <c r="AE701" s="14" t="str">
        <f>IFERROR(INDEX(Cost_Components!$O$2:$O$27,MATCH(E701,Cost_Components!$A$2:$A$27,0)),"")</f>
        <v>Both</v>
      </c>
      <c r="AF701" s="11">
        <v>194644723.45612401</v>
      </c>
      <c r="AG701" s="11">
        <v>192514693.56287199</v>
      </c>
      <c r="AH701" s="21">
        <f t="shared" si="109"/>
        <v>1</v>
      </c>
    </row>
    <row r="702" spans="1:34" hidden="1">
      <c r="A702" t="s">
        <v>75</v>
      </c>
      <c r="B702" s="18">
        <v>2049</v>
      </c>
      <c r="C702" t="s">
        <v>159</v>
      </c>
      <c r="E702" s="20" t="s">
        <v>257</v>
      </c>
      <c r="F702" s="20" t="s">
        <v>258</v>
      </c>
      <c r="G702" s="20" t="s">
        <v>168</v>
      </c>
      <c r="H702" s="20" t="s">
        <v>169</v>
      </c>
      <c r="I702" s="20" t="s">
        <v>75</v>
      </c>
      <c r="J702" s="15">
        <f>IFERROR(INDEX(Cost_Components!$K$2:$K$27,MATCH(E702,Cost_Components!$A$2:$A$27,0)),"")</f>
        <v>0.2</v>
      </c>
      <c r="K702" s="15">
        <f t="shared" si="100"/>
        <v>0.7811538461538462</v>
      </c>
      <c r="L702" s="15">
        <f>IFERROR(INDEX(Cost_Components!$S$2:$S$27,MATCH(E702,Cost_Components!$A$2:$A$27,0)),"")</f>
        <v>0.31</v>
      </c>
      <c r="M702" s="26">
        <f>IFERROR(INDEX(Cost_Components!$L$2:$L$27,MATCH(E702,Cost_Components!$A$2:$A$27,0)),"")</f>
        <v>1</v>
      </c>
      <c r="N702" s="27">
        <f>IFERROR(INDEX(Cost_Components!$P$2:$P$27,MATCH(E702,Cost_Components!$A$2:$A$27,0)),"")</f>
        <v>1.2915840000000001</v>
      </c>
      <c r="O702" s="21">
        <f t="shared" si="101"/>
        <v>39120784.7864208</v>
      </c>
      <c r="P702" s="21">
        <f t="shared" si="102"/>
        <v>38652443.984225601</v>
      </c>
      <c r="Q702" s="21">
        <f t="shared" si="103"/>
        <v>15476092.245385833</v>
      </c>
      <c r="R702" s="21">
        <f t="shared" si="104"/>
        <v>39469969.448382378</v>
      </c>
      <c r="S702" s="21">
        <f t="shared" si="105"/>
        <v>23993877.202996545</v>
      </c>
      <c r="T702" s="14">
        <f>IFERROR(INDEX(Cost_Components!$R$2:$R$27,MATCH(E702,Cost_Components!$A$2:$A$27,0)),"")</f>
        <v>1</v>
      </c>
      <c r="U702" s="24">
        <f>IFERROR(INDEX(Cost_Components!$Q$2:$Q$27,MATCH(E702,Cost_Components!$A$2:$A$27,0)),"")</f>
        <v>2023</v>
      </c>
      <c r="V702" s="28">
        <f>1/(1+Calculation_Assumptions!$B$5)^(B702-Calculation_Assumptions!$B$2)</f>
        <v>0.49193373633950943</v>
      </c>
      <c r="W702" s="21">
        <f t="shared" si="106"/>
        <v>7613211.8822075613</v>
      </c>
      <c r="X702" s="21">
        <f t="shared" si="107"/>
        <v>19416609.54394903</v>
      </c>
      <c r="Y702" s="21">
        <f t="shared" si="108"/>
        <v>11803397.661741469</v>
      </c>
      <c r="Z702" s="15">
        <f>IFERROR(INDEX(Cost_Components!$T$2:$T$27,MATCH(E702,Cost_Components!$A$2:$A$27,0)),"")</f>
        <v>0.8</v>
      </c>
      <c r="AA702" s="24">
        <f>IFERROR(INDEX(Cost_Components!$U$2:$U$27,MATCH(E702,Cost_Components!$A$2:$A$27,0)),"")</f>
        <v>2025</v>
      </c>
      <c r="AB702" s="24">
        <f>IFERROR(INDEX(Cost_Components!$V$2:$V$27,MATCH(E702,Cost_Components!$A$2:$A$27,0)),"")</f>
        <v>2050</v>
      </c>
      <c r="AC702" s="24">
        <f>IFERROR(INDEX(Cost_Components!$M$2:$M$27,MATCH(E702,Cost_Components!$A$2:$A$27,0)),"")</f>
        <v>30</v>
      </c>
      <c r="AD702" s="24">
        <f>IFERROR(INDEX(Cost_Components!$N$2:$N$27,MATCH(E702,Cost_Components!$A$2:$A$27,0)),"")</f>
        <v>95</v>
      </c>
      <c r="AE702" s="14" t="str">
        <f>IFERROR(INDEX(Cost_Components!$O$2:$O$27,MATCH(E702,Cost_Components!$A$2:$A$27,0)),"")</f>
        <v>Both</v>
      </c>
      <c r="AF702" s="11">
        <v>195603923.93210399</v>
      </c>
      <c r="AG702" s="11">
        <v>193262219.921128</v>
      </c>
      <c r="AH702" s="21">
        <f t="shared" si="109"/>
        <v>1</v>
      </c>
    </row>
    <row r="703" spans="1:34" hidden="1">
      <c r="A703" t="s">
        <v>75</v>
      </c>
      <c r="B703" s="18">
        <v>2050</v>
      </c>
      <c r="C703" t="s">
        <v>159</v>
      </c>
      <c r="E703" s="20" t="s">
        <v>257</v>
      </c>
      <c r="F703" s="20" t="s">
        <v>258</v>
      </c>
      <c r="G703" s="20" t="s">
        <v>168</v>
      </c>
      <c r="H703" s="20" t="s">
        <v>169</v>
      </c>
      <c r="I703" s="20" t="s">
        <v>75</v>
      </c>
      <c r="J703" s="15">
        <f>IFERROR(INDEX(Cost_Components!$K$2:$K$27,MATCH(E703,Cost_Components!$A$2:$A$27,0)),"")</f>
        <v>0.2</v>
      </c>
      <c r="K703" s="15">
        <f t="shared" si="100"/>
        <v>0.8</v>
      </c>
      <c r="L703" s="15">
        <f>IFERROR(INDEX(Cost_Components!$S$2:$S$27,MATCH(E703,Cost_Components!$A$2:$A$27,0)),"")</f>
        <v>0.31</v>
      </c>
      <c r="M703" s="26">
        <f>IFERROR(INDEX(Cost_Components!$L$2:$L$27,MATCH(E703,Cost_Components!$A$2:$A$27,0)),"")</f>
        <v>1</v>
      </c>
      <c r="N703" s="27">
        <f>IFERROR(INDEX(Cost_Components!$P$2:$P$27,MATCH(E703,Cost_Components!$A$2:$A$27,0)),"")</f>
        <v>1.2915840000000001</v>
      </c>
      <c r="O703" s="21">
        <f t="shared" si="101"/>
        <v>39262829.626474999</v>
      </c>
      <c r="P703" s="21">
        <f t="shared" si="102"/>
        <v>38792200.4647898</v>
      </c>
      <c r="Q703" s="21">
        <f t="shared" si="103"/>
        <v>15532049.487985671</v>
      </c>
      <c r="R703" s="21">
        <f t="shared" si="104"/>
        <v>40568994.032224871</v>
      </c>
      <c r="S703" s="21">
        <f t="shared" si="105"/>
        <v>25036944.544239201</v>
      </c>
      <c r="T703" s="14">
        <f>IFERROR(INDEX(Cost_Components!$R$2:$R$27,MATCH(E703,Cost_Components!$A$2:$A$27,0)),"")</f>
        <v>1</v>
      </c>
      <c r="U703" s="24">
        <f>IFERROR(INDEX(Cost_Components!$Q$2:$Q$27,MATCH(E703,Cost_Components!$A$2:$A$27,0)),"")</f>
        <v>2023</v>
      </c>
      <c r="V703" s="28">
        <f>1/(1+Calculation_Assumptions!$B$5)^(B703-Calculation_Assumptions!$B$2)</f>
        <v>0.47760556926165965</v>
      </c>
      <c r="W703" s="21">
        <f t="shared" si="106"/>
        <v>7418193.3375096656</v>
      </c>
      <c r="X703" s="21">
        <f t="shared" si="107"/>
        <v>19375977.489133634</v>
      </c>
      <c r="Y703" s="21">
        <f t="shared" si="108"/>
        <v>11957784.151623968</v>
      </c>
      <c r="Z703" s="15">
        <f>IFERROR(INDEX(Cost_Components!$T$2:$T$27,MATCH(E703,Cost_Components!$A$2:$A$27,0)),"")</f>
        <v>0.8</v>
      </c>
      <c r="AA703" s="24">
        <f>IFERROR(INDEX(Cost_Components!$U$2:$U$27,MATCH(E703,Cost_Components!$A$2:$A$27,0)),"")</f>
        <v>2025</v>
      </c>
      <c r="AB703" s="24">
        <f>IFERROR(INDEX(Cost_Components!$V$2:$V$27,MATCH(E703,Cost_Components!$A$2:$A$27,0)),"")</f>
        <v>2050</v>
      </c>
      <c r="AC703" s="24">
        <f>IFERROR(INDEX(Cost_Components!$M$2:$M$27,MATCH(E703,Cost_Components!$A$2:$A$27,0)),"")</f>
        <v>30</v>
      </c>
      <c r="AD703" s="24">
        <f>IFERROR(INDEX(Cost_Components!$N$2:$N$27,MATCH(E703,Cost_Components!$A$2:$A$27,0)),"")</f>
        <v>95</v>
      </c>
      <c r="AE703" s="14" t="str">
        <f>IFERROR(INDEX(Cost_Components!$O$2:$O$27,MATCH(E703,Cost_Components!$A$2:$A$27,0)),"")</f>
        <v>Both</v>
      </c>
      <c r="AF703" s="11">
        <v>196314148.132375</v>
      </c>
      <c r="AG703" s="11">
        <v>193961002.32394901</v>
      </c>
      <c r="AH703" s="21">
        <f t="shared" si="109"/>
        <v>1</v>
      </c>
    </row>
    <row r="704" spans="1:34" hidden="1">
      <c r="A704" t="s">
        <v>75</v>
      </c>
      <c r="B704" s="18">
        <v>2025</v>
      </c>
      <c r="C704" t="s">
        <v>159</v>
      </c>
      <c r="E704" s="20" t="s">
        <v>251</v>
      </c>
      <c r="F704" s="20" t="s">
        <v>252</v>
      </c>
      <c r="G704" s="20" t="s">
        <v>168</v>
      </c>
      <c r="H704" s="20" t="s">
        <v>169</v>
      </c>
      <c r="I704" s="20" t="s">
        <v>75</v>
      </c>
      <c r="J704" s="15">
        <f>IFERROR(INDEX(Cost_Components!$K$2:$K$27,MATCH(E704,Cost_Components!$A$2:$A$27,0)),"")</f>
        <v>0.06</v>
      </c>
      <c r="K704" s="15">
        <f t="shared" si="100"/>
        <v>0.32884615384615384</v>
      </c>
      <c r="L704" s="15">
        <f>IFERROR(INDEX(Cost_Components!$S$2:$S$27,MATCH(E704,Cost_Components!$A$2:$A$27,0)),"")</f>
        <v>0.31</v>
      </c>
      <c r="M704" s="26">
        <f>IFERROR(INDEX(Cost_Components!$L$2:$L$27,MATCH(E704,Cost_Components!$A$2:$A$27,0)),"")</f>
        <v>1</v>
      </c>
      <c r="N704" s="27">
        <f>IFERROR(INDEX(Cost_Components!$P$2:$P$27,MATCH(E704,Cost_Components!$A$2:$A$27,0)),"")</f>
        <v>22.229600000000001</v>
      </c>
      <c r="O704" s="21">
        <f t="shared" si="101"/>
        <v>9109469.8936243188</v>
      </c>
      <c r="P704" s="21">
        <f t="shared" si="102"/>
        <v>9109469.8936243188</v>
      </c>
      <c r="Q704" s="21">
        <f t="shared" si="103"/>
        <v>62774960.303666458</v>
      </c>
      <c r="R704" s="21">
        <f t="shared" si="104"/>
        <v>66591304.044211946</v>
      </c>
      <c r="S704" s="21">
        <f t="shared" si="105"/>
        <v>3816343.7405454889</v>
      </c>
      <c r="T704" s="14">
        <f>IFERROR(INDEX(Cost_Components!$R$2:$R$27,MATCH(E704,Cost_Components!$A$2:$A$27,0)),"")</f>
        <v>1</v>
      </c>
      <c r="U704" s="24">
        <f>IFERROR(INDEX(Cost_Components!$Q$2:$Q$27,MATCH(E704,Cost_Components!$A$2:$A$27,0)),"")</f>
        <v>2023</v>
      </c>
      <c r="V704" s="28">
        <f>1/(1+Calculation_Assumptions!$B$5)^(B704-Calculation_Assumptions!$B$2)</f>
        <v>1</v>
      </c>
      <c r="W704" s="21">
        <f t="shared" si="106"/>
        <v>62774960.303666458</v>
      </c>
      <c r="X704" s="21">
        <f t="shared" si="107"/>
        <v>66591304.044211946</v>
      </c>
      <c r="Y704" s="21">
        <f t="shared" si="108"/>
        <v>3816343.7405454889</v>
      </c>
      <c r="Z704" s="15">
        <f>IFERROR(INDEX(Cost_Components!$T$2:$T$27,MATCH(E704,Cost_Components!$A$2:$A$27,0)),"")</f>
        <v>0.8</v>
      </c>
      <c r="AA704" s="24">
        <f>IFERROR(INDEX(Cost_Components!$U$2:$U$27,MATCH(E704,Cost_Components!$A$2:$A$27,0)),"")</f>
        <v>2025</v>
      </c>
      <c r="AB704" s="24">
        <f>IFERROR(INDEX(Cost_Components!$V$2:$V$27,MATCH(E704,Cost_Components!$A$2:$A$27,0)),"")</f>
        <v>2050</v>
      </c>
      <c r="AC704" s="24">
        <f>IFERROR(INDEX(Cost_Components!$M$2:$M$27,MATCH(E704,Cost_Components!$A$2:$A$27,0)),"")</f>
        <v>30</v>
      </c>
      <c r="AD704" s="24">
        <f>IFERROR(INDEX(Cost_Components!$N$2:$N$27,MATCH(E704,Cost_Components!$A$2:$A$27,0)),"")</f>
        <v>95</v>
      </c>
      <c r="AE704" s="14" t="str">
        <f>IFERROR(INDEX(Cost_Components!$O$2:$O$27,MATCH(E704,Cost_Components!$A$2:$A$27,0)),"")</f>
        <v>Both</v>
      </c>
      <c r="AF704" s="11">
        <v>151824498.227072</v>
      </c>
      <c r="AG704" s="11">
        <v>151824498.227072</v>
      </c>
      <c r="AH704" s="21">
        <f t="shared" si="109"/>
        <v>1</v>
      </c>
    </row>
    <row r="705" spans="1:34" hidden="1">
      <c r="A705" t="s">
        <v>75</v>
      </c>
      <c r="B705" s="18">
        <v>2026</v>
      </c>
      <c r="C705" t="s">
        <v>159</v>
      </c>
      <c r="E705" s="20" t="s">
        <v>251</v>
      </c>
      <c r="F705" s="20" t="s">
        <v>252</v>
      </c>
      <c r="G705" s="20" t="s">
        <v>168</v>
      </c>
      <c r="H705" s="20" t="s">
        <v>169</v>
      </c>
      <c r="I705" s="20" t="s">
        <v>75</v>
      </c>
      <c r="J705" s="15">
        <f>IFERROR(INDEX(Cost_Components!$K$2:$K$27,MATCH(E705,Cost_Components!$A$2:$A$27,0)),"")</f>
        <v>0.06</v>
      </c>
      <c r="K705" s="15">
        <f t="shared" si="100"/>
        <v>0.34769230769230769</v>
      </c>
      <c r="L705" s="15">
        <f>IFERROR(INDEX(Cost_Components!$S$2:$S$27,MATCH(E705,Cost_Components!$A$2:$A$27,0)),"")</f>
        <v>0.31</v>
      </c>
      <c r="M705" s="26">
        <f>IFERROR(INDEX(Cost_Components!$L$2:$L$27,MATCH(E705,Cost_Components!$A$2:$A$27,0)),"")</f>
        <v>1</v>
      </c>
      <c r="N705" s="27">
        <f>IFERROR(INDEX(Cost_Components!$P$2:$P$27,MATCH(E705,Cost_Components!$A$2:$A$27,0)),"")</f>
        <v>22.229600000000001</v>
      </c>
      <c r="O705" s="21">
        <f t="shared" si="101"/>
        <v>9252223.0171309803</v>
      </c>
      <c r="P705" s="21">
        <f t="shared" si="102"/>
        <v>9246734.6899928413</v>
      </c>
      <c r="Q705" s="21">
        <f t="shared" si="103"/>
        <v>63720876.174046114</v>
      </c>
      <c r="R705" s="21">
        <f t="shared" si="104"/>
        <v>71510995.373299927</v>
      </c>
      <c r="S705" s="21">
        <f t="shared" si="105"/>
        <v>7790119.1992538124</v>
      </c>
      <c r="T705" s="14">
        <f>IFERROR(INDEX(Cost_Components!$R$2:$R$27,MATCH(E705,Cost_Components!$A$2:$A$27,0)),"")</f>
        <v>1</v>
      </c>
      <c r="U705" s="24">
        <f>IFERROR(INDEX(Cost_Components!$Q$2:$Q$27,MATCH(E705,Cost_Components!$A$2:$A$27,0)),"")</f>
        <v>2023</v>
      </c>
      <c r="V705" s="28">
        <f>1/(1+Calculation_Assumptions!$B$5)^(B705-Calculation_Assumptions!$B$2)</f>
        <v>0.970873786407767</v>
      </c>
      <c r="W705" s="21">
        <f t="shared" si="106"/>
        <v>61864928.324316613</v>
      </c>
      <c r="X705" s="21">
        <f t="shared" si="107"/>
        <v>69428150.847864002</v>
      </c>
      <c r="Y705" s="21">
        <f t="shared" si="108"/>
        <v>7563222.5235473905</v>
      </c>
      <c r="Z705" s="15">
        <f>IFERROR(INDEX(Cost_Components!$T$2:$T$27,MATCH(E705,Cost_Components!$A$2:$A$27,0)),"")</f>
        <v>0.8</v>
      </c>
      <c r="AA705" s="24">
        <f>IFERROR(INDEX(Cost_Components!$U$2:$U$27,MATCH(E705,Cost_Components!$A$2:$A$27,0)),"")</f>
        <v>2025</v>
      </c>
      <c r="AB705" s="24">
        <f>IFERROR(INDEX(Cost_Components!$V$2:$V$27,MATCH(E705,Cost_Components!$A$2:$A$27,0)),"")</f>
        <v>2050</v>
      </c>
      <c r="AC705" s="24">
        <f>IFERROR(INDEX(Cost_Components!$M$2:$M$27,MATCH(E705,Cost_Components!$A$2:$A$27,0)),"")</f>
        <v>30</v>
      </c>
      <c r="AD705" s="24">
        <f>IFERROR(INDEX(Cost_Components!$N$2:$N$27,MATCH(E705,Cost_Components!$A$2:$A$27,0)),"")</f>
        <v>95</v>
      </c>
      <c r="AE705" s="14" t="str">
        <f>IFERROR(INDEX(Cost_Components!$O$2:$O$27,MATCH(E705,Cost_Components!$A$2:$A$27,0)),"")</f>
        <v>Both</v>
      </c>
      <c r="AF705" s="11">
        <v>154203716.95218301</v>
      </c>
      <c r="AG705" s="11">
        <v>154112244.83321401</v>
      </c>
      <c r="AH705" s="21">
        <f t="shared" si="109"/>
        <v>1</v>
      </c>
    </row>
    <row r="706" spans="1:34" hidden="1">
      <c r="A706" t="s">
        <v>75</v>
      </c>
      <c r="B706" s="18">
        <v>2027</v>
      </c>
      <c r="C706" t="s">
        <v>159</v>
      </c>
      <c r="E706" s="20" t="s">
        <v>251</v>
      </c>
      <c r="F706" s="20" t="s">
        <v>252</v>
      </c>
      <c r="G706" s="20" t="s">
        <v>168</v>
      </c>
      <c r="H706" s="20" t="s">
        <v>169</v>
      </c>
      <c r="I706" s="20" t="s">
        <v>75</v>
      </c>
      <c r="J706" s="15">
        <f>IFERROR(INDEX(Cost_Components!$K$2:$K$27,MATCH(E706,Cost_Components!$A$2:$A$27,0)),"")</f>
        <v>0.06</v>
      </c>
      <c r="K706" s="15">
        <f t="shared" ref="K706:K769" si="110">IF(OR(L706="",Z706="",AA706="",AB706=""),"",IF(B706&lt;AA706,L706,IF(B706&gt;AB706,Z706,L706+(Z706-L706)*MIN(MAX((B706-AA706+1)/MAX(AB706-AA706+1,1),0),1))))</f>
        <v>0.36653846153846154</v>
      </c>
      <c r="L706" s="15">
        <f>IFERROR(INDEX(Cost_Components!$S$2:$S$27,MATCH(E706,Cost_Components!$A$2:$A$27,0)),"")</f>
        <v>0.31</v>
      </c>
      <c r="M706" s="26">
        <f>IFERROR(INDEX(Cost_Components!$L$2:$L$27,MATCH(E706,Cost_Components!$A$2:$A$27,0)),"")</f>
        <v>1</v>
      </c>
      <c r="N706" s="27">
        <f>IFERROR(INDEX(Cost_Components!$P$2:$P$27,MATCH(E706,Cost_Components!$A$2:$A$27,0)),"")</f>
        <v>22.229600000000001</v>
      </c>
      <c r="O706" s="21">
        <f t="shared" ref="O706:O769" si="111">AF706*J706</f>
        <v>9394338.8784019183</v>
      </c>
      <c r="P706" s="21">
        <f t="shared" ref="P706:P769" si="112">AG706*J706</f>
        <v>9387391.7497119606</v>
      </c>
      <c r="Q706" s="21">
        <f t="shared" ref="Q706:Q769" si="113">P706*L706*M706*N706</f>
        <v>64690168.728213079</v>
      </c>
      <c r="R706" s="21">
        <f t="shared" ref="R706:R769" si="114">O706*K706*M706*N706</f>
        <v>76545104.977442741</v>
      </c>
      <c r="S706" s="21">
        <f t="shared" ref="S706:S769" si="115">R706-Q706</f>
        <v>11854936.249229662</v>
      </c>
      <c r="T706" s="14">
        <f>IFERROR(INDEX(Cost_Components!$R$2:$R$27,MATCH(E706,Cost_Components!$A$2:$A$27,0)),"")</f>
        <v>1</v>
      </c>
      <c r="U706" s="24">
        <f>IFERROR(INDEX(Cost_Components!$Q$2:$Q$27,MATCH(E706,Cost_Components!$A$2:$A$27,0)),"")</f>
        <v>2023</v>
      </c>
      <c r="V706" s="28">
        <f>1/(1+Calculation_Assumptions!$B$5)^(B706-Calculation_Assumptions!$B$2)</f>
        <v>0.94259590913375435</v>
      </c>
      <c r="W706" s="21">
        <f t="shared" ref="W706:W769" si="116">Q706*V706</f>
        <v>60976688.404385976</v>
      </c>
      <c r="X706" s="21">
        <f t="shared" ref="X706:X769" si="117">R706*V706</f>
        <v>72151102.815951303</v>
      </c>
      <c r="Y706" s="21">
        <f t="shared" ref="Y706:Y769" si="118">S706*V706</f>
        <v>11174414.411565334</v>
      </c>
      <c r="Z706" s="15">
        <f>IFERROR(INDEX(Cost_Components!$T$2:$T$27,MATCH(E706,Cost_Components!$A$2:$A$27,0)),"")</f>
        <v>0.8</v>
      </c>
      <c r="AA706" s="24">
        <f>IFERROR(INDEX(Cost_Components!$U$2:$U$27,MATCH(E706,Cost_Components!$A$2:$A$27,0)),"")</f>
        <v>2025</v>
      </c>
      <c r="AB706" s="24">
        <f>IFERROR(INDEX(Cost_Components!$V$2:$V$27,MATCH(E706,Cost_Components!$A$2:$A$27,0)),"")</f>
        <v>2050</v>
      </c>
      <c r="AC706" s="24">
        <f>IFERROR(INDEX(Cost_Components!$M$2:$M$27,MATCH(E706,Cost_Components!$A$2:$A$27,0)),"")</f>
        <v>30</v>
      </c>
      <c r="AD706" s="24">
        <f>IFERROR(INDEX(Cost_Components!$N$2:$N$27,MATCH(E706,Cost_Components!$A$2:$A$27,0)),"")</f>
        <v>95</v>
      </c>
      <c r="AE706" s="14" t="str">
        <f>IFERROR(INDEX(Cost_Components!$O$2:$O$27,MATCH(E706,Cost_Components!$A$2:$A$27,0)),"")</f>
        <v>Both</v>
      </c>
      <c r="AF706" s="11">
        <v>156572314.64003199</v>
      </c>
      <c r="AG706" s="11">
        <v>156456529.16186601</v>
      </c>
      <c r="AH706" s="21">
        <f t="shared" ref="AH706:AH769" si="119">IF(H706="shared-count-once",COUNTIFS($A$2:$A$1353,A706,$B$2:$B$1353,B706,$E$2:$E$1353,E706),1)</f>
        <v>1</v>
      </c>
    </row>
    <row r="707" spans="1:34" hidden="1">
      <c r="A707" t="s">
        <v>75</v>
      </c>
      <c r="B707" s="18">
        <v>2028</v>
      </c>
      <c r="C707" t="s">
        <v>159</v>
      </c>
      <c r="E707" s="20" t="s">
        <v>251</v>
      </c>
      <c r="F707" s="20" t="s">
        <v>252</v>
      </c>
      <c r="G707" s="20" t="s">
        <v>168</v>
      </c>
      <c r="H707" s="20" t="s">
        <v>169</v>
      </c>
      <c r="I707" s="20" t="s">
        <v>75</v>
      </c>
      <c r="J707" s="15">
        <f>IFERROR(INDEX(Cost_Components!$K$2:$K$27,MATCH(E707,Cost_Components!$A$2:$A$27,0)),"")</f>
        <v>0.06</v>
      </c>
      <c r="K707" s="15">
        <f t="shared" si="110"/>
        <v>0.38538461538461538</v>
      </c>
      <c r="L707" s="15">
        <f>IFERROR(INDEX(Cost_Components!$S$2:$S$27,MATCH(E707,Cost_Components!$A$2:$A$27,0)),"")</f>
        <v>0.31</v>
      </c>
      <c r="M707" s="26">
        <f>IFERROR(INDEX(Cost_Components!$L$2:$L$27,MATCH(E707,Cost_Components!$A$2:$A$27,0)),"")</f>
        <v>1</v>
      </c>
      <c r="N707" s="27">
        <f>IFERROR(INDEX(Cost_Components!$P$2:$P$27,MATCH(E707,Cost_Components!$A$2:$A$27,0)),"")</f>
        <v>22.229600000000001</v>
      </c>
      <c r="O707" s="21">
        <f t="shared" si="111"/>
        <v>9532289.5070857201</v>
      </c>
      <c r="P707" s="21">
        <f t="shared" si="112"/>
        <v>9523450.1565648001</v>
      </c>
      <c r="Q707" s="21">
        <f t="shared" si="113"/>
        <v>65627771.156115599</v>
      </c>
      <c r="R707" s="21">
        <f t="shared" si="114"/>
        <v>81662607.997063905</v>
      </c>
      <c r="S707" s="21">
        <f t="shared" si="115"/>
        <v>16034836.840948306</v>
      </c>
      <c r="T707" s="14">
        <f>IFERROR(INDEX(Cost_Components!$R$2:$R$27,MATCH(E707,Cost_Components!$A$2:$A$27,0)),"")</f>
        <v>1</v>
      </c>
      <c r="U707" s="24">
        <f>IFERROR(INDEX(Cost_Components!$Q$2:$Q$27,MATCH(E707,Cost_Components!$A$2:$A$27,0)),"")</f>
        <v>2023</v>
      </c>
      <c r="V707" s="28">
        <f>1/(1+Calculation_Assumptions!$B$5)^(B707-Calculation_Assumptions!$B$2)</f>
        <v>0.91514165935315961</v>
      </c>
      <c r="W707" s="21">
        <f t="shared" si="116"/>
        <v>60058707.395457052</v>
      </c>
      <c r="X707" s="21">
        <f t="shared" si="117"/>
        <v>74732854.589539662</v>
      </c>
      <c r="Y707" s="21">
        <f t="shared" si="118"/>
        <v>14674147.194082608</v>
      </c>
      <c r="Z707" s="15">
        <f>IFERROR(INDEX(Cost_Components!$T$2:$T$27,MATCH(E707,Cost_Components!$A$2:$A$27,0)),"")</f>
        <v>0.8</v>
      </c>
      <c r="AA707" s="24">
        <f>IFERROR(INDEX(Cost_Components!$U$2:$U$27,MATCH(E707,Cost_Components!$A$2:$A$27,0)),"")</f>
        <v>2025</v>
      </c>
      <c r="AB707" s="24">
        <f>IFERROR(INDEX(Cost_Components!$V$2:$V$27,MATCH(E707,Cost_Components!$A$2:$A$27,0)),"")</f>
        <v>2050</v>
      </c>
      <c r="AC707" s="24">
        <f>IFERROR(INDEX(Cost_Components!$M$2:$M$27,MATCH(E707,Cost_Components!$A$2:$A$27,0)),"")</f>
        <v>30</v>
      </c>
      <c r="AD707" s="24">
        <f>IFERROR(INDEX(Cost_Components!$N$2:$N$27,MATCH(E707,Cost_Components!$A$2:$A$27,0)),"")</f>
        <v>95</v>
      </c>
      <c r="AE707" s="14" t="str">
        <f>IFERROR(INDEX(Cost_Components!$O$2:$O$27,MATCH(E707,Cost_Components!$A$2:$A$27,0)),"")</f>
        <v>Both</v>
      </c>
      <c r="AF707" s="11">
        <v>158871491.784762</v>
      </c>
      <c r="AG707" s="11">
        <v>158724169.27608001</v>
      </c>
      <c r="AH707" s="21">
        <f t="shared" si="119"/>
        <v>1</v>
      </c>
    </row>
    <row r="708" spans="1:34" hidden="1">
      <c r="A708" t="s">
        <v>75</v>
      </c>
      <c r="B708" s="18">
        <v>2029</v>
      </c>
      <c r="C708" t="s">
        <v>159</v>
      </c>
      <c r="E708" s="20" t="s">
        <v>251</v>
      </c>
      <c r="F708" s="20" t="s">
        <v>252</v>
      </c>
      <c r="G708" s="20" t="s">
        <v>168</v>
      </c>
      <c r="H708" s="20" t="s">
        <v>169</v>
      </c>
      <c r="I708" s="20" t="s">
        <v>75</v>
      </c>
      <c r="J708" s="15">
        <f>IFERROR(INDEX(Cost_Components!$K$2:$K$27,MATCH(E708,Cost_Components!$A$2:$A$27,0)),"")</f>
        <v>0.06</v>
      </c>
      <c r="K708" s="15">
        <f t="shared" si="110"/>
        <v>0.40423076923076923</v>
      </c>
      <c r="L708" s="15">
        <f>IFERROR(INDEX(Cost_Components!$S$2:$S$27,MATCH(E708,Cost_Components!$A$2:$A$27,0)),"")</f>
        <v>0.31</v>
      </c>
      <c r="M708" s="26">
        <f>IFERROR(INDEX(Cost_Components!$L$2:$L$27,MATCH(E708,Cost_Components!$A$2:$A$27,0)),"")</f>
        <v>1</v>
      </c>
      <c r="N708" s="27">
        <f>IFERROR(INDEX(Cost_Components!$P$2:$P$27,MATCH(E708,Cost_Components!$A$2:$A$27,0)),"")</f>
        <v>22.229600000000001</v>
      </c>
      <c r="O708" s="21">
        <f t="shared" si="111"/>
        <v>9656433.5649680998</v>
      </c>
      <c r="P708" s="21">
        <f t="shared" si="112"/>
        <v>9654058.5549028199</v>
      </c>
      <c r="Q708" s="21">
        <f t="shared" si="113"/>
        <v>66527816.616140999</v>
      </c>
      <c r="R708" s="21">
        <f t="shared" si="114"/>
        <v>86771633.4654544</v>
      </c>
      <c r="S708" s="21">
        <f t="shared" si="115"/>
        <v>20243816.849313401</v>
      </c>
      <c r="T708" s="14">
        <f>IFERROR(INDEX(Cost_Components!$R$2:$R$27,MATCH(E708,Cost_Components!$A$2:$A$27,0)),"")</f>
        <v>1</v>
      </c>
      <c r="U708" s="24">
        <f>IFERROR(INDEX(Cost_Components!$Q$2:$Q$27,MATCH(E708,Cost_Components!$A$2:$A$27,0)),"")</f>
        <v>2023</v>
      </c>
      <c r="V708" s="28">
        <f>1/(1+Calculation_Assumptions!$B$5)^(B708-Calculation_Assumptions!$B$2)</f>
        <v>0.888487047915689</v>
      </c>
      <c r="W708" s="21">
        <f t="shared" si="116"/>
        <v>59109103.389551438</v>
      </c>
      <c r="X708" s="21">
        <f t="shared" si="117"/>
        <v>77095472.460543782</v>
      </c>
      <c r="Y708" s="21">
        <f t="shared" si="118"/>
        <v>17986369.070992347</v>
      </c>
      <c r="Z708" s="15">
        <f>IFERROR(INDEX(Cost_Components!$T$2:$T$27,MATCH(E708,Cost_Components!$A$2:$A$27,0)),"")</f>
        <v>0.8</v>
      </c>
      <c r="AA708" s="24">
        <f>IFERROR(INDEX(Cost_Components!$U$2:$U$27,MATCH(E708,Cost_Components!$A$2:$A$27,0)),"")</f>
        <v>2025</v>
      </c>
      <c r="AB708" s="24">
        <f>IFERROR(INDEX(Cost_Components!$V$2:$V$27,MATCH(E708,Cost_Components!$A$2:$A$27,0)),"")</f>
        <v>2050</v>
      </c>
      <c r="AC708" s="24">
        <f>IFERROR(INDEX(Cost_Components!$M$2:$M$27,MATCH(E708,Cost_Components!$A$2:$A$27,0)),"")</f>
        <v>30</v>
      </c>
      <c r="AD708" s="24">
        <f>IFERROR(INDEX(Cost_Components!$N$2:$N$27,MATCH(E708,Cost_Components!$A$2:$A$27,0)),"")</f>
        <v>95</v>
      </c>
      <c r="AE708" s="14" t="str">
        <f>IFERROR(INDEX(Cost_Components!$O$2:$O$27,MATCH(E708,Cost_Components!$A$2:$A$27,0)),"")</f>
        <v>Both</v>
      </c>
      <c r="AF708" s="11">
        <v>160940559.41613501</v>
      </c>
      <c r="AG708" s="11">
        <v>160900975.91504699</v>
      </c>
      <c r="AH708" s="21">
        <f t="shared" si="119"/>
        <v>1</v>
      </c>
    </row>
    <row r="709" spans="1:34" hidden="1">
      <c r="A709" t="s">
        <v>75</v>
      </c>
      <c r="B709" s="18">
        <v>2030</v>
      </c>
      <c r="C709" t="s">
        <v>159</v>
      </c>
      <c r="E709" s="20" t="s">
        <v>251</v>
      </c>
      <c r="F709" s="20" t="s">
        <v>252</v>
      </c>
      <c r="G709" s="20" t="s">
        <v>168</v>
      </c>
      <c r="H709" s="20" t="s">
        <v>169</v>
      </c>
      <c r="I709" s="20" t="s">
        <v>75</v>
      </c>
      <c r="J709" s="15">
        <f>IFERROR(INDEX(Cost_Components!$K$2:$K$27,MATCH(E709,Cost_Components!$A$2:$A$27,0)),"")</f>
        <v>0.06</v>
      </c>
      <c r="K709" s="15">
        <f t="shared" si="110"/>
        <v>0.42307692307692307</v>
      </c>
      <c r="L709" s="15">
        <f>IFERROR(INDEX(Cost_Components!$S$2:$S$27,MATCH(E709,Cost_Components!$A$2:$A$27,0)),"")</f>
        <v>0.31</v>
      </c>
      <c r="M709" s="26">
        <f>IFERROR(INDEX(Cost_Components!$L$2:$L$27,MATCH(E709,Cost_Components!$A$2:$A$27,0)),"")</f>
        <v>1</v>
      </c>
      <c r="N709" s="27">
        <f>IFERROR(INDEX(Cost_Components!$P$2:$P$27,MATCH(E709,Cost_Components!$A$2:$A$27,0)),"")</f>
        <v>22.229600000000001</v>
      </c>
      <c r="O709" s="21">
        <f t="shared" si="111"/>
        <v>9780243.537024539</v>
      </c>
      <c r="P709" s="21">
        <f t="shared" si="112"/>
        <v>9776367.9481487405</v>
      </c>
      <c r="Q709" s="21">
        <f t="shared" si="113"/>
        <v>67370672.171451852</v>
      </c>
      <c r="R709" s="21">
        <f t="shared" si="114"/>
        <v>91981535.347578749</v>
      </c>
      <c r="S709" s="21">
        <f t="shared" si="115"/>
        <v>24610863.176126897</v>
      </c>
      <c r="T709" s="14">
        <f>IFERROR(INDEX(Cost_Components!$R$2:$R$27,MATCH(E709,Cost_Components!$A$2:$A$27,0)),"")</f>
        <v>1</v>
      </c>
      <c r="U709" s="24">
        <f>IFERROR(INDEX(Cost_Components!$Q$2:$Q$27,MATCH(E709,Cost_Components!$A$2:$A$27,0)),"")</f>
        <v>2023</v>
      </c>
      <c r="V709" s="28">
        <f>1/(1+Calculation_Assumptions!$B$5)^(B709-Calculation_Assumptions!$B$2)</f>
        <v>0.86260878438416411</v>
      </c>
      <c r="W709" s="21">
        <f t="shared" si="116"/>
        <v>58114533.624960117</v>
      </c>
      <c r="X709" s="21">
        <f t="shared" si="117"/>
        <v>79344080.391963929</v>
      </c>
      <c r="Y709" s="21">
        <f t="shared" si="118"/>
        <v>21229546.767003812</v>
      </c>
      <c r="Z709" s="15">
        <f>IFERROR(INDEX(Cost_Components!$T$2:$T$27,MATCH(E709,Cost_Components!$A$2:$A$27,0)),"")</f>
        <v>0.8</v>
      </c>
      <c r="AA709" s="24">
        <f>IFERROR(INDEX(Cost_Components!$U$2:$U$27,MATCH(E709,Cost_Components!$A$2:$A$27,0)),"")</f>
        <v>2025</v>
      </c>
      <c r="AB709" s="24">
        <f>IFERROR(INDEX(Cost_Components!$V$2:$V$27,MATCH(E709,Cost_Components!$A$2:$A$27,0)),"")</f>
        <v>2050</v>
      </c>
      <c r="AC709" s="24">
        <f>IFERROR(INDEX(Cost_Components!$M$2:$M$27,MATCH(E709,Cost_Components!$A$2:$A$27,0)),"")</f>
        <v>30</v>
      </c>
      <c r="AD709" s="24">
        <f>IFERROR(INDEX(Cost_Components!$N$2:$N$27,MATCH(E709,Cost_Components!$A$2:$A$27,0)),"")</f>
        <v>95</v>
      </c>
      <c r="AE709" s="14" t="str">
        <f>IFERROR(INDEX(Cost_Components!$O$2:$O$27,MATCH(E709,Cost_Components!$A$2:$A$27,0)),"")</f>
        <v>Both</v>
      </c>
      <c r="AF709" s="11">
        <v>163004058.950409</v>
      </c>
      <c r="AG709" s="11">
        <v>162939465.802479</v>
      </c>
      <c r="AH709" s="21">
        <f t="shared" si="119"/>
        <v>1</v>
      </c>
    </row>
    <row r="710" spans="1:34" hidden="1">
      <c r="A710" t="s">
        <v>75</v>
      </c>
      <c r="B710" s="18">
        <v>2031</v>
      </c>
      <c r="C710" t="s">
        <v>159</v>
      </c>
      <c r="E710" s="20" t="s">
        <v>251</v>
      </c>
      <c r="F710" s="20" t="s">
        <v>252</v>
      </c>
      <c r="G710" s="20" t="s">
        <v>168</v>
      </c>
      <c r="H710" s="20" t="s">
        <v>169</v>
      </c>
      <c r="I710" s="20" t="s">
        <v>75</v>
      </c>
      <c r="J710" s="15">
        <f>IFERROR(INDEX(Cost_Components!$K$2:$K$27,MATCH(E710,Cost_Components!$A$2:$A$27,0)),"")</f>
        <v>0.06</v>
      </c>
      <c r="K710" s="15">
        <f t="shared" si="110"/>
        <v>0.44192307692307692</v>
      </c>
      <c r="L710" s="15">
        <f>IFERROR(INDEX(Cost_Components!$S$2:$S$27,MATCH(E710,Cost_Components!$A$2:$A$27,0)),"")</f>
        <v>0.31</v>
      </c>
      <c r="M710" s="26">
        <f>IFERROR(INDEX(Cost_Components!$L$2:$L$27,MATCH(E710,Cost_Components!$A$2:$A$27,0)),"")</f>
        <v>1</v>
      </c>
      <c r="N710" s="27">
        <f>IFERROR(INDEX(Cost_Components!$P$2:$P$27,MATCH(E710,Cost_Components!$A$2:$A$27,0)),"")</f>
        <v>22.229600000000001</v>
      </c>
      <c r="O710" s="21">
        <f t="shared" si="111"/>
        <v>9899786.71284228</v>
      </c>
      <c r="P710" s="21">
        <f t="shared" si="112"/>
        <v>9893965.3072461598</v>
      </c>
      <c r="Q710" s="21">
        <f t="shared" si="113"/>
        <v>68181056.270127356</v>
      </c>
      <c r="R710" s="21">
        <f t="shared" si="114"/>
        <v>97253259.699944913</v>
      </c>
      <c r="S710" s="21">
        <f t="shared" si="115"/>
        <v>29072203.429817557</v>
      </c>
      <c r="T710" s="14">
        <f>IFERROR(INDEX(Cost_Components!$R$2:$R$27,MATCH(E710,Cost_Components!$A$2:$A$27,0)),"")</f>
        <v>1</v>
      </c>
      <c r="U710" s="24">
        <f>IFERROR(INDEX(Cost_Components!$Q$2:$Q$27,MATCH(E710,Cost_Components!$A$2:$A$27,0)),"")</f>
        <v>2023</v>
      </c>
      <c r="V710" s="28">
        <f>1/(1+Calculation_Assumptions!$B$5)^(B710-Calculation_Assumptions!$B$2)</f>
        <v>0.83748425668365445</v>
      </c>
      <c r="W710" s="21">
        <f t="shared" si="116"/>
        <v>57100561.230294026</v>
      </c>
      <c r="X710" s="21">
        <f t="shared" si="117"/>
        <v>81448073.909870774</v>
      </c>
      <c r="Y710" s="21">
        <f t="shared" si="118"/>
        <v>24347512.679576747</v>
      </c>
      <c r="Z710" s="15">
        <f>IFERROR(INDEX(Cost_Components!$T$2:$T$27,MATCH(E710,Cost_Components!$A$2:$A$27,0)),"")</f>
        <v>0.8</v>
      </c>
      <c r="AA710" s="24">
        <f>IFERROR(INDEX(Cost_Components!$U$2:$U$27,MATCH(E710,Cost_Components!$A$2:$A$27,0)),"")</f>
        <v>2025</v>
      </c>
      <c r="AB710" s="24">
        <f>IFERROR(INDEX(Cost_Components!$V$2:$V$27,MATCH(E710,Cost_Components!$A$2:$A$27,0)),"")</f>
        <v>2050</v>
      </c>
      <c r="AC710" s="24">
        <f>IFERROR(INDEX(Cost_Components!$M$2:$M$27,MATCH(E710,Cost_Components!$A$2:$A$27,0)),"")</f>
        <v>30</v>
      </c>
      <c r="AD710" s="24">
        <f>IFERROR(INDEX(Cost_Components!$N$2:$N$27,MATCH(E710,Cost_Components!$A$2:$A$27,0)),"")</f>
        <v>95</v>
      </c>
      <c r="AE710" s="14" t="str">
        <f>IFERROR(INDEX(Cost_Components!$O$2:$O$27,MATCH(E710,Cost_Components!$A$2:$A$27,0)),"")</f>
        <v>Both</v>
      </c>
      <c r="AF710" s="11">
        <v>164996445.21403801</v>
      </c>
      <c r="AG710" s="11">
        <v>164899421.78743601</v>
      </c>
      <c r="AH710" s="21">
        <f t="shared" si="119"/>
        <v>1</v>
      </c>
    </row>
    <row r="711" spans="1:34" hidden="1">
      <c r="A711" t="s">
        <v>75</v>
      </c>
      <c r="B711" s="18">
        <v>2032</v>
      </c>
      <c r="C711" t="s">
        <v>159</v>
      </c>
      <c r="E711" s="20" t="s">
        <v>251</v>
      </c>
      <c r="F711" s="20" t="s">
        <v>252</v>
      </c>
      <c r="G711" s="20" t="s">
        <v>168</v>
      </c>
      <c r="H711" s="20" t="s">
        <v>169</v>
      </c>
      <c r="I711" s="20" t="s">
        <v>75</v>
      </c>
      <c r="J711" s="15">
        <f>IFERROR(INDEX(Cost_Components!$K$2:$K$27,MATCH(E711,Cost_Components!$A$2:$A$27,0)),"")</f>
        <v>0.06</v>
      </c>
      <c r="K711" s="15">
        <f t="shared" si="110"/>
        <v>0.46076923076923082</v>
      </c>
      <c r="L711" s="15">
        <f>IFERROR(INDEX(Cost_Components!$S$2:$S$27,MATCH(E711,Cost_Components!$A$2:$A$27,0)),"")</f>
        <v>0.31</v>
      </c>
      <c r="M711" s="26">
        <f>IFERROR(INDEX(Cost_Components!$L$2:$L$27,MATCH(E711,Cost_Components!$A$2:$A$27,0)),"")</f>
        <v>1</v>
      </c>
      <c r="N711" s="27">
        <f>IFERROR(INDEX(Cost_Components!$P$2:$P$27,MATCH(E711,Cost_Components!$A$2:$A$27,0)),"")</f>
        <v>22.229600000000001</v>
      </c>
      <c r="O711" s="21">
        <f t="shared" si="111"/>
        <v>10016396.66251464</v>
      </c>
      <c r="P711" s="21">
        <f t="shared" si="112"/>
        <v>10008153.07126206</v>
      </c>
      <c r="Q711" s="21">
        <f t="shared" si="113"/>
        <v>68967944.249007404</v>
      </c>
      <c r="R711" s="21">
        <f t="shared" si="114"/>
        <v>102595103.27551712</v>
      </c>
      <c r="S711" s="21">
        <f t="shared" si="115"/>
        <v>33627159.026509717</v>
      </c>
      <c r="T711" s="14">
        <f>IFERROR(INDEX(Cost_Components!$R$2:$R$27,MATCH(E711,Cost_Components!$A$2:$A$27,0)),"")</f>
        <v>1</v>
      </c>
      <c r="U711" s="24">
        <f>IFERROR(INDEX(Cost_Components!$Q$2:$Q$27,MATCH(E711,Cost_Components!$A$2:$A$27,0)),"")</f>
        <v>2023</v>
      </c>
      <c r="V711" s="28">
        <f>1/(1+Calculation_Assumptions!$B$5)^(B711-Calculation_Assumptions!$B$2)</f>
        <v>0.81309151134335378</v>
      </c>
      <c r="W711" s="21">
        <f t="shared" si="116"/>
        <v>56077250.023669593</v>
      </c>
      <c r="X711" s="21">
        <f t="shared" si="117"/>
        <v>83419207.578717679</v>
      </c>
      <c r="Y711" s="21">
        <f t="shared" si="118"/>
        <v>27341957.555048086</v>
      </c>
      <c r="Z711" s="15">
        <f>IFERROR(INDEX(Cost_Components!$T$2:$T$27,MATCH(E711,Cost_Components!$A$2:$A$27,0)),"")</f>
        <v>0.8</v>
      </c>
      <c r="AA711" s="24">
        <f>IFERROR(INDEX(Cost_Components!$U$2:$U$27,MATCH(E711,Cost_Components!$A$2:$A$27,0)),"")</f>
        <v>2025</v>
      </c>
      <c r="AB711" s="24">
        <f>IFERROR(INDEX(Cost_Components!$V$2:$V$27,MATCH(E711,Cost_Components!$A$2:$A$27,0)),"")</f>
        <v>2050</v>
      </c>
      <c r="AC711" s="24">
        <f>IFERROR(INDEX(Cost_Components!$M$2:$M$27,MATCH(E711,Cost_Components!$A$2:$A$27,0)),"")</f>
        <v>30</v>
      </c>
      <c r="AD711" s="24">
        <f>IFERROR(INDEX(Cost_Components!$N$2:$N$27,MATCH(E711,Cost_Components!$A$2:$A$27,0)),"")</f>
        <v>95</v>
      </c>
      <c r="AE711" s="14" t="str">
        <f>IFERROR(INDEX(Cost_Components!$O$2:$O$27,MATCH(E711,Cost_Components!$A$2:$A$27,0)),"")</f>
        <v>Both</v>
      </c>
      <c r="AF711" s="11">
        <v>166939944.37524399</v>
      </c>
      <c r="AG711" s="11">
        <v>166802551.18770099</v>
      </c>
      <c r="AH711" s="21">
        <f t="shared" si="119"/>
        <v>1</v>
      </c>
    </row>
    <row r="712" spans="1:34" hidden="1">
      <c r="A712" t="s">
        <v>75</v>
      </c>
      <c r="B712" s="18">
        <v>2033</v>
      </c>
      <c r="C712" t="s">
        <v>159</v>
      </c>
      <c r="E712" s="20" t="s">
        <v>251</v>
      </c>
      <c r="F712" s="20" t="s">
        <v>252</v>
      </c>
      <c r="G712" s="20" t="s">
        <v>168</v>
      </c>
      <c r="H712" s="20" t="s">
        <v>169</v>
      </c>
      <c r="I712" s="20" t="s">
        <v>75</v>
      </c>
      <c r="J712" s="15">
        <f>IFERROR(INDEX(Cost_Components!$K$2:$K$27,MATCH(E712,Cost_Components!$A$2:$A$27,0)),"")</f>
        <v>0.06</v>
      </c>
      <c r="K712" s="15">
        <f t="shared" si="110"/>
        <v>0.47961538461538467</v>
      </c>
      <c r="L712" s="15">
        <f>IFERROR(INDEX(Cost_Components!$S$2:$S$27,MATCH(E712,Cost_Components!$A$2:$A$27,0)),"")</f>
        <v>0.31</v>
      </c>
      <c r="M712" s="26">
        <f>IFERROR(INDEX(Cost_Components!$L$2:$L$27,MATCH(E712,Cost_Components!$A$2:$A$27,0)),"")</f>
        <v>1</v>
      </c>
      <c r="N712" s="27">
        <f>IFERROR(INDEX(Cost_Components!$P$2:$P$27,MATCH(E712,Cost_Components!$A$2:$A$27,0)),"")</f>
        <v>22.229600000000001</v>
      </c>
      <c r="O712" s="21">
        <f t="shared" si="111"/>
        <v>10125263.529829739</v>
      </c>
      <c r="P712" s="21">
        <f t="shared" si="112"/>
        <v>10118996.871517738</v>
      </c>
      <c r="Q712" s="21">
        <f t="shared" si="113"/>
        <v>69731788.385078132</v>
      </c>
      <c r="R712" s="21">
        <f t="shared" si="114"/>
        <v>107952098.47265033</v>
      </c>
      <c r="S712" s="21">
        <f t="shared" si="115"/>
        <v>38220310.087572202</v>
      </c>
      <c r="T712" s="14">
        <f>IFERROR(INDEX(Cost_Components!$R$2:$R$27,MATCH(E712,Cost_Components!$A$2:$A$27,0)),"")</f>
        <v>1</v>
      </c>
      <c r="U712" s="24">
        <f>IFERROR(INDEX(Cost_Components!$Q$2:$Q$27,MATCH(E712,Cost_Components!$A$2:$A$27,0)),"")</f>
        <v>2023</v>
      </c>
      <c r="V712" s="28">
        <f>1/(1+Calculation_Assumptions!$B$5)^(B712-Calculation_Assumptions!$B$2)</f>
        <v>0.78940923431393573</v>
      </c>
      <c r="W712" s="21">
        <f t="shared" si="116"/>
        <v>55046917.676405922</v>
      </c>
      <c r="X712" s="21">
        <f t="shared" si="117"/>
        <v>85218383.397877485</v>
      </c>
      <c r="Y712" s="21">
        <f t="shared" si="118"/>
        <v>30171465.721471567</v>
      </c>
      <c r="Z712" s="15">
        <f>IFERROR(INDEX(Cost_Components!$T$2:$T$27,MATCH(E712,Cost_Components!$A$2:$A$27,0)),"")</f>
        <v>0.8</v>
      </c>
      <c r="AA712" s="24">
        <f>IFERROR(INDEX(Cost_Components!$U$2:$U$27,MATCH(E712,Cost_Components!$A$2:$A$27,0)),"")</f>
        <v>2025</v>
      </c>
      <c r="AB712" s="24">
        <f>IFERROR(INDEX(Cost_Components!$V$2:$V$27,MATCH(E712,Cost_Components!$A$2:$A$27,0)),"")</f>
        <v>2050</v>
      </c>
      <c r="AC712" s="24">
        <f>IFERROR(INDEX(Cost_Components!$M$2:$M$27,MATCH(E712,Cost_Components!$A$2:$A$27,0)),"")</f>
        <v>30</v>
      </c>
      <c r="AD712" s="24">
        <f>IFERROR(INDEX(Cost_Components!$N$2:$N$27,MATCH(E712,Cost_Components!$A$2:$A$27,0)),"")</f>
        <v>95</v>
      </c>
      <c r="AE712" s="14" t="str">
        <f>IFERROR(INDEX(Cost_Components!$O$2:$O$27,MATCH(E712,Cost_Components!$A$2:$A$27,0)),"")</f>
        <v>Both</v>
      </c>
      <c r="AF712" s="11">
        <v>168754392.163829</v>
      </c>
      <c r="AG712" s="11">
        <v>168649947.85862899</v>
      </c>
      <c r="AH712" s="21">
        <f t="shared" si="119"/>
        <v>1</v>
      </c>
    </row>
    <row r="713" spans="1:34" hidden="1">
      <c r="A713" t="s">
        <v>75</v>
      </c>
      <c r="B713" s="18">
        <v>2034</v>
      </c>
      <c r="C713" t="s">
        <v>159</v>
      </c>
      <c r="E713" s="20" t="s">
        <v>251</v>
      </c>
      <c r="F713" s="20" t="s">
        <v>252</v>
      </c>
      <c r="G713" s="20" t="s">
        <v>168</v>
      </c>
      <c r="H713" s="20" t="s">
        <v>169</v>
      </c>
      <c r="I713" s="20" t="s">
        <v>75</v>
      </c>
      <c r="J713" s="15">
        <f>IFERROR(INDEX(Cost_Components!$K$2:$K$27,MATCH(E713,Cost_Components!$A$2:$A$27,0)),"")</f>
        <v>0.06</v>
      </c>
      <c r="K713" s="15">
        <f t="shared" si="110"/>
        <v>0.49846153846153851</v>
      </c>
      <c r="L713" s="15">
        <f>IFERROR(INDEX(Cost_Components!$S$2:$S$27,MATCH(E713,Cost_Components!$A$2:$A$27,0)),"")</f>
        <v>0.31</v>
      </c>
      <c r="M713" s="26">
        <f>IFERROR(INDEX(Cost_Components!$L$2:$L$27,MATCH(E713,Cost_Components!$A$2:$A$27,0)),"")</f>
        <v>1</v>
      </c>
      <c r="N713" s="27">
        <f>IFERROR(INDEX(Cost_Components!$P$2:$P$27,MATCH(E713,Cost_Components!$A$2:$A$27,0)),"")</f>
        <v>22.229600000000001</v>
      </c>
      <c r="O713" s="21">
        <f t="shared" si="111"/>
        <v>10237159.578905281</v>
      </c>
      <c r="P713" s="21">
        <f t="shared" si="112"/>
        <v>10227931.044221699</v>
      </c>
      <c r="Q713" s="21">
        <f t="shared" si="113"/>
        <v>70482472.941595525</v>
      </c>
      <c r="R713" s="21">
        <f t="shared" si="114"/>
        <v>113433876.72980839</v>
      </c>
      <c r="S713" s="21">
        <f t="shared" si="115"/>
        <v>42951403.788212866</v>
      </c>
      <c r="T713" s="14">
        <f>IFERROR(INDEX(Cost_Components!$R$2:$R$27,MATCH(E713,Cost_Components!$A$2:$A$27,0)),"")</f>
        <v>1</v>
      </c>
      <c r="U713" s="24">
        <f>IFERROR(INDEX(Cost_Components!$Q$2:$Q$27,MATCH(E713,Cost_Components!$A$2:$A$27,0)),"")</f>
        <v>2023</v>
      </c>
      <c r="V713" s="28">
        <f>1/(1+Calculation_Assumptions!$B$5)^(B713-Calculation_Assumptions!$B$2)</f>
        <v>0.76641673234362695</v>
      </c>
      <c r="W713" s="21">
        <f t="shared" si="116"/>
        <v>54018946.599395745</v>
      </c>
      <c r="X713" s="21">
        <f t="shared" si="117"/>
        <v>86937621.140329525</v>
      </c>
      <c r="Y713" s="21">
        <f t="shared" si="118"/>
        <v>32918674.540933784</v>
      </c>
      <c r="Z713" s="15">
        <f>IFERROR(INDEX(Cost_Components!$T$2:$T$27,MATCH(E713,Cost_Components!$A$2:$A$27,0)),"")</f>
        <v>0.8</v>
      </c>
      <c r="AA713" s="24">
        <f>IFERROR(INDEX(Cost_Components!$U$2:$U$27,MATCH(E713,Cost_Components!$A$2:$A$27,0)),"")</f>
        <v>2025</v>
      </c>
      <c r="AB713" s="24">
        <f>IFERROR(INDEX(Cost_Components!$V$2:$V$27,MATCH(E713,Cost_Components!$A$2:$A$27,0)),"")</f>
        <v>2050</v>
      </c>
      <c r="AC713" s="24">
        <f>IFERROR(INDEX(Cost_Components!$M$2:$M$27,MATCH(E713,Cost_Components!$A$2:$A$27,0)),"")</f>
        <v>30</v>
      </c>
      <c r="AD713" s="24">
        <f>IFERROR(INDEX(Cost_Components!$N$2:$N$27,MATCH(E713,Cost_Components!$A$2:$A$27,0)),"")</f>
        <v>95</v>
      </c>
      <c r="AE713" s="14" t="str">
        <f>IFERROR(INDEX(Cost_Components!$O$2:$O$27,MATCH(E713,Cost_Components!$A$2:$A$27,0)),"")</f>
        <v>Both</v>
      </c>
      <c r="AF713" s="11">
        <v>170619326.315088</v>
      </c>
      <c r="AG713" s="11">
        <v>170465517.40369499</v>
      </c>
      <c r="AH713" s="21">
        <f t="shared" si="119"/>
        <v>1</v>
      </c>
    </row>
    <row r="714" spans="1:34" hidden="1">
      <c r="A714" t="s">
        <v>75</v>
      </c>
      <c r="B714" s="18">
        <v>2035</v>
      </c>
      <c r="C714" t="s">
        <v>159</v>
      </c>
      <c r="E714" s="20" t="s">
        <v>251</v>
      </c>
      <c r="F714" s="20" t="s">
        <v>252</v>
      </c>
      <c r="G714" s="20" t="s">
        <v>168</v>
      </c>
      <c r="H714" s="20" t="s">
        <v>169</v>
      </c>
      <c r="I714" s="20" t="s">
        <v>75</v>
      </c>
      <c r="J714" s="15">
        <f>IFERROR(INDEX(Cost_Components!$K$2:$K$27,MATCH(E714,Cost_Components!$A$2:$A$27,0)),"")</f>
        <v>0.06</v>
      </c>
      <c r="K714" s="15">
        <f t="shared" si="110"/>
        <v>0.51730769230769236</v>
      </c>
      <c r="L714" s="15">
        <f>IFERROR(INDEX(Cost_Components!$S$2:$S$27,MATCH(E714,Cost_Components!$A$2:$A$27,0)),"")</f>
        <v>0.31</v>
      </c>
      <c r="M714" s="26">
        <f>IFERROR(INDEX(Cost_Components!$L$2:$L$27,MATCH(E714,Cost_Components!$A$2:$A$27,0)),"")</f>
        <v>1</v>
      </c>
      <c r="N714" s="27">
        <f>IFERROR(INDEX(Cost_Components!$P$2:$P$27,MATCH(E714,Cost_Components!$A$2:$A$27,0)),"")</f>
        <v>22.229600000000001</v>
      </c>
      <c r="O714" s="21">
        <f t="shared" si="111"/>
        <v>10350973.22609202</v>
      </c>
      <c r="P714" s="21">
        <f t="shared" si="112"/>
        <v>10338212.709342239</v>
      </c>
      <c r="Q714" s="21">
        <f t="shared" si="113"/>
        <v>71242443.305514216</v>
      </c>
      <c r="R714" s="21">
        <f t="shared" si="114"/>
        <v>119031462.50152263</v>
      </c>
      <c r="S714" s="21">
        <f t="shared" si="115"/>
        <v>47789019.196008414</v>
      </c>
      <c r="T714" s="14">
        <f>IFERROR(INDEX(Cost_Components!$R$2:$R$27,MATCH(E714,Cost_Components!$A$2:$A$27,0)),"")</f>
        <v>1</v>
      </c>
      <c r="U714" s="24">
        <f>IFERROR(INDEX(Cost_Components!$Q$2:$Q$27,MATCH(E714,Cost_Components!$A$2:$A$27,0)),"")</f>
        <v>2023</v>
      </c>
      <c r="V714" s="28">
        <f>1/(1+Calculation_Assumptions!$B$5)^(B714-Calculation_Assumptions!$B$2)</f>
        <v>0.74409391489672516</v>
      </c>
      <c r="W714" s="21">
        <f t="shared" si="116"/>
        <v>53011068.546008065</v>
      </c>
      <c r="X714" s="21">
        <f t="shared" si="117"/>
        <v>88570586.928640708</v>
      </c>
      <c r="Y714" s="21">
        <f t="shared" si="118"/>
        <v>35559518.38263265</v>
      </c>
      <c r="Z714" s="15">
        <f>IFERROR(INDEX(Cost_Components!$T$2:$T$27,MATCH(E714,Cost_Components!$A$2:$A$27,0)),"")</f>
        <v>0.8</v>
      </c>
      <c r="AA714" s="24">
        <f>IFERROR(INDEX(Cost_Components!$U$2:$U$27,MATCH(E714,Cost_Components!$A$2:$A$27,0)),"")</f>
        <v>2025</v>
      </c>
      <c r="AB714" s="24">
        <f>IFERROR(INDEX(Cost_Components!$V$2:$V$27,MATCH(E714,Cost_Components!$A$2:$A$27,0)),"")</f>
        <v>2050</v>
      </c>
      <c r="AC714" s="24">
        <f>IFERROR(INDEX(Cost_Components!$M$2:$M$27,MATCH(E714,Cost_Components!$A$2:$A$27,0)),"")</f>
        <v>30</v>
      </c>
      <c r="AD714" s="24">
        <f>IFERROR(INDEX(Cost_Components!$N$2:$N$27,MATCH(E714,Cost_Components!$A$2:$A$27,0)),"")</f>
        <v>95</v>
      </c>
      <c r="AE714" s="14" t="str">
        <f>IFERROR(INDEX(Cost_Components!$O$2:$O$27,MATCH(E714,Cost_Components!$A$2:$A$27,0)),"")</f>
        <v>Both</v>
      </c>
      <c r="AF714" s="11">
        <v>172516220.43486699</v>
      </c>
      <c r="AG714" s="11">
        <v>172303545.15570399</v>
      </c>
      <c r="AH714" s="21">
        <f t="shared" si="119"/>
        <v>1</v>
      </c>
    </row>
    <row r="715" spans="1:34" hidden="1">
      <c r="A715" t="s">
        <v>75</v>
      </c>
      <c r="B715" s="18">
        <v>2036</v>
      </c>
      <c r="C715" t="s">
        <v>159</v>
      </c>
      <c r="E715" s="20" t="s">
        <v>251</v>
      </c>
      <c r="F715" s="20" t="s">
        <v>252</v>
      </c>
      <c r="G715" s="20" t="s">
        <v>168</v>
      </c>
      <c r="H715" s="20" t="s">
        <v>169</v>
      </c>
      <c r="I715" s="20" t="s">
        <v>75</v>
      </c>
      <c r="J715" s="15">
        <f>IFERROR(INDEX(Cost_Components!$K$2:$K$27,MATCH(E715,Cost_Components!$A$2:$A$27,0)),"")</f>
        <v>0.06</v>
      </c>
      <c r="K715" s="15">
        <f t="shared" si="110"/>
        <v>0.5361538461538462</v>
      </c>
      <c r="L715" s="15">
        <f>IFERROR(INDEX(Cost_Components!$S$2:$S$27,MATCH(E715,Cost_Components!$A$2:$A$27,0)),"")</f>
        <v>0.31</v>
      </c>
      <c r="M715" s="26">
        <f>IFERROR(INDEX(Cost_Components!$L$2:$L$27,MATCH(E715,Cost_Components!$A$2:$A$27,0)),"")</f>
        <v>1</v>
      </c>
      <c r="N715" s="27">
        <f>IFERROR(INDEX(Cost_Components!$P$2:$P$27,MATCH(E715,Cost_Components!$A$2:$A$27,0)),"")</f>
        <v>22.229600000000001</v>
      </c>
      <c r="O715" s="21">
        <f t="shared" si="111"/>
        <v>10466687.19863832</v>
      </c>
      <c r="P715" s="21">
        <f t="shared" si="112"/>
        <v>10449789.890308078</v>
      </c>
      <c r="Q715" s="21">
        <f t="shared" si="113"/>
        <v>72011341.297133669</v>
      </c>
      <c r="R715" s="21">
        <f t="shared" si="114"/>
        <v>124747060.01257135</v>
      </c>
      <c r="S715" s="21">
        <f t="shared" si="115"/>
        <v>52735718.71543768</v>
      </c>
      <c r="T715" s="14">
        <f>IFERROR(INDEX(Cost_Components!$R$2:$R$27,MATCH(E715,Cost_Components!$A$2:$A$27,0)),"")</f>
        <v>1</v>
      </c>
      <c r="U715" s="24">
        <f>IFERROR(INDEX(Cost_Components!$Q$2:$Q$27,MATCH(E715,Cost_Components!$A$2:$A$27,0)),"")</f>
        <v>2023</v>
      </c>
      <c r="V715" s="28">
        <f>1/(1+Calculation_Assumptions!$B$5)^(B715-Calculation_Assumptions!$B$2)</f>
        <v>0.72242127659876232</v>
      </c>
      <c r="W715" s="21">
        <f t="shared" si="116"/>
        <v>52022525.109464481</v>
      </c>
      <c r="X715" s="21">
        <f t="shared" si="117"/>
        <v>90119930.346224204</v>
      </c>
      <c r="Y715" s="21">
        <f t="shared" si="118"/>
        <v>38097405.23675973</v>
      </c>
      <c r="Z715" s="15">
        <f>IFERROR(INDEX(Cost_Components!$T$2:$T$27,MATCH(E715,Cost_Components!$A$2:$A$27,0)),"")</f>
        <v>0.8</v>
      </c>
      <c r="AA715" s="24">
        <f>IFERROR(INDEX(Cost_Components!$U$2:$U$27,MATCH(E715,Cost_Components!$A$2:$A$27,0)),"")</f>
        <v>2025</v>
      </c>
      <c r="AB715" s="24">
        <f>IFERROR(INDEX(Cost_Components!$V$2:$V$27,MATCH(E715,Cost_Components!$A$2:$A$27,0)),"")</f>
        <v>2050</v>
      </c>
      <c r="AC715" s="24">
        <f>IFERROR(INDEX(Cost_Components!$M$2:$M$27,MATCH(E715,Cost_Components!$A$2:$A$27,0)),"")</f>
        <v>30</v>
      </c>
      <c r="AD715" s="24">
        <f>IFERROR(INDEX(Cost_Components!$N$2:$N$27,MATCH(E715,Cost_Components!$A$2:$A$27,0)),"")</f>
        <v>95</v>
      </c>
      <c r="AE715" s="14" t="str">
        <f>IFERROR(INDEX(Cost_Components!$O$2:$O$27,MATCH(E715,Cost_Components!$A$2:$A$27,0)),"")</f>
        <v>Both</v>
      </c>
      <c r="AF715" s="11">
        <v>174444786.64397201</v>
      </c>
      <c r="AG715" s="11">
        <v>174163164.83846799</v>
      </c>
      <c r="AH715" s="21">
        <f t="shared" si="119"/>
        <v>1</v>
      </c>
    </row>
    <row r="716" spans="1:34" hidden="1">
      <c r="A716" t="s">
        <v>75</v>
      </c>
      <c r="B716" s="18">
        <v>2037</v>
      </c>
      <c r="C716" t="s">
        <v>159</v>
      </c>
      <c r="E716" s="20" t="s">
        <v>251</v>
      </c>
      <c r="F716" s="20" t="s">
        <v>252</v>
      </c>
      <c r="G716" s="20" t="s">
        <v>168</v>
      </c>
      <c r="H716" s="20" t="s">
        <v>169</v>
      </c>
      <c r="I716" s="20" t="s">
        <v>75</v>
      </c>
      <c r="J716" s="15">
        <f>IFERROR(INDEX(Cost_Components!$K$2:$K$27,MATCH(E716,Cost_Components!$A$2:$A$27,0)),"")</f>
        <v>0.06</v>
      </c>
      <c r="K716" s="15">
        <f t="shared" si="110"/>
        <v>0.55500000000000005</v>
      </c>
      <c r="L716" s="15">
        <f>IFERROR(INDEX(Cost_Components!$S$2:$S$27,MATCH(E716,Cost_Components!$A$2:$A$27,0)),"")</f>
        <v>0.31</v>
      </c>
      <c r="M716" s="26">
        <f>IFERROR(INDEX(Cost_Components!$L$2:$L$27,MATCH(E716,Cost_Components!$A$2:$A$27,0)),"")</f>
        <v>1</v>
      </c>
      <c r="N716" s="27">
        <f>IFERROR(INDEX(Cost_Components!$P$2:$P$27,MATCH(E716,Cost_Components!$A$2:$A$27,0)),"")</f>
        <v>22.229600000000001</v>
      </c>
      <c r="O716" s="21">
        <f t="shared" si="111"/>
        <v>10583003.83945944</v>
      </c>
      <c r="P716" s="21">
        <f t="shared" si="112"/>
        <v>10561342.298935801</v>
      </c>
      <c r="Q716" s="21">
        <f t="shared" si="113"/>
        <v>72780068.578211218</v>
      </c>
      <c r="R716" s="21">
        <f t="shared" si="114"/>
        <v>130567047.89305443</v>
      </c>
      <c r="S716" s="21">
        <f t="shared" si="115"/>
        <v>57786979.314843208</v>
      </c>
      <c r="T716" s="14">
        <f>IFERROR(INDEX(Cost_Components!$R$2:$R$27,MATCH(E716,Cost_Components!$A$2:$A$27,0)),"")</f>
        <v>1</v>
      </c>
      <c r="U716" s="24">
        <f>IFERROR(INDEX(Cost_Components!$Q$2:$Q$27,MATCH(E716,Cost_Components!$A$2:$A$27,0)),"")</f>
        <v>2023</v>
      </c>
      <c r="V716" s="28">
        <f>1/(1+Calculation_Assumptions!$B$5)^(B716-Calculation_Assumptions!$B$2)</f>
        <v>0.70137988019297326</v>
      </c>
      <c r="W716" s="21">
        <f t="shared" si="116"/>
        <v>51046475.779822163</v>
      </c>
      <c r="X716" s="21">
        <f t="shared" si="117"/>
        <v>91577100.408380717</v>
      </c>
      <c r="Y716" s="21">
        <f t="shared" si="118"/>
        <v>40530624.628558554</v>
      </c>
      <c r="Z716" s="15">
        <f>IFERROR(INDEX(Cost_Components!$T$2:$T$27,MATCH(E716,Cost_Components!$A$2:$A$27,0)),"")</f>
        <v>0.8</v>
      </c>
      <c r="AA716" s="24">
        <f>IFERROR(INDEX(Cost_Components!$U$2:$U$27,MATCH(E716,Cost_Components!$A$2:$A$27,0)),"")</f>
        <v>2025</v>
      </c>
      <c r="AB716" s="24">
        <f>IFERROR(INDEX(Cost_Components!$V$2:$V$27,MATCH(E716,Cost_Components!$A$2:$A$27,0)),"")</f>
        <v>2050</v>
      </c>
      <c r="AC716" s="24">
        <f>IFERROR(INDEX(Cost_Components!$M$2:$M$27,MATCH(E716,Cost_Components!$A$2:$A$27,0)),"")</f>
        <v>30</v>
      </c>
      <c r="AD716" s="24">
        <f>IFERROR(INDEX(Cost_Components!$N$2:$N$27,MATCH(E716,Cost_Components!$A$2:$A$27,0)),"")</f>
        <v>95</v>
      </c>
      <c r="AE716" s="14" t="str">
        <f>IFERROR(INDEX(Cost_Components!$O$2:$O$27,MATCH(E716,Cost_Components!$A$2:$A$27,0)),"")</f>
        <v>Both</v>
      </c>
      <c r="AF716" s="11">
        <v>176383397.32432401</v>
      </c>
      <c r="AG716" s="11">
        <v>176022371.64893001</v>
      </c>
      <c r="AH716" s="21">
        <f t="shared" si="119"/>
        <v>1</v>
      </c>
    </row>
    <row r="717" spans="1:34" hidden="1">
      <c r="A717" t="s">
        <v>75</v>
      </c>
      <c r="B717" s="18">
        <v>2038</v>
      </c>
      <c r="C717" t="s">
        <v>159</v>
      </c>
      <c r="E717" s="20" t="s">
        <v>251</v>
      </c>
      <c r="F717" s="20" t="s">
        <v>252</v>
      </c>
      <c r="G717" s="20" t="s">
        <v>168</v>
      </c>
      <c r="H717" s="20" t="s">
        <v>169</v>
      </c>
      <c r="I717" s="20" t="s">
        <v>75</v>
      </c>
      <c r="J717" s="15">
        <f>IFERROR(INDEX(Cost_Components!$K$2:$K$27,MATCH(E717,Cost_Components!$A$2:$A$27,0)),"")</f>
        <v>0.06</v>
      </c>
      <c r="K717" s="15">
        <f t="shared" si="110"/>
        <v>0.57384615384615389</v>
      </c>
      <c r="L717" s="15">
        <f>IFERROR(INDEX(Cost_Components!$S$2:$S$27,MATCH(E717,Cost_Components!$A$2:$A$27,0)),"")</f>
        <v>0.31</v>
      </c>
      <c r="M717" s="26">
        <f>IFERROR(INDEX(Cost_Components!$L$2:$L$27,MATCH(E717,Cost_Components!$A$2:$A$27,0)),"")</f>
        <v>1</v>
      </c>
      <c r="N717" s="27">
        <f>IFERROR(INDEX(Cost_Components!$P$2:$P$27,MATCH(E717,Cost_Components!$A$2:$A$27,0)),"")</f>
        <v>22.229600000000001</v>
      </c>
      <c r="O717" s="21">
        <f t="shared" si="111"/>
        <v>10697332.736803979</v>
      </c>
      <c r="P717" s="21">
        <f t="shared" si="112"/>
        <v>10670226.094198201</v>
      </c>
      <c r="Q717" s="21">
        <f t="shared" si="113"/>
        <v>73530405.97491239</v>
      </c>
      <c r="R717" s="21">
        <f t="shared" si="114"/>
        <v>136459139.34101468</v>
      </c>
      <c r="S717" s="21">
        <f t="shared" si="115"/>
        <v>62928733.366102293</v>
      </c>
      <c r="T717" s="14">
        <f>IFERROR(INDEX(Cost_Components!$R$2:$R$27,MATCH(E717,Cost_Components!$A$2:$A$27,0)),"")</f>
        <v>1</v>
      </c>
      <c r="U717" s="24">
        <f>IFERROR(INDEX(Cost_Components!$Q$2:$Q$27,MATCH(E717,Cost_Components!$A$2:$A$27,0)),"")</f>
        <v>2023</v>
      </c>
      <c r="V717" s="28">
        <f>1/(1+Calculation_Assumptions!$B$5)^(B717-Calculation_Assumptions!$B$2)</f>
        <v>0.68095133999317792</v>
      </c>
      <c r="W717" s="21">
        <f t="shared" si="116"/>
        <v>50070628.47885897</v>
      </c>
      <c r="X717" s="21">
        <f t="shared" si="117"/>
        <v>92922033.788579732</v>
      </c>
      <c r="Y717" s="21">
        <f t="shared" si="118"/>
        <v>42851405.309720762</v>
      </c>
      <c r="Z717" s="15">
        <f>IFERROR(INDEX(Cost_Components!$T$2:$T$27,MATCH(E717,Cost_Components!$A$2:$A$27,0)),"")</f>
        <v>0.8</v>
      </c>
      <c r="AA717" s="24">
        <f>IFERROR(INDEX(Cost_Components!$U$2:$U$27,MATCH(E717,Cost_Components!$A$2:$A$27,0)),"")</f>
        <v>2025</v>
      </c>
      <c r="AB717" s="24">
        <f>IFERROR(INDEX(Cost_Components!$V$2:$V$27,MATCH(E717,Cost_Components!$A$2:$A$27,0)),"")</f>
        <v>2050</v>
      </c>
      <c r="AC717" s="24">
        <f>IFERROR(INDEX(Cost_Components!$M$2:$M$27,MATCH(E717,Cost_Components!$A$2:$A$27,0)),"")</f>
        <v>30</v>
      </c>
      <c r="AD717" s="24">
        <f>IFERROR(INDEX(Cost_Components!$N$2:$N$27,MATCH(E717,Cost_Components!$A$2:$A$27,0)),"")</f>
        <v>95</v>
      </c>
      <c r="AE717" s="14" t="str">
        <f>IFERROR(INDEX(Cost_Components!$O$2:$O$27,MATCH(E717,Cost_Components!$A$2:$A$27,0)),"")</f>
        <v>Both</v>
      </c>
      <c r="AF717" s="11">
        <v>178288878.946733</v>
      </c>
      <c r="AG717" s="11">
        <v>177837101.56997001</v>
      </c>
      <c r="AH717" s="21">
        <f t="shared" si="119"/>
        <v>1</v>
      </c>
    </row>
    <row r="718" spans="1:34" hidden="1">
      <c r="A718" t="s">
        <v>75</v>
      </c>
      <c r="B718" s="18">
        <v>2039</v>
      </c>
      <c r="C718" t="s">
        <v>159</v>
      </c>
      <c r="E718" s="20" t="s">
        <v>251</v>
      </c>
      <c r="F718" s="20" t="s">
        <v>252</v>
      </c>
      <c r="G718" s="20" t="s">
        <v>168</v>
      </c>
      <c r="H718" s="20" t="s">
        <v>169</v>
      </c>
      <c r="I718" s="20" t="s">
        <v>75</v>
      </c>
      <c r="J718" s="15">
        <f>IFERROR(INDEX(Cost_Components!$K$2:$K$27,MATCH(E718,Cost_Components!$A$2:$A$27,0)),"")</f>
        <v>0.06</v>
      </c>
      <c r="K718" s="15">
        <f t="shared" si="110"/>
        <v>0.59269230769230763</v>
      </c>
      <c r="L718" s="15">
        <f>IFERROR(INDEX(Cost_Components!$S$2:$S$27,MATCH(E718,Cost_Components!$A$2:$A$27,0)),"")</f>
        <v>0.31</v>
      </c>
      <c r="M718" s="26">
        <f>IFERROR(INDEX(Cost_Components!$L$2:$L$27,MATCH(E718,Cost_Components!$A$2:$A$27,0)),"")</f>
        <v>1</v>
      </c>
      <c r="N718" s="27">
        <f>IFERROR(INDEX(Cost_Components!$P$2:$P$27,MATCH(E718,Cost_Components!$A$2:$A$27,0)),"")</f>
        <v>22.229600000000001</v>
      </c>
      <c r="O718" s="21">
        <f t="shared" si="111"/>
        <v>10808579.280804539</v>
      </c>
      <c r="P718" s="21">
        <f t="shared" si="112"/>
        <v>10775346.414757559</v>
      </c>
      <c r="Q718" s="21">
        <f t="shared" si="113"/>
        <v>74254808.605063334</v>
      </c>
      <c r="R718" s="21">
        <f t="shared" si="114"/>
        <v>142406414.27848551</v>
      </c>
      <c r="S718" s="21">
        <f t="shared" si="115"/>
        <v>68151605.673422173</v>
      </c>
      <c r="T718" s="14">
        <f>IFERROR(INDEX(Cost_Components!$R$2:$R$27,MATCH(E718,Cost_Components!$A$2:$A$27,0)),"")</f>
        <v>1</v>
      </c>
      <c r="U718" s="24">
        <f>IFERROR(INDEX(Cost_Components!$Q$2:$Q$27,MATCH(E718,Cost_Components!$A$2:$A$27,0)),"")</f>
        <v>2023</v>
      </c>
      <c r="V718" s="28">
        <f>1/(1+Calculation_Assumptions!$B$5)^(B718-Calculation_Assumptions!$B$2)</f>
        <v>0.66111780581861923</v>
      </c>
      <c r="W718" s="21">
        <f t="shared" si="116"/>
        <v>49091176.136460997</v>
      </c>
      <c r="X718" s="21">
        <f t="shared" si="117"/>
        <v>94147416.142289624</v>
      </c>
      <c r="Y718" s="21">
        <f t="shared" si="118"/>
        <v>45056240.005828626</v>
      </c>
      <c r="Z718" s="15">
        <f>IFERROR(INDEX(Cost_Components!$T$2:$T$27,MATCH(E718,Cost_Components!$A$2:$A$27,0)),"")</f>
        <v>0.8</v>
      </c>
      <c r="AA718" s="24">
        <f>IFERROR(INDEX(Cost_Components!$U$2:$U$27,MATCH(E718,Cost_Components!$A$2:$A$27,0)),"")</f>
        <v>2025</v>
      </c>
      <c r="AB718" s="24">
        <f>IFERROR(INDEX(Cost_Components!$V$2:$V$27,MATCH(E718,Cost_Components!$A$2:$A$27,0)),"")</f>
        <v>2050</v>
      </c>
      <c r="AC718" s="24">
        <f>IFERROR(INDEX(Cost_Components!$M$2:$M$27,MATCH(E718,Cost_Components!$A$2:$A$27,0)),"")</f>
        <v>30</v>
      </c>
      <c r="AD718" s="24">
        <f>IFERROR(INDEX(Cost_Components!$N$2:$N$27,MATCH(E718,Cost_Components!$A$2:$A$27,0)),"")</f>
        <v>95</v>
      </c>
      <c r="AE718" s="14" t="str">
        <f>IFERROR(INDEX(Cost_Components!$O$2:$O$27,MATCH(E718,Cost_Components!$A$2:$A$27,0)),"")</f>
        <v>Both</v>
      </c>
      <c r="AF718" s="11">
        <v>180142988.01340899</v>
      </c>
      <c r="AG718" s="11">
        <v>179589106.912626</v>
      </c>
      <c r="AH718" s="21">
        <f t="shared" si="119"/>
        <v>1</v>
      </c>
    </row>
    <row r="719" spans="1:34" hidden="1">
      <c r="A719" t="s">
        <v>75</v>
      </c>
      <c r="B719" s="18">
        <v>2040</v>
      </c>
      <c r="C719" t="s">
        <v>159</v>
      </c>
      <c r="E719" s="20" t="s">
        <v>251</v>
      </c>
      <c r="F719" s="20" t="s">
        <v>252</v>
      </c>
      <c r="G719" s="20" t="s">
        <v>168</v>
      </c>
      <c r="H719" s="20" t="s">
        <v>169</v>
      </c>
      <c r="I719" s="20" t="s">
        <v>75</v>
      </c>
      <c r="J719" s="15">
        <f>IFERROR(INDEX(Cost_Components!$K$2:$K$27,MATCH(E719,Cost_Components!$A$2:$A$27,0)),"")</f>
        <v>0.06</v>
      </c>
      <c r="K719" s="15">
        <f t="shared" si="110"/>
        <v>0.61153846153846159</v>
      </c>
      <c r="L719" s="15">
        <f>IFERROR(INDEX(Cost_Components!$S$2:$S$27,MATCH(E719,Cost_Components!$A$2:$A$27,0)),"")</f>
        <v>0.31</v>
      </c>
      <c r="M719" s="26">
        <f>IFERROR(INDEX(Cost_Components!$L$2:$L$27,MATCH(E719,Cost_Components!$A$2:$A$27,0)),"")</f>
        <v>1</v>
      </c>
      <c r="N719" s="27">
        <f>IFERROR(INDEX(Cost_Components!$P$2:$P$27,MATCH(E719,Cost_Components!$A$2:$A$27,0)),"")</f>
        <v>22.229600000000001</v>
      </c>
      <c r="O719" s="21">
        <f t="shared" si="111"/>
        <v>10919834.788656479</v>
      </c>
      <c r="P719" s="21">
        <f t="shared" si="112"/>
        <v>10879803.193314901</v>
      </c>
      <c r="Q719" s="21">
        <f t="shared" si="113"/>
        <v>74974638.650495008</v>
      </c>
      <c r="R719" s="21">
        <f t="shared" si="114"/>
        <v>148447022.87480378</v>
      </c>
      <c r="S719" s="21">
        <f t="shared" si="115"/>
        <v>73472384.224308774</v>
      </c>
      <c r="T719" s="14">
        <f>IFERROR(INDEX(Cost_Components!$R$2:$R$27,MATCH(E719,Cost_Components!$A$2:$A$27,0)),"")</f>
        <v>1</v>
      </c>
      <c r="U719" s="24">
        <f>IFERROR(INDEX(Cost_Components!$Q$2:$Q$27,MATCH(E719,Cost_Components!$A$2:$A$27,0)),"")</f>
        <v>2023</v>
      </c>
      <c r="V719" s="28">
        <f>1/(1+Calculation_Assumptions!$B$5)^(B719-Calculation_Assumptions!$B$2)</f>
        <v>0.64186194739671765</v>
      </c>
      <c r="W719" s="21">
        <f t="shared" si="116"/>
        <v>48123367.569571942</v>
      </c>
      <c r="X719" s="21">
        <f t="shared" si="117"/>
        <v>95282495.18766664</v>
      </c>
      <c r="Y719" s="21">
        <f t="shared" si="118"/>
        <v>47159127.618094705</v>
      </c>
      <c r="Z719" s="15">
        <f>IFERROR(INDEX(Cost_Components!$T$2:$T$27,MATCH(E719,Cost_Components!$A$2:$A$27,0)),"")</f>
        <v>0.8</v>
      </c>
      <c r="AA719" s="24">
        <f>IFERROR(INDEX(Cost_Components!$U$2:$U$27,MATCH(E719,Cost_Components!$A$2:$A$27,0)),"")</f>
        <v>2025</v>
      </c>
      <c r="AB719" s="24">
        <f>IFERROR(INDEX(Cost_Components!$V$2:$V$27,MATCH(E719,Cost_Components!$A$2:$A$27,0)),"")</f>
        <v>2050</v>
      </c>
      <c r="AC719" s="24">
        <f>IFERROR(INDEX(Cost_Components!$M$2:$M$27,MATCH(E719,Cost_Components!$A$2:$A$27,0)),"")</f>
        <v>30</v>
      </c>
      <c r="AD719" s="24">
        <f>IFERROR(INDEX(Cost_Components!$N$2:$N$27,MATCH(E719,Cost_Components!$A$2:$A$27,0)),"")</f>
        <v>95</v>
      </c>
      <c r="AE719" s="14" t="str">
        <f>IFERROR(INDEX(Cost_Components!$O$2:$O$27,MATCH(E719,Cost_Components!$A$2:$A$27,0)),"")</f>
        <v>Both</v>
      </c>
      <c r="AF719" s="11">
        <v>181997246.477608</v>
      </c>
      <c r="AG719" s="11">
        <v>181330053.22191501</v>
      </c>
      <c r="AH719" s="21">
        <f t="shared" si="119"/>
        <v>1</v>
      </c>
    </row>
    <row r="720" spans="1:34" hidden="1">
      <c r="A720" t="s">
        <v>75</v>
      </c>
      <c r="B720" s="18">
        <v>2041</v>
      </c>
      <c r="C720" t="s">
        <v>159</v>
      </c>
      <c r="E720" s="20" t="s">
        <v>251</v>
      </c>
      <c r="F720" s="20" t="s">
        <v>252</v>
      </c>
      <c r="G720" s="20" t="s">
        <v>168</v>
      </c>
      <c r="H720" s="20" t="s">
        <v>169</v>
      </c>
      <c r="I720" s="20" t="s">
        <v>75</v>
      </c>
      <c r="J720" s="15">
        <f>IFERROR(INDEX(Cost_Components!$K$2:$K$27,MATCH(E720,Cost_Components!$A$2:$A$27,0)),"")</f>
        <v>0.06</v>
      </c>
      <c r="K720" s="15">
        <f t="shared" si="110"/>
        <v>0.63038461538461543</v>
      </c>
      <c r="L720" s="15">
        <f>IFERROR(INDEX(Cost_Components!$S$2:$S$27,MATCH(E720,Cost_Components!$A$2:$A$27,0)),"")</f>
        <v>0.31</v>
      </c>
      <c r="M720" s="26">
        <f>IFERROR(INDEX(Cost_Components!$L$2:$L$27,MATCH(E720,Cost_Components!$A$2:$A$27,0)),"")</f>
        <v>1</v>
      </c>
      <c r="N720" s="27">
        <f>IFERROR(INDEX(Cost_Components!$P$2:$P$27,MATCH(E720,Cost_Components!$A$2:$A$27,0)),"")</f>
        <v>22.229600000000001</v>
      </c>
      <c r="O720" s="21">
        <f t="shared" si="111"/>
        <v>11033704.264130218</v>
      </c>
      <c r="P720" s="21">
        <f t="shared" si="112"/>
        <v>10986226.6048308</v>
      </c>
      <c r="Q720" s="21">
        <f t="shared" si="113"/>
        <v>75708021.10977149</v>
      </c>
      <c r="R720" s="21">
        <f t="shared" si="114"/>
        <v>154617480.82920811</v>
      </c>
      <c r="S720" s="21">
        <f t="shared" si="115"/>
        <v>78909459.719436616</v>
      </c>
      <c r="T720" s="14">
        <f>IFERROR(INDEX(Cost_Components!$R$2:$R$27,MATCH(E720,Cost_Components!$A$2:$A$27,0)),"")</f>
        <v>1</v>
      </c>
      <c r="U720" s="24">
        <f>IFERROR(INDEX(Cost_Components!$Q$2:$Q$27,MATCH(E720,Cost_Components!$A$2:$A$27,0)),"")</f>
        <v>2023</v>
      </c>
      <c r="V720" s="28">
        <f>1/(1+Calculation_Assumptions!$B$5)^(B720-Calculation_Assumptions!$B$2)</f>
        <v>0.62316693922011435</v>
      </c>
      <c r="W720" s="21">
        <f t="shared" si="116"/>
        <v>47178735.789388105</v>
      </c>
      <c r="X720" s="21">
        <f t="shared" si="117"/>
        <v>96352502.278262317</v>
      </c>
      <c r="Y720" s="21">
        <f t="shared" si="118"/>
        <v>49173766.488874219</v>
      </c>
      <c r="Z720" s="15">
        <f>IFERROR(INDEX(Cost_Components!$T$2:$T$27,MATCH(E720,Cost_Components!$A$2:$A$27,0)),"")</f>
        <v>0.8</v>
      </c>
      <c r="AA720" s="24">
        <f>IFERROR(INDEX(Cost_Components!$U$2:$U$27,MATCH(E720,Cost_Components!$A$2:$A$27,0)),"")</f>
        <v>2025</v>
      </c>
      <c r="AB720" s="24">
        <f>IFERROR(INDEX(Cost_Components!$V$2:$V$27,MATCH(E720,Cost_Components!$A$2:$A$27,0)),"")</f>
        <v>2050</v>
      </c>
      <c r="AC720" s="24">
        <f>IFERROR(INDEX(Cost_Components!$M$2:$M$27,MATCH(E720,Cost_Components!$A$2:$A$27,0)),"")</f>
        <v>30</v>
      </c>
      <c r="AD720" s="24">
        <f>IFERROR(INDEX(Cost_Components!$N$2:$N$27,MATCH(E720,Cost_Components!$A$2:$A$27,0)),"")</f>
        <v>95</v>
      </c>
      <c r="AE720" s="14" t="str">
        <f>IFERROR(INDEX(Cost_Components!$O$2:$O$27,MATCH(E720,Cost_Components!$A$2:$A$27,0)),"")</f>
        <v>Both</v>
      </c>
      <c r="AF720" s="11">
        <v>183895071.06883699</v>
      </c>
      <c r="AG720" s="11">
        <v>183103776.74718001</v>
      </c>
      <c r="AH720" s="21">
        <f t="shared" si="119"/>
        <v>1</v>
      </c>
    </row>
    <row r="721" spans="1:34" hidden="1">
      <c r="A721" t="s">
        <v>75</v>
      </c>
      <c r="B721" s="18">
        <v>2042</v>
      </c>
      <c r="C721" t="s">
        <v>159</v>
      </c>
      <c r="E721" s="20" t="s">
        <v>251</v>
      </c>
      <c r="F721" s="20" t="s">
        <v>252</v>
      </c>
      <c r="G721" s="20" t="s">
        <v>168</v>
      </c>
      <c r="H721" s="20" t="s">
        <v>169</v>
      </c>
      <c r="I721" s="20" t="s">
        <v>75</v>
      </c>
      <c r="J721" s="15">
        <f>IFERROR(INDEX(Cost_Components!$K$2:$K$27,MATCH(E721,Cost_Components!$A$2:$A$27,0)),"")</f>
        <v>0.06</v>
      </c>
      <c r="K721" s="15">
        <f t="shared" si="110"/>
        <v>0.64923076923076928</v>
      </c>
      <c r="L721" s="15">
        <f>IFERROR(INDEX(Cost_Components!$S$2:$S$27,MATCH(E721,Cost_Components!$A$2:$A$27,0)),"")</f>
        <v>0.31</v>
      </c>
      <c r="M721" s="26">
        <f>IFERROR(INDEX(Cost_Components!$L$2:$L$27,MATCH(E721,Cost_Components!$A$2:$A$27,0)),"")</f>
        <v>1</v>
      </c>
      <c r="N721" s="27">
        <f>IFERROR(INDEX(Cost_Components!$P$2:$P$27,MATCH(E721,Cost_Components!$A$2:$A$27,0)),"")</f>
        <v>22.229600000000001</v>
      </c>
      <c r="O721" s="21">
        <f t="shared" si="111"/>
        <v>11148946.87469352</v>
      </c>
      <c r="P721" s="21">
        <f t="shared" si="112"/>
        <v>11084912.85475182</v>
      </c>
      <c r="Q721" s="21">
        <f t="shared" si="113"/>
        <v>76388085.426757231</v>
      </c>
      <c r="R721" s="21">
        <f t="shared" si="114"/>
        <v>160903165.57858455</v>
      </c>
      <c r="S721" s="21">
        <f t="shared" si="115"/>
        <v>84515080.15182732</v>
      </c>
      <c r="T721" s="14">
        <f>IFERROR(INDEX(Cost_Components!$R$2:$R$27,MATCH(E721,Cost_Components!$A$2:$A$27,0)),"")</f>
        <v>1</v>
      </c>
      <c r="U721" s="24">
        <f>IFERROR(INDEX(Cost_Components!$Q$2:$Q$27,MATCH(E721,Cost_Components!$A$2:$A$27,0)),"")</f>
        <v>2023</v>
      </c>
      <c r="V721" s="28">
        <f>1/(1+Calculation_Assumptions!$B$5)^(B721-Calculation_Assumptions!$B$2)</f>
        <v>0.60501644584477121</v>
      </c>
      <c r="W721" s="21">
        <f t="shared" si="116"/>
        <v>46216047.949783422</v>
      </c>
      <c r="X721" s="21">
        <f t="shared" si="117"/>
        <v>97349061.363527954</v>
      </c>
      <c r="Y721" s="21">
        <f t="shared" si="118"/>
        <v>51133013.413744532</v>
      </c>
      <c r="Z721" s="15">
        <f>IFERROR(INDEX(Cost_Components!$T$2:$T$27,MATCH(E721,Cost_Components!$A$2:$A$27,0)),"")</f>
        <v>0.8</v>
      </c>
      <c r="AA721" s="24">
        <f>IFERROR(INDEX(Cost_Components!$U$2:$U$27,MATCH(E721,Cost_Components!$A$2:$A$27,0)),"")</f>
        <v>2025</v>
      </c>
      <c r="AB721" s="24">
        <f>IFERROR(INDEX(Cost_Components!$V$2:$V$27,MATCH(E721,Cost_Components!$A$2:$A$27,0)),"")</f>
        <v>2050</v>
      </c>
      <c r="AC721" s="24">
        <f>IFERROR(INDEX(Cost_Components!$M$2:$M$27,MATCH(E721,Cost_Components!$A$2:$A$27,0)),"")</f>
        <v>30</v>
      </c>
      <c r="AD721" s="24">
        <f>IFERROR(INDEX(Cost_Components!$N$2:$N$27,MATCH(E721,Cost_Components!$A$2:$A$27,0)),"")</f>
        <v>95</v>
      </c>
      <c r="AE721" s="14" t="str">
        <f>IFERROR(INDEX(Cost_Components!$O$2:$O$27,MATCH(E721,Cost_Components!$A$2:$A$27,0)),"")</f>
        <v>Both</v>
      </c>
      <c r="AF721" s="11">
        <v>185815781.244892</v>
      </c>
      <c r="AG721" s="11">
        <v>184748547.57919699</v>
      </c>
      <c r="AH721" s="21">
        <f t="shared" si="119"/>
        <v>1</v>
      </c>
    </row>
    <row r="722" spans="1:34" hidden="1">
      <c r="A722" t="s">
        <v>75</v>
      </c>
      <c r="B722" s="18">
        <v>2043</v>
      </c>
      <c r="C722" t="s">
        <v>159</v>
      </c>
      <c r="E722" s="20" t="s">
        <v>251</v>
      </c>
      <c r="F722" s="20" t="s">
        <v>252</v>
      </c>
      <c r="G722" s="20" t="s">
        <v>168</v>
      </c>
      <c r="H722" s="20" t="s">
        <v>169</v>
      </c>
      <c r="I722" s="20" t="s">
        <v>75</v>
      </c>
      <c r="J722" s="15">
        <f>IFERROR(INDEX(Cost_Components!$K$2:$K$27,MATCH(E722,Cost_Components!$A$2:$A$27,0)),"")</f>
        <v>0.06</v>
      </c>
      <c r="K722" s="15">
        <f t="shared" si="110"/>
        <v>0.66807692307692301</v>
      </c>
      <c r="L722" s="15">
        <f>IFERROR(INDEX(Cost_Components!$S$2:$S$27,MATCH(E722,Cost_Components!$A$2:$A$27,0)),"")</f>
        <v>0.31</v>
      </c>
      <c r="M722" s="26">
        <f>IFERROR(INDEX(Cost_Components!$L$2:$L$27,MATCH(E722,Cost_Components!$A$2:$A$27,0)),"")</f>
        <v>1</v>
      </c>
      <c r="N722" s="27">
        <f>IFERROR(INDEX(Cost_Components!$P$2:$P$27,MATCH(E722,Cost_Components!$A$2:$A$27,0)),"")</f>
        <v>22.229600000000001</v>
      </c>
      <c r="O722" s="21">
        <f t="shared" si="111"/>
        <v>11264525.42779698</v>
      </c>
      <c r="P722" s="21">
        <f t="shared" si="112"/>
        <v>11191341.123611221</v>
      </c>
      <c r="Q722" s="21">
        <f t="shared" si="113"/>
        <v>77121501.358842686</v>
      </c>
      <c r="R722" s="21">
        <f t="shared" si="114"/>
        <v>167290399.4843176</v>
      </c>
      <c r="S722" s="21">
        <f t="shared" si="115"/>
        <v>90168898.125474915</v>
      </c>
      <c r="T722" s="14">
        <f>IFERROR(INDEX(Cost_Components!$R$2:$R$27,MATCH(E722,Cost_Components!$A$2:$A$27,0)),"")</f>
        <v>1</v>
      </c>
      <c r="U722" s="24">
        <f>IFERROR(INDEX(Cost_Components!$Q$2:$Q$27,MATCH(E722,Cost_Components!$A$2:$A$27,0)),"")</f>
        <v>2023</v>
      </c>
      <c r="V722" s="28">
        <f>1/(1+Calculation_Assumptions!$B$5)^(B722-Calculation_Assumptions!$B$2)</f>
        <v>0.5873946076162827</v>
      </c>
      <c r="W722" s="21">
        <f t="shared" si="116"/>
        <v>45300754.029456012</v>
      </c>
      <c r="X722" s="21">
        <f t="shared" si="117"/>
        <v>98265478.563061923</v>
      </c>
      <c r="Y722" s="21">
        <f t="shared" si="118"/>
        <v>52964724.533605903</v>
      </c>
      <c r="Z722" s="15">
        <f>IFERROR(INDEX(Cost_Components!$T$2:$T$27,MATCH(E722,Cost_Components!$A$2:$A$27,0)),"")</f>
        <v>0.8</v>
      </c>
      <c r="AA722" s="24">
        <f>IFERROR(INDEX(Cost_Components!$U$2:$U$27,MATCH(E722,Cost_Components!$A$2:$A$27,0)),"")</f>
        <v>2025</v>
      </c>
      <c r="AB722" s="24">
        <f>IFERROR(INDEX(Cost_Components!$V$2:$V$27,MATCH(E722,Cost_Components!$A$2:$A$27,0)),"")</f>
        <v>2050</v>
      </c>
      <c r="AC722" s="24">
        <f>IFERROR(INDEX(Cost_Components!$M$2:$M$27,MATCH(E722,Cost_Components!$A$2:$A$27,0)),"")</f>
        <v>30</v>
      </c>
      <c r="AD722" s="24">
        <f>IFERROR(INDEX(Cost_Components!$N$2:$N$27,MATCH(E722,Cost_Components!$A$2:$A$27,0)),"")</f>
        <v>95</v>
      </c>
      <c r="AE722" s="14" t="str">
        <f>IFERROR(INDEX(Cost_Components!$O$2:$O$27,MATCH(E722,Cost_Components!$A$2:$A$27,0)),"")</f>
        <v>Both</v>
      </c>
      <c r="AF722" s="11">
        <v>187742090.463283</v>
      </c>
      <c r="AG722" s="11">
        <v>186522352.06018701</v>
      </c>
      <c r="AH722" s="21">
        <f t="shared" si="119"/>
        <v>1</v>
      </c>
    </row>
    <row r="723" spans="1:34" hidden="1">
      <c r="A723" t="s">
        <v>75</v>
      </c>
      <c r="B723" s="18">
        <v>2044</v>
      </c>
      <c r="C723" t="s">
        <v>159</v>
      </c>
      <c r="E723" s="20" t="s">
        <v>251</v>
      </c>
      <c r="F723" s="20" t="s">
        <v>252</v>
      </c>
      <c r="G723" s="20" t="s">
        <v>168</v>
      </c>
      <c r="H723" s="20" t="s">
        <v>169</v>
      </c>
      <c r="I723" s="20" t="s">
        <v>75</v>
      </c>
      <c r="J723" s="15">
        <f>IFERROR(INDEX(Cost_Components!$K$2:$K$27,MATCH(E723,Cost_Components!$A$2:$A$27,0)),"")</f>
        <v>0.06</v>
      </c>
      <c r="K723" s="15">
        <f t="shared" si="110"/>
        <v>0.68692307692307697</v>
      </c>
      <c r="L723" s="15">
        <f>IFERROR(INDEX(Cost_Components!$S$2:$S$27,MATCH(E723,Cost_Components!$A$2:$A$27,0)),"")</f>
        <v>0.31</v>
      </c>
      <c r="M723" s="26">
        <f>IFERROR(INDEX(Cost_Components!$L$2:$L$27,MATCH(E723,Cost_Components!$A$2:$A$27,0)),"")</f>
        <v>1</v>
      </c>
      <c r="N723" s="27">
        <f>IFERROR(INDEX(Cost_Components!$P$2:$P$27,MATCH(E723,Cost_Components!$A$2:$A$27,0)),"")</f>
        <v>22.229600000000001</v>
      </c>
      <c r="O723" s="21">
        <f t="shared" si="111"/>
        <v>11365841.0436933</v>
      </c>
      <c r="P723" s="21">
        <f t="shared" si="112"/>
        <v>11282970.91799796</v>
      </c>
      <c r="Q723" s="21">
        <f t="shared" si="113"/>
        <v>77752938.398805514</v>
      </c>
      <c r="R723" s="21">
        <f t="shared" si="114"/>
        <v>173556679.50610921</v>
      </c>
      <c r="S723" s="21">
        <f t="shared" si="115"/>
        <v>95803741.107303694</v>
      </c>
      <c r="T723" s="14">
        <f>IFERROR(INDEX(Cost_Components!$R$2:$R$27,MATCH(E723,Cost_Components!$A$2:$A$27,0)),"")</f>
        <v>1</v>
      </c>
      <c r="U723" s="24">
        <f>IFERROR(INDEX(Cost_Components!$Q$2:$Q$27,MATCH(E723,Cost_Components!$A$2:$A$27,0)),"")</f>
        <v>2023</v>
      </c>
      <c r="V723" s="28">
        <f>1/(1+Calculation_Assumptions!$B$5)^(B723-Calculation_Assumptions!$B$2)</f>
        <v>0.57028602681192497</v>
      </c>
      <c r="W723" s="21">
        <f t="shared" si="116"/>
        <v>44341414.312407151</v>
      </c>
      <c r="X723" s="21">
        <f t="shared" si="117"/>
        <v>98976949.182209671</v>
      </c>
      <c r="Y723" s="21">
        <f t="shared" si="118"/>
        <v>54635534.869802512</v>
      </c>
      <c r="Z723" s="15">
        <f>IFERROR(INDEX(Cost_Components!$T$2:$T$27,MATCH(E723,Cost_Components!$A$2:$A$27,0)),"")</f>
        <v>0.8</v>
      </c>
      <c r="AA723" s="24">
        <f>IFERROR(INDEX(Cost_Components!$U$2:$U$27,MATCH(E723,Cost_Components!$A$2:$A$27,0)),"")</f>
        <v>2025</v>
      </c>
      <c r="AB723" s="24">
        <f>IFERROR(INDEX(Cost_Components!$V$2:$V$27,MATCH(E723,Cost_Components!$A$2:$A$27,0)),"")</f>
        <v>2050</v>
      </c>
      <c r="AC723" s="24">
        <f>IFERROR(INDEX(Cost_Components!$M$2:$M$27,MATCH(E723,Cost_Components!$A$2:$A$27,0)),"")</f>
        <v>30</v>
      </c>
      <c r="AD723" s="24">
        <f>IFERROR(INDEX(Cost_Components!$N$2:$N$27,MATCH(E723,Cost_Components!$A$2:$A$27,0)),"")</f>
        <v>95</v>
      </c>
      <c r="AE723" s="14" t="str">
        <f>IFERROR(INDEX(Cost_Components!$O$2:$O$27,MATCH(E723,Cost_Components!$A$2:$A$27,0)),"")</f>
        <v>Both</v>
      </c>
      <c r="AF723" s="11">
        <v>189430684.061555</v>
      </c>
      <c r="AG723" s="11">
        <v>188049515.29996601</v>
      </c>
      <c r="AH723" s="21">
        <f t="shared" si="119"/>
        <v>1</v>
      </c>
    </row>
    <row r="724" spans="1:34" hidden="1">
      <c r="A724" t="s">
        <v>75</v>
      </c>
      <c r="B724" s="18">
        <v>2045</v>
      </c>
      <c r="C724" t="s">
        <v>159</v>
      </c>
      <c r="E724" s="20" t="s">
        <v>251</v>
      </c>
      <c r="F724" s="20" t="s">
        <v>252</v>
      </c>
      <c r="G724" s="20" t="s">
        <v>168</v>
      </c>
      <c r="H724" s="20" t="s">
        <v>169</v>
      </c>
      <c r="I724" s="20" t="s">
        <v>75</v>
      </c>
      <c r="J724" s="15">
        <f>IFERROR(INDEX(Cost_Components!$K$2:$K$27,MATCH(E724,Cost_Components!$A$2:$A$27,0)),"")</f>
        <v>0.06</v>
      </c>
      <c r="K724" s="15">
        <f t="shared" si="110"/>
        <v>0.70576923076923082</v>
      </c>
      <c r="L724" s="15">
        <f>IFERROR(INDEX(Cost_Components!$S$2:$S$27,MATCH(E724,Cost_Components!$A$2:$A$27,0)),"")</f>
        <v>0.31</v>
      </c>
      <c r="M724" s="26">
        <f>IFERROR(INDEX(Cost_Components!$L$2:$L$27,MATCH(E724,Cost_Components!$A$2:$A$27,0)),"")</f>
        <v>1</v>
      </c>
      <c r="N724" s="27">
        <f>IFERROR(INDEX(Cost_Components!$P$2:$P$27,MATCH(E724,Cost_Components!$A$2:$A$27,0)),"")</f>
        <v>22.229600000000001</v>
      </c>
      <c r="O724" s="21">
        <f t="shared" si="111"/>
        <v>11459607.8187516</v>
      </c>
      <c r="P724" s="21">
        <f t="shared" si="112"/>
        <v>11366421.174471898</v>
      </c>
      <c r="Q724" s="21">
        <f t="shared" si="113"/>
        <v>78328008.803412557</v>
      </c>
      <c r="R724" s="21">
        <f t="shared" si="114"/>
        <v>179789416.83491048</v>
      </c>
      <c r="S724" s="21">
        <f t="shared" si="115"/>
        <v>101461408.03149793</v>
      </c>
      <c r="T724" s="14">
        <f>IFERROR(INDEX(Cost_Components!$R$2:$R$27,MATCH(E724,Cost_Components!$A$2:$A$27,0)),"")</f>
        <v>1</v>
      </c>
      <c r="U724" s="24">
        <f>IFERROR(INDEX(Cost_Components!$Q$2:$Q$27,MATCH(E724,Cost_Components!$A$2:$A$27,0)),"")</f>
        <v>2023</v>
      </c>
      <c r="V724" s="28">
        <f>1/(1+Calculation_Assumptions!$B$5)^(B724-Calculation_Assumptions!$B$2)</f>
        <v>0.55367575418633497</v>
      </c>
      <c r="W724" s="21">
        <f t="shared" si="116"/>
        <v>43368319.348143332</v>
      </c>
      <c r="X724" s="21">
        <f t="shared" si="117"/>
        <v>99545040.960790411</v>
      </c>
      <c r="Y724" s="21">
        <f t="shared" si="118"/>
        <v>56176721.612647079</v>
      </c>
      <c r="Z724" s="15">
        <f>IFERROR(INDEX(Cost_Components!$T$2:$T$27,MATCH(E724,Cost_Components!$A$2:$A$27,0)),"")</f>
        <v>0.8</v>
      </c>
      <c r="AA724" s="24">
        <f>IFERROR(INDEX(Cost_Components!$U$2:$U$27,MATCH(E724,Cost_Components!$A$2:$A$27,0)),"")</f>
        <v>2025</v>
      </c>
      <c r="AB724" s="24">
        <f>IFERROR(INDEX(Cost_Components!$V$2:$V$27,MATCH(E724,Cost_Components!$A$2:$A$27,0)),"")</f>
        <v>2050</v>
      </c>
      <c r="AC724" s="24">
        <f>IFERROR(INDEX(Cost_Components!$M$2:$M$27,MATCH(E724,Cost_Components!$A$2:$A$27,0)),"")</f>
        <v>30</v>
      </c>
      <c r="AD724" s="24">
        <f>IFERROR(INDEX(Cost_Components!$N$2:$N$27,MATCH(E724,Cost_Components!$A$2:$A$27,0)),"")</f>
        <v>95</v>
      </c>
      <c r="AE724" s="14" t="str">
        <f>IFERROR(INDEX(Cost_Components!$O$2:$O$27,MATCH(E724,Cost_Components!$A$2:$A$27,0)),"")</f>
        <v>Both</v>
      </c>
      <c r="AF724" s="11">
        <v>190993463.64585999</v>
      </c>
      <c r="AG724" s="11">
        <v>189440352.90786499</v>
      </c>
      <c r="AH724" s="21">
        <f t="shared" si="119"/>
        <v>1</v>
      </c>
    </row>
    <row r="725" spans="1:34" hidden="1">
      <c r="A725" t="s">
        <v>75</v>
      </c>
      <c r="B725" s="18">
        <v>2046</v>
      </c>
      <c r="C725" t="s">
        <v>159</v>
      </c>
      <c r="E725" s="20" t="s">
        <v>251</v>
      </c>
      <c r="F725" s="20" t="s">
        <v>252</v>
      </c>
      <c r="G725" s="20" t="s">
        <v>168</v>
      </c>
      <c r="H725" s="20" t="s">
        <v>169</v>
      </c>
      <c r="I725" s="20" t="s">
        <v>75</v>
      </c>
      <c r="J725" s="15">
        <f>IFERROR(INDEX(Cost_Components!$K$2:$K$27,MATCH(E725,Cost_Components!$A$2:$A$27,0)),"")</f>
        <v>0.06</v>
      </c>
      <c r="K725" s="15">
        <f t="shared" si="110"/>
        <v>0.72461538461538466</v>
      </c>
      <c r="L725" s="15">
        <f>IFERROR(INDEX(Cost_Components!$S$2:$S$27,MATCH(E725,Cost_Components!$A$2:$A$27,0)),"")</f>
        <v>0.31</v>
      </c>
      <c r="M725" s="26">
        <f>IFERROR(INDEX(Cost_Components!$L$2:$L$27,MATCH(E725,Cost_Components!$A$2:$A$27,0)),"")</f>
        <v>1</v>
      </c>
      <c r="N725" s="27">
        <f>IFERROR(INDEX(Cost_Components!$P$2:$P$27,MATCH(E725,Cost_Components!$A$2:$A$27,0)),"")</f>
        <v>22.229600000000001</v>
      </c>
      <c r="O725" s="21">
        <f t="shared" si="111"/>
        <v>11536478.849590739</v>
      </c>
      <c r="P725" s="21">
        <f t="shared" si="112"/>
        <v>11442328.692601979</v>
      </c>
      <c r="Q725" s="21">
        <f t="shared" si="113"/>
        <v>78851100.870570138</v>
      </c>
      <c r="R725" s="21">
        <f t="shared" si="114"/>
        <v>185828564.8009541</v>
      </c>
      <c r="S725" s="21">
        <f t="shared" si="115"/>
        <v>106977463.93038397</v>
      </c>
      <c r="T725" s="14">
        <f>IFERROR(INDEX(Cost_Components!$R$2:$R$27,MATCH(E725,Cost_Components!$A$2:$A$27,0)),"")</f>
        <v>1</v>
      </c>
      <c r="U725" s="24">
        <f>IFERROR(INDEX(Cost_Components!$Q$2:$Q$27,MATCH(E725,Cost_Components!$A$2:$A$27,0)),"")</f>
        <v>2023</v>
      </c>
      <c r="V725" s="28">
        <f>1/(1+Calculation_Assumptions!$B$5)^(B725-Calculation_Assumptions!$B$2)</f>
        <v>0.5375492759090631</v>
      </c>
      <c r="W725" s="21">
        <f t="shared" si="116"/>
        <v>42386352.177607469</v>
      </c>
      <c r="X725" s="21">
        <f t="shared" si="117"/>
        <v>99892010.451973289</v>
      </c>
      <c r="Y725" s="21">
        <f t="shared" si="118"/>
        <v>57505658.274365813</v>
      </c>
      <c r="Z725" s="15">
        <f>IFERROR(INDEX(Cost_Components!$T$2:$T$27,MATCH(E725,Cost_Components!$A$2:$A$27,0)),"")</f>
        <v>0.8</v>
      </c>
      <c r="AA725" s="24">
        <f>IFERROR(INDEX(Cost_Components!$U$2:$U$27,MATCH(E725,Cost_Components!$A$2:$A$27,0)),"")</f>
        <v>2025</v>
      </c>
      <c r="AB725" s="24">
        <f>IFERROR(INDEX(Cost_Components!$V$2:$V$27,MATCH(E725,Cost_Components!$A$2:$A$27,0)),"")</f>
        <v>2050</v>
      </c>
      <c r="AC725" s="24">
        <f>IFERROR(INDEX(Cost_Components!$M$2:$M$27,MATCH(E725,Cost_Components!$A$2:$A$27,0)),"")</f>
        <v>30</v>
      </c>
      <c r="AD725" s="24">
        <f>IFERROR(INDEX(Cost_Components!$N$2:$N$27,MATCH(E725,Cost_Components!$A$2:$A$27,0)),"")</f>
        <v>95</v>
      </c>
      <c r="AE725" s="14" t="str">
        <f>IFERROR(INDEX(Cost_Components!$O$2:$O$27,MATCH(E725,Cost_Components!$A$2:$A$27,0)),"")</f>
        <v>Both</v>
      </c>
      <c r="AF725" s="11">
        <v>192274647.49317899</v>
      </c>
      <c r="AG725" s="11">
        <v>190705478.210033</v>
      </c>
      <c r="AH725" s="21">
        <f t="shared" si="119"/>
        <v>1</v>
      </c>
    </row>
    <row r="726" spans="1:34" hidden="1">
      <c r="A726" t="s">
        <v>75</v>
      </c>
      <c r="B726" s="18">
        <v>2047</v>
      </c>
      <c r="C726" t="s">
        <v>159</v>
      </c>
      <c r="E726" s="20" t="s">
        <v>251</v>
      </c>
      <c r="F726" s="20" t="s">
        <v>252</v>
      </c>
      <c r="G726" s="20" t="s">
        <v>168</v>
      </c>
      <c r="H726" s="20" t="s">
        <v>169</v>
      </c>
      <c r="I726" s="20" t="s">
        <v>75</v>
      </c>
      <c r="J726" s="15">
        <f>IFERROR(INDEX(Cost_Components!$K$2:$K$27,MATCH(E726,Cost_Components!$A$2:$A$27,0)),"")</f>
        <v>0.06</v>
      </c>
      <c r="K726" s="15">
        <f t="shared" si="110"/>
        <v>0.74346153846153851</v>
      </c>
      <c r="L726" s="15">
        <f>IFERROR(INDEX(Cost_Components!$S$2:$S$27,MATCH(E726,Cost_Components!$A$2:$A$27,0)),"")</f>
        <v>0.31</v>
      </c>
      <c r="M726" s="26">
        <f>IFERROR(INDEX(Cost_Components!$L$2:$L$27,MATCH(E726,Cost_Components!$A$2:$A$27,0)),"")</f>
        <v>1</v>
      </c>
      <c r="N726" s="27">
        <f>IFERROR(INDEX(Cost_Components!$P$2:$P$27,MATCH(E726,Cost_Components!$A$2:$A$27,0)),"")</f>
        <v>22.229600000000001</v>
      </c>
      <c r="O726" s="21">
        <f t="shared" si="111"/>
        <v>11616046.414887959</v>
      </c>
      <c r="P726" s="21">
        <f t="shared" si="112"/>
        <v>11500377.1111452</v>
      </c>
      <c r="Q726" s="21">
        <f t="shared" si="113"/>
        <v>79251122.739273146</v>
      </c>
      <c r="R726" s="21">
        <f t="shared" si="114"/>
        <v>191976687.07232019</v>
      </c>
      <c r="S726" s="21">
        <f t="shared" si="115"/>
        <v>112725564.33304705</v>
      </c>
      <c r="T726" s="14">
        <f>IFERROR(INDEX(Cost_Components!$R$2:$R$27,MATCH(E726,Cost_Components!$A$2:$A$27,0)),"")</f>
        <v>1</v>
      </c>
      <c r="U726" s="24">
        <f>IFERROR(INDEX(Cost_Components!$Q$2:$Q$27,MATCH(E726,Cost_Components!$A$2:$A$27,0)),"")</f>
        <v>2023</v>
      </c>
      <c r="V726" s="28">
        <f>1/(1+Calculation_Assumptions!$B$5)^(B726-Calculation_Assumptions!$B$2)</f>
        <v>0.52189250088258554</v>
      </c>
      <c r="W726" s="21">
        <f t="shared" si="116"/>
        <v>41360566.644152008</v>
      </c>
      <c r="X726" s="21">
        <f t="shared" si="117"/>
        <v>100191193.32732671</v>
      </c>
      <c r="Y726" s="21">
        <f t="shared" si="118"/>
        <v>58830626.683174707</v>
      </c>
      <c r="Z726" s="15">
        <f>IFERROR(INDEX(Cost_Components!$T$2:$T$27,MATCH(E726,Cost_Components!$A$2:$A$27,0)),"")</f>
        <v>0.8</v>
      </c>
      <c r="AA726" s="24">
        <f>IFERROR(INDEX(Cost_Components!$U$2:$U$27,MATCH(E726,Cost_Components!$A$2:$A$27,0)),"")</f>
        <v>2025</v>
      </c>
      <c r="AB726" s="24">
        <f>IFERROR(INDEX(Cost_Components!$V$2:$V$27,MATCH(E726,Cost_Components!$A$2:$A$27,0)),"")</f>
        <v>2050</v>
      </c>
      <c r="AC726" s="24">
        <f>IFERROR(INDEX(Cost_Components!$M$2:$M$27,MATCH(E726,Cost_Components!$A$2:$A$27,0)),"")</f>
        <v>30</v>
      </c>
      <c r="AD726" s="24">
        <f>IFERROR(INDEX(Cost_Components!$N$2:$N$27,MATCH(E726,Cost_Components!$A$2:$A$27,0)),"")</f>
        <v>95</v>
      </c>
      <c r="AE726" s="14" t="str">
        <f>IFERROR(INDEX(Cost_Components!$O$2:$O$27,MATCH(E726,Cost_Components!$A$2:$A$27,0)),"")</f>
        <v>Both</v>
      </c>
      <c r="AF726" s="11">
        <v>193600773.58146599</v>
      </c>
      <c r="AG726" s="11">
        <v>191672951.85242</v>
      </c>
      <c r="AH726" s="21">
        <f t="shared" si="119"/>
        <v>1</v>
      </c>
    </row>
    <row r="727" spans="1:34" hidden="1">
      <c r="A727" t="s">
        <v>75</v>
      </c>
      <c r="B727" s="18">
        <v>2048</v>
      </c>
      <c r="C727" t="s">
        <v>159</v>
      </c>
      <c r="E727" s="20" t="s">
        <v>251</v>
      </c>
      <c r="F727" s="20" t="s">
        <v>252</v>
      </c>
      <c r="G727" s="20" t="s">
        <v>168</v>
      </c>
      <c r="H727" s="20" t="s">
        <v>169</v>
      </c>
      <c r="I727" s="20" t="s">
        <v>75</v>
      </c>
      <c r="J727" s="15">
        <f>IFERROR(INDEX(Cost_Components!$K$2:$K$27,MATCH(E727,Cost_Components!$A$2:$A$27,0)),"")</f>
        <v>0.06</v>
      </c>
      <c r="K727" s="15">
        <f t="shared" si="110"/>
        <v>0.76230769230769235</v>
      </c>
      <c r="L727" s="15">
        <f>IFERROR(INDEX(Cost_Components!$S$2:$S$27,MATCH(E727,Cost_Components!$A$2:$A$27,0)),"")</f>
        <v>0.31</v>
      </c>
      <c r="M727" s="26">
        <f>IFERROR(INDEX(Cost_Components!$L$2:$L$27,MATCH(E727,Cost_Components!$A$2:$A$27,0)),"")</f>
        <v>1</v>
      </c>
      <c r="N727" s="27">
        <f>IFERROR(INDEX(Cost_Components!$P$2:$P$27,MATCH(E727,Cost_Components!$A$2:$A$27,0)),"")</f>
        <v>22.229600000000001</v>
      </c>
      <c r="O727" s="21">
        <f t="shared" si="111"/>
        <v>11678683.40736744</v>
      </c>
      <c r="P727" s="21">
        <f t="shared" si="112"/>
        <v>11550881.61377232</v>
      </c>
      <c r="Q727" s="21">
        <f t="shared" si="113"/>
        <v>79599158.155669078</v>
      </c>
      <c r="R727" s="21">
        <f t="shared" si="114"/>
        <v>197904575.7895104</v>
      </c>
      <c r="S727" s="21">
        <f t="shared" si="115"/>
        <v>118305417.63384132</v>
      </c>
      <c r="T727" s="14">
        <f>IFERROR(INDEX(Cost_Components!$R$2:$R$27,MATCH(E727,Cost_Components!$A$2:$A$27,0)),"")</f>
        <v>1</v>
      </c>
      <c r="U727" s="24">
        <f>IFERROR(INDEX(Cost_Components!$Q$2:$Q$27,MATCH(E727,Cost_Components!$A$2:$A$27,0)),"")</f>
        <v>2023</v>
      </c>
      <c r="V727" s="28">
        <f>1/(1+Calculation_Assumptions!$B$5)^(B727-Calculation_Assumptions!$B$2)</f>
        <v>0.50669174842969467</v>
      </c>
      <c r="W727" s="21">
        <f t="shared" si="116"/>
        <v>40332236.619427755</v>
      </c>
      <c r="X727" s="21">
        <f t="shared" si="117"/>
        <v>100276615.52902405</v>
      </c>
      <c r="Y727" s="21">
        <f t="shared" si="118"/>
        <v>59944378.909596287</v>
      </c>
      <c r="Z727" s="15">
        <f>IFERROR(INDEX(Cost_Components!$T$2:$T$27,MATCH(E727,Cost_Components!$A$2:$A$27,0)),"")</f>
        <v>0.8</v>
      </c>
      <c r="AA727" s="24">
        <f>IFERROR(INDEX(Cost_Components!$U$2:$U$27,MATCH(E727,Cost_Components!$A$2:$A$27,0)),"")</f>
        <v>2025</v>
      </c>
      <c r="AB727" s="24">
        <f>IFERROR(INDEX(Cost_Components!$V$2:$V$27,MATCH(E727,Cost_Components!$A$2:$A$27,0)),"")</f>
        <v>2050</v>
      </c>
      <c r="AC727" s="24">
        <f>IFERROR(INDEX(Cost_Components!$M$2:$M$27,MATCH(E727,Cost_Components!$A$2:$A$27,0)),"")</f>
        <v>30</v>
      </c>
      <c r="AD727" s="24">
        <f>IFERROR(INDEX(Cost_Components!$N$2:$N$27,MATCH(E727,Cost_Components!$A$2:$A$27,0)),"")</f>
        <v>95</v>
      </c>
      <c r="AE727" s="14" t="str">
        <f>IFERROR(INDEX(Cost_Components!$O$2:$O$27,MATCH(E727,Cost_Components!$A$2:$A$27,0)),"")</f>
        <v>Both</v>
      </c>
      <c r="AF727" s="11">
        <v>194644723.45612401</v>
      </c>
      <c r="AG727" s="11">
        <v>192514693.56287199</v>
      </c>
      <c r="AH727" s="21">
        <f t="shared" si="119"/>
        <v>1</v>
      </c>
    </row>
    <row r="728" spans="1:34" hidden="1">
      <c r="A728" t="s">
        <v>75</v>
      </c>
      <c r="B728" s="18">
        <v>2049</v>
      </c>
      <c r="C728" t="s">
        <v>159</v>
      </c>
      <c r="E728" s="20" t="s">
        <v>251</v>
      </c>
      <c r="F728" s="20" t="s">
        <v>252</v>
      </c>
      <c r="G728" s="20" t="s">
        <v>168</v>
      </c>
      <c r="H728" s="20" t="s">
        <v>169</v>
      </c>
      <c r="I728" s="20" t="s">
        <v>75</v>
      </c>
      <c r="J728" s="15">
        <f>IFERROR(INDEX(Cost_Components!$K$2:$K$27,MATCH(E728,Cost_Components!$A$2:$A$27,0)),"")</f>
        <v>0.06</v>
      </c>
      <c r="K728" s="15">
        <f t="shared" si="110"/>
        <v>0.7811538461538462</v>
      </c>
      <c r="L728" s="15">
        <f>IFERROR(INDEX(Cost_Components!$S$2:$S$27,MATCH(E728,Cost_Components!$A$2:$A$27,0)),"")</f>
        <v>0.31</v>
      </c>
      <c r="M728" s="26">
        <f>IFERROR(INDEX(Cost_Components!$L$2:$L$27,MATCH(E728,Cost_Components!$A$2:$A$27,0)),"")</f>
        <v>1</v>
      </c>
      <c r="N728" s="27">
        <f>IFERROR(INDEX(Cost_Components!$P$2:$P$27,MATCH(E728,Cost_Components!$A$2:$A$27,0)),"")</f>
        <v>22.229600000000001</v>
      </c>
      <c r="O728" s="21">
        <f t="shared" si="111"/>
        <v>11736235.43592624</v>
      </c>
      <c r="P728" s="21">
        <f t="shared" si="112"/>
        <v>11595733.195267679</v>
      </c>
      <c r="Q728" s="21">
        <f t="shared" si="113"/>
        <v>79908238.297631949</v>
      </c>
      <c r="R728" s="21">
        <f t="shared" si="114"/>
        <v>203796648.03445095</v>
      </c>
      <c r="S728" s="21">
        <f t="shared" si="115"/>
        <v>123888409.736819</v>
      </c>
      <c r="T728" s="14">
        <f>IFERROR(INDEX(Cost_Components!$R$2:$R$27,MATCH(E728,Cost_Components!$A$2:$A$27,0)),"")</f>
        <v>1</v>
      </c>
      <c r="U728" s="24">
        <f>IFERROR(INDEX(Cost_Components!$Q$2:$Q$27,MATCH(E728,Cost_Components!$A$2:$A$27,0)),"")</f>
        <v>2023</v>
      </c>
      <c r="V728" s="28">
        <f>1/(1+Calculation_Assumptions!$B$5)^(B728-Calculation_Assumptions!$B$2)</f>
        <v>0.49193373633950943</v>
      </c>
      <c r="W728" s="21">
        <f t="shared" si="116"/>
        <v>39309558.230061963</v>
      </c>
      <c r="X728" s="21">
        <f t="shared" si="117"/>
        <v>100254446.5210554</v>
      </c>
      <c r="Y728" s="21">
        <f t="shared" si="118"/>
        <v>60944888.29099343</v>
      </c>
      <c r="Z728" s="15">
        <f>IFERROR(INDEX(Cost_Components!$T$2:$T$27,MATCH(E728,Cost_Components!$A$2:$A$27,0)),"")</f>
        <v>0.8</v>
      </c>
      <c r="AA728" s="24">
        <f>IFERROR(INDEX(Cost_Components!$U$2:$U$27,MATCH(E728,Cost_Components!$A$2:$A$27,0)),"")</f>
        <v>2025</v>
      </c>
      <c r="AB728" s="24">
        <f>IFERROR(INDEX(Cost_Components!$V$2:$V$27,MATCH(E728,Cost_Components!$A$2:$A$27,0)),"")</f>
        <v>2050</v>
      </c>
      <c r="AC728" s="24">
        <f>IFERROR(INDEX(Cost_Components!$M$2:$M$27,MATCH(E728,Cost_Components!$A$2:$A$27,0)),"")</f>
        <v>30</v>
      </c>
      <c r="AD728" s="24">
        <f>IFERROR(INDEX(Cost_Components!$N$2:$N$27,MATCH(E728,Cost_Components!$A$2:$A$27,0)),"")</f>
        <v>95</v>
      </c>
      <c r="AE728" s="14" t="str">
        <f>IFERROR(INDEX(Cost_Components!$O$2:$O$27,MATCH(E728,Cost_Components!$A$2:$A$27,0)),"")</f>
        <v>Both</v>
      </c>
      <c r="AF728" s="11">
        <v>195603923.93210399</v>
      </c>
      <c r="AG728" s="11">
        <v>193262219.921128</v>
      </c>
      <c r="AH728" s="21">
        <f t="shared" si="119"/>
        <v>1</v>
      </c>
    </row>
    <row r="729" spans="1:34" hidden="1">
      <c r="A729" t="s">
        <v>75</v>
      </c>
      <c r="B729" s="18">
        <v>2050</v>
      </c>
      <c r="C729" t="s">
        <v>159</v>
      </c>
      <c r="E729" s="20" t="s">
        <v>251</v>
      </c>
      <c r="F729" s="20" t="s">
        <v>252</v>
      </c>
      <c r="G729" s="20" t="s">
        <v>168</v>
      </c>
      <c r="H729" s="20" t="s">
        <v>169</v>
      </c>
      <c r="I729" s="20" t="s">
        <v>75</v>
      </c>
      <c r="J729" s="15">
        <f>IFERROR(INDEX(Cost_Components!$K$2:$K$27,MATCH(E729,Cost_Components!$A$2:$A$27,0)),"")</f>
        <v>0.06</v>
      </c>
      <c r="K729" s="15">
        <f t="shared" si="110"/>
        <v>0.8</v>
      </c>
      <c r="L729" s="15">
        <f>IFERROR(INDEX(Cost_Components!$S$2:$S$27,MATCH(E729,Cost_Components!$A$2:$A$27,0)),"")</f>
        <v>0.31</v>
      </c>
      <c r="M729" s="26">
        <f>IFERROR(INDEX(Cost_Components!$L$2:$L$27,MATCH(E729,Cost_Components!$A$2:$A$27,0)),"")</f>
        <v>1</v>
      </c>
      <c r="N729" s="27">
        <f>IFERROR(INDEX(Cost_Components!$P$2:$P$27,MATCH(E729,Cost_Components!$A$2:$A$27,0)),"")</f>
        <v>22.229600000000001</v>
      </c>
      <c r="O729" s="21">
        <f t="shared" si="111"/>
        <v>11778848.8879425</v>
      </c>
      <c r="P729" s="21">
        <f t="shared" si="112"/>
        <v>11637660.13943694</v>
      </c>
      <c r="Q729" s="21">
        <f t="shared" si="113"/>
        <v>80197164.249044508</v>
      </c>
      <c r="R729" s="21">
        <f t="shared" si="114"/>
        <v>209471279.3915253</v>
      </c>
      <c r="S729" s="21">
        <f t="shared" si="115"/>
        <v>129274115.14248079</v>
      </c>
      <c r="T729" s="14">
        <f>IFERROR(INDEX(Cost_Components!$R$2:$R$27,MATCH(E729,Cost_Components!$A$2:$A$27,0)),"")</f>
        <v>1</v>
      </c>
      <c r="U729" s="24">
        <f>IFERROR(INDEX(Cost_Components!$Q$2:$Q$27,MATCH(E729,Cost_Components!$A$2:$A$27,0)),"")</f>
        <v>2023</v>
      </c>
      <c r="V729" s="28">
        <f>1/(1+Calculation_Assumptions!$B$5)^(B729-Calculation_Assumptions!$B$2)</f>
        <v>0.47760556926165965</v>
      </c>
      <c r="W729" s="21">
        <f t="shared" si="116"/>
        <v>38302612.284335725</v>
      </c>
      <c r="X729" s="21">
        <f t="shared" si="117"/>
        <v>100044649.6377576</v>
      </c>
      <c r="Y729" s="21">
        <f t="shared" si="118"/>
        <v>61742037.353421874</v>
      </c>
      <c r="Z729" s="15">
        <f>IFERROR(INDEX(Cost_Components!$T$2:$T$27,MATCH(E729,Cost_Components!$A$2:$A$27,0)),"")</f>
        <v>0.8</v>
      </c>
      <c r="AA729" s="24">
        <f>IFERROR(INDEX(Cost_Components!$U$2:$U$27,MATCH(E729,Cost_Components!$A$2:$A$27,0)),"")</f>
        <v>2025</v>
      </c>
      <c r="AB729" s="24">
        <f>IFERROR(INDEX(Cost_Components!$V$2:$V$27,MATCH(E729,Cost_Components!$A$2:$A$27,0)),"")</f>
        <v>2050</v>
      </c>
      <c r="AC729" s="24">
        <f>IFERROR(INDEX(Cost_Components!$M$2:$M$27,MATCH(E729,Cost_Components!$A$2:$A$27,0)),"")</f>
        <v>30</v>
      </c>
      <c r="AD729" s="24">
        <f>IFERROR(INDEX(Cost_Components!$N$2:$N$27,MATCH(E729,Cost_Components!$A$2:$A$27,0)),"")</f>
        <v>95</v>
      </c>
      <c r="AE729" s="14" t="str">
        <f>IFERROR(INDEX(Cost_Components!$O$2:$O$27,MATCH(E729,Cost_Components!$A$2:$A$27,0)),"")</f>
        <v>Both</v>
      </c>
      <c r="AF729" s="11">
        <v>196314148.132375</v>
      </c>
      <c r="AG729" s="11">
        <v>193961002.32394901</v>
      </c>
      <c r="AH729" s="21">
        <f t="shared" si="119"/>
        <v>1</v>
      </c>
    </row>
    <row r="730" spans="1:34" hidden="1">
      <c r="A730" t="s">
        <v>75</v>
      </c>
      <c r="B730" s="18">
        <v>2025</v>
      </c>
      <c r="C730" t="s">
        <v>183</v>
      </c>
      <c r="D730" t="s">
        <v>187</v>
      </c>
      <c r="E730" s="20" t="s">
        <v>260</v>
      </c>
      <c r="F730" s="20" t="s">
        <v>261</v>
      </c>
      <c r="G730" s="20" t="s">
        <v>184</v>
      </c>
      <c r="H730" s="20" t="s">
        <v>192</v>
      </c>
      <c r="I730" s="20" t="s">
        <v>264</v>
      </c>
      <c r="J730" s="15">
        <f>IFERROR(INDEX(Cost_Components!$K$2:$K$27,MATCH(E730,Cost_Components!$A$2:$A$27,0)),"")</f>
        <v>0.5</v>
      </c>
      <c r="K730" s="15">
        <f t="shared" si="110"/>
        <v>0.32884615384615384</v>
      </c>
      <c r="L730" s="15">
        <f>IFERROR(INDEX(Cost_Components!$S$2:$S$27,MATCH(E730,Cost_Components!$A$2:$A$27,0)),"")</f>
        <v>0.31</v>
      </c>
      <c r="M730" s="26">
        <f>IFERROR(INDEX(Cost_Components!$L$2:$L$27,MATCH(E730,Cost_Components!$A$2:$A$27,0)),"")</f>
        <v>1</v>
      </c>
      <c r="N730" s="27">
        <f>IFERROR(INDEX(Cost_Components!$P$2:$P$27,MATCH(E730,Cost_Components!$A$2:$A$27,0)),"")</f>
        <v>282.51283599999999</v>
      </c>
      <c r="O730" s="21">
        <f t="shared" si="111"/>
        <v>26812.104041613351</v>
      </c>
      <c r="P730" s="21">
        <f t="shared" si="112"/>
        <v>26769.299265264752</v>
      </c>
      <c r="Q730" s="21">
        <f t="shared" si="113"/>
        <v>2344427.9024804248</v>
      </c>
      <c r="R730" s="21">
        <f t="shared" si="114"/>
        <v>2490931.8603439913</v>
      </c>
      <c r="S730" s="21">
        <f t="shared" si="115"/>
        <v>146503.95786356647</v>
      </c>
      <c r="T730" s="14">
        <f>IFERROR(INDEX(Cost_Components!$R$2:$R$27,MATCH(E730,Cost_Components!$A$2:$A$27,0)),"")</f>
        <v>1</v>
      </c>
      <c r="U730" s="24">
        <f>IFERROR(INDEX(Cost_Components!$Q$2:$Q$27,MATCH(E730,Cost_Components!$A$2:$A$27,0)),"")</f>
        <v>2023</v>
      </c>
      <c r="V730" s="28">
        <f>1/(1+Calculation_Assumptions!$B$5)^(B730-Calculation_Assumptions!$B$2)</f>
        <v>1</v>
      </c>
      <c r="W730" s="21">
        <f t="shared" si="116"/>
        <v>2344427.9024804248</v>
      </c>
      <c r="X730" s="21">
        <f t="shared" si="117"/>
        <v>2490931.8603439913</v>
      </c>
      <c r="Y730" s="21">
        <f t="shared" si="118"/>
        <v>146503.95786356647</v>
      </c>
      <c r="Z730" s="15">
        <f>IFERROR(INDEX(Cost_Components!$T$2:$T$27,MATCH(E730,Cost_Components!$A$2:$A$27,0)),"")</f>
        <v>0.8</v>
      </c>
      <c r="AA730" s="24">
        <f>IFERROR(INDEX(Cost_Components!$U$2:$U$27,MATCH(E730,Cost_Components!$A$2:$A$27,0)),"")</f>
        <v>2025</v>
      </c>
      <c r="AB730" s="24">
        <f>IFERROR(INDEX(Cost_Components!$V$2:$V$27,MATCH(E730,Cost_Components!$A$2:$A$27,0)),"")</f>
        <v>2050</v>
      </c>
      <c r="AC730" s="24">
        <f>IFERROR(INDEX(Cost_Components!$M$2:$M$27,MATCH(E730,Cost_Components!$A$2:$A$27,0)),"")</f>
        <v>30</v>
      </c>
      <c r="AD730" s="24">
        <f>IFERROR(INDEX(Cost_Components!$N$2:$N$27,MATCH(E730,Cost_Components!$A$2:$A$27,0)),"")</f>
        <v>95</v>
      </c>
      <c r="AE730" s="14" t="str">
        <f>IFERROR(INDEX(Cost_Components!$O$2:$O$27,MATCH(E730,Cost_Components!$A$2:$A$27,0)),"")</f>
        <v>Both</v>
      </c>
      <c r="AF730" s="11">
        <v>53624.208083226702</v>
      </c>
      <c r="AG730" s="11">
        <v>53538.598530529503</v>
      </c>
      <c r="AH730" s="21">
        <f t="shared" si="119"/>
        <v>1</v>
      </c>
    </row>
    <row r="731" spans="1:34" hidden="1">
      <c r="A731" t="s">
        <v>75</v>
      </c>
      <c r="B731" s="18">
        <v>2026</v>
      </c>
      <c r="C731" t="s">
        <v>183</v>
      </c>
      <c r="D731" t="s">
        <v>187</v>
      </c>
      <c r="E731" s="20" t="s">
        <v>260</v>
      </c>
      <c r="F731" s="20" t="s">
        <v>261</v>
      </c>
      <c r="G731" s="20" t="s">
        <v>184</v>
      </c>
      <c r="H731" s="20" t="s">
        <v>192</v>
      </c>
      <c r="I731" s="20" t="s">
        <v>264</v>
      </c>
      <c r="J731" s="15">
        <f>IFERROR(INDEX(Cost_Components!$K$2:$K$27,MATCH(E731,Cost_Components!$A$2:$A$27,0)),"")</f>
        <v>0.5</v>
      </c>
      <c r="K731" s="15">
        <f t="shared" si="110"/>
        <v>0.34769230769230769</v>
      </c>
      <c r="L731" s="15">
        <f>IFERROR(INDEX(Cost_Components!$S$2:$S$27,MATCH(E731,Cost_Components!$A$2:$A$27,0)),"")</f>
        <v>0.31</v>
      </c>
      <c r="M731" s="26">
        <f>IFERROR(INDEX(Cost_Components!$L$2:$L$27,MATCH(E731,Cost_Components!$A$2:$A$27,0)),"")</f>
        <v>1</v>
      </c>
      <c r="N731" s="27">
        <f>IFERROR(INDEX(Cost_Components!$P$2:$P$27,MATCH(E731,Cost_Components!$A$2:$A$27,0)),"")</f>
        <v>282.51283599999999</v>
      </c>
      <c r="O731" s="21">
        <f t="shared" si="111"/>
        <v>27904.585201259801</v>
      </c>
      <c r="P731" s="21">
        <f t="shared" si="112"/>
        <v>27782.591484029748</v>
      </c>
      <c r="Q731" s="21">
        <f t="shared" si="113"/>
        <v>2433171.0005906345</v>
      </c>
      <c r="R731" s="21">
        <f t="shared" si="114"/>
        <v>2740998.7562926267</v>
      </c>
      <c r="S731" s="21">
        <f t="shared" si="115"/>
        <v>307827.7557019922</v>
      </c>
      <c r="T731" s="14">
        <f>IFERROR(INDEX(Cost_Components!$R$2:$R$27,MATCH(E731,Cost_Components!$A$2:$A$27,0)),"")</f>
        <v>1</v>
      </c>
      <c r="U731" s="24">
        <f>IFERROR(INDEX(Cost_Components!$Q$2:$Q$27,MATCH(E731,Cost_Components!$A$2:$A$27,0)),"")</f>
        <v>2023</v>
      </c>
      <c r="V731" s="28">
        <f>1/(1+Calculation_Assumptions!$B$5)^(B731-Calculation_Assumptions!$B$2)</f>
        <v>0.970873786407767</v>
      </c>
      <c r="W731" s="21">
        <f t="shared" si="116"/>
        <v>2362301.9423210043</v>
      </c>
      <c r="X731" s="21">
        <f t="shared" si="117"/>
        <v>2661163.8410608028</v>
      </c>
      <c r="Y731" s="21">
        <f t="shared" si="118"/>
        <v>298861.89873979823</v>
      </c>
      <c r="Z731" s="15">
        <f>IFERROR(INDEX(Cost_Components!$T$2:$T$27,MATCH(E731,Cost_Components!$A$2:$A$27,0)),"")</f>
        <v>0.8</v>
      </c>
      <c r="AA731" s="24">
        <f>IFERROR(INDEX(Cost_Components!$U$2:$U$27,MATCH(E731,Cost_Components!$A$2:$A$27,0)),"")</f>
        <v>2025</v>
      </c>
      <c r="AB731" s="24">
        <f>IFERROR(INDEX(Cost_Components!$V$2:$V$27,MATCH(E731,Cost_Components!$A$2:$A$27,0)),"")</f>
        <v>2050</v>
      </c>
      <c r="AC731" s="24">
        <f>IFERROR(INDEX(Cost_Components!$M$2:$M$27,MATCH(E731,Cost_Components!$A$2:$A$27,0)),"")</f>
        <v>30</v>
      </c>
      <c r="AD731" s="24">
        <f>IFERROR(INDEX(Cost_Components!$N$2:$N$27,MATCH(E731,Cost_Components!$A$2:$A$27,0)),"")</f>
        <v>95</v>
      </c>
      <c r="AE731" s="14" t="str">
        <f>IFERROR(INDEX(Cost_Components!$O$2:$O$27,MATCH(E731,Cost_Components!$A$2:$A$27,0)),"")</f>
        <v>Both</v>
      </c>
      <c r="AF731" s="11">
        <v>55809.170402519601</v>
      </c>
      <c r="AG731" s="11">
        <v>55565.182968059496</v>
      </c>
      <c r="AH731" s="21">
        <f t="shared" si="119"/>
        <v>1</v>
      </c>
    </row>
    <row r="732" spans="1:34" hidden="1">
      <c r="A732" t="s">
        <v>75</v>
      </c>
      <c r="B732" s="18">
        <v>2027</v>
      </c>
      <c r="C732" t="s">
        <v>183</v>
      </c>
      <c r="D732" t="s">
        <v>187</v>
      </c>
      <c r="E732" s="20" t="s">
        <v>260</v>
      </c>
      <c r="F732" s="20" t="s">
        <v>261</v>
      </c>
      <c r="G732" s="20" t="s">
        <v>184</v>
      </c>
      <c r="H732" s="20" t="s">
        <v>192</v>
      </c>
      <c r="I732" s="20" t="s">
        <v>264</v>
      </c>
      <c r="J732" s="15">
        <f>IFERROR(INDEX(Cost_Components!$K$2:$K$27,MATCH(E732,Cost_Components!$A$2:$A$27,0)),"")</f>
        <v>0.5</v>
      </c>
      <c r="K732" s="15">
        <f t="shared" si="110"/>
        <v>0.36653846153846154</v>
      </c>
      <c r="L732" s="15">
        <f>IFERROR(INDEX(Cost_Components!$S$2:$S$27,MATCH(E732,Cost_Components!$A$2:$A$27,0)),"")</f>
        <v>0.31</v>
      </c>
      <c r="M732" s="26">
        <f>IFERROR(INDEX(Cost_Components!$L$2:$L$27,MATCH(E732,Cost_Components!$A$2:$A$27,0)),"")</f>
        <v>1</v>
      </c>
      <c r="N732" s="27">
        <f>IFERROR(INDEX(Cost_Components!$P$2:$P$27,MATCH(E732,Cost_Components!$A$2:$A$27,0)),"")</f>
        <v>282.51283599999999</v>
      </c>
      <c r="O732" s="21">
        <f t="shared" si="111"/>
        <v>29018.67160549355</v>
      </c>
      <c r="P732" s="21">
        <f t="shared" si="112"/>
        <v>28785.514741586601</v>
      </c>
      <c r="Q732" s="21">
        <f t="shared" si="113"/>
        <v>2521005.9956632857</v>
      </c>
      <c r="R732" s="21">
        <f t="shared" si="114"/>
        <v>3004936.2666331865</v>
      </c>
      <c r="S732" s="21">
        <f t="shared" si="115"/>
        <v>483930.27096990077</v>
      </c>
      <c r="T732" s="14">
        <f>IFERROR(INDEX(Cost_Components!$R$2:$R$27,MATCH(E732,Cost_Components!$A$2:$A$27,0)),"")</f>
        <v>1</v>
      </c>
      <c r="U732" s="24">
        <f>IFERROR(INDEX(Cost_Components!$Q$2:$Q$27,MATCH(E732,Cost_Components!$A$2:$A$27,0)),"")</f>
        <v>2023</v>
      </c>
      <c r="V732" s="28">
        <f>1/(1+Calculation_Assumptions!$B$5)^(B732-Calculation_Assumptions!$B$2)</f>
        <v>0.94259590913375435</v>
      </c>
      <c r="W732" s="21">
        <f t="shared" si="116"/>
        <v>2376289.9384138803</v>
      </c>
      <c r="X732" s="21">
        <f t="shared" si="117"/>
        <v>2832440.6321360981</v>
      </c>
      <c r="Y732" s="21">
        <f t="shared" si="118"/>
        <v>456150.69372221769</v>
      </c>
      <c r="Z732" s="15">
        <f>IFERROR(INDEX(Cost_Components!$T$2:$T$27,MATCH(E732,Cost_Components!$A$2:$A$27,0)),"")</f>
        <v>0.8</v>
      </c>
      <c r="AA732" s="24">
        <f>IFERROR(INDEX(Cost_Components!$U$2:$U$27,MATCH(E732,Cost_Components!$A$2:$A$27,0)),"")</f>
        <v>2025</v>
      </c>
      <c r="AB732" s="24">
        <f>IFERROR(INDEX(Cost_Components!$V$2:$V$27,MATCH(E732,Cost_Components!$A$2:$A$27,0)),"")</f>
        <v>2050</v>
      </c>
      <c r="AC732" s="24">
        <f>IFERROR(INDEX(Cost_Components!$M$2:$M$27,MATCH(E732,Cost_Components!$A$2:$A$27,0)),"")</f>
        <v>30</v>
      </c>
      <c r="AD732" s="24">
        <f>IFERROR(INDEX(Cost_Components!$N$2:$N$27,MATCH(E732,Cost_Components!$A$2:$A$27,0)),"")</f>
        <v>95</v>
      </c>
      <c r="AE732" s="14" t="str">
        <f>IFERROR(INDEX(Cost_Components!$O$2:$O$27,MATCH(E732,Cost_Components!$A$2:$A$27,0)),"")</f>
        <v>Both</v>
      </c>
      <c r="AF732" s="11">
        <v>58037.343210987099</v>
      </c>
      <c r="AG732" s="11">
        <v>57571.029483173203</v>
      </c>
      <c r="AH732" s="21">
        <f t="shared" si="119"/>
        <v>1</v>
      </c>
    </row>
    <row r="733" spans="1:34" hidden="1">
      <c r="A733" t="s">
        <v>75</v>
      </c>
      <c r="B733" s="18">
        <v>2028</v>
      </c>
      <c r="C733" t="s">
        <v>183</v>
      </c>
      <c r="D733" t="s">
        <v>187</v>
      </c>
      <c r="E733" s="20" t="s">
        <v>260</v>
      </c>
      <c r="F733" s="20" t="s">
        <v>261</v>
      </c>
      <c r="G733" s="20" t="s">
        <v>184</v>
      </c>
      <c r="H733" s="20" t="s">
        <v>192</v>
      </c>
      <c r="I733" s="20" t="s">
        <v>264</v>
      </c>
      <c r="J733" s="15">
        <f>IFERROR(INDEX(Cost_Components!$K$2:$K$27,MATCH(E733,Cost_Components!$A$2:$A$27,0)),"")</f>
        <v>0.5</v>
      </c>
      <c r="K733" s="15">
        <f t="shared" si="110"/>
        <v>0.38538461538461538</v>
      </c>
      <c r="L733" s="15">
        <f>IFERROR(INDEX(Cost_Components!$S$2:$S$27,MATCH(E733,Cost_Components!$A$2:$A$27,0)),"")</f>
        <v>0.31</v>
      </c>
      <c r="M733" s="26">
        <f>IFERROR(INDEX(Cost_Components!$L$2:$L$27,MATCH(E733,Cost_Components!$A$2:$A$27,0)),"")</f>
        <v>1</v>
      </c>
      <c r="N733" s="27">
        <f>IFERROR(INDEX(Cost_Components!$P$2:$P$27,MATCH(E733,Cost_Components!$A$2:$A$27,0)),"")</f>
        <v>282.51283599999999</v>
      </c>
      <c r="O733" s="21">
        <f t="shared" si="111"/>
        <v>30138.1760334135</v>
      </c>
      <c r="P733" s="21">
        <f t="shared" si="112"/>
        <v>29765.000522030052</v>
      </c>
      <c r="Q733" s="21">
        <f t="shared" si="113"/>
        <v>2606788.3604162592</v>
      </c>
      <c r="R733" s="21">
        <f t="shared" si="114"/>
        <v>3281327.087012697</v>
      </c>
      <c r="S733" s="21">
        <f t="shared" si="115"/>
        <v>674538.72659643786</v>
      </c>
      <c r="T733" s="14">
        <f>IFERROR(INDEX(Cost_Components!$R$2:$R$27,MATCH(E733,Cost_Components!$A$2:$A$27,0)),"")</f>
        <v>1</v>
      </c>
      <c r="U733" s="24">
        <f>IFERROR(INDEX(Cost_Components!$Q$2:$Q$27,MATCH(E733,Cost_Components!$A$2:$A$27,0)),"")</f>
        <v>2023</v>
      </c>
      <c r="V733" s="28">
        <f>1/(1+Calculation_Assumptions!$B$5)^(B733-Calculation_Assumptions!$B$2)</f>
        <v>0.91514165935315961</v>
      </c>
      <c r="W733" s="21">
        <f t="shared" si="116"/>
        <v>2385580.6257338375</v>
      </c>
      <c r="X733" s="21">
        <f t="shared" si="117"/>
        <v>3002879.115289269</v>
      </c>
      <c r="Y733" s="21">
        <f t="shared" si="118"/>
        <v>617298.48955543141</v>
      </c>
      <c r="Z733" s="15">
        <f>IFERROR(INDEX(Cost_Components!$T$2:$T$27,MATCH(E733,Cost_Components!$A$2:$A$27,0)),"")</f>
        <v>0.8</v>
      </c>
      <c r="AA733" s="24">
        <f>IFERROR(INDEX(Cost_Components!$U$2:$U$27,MATCH(E733,Cost_Components!$A$2:$A$27,0)),"")</f>
        <v>2025</v>
      </c>
      <c r="AB733" s="24">
        <f>IFERROR(INDEX(Cost_Components!$V$2:$V$27,MATCH(E733,Cost_Components!$A$2:$A$27,0)),"")</f>
        <v>2050</v>
      </c>
      <c r="AC733" s="24">
        <f>IFERROR(INDEX(Cost_Components!$M$2:$M$27,MATCH(E733,Cost_Components!$A$2:$A$27,0)),"")</f>
        <v>30</v>
      </c>
      <c r="AD733" s="24">
        <f>IFERROR(INDEX(Cost_Components!$N$2:$N$27,MATCH(E733,Cost_Components!$A$2:$A$27,0)),"")</f>
        <v>95</v>
      </c>
      <c r="AE733" s="14" t="str">
        <f>IFERROR(INDEX(Cost_Components!$O$2:$O$27,MATCH(E733,Cost_Components!$A$2:$A$27,0)),"")</f>
        <v>Both</v>
      </c>
      <c r="AF733" s="11">
        <v>60276.352066826999</v>
      </c>
      <c r="AG733" s="11">
        <v>59530.001044060104</v>
      </c>
      <c r="AH733" s="21">
        <f t="shared" si="119"/>
        <v>1</v>
      </c>
    </row>
    <row r="734" spans="1:34" hidden="1">
      <c r="A734" t="s">
        <v>75</v>
      </c>
      <c r="B734" s="18">
        <v>2029</v>
      </c>
      <c r="C734" t="s">
        <v>183</v>
      </c>
      <c r="D734" t="s">
        <v>187</v>
      </c>
      <c r="E734" s="20" t="s">
        <v>260</v>
      </c>
      <c r="F734" s="20" t="s">
        <v>261</v>
      </c>
      <c r="G734" s="20" t="s">
        <v>184</v>
      </c>
      <c r="H734" s="20" t="s">
        <v>192</v>
      </c>
      <c r="I734" s="20" t="s">
        <v>264</v>
      </c>
      <c r="J734" s="15">
        <f>IFERROR(INDEX(Cost_Components!$K$2:$K$27,MATCH(E734,Cost_Components!$A$2:$A$27,0)),"")</f>
        <v>0.5</v>
      </c>
      <c r="K734" s="15">
        <f t="shared" si="110"/>
        <v>0.40423076923076923</v>
      </c>
      <c r="L734" s="15">
        <f>IFERROR(INDEX(Cost_Components!$S$2:$S$27,MATCH(E734,Cost_Components!$A$2:$A$27,0)),"")</f>
        <v>0.31</v>
      </c>
      <c r="M734" s="26">
        <f>IFERROR(INDEX(Cost_Components!$L$2:$L$27,MATCH(E734,Cost_Components!$A$2:$A$27,0)),"")</f>
        <v>1</v>
      </c>
      <c r="N734" s="27">
        <f>IFERROR(INDEX(Cost_Components!$P$2:$P$27,MATCH(E734,Cost_Components!$A$2:$A$27,0)),"")</f>
        <v>282.51283599999999</v>
      </c>
      <c r="O734" s="21">
        <f t="shared" si="111"/>
        <v>31256.461460258099</v>
      </c>
      <c r="P734" s="21">
        <f t="shared" si="112"/>
        <v>30716.654114041401</v>
      </c>
      <c r="Q734" s="21">
        <f t="shared" si="113"/>
        <v>2690133.2105185599</v>
      </c>
      <c r="R734" s="21">
        <f t="shared" si="114"/>
        <v>3569499.8079060726</v>
      </c>
      <c r="S734" s="21">
        <f t="shared" si="115"/>
        <v>879366.59738751268</v>
      </c>
      <c r="T734" s="14">
        <f>IFERROR(INDEX(Cost_Components!$R$2:$R$27,MATCH(E734,Cost_Components!$A$2:$A$27,0)),"")</f>
        <v>1</v>
      </c>
      <c r="U734" s="24">
        <f>IFERROR(INDEX(Cost_Components!$Q$2:$Q$27,MATCH(E734,Cost_Components!$A$2:$A$27,0)),"")</f>
        <v>2023</v>
      </c>
      <c r="V734" s="28">
        <f>1/(1+Calculation_Assumptions!$B$5)^(B734-Calculation_Assumptions!$B$2)</f>
        <v>0.888487047915689</v>
      </c>
      <c r="W734" s="21">
        <f t="shared" si="116"/>
        <v>2390148.51471359</v>
      </c>
      <c r="X734" s="21">
        <f t="shared" si="117"/>
        <v>3171454.3468620852</v>
      </c>
      <c r="Y734" s="21">
        <f t="shared" si="118"/>
        <v>781305.83214849536</v>
      </c>
      <c r="Z734" s="15">
        <f>IFERROR(INDEX(Cost_Components!$T$2:$T$27,MATCH(E734,Cost_Components!$A$2:$A$27,0)),"")</f>
        <v>0.8</v>
      </c>
      <c r="AA734" s="24">
        <f>IFERROR(INDEX(Cost_Components!$U$2:$U$27,MATCH(E734,Cost_Components!$A$2:$A$27,0)),"")</f>
        <v>2025</v>
      </c>
      <c r="AB734" s="24">
        <f>IFERROR(INDEX(Cost_Components!$V$2:$V$27,MATCH(E734,Cost_Components!$A$2:$A$27,0)),"")</f>
        <v>2050</v>
      </c>
      <c r="AC734" s="24">
        <f>IFERROR(INDEX(Cost_Components!$M$2:$M$27,MATCH(E734,Cost_Components!$A$2:$A$27,0)),"")</f>
        <v>30</v>
      </c>
      <c r="AD734" s="24">
        <f>IFERROR(INDEX(Cost_Components!$N$2:$N$27,MATCH(E734,Cost_Components!$A$2:$A$27,0)),"")</f>
        <v>95</v>
      </c>
      <c r="AE734" s="14" t="str">
        <f>IFERROR(INDEX(Cost_Components!$O$2:$O$27,MATCH(E734,Cost_Components!$A$2:$A$27,0)),"")</f>
        <v>Both</v>
      </c>
      <c r="AF734" s="11">
        <v>62512.922920516197</v>
      </c>
      <c r="AG734" s="11">
        <v>61433.308228082802</v>
      </c>
      <c r="AH734" s="21">
        <f t="shared" si="119"/>
        <v>1</v>
      </c>
    </row>
    <row r="735" spans="1:34" hidden="1">
      <c r="A735" t="s">
        <v>75</v>
      </c>
      <c r="B735" s="18">
        <v>2030</v>
      </c>
      <c r="C735" t="s">
        <v>183</v>
      </c>
      <c r="D735" t="s">
        <v>187</v>
      </c>
      <c r="E735" s="20" t="s">
        <v>260</v>
      </c>
      <c r="F735" s="20" t="s">
        <v>261</v>
      </c>
      <c r="G735" s="20" t="s">
        <v>184</v>
      </c>
      <c r="H735" s="20" t="s">
        <v>192</v>
      </c>
      <c r="I735" s="20" t="s">
        <v>264</v>
      </c>
      <c r="J735" s="15">
        <f>IFERROR(INDEX(Cost_Components!$K$2:$K$27,MATCH(E735,Cost_Components!$A$2:$A$27,0)),"")</f>
        <v>0.5</v>
      </c>
      <c r="K735" s="15">
        <f t="shared" si="110"/>
        <v>0.42307692307692307</v>
      </c>
      <c r="L735" s="15">
        <f>IFERROR(INDEX(Cost_Components!$S$2:$S$27,MATCH(E735,Cost_Components!$A$2:$A$27,0)),"")</f>
        <v>0.31</v>
      </c>
      <c r="M735" s="26">
        <f>IFERROR(INDEX(Cost_Components!$L$2:$L$27,MATCH(E735,Cost_Components!$A$2:$A$27,0)),"")</f>
        <v>1</v>
      </c>
      <c r="N735" s="27">
        <f>IFERROR(INDEX(Cost_Components!$P$2:$P$27,MATCH(E735,Cost_Components!$A$2:$A$27,0)),"")</f>
        <v>282.51283599999999</v>
      </c>
      <c r="O735" s="21">
        <f t="shared" si="111"/>
        <v>32372.196225837852</v>
      </c>
      <c r="P735" s="21">
        <f t="shared" si="112"/>
        <v>31640.689659035452</v>
      </c>
      <c r="Q735" s="21">
        <f t="shared" si="113"/>
        <v>2771059.3002566933</v>
      </c>
      <c r="R735" s="21">
        <f t="shared" si="114"/>
        <v>3869275.7921695933</v>
      </c>
      <c r="S735" s="21">
        <f t="shared" si="115"/>
        <v>1098216.4919129</v>
      </c>
      <c r="T735" s="14">
        <f>IFERROR(INDEX(Cost_Components!$R$2:$R$27,MATCH(E735,Cost_Components!$A$2:$A$27,0)),"")</f>
        <v>1</v>
      </c>
      <c r="U735" s="24">
        <f>IFERROR(INDEX(Cost_Components!$Q$2:$Q$27,MATCH(E735,Cost_Components!$A$2:$A$27,0)),"")</f>
        <v>2023</v>
      </c>
      <c r="V735" s="28">
        <f>1/(1+Calculation_Assumptions!$B$5)^(B735-Calculation_Assumptions!$B$2)</f>
        <v>0.86260878438416411</v>
      </c>
      <c r="W735" s="21">
        <f t="shared" si="116"/>
        <v>2390340.0944508584</v>
      </c>
      <c r="X735" s="21">
        <f t="shared" si="117"/>
        <v>3337671.2875304865</v>
      </c>
      <c r="Y735" s="21">
        <f t="shared" si="118"/>
        <v>947331.19307962782</v>
      </c>
      <c r="Z735" s="15">
        <f>IFERROR(INDEX(Cost_Components!$T$2:$T$27,MATCH(E735,Cost_Components!$A$2:$A$27,0)),"")</f>
        <v>0.8</v>
      </c>
      <c r="AA735" s="24">
        <f>IFERROR(INDEX(Cost_Components!$U$2:$U$27,MATCH(E735,Cost_Components!$A$2:$A$27,0)),"")</f>
        <v>2025</v>
      </c>
      <c r="AB735" s="24">
        <f>IFERROR(INDEX(Cost_Components!$V$2:$V$27,MATCH(E735,Cost_Components!$A$2:$A$27,0)),"")</f>
        <v>2050</v>
      </c>
      <c r="AC735" s="24">
        <f>IFERROR(INDEX(Cost_Components!$M$2:$M$27,MATCH(E735,Cost_Components!$A$2:$A$27,0)),"")</f>
        <v>30</v>
      </c>
      <c r="AD735" s="24">
        <f>IFERROR(INDEX(Cost_Components!$N$2:$N$27,MATCH(E735,Cost_Components!$A$2:$A$27,0)),"")</f>
        <v>95</v>
      </c>
      <c r="AE735" s="14" t="str">
        <f>IFERROR(INDEX(Cost_Components!$O$2:$O$27,MATCH(E735,Cost_Components!$A$2:$A$27,0)),"")</f>
        <v>Both</v>
      </c>
      <c r="AF735" s="11">
        <v>64744.392451675703</v>
      </c>
      <c r="AG735" s="11">
        <v>63281.379318070904</v>
      </c>
      <c r="AH735" s="21">
        <f t="shared" si="119"/>
        <v>1</v>
      </c>
    </row>
    <row r="736" spans="1:34" hidden="1">
      <c r="A736" t="s">
        <v>75</v>
      </c>
      <c r="B736" s="18">
        <v>2031</v>
      </c>
      <c r="C736" t="s">
        <v>183</v>
      </c>
      <c r="D736" t="s">
        <v>187</v>
      </c>
      <c r="E736" s="20" t="s">
        <v>260</v>
      </c>
      <c r="F736" s="20" t="s">
        <v>261</v>
      </c>
      <c r="G736" s="20" t="s">
        <v>184</v>
      </c>
      <c r="H736" s="20" t="s">
        <v>192</v>
      </c>
      <c r="I736" s="20" t="s">
        <v>264</v>
      </c>
      <c r="J736" s="15">
        <f>IFERROR(INDEX(Cost_Components!$K$2:$K$27,MATCH(E736,Cost_Components!$A$2:$A$27,0)),"")</f>
        <v>0.5</v>
      </c>
      <c r="K736" s="15">
        <f t="shared" si="110"/>
        <v>0.44192307692307692</v>
      </c>
      <c r="L736" s="15">
        <f>IFERROR(INDEX(Cost_Components!$S$2:$S$27,MATCH(E736,Cost_Components!$A$2:$A$27,0)),"")</f>
        <v>0.31</v>
      </c>
      <c r="M736" s="26">
        <f>IFERROR(INDEX(Cost_Components!$L$2:$L$27,MATCH(E736,Cost_Components!$A$2:$A$27,0)),"")</f>
        <v>1</v>
      </c>
      <c r="N736" s="27">
        <f>IFERROR(INDEX(Cost_Components!$P$2:$P$27,MATCH(E736,Cost_Components!$A$2:$A$27,0)),"")</f>
        <v>282.51283599999999</v>
      </c>
      <c r="O736" s="21">
        <f t="shared" si="111"/>
        <v>33482.485205219898</v>
      </c>
      <c r="P736" s="21">
        <f t="shared" si="112"/>
        <v>32535.316408072998</v>
      </c>
      <c r="Q736" s="21">
        <f t="shared" si="113"/>
        <v>2849409.7976666312</v>
      </c>
      <c r="R736" s="21">
        <f t="shared" si="114"/>
        <v>4180252.845212026</v>
      </c>
      <c r="S736" s="21">
        <f t="shared" si="115"/>
        <v>1330843.0475453949</v>
      </c>
      <c r="T736" s="14">
        <f>IFERROR(INDEX(Cost_Components!$R$2:$R$27,MATCH(E736,Cost_Components!$A$2:$A$27,0)),"")</f>
        <v>1</v>
      </c>
      <c r="U736" s="24">
        <f>IFERROR(INDEX(Cost_Components!$Q$2:$Q$27,MATCH(E736,Cost_Components!$A$2:$A$27,0)),"")</f>
        <v>2023</v>
      </c>
      <c r="V736" s="28">
        <f>1/(1+Calculation_Assumptions!$B$5)^(B736-Calculation_Assumptions!$B$2)</f>
        <v>0.83748425668365445</v>
      </c>
      <c r="W736" s="21">
        <f t="shared" si="116"/>
        <v>2386335.8463859609</v>
      </c>
      <c r="X736" s="21">
        <f t="shared" si="117"/>
        <v>3500895.9468221255</v>
      </c>
      <c r="Y736" s="21">
        <f t="shared" si="118"/>
        <v>1114560.1004361643</v>
      </c>
      <c r="Z736" s="15">
        <f>IFERROR(INDEX(Cost_Components!$T$2:$T$27,MATCH(E736,Cost_Components!$A$2:$A$27,0)),"")</f>
        <v>0.8</v>
      </c>
      <c r="AA736" s="24">
        <f>IFERROR(INDEX(Cost_Components!$U$2:$U$27,MATCH(E736,Cost_Components!$A$2:$A$27,0)),"")</f>
        <v>2025</v>
      </c>
      <c r="AB736" s="24">
        <f>IFERROR(INDEX(Cost_Components!$V$2:$V$27,MATCH(E736,Cost_Components!$A$2:$A$27,0)),"")</f>
        <v>2050</v>
      </c>
      <c r="AC736" s="24">
        <f>IFERROR(INDEX(Cost_Components!$M$2:$M$27,MATCH(E736,Cost_Components!$A$2:$A$27,0)),"")</f>
        <v>30</v>
      </c>
      <c r="AD736" s="24">
        <f>IFERROR(INDEX(Cost_Components!$N$2:$N$27,MATCH(E736,Cost_Components!$A$2:$A$27,0)),"")</f>
        <v>95</v>
      </c>
      <c r="AE736" s="14" t="str">
        <f>IFERROR(INDEX(Cost_Components!$O$2:$O$27,MATCH(E736,Cost_Components!$A$2:$A$27,0)),"")</f>
        <v>Both</v>
      </c>
      <c r="AF736" s="11">
        <v>66964.970410439797</v>
      </c>
      <c r="AG736" s="11">
        <v>65070.632816145997</v>
      </c>
      <c r="AH736" s="21">
        <f t="shared" si="119"/>
        <v>1</v>
      </c>
    </row>
    <row r="737" spans="1:34" hidden="1">
      <c r="A737" t="s">
        <v>75</v>
      </c>
      <c r="B737" s="18">
        <v>2032</v>
      </c>
      <c r="C737" t="s">
        <v>183</v>
      </c>
      <c r="D737" t="s">
        <v>187</v>
      </c>
      <c r="E737" s="20" t="s">
        <v>260</v>
      </c>
      <c r="F737" s="20" t="s">
        <v>261</v>
      </c>
      <c r="G737" s="20" t="s">
        <v>184</v>
      </c>
      <c r="H737" s="20" t="s">
        <v>192</v>
      </c>
      <c r="I737" s="20" t="s">
        <v>264</v>
      </c>
      <c r="J737" s="15">
        <f>IFERROR(INDEX(Cost_Components!$K$2:$K$27,MATCH(E737,Cost_Components!$A$2:$A$27,0)),"")</f>
        <v>0.5</v>
      </c>
      <c r="K737" s="15">
        <f t="shared" si="110"/>
        <v>0.46076923076923082</v>
      </c>
      <c r="L737" s="15">
        <f>IFERROR(INDEX(Cost_Components!$S$2:$S$27,MATCH(E737,Cost_Components!$A$2:$A$27,0)),"")</f>
        <v>0.31</v>
      </c>
      <c r="M737" s="26">
        <f>IFERROR(INDEX(Cost_Components!$L$2:$L$27,MATCH(E737,Cost_Components!$A$2:$A$27,0)),"")</f>
        <v>1</v>
      </c>
      <c r="N737" s="27">
        <f>IFERROR(INDEX(Cost_Components!$P$2:$P$27,MATCH(E737,Cost_Components!$A$2:$A$27,0)),"")</f>
        <v>282.51283599999999</v>
      </c>
      <c r="O737" s="21">
        <f t="shared" si="111"/>
        <v>34596.019682216203</v>
      </c>
      <c r="P737" s="21">
        <f t="shared" si="112"/>
        <v>33410.232373914347</v>
      </c>
      <c r="Q737" s="21">
        <f t="shared" si="113"/>
        <v>2926034.0448058015</v>
      </c>
      <c r="R737" s="21">
        <f t="shared" si="114"/>
        <v>4503475.35477392</v>
      </c>
      <c r="S737" s="21">
        <f t="shared" si="115"/>
        <v>1577441.3099681186</v>
      </c>
      <c r="T737" s="14">
        <f>IFERROR(INDEX(Cost_Components!$R$2:$R$27,MATCH(E737,Cost_Components!$A$2:$A$27,0)),"")</f>
        <v>1</v>
      </c>
      <c r="U737" s="24">
        <f>IFERROR(INDEX(Cost_Components!$Q$2:$Q$27,MATCH(E737,Cost_Components!$A$2:$A$27,0)),"")</f>
        <v>2023</v>
      </c>
      <c r="V737" s="28">
        <f>1/(1+Calculation_Assumptions!$B$5)^(B737-Calculation_Assumptions!$B$2)</f>
        <v>0.81309151134335378</v>
      </c>
      <c r="W737" s="21">
        <f t="shared" si="116"/>
        <v>2379133.4437332558</v>
      </c>
      <c r="X737" s="21">
        <f t="shared" si="117"/>
        <v>3661737.582510673</v>
      </c>
      <c r="Y737" s="21">
        <f t="shared" si="118"/>
        <v>1282604.1387774174</v>
      </c>
      <c r="Z737" s="15">
        <f>IFERROR(INDEX(Cost_Components!$T$2:$T$27,MATCH(E737,Cost_Components!$A$2:$A$27,0)),"")</f>
        <v>0.8</v>
      </c>
      <c r="AA737" s="24">
        <f>IFERROR(INDEX(Cost_Components!$U$2:$U$27,MATCH(E737,Cost_Components!$A$2:$A$27,0)),"")</f>
        <v>2025</v>
      </c>
      <c r="AB737" s="24">
        <f>IFERROR(INDEX(Cost_Components!$V$2:$V$27,MATCH(E737,Cost_Components!$A$2:$A$27,0)),"")</f>
        <v>2050</v>
      </c>
      <c r="AC737" s="24">
        <f>IFERROR(INDEX(Cost_Components!$M$2:$M$27,MATCH(E737,Cost_Components!$A$2:$A$27,0)),"")</f>
        <v>30</v>
      </c>
      <c r="AD737" s="24">
        <f>IFERROR(INDEX(Cost_Components!$N$2:$N$27,MATCH(E737,Cost_Components!$A$2:$A$27,0)),"")</f>
        <v>95</v>
      </c>
      <c r="AE737" s="14" t="str">
        <f>IFERROR(INDEX(Cost_Components!$O$2:$O$27,MATCH(E737,Cost_Components!$A$2:$A$27,0)),"")</f>
        <v>Both</v>
      </c>
      <c r="AF737" s="11">
        <v>69192.039364432407</v>
      </c>
      <c r="AG737" s="11">
        <v>66820.464747828693</v>
      </c>
      <c r="AH737" s="21">
        <f t="shared" si="119"/>
        <v>1</v>
      </c>
    </row>
    <row r="738" spans="1:34" hidden="1">
      <c r="A738" t="s">
        <v>75</v>
      </c>
      <c r="B738" s="18">
        <v>2033</v>
      </c>
      <c r="C738" t="s">
        <v>183</v>
      </c>
      <c r="D738" t="s">
        <v>187</v>
      </c>
      <c r="E738" s="20" t="s">
        <v>260</v>
      </c>
      <c r="F738" s="20" t="s">
        <v>261</v>
      </c>
      <c r="G738" s="20" t="s">
        <v>184</v>
      </c>
      <c r="H738" s="20" t="s">
        <v>192</v>
      </c>
      <c r="I738" s="20" t="s">
        <v>264</v>
      </c>
      <c r="J738" s="15">
        <f>IFERROR(INDEX(Cost_Components!$K$2:$K$27,MATCH(E738,Cost_Components!$A$2:$A$27,0)),"")</f>
        <v>0.5</v>
      </c>
      <c r="K738" s="15">
        <f t="shared" si="110"/>
        <v>0.47961538461538467</v>
      </c>
      <c r="L738" s="15">
        <f>IFERROR(INDEX(Cost_Components!$S$2:$S$27,MATCH(E738,Cost_Components!$A$2:$A$27,0)),"")</f>
        <v>0.31</v>
      </c>
      <c r="M738" s="26">
        <f>IFERROR(INDEX(Cost_Components!$L$2:$L$27,MATCH(E738,Cost_Components!$A$2:$A$27,0)),"")</f>
        <v>1</v>
      </c>
      <c r="N738" s="27">
        <f>IFERROR(INDEX(Cost_Components!$P$2:$P$27,MATCH(E738,Cost_Components!$A$2:$A$27,0)),"")</f>
        <v>282.51283599999999</v>
      </c>
      <c r="O738" s="21">
        <f t="shared" si="111"/>
        <v>35720.216118005352</v>
      </c>
      <c r="P738" s="21">
        <f t="shared" si="112"/>
        <v>34273.720594578648</v>
      </c>
      <c r="Q738" s="21">
        <f t="shared" si="113"/>
        <v>3001657.4616882657</v>
      </c>
      <c r="R738" s="21">
        <f t="shared" si="114"/>
        <v>4840000.0726400623</v>
      </c>
      <c r="S738" s="21">
        <f t="shared" si="115"/>
        <v>1838342.6109517966</v>
      </c>
      <c r="T738" s="14">
        <f>IFERROR(INDEX(Cost_Components!$R$2:$R$27,MATCH(E738,Cost_Components!$A$2:$A$27,0)),"")</f>
        <v>1</v>
      </c>
      <c r="U738" s="24">
        <f>IFERROR(INDEX(Cost_Components!$Q$2:$Q$27,MATCH(E738,Cost_Components!$A$2:$A$27,0)),"")</f>
        <v>2023</v>
      </c>
      <c r="V738" s="28">
        <f>1/(1+Calculation_Assumptions!$B$5)^(B738-Calculation_Assumptions!$B$2)</f>
        <v>0.78940923431393573</v>
      </c>
      <c r="W738" s="21">
        <f t="shared" si="116"/>
        <v>2369536.1185040455</v>
      </c>
      <c r="X738" s="21">
        <f t="shared" si="117"/>
        <v>3820740.751422185</v>
      </c>
      <c r="Y738" s="21">
        <f t="shared" si="118"/>
        <v>1451204.6329181392</v>
      </c>
      <c r="Z738" s="15">
        <f>IFERROR(INDEX(Cost_Components!$T$2:$T$27,MATCH(E738,Cost_Components!$A$2:$A$27,0)),"")</f>
        <v>0.8</v>
      </c>
      <c r="AA738" s="24">
        <f>IFERROR(INDEX(Cost_Components!$U$2:$U$27,MATCH(E738,Cost_Components!$A$2:$A$27,0)),"")</f>
        <v>2025</v>
      </c>
      <c r="AB738" s="24">
        <f>IFERROR(INDEX(Cost_Components!$V$2:$V$27,MATCH(E738,Cost_Components!$A$2:$A$27,0)),"")</f>
        <v>2050</v>
      </c>
      <c r="AC738" s="24">
        <f>IFERROR(INDEX(Cost_Components!$M$2:$M$27,MATCH(E738,Cost_Components!$A$2:$A$27,0)),"")</f>
        <v>30</v>
      </c>
      <c r="AD738" s="24">
        <f>IFERROR(INDEX(Cost_Components!$N$2:$N$27,MATCH(E738,Cost_Components!$A$2:$A$27,0)),"")</f>
        <v>95</v>
      </c>
      <c r="AE738" s="14" t="str">
        <f>IFERROR(INDEX(Cost_Components!$O$2:$O$27,MATCH(E738,Cost_Components!$A$2:$A$27,0)),"")</f>
        <v>Both</v>
      </c>
      <c r="AF738" s="11">
        <v>71440.432236010703</v>
      </c>
      <c r="AG738" s="11">
        <v>68547.441189157296</v>
      </c>
      <c r="AH738" s="21">
        <f t="shared" si="119"/>
        <v>1</v>
      </c>
    </row>
    <row r="739" spans="1:34" hidden="1">
      <c r="A739" t="s">
        <v>75</v>
      </c>
      <c r="B739" s="18">
        <v>2034</v>
      </c>
      <c r="C739" t="s">
        <v>183</v>
      </c>
      <c r="D739" t="s">
        <v>187</v>
      </c>
      <c r="E739" s="20" t="s">
        <v>260</v>
      </c>
      <c r="F739" s="20" t="s">
        <v>261</v>
      </c>
      <c r="G739" s="20" t="s">
        <v>184</v>
      </c>
      <c r="H739" s="20" t="s">
        <v>192</v>
      </c>
      <c r="I739" s="20" t="s">
        <v>264</v>
      </c>
      <c r="J739" s="15">
        <f>IFERROR(INDEX(Cost_Components!$K$2:$K$27,MATCH(E739,Cost_Components!$A$2:$A$27,0)),"")</f>
        <v>0.5</v>
      </c>
      <c r="K739" s="15">
        <f t="shared" si="110"/>
        <v>0.49846153846153851</v>
      </c>
      <c r="L739" s="15">
        <f>IFERROR(INDEX(Cost_Components!$S$2:$S$27,MATCH(E739,Cost_Components!$A$2:$A$27,0)),"")</f>
        <v>0.31</v>
      </c>
      <c r="M739" s="26">
        <f>IFERROR(INDEX(Cost_Components!$L$2:$L$27,MATCH(E739,Cost_Components!$A$2:$A$27,0)),"")</f>
        <v>1</v>
      </c>
      <c r="N739" s="27">
        <f>IFERROR(INDEX(Cost_Components!$P$2:$P$27,MATCH(E739,Cost_Components!$A$2:$A$27,0)),"")</f>
        <v>282.51283599999999</v>
      </c>
      <c r="O739" s="21">
        <f t="shared" si="111"/>
        <v>36861.217865804101</v>
      </c>
      <c r="P739" s="21">
        <f t="shared" si="112"/>
        <v>35132.435635888301</v>
      </c>
      <c r="Q739" s="21">
        <f t="shared" si="113"/>
        <v>3076862.8483955027</v>
      </c>
      <c r="R739" s="21">
        <f t="shared" si="114"/>
        <v>5190862.4185369657</v>
      </c>
      <c r="S739" s="21">
        <f t="shared" si="115"/>
        <v>2113999.5701414631</v>
      </c>
      <c r="T739" s="14">
        <f>IFERROR(INDEX(Cost_Components!$R$2:$R$27,MATCH(E739,Cost_Components!$A$2:$A$27,0)),"")</f>
        <v>1</v>
      </c>
      <c r="U739" s="24">
        <f>IFERROR(INDEX(Cost_Components!$Q$2:$Q$27,MATCH(E739,Cost_Components!$A$2:$A$27,0)),"")</f>
        <v>2023</v>
      </c>
      <c r="V739" s="28">
        <f>1/(1+Calculation_Assumptions!$B$5)^(B739-Calculation_Assumptions!$B$2)</f>
        <v>0.76641673234362695</v>
      </c>
      <c r="W739" s="21">
        <f t="shared" si="116"/>
        <v>2358159.1701367856</v>
      </c>
      <c r="X739" s="21">
        <f t="shared" si="117"/>
        <v>3978363.8128604377</v>
      </c>
      <c r="Y739" s="21">
        <f t="shared" si="118"/>
        <v>1620204.6427236521</v>
      </c>
      <c r="Z739" s="15">
        <f>IFERROR(INDEX(Cost_Components!$T$2:$T$27,MATCH(E739,Cost_Components!$A$2:$A$27,0)),"")</f>
        <v>0.8</v>
      </c>
      <c r="AA739" s="24">
        <f>IFERROR(INDEX(Cost_Components!$U$2:$U$27,MATCH(E739,Cost_Components!$A$2:$A$27,0)),"")</f>
        <v>2025</v>
      </c>
      <c r="AB739" s="24">
        <f>IFERROR(INDEX(Cost_Components!$V$2:$V$27,MATCH(E739,Cost_Components!$A$2:$A$27,0)),"")</f>
        <v>2050</v>
      </c>
      <c r="AC739" s="24">
        <f>IFERROR(INDEX(Cost_Components!$M$2:$M$27,MATCH(E739,Cost_Components!$A$2:$A$27,0)),"")</f>
        <v>30</v>
      </c>
      <c r="AD739" s="24">
        <f>IFERROR(INDEX(Cost_Components!$N$2:$N$27,MATCH(E739,Cost_Components!$A$2:$A$27,0)),"")</f>
        <v>95</v>
      </c>
      <c r="AE739" s="14" t="str">
        <f>IFERROR(INDEX(Cost_Components!$O$2:$O$27,MATCH(E739,Cost_Components!$A$2:$A$27,0)),"")</f>
        <v>Both</v>
      </c>
      <c r="AF739" s="11">
        <v>73722.435731608202</v>
      </c>
      <c r="AG739" s="11">
        <v>70264.871271776603</v>
      </c>
      <c r="AH739" s="21">
        <f t="shared" si="119"/>
        <v>1</v>
      </c>
    </row>
    <row r="740" spans="1:34" hidden="1">
      <c r="A740" t="s">
        <v>75</v>
      </c>
      <c r="B740" s="18">
        <v>2035</v>
      </c>
      <c r="C740" t="s">
        <v>183</v>
      </c>
      <c r="D740" t="s">
        <v>187</v>
      </c>
      <c r="E740" s="20" t="s">
        <v>260</v>
      </c>
      <c r="F740" s="20" t="s">
        <v>261</v>
      </c>
      <c r="G740" s="20" t="s">
        <v>184</v>
      </c>
      <c r="H740" s="20" t="s">
        <v>192</v>
      </c>
      <c r="I740" s="20" t="s">
        <v>264</v>
      </c>
      <c r="J740" s="15">
        <f>IFERROR(INDEX(Cost_Components!$K$2:$K$27,MATCH(E740,Cost_Components!$A$2:$A$27,0)),"")</f>
        <v>0.5</v>
      </c>
      <c r="K740" s="15">
        <f t="shared" si="110"/>
        <v>0.51730769230769236</v>
      </c>
      <c r="L740" s="15">
        <f>IFERROR(INDEX(Cost_Components!$S$2:$S$27,MATCH(E740,Cost_Components!$A$2:$A$27,0)),"")</f>
        <v>0.31</v>
      </c>
      <c r="M740" s="26">
        <f>IFERROR(INDEX(Cost_Components!$L$2:$L$27,MATCH(E740,Cost_Components!$A$2:$A$27,0)),"")</f>
        <v>1</v>
      </c>
      <c r="N740" s="27">
        <f>IFERROR(INDEX(Cost_Components!$P$2:$P$27,MATCH(E740,Cost_Components!$A$2:$A$27,0)),"")</f>
        <v>282.51283599999999</v>
      </c>
      <c r="O740" s="21">
        <f t="shared" si="111"/>
        <v>38028.246457254398</v>
      </c>
      <c r="P740" s="21">
        <f t="shared" si="112"/>
        <v>35995.837508590746</v>
      </c>
      <c r="Q740" s="21">
        <f t="shared" si="113"/>
        <v>3152478.7030116152</v>
      </c>
      <c r="R740" s="21">
        <f t="shared" si="114"/>
        <v>5557678.5115897022</v>
      </c>
      <c r="S740" s="21">
        <f t="shared" si="115"/>
        <v>2405199.808578087</v>
      </c>
      <c r="T740" s="14">
        <f>IFERROR(INDEX(Cost_Components!$R$2:$R$27,MATCH(E740,Cost_Components!$A$2:$A$27,0)),"")</f>
        <v>1</v>
      </c>
      <c r="U740" s="24">
        <f>IFERROR(INDEX(Cost_Components!$Q$2:$Q$27,MATCH(E740,Cost_Components!$A$2:$A$27,0)),"")</f>
        <v>2023</v>
      </c>
      <c r="V740" s="28">
        <f>1/(1+Calculation_Assumptions!$B$5)^(B740-Calculation_Assumptions!$B$2)</f>
        <v>0.74409391489672516</v>
      </c>
      <c r="W740" s="21">
        <f t="shared" si="116"/>
        <v>2345740.2197524635</v>
      </c>
      <c r="X740" s="21">
        <f t="shared" si="117"/>
        <v>4135434.7614261862</v>
      </c>
      <c r="Y740" s="21">
        <f t="shared" si="118"/>
        <v>1789694.5416737227</v>
      </c>
      <c r="Z740" s="15">
        <f>IFERROR(INDEX(Cost_Components!$T$2:$T$27,MATCH(E740,Cost_Components!$A$2:$A$27,0)),"")</f>
        <v>0.8</v>
      </c>
      <c r="AA740" s="24">
        <f>IFERROR(INDEX(Cost_Components!$U$2:$U$27,MATCH(E740,Cost_Components!$A$2:$A$27,0)),"")</f>
        <v>2025</v>
      </c>
      <c r="AB740" s="24">
        <f>IFERROR(INDEX(Cost_Components!$V$2:$V$27,MATCH(E740,Cost_Components!$A$2:$A$27,0)),"")</f>
        <v>2050</v>
      </c>
      <c r="AC740" s="24">
        <f>IFERROR(INDEX(Cost_Components!$M$2:$M$27,MATCH(E740,Cost_Components!$A$2:$A$27,0)),"")</f>
        <v>30</v>
      </c>
      <c r="AD740" s="24">
        <f>IFERROR(INDEX(Cost_Components!$N$2:$N$27,MATCH(E740,Cost_Components!$A$2:$A$27,0)),"")</f>
        <v>95</v>
      </c>
      <c r="AE740" s="14" t="str">
        <f>IFERROR(INDEX(Cost_Components!$O$2:$O$27,MATCH(E740,Cost_Components!$A$2:$A$27,0)),"")</f>
        <v>Both</v>
      </c>
      <c r="AF740" s="11">
        <v>76056.492914508795</v>
      </c>
      <c r="AG740" s="11">
        <v>71991.675017181493</v>
      </c>
      <c r="AH740" s="21">
        <f t="shared" si="119"/>
        <v>1</v>
      </c>
    </row>
    <row r="741" spans="1:34" hidden="1">
      <c r="A741" t="s">
        <v>75</v>
      </c>
      <c r="B741" s="18">
        <v>2036</v>
      </c>
      <c r="C741" t="s">
        <v>183</v>
      </c>
      <c r="D741" t="s">
        <v>187</v>
      </c>
      <c r="E741" s="20" t="s">
        <v>260</v>
      </c>
      <c r="F741" s="20" t="s">
        <v>261</v>
      </c>
      <c r="G741" s="20" t="s">
        <v>184</v>
      </c>
      <c r="H741" s="20" t="s">
        <v>192</v>
      </c>
      <c r="I741" s="20" t="s">
        <v>264</v>
      </c>
      <c r="J741" s="15">
        <f>IFERROR(INDEX(Cost_Components!$K$2:$K$27,MATCH(E741,Cost_Components!$A$2:$A$27,0)),"")</f>
        <v>0.5</v>
      </c>
      <c r="K741" s="15">
        <f t="shared" si="110"/>
        <v>0.5361538461538462</v>
      </c>
      <c r="L741" s="15">
        <f>IFERROR(INDEX(Cost_Components!$S$2:$S$27,MATCH(E741,Cost_Components!$A$2:$A$27,0)),"")</f>
        <v>0.31</v>
      </c>
      <c r="M741" s="26">
        <f>IFERROR(INDEX(Cost_Components!$L$2:$L$27,MATCH(E741,Cost_Components!$A$2:$A$27,0)),"")</f>
        <v>1</v>
      </c>
      <c r="N741" s="27">
        <f>IFERROR(INDEX(Cost_Components!$P$2:$P$27,MATCH(E741,Cost_Components!$A$2:$A$27,0)),"")</f>
        <v>282.51283599999999</v>
      </c>
      <c r="O741" s="21">
        <f t="shared" si="111"/>
        <v>39231.855072179504</v>
      </c>
      <c r="P741" s="21">
        <f t="shared" si="112"/>
        <v>36874.486732977202</v>
      </c>
      <c r="Q741" s="21">
        <f t="shared" si="113"/>
        <v>3229429.9051231067</v>
      </c>
      <c r="R741" s="21">
        <f t="shared" si="114"/>
        <v>5942462.568210572</v>
      </c>
      <c r="S741" s="21">
        <f t="shared" si="115"/>
        <v>2713032.6630874653</v>
      </c>
      <c r="T741" s="14">
        <f>IFERROR(INDEX(Cost_Components!$R$2:$R$27,MATCH(E741,Cost_Components!$A$2:$A$27,0)),"")</f>
        <v>1</v>
      </c>
      <c r="U741" s="24">
        <f>IFERROR(INDEX(Cost_Components!$Q$2:$Q$27,MATCH(E741,Cost_Components!$A$2:$A$27,0)),"")</f>
        <v>2023</v>
      </c>
      <c r="V741" s="28">
        <f>1/(1+Calculation_Assumptions!$B$5)^(B741-Calculation_Assumptions!$B$2)</f>
        <v>0.72242127659876232</v>
      </c>
      <c r="W741" s="21">
        <f t="shared" si="116"/>
        <v>2333008.8747452544</v>
      </c>
      <c r="X741" s="21">
        <f t="shared" si="117"/>
        <v>4292961.3946670415</v>
      </c>
      <c r="Y741" s="21">
        <f t="shared" si="118"/>
        <v>1959952.5199217866</v>
      </c>
      <c r="Z741" s="15">
        <f>IFERROR(INDEX(Cost_Components!$T$2:$T$27,MATCH(E741,Cost_Components!$A$2:$A$27,0)),"")</f>
        <v>0.8</v>
      </c>
      <c r="AA741" s="24">
        <f>IFERROR(INDEX(Cost_Components!$U$2:$U$27,MATCH(E741,Cost_Components!$A$2:$A$27,0)),"")</f>
        <v>2025</v>
      </c>
      <c r="AB741" s="24">
        <f>IFERROR(INDEX(Cost_Components!$V$2:$V$27,MATCH(E741,Cost_Components!$A$2:$A$27,0)),"")</f>
        <v>2050</v>
      </c>
      <c r="AC741" s="24">
        <f>IFERROR(INDEX(Cost_Components!$M$2:$M$27,MATCH(E741,Cost_Components!$A$2:$A$27,0)),"")</f>
        <v>30</v>
      </c>
      <c r="AD741" s="24">
        <f>IFERROR(INDEX(Cost_Components!$N$2:$N$27,MATCH(E741,Cost_Components!$A$2:$A$27,0)),"")</f>
        <v>95</v>
      </c>
      <c r="AE741" s="14" t="str">
        <f>IFERROR(INDEX(Cost_Components!$O$2:$O$27,MATCH(E741,Cost_Components!$A$2:$A$27,0)),"")</f>
        <v>Both</v>
      </c>
      <c r="AF741" s="11">
        <v>78463.710144359007</v>
      </c>
      <c r="AG741" s="11">
        <v>73748.973465954405</v>
      </c>
      <c r="AH741" s="21">
        <f t="shared" si="119"/>
        <v>1</v>
      </c>
    </row>
    <row r="742" spans="1:34" hidden="1">
      <c r="A742" t="s">
        <v>75</v>
      </c>
      <c r="B742" s="18">
        <v>2037</v>
      </c>
      <c r="C742" t="s">
        <v>183</v>
      </c>
      <c r="D742" t="s">
        <v>187</v>
      </c>
      <c r="E742" s="20" t="s">
        <v>260</v>
      </c>
      <c r="F742" s="20" t="s">
        <v>261</v>
      </c>
      <c r="G742" s="20" t="s">
        <v>184</v>
      </c>
      <c r="H742" s="20" t="s">
        <v>192</v>
      </c>
      <c r="I742" s="20" t="s">
        <v>264</v>
      </c>
      <c r="J742" s="15">
        <f>IFERROR(INDEX(Cost_Components!$K$2:$K$27,MATCH(E742,Cost_Components!$A$2:$A$27,0)),"")</f>
        <v>0.5</v>
      </c>
      <c r="K742" s="15">
        <f t="shared" si="110"/>
        <v>0.55500000000000005</v>
      </c>
      <c r="L742" s="15">
        <f>IFERROR(INDEX(Cost_Components!$S$2:$S$27,MATCH(E742,Cost_Components!$A$2:$A$27,0)),"")</f>
        <v>0.31</v>
      </c>
      <c r="M742" s="26">
        <f>IFERROR(INDEX(Cost_Components!$L$2:$L$27,MATCH(E742,Cost_Components!$A$2:$A$27,0)),"")</f>
        <v>1</v>
      </c>
      <c r="N742" s="27">
        <f>IFERROR(INDEX(Cost_Components!$P$2:$P$27,MATCH(E742,Cost_Components!$A$2:$A$27,0)),"")</f>
        <v>282.51283599999999</v>
      </c>
      <c r="O742" s="21">
        <f t="shared" si="111"/>
        <v>40472.934008762852</v>
      </c>
      <c r="P742" s="21">
        <f t="shared" si="112"/>
        <v>37769.006346309601</v>
      </c>
      <c r="Q742" s="21">
        <f t="shared" si="113"/>
        <v>3307771.019697356</v>
      </c>
      <c r="R742" s="21">
        <f t="shared" si="114"/>
        <v>6345938.4692713255</v>
      </c>
      <c r="S742" s="21">
        <f t="shared" si="115"/>
        <v>3038167.4495739695</v>
      </c>
      <c r="T742" s="14">
        <f>IFERROR(INDEX(Cost_Components!$R$2:$R$27,MATCH(E742,Cost_Components!$A$2:$A$27,0)),"")</f>
        <v>1</v>
      </c>
      <c r="U742" s="24">
        <f>IFERROR(INDEX(Cost_Components!$Q$2:$Q$27,MATCH(E742,Cost_Components!$A$2:$A$27,0)),"")</f>
        <v>2023</v>
      </c>
      <c r="V742" s="28">
        <f>1/(1+Calculation_Assumptions!$B$5)^(B742-Calculation_Assumptions!$B$2)</f>
        <v>0.70137988019297326</v>
      </c>
      <c r="W742" s="21">
        <f t="shared" si="116"/>
        <v>2320004.0415011207</v>
      </c>
      <c r="X742" s="21">
        <f t="shared" si="117"/>
        <v>4450913.5632895026</v>
      </c>
      <c r="Y742" s="21">
        <f t="shared" si="118"/>
        <v>2130909.521788382</v>
      </c>
      <c r="Z742" s="15">
        <f>IFERROR(INDEX(Cost_Components!$T$2:$T$27,MATCH(E742,Cost_Components!$A$2:$A$27,0)),"")</f>
        <v>0.8</v>
      </c>
      <c r="AA742" s="24">
        <f>IFERROR(INDEX(Cost_Components!$U$2:$U$27,MATCH(E742,Cost_Components!$A$2:$A$27,0)),"")</f>
        <v>2025</v>
      </c>
      <c r="AB742" s="24">
        <f>IFERROR(INDEX(Cost_Components!$V$2:$V$27,MATCH(E742,Cost_Components!$A$2:$A$27,0)),"")</f>
        <v>2050</v>
      </c>
      <c r="AC742" s="24">
        <f>IFERROR(INDEX(Cost_Components!$M$2:$M$27,MATCH(E742,Cost_Components!$A$2:$A$27,0)),"")</f>
        <v>30</v>
      </c>
      <c r="AD742" s="24">
        <f>IFERROR(INDEX(Cost_Components!$N$2:$N$27,MATCH(E742,Cost_Components!$A$2:$A$27,0)),"")</f>
        <v>95</v>
      </c>
      <c r="AE742" s="14" t="str">
        <f>IFERROR(INDEX(Cost_Components!$O$2:$O$27,MATCH(E742,Cost_Components!$A$2:$A$27,0)),"")</f>
        <v>Both</v>
      </c>
      <c r="AF742" s="11">
        <v>80945.868017525703</v>
      </c>
      <c r="AG742" s="11">
        <v>75538.012692619202</v>
      </c>
      <c r="AH742" s="21">
        <f t="shared" si="119"/>
        <v>1</v>
      </c>
    </row>
    <row r="743" spans="1:34" hidden="1">
      <c r="A743" t="s">
        <v>75</v>
      </c>
      <c r="B743" s="18">
        <v>2038</v>
      </c>
      <c r="C743" t="s">
        <v>183</v>
      </c>
      <c r="D743" t="s">
        <v>187</v>
      </c>
      <c r="E743" s="20" t="s">
        <v>260</v>
      </c>
      <c r="F743" s="20" t="s">
        <v>261</v>
      </c>
      <c r="G743" s="20" t="s">
        <v>184</v>
      </c>
      <c r="H743" s="20" t="s">
        <v>192</v>
      </c>
      <c r="I743" s="20" t="s">
        <v>264</v>
      </c>
      <c r="J743" s="15">
        <f>IFERROR(INDEX(Cost_Components!$K$2:$K$27,MATCH(E743,Cost_Components!$A$2:$A$27,0)),"")</f>
        <v>0.5</v>
      </c>
      <c r="K743" s="15">
        <f t="shared" si="110"/>
        <v>0.57384615384615389</v>
      </c>
      <c r="L743" s="15">
        <f>IFERROR(INDEX(Cost_Components!$S$2:$S$27,MATCH(E743,Cost_Components!$A$2:$A$27,0)),"")</f>
        <v>0.31</v>
      </c>
      <c r="M743" s="26">
        <f>IFERROR(INDEX(Cost_Components!$L$2:$L$27,MATCH(E743,Cost_Components!$A$2:$A$27,0)),"")</f>
        <v>1</v>
      </c>
      <c r="N743" s="27">
        <f>IFERROR(INDEX(Cost_Components!$P$2:$P$27,MATCH(E743,Cost_Components!$A$2:$A$27,0)),"")</f>
        <v>282.51283599999999</v>
      </c>
      <c r="O743" s="21">
        <f t="shared" si="111"/>
        <v>41752.104095204253</v>
      </c>
      <c r="P743" s="21">
        <f t="shared" si="112"/>
        <v>38679.678321009451</v>
      </c>
      <c r="Q743" s="21">
        <f t="shared" si="113"/>
        <v>3387526.7415911905</v>
      </c>
      <c r="R743" s="21">
        <f t="shared" si="114"/>
        <v>6768805.370253779</v>
      </c>
      <c r="S743" s="21">
        <f t="shared" si="115"/>
        <v>3381278.6286625885</v>
      </c>
      <c r="T743" s="14">
        <f>IFERROR(INDEX(Cost_Components!$R$2:$R$27,MATCH(E743,Cost_Components!$A$2:$A$27,0)),"")</f>
        <v>1</v>
      </c>
      <c r="U743" s="24">
        <f>IFERROR(INDEX(Cost_Components!$Q$2:$Q$27,MATCH(E743,Cost_Components!$A$2:$A$27,0)),"")</f>
        <v>2023</v>
      </c>
      <c r="V743" s="28">
        <f>1/(1+Calculation_Assumptions!$B$5)^(B743-Calculation_Assumptions!$B$2)</f>
        <v>0.68095133999317792</v>
      </c>
      <c r="W743" s="21">
        <f t="shared" si="116"/>
        <v>2306740.8739492451</v>
      </c>
      <c r="X743" s="21">
        <f t="shared" si="117"/>
        <v>4609227.08702733</v>
      </c>
      <c r="Y743" s="21">
        <f t="shared" si="118"/>
        <v>2302486.2130780849</v>
      </c>
      <c r="Z743" s="15">
        <f>IFERROR(INDEX(Cost_Components!$T$2:$T$27,MATCH(E743,Cost_Components!$A$2:$A$27,0)),"")</f>
        <v>0.8</v>
      </c>
      <c r="AA743" s="24">
        <f>IFERROR(INDEX(Cost_Components!$U$2:$U$27,MATCH(E743,Cost_Components!$A$2:$A$27,0)),"")</f>
        <v>2025</v>
      </c>
      <c r="AB743" s="24">
        <f>IFERROR(INDEX(Cost_Components!$V$2:$V$27,MATCH(E743,Cost_Components!$A$2:$A$27,0)),"")</f>
        <v>2050</v>
      </c>
      <c r="AC743" s="24">
        <f>IFERROR(INDEX(Cost_Components!$M$2:$M$27,MATCH(E743,Cost_Components!$A$2:$A$27,0)),"")</f>
        <v>30</v>
      </c>
      <c r="AD743" s="24">
        <f>IFERROR(INDEX(Cost_Components!$N$2:$N$27,MATCH(E743,Cost_Components!$A$2:$A$27,0)),"")</f>
        <v>95</v>
      </c>
      <c r="AE743" s="14" t="str">
        <f>IFERROR(INDEX(Cost_Components!$O$2:$O$27,MATCH(E743,Cost_Components!$A$2:$A$27,0)),"")</f>
        <v>Both</v>
      </c>
      <c r="AF743" s="11">
        <v>83504.208190408506</v>
      </c>
      <c r="AG743" s="11">
        <v>77359.356642018902</v>
      </c>
      <c r="AH743" s="21">
        <f t="shared" si="119"/>
        <v>1</v>
      </c>
    </row>
    <row r="744" spans="1:34" hidden="1">
      <c r="A744" t="s">
        <v>75</v>
      </c>
      <c r="B744" s="18">
        <v>2039</v>
      </c>
      <c r="C744" t="s">
        <v>183</v>
      </c>
      <c r="D744" t="s">
        <v>187</v>
      </c>
      <c r="E744" s="20" t="s">
        <v>260</v>
      </c>
      <c r="F744" s="20" t="s">
        <v>261</v>
      </c>
      <c r="G744" s="20" t="s">
        <v>184</v>
      </c>
      <c r="H744" s="20" t="s">
        <v>192</v>
      </c>
      <c r="I744" s="20" t="s">
        <v>264</v>
      </c>
      <c r="J744" s="15">
        <f>IFERROR(INDEX(Cost_Components!$K$2:$K$27,MATCH(E744,Cost_Components!$A$2:$A$27,0)),"")</f>
        <v>0.5</v>
      </c>
      <c r="K744" s="15">
        <f t="shared" si="110"/>
        <v>0.59269230769230763</v>
      </c>
      <c r="L744" s="15">
        <f>IFERROR(INDEX(Cost_Components!$S$2:$S$27,MATCH(E744,Cost_Components!$A$2:$A$27,0)),"")</f>
        <v>0.31</v>
      </c>
      <c r="M744" s="26">
        <f>IFERROR(INDEX(Cost_Components!$L$2:$L$27,MATCH(E744,Cost_Components!$A$2:$A$27,0)),"")</f>
        <v>1</v>
      </c>
      <c r="N744" s="27">
        <f>IFERROR(INDEX(Cost_Components!$P$2:$P$27,MATCH(E744,Cost_Components!$A$2:$A$27,0)),"")</f>
        <v>282.51283599999999</v>
      </c>
      <c r="O744" s="21">
        <f t="shared" si="111"/>
        <v>43071.052429194999</v>
      </c>
      <c r="P744" s="21">
        <f t="shared" si="112"/>
        <v>39607.791205618101</v>
      </c>
      <c r="Q744" s="21">
        <f t="shared" si="113"/>
        <v>3468809.9205704588</v>
      </c>
      <c r="R744" s="21">
        <f t="shared" si="114"/>
        <v>7211954.1880527651</v>
      </c>
      <c r="S744" s="21">
        <f t="shared" si="115"/>
        <v>3743144.2674823063</v>
      </c>
      <c r="T744" s="14">
        <f>IFERROR(INDEX(Cost_Components!$R$2:$R$27,MATCH(E744,Cost_Components!$A$2:$A$27,0)),"")</f>
        <v>1</v>
      </c>
      <c r="U744" s="24">
        <f>IFERROR(INDEX(Cost_Components!$Q$2:$Q$27,MATCH(E744,Cost_Components!$A$2:$A$27,0)),"")</f>
        <v>2023</v>
      </c>
      <c r="V744" s="28">
        <f>1/(1+Calculation_Assumptions!$B$5)^(B744-Calculation_Assumptions!$B$2)</f>
        <v>0.66111780581861923</v>
      </c>
      <c r="W744" s="21">
        <f t="shared" si="116"/>
        <v>2293292.0034894007</v>
      </c>
      <c r="X744" s="21">
        <f t="shared" si="117"/>
        <v>4767951.3284698455</v>
      </c>
      <c r="Y744" s="21">
        <f t="shared" si="118"/>
        <v>2474659.3249804452</v>
      </c>
      <c r="Z744" s="15">
        <f>IFERROR(INDEX(Cost_Components!$T$2:$T$27,MATCH(E744,Cost_Components!$A$2:$A$27,0)),"")</f>
        <v>0.8</v>
      </c>
      <c r="AA744" s="24">
        <f>IFERROR(INDEX(Cost_Components!$U$2:$U$27,MATCH(E744,Cost_Components!$A$2:$A$27,0)),"")</f>
        <v>2025</v>
      </c>
      <c r="AB744" s="24">
        <f>IFERROR(INDEX(Cost_Components!$V$2:$V$27,MATCH(E744,Cost_Components!$A$2:$A$27,0)),"")</f>
        <v>2050</v>
      </c>
      <c r="AC744" s="24">
        <f>IFERROR(INDEX(Cost_Components!$M$2:$M$27,MATCH(E744,Cost_Components!$A$2:$A$27,0)),"")</f>
        <v>30</v>
      </c>
      <c r="AD744" s="24">
        <f>IFERROR(INDEX(Cost_Components!$N$2:$N$27,MATCH(E744,Cost_Components!$A$2:$A$27,0)),"")</f>
        <v>95</v>
      </c>
      <c r="AE744" s="14" t="str">
        <f>IFERROR(INDEX(Cost_Components!$O$2:$O$27,MATCH(E744,Cost_Components!$A$2:$A$27,0)),"")</f>
        <v>Both</v>
      </c>
      <c r="AF744" s="11">
        <v>86142.104858389997</v>
      </c>
      <c r="AG744" s="11">
        <v>79215.582411236202</v>
      </c>
      <c r="AH744" s="21">
        <f t="shared" si="119"/>
        <v>1</v>
      </c>
    </row>
    <row r="745" spans="1:34" hidden="1">
      <c r="A745" t="s">
        <v>75</v>
      </c>
      <c r="B745" s="18">
        <v>2040</v>
      </c>
      <c r="C745" t="s">
        <v>183</v>
      </c>
      <c r="D745" t="s">
        <v>187</v>
      </c>
      <c r="E745" s="20" t="s">
        <v>260</v>
      </c>
      <c r="F745" s="20" t="s">
        <v>261</v>
      </c>
      <c r="G745" s="20" t="s">
        <v>184</v>
      </c>
      <c r="H745" s="20" t="s">
        <v>192</v>
      </c>
      <c r="I745" s="20" t="s">
        <v>264</v>
      </c>
      <c r="J745" s="15">
        <f>IFERROR(INDEX(Cost_Components!$K$2:$K$27,MATCH(E745,Cost_Components!$A$2:$A$27,0)),"")</f>
        <v>0.5</v>
      </c>
      <c r="K745" s="15">
        <f t="shared" si="110"/>
        <v>0.61153846153846159</v>
      </c>
      <c r="L745" s="15">
        <f>IFERROR(INDEX(Cost_Components!$S$2:$S$27,MATCH(E745,Cost_Components!$A$2:$A$27,0)),"")</f>
        <v>0.31</v>
      </c>
      <c r="M745" s="26">
        <f>IFERROR(INDEX(Cost_Components!$L$2:$L$27,MATCH(E745,Cost_Components!$A$2:$A$27,0)),"")</f>
        <v>1</v>
      </c>
      <c r="N745" s="27">
        <f>IFERROR(INDEX(Cost_Components!$P$2:$P$27,MATCH(E745,Cost_Components!$A$2:$A$27,0)),"")</f>
        <v>282.51283599999999</v>
      </c>
      <c r="O745" s="21">
        <f t="shared" si="111"/>
        <v>44435.866324511953</v>
      </c>
      <c r="P745" s="21">
        <f t="shared" si="112"/>
        <v>40559.006359578649</v>
      </c>
      <c r="Q745" s="21">
        <f t="shared" si="113"/>
        <v>3552116.3727158462</v>
      </c>
      <c r="R745" s="21">
        <f t="shared" si="114"/>
        <v>7677071.9840665702</v>
      </c>
      <c r="S745" s="21">
        <f t="shared" si="115"/>
        <v>4124955.611350724</v>
      </c>
      <c r="T745" s="14">
        <f>IFERROR(INDEX(Cost_Components!$R$2:$R$27,MATCH(E745,Cost_Components!$A$2:$A$27,0)),"")</f>
        <v>1</v>
      </c>
      <c r="U745" s="24">
        <f>IFERROR(INDEX(Cost_Components!$Q$2:$Q$27,MATCH(E745,Cost_Components!$A$2:$A$27,0)),"")</f>
        <v>2023</v>
      </c>
      <c r="V745" s="28">
        <f>1/(1+Calculation_Assumptions!$B$5)^(B745-Calculation_Assumptions!$B$2)</f>
        <v>0.64186194739671765</v>
      </c>
      <c r="W745" s="21">
        <f t="shared" si="116"/>
        <v>2279968.3323711581</v>
      </c>
      <c r="X745" s="21">
        <f t="shared" si="117"/>
        <v>4927620.3739977516</v>
      </c>
      <c r="Y745" s="21">
        <f t="shared" si="118"/>
        <v>2647652.0416265936</v>
      </c>
      <c r="Z745" s="15">
        <f>IFERROR(INDEX(Cost_Components!$T$2:$T$27,MATCH(E745,Cost_Components!$A$2:$A$27,0)),"")</f>
        <v>0.8</v>
      </c>
      <c r="AA745" s="24">
        <f>IFERROR(INDEX(Cost_Components!$U$2:$U$27,MATCH(E745,Cost_Components!$A$2:$A$27,0)),"")</f>
        <v>2025</v>
      </c>
      <c r="AB745" s="24">
        <f>IFERROR(INDEX(Cost_Components!$V$2:$V$27,MATCH(E745,Cost_Components!$A$2:$A$27,0)),"")</f>
        <v>2050</v>
      </c>
      <c r="AC745" s="24">
        <f>IFERROR(INDEX(Cost_Components!$M$2:$M$27,MATCH(E745,Cost_Components!$A$2:$A$27,0)),"")</f>
        <v>30</v>
      </c>
      <c r="AD745" s="24">
        <f>IFERROR(INDEX(Cost_Components!$N$2:$N$27,MATCH(E745,Cost_Components!$A$2:$A$27,0)),"")</f>
        <v>95</v>
      </c>
      <c r="AE745" s="14" t="str">
        <f>IFERROR(INDEX(Cost_Components!$O$2:$O$27,MATCH(E745,Cost_Components!$A$2:$A$27,0)),"")</f>
        <v>Both</v>
      </c>
      <c r="AF745" s="11">
        <v>88871.732649023907</v>
      </c>
      <c r="AG745" s="11">
        <v>81118.012719157297</v>
      </c>
      <c r="AH745" s="21">
        <f t="shared" si="119"/>
        <v>1</v>
      </c>
    </row>
    <row r="746" spans="1:34" hidden="1">
      <c r="A746" t="s">
        <v>75</v>
      </c>
      <c r="B746" s="18">
        <v>2041</v>
      </c>
      <c r="C746" t="s">
        <v>183</v>
      </c>
      <c r="D746" t="s">
        <v>187</v>
      </c>
      <c r="E746" s="20" t="s">
        <v>260</v>
      </c>
      <c r="F746" s="20" t="s">
        <v>261</v>
      </c>
      <c r="G746" s="20" t="s">
        <v>184</v>
      </c>
      <c r="H746" s="20" t="s">
        <v>192</v>
      </c>
      <c r="I746" s="20" t="s">
        <v>264</v>
      </c>
      <c r="J746" s="15">
        <f>IFERROR(INDEX(Cost_Components!$K$2:$K$27,MATCH(E746,Cost_Components!$A$2:$A$27,0)),"")</f>
        <v>0.5</v>
      </c>
      <c r="K746" s="15">
        <f t="shared" si="110"/>
        <v>0.63038461538461543</v>
      </c>
      <c r="L746" s="15">
        <f>IFERROR(INDEX(Cost_Components!$S$2:$S$27,MATCH(E746,Cost_Components!$A$2:$A$27,0)),"")</f>
        <v>0.31</v>
      </c>
      <c r="M746" s="26">
        <f>IFERROR(INDEX(Cost_Components!$L$2:$L$27,MATCH(E746,Cost_Components!$A$2:$A$27,0)),"")</f>
        <v>1</v>
      </c>
      <c r="N746" s="27">
        <f>IFERROR(INDEX(Cost_Components!$P$2:$P$27,MATCH(E746,Cost_Components!$A$2:$A$27,0)),"")</f>
        <v>282.51283599999999</v>
      </c>
      <c r="O746" s="21">
        <f t="shared" si="111"/>
        <v>45856.354386239247</v>
      </c>
      <c r="P746" s="21">
        <f t="shared" si="112"/>
        <v>41542.642022338652</v>
      </c>
      <c r="Q746" s="21">
        <f t="shared" si="113"/>
        <v>3638262.179925737</v>
      </c>
      <c r="R746" s="21">
        <f t="shared" si="114"/>
        <v>8166638.1932187714</v>
      </c>
      <c r="S746" s="21">
        <f t="shared" si="115"/>
        <v>4528376.0132930344</v>
      </c>
      <c r="T746" s="14">
        <f>IFERROR(INDEX(Cost_Components!$R$2:$R$27,MATCH(E746,Cost_Components!$A$2:$A$27,0)),"")</f>
        <v>1</v>
      </c>
      <c r="U746" s="24">
        <f>IFERROR(INDEX(Cost_Components!$Q$2:$Q$27,MATCH(E746,Cost_Components!$A$2:$A$27,0)),"")</f>
        <v>2023</v>
      </c>
      <c r="V746" s="28">
        <f>1/(1+Calculation_Assumptions!$B$5)^(B746-Calculation_Assumptions!$B$2)</f>
        <v>0.62316693922011435</v>
      </c>
      <c r="W746" s="21">
        <f t="shared" si="116"/>
        <v>2267244.7067446224</v>
      </c>
      <c r="X746" s="21">
        <f t="shared" si="117"/>
        <v>5089178.9265862266</v>
      </c>
      <c r="Y746" s="21">
        <f t="shared" si="118"/>
        <v>2821934.2198416041</v>
      </c>
      <c r="Z746" s="15">
        <f>IFERROR(INDEX(Cost_Components!$T$2:$T$27,MATCH(E746,Cost_Components!$A$2:$A$27,0)),"")</f>
        <v>0.8</v>
      </c>
      <c r="AA746" s="24">
        <f>IFERROR(INDEX(Cost_Components!$U$2:$U$27,MATCH(E746,Cost_Components!$A$2:$A$27,0)),"")</f>
        <v>2025</v>
      </c>
      <c r="AB746" s="24">
        <f>IFERROR(INDEX(Cost_Components!$V$2:$V$27,MATCH(E746,Cost_Components!$A$2:$A$27,0)),"")</f>
        <v>2050</v>
      </c>
      <c r="AC746" s="24">
        <f>IFERROR(INDEX(Cost_Components!$M$2:$M$27,MATCH(E746,Cost_Components!$A$2:$A$27,0)),"")</f>
        <v>30</v>
      </c>
      <c r="AD746" s="24">
        <f>IFERROR(INDEX(Cost_Components!$N$2:$N$27,MATCH(E746,Cost_Components!$A$2:$A$27,0)),"")</f>
        <v>95</v>
      </c>
      <c r="AE746" s="14" t="str">
        <f>IFERROR(INDEX(Cost_Components!$O$2:$O$27,MATCH(E746,Cost_Components!$A$2:$A$27,0)),"")</f>
        <v>Both</v>
      </c>
      <c r="AF746" s="11">
        <v>91712.708772478494</v>
      </c>
      <c r="AG746" s="11">
        <v>83085.284044677304</v>
      </c>
      <c r="AH746" s="21">
        <f t="shared" si="119"/>
        <v>1</v>
      </c>
    </row>
    <row r="747" spans="1:34" hidden="1">
      <c r="A747" t="s">
        <v>75</v>
      </c>
      <c r="B747" s="18">
        <v>2042</v>
      </c>
      <c r="C747" t="s">
        <v>183</v>
      </c>
      <c r="D747" t="s">
        <v>187</v>
      </c>
      <c r="E747" s="20" t="s">
        <v>260</v>
      </c>
      <c r="F747" s="20" t="s">
        <v>261</v>
      </c>
      <c r="G747" s="20" t="s">
        <v>184</v>
      </c>
      <c r="H747" s="20" t="s">
        <v>192</v>
      </c>
      <c r="I747" s="20" t="s">
        <v>264</v>
      </c>
      <c r="J747" s="15">
        <f>IFERROR(INDEX(Cost_Components!$K$2:$K$27,MATCH(E747,Cost_Components!$A$2:$A$27,0)),"")</f>
        <v>0.5</v>
      </c>
      <c r="K747" s="15">
        <f t="shared" si="110"/>
        <v>0.64923076923076928</v>
      </c>
      <c r="L747" s="15">
        <f>IFERROR(INDEX(Cost_Components!$S$2:$S$27,MATCH(E747,Cost_Components!$A$2:$A$27,0)),"")</f>
        <v>0.31</v>
      </c>
      <c r="M747" s="26">
        <f>IFERROR(INDEX(Cost_Components!$L$2:$L$27,MATCH(E747,Cost_Components!$A$2:$A$27,0)),"")</f>
        <v>1</v>
      </c>
      <c r="N747" s="27">
        <f>IFERROR(INDEX(Cost_Components!$P$2:$P$27,MATCH(E747,Cost_Components!$A$2:$A$27,0)),"")</f>
        <v>282.51283599999999</v>
      </c>
      <c r="O747" s="21">
        <f t="shared" si="111"/>
        <v>47327.476507395651</v>
      </c>
      <c r="P747" s="21">
        <f t="shared" si="112"/>
        <v>42552.962940689853</v>
      </c>
      <c r="Q747" s="21">
        <f t="shared" si="113"/>
        <v>3726745.0545789287</v>
      </c>
      <c r="R747" s="21">
        <f t="shared" si="114"/>
        <v>8680617.6537312288</v>
      </c>
      <c r="S747" s="21">
        <f t="shared" si="115"/>
        <v>4953872.5991523005</v>
      </c>
      <c r="T747" s="14">
        <f>IFERROR(INDEX(Cost_Components!$R$2:$R$27,MATCH(E747,Cost_Components!$A$2:$A$27,0)),"")</f>
        <v>1</v>
      </c>
      <c r="U747" s="24">
        <f>IFERROR(INDEX(Cost_Components!$Q$2:$Q$27,MATCH(E747,Cost_Components!$A$2:$A$27,0)),"")</f>
        <v>2023</v>
      </c>
      <c r="V747" s="28">
        <f>1/(1+Calculation_Assumptions!$B$5)^(B747-Calculation_Assumptions!$B$2)</f>
        <v>0.60501644584477121</v>
      </c>
      <c r="W747" s="21">
        <f t="shared" si="116"/>
        <v>2254742.0474909213</v>
      </c>
      <c r="X747" s="21">
        <f t="shared" si="117"/>
        <v>5251916.4405978452</v>
      </c>
      <c r="Y747" s="21">
        <f t="shared" si="118"/>
        <v>2997174.3931069239</v>
      </c>
      <c r="Z747" s="15">
        <f>IFERROR(INDEX(Cost_Components!$T$2:$T$27,MATCH(E747,Cost_Components!$A$2:$A$27,0)),"")</f>
        <v>0.8</v>
      </c>
      <c r="AA747" s="24">
        <f>IFERROR(INDEX(Cost_Components!$U$2:$U$27,MATCH(E747,Cost_Components!$A$2:$A$27,0)),"")</f>
        <v>2025</v>
      </c>
      <c r="AB747" s="24">
        <f>IFERROR(INDEX(Cost_Components!$V$2:$V$27,MATCH(E747,Cost_Components!$A$2:$A$27,0)),"")</f>
        <v>2050</v>
      </c>
      <c r="AC747" s="24">
        <f>IFERROR(INDEX(Cost_Components!$M$2:$M$27,MATCH(E747,Cost_Components!$A$2:$A$27,0)),"")</f>
        <v>30</v>
      </c>
      <c r="AD747" s="24">
        <f>IFERROR(INDEX(Cost_Components!$N$2:$N$27,MATCH(E747,Cost_Components!$A$2:$A$27,0)),"")</f>
        <v>95</v>
      </c>
      <c r="AE747" s="14" t="str">
        <f>IFERROR(INDEX(Cost_Components!$O$2:$O$27,MATCH(E747,Cost_Components!$A$2:$A$27,0)),"")</f>
        <v>Both</v>
      </c>
      <c r="AF747" s="11">
        <v>94654.953014791303</v>
      </c>
      <c r="AG747" s="11">
        <v>85105.925881379706</v>
      </c>
      <c r="AH747" s="21">
        <f t="shared" si="119"/>
        <v>1</v>
      </c>
    </row>
    <row r="748" spans="1:34" hidden="1">
      <c r="A748" t="s">
        <v>75</v>
      </c>
      <c r="B748" s="18">
        <v>2043</v>
      </c>
      <c r="C748" t="s">
        <v>183</v>
      </c>
      <c r="D748" t="s">
        <v>187</v>
      </c>
      <c r="E748" s="20" t="s">
        <v>260</v>
      </c>
      <c r="F748" s="20" t="s">
        <v>261</v>
      </c>
      <c r="G748" s="20" t="s">
        <v>184</v>
      </c>
      <c r="H748" s="20" t="s">
        <v>192</v>
      </c>
      <c r="I748" s="20" t="s">
        <v>264</v>
      </c>
      <c r="J748" s="15">
        <f>IFERROR(INDEX(Cost_Components!$K$2:$K$27,MATCH(E748,Cost_Components!$A$2:$A$27,0)),"")</f>
        <v>0.5</v>
      </c>
      <c r="K748" s="15">
        <f t="shared" si="110"/>
        <v>0.66807692307692301</v>
      </c>
      <c r="L748" s="15">
        <f>IFERROR(INDEX(Cost_Components!$S$2:$S$27,MATCH(E748,Cost_Components!$A$2:$A$27,0)),"")</f>
        <v>0.31</v>
      </c>
      <c r="M748" s="26">
        <f>IFERROR(INDEX(Cost_Components!$L$2:$L$27,MATCH(E748,Cost_Components!$A$2:$A$27,0)),"")</f>
        <v>1</v>
      </c>
      <c r="N748" s="27">
        <f>IFERROR(INDEX(Cost_Components!$P$2:$P$27,MATCH(E748,Cost_Components!$A$2:$A$27,0)),"")</f>
        <v>282.51283599999999</v>
      </c>
      <c r="O748" s="21">
        <f t="shared" si="111"/>
        <v>48835.803234779647</v>
      </c>
      <c r="P748" s="21">
        <f t="shared" si="112"/>
        <v>43575.767059434402</v>
      </c>
      <c r="Q748" s="21">
        <f t="shared" si="113"/>
        <v>3816321.1951792203</v>
      </c>
      <c r="R748" s="21">
        <f t="shared" si="114"/>
        <v>9217284.4562806562</v>
      </c>
      <c r="S748" s="21">
        <f t="shared" si="115"/>
        <v>5400963.2611014359</v>
      </c>
      <c r="T748" s="14">
        <f>IFERROR(INDEX(Cost_Components!$R$2:$R$27,MATCH(E748,Cost_Components!$A$2:$A$27,0)),"")</f>
        <v>1</v>
      </c>
      <c r="U748" s="24">
        <f>IFERROR(INDEX(Cost_Components!$Q$2:$Q$27,MATCH(E748,Cost_Components!$A$2:$A$27,0)),"")</f>
        <v>2023</v>
      </c>
      <c r="V748" s="28">
        <f>1/(1+Calculation_Assumptions!$B$5)^(B748-Calculation_Assumptions!$B$2)</f>
        <v>0.5873946076162827</v>
      </c>
      <c r="W748" s="21">
        <f t="shared" si="116"/>
        <v>2241686.4909800012</v>
      </c>
      <c r="X748" s="21">
        <f t="shared" si="117"/>
        <v>5414183.1864846377</v>
      </c>
      <c r="Y748" s="21">
        <f t="shared" si="118"/>
        <v>3172496.6955046365</v>
      </c>
      <c r="Z748" s="15">
        <f>IFERROR(INDEX(Cost_Components!$T$2:$T$27,MATCH(E748,Cost_Components!$A$2:$A$27,0)),"")</f>
        <v>0.8</v>
      </c>
      <c r="AA748" s="24">
        <f>IFERROR(INDEX(Cost_Components!$U$2:$U$27,MATCH(E748,Cost_Components!$A$2:$A$27,0)),"")</f>
        <v>2025</v>
      </c>
      <c r="AB748" s="24">
        <f>IFERROR(INDEX(Cost_Components!$V$2:$V$27,MATCH(E748,Cost_Components!$A$2:$A$27,0)),"")</f>
        <v>2050</v>
      </c>
      <c r="AC748" s="24">
        <f>IFERROR(INDEX(Cost_Components!$M$2:$M$27,MATCH(E748,Cost_Components!$A$2:$A$27,0)),"")</f>
        <v>30</v>
      </c>
      <c r="AD748" s="24">
        <f>IFERROR(INDEX(Cost_Components!$N$2:$N$27,MATCH(E748,Cost_Components!$A$2:$A$27,0)),"")</f>
        <v>95</v>
      </c>
      <c r="AE748" s="14" t="str">
        <f>IFERROR(INDEX(Cost_Components!$O$2:$O$27,MATCH(E748,Cost_Components!$A$2:$A$27,0)),"")</f>
        <v>Both</v>
      </c>
      <c r="AF748" s="11">
        <v>97671.606469559294</v>
      </c>
      <c r="AG748" s="11">
        <v>87151.534118868803</v>
      </c>
      <c r="AH748" s="21">
        <f t="shared" si="119"/>
        <v>1</v>
      </c>
    </row>
    <row r="749" spans="1:34" hidden="1">
      <c r="A749" t="s">
        <v>75</v>
      </c>
      <c r="B749" s="18">
        <v>2044</v>
      </c>
      <c r="C749" t="s">
        <v>183</v>
      </c>
      <c r="D749" t="s">
        <v>187</v>
      </c>
      <c r="E749" s="20" t="s">
        <v>260</v>
      </c>
      <c r="F749" s="20" t="s">
        <v>261</v>
      </c>
      <c r="G749" s="20" t="s">
        <v>184</v>
      </c>
      <c r="H749" s="20" t="s">
        <v>192</v>
      </c>
      <c r="I749" s="20" t="s">
        <v>264</v>
      </c>
      <c r="J749" s="15">
        <f>IFERROR(INDEX(Cost_Components!$K$2:$K$27,MATCH(E749,Cost_Components!$A$2:$A$27,0)),"")</f>
        <v>0.5</v>
      </c>
      <c r="K749" s="15">
        <f t="shared" si="110"/>
        <v>0.68692307692307697</v>
      </c>
      <c r="L749" s="15">
        <f>IFERROR(INDEX(Cost_Components!$S$2:$S$27,MATCH(E749,Cost_Components!$A$2:$A$27,0)),"")</f>
        <v>0.31</v>
      </c>
      <c r="M749" s="26">
        <f>IFERROR(INDEX(Cost_Components!$L$2:$L$27,MATCH(E749,Cost_Components!$A$2:$A$27,0)),"")</f>
        <v>1</v>
      </c>
      <c r="N749" s="27">
        <f>IFERROR(INDEX(Cost_Components!$P$2:$P$27,MATCH(E749,Cost_Components!$A$2:$A$27,0)),"")</f>
        <v>282.51283599999999</v>
      </c>
      <c r="O749" s="21">
        <f t="shared" si="111"/>
        <v>50374.469771498501</v>
      </c>
      <c r="P749" s="21">
        <f t="shared" si="112"/>
        <v>44603.723236372301</v>
      </c>
      <c r="Q749" s="21">
        <f t="shared" si="113"/>
        <v>3906348.5477766572</v>
      </c>
      <c r="R749" s="21">
        <f t="shared" si="114"/>
        <v>9775900.6501600668</v>
      </c>
      <c r="S749" s="21">
        <f t="shared" si="115"/>
        <v>5869552.1023834096</v>
      </c>
      <c r="T749" s="14">
        <f>IFERROR(INDEX(Cost_Components!$R$2:$R$27,MATCH(E749,Cost_Components!$A$2:$A$27,0)),"")</f>
        <v>1</v>
      </c>
      <c r="U749" s="24">
        <f>IFERROR(INDEX(Cost_Components!$Q$2:$Q$27,MATCH(E749,Cost_Components!$A$2:$A$27,0)),"")</f>
        <v>2023</v>
      </c>
      <c r="V749" s="28">
        <f>1/(1+Calculation_Assumptions!$B$5)^(B749-Calculation_Assumptions!$B$2)</f>
        <v>0.57028602681192497</v>
      </c>
      <c r="W749" s="21">
        <f t="shared" si="116"/>
        <v>2227735.9926540828</v>
      </c>
      <c r="X749" s="21">
        <f t="shared" si="117"/>
        <v>5575059.5402878989</v>
      </c>
      <c r="Y749" s="21">
        <f t="shared" si="118"/>
        <v>3347323.5476338156</v>
      </c>
      <c r="Z749" s="15">
        <f>IFERROR(INDEX(Cost_Components!$T$2:$T$27,MATCH(E749,Cost_Components!$A$2:$A$27,0)),"")</f>
        <v>0.8</v>
      </c>
      <c r="AA749" s="24">
        <f>IFERROR(INDEX(Cost_Components!$U$2:$U$27,MATCH(E749,Cost_Components!$A$2:$A$27,0)),"")</f>
        <v>2025</v>
      </c>
      <c r="AB749" s="24">
        <f>IFERROR(INDEX(Cost_Components!$V$2:$V$27,MATCH(E749,Cost_Components!$A$2:$A$27,0)),"")</f>
        <v>2050</v>
      </c>
      <c r="AC749" s="24">
        <f>IFERROR(INDEX(Cost_Components!$M$2:$M$27,MATCH(E749,Cost_Components!$A$2:$A$27,0)),"")</f>
        <v>30</v>
      </c>
      <c r="AD749" s="24">
        <f>IFERROR(INDEX(Cost_Components!$N$2:$N$27,MATCH(E749,Cost_Components!$A$2:$A$27,0)),"")</f>
        <v>95</v>
      </c>
      <c r="AE749" s="14" t="str">
        <f>IFERROR(INDEX(Cost_Components!$O$2:$O$27,MATCH(E749,Cost_Components!$A$2:$A$27,0)),"")</f>
        <v>Both</v>
      </c>
      <c r="AF749" s="11">
        <v>100748.939542997</v>
      </c>
      <c r="AG749" s="11">
        <v>89207.446472744603</v>
      </c>
      <c r="AH749" s="21">
        <f t="shared" si="119"/>
        <v>1</v>
      </c>
    </row>
    <row r="750" spans="1:34" hidden="1">
      <c r="A750" t="s">
        <v>75</v>
      </c>
      <c r="B750" s="18">
        <v>2045</v>
      </c>
      <c r="C750" t="s">
        <v>183</v>
      </c>
      <c r="D750" t="s">
        <v>187</v>
      </c>
      <c r="E750" s="20" t="s">
        <v>260</v>
      </c>
      <c r="F750" s="20" t="s">
        <v>261</v>
      </c>
      <c r="G750" s="20" t="s">
        <v>184</v>
      </c>
      <c r="H750" s="20" t="s">
        <v>192</v>
      </c>
      <c r="I750" s="20" t="s">
        <v>264</v>
      </c>
      <c r="J750" s="15">
        <f>IFERROR(INDEX(Cost_Components!$K$2:$K$27,MATCH(E750,Cost_Components!$A$2:$A$27,0)),"")</f>
        <v>0.5</v>
      </c>
      <c r="K750" s="15">
        <f t="shared" si="110"/>
        <v>0.70576923076923082</v>
      </c>
      <c r="L750" s="15">
        <f>IFERROR(INDEX(Cost_Components!$S$2:$S$27,MATCH(E750,Cost_Components!$A$2:$A$27,0)),"")</f>
        <v>0.31</v>
      </c>
      <c r="M750" s="26">
        <f>IFERROR(INDEX(Cost_Components!$L$2:$L$27,MATCH(E750,Cost_Components!$A$2:$A$27,0)),"")</f>
        <v>1</v>
      </c>
      <c r="N750" s="27">
        <f>IFERROR(INDEX(Cost_Components!$P$2:$P$27,MATCH(E750,Cost_Components!$A$2:$A$27,0)),"")</f>
        <v>282.51283599999999</v>
      </c>
      <c r="O750" s="21">
        <f t="shared" si="111"/>
        <v>51929.1955964195</v>
      </c>
      <c r="P750" s="21">
        <f t="shared" si="112"/>
        <v>45622.42008483495</v>
      </c>
      <c r="Q750" s="21">
        <f t="shared" si="113"/>
        <v>3995564.9778385255</v>
      </c>
      <c r="R750" s="21">
        <f t="shared" si="114"/>
        <v>10354103.471395288</v>
      </c>
      <c r="S750" s="21">
        <f t="shared" si="115"/>
        <v>6358538.4935567621</v>
      </c>
      <c r="T750" s="14">
        <f>IFERROR(INDEX(Cost_Components!$R$2:$R$27,MATCH(E750,Cost_Components!$A$2:$A$27,0)),"")</f>
        <v>1</v>
      </c>
      <c r="U750" s="24">
        <f>IFERROR(INDEX(Cost_Components!$Q$2:$Q$27,MATCH(E750,Cost_Components!$A$2:$A$27,0)),"")</f>
        <v>2023</v>
      </c>
      <c r="V750" s="28">
        <f>1/(1+Calculation_Assumptions!$B$5)^(B750-Calculation_Assumptions!$B$2)</f>
        <v>0.55367575418633497</v>
      </c>
      <c r="W750" s="21">
        <f t="shared" si="116"/>
        <v>2212247.4525052523</v>
      </c>
      <c r="X750" s="21">
        <f t="shared" si="117"/>
        <v>5732816.0484481351</v>
      </c>
      <c r="Y750" s="21">
        <f t="shared" si="118"/>
        <v>3520568.5959428824</v>
      </c>
      <c r="Z750" s="15">
        <f>IFERROR(INDEX(Cost_Components!$T$2:$T$27,MATCH(E750,Cost_Components!$A$2:$A$27,0)),"")</f>
        <v>0.8</v>
      </c>
      <c r="AA750" s="24">
        <f>IFERROR(INDEX(Cost_Components!$U$2:$U$27,MATCH(E750,Cost_Components!$A$2:$A$27,0)),"")</f>
        <v>2025</v>
      </c>
      <c r="AB750" s="24">
        <f>IFERROR(INDEX(Cost_Components!$V$2:$V$27,MATCH(E750,Cost_Components!$A$2:$A$27,0)),"")</f>
        <v>2050</v>
      </c>
      <c r="AC750" s="24">
        <f>IFERROR(INDEX(Cost_Components!$M$2:$M$27,MATCH(E750,Cost_Components!$A$2:$A$27,0)),"")</f>
        <v>30</v>
      </c>
      <c r="AD750" s="24">
        <f>IFERROR(INDEX(Cost_Components!$N$2:$N$27,MATCH(E750,Cost_Components!$A$2:$A$27,0)),"")</f>
        <v>95</v>
      </c>
      <c r="AE750" s="14" t="str">
        <f>IFERROR(INDEX(Cost_Components!$O$2:$O$27,MATCH(E750,Cost_Components!$A$2:$A$27,0)),"")</f>
        <v>Both</v>
      </c>
      <c r="AF750" s="11">
        <v>103858.391192839</v>
      </c>
      <c r="AG750" s="11">
        <v>91244.8401696699</v>
      </c>
      <c r="AH750" s="21">
        <f t="shared" si="119"/>
        <v>1</v>
      </c>
    </row>
    <row r="751" spans="1:34" hidden="1">
      <c r="A751" t="s">
        <v>75</v>
      </c>
      <c r="B751" s="18">
        <v>2046</v>
      </c>
      <c r="C751" t="s">
        <v>183</v>
      </c>
      <c r="D751" t="s">
        <v>187</v>
      </c>
      <c r="E751" s="20" t="s">
        <v>260</v>
      </c>
      <c r="F751" s="20" t="s">
        <v>261</v>
      </c>
      <c r="G751" s="20" t="s">
        <v>184</v>
      </c>
      <c r="H751" s="20" t="s">
        <v>192</v>
      </c>
      <c r="I751" s="20" t="s">
        <v>264</v>
      </c>
      <c r="J751" s="15">
        <f>IFERROR(INDEX(Cost_Components!$K$2:$K$27,MATCH(E751,Cost_Components!$A$2:$A$27,0)),"")</f>
        <v>0.5</v>
      </c>
      <c r="K751" s="15">
        <f t="shared" si="110"/>
        <v>0.72461538461538466</v>
      </c>
      <c r="L751" s="15">
        <f>IFERROR(INDEX(Cost_Components!$S$2:$S$27,MATCH(E751,Cost_Components!$A$2:$A$27,0)),"")</f>
        <v>0.31</v>
      </c>
      <c r="M751" s="26">
        <f>IFERROR(INDEX(Cost_Components!$L$2:$L$27,MATCH(E751,Cost_Components!$A$2:$A$27,0)),"")</f>
        <v>1</v>
      </c>
      <c r="N751" s="27">
        <f>IFERROR(INDEX(Cost_Components!$P$2:$P$27,MATCH(E751,Cost_Components!$A$2:$A$27,0)),"")</f>
        <v>282.51283599999999</v>
      </c>
      <c r="O751" s="21">
        <f t="shared" si="111"/>
        <v>53494.554196429497</v>
      </c>
      <c r="P751" s="21">
        <f t="shared" si="112"/>
        <v>46626.731999751049</v>
      </c>
      <c r="Q751" s="21">
        <f t="shared" si="113"/>
        <v>4083521.5901051019</v>
      </c>
      <c r="R751" s="21">
        <f t="shared" si="114"/>
        <v>10951038.553866798</v>
      </c>
      <c r="S751" s="21">
        <f t="shared" si="115"/>
        <v>6867516.9637616966</v>
      </c>
      <c r="T751" s="14">
        <f>IFERROR(INDEX(Cost_Components!$R$2:$R$27,MATCH(E751,Cost_Components!$A$2:$A$27,0)),"")</f>
        <v>1</v>
      </c>
      <c r="U751" s="24">
        <f>IFERROR(INDEX(Cost_Components!$Q$2:$Q$27,MATCH(E751,Cost_Components!$A$2:$A$27,0)),"")</f>
        <v>2023</v>
      </c>
      <c r="V751" s="28">
        <f>1/(1+Calculation_Assumptions!$B$5)^(B751-Calculation_Assumptions!$B$2)</f>
        <v>0.5375492759090631</v>
      </c>
      <c r="W751" s="21">
        <f t="shared" si="116"/>
        <v>2195094.0739200236</v>
      </c>
      <c r="X751" s="21">
        <f t="shared" si="117"/>
        <v>5886722.8450833308</v>
      </c>
      <c r="Y751" s="21">
        <f t="shared" si="118"/>
        <v>3691628.7711633076</v>
      </c>
      <c r="Z751" s="15">
        <f>IFERROR(INDEX(Cost_Components!$T$2:$T$27,MATCH(E751,Cost_Components!$A$2:$A$27,0)),"")</f>
        <v>0.8</v>
      </c>
      <c r="AA751" s="24">
        <f>IFERROR(INDEX(Cost_Components!$U$2:$U$27,MATCH(E751,Cost_Components!$A$2:$A$27,0)),"")</f>
        <v>2025</v>
      </c>
      <c r="AB751" s="24">
        <f>IFERROR(INDEX(Cost_Components!$V$2:$V$27,MATCH(E751,Cost_Components!$A$2:$A$27,0)),"")</f>
        <v>2050</v>
      </c>
      <c r="AC751" s="24">
        <f>IFERROR(INDEX(Cost_Components!$M$2:$M$27,MATCH(E751,Cost_Components!$A$2:$A$27,0)),"")</f>
        <v>30</v>
      </c>
      <c r="AD751" s="24">
        <f>IFERROR(INDEX(Cost_Components!$N$2:$N$27,MATCH(E751,Cost_Components!$A$2:$A$27,0)),"")</f>
        <v>95</v>
      </c>
      <c r="AE751" s="14" t="str">
        <f>IFERROR(INDEX(Cost_Components!$O$2:$O$27,MATCH(E751,Cost_Components!$A$2:$A$27,0)),"")</f>
        <v>Both</v>
      </c>
      <c r="AF751" s="11">
        <v>106989.10839285899</v>
      </c>
      <c r="AG751" s="11">
        <v>93253.463999502099</v>
      </c>
      <c r="AH751" s="21">
        <f t="shared" si="119"/>
        <v>1</v>
      </c>
    </row>
    <row r="752" spans="1:34" hidden="1">
      <c r="A752" t="s">
        <v>75</v>
      </c>
      <c r="B752" s="18">
        <v>2047</v>
      </c>
      <c r="C752" t="s">
        <v>183</v>
      </c>
      <c r="D752" t="s">
        <v>187</v>
      </c>
      <c r="E752" s="20" t="s">
        <v>260</v>
      </c>
      <c r="F752" s="20" t="s">
        <v>261</v>
      </c>
      <c r="G752" s="20" t="s">
        <v>184</v>
      </c>
      <c r="H752" s="20" t="s">
        <v>192</v>
      </c>
      <c r="I752" s="20" t="s">
        <v>264</v>
      </c>
      <c r="J752" s="15">
        <f>IFERROR(INDEX(Cost_Components!$K$2:$K$27,MATCH(E752,Cost_Components!$A$2:$A$27,0)),"")</f>
        <v>0.5</v>
      </c>
      <c r="K752" s="15">
        <f t="shared" si="110"/>
        <v>0.74346153846153851</v>
      </c>
      <c r="L752" s="15">
        <f>IFERROR(INDEX(Cost_Components!$S$2:$S$27,MATCH(E752,Cost_Components!$A$2:$A$27,0)),"")</f>
        <v>0.31</v>
      </c>
      <c r="M752" s="26">
        <f>IFERROR(INDEX(Cost_Components!$L$2:$L$27,MATCH(E752,Cost_Components!$A$2:$A$27,0)),"")</f>
        <v>1</v>
      </c>
      <c r="N752" s="27">
        <f>IFERROR(INDEX(Cost_Components!$P$2:$P$27,MATCH(E752,Cost_Components!$A$2:$A$27,0)),"")</f>
        <v>282.51283599999999</v>
      </c>
      <c r="O752" s="21">
        <f t="shared" si="111"/>
        <v>55013.743777454998</v>
      </c>
      <c r="P752" s="21">
        <f t="shared" si="112"/>
        <v>47560.391211322501</v>
      </c>
      <c r="Q752" s="21">
        <f t="shared" si="113"/>
        <v>4165290.5107378606</v>
      </c>
      <c r="R752" s="21">
        <f t="shared" si="114"/>
        <v>11554945.230486436</v>
      </c>
      <c r="S752" s="21">
        <f t="shared" si="115"/>
        <v>7389654.7197485752</v>
      </c>
      <c r="T752" s="14">
        <f>IFERROR(INDEX(Cost_Components!$R$2:$R$27,MATCH(E752,Cost_Components!$A$2:$A$27,0)),"")</f>
        <v>1</v>
      </c>
      <c r="U752" s="24">
        <f>IFERROR(INDEX(Cost_Components!$Q$2:$Q$27,MATCH(E752,Cost_Components!$A$2:$A$27,0)),"")</f>
        <v>2023</v>
      </c>
      <c r="V752" s="28">
        <f>1/(1+Calculation_Assumptions!$B$5)^(B752-Calculation_Assumptions!$B$2)</f>
        <v>0.52189250088258554</v>
      </c>
      <c r="W752" s="21">
        <f t="shared" si="116"/>
        <v>2173833.8815514841</v>
      </c>
      <c r="X752" s="21">
        <f t="shared" si="117"/>
        <v>6030439.2638998702</v>
      </c>
      <c r="Y752" s="21">
        <f t="shared" si="118"/>
        <v>3856605.3823483856</v>
      </c>
      <c r="Z752" s="15">
        <f>IFERROR(INDEX(Cost_Components!$T$2:$T$27,MATCH(E752,Cost_Components!$A$2:$A$27,0)),"")</f>
        <v>0.8</v>
      </c>
      <c r="AA752" s="24">
        <f>IFERROR(INDEX(Cost_Components!$U$2:$U$27,MATCH(E752,Cost_Components!$A$2:$A$27,0)),"")</f>
        <v>2025</v>
      </c>
      <c r="AB752" s="24">
        <f>IFERROR(INDEX(Cost_Components!$V$2:$V$27,MATCH(E752,Cost_Components!$A$2:$A$27,0)),"")</f>
        <v>2050</v>
      </c>
      <c r="AC752" s="24">
        <f>IFERROR(INDEX(Cost_Components!$M$2:$M$27,MATCH(E752,Cost_Components!$A$2:$A$27,0)),"")</f>
        <v>30</v>
      </c>
      <c r="AD752" s="24">
        <f>IFERROR(INDEX(Cost_Components!$N$2:$N$27,MATCH(E752,Cost_Components!$A$2:$A$27,0)),"")</f>
        <v>95</v>
      </c>
      <c r="AE752" s="14" t="str">
        <f>IFERROR(INDEX(Cost_Components!$O$2:$O$27,MATCH(E752,Cost_Components!$A$2:$A$27,0)),"")</f>
        <v>Both</v>
      </c>
      <c r="AF752" s="11">
        <v>110027.48755491</v>
      </c>
      <c r="AG752" s="11">
        <v>95120.782422645003</v>
      </c>
      <c r="AH752" s="21">
        <f t="shared" si="119"/>
        <v>1</v>
      </c>
    </row>
    <row r="753" spans="1:34" hidden="1">
      <c r="A753" t="s">
        <v>75</v>
      </c>
      <c r="B753" s="18">
        <v>2048</v>
      </c>
      <c r="C753" t="s">
        <v>183</v>
      </c>
      <c r="D753" t="s">
        <v>187</v>
      </c>
      <c r="E753" s="20" t="s">
        <v>260</v>
      </c>
      <c r="F753" s="20" t="s">
        <v>261</v>
      </c>
      <c r="G753" s="20" t="s">
        <v>184</v>
      </c>
      <c r="H753" s="20" t="s">
        <v>192</v>
      </c>
      <c r="I753" s="20" t="s">
        <v>264</v>
      </c>
      <c r="J753" s="15">
        <f>IFERROR(INDEX(Cost_Components!$K$2:$K$27,MATCH(E753,Cost_Components!$A$2:$A$27,0)),"")</f>
        <v>0.5</v>
      </c>
      <c r="K753" s="15">
        <f t="shared" si="110"/>
        <v>0.76230769230769235</v>
      </c>
      <c r="L753" s="15">
        <f>IFERROR(INDEX(Cost_Components!$S$2:$S$27,MATCH(E753,Cost_Components!$A$2:$A$27,0)),"")</f>
        <v>0.31</v>
      </c>
      <c r="M753" s="26">
        <f>IFERROR(INDEX(Cost_Components!$L$2:$L$27,MATCH(E753,Cost_Components!$A$2:$A$27,0)),"")</f>
        <v>1</v>
      </c>
      <c r="N753" s="27">
        <f>IFERROR(INDEX(Cost_Components!$P$2:$P$27,MATCH(E753,Cost_Components!$A$2:$A$27,0)),"")</f>
        <v>282.51283599999999</v>
      </c>
      <c r="O753" s="21">
        <f t="shared" si="111"/>
        <v>56543.335492737002</v>
      </c>
      <c r="P753" s="21">
        <f t="shared" si="112"/>
        <v>48481.739718816149</v>
      </c>
      <c r="Q753" s="21">
        <f t="shared" si="113"/>
        <v>4245981.2724747434</v>
      </c>
      <c r="R753" s="21">
        <f t="shared" si="114"/>
        <v>12177269.311038472</v>
      </c>
      <c r="S753" s="21">
        <f t="shared" si="115"/>
        <v>7931288.0385637283</v>
      </c>
      <c r="T753" s="14">
        <f>IFERROR(INDEX(Cost_Components!$R$2:$R$27,MATCH(E753,Cost_Components!$A$2:$A$27,0)),"")</f>
        <v>1</v>
      </c>
      <c r="U753" s="24">
        <f>IFERROR(INDEX(Cost_Components!$Q$2:$Q$27,MATCH(E753,Cost_Components!$A$2:$A$27,0)),"")</f>
        <v>2023</v>
      </c>
      <c r="V753" s="28">
        <f>1/(1+Calculation_Assumptions!$B$5)^(B753-Calculation_Assumptions!$B$2)</f>
        <v>0.50669174842969467</v>
      </c>
      <c r="W753" s="21">
        <f t="shared" si="116"/>
        <v>2151403.6747499676</v>
      </c>
      <c r="X753" s="21">
        <f t="shared" si="117"/>
        <v>6170121.8783093467</v>
      </c>
      <c r="Y753" s="21">
        <f t="shared" si="118"/>
        <v>4018718.2035593791</v>
      </c>
      <c r="Z753" s="15">
        <f>IFERROR(INDEX(Cost_Components!$T$2:$T$27,MATCH(E753,Cost_Components!$A$2:$A$27,0)),"")</f>
        <v>0.8</v>
      </c>
      <c r="AA753" s="24">
        <f>IFERROR(INDEX(Cost_Components!$U$2:$U$27,MATCH(E753,Cost_Components!$A$2:$A$27,0)),"")</f>
        <v>2025</v>
      </c>
      <c r="AB753" s="24">
        <f>IFERROR(INDEX(Cost_Components!$V$2:$V$27,MATCH(E753,Cost_Components!$A$2:$A$27,0)),"")</f>
        <v>2050</v>
      </c>
      <c r="AC753" s="24">
        <f>IFERROR(INDEX(Cost_Components!$M$2:$M$27,MATCH(E753,Cost_Components!$A$2:$A$27,0)),"")</f>
        <v>30</v>
      </c>
      <c r="AD753" s="24">
        <f>IFERROR(INDEX(Cost_Components!$N$2:$N$27,MATCH(E753,Cost_Components!$A$2:$A$27,0)),"")</f>
        <v>95</v>
      </c>
      <c r="AE753" s="14" t="str">
        <f>IFERROR(INDEX(Cost_Components!$O$2:$O$27,MATCH(E753,Cost_Components!$A$2:$A$27,0)),"")</f>
        <v>Both</v>
      </c>
      <c r="AF753" s="11">
        <v>113086.670985474</v>
      </c>
      <c r="AG753" s="11">
        <v>96963.479437632297</v>
      </c>
      <c r="AH753" s="21">
        <f t="shared" si="119"/>
        <v>1</v>
      </c>
    </row>
    <row r="754" spans="1:34" hidden="1">
      <c r="A754" t="s">
        <v>75</v>
      </c>
      <c r="B754" s="18">
        <v>2049</v>
      </c>
      <c r="C754" t="s">
        <v>183</v>
      </c>
      <c r="D754" t="s">
        <v>187</v>
      </c>
      <c r="E754" s="20" t="s">
        <v>260</v>
      </c>
      <c r="F754" s="20" t="s">
        <v>261</v>
      </c>
      <c r="G754" s="20" t="s">
        <v>184</v>
      </c>
      <c r="H754" s="20" t="s">
        <v>192</v>
      </c>
      <c r="I754" s="20" t="s">
        <v>264</v>
      </c>
      <c r="J754" s="15">
        <f>IFERROR(INDEX(Cost_Components!$K$2:$K$27,MATCH(E754,Cost_Components!$A$2:$A$27,0)),"")</f>
        <v>0.5</v>
      </c>
      <c r="K754" s="15">
        <f t="shared" si="110"/>
        <v>0.7811538461538462</v>
      </c>
      <c r="L754" s="15">
        <f>IFERROR(INDEX(Cost_Components!$S$2:$S$27,MATCH(E754,Cost_Components!$A$2:$A$27,0)),"")</f>
        <v>0.31</v>
      </c>
      <c r="M754" s="26">
        <f>IFERROR(INDEX(Cost_Components!$L$2:$L$27,MATCH(E754,Cost_Components!$A$2:$A$27,0)),"")</f>
        <v>1</v>
      </c>
      <c r="N754" s="27">
        <f>IFERROR(INDEX(Cost_Components!$P$2:$P$27,MATCH(E754,Cost_Components!$A$2:$A$27,0)),"")</f>
        <v>282.51283599999999</v>
      </c>
      <c r="O754" s="21">
        <f t="shared" si="111"/>
        <v>58080.122149674004</v>
      </c>
      <c r="P754" s="21">
        <f t="shared" si="112"/>
        <v>49387.579257664947</v>
      </c>
      <c r="Q754" s="21">
        <f t="shared" si="113"/>
        <v>4325313.7745698867</v>
      </c>
      <c r="R754" s="21">
        <f t="shared" si="114"/>
        <v>12817469.164691268</v>
      </c>
      <c r="S754" s="21">
        <f t="shared" si="115"/>
        <v>8492155.3901213817</v>
      </c>
      <c r="T754" s="14">
        <f>IFERROR(INDEX(Cost_Components!$R$2:$R$27,MATCH(E754,Cost_Components!$A$2:$A$27,0)),"")</f>
        <v>1</v>
      </c>
      <c r="U754" s="24">
        <f>IFERROR(INDEX(Cost_Components!$Q$2:$Q$27,MATCH(E754,Cost_Components!$A$2:$A$27,0)),"")</f>
        <v>2023</v>
      </c>
      <c r="V754" s="28">
        <f>1/(1+Calculation_Assumptions!$B$5)^(B754-Calculation_Assumptions!$B$2)</f>
        <v>0.49193373633950943</v>
      </c>
      <c r="W754" s="21">
        <f t="shared" si="116"/>
        <v>2127767.7659649109</v>
      </c>
      <c r="X754" s="21">
        <f t="shared" si="117"/>
        <v>6305345.4966030261</v>
      </c>
      <c r="Y754" s="21">
        <f t="shared" si="118"/>
        <v>4177577.7306381157</v>
      </c>
      <c r="Z754" s="15">
        <f>IFERROR(INDEX(Cost_Components!$T$2:$T$27,MATCH(E754,Cost_Components!$A$2:$A$27,0)),"")</f>
        <v>0.8</v>
      </c>
      <c r="AA754" s="24">
        <f>IFERROR(INDEX(Cost_Components!$U$2:$U$27,MATCH(E754,Cost_Components!$A$2:$A$27,0)),"")</f>
        <v>2025</v>
      </c>
      <c r="AB754" s="24">
        <f>IFERROR(INDEX(Cost_Components!$V$2:$V$27,MATCH(E754,Cost_Components!$A$2:$A$27,0)),"")</f>
        <v>2050</v>
      </c>
      <c r="AC754" s="24">
        <f>IFERROR(INDEX(Cost_Components!$M$2:$M$27,MATCH(E754,Cost_Components!$A$2:$A$27,0)),"")</f>
        <v>30</v>
      </c>
      <c r="AD754" s="24">
        <f>IFERROR(INDEX(Cost_Components!$N$2:$N$27,MATCH(E754,Cost_Components!$A$2:$A$27,0)),"")</f>
        <v>95</v>
      </c>
      <c r="AE754" s="14" t="str">
        <f>IFERROR(INDEX(Cost_Components!$O$2:$O$27,MATCH(E754,Cost_Components!$A$2:$A$27,0)),"")</f>
        <v>Both</v>
      </c>
      <c r="AF754" s="11">
        <v>116160.24429934801</v>
      </c>
      <c r="AG754" s="11">
        <v>98775.158515329895</v>
      </c>
      <c r="AH754" s="21">
        <f t="shared" si="119"/>
        <v>1</v>
      </c>
    </row>
    <row r="755" spans="1:34" hidden="1">
      <c r="A755" t="s">
        <v>75</v>
      </c>
      <c r="B755" s="18">
        <v>2050</v>
      </c>
      <c r="C755" t="s">
        <v>183</v>
      </c>
      <c r="D755" t="s">
        <v>187</v>
      </c>
      <c r="E755" s="20" t="s">
        <v>260</v>
      </c>
      <c r="F755" s="20" t="s">
        <v>261</v>
      </c>
      <c r="G755" s="20" t="s">
        <v>184</v>
      </c>
      <c r="H755" s="20" t="s">
        <v>192</v>
      </c>
      <c r="I755" s="20" t="s">
        <v>264</v>
      </c>
      <c r="J755" s="15">
        <f>IFERROR(INDEX(Cost_Components!$K$2:$K$27,MATCH(E755,Cost_Components!$A$2:$A$27,0)),"")</f>
        <v>0.5</v>
      </c>
      <c r="K755" s="15">
        <f t="shared" si="110"/>
        <v>0.8</v>
      </c>
      <c r="L755" s="15">
        <f>IFERROR(INDEX(Cost_Components!$S$2:$S$27,MATCH(E755,Cost_Components!$A$2:$A$27,0)),"")</f>
        <v>0.31</v>
      </c>
      <c r="M755" s="26">
        <f>IFERROR(INDEX(Cost_Components!$L$2:$L$27,MATCH(E755,Cost_Components!$A$2:$A$27,0)),"")</f>
        <v>1</v>
      </c>
      <c r="N755" s="27">
        <f>IFERROR(INDEX(Cost_Components!$P$2:$P$27,MATCH(E755,Cost_Components!$A$2:$A$27,0)),"")</f>
        <v>282.51283599999999</v>
      </c>
      <c r="O755" s="21">
        <f t="shared" si="111"/>
        <v>59621.804326475001</v>
      </c>
      <c r="P755" s="21">
        <f t="shared" si="112"/>
        <v>50275.59590565</v>
      </c>
      <c r="Q755" s="21">
        <f t="shared" si="113"/>
        <v>4403085.3660775023</v>
      </c>
      <c r="R755" s="21">
        <f t="shared" si="114"/>
        <v>13475140.022167617</v>
      </c>
      <c r="S755" s="21">
        <f t="shared" si="115"/>
        <v>9072054.6560901143</v>
      </c>
      <c r="T755" s="14">
        <f>IFERROR(INDEX(Cost_Components!$R$2:$R$27,MATCH(E755,Cost_Components!$A$2:$A$27,0)),"")</f>
        <v>1</v>
      </c>
      <c r="U755" s="24">
        <f>IFERROR(INDEX(Cost_Components!$Q$2:$Q$27,MATCH(E755,Cost_Components!$A$2:$A$27,0)),"")</f>
        <v>2023</v>
      </c>
      <c r="V755" s="28">
        <f>1/(1+Calculation_Assumptions!$B$5)^(B755-Calculation_Assumptions!$B$2)</f>
        <v>0.47760556926165965</v>
      </c>
      <c r="W755" s="21">
        <f t="shared" si="116"/>
        <v>2102938.0927731283</v>
      </c>
      <c r="X755" s="21">
        <f t="shared" si="117"/>
        <v>6435801.921167938</v>
      </c>
      <c r="Y755" s="21">
        <f t="shared" si="118"/>
        <v>4332863.8283948088</v>
      </c>
      <c r="Z755" s="15">
        <f>IFERROR(INDEX(Cost_Components!$T$2:$T$27,MATCH(E755,Cost_Components!$A$2:$A$27,0)),"")</f>
        <v>0.8</v>
      </c>
      <c r="AA755" s="24">
        <f>IFERROR(INDEX(Cost_Components!$U$2:$U$27,MATCH(E755,Cost_Components!$A$2:$A$27,0)),"")</f>
        <v>2025</v>
      </c>
      <c r="AB755" s="24">
        <f>IFERROR(INDEX(Cost_Components!$V$2:$V$27,MATCH(E755,Cost_Components!$A$2:$A$27,0)),"")</f>
        <v>2050</v>
      </c>
      <c r="AC755" s="24">
        <f>IFERROR(INDEX(Cost_Components!$M$2:$M$27,MATCH(E755,Cost_Components!$A$2:$A$27,0)),"")</f>
        <v>30</v>
      </c>
      <c r="AD755" s="24">
        <f>IFERROR(INDEX(Cost_Components!$N$2:$N$27,MATCH(E755,Cost_Components!$A$2:$A$27,0)),"")</f>
        <v>95</v>
      </c>
      <c r="AE755" s="14" t="str">
        <f>IFERROR(INDEX(Cost_Components!$O$2:$O$27,MATCH(E755,Cost_Components!$A$2:$A$27,0)),"")</f>
        <v>Both</v>
      </c>
      <c r="AF755" s="11">
        <v>119243.60865295</v>
      </c>
      <c r="AG755" s="11">
        <v>100551.1918113</v>
      </c>
      <c r="AH755" s="21">
        <f t="shared" si="119"/>
        <v>1</v>
      </c>
    </row>
    <row r="756" spans="1:34" hidden="1">
      <c r="A756" t="s">
        <v>75</v>
      </c>
      <c r="B756" s="18">
        <v>2025</v>
      </c>
      <c r="C756" t="s">
        <v>183</v>
      </c>
      <c r="D756" t="s">
        <v>163</v>
      </c>
      <c r="E756" s="20" t="s">
        <v>265</v>
      </c>
      <c r="F756" s="20" t="s">
        <v>266</v>
      </c>
      <c r="G756" s="20" t="s">
        <v>193</v>
      </c>
      <c r="H756" s="20" t="s">
        <v>192</v>
      </c>
      <c r="I756" s="20" t="s">
        <v>264</v>
      </c>
      <c r="J756" s="15">
        <f>IFERROR(INDEX(Cost_Components!$K$2:$K$27,MATCH(E756,Cost_Components!$A$2:$A$27,0)),"")</f>
        <v>0.5</v>
      </c>
      <c r="K756" s="15">
        <f t="shared" si="110"/>
        <v>0.32884615384615384</v>
      </c>
      <c r="L756" s="15">
        <f>IFERROR(INDEX(Cost_Components!$S$2:$S$27,MATCH(E756,Cost_Components!$A$2:$A$27,0)),"")</f>
        <v>0.31</v>
      </c>
      <c r="M756" s="26">
        <f>IFERROR(INDEX(Cost_Components!$L$2:$L$27,MATCH(E756,Cost_Components!$A$2:$A$27,0)),"")</f>
        <v>1</v>
      </c>
      <c r="N756" s="27">
        <f>IFERROR(INDEX(Cost_Components!$P$2:$P$27,MATCH(E756,Cost_Components!$A$2:$A$27,0)),"")</f>
        <v>282.51283599999999</v>
      </c>
      <c r="O756" s="21">
        <f t="shared" si="111"/>
        <v>214472.48477283251</v>
      </c>
      <c r="P756" s="21">
        <f t="shared" si="112"/>
        <v>214642.28890673001</v>
      </c>
      <c r="Q756" s="21">
        <f t="shared" si="113"/>
        <v>18798152.547017206</v>
      </c>
      <c r="R756" s="21">
        <f t="shared" si="114"/>
        <v>19925192.91505941</v>
      </c>
      <c r="S756" s="21">
        <f t="shared" si="115"/>
        <v>1127040.3680422045</v>
      </c>
      <c r="T756" s="14">
        <f>IFERROR(INDEX(Cost_Components!$R$2:$R$27,MATCH(E756,Cost_Components!$A$2:$A$27,0)),"")</f>
        <v>1</v>
      </c>
      <c r="U756" s="24">
        <f>IFERROR(INDEX(Cost_Components!$Q$2:$Q$27,MATCH(E756,Cost_Components!$A$2:$A$27,0)),"")</f>
        <v>2023</v>
      </c>
      <c r="V756" s="28">
        <f>1/(1+Calculation_Assumptions!$B$5)^(B756-Calculation_Assumptions!$B$2)</f>
        <v>1</v>
      </c>
      <c r="W756" s="21">
        <f t="shared" si="116"/>
        <v>18798152.547017206</v>
      </c>
      <c r="X756" s="21">
        <f t="shared" si="117"/>
        <v>19925192.91505941</v>
      </c>
      <c r="Y756" s="21">
        <f t="shared" si="118"/>
        <v>1127040.3680422045</v>
      </c>
      <c r="Z756" s="15">
        <f>IFERROR(INDEX(Cost_Components!$T$2:$T$27,MATCH(E756,Cost_Components!$A$2:$A$27,0)),"")</f>
        <v>0.8</v>
      </c>
      <c r="AA756" s="24">
        <f>IFERROR(INDEX(Cost_Components!$U$2:$U$27,MATCH(E756,Cost_Components!$A$2:$A$27,0)),"")</f>
        <v>2025</v>
      </c>
      <c r="AB756" s="24">
        <f>IFERROR(INDEX(Cost_Components!$V$2:$V$27,MATCH(E756,Cost_Components!$A$2:$A$27,0)),"")</f>
        <v>2050</v>
      </c>
      <c r="AC756" s="24">
        <f>IFERROR(INDEX(Cost_Components!$M$2:$M$27,MATCH(E756,Cost_Components!$A$2:$A$27,0)),"")</f>
        <v>30</v>
      </c>
      <c r="AD756" s="24">
        <f>IFERROR(INDEX(Cost_Components!$N$2:$N$27,MATCH(E756,Cost_Components!$A$2:$A$27,0)),"")</f>
        <v>95</v>
      </c>
      <c r="AE756" s="14" t="str">
        <f>IFERROR(INDEX(Cost_Components!$O$2:$O$27,MATCH(E756,Cost_Components!$A$2:$A$27,0)),"")</f>
        <v>Both</v>
      </c>
      <c r="AF756" s="11">
        <v>428944.96954566502</v>
      </c>
      <c r="AG756" s="11">
        <v>429284.57781346003</v>
      </c>
      <c r="AH756" s="21">
        <f t="shared" si="119"/>
        <v>1</v>
      </c>
    </row>
    <row r="757" spans="1:34" hidden="1">
      <c r="A757" t="s">
        <v>75</v>
      </c>
      <c r="B757" s="18">
        <v>2026</v>
      </c>
      <c r="C757" t="s">
        <v>183</v>
      </c>
      <c r="D757" t="s">
        <v>163</v>
      </c>
      <c r="E757" s="20" t="s">
        <v>265</v>
      </c>
      <c r="F757" s="20" t="s">
        <v>266</v>
      </c>
      <c r="G757" s="20" t="s">
        <v>193</v>
      </c>
      <c r="H757" s="20" t="s">
        <v>192</v>
      </c>
      <c r="I757" s="20" t="s">
        <v>264</v>
      </c>
      <c r="J757" s="15">
        <f>IFERROR(INDEX(Cost_Components!$K$2:$K$27,MATCH(E757,Cost_Components!$A$2:$A$27,0)),"")</f>
        <v>0.5</v>
      </c>
      <c r="K757" s="15">
        <f t="shared" si="110"/>
        <v>0.34769230769230769</v>
      </c>
      <c r="L757" s="15">
        <f>IFERROR(INDEX(Cost_Components!$S$2:$S$27,MATCH(E757,Cost_Components!$A$2:$A$27,0)),"")</f>
        <v>0.31</v>
      </c>
      <c r="M757" s="26">
        <f>IFERROR(INDEX(Cost_Components!$L$2:$L$27,MATCH(E757,Cost_Components!$A$2:$A$27,0)),"")</f>
        <v>1</v>
      </c>
      <c r="N757" s="27">
        <f>IFERROR(INDEX(Cost_Components!$P$2:$P$27,MATCH(E757,Cost_Components!$A$2:$A$27,0)),"")</f>
        <v>282.51283599999999</v>
      </c>
      <c r="O757" s="21">
        <f t="shared" si="111"/>
        <v>220650.0410444455</v>
      </c>
      <c r="P757" s="21">
        <f t="shared" si="112"/>
        <v>221139.565596459</v>
      </c>
      <c r="Q757" s="21">
        <f t="shared" si="113"/>
        <v>19367177.406823736</v>
      </c>
      <c r="R757" s="21">
        <f t="shared" si="114"/>
        <v>21673910.71096937</v>
      </c>
      <c r="S757" s="21">
        <f t="shared" si="115"/>
        <v>2306733.3041456342</v>
      </c>
      <c r="T757" s="14">
        <f>IFERROR(INDEX(Cost_Components!$R$2:$R$27,MATCH(E757,Cost_Components!$A$2:$A$27,0)),"")</f>
        <v>1</v>
      </c>
      <c r="U757" s="24">
        <f>IFERROR(INDEX(Cost_Components!$Q$2:$Q$27,MATCH(E757,Cost_Components!$A$2:$A$27,0)),"")</f>
        <v>2023</v>
      </c>
      <c r="V757" s="28">
        <f>1/(1+Calculation_Assumptions!$B$5)^(B757-Calculation_Assumptions!$B$2)</f>
        <v>0.970873786407767</v>
      </c>
      <c r="W757" s="21">
        <f t="shared" si="116"/>
        <v>18803084.860993918</v>
      </c>
      <c r="X757" s="21">
        <f t="shared" si="117"/>
        <v>21042631.758222688</v>
      </c>
      <c r="Y757" s="21">
        <f t="shared" si="118"/>
        <v>2239546.8972287709</v>
      </c>
      <c r="Z757" s="15">
        <f>IFERROR(INDEX(Cost_Components!$T$2:$T$27,MATCH(E757,Cost_Components!$A$2:$A$27,0)),"")</f>
        <v>0.8</v>
      </c>
      <c r="AA757" s="24">
        <f>IFERROR(INDEX(Cost_Components!$U$2:$U$27,MATCH(E757,Cost_Components!$A$2:$A$27,0)),"")</f>
        <v>2025</v>
      </c>
      <c r="AB757" s="24">
        <f>IFERROR(INDEX(Cost_Components!$V$2:$V$27,MATCH(E757,Cost_Components!$A$2:$A$27,0)),"")</f>
        <v>2050</v>
      </c>
      <c r="AC757" s="24">
        <f>IFERROR(INDEX(Cost_Components!$M$2:$M$27,MATCH(E757,Cost_Components!$A$2:$A$27,0)),"")</f>
        <v>30</v>
      </c>
      <c r="AD757" s="24">
        <f>IFERROR(INDEX(Cost_Components!$N$2:$N$27,MATCH(E757,Cost_Components!$A$2:$A$27,0)),"")</f>
        <v>95</v>
      </c>
      <c r="AE757" s="14" t="str">
        <f>IFERROR(INDEX(Cost_Components!$O$2:$O$27,MATCH(E757,Cost_Components!$A$2:$A$27,0)),"")</f>
        <v>Both</v>
      </c>
      <c r="AF757" s="11">
        <v>441300.08208889101</v>
      </c>
      <c r="AG757" s="11">
        <v>442279.13119291799</v>
      </c>
      <c r="AH757" s="21">
        <f t="shared" si="119"/>
        <v>1</v>
      </c>
    </row>
    <row r="758" spans="1:34" hidden="1">
      <c r="A758" t="s">
        <v>75</v>
      </c>
      <c r="B758" s="18">
        <v>2027</v>
      </c>
      <c r="C758" t="s">
        <v>183</v>
      </c>
      <c r="D758" t="s">
        <v>163</v>
      </c>
      <c r="E758" s="20" t="s">
        <v>265</v>
      </c>
      <c r="F758" s="20" t="s">
        <v>266</v>
      </c>
      <c r="G758" s="20" t="s">
        <v>193</v>
      </c>
      <c r="H758" s="20" t="s">
        <v>192</v>
      </c>
      <c r="I758" s="20" t="s">
        <v>264</v>
      </c>
      <c r="J758" s="15">
        <f>IFERROR(INDEX(Cost_Components!$K$2:$K$27,MATCH(E758,Cost_Components!$A$2:$A$27,0)),"")</f>
        <v>0.5</v>
      </c>
      <c r="K758" s="15">
        <f t="shared" si="110"/>
        <v>0.36653846153846154</v>
      </c>
      <c r="L758" s="15">
        <f>IFERROR(INDEX(Cost_Components!$S$2:$S$27,MATCH(E758,Cost_Components!$A$2:$A$27,0)),"")</f>
        <v>0.31</v>
      </c>
      <c r="M758" s="26">
        <f>IFERROR(INDEX(Cost_Components!$L$2:$L$27,MATCH(E758,Cost_Components!$A$2:$A$27,0)),"")</f>
        <v>1</v>
      </c>
      <c r="N758" s="27">
        <f>IFERROR(INDEX(Cost_Components!$P$2:$P$27,MATCH(E758,Cost_Components!$A$2:$A$27,0)),"")</f>
        <v>282.51283599999999</v>
      </c>
      <c r="O758" s="21">
        <f t="shared" si="111"/>
        <v>227021.76651303851</v>
      </c>
      <c r="P758" s="21">
        <f t="shared" si="112"/>
        <v>227964.95324208349</v>
      </c>
      <c r="Q758" s="21">
        <f t="shared" si="113"/>
        <v>19964937.889198802</v>
      </c>
      <c r="R758" s="21">
        <f t="shared" si="114"/>
        <v>23508517.163859963</v>
      </c>
      <c r="S758" s="21">
        <f t="shared" si="115"/>
        <v>3543579.274661161</v>
      </c>
      <c r="T758" s="14">
        <f>IFERROR(INDEX(Cost_Components!$R$2:$R$27,MATCH(E758,Cost_Components!$A$2:$A$27,0)),"")</f>
        <v>1</v>
      </c>
      <c r="U758" s="24">
        <f>IFERROR(INDEX(Cost_Components!$Q$2:$Q$27,MATCH(E758,Cost_Components!$A$2:$A$27,0)),"")</f>
        <v>2023</v>
      </c>
      <c r="V758" s="28">
        <f>1/(1+Calculation_Assumptions!$B$5)^(B758-Calculation_Assumptions!$B$2)</f>
        <v>0.94259590913375435</v>
      </c>
      <c r="W758" s="21">
        <f t="shared" si="116"/>
        <v>18818868.780468285</v>
      </c>
      <c r="X758" s="21">
        <f t="shared" si="117"/>
        <v>22159032.108455051</v>
      </c>
      <c r="Y758" s="21">
        <f t="shared" si="118"/>
        <v>3340163.327986767</v>
      </c>
      <c r="Z758" s="15">
        <f>IFERROR(INDEX(Cost_Components!$T$2:$T$27,MATCH(E758,Cost_Components!$A$2:$A$27,0)),"")</f>
        <v>0.8</v>
      </c>
      <c r="AA758" s="24">
        <f>IFERROR(INDEX(Cost_Components!$U$2:$U$27,MATCH(E758,Cost_Components!$A$2:$A$27,0)),"")</f>
        <v>2025</v>
      </c>
      <c r="AB758" s="24">
        <f>IFERROR(INDEX(Cost_Components!$V$2:$V$27,MATCH(E758,Cost_Components!$A$2:$A$27,0)),"")</f>
        <v>2050</v>
      </c>
      <c r="AC758" s="24">
        <f>IFERROR(INDEX(Cost_Components!$M$2:$M$27,MATCH(E758,Cost_Components!$A$2:$A$27,0)),"")</f>
        <v>30</v>
      </c>
      <c r="AD758" s="24">
        <f>IFERROR(INDEX(Cost_Components!$N$2:$N$27,MATCH(E758,Cost_Components!$A$2:$A$27,0)),"")</f>
        <v>95</v>
      </c>
      <c r="AE758" s="14" t="str">
        <f>IFERROR(INDEX(Cost_Components!$O$2:$O$27,MATCH(E758,Cost_Components!$A$2:$A$27,0)),"")</f>
        <v>Both</v>
      </c>
      <c r="AF758" s="11">
        <v>454043.53302607703</v>
      </c>
      <c r="AG758" s="11">
        <v>455929.90648416698</v>
      </c>
      <c r="AH758" s="21">
        <f t="shared" si="119"/>
        <v>1</v>
      </c>
    </row>
    <row r="759" spans="1:34" hidden="1">
      <c r="A759" t="s">
        <v>75</v>
      </c>
      <c r="B759" s="18">
        <v>2028</v>
      </c>
      <c r="C759" t="s">
        <v>183</v>
      </c>
      <c r="D759" t="s">
        <v>163</v>
      </c>
      <c r="E759" s="20" t="s">
        <v>265</v>
      </c>
      <c r="F759" s="20" t="s">
        <v>266</v>
      </c>
      <c r="G759" s="20" t="s">
        <v>193</v>
      </c>
      <c r="H759" s="20" t="s">
        <v>192</v>
      </c>
      <c r="I759" s="20" t="s">
        <v>264</v>
      </c>
      <c r="J759" s="15">
        <f>IFERROR(INDEX(Cost_Components!$K$2:$K$27,MATCH(E759,Cost_Components!$A$2:$A$27,0)),"")</f>
        <v>0.5</v>
      </c>
      <c r="K759" s="15">
        <f t="shared" si="110"/>
        <v>0.38538461538461538</v>
      </c>
      <c r="L759" s="15">
        <f>IFERROR(INDEX(Cost_Components!$S$2:$S$27,MATCH(E759,Cost_Components!$A$2:$A$27,0)),"")</f>
        <v>0.31</v>
      </c>
      <c r="M759" s="26">
        <f>IFERROR(INDEX(Cost_Components!$L$2:$L$27,MATCH(E759,Cost_Components!$A$2:$A$27,0)),"")</f>
        <v>1</v>
      </c>
      <c r="N759" s="27">
        <f>IFERROR(INDEX(Cost_Components!$P$2:$P$27,MATCH(E759,Cost_Components!$A$2:$A$27,0)),"")</f>
        <v>282.51283599999999</v>
      </c>
      <c r="O759" s="21">
        <f t="shared" si="111"/>
        <v>233534.38545532149</v>
      </c>
      <c r="P759" s="21">
        <f t="shared" si="112"/>
        <v>235051.937499622</v>
      </c>
      <c r="Q759" s="21">
        <f t="shared" si="113"/>
        <v>20585608.735797018</v>
      </c>
      <c r="R759" s="21">
        <f t="shared" si="114"/>
        <v>25426313.254452702</v>
      </c>
      <c r="S759" s="21">
        <f t="shared" si="115"/>
        <v>4840704.5186556838</v>
      </c>
      <c r="T759" s="14">
        <f>IFERROR(INDEX(Cost_Components!$R$2:$R$27,MATCH(E759,Cost_Components!$A$2:$A$27,0)),"")</f>
        <v>1</v>
      </c>
      <c r="U759" s="24">
        <f>IFERROR(INDEX(Cost_Components!$Q$2:$Q$27,MATCH(E759,Cost_Components!$A$2:$A$27,0)),"")</f>
        <v>2023</v>
      </c>
      <c r="V759" s="28">
        <f>1/(1+Calculation_Assumptions!$B$5)^(B759-Calculation_Assumptions!$B$2)</f>
        <v>0.91514165935315961</v>
      </c>
      <c r="W759" s="21">
        <f t="shared" si="116"/>
        <v>18838748.137272183</v>
      </c>
      <c r="X759" s="21">
        <f t="shared" si="117"/>
        <v>23268678.50291308</v>
      </c>
      <c r="Y759" s="21">
        <f t="shared" si="118"/>
        <v>4429930.3656409001</v>
      </c>
      <c r="Z759" s="15">
        <f>IFERROR(INDEX(Cost_Components!$T$2:$T$27,MATCH(E759,Cost_Components!$A$2:$A$27,0)),"")</f>
        <v>0.8</v>
      </c>
      <c r="AA759" s="24">
        <f>IFERROR(INDEX(Cost_Components!$U$2:$U$27,MATCH(E759,Cost_Components!$A$2:$A$27,0)),"")</f>
        <v>2025</v>
      </c>
      <c r="AB759" s="24">
        <f>IFERROR(INDEX(Cost_Components!$V$2:$V$27,MATCH(E759,Cost_Components!$A$2:$A$27,0)),"")</f>
        <v>2050</v>
      </c>
      <c r="AC759" s="24">
        <f>IFERROR(INDEX(Cost_Components!$M$2:$M$27,MATCH(E759,Cost_Components!$A$2:$A$27,0)),"")</f>
        <v>30</v>
      </c>
      <c r="AD759" s="24">
        <f>IFERROR(INDEX(Cost_Components!$N$2:$N$27,MATCH(E759,Cost_Components!$A$2:$A$27,0)),"")</f>
        <v>95</v>
      </c>
      <c r="AE759" s="14" t="str">
        <f>IFERROR(INDEX(Cost_Components!$O$2:$O$27,MATCH(E759,Cost_Components!$A$2:$A$27,0)),"")</f>
        <v>Both</v>
      </c>
      <c r="AF759" s="11">
        <v>467068.77091064298</v>
      </c>
      <c r="AG759" s="11">
        <v>470103.874999244</v>
      </c>
      <c r="AH759" s="21">
        <f t="shared" si="119"/>
        <v>1</v>
      </c>
    </row>
    <row r="760" spans="1:34" hidden="1">
      <c r="A760" t="s">
        <v>75</v>
      </c>
      <c r="B760" s="18">
        <v>2029</v>
      </c>
      <c r="C760" t="s">
        <v>183</v>
      </c>
      <c r="D760" t="s">
        <v>163</v>
      </c>
      <c r="E760" s="20" t="s">
        <v>265</v>
      </c>
      <c r="F760" s="20" t="s">
        <v>266</v>
      </c>
      <c r="G760" s="20" t="s">
        <v>193</v>
      </c>
      <c r="H760" s="20" t="s">
        <v>192</v>
      </c>
      <c r="I760" s="20" t="s">
        <v>264</v>
      </c>
      <c r="J760" s="15">
        <f>IFERROR(INDEX(Cost_Components!$K$2:$K$27,MATCH(E760,Cost_Components!$A$2:$A$27,0)),"")</f>
        <v>0.5</v>
      </c>
      <c r="K760" s="15">
        <f t="shared" si="110"/>
        <v>0.40423076923076923</v>
      </c>
      <c r="L760" s="15">
        <f>IFERROR(INDEX(Cost_Components!$S$2:$S$27,MATCH(E760,Cost_Components!$A$2:$A$27,0)),"")</f>
        <v>0.31</v>
      </c>
      <c r="M760" s="26">
        <f>IFERROR(INDEX(Cost_Components!$L$2:$L$27,MATCH(E760,Cost_Components!$A$2:$A$27,0)),"")</f>
        <v>1</v>
      </c>
      <c r="N760" s="27">
        <f>IFERROR(INDEX(Cost_Components!$P$2:$P$27,MATCH(E760,Cost_Components!$A$2:$A$27,0)),"")</f>
        <v>282.51283599999999</v>
      </c>
      <c r="O760" s="21">
        <f t="shared" si="111"/>
        <v>240129.27249380399</v>
      </c>
      <c r="P760" s="21">
        <f t="shared" si="112"/>
        <v>242330.13621177099</v>
      </c>
      <c r="Q760" s="21">
        <f t="shared" si="113"/>
        <v>21223025.949130651</v>
      </c>
      <c r="R760" s="21">
        <f t="shared" si="114"/>
        <v>27422854.411370102</v>
      </c>
      <c r="S760" s="21">
        <f t="shared" si="115"/>
        <v>6199828.4622394517</v>
      </c>
      <c r="T760" s="14">
        <f>IFERROR(INDEX(Cost_Components!$R$2:$R$27,MATCH(E760,Cost_Components!$A$2:$A$27,0)),"")</f>
        <v>1</v>
      </c>
      <c r="U760" s="24">
        <f>IFERROR(INDEX(Cost_Components!$Q$2:$Q$27,MATCH(E760,Cost_Components!$A$2:$A$27,0)),"")</f>
        <v>2023</v>
      </c>
      <c r="V760" s="28">
        <f>1/(1+Calculation_Assumptions!$B$5)^(B760-Calculation_Assumptions!$B$2)</f>
        <v>0.888487047915689</v>
      </c>
      <c r="W760" s="21">
        <f t="shared" si="116"/>
        <v>18856383.673381157</v>
      </c>
      <c r="X760" s="21">
        <f t="shared" si="117"/>
        <v>24364850.961379953</v>
      </c>
      <c r="Y760" s="21">
        <f t="shared" si="118"/>
        <v>5508467.2879987964</v>
      </c>
      <c r="Z760" s="15">
        <f>IFERROR(INDEX(Cost_Components!$T$2:$T$27,MATCH(E760,Cost_Components!$A$2:$A$27,0)),"")</f>
        <v>0.8</v>
      </c>
      <c r="AA760" s="24">
        <f>IFERROR(INDEX(Cost_Components!$U$2:$U$27,MATCH(E760,Cost_Components!$A$2:$A$27,0)),"")</f>
        <v>2025</v>
      </c>
      <c r="AB760" s="24">
        <f>IFERROR(INDEX(Cost_Components!$V$2:$V$27,MATCH(E760,Cost_Components!$A$2:$A$27,0)),"")</f>
        <v>2050</v>
      </c>
      <c r="AC760" s="24">
        <f>IFERROR(INDEX(Cost_Components!$M$2:$M$27,MATCH(E760,Cost_Components!$A$2:$A$27,0)),"")</f>
        <v>30</v>
      </c>
      <c r="AD760" s="24">
        <f>IFERROR(INDEX(Cost_Components!$N$2:$N$27,MATCH(E760,Cost_Components!$A$2:$A$27,0)),"")</f>
        <v>95</v>
      </c>
      <c r="AE760" s="14" t="str">
        <f>IFERROR(INDEX(Cost_Components!$O$2:$O$27,MATCH(E760,Cost_Components!$A$2:$A$27,0)),"")</f>
        <v>Both</v>
      </c>
      <c r="AF760" s="11">
        <v>480258.54498760798</v>
      </c>
      <c r="AG760" s="11">
        <v>484660.27242354199</v>
      </c>
      <c r="AH760" s="21">
        <f t="shared" si="119"/>
        <v>1</v>
      </c>
    </row>
    <row r="761" spans="1:34" hidden="1">
      <c r="A761" t="s">
        <v>75</v>
      </c>
      <c r="B761" s="18">
        <v>2030</v>
      </c>
      <c r="C761" t="s">
        <v>183</v>
      </c>
      <c r="D761" t="s">
        <v>163</v>
      </c>
      <c r="E761" s="20" t="s">
        <v>265</v>
      </c>
      <c r="F761" s="20" t="s">
        <v>266</v>
      </c>
      <c r="G761" s="20" t="s">
        <v>193</v>
      </c>
      <c r="H761" s="20" t="s">
        <v>192</v>
      </c>
      <c r="I761" s="20" t="s">
        <v>264</v>
      </c>
      <c r="J761" s="15">
        <f>IFERROR(INDEX(Cost_Components!$K$2:$K$27,MATCH(E761,Cost_Components!$A$2:$A$27,0)),"")</f>
        <v>0.5</v>
      </c>
      <c r="K761" s="15">
        <f t="shared" si="110"/>
        <v>0.42307692307692307</v>
      </c>
      <c r="L761" s="15">
        <f>IFERROR(INDEX(Cost_Components!$S$2:$S$27,MATCH(E761,Cost_Components!$A$2:$A$27,0)),"")</f>
        <v>0.31</v>
      </c>
      <c r="M761" s="26">
        <f>IFERROR(INDEX(Cost_Components!$L$2:$L$27,MATCH(E761,Cost_Components!$A$2:$A$27,0)),"")</f>
        <v>1</v>
      </c>
      <c r="N761" s="27">
        <f>IFERROR(INDEX(Cost_Components!$P$2:$P$27,MATCH(E761,Cost_Components!$A$2:$A$27,0)),"")</f>
        <v>282.51283599999999</v>
      </c>
      <c r="O761" s="21">
        <f t="shared" si="111"/>
        <v>246757.99733476699</v>
      </c>
      <c r="P761" s="21">
        <f t="shared" si="112"/>
        <v>249740.82167650899</v>
      </c>
      <c r="Q761" s="21">
        <f t="shared" si="113"/>
        <v>21872046.217008255</v>
      </c>
      <c r="R761" s="21">
        <f t="shared" si="114"/>
        <v>29493666.075383849</v>
      </c>
      <c r="S761" s="21">
        <f t="shared" si="115"/>
        <v>7621619.858375594</v>
      </c>
      <c r="T761" s="14">
        <f>IFERROR(INDEX(Cost_Components!$R$2:$R$27,MATCH(E761,Cost_Components!$A$2:$A$27,0)),"")</f>
        <v>1</v>
      </c>
      <c r="U761" s="24">
        <f>IFERROR(INDEX(Cost_Components!$Q$2:$Q$27,MATCH(E761,Cost_Components!$A$2:$A$27,0)),"")</f>
        <v>2023</v>
      </c>
      <c r="V761" s="28">
        <f>1/(1+Calculation_Assumptions!$B$5)^(B761-Calculation_Assumptions!$B$2)</f>
        <v>0.86260878438416411</v>
      </c>
      <c r="W761" s="21">
        <f t="shared" si="116"/>
        <v>18867019.199247748</v>
      </c>
      <c r="X761" s="21">
        <f t="shared" si="117"/>
        <v>25441495.440319322</v>
      </c>
      <c r="Y761" s="21">
        <f t="shared" si="118"/>
        <v>6574476.2410715763</v>
      </c>
      <c r="Z761" s="15">
        <f>IFERROR(INDEX(Cost_Components!$T$2:$T$27,MATCH(E761,Cost_Components!$A$2:$A$27,0)),"")</f>
        <v>0.8</v>
      </c>
      <c r="AA761" s="24">
        <f>IFERROR(INDEX(Cost_Components!$U$2:$U$27,MATCH(E761,Cost_Components!$A$2:$A$27,0)),"")</f>
        <v>2025</v>
      </c>
      <c r="AB761" s="24">
        <f>IFERROR(INDEX(Cost_Components!$V$2:$V$27,MATCH(E761,Cost_Components!$A$2:$A$27,0)),"")</f>
        <v>2050</v>
      </c>
      <c r="AC761" s="24">
        <f>IFERROR(INDEX(Cost_Components!$M$2:$M$27,MATCH(E761,Cost_Components!$A$2:$A$27,0)),"")</f>
        <v>30</v>
      </c>
      <c r="AD761" s="24">
        <f>IFERROR(INDEX(Cost_Components!$N$2:$N$27,MATCH(E761,Cost_Components!$A$2:$A$27,0)),"")</f>
        <v>95</v>
      </c>
      <c r="AE761" s="14" t="str">
        <f>IFERROR(INDEX(Cost_Components!$O$2:$O$27,MATCH(E761,Cost_Components!$A$2:$A$27,0)),"")</f>
        <v>Both</v>
      </c>
      <c r="AF761" s="11">
        <v>493515.99466953397</v>
      </c>
      <c r="AG761" s="11">
        <v>499481.64335301798</v>
      </c>
      <c r="AH761" s="21">
        <f t="shared" si="119"/>
        <v>1</v>
      </c>
    </row>
    <row r="762" spans="1:34" hidden="1">
      <c r="A762" t="s">
        <v>75</v>
      </c>
      <c r="B762" s="18">
        <v>2031</v>
      </c>
      <c r="C762" t="s">
        <v>183</v>
      </c>
      <c r="D762" t="s">
        <v>163</v>
      </c>
      <c r="E762" s="20" t="s">
        <v>265</v>
      </c>
      <c r="F762" s="20" t="s">
        <v>266</v>
      </c>
      <c r="G762" s="20" t="s">
        <v>193</v>
      </c>
      <c r="H762" s="20" t="s">
        <v>192</v>
      </c>
      <c r="I762" s="20" t="s">
        <v>264</v>
      </c>
      <c r="J762" s="15">
        <f>IFERROR(INDEX(Cost_Components!$K$2:$K$27,MATCH(E762,Cost_Components!$A$2:$A$27,0)),"")</f>
        <v>0.5</v>
      </c>
      <c r="K762" s="15">
        <f t="shared" si="110"/>
        <v>0.44192307692307692</v>
      </c>
      <c r="L762" s="15">
        <f>IFERROR(INDEX(Cost_Components!$S$2:$S$27,MATCH(E762,Cost_Components!$A$2:$A$27,0)),"")</f>
        <v>0.31</v>
      </c>
      <c r="M762" s="26">
        <f>IFERROR(INDEX(Cost_Components!$L$2:$L$27,MATCH(E762,Cost_Components!$A$2:$A$27,0)),"")</f>
        <v>1</v>
      </c>
      <c r="N762" s="27">
        <f>IFERROR(INDEX(Cost_Components!$P$2:$P$27,MATCH(E762,Cost_Components!$A$2:$A$27,0)),"")</f>
        <v>282.51283599999999</v>
      </c>
      <c r="O762" s="21">
        <f t="shared" si="111"/>
        <v>253390.96605460299</v>
      </c>
      <c r="P762" s="21">
        <f t="shared" si="112"/>
        <v>257246.51294702551</v>
      </c>
      <c r="Q762" s="21">
        <f t="shared" si="113"/>
        <v>22529386.996370215</v>
      </c>
      <c r="R762" s="21">
        <f t="shared" si="114"/>
        <v>31635593.962291766</v>
      </c>
      <c r="S762" s="21">
        <f t="shared" si="115"/>
        <v>9106206.965921551</v>
      </c>
      <c r="T762" s="14">
        <f>IFERROR(INDEX(Cost_Components!$R$2:$R$27,MATCH(E762,Cost_Components!$A$2:$A$27,0)),"")</f>
        <v>1</v>
      </c>
      <c r="U762" s="24">
        <f>IFERROR(INDEX(Cost_Components!$Q$2:$Q$27,MATCH(E762,Cost_Components!$A$2:$A$27,0)),"")</f>
        <v>2023</v>
      </c>
      <c r="V762" s="28">
        <f>1/(1+Calculation_Assumptions!$B$5)^(B762-Calculation_Assumptions!$B$2)</f>
        <v>0.83748425668365445</v>
      </c>
      <c r="W762" s="21">
        <f t="shared" si="116"/>
        <v>18868006.922193501</v>
      </c>
      <c r="X762" s="21">
        <f t="shared" si="117"/>
        <v>26494311.894255824</v>
      </c>
      <c r="Y762" s="21">
        <f t="shared" si="118"/>
        <v>7626304.972062326</v>
      </c>
      <c r="Z762" s="15">
        <f>IFERROR(INDEX(Cost_Components!$T$2:$T$27,MATCH(E762,Cost_Components!$A$2:$A$27,0)),"")</f>
        <v>0.8</v>
      </c>
      <c r="AA762" s="24">
        <f>IFERROR(INDEX(Cost_Components!$U$2:$U$27,MATCH(E762,Cost_Components!$A$2:$A$27,0)),"")</f>
        <v>2025</v>
      </c>
      <c r="AB762" s="24">
        <f>IFERROR(INDEX(Cost_Components!$V$2:$V$27,MATCH(E762,Cost_Components!$A$2:$A$27,0)),"")</f>
        <v>2050</v>
      </c>
      <c r="AC762" s="24">
        <f>IFERROR(INDEX(Cost_Components!$M$2:$M$27,MATCH(E762,Cost_Components!$A$2:$A$27,0)),"")</f>
        <v>30</v>
      </c>
      <c r="AD762" s="24">
        <f>IFERROR(INDEX(Cost_Components!$N$2:$N$27,MATCH(E762,Cost_Components!$A$2:$A$27,0)),"")</f>
        <v>95</v>
      </c>
      <c r="AE762" s="14" t="str">
        <f>IFERROR(INDEX(Cost_Components!$O$2:$O$27,MATCH(E762,Cost_Components!$A$2:$A$27,0)),"")</f>
        <v>Both</v>
      </c>
      <c r="AF762" s="11">
        <v>506781.93210920598</v>
      </c>
      <c r="AG762" s="11">
        <v>514493.02589405101</v>
      </c>
      <c r="AH762" s="21">
        <f t="shared" si="119"/>
        <v>1</v>
      </c>
    </row>
    <row r="763" spans="1:34" hidden="1">
      <c r="A763" t="s">
        <v>75</v>
      </c>
      <c r="B763" s="18">
        <v>2032</v>
      </c>
      <c r="C763" t="s">
        <v>183</v>
      </c>
      <c r="D763" t="s">
        <v>163</v>
      </c>
      <c r="E763" s="20" t="s">
        <v>265</v>
      </c>
      <c r="F763" s="20" t="s">
        <v>266</v>
      </c>
      <c r="G763" s="20" t="s">
        <v>193</v>
      </c>
      <c r="H763" s="20" t="s">
        <v>192</v>
      </c>
      <c r="I763" s="20" t="s">
        <v>264</v>
      </c>
      <c r="J763" s="15">
        <f>IFERROR(INDEX(Cost_Components!$K$2:$K$27,MATCH(E763,Cost_Components!$A$2:$A$27,0)),"")</f>
        <v>0.5</v>
      </c>
      <c r="K763" s="15">
        <f t="shared" si="110"/>
        <v>0.46076923076923082</v>
      </c>
      <c r="L763" s="15">
        <f>IFERROR(INDEX(Cost_Components!$S$2:$S$27,MATCH(E763,Cost_Components!$A$2:$A$27,0)),"")</f>
        <v>0.31</v>
      </c>
      <c r="M763" s="26">
        <f>IFERROR(INDEX(Cost_Components!$L$2:$L$27,MATCH(E763,Cost_Components!$A$2:$A$27,0)),"")</f>
        <v>1</v>
      </c>
      <c r="N763" s="27">
        <f>IFERROR(INDEX(Cost_Components!$P$2:$P$27,MATCH(E763,Cost_Components!$A$2:$A$27,0)),"")</f>
        <v>282.51283599999999</v>
      </c>
      <c r="O763" s="21">
        <f t="shared" si="111"/>
        <v>260004.02966092451</v>
      </c>
      <c r="P763" s="21">
        <f t="shared" si="112"/>
        <v>264815.77077415952</v>
      </c>
      <c r="Q763" s="21">
        <f t="shared" si="113"/>
        <v>23192294.869869456</v>
      </c>
      <c r="R763" s="21">
        <f t="shared" si="114"/>
        <v>33845562.306746624</v>
      </c>
      <c r="S763" s="21">
        <f t="shared" si="115"/>
        <v>10653267.436877169</v>
      </c>
      <c r="T763" s="14">
        <f>IFERROR(INDEX(Cost_Components!$R$2:$R$27,MATCH(E763,Cost_Components!$A$2:$A$27,0)),"")</f>
        <v>1</v>
      </c>
      <c r="U763" s="24">
        <f>IFERROR(INDEX(Cost_Components!$Q$2:$Q$27,MATCH(E763,Cost_Components!$A$2:$A$27,0)),"")</f>
        <v>2023</v>
      </c>
      <c r="V763" s="28">
        <f>1/(1+Calculation_Assumptions!$B$5)^(B763-Calculation_Assumptions!$B$2)</f>
        <v>0.81309151134335378</v>
      </c>
      <c r="W763" s="21">
        <f t="shared" si="116"/>
        <v>18857458.087262865</v>
      </c>
      <c r="X763" s="21">
        <f t="shared" si="117"/>
        <v>27519539.408258259</v>
      </c>
      <c r="Y763" s="21">
        <f t="shared" si="118"/>
        <v>8662081.3209953941</v>
      </c>
      <c r="Z763" s="15">
        <f>IFERROR(INDEX(Cost_Components!$T$2:$T$27,MATCH(E763,Cost_Components!$A$2:$A$27,0)),"")</f>
        <v>0.8</v>
      </c>
      <c r="AA763" s="24">
        <f>IFERROR(INDEX(Cost_Components!$U$2:$U$27,MATCH(E763,Cost_Components!$A$2:$A$27,0)),"")</f>
        <v>2025</v>
      </c>
      <c r="AB763" s="24">
        <f>IFERROR(INDEX(Cost_Components!$V$2:$V$27,MATCH(E763,Cost_Components!$A$2:$A$27,0)),"")</f>
        <v>2050</v>
      </c>
      <c r="AC763" s="24">
        <f>IFERROR(INDEX(Cost_Components!$M$2:$M$27,MATCH(E763,Cost_Components!$A$2:$A$27,0)),"")</f>
        <v>30</v>
      </c>
      <c r="AD763" s="24">
        <f>IFERROR(INDEX(Cost_Components!$N$2:$N$27,MATCH(E763,Cost_Components!$A$2:$A$27,0)),"")</f>
        <v>95</v>
      </c>
      <c r="AE763" s="14" t="str">
        <f>IFERROR(INDEX(Cost_Components!$O$2:$O$27,MATCH(E763,Cost_Components!$A$2:$A$27,0)),"")</f>
        <v>Both</v>
      </c>
      <c r="AF763" s="11">
        <v>520008.05932184902</v>
      </c>
      <c r="AG763" s="11">
        <v>529631.54154831904</v>
      </c>
      <c r="AH763" s="21">
        <f t="shared" si="119"/>
        <v>1</v>
      </c>
    </row>
    <row r="764" spans="1:34" hidden="1">
      <c r="A764" t="s">
        <v>75</v>
      </c>
      <c r="B764" s="18">
        <v>2033</v>
      </c>
      <c r="C764" t="s">
        <v>183</v>
      </c>
      <c r="D764" t="s">
        <v>163</v>
      </c>
      <c r="E764" s="20" t="s">
        <v>265</v>
      </c>
      <c r="F764" s="20" t="s">
        <v>266</v>
      </c>
      <c r="G764" s="20" t="s">
        <v>193</v>
      </c>
      <c r="H764" s="20" t="s">
        <v>192</v>
      </c>
      <c r="I764" s="20" t="s">
        <v>264</v>
      </c>
      <c r="J764" s="15">
        <f>IFERROR(INDEX(Cost_Components!$K$2:$K$27,MATCH(E764,Cost_Components!$A$2:$A$27,0)),"")</f>
        <v>0.5</v>
      </c>
      <c r="K764" s="15">
        <f t="shared" si="110"/>
        <v>0.47961538461538467</v>
      </c>
      <c r="L764" s="15">
        <f>IFERROR(INDEX(Cost_Components!$S$2:$S$27,MATCH(E764,Cost_Components!$A$2:$A$27,0)),"")</f>
        <v>0.31</v>
      </c>
      <c r="M764" s="26">
        <f>IFERROR(INDEX(Cost_Components!$L$2:$L$27,MATCH(E764,Cost_Components!$A$2:$A$27,0)),"")</f>
        <v>1</v>
      </c>
      <c r="N764" s="27">
        <f>IFERROR(INDEX(Cost_Components!$P$2:$P$27,MATCH(E764,Cost_Components!$A$2:$A$27,0)),"")</f>
        <v>282.51283599999999</v>
      </c>
      <c r="O764" s="21">
        <f t="shared" si="111"/>
        <v>266578.1553631915</v>
      </c>
      <c r="P764" s="21">
        <f t="shared" si="112"/>
        <v>272421.37313135847</v>
      </c>
      <c r="Q764" s="21">
        <f t="shared" si="113"/>
        <v>23858385.760209829</v>
      </c>
      <c r="R764" s="21">
        <f t="shared" si="114"/>
        <v>36120674.271949194</v>
      </c>
      <c r="S764" s="21">
        <f t="shared" si="115"/>
        <v>12262288.511739366</v>
      </c>
      <c r="T764" s="14">
        <f>IFERROR(INDEX(Cost_Components!$R$2:$R$27,MATCH(E764,Cost_Components!$A$2:$A$27,0)),"")</f>
        <v>1</v>
      </c>
      <c r="U764" s="24">
        <f>IFERROR(INDEX(Cost_Components!$Q$2:$Q$27,MATCH(E764,Cost_Components!$A$2:$A$27,0)),"")</f>
        <v>2023</v>
      </c>
      <c r="V764" s="28">
        <f>1/(1+Calculation_Assumptions!$B$5)^(B764-Calculation_Assumptions!$B$2)</f>
        <v>0.78940923431393573</v>
      </c>
      <c r="W764" s="21">
        <f t="shared" si="116"/>
        <v>18834030.03493375</v>
      </c>
      <c r="X764" s="21">
        <f t="shared" si="117"/>
        <v>28513993.819922492</v>
      </c>
      <c r="Y764" s="21">
        <f t="shared" si="118"/>
        <v>9679963.7849887423</v>
      </c>
      <c r="Z764" s="15">
        <f>IFERROR(INDEX(Cost_Components!$T$2:$T$27,MATCH(E764,Cost_Components!$A$2:$A$27,0)),"")</f>
        <v>0.8</v>
      </c>
      <c r="AA764" s="24">
        <f>IFERROR(INDEX(Cost_Components!$U$2:$U$27,MATCH(E764,Cost_Components!$A$2:$A$27,0)),"")</f>
        <v>2025</v>
      </c>
      <c r="AB764" s="24">
        <f>IFERROR(INDEX(Cost_Components!$V$2:$V$27,MATCH(E764,Cost_Components!$A$2:$A$27,0)),"")</f>
        <v>2050</v>
      </c>
      <c r="AC764" s="24">
        <f>IFERROR(INDEX(Cost_Components!$M$2:$M$27,MATCH(E764,Cost_Components!$A$2:$A$27,0)),"")</f>
        <v>30</v>
      </c>
      <c r="AD764" s="24">
        <f>IFERROR(INDEX(Cost_Components!$N$2:$N$27,MATCH(E764,Cost_Components!$A$2:$A$27,0)),"")</f>
        <v>95</v>
      </c>
      <c r="AE764" s="14" t="str">
        <f>IFERROR(INDEX(Cost_Components!$O$2:$O$27,MATCH(E764,Cost_Components!$A$2:$A$27,0)),"")</f>
        <v>Both</v>
      </c>
      <c r="AF764" s="11">
        <v>533156.310726383</v>
      </c>
      <c r="AG764" s="11">
        <v>544842.74626271694</v>
      </c>
      <c r="AH764" s="21">
        <f t="shared" si="119"/>
        <v>1</v>
      </c>
    </row>
    <row r="765" spans="1:34" hidden="1">
      <c r="A765" t="s">
        <v>75</v>
      </c>
      <c r="B765" s="18">
        <v>2034</v>
      </c>
      <c r="C765" t="s">
        <v>183</v>
      </c>
      <c r="D765" t="s">
        <v>163</v>
      </c>
      <c r="E765" s="20" t="s">
        <v>265</v>
      </c>
      <c r="F765" s="20" t="s">
        <v>266</v>
      </c>
      <c r="G765" s="20" t="s">
        <v>193</v>
      </c>
      <c r="H765" s="20" t="s">
        <v>192</v>
      </c>
      <c r="I765" s="20" t="s">
        <v>264</v>
      </c>
      <c r="J765" s="15">
        <f>IFERROR(INDEX(Cost_Components!$K$2:$K$27,MATCH(E765,Cost_Components!$A$2:$A$27,0)),"")</f>
        <v>0.5</v>
      </c>
      <c r="K765" s="15">
        <f t="shared" si="110"/>
        <v>0.49846153846153851</v>
      </c>
      <c r="L765" s="15">
        <f>IFERROR(INDEX(Cost_Components!$S$2:$S$27,MATCH(E765,Cost_Components!$A$2:$A$27,0)),"")</f>
        <v>0.31</v>
      </c>
      <c r="M765" s="26">
        <f>IFERROR(INDEX(Cost_Components!$L$2:$L$27,MATCH(E765,Cost_Components!$A$2:$A$27,0)),"")</f>
        <v>1</v>
      </c>
      <c r="N765" s="27">
        <f>IFERROR(INDEX(Cost_Components!$P$2:$P$27,MATCH(E765,Cost_Components!$A$2:$A$27,0)),"")</f>
        <v>282.51283599999999</v>
      </c>
      <c r="O765" s="21">
        <f t="shared" si="111"/>
        <v>273097.55689343449</v>
      </c>
      <c r="P765" s="21">
        <f t="shared" si="112"/>
        <v>280039.99332398502</v>
      </c>
      <c r="Q765" s="21">
        <f t="shared" si="113"/>
        <v>24525616.739287823</v>
      </c>
      <c r="R765" s="21">
        <f t="shared" si="114"/>
        <v>38458084.858544484</v>
      </c>
      <c r="S765" s="21">
        <f t="shared" si="115"/>
        <v>13932468.11925666</v>
      </c>
      <c r="T765" s="14">
        <f>IFERROR(INDEX(Cost_Components!$R$2:$R$27,MATCH(E765,Cost_Components!$A$2:$A$27,0)),"")</f>
        <v>1</v>
      </c>
      <c r="U765" s="24">
        <f>IFERROR(INDEX(Cost_Components!$Q$2:$Q$27,MATCH(E765,Cost_Components!$A$2:$A$27,0)),"")</f>
        <v>2023</v>
      </c>
      <c r="V765" s="28">
        <f>1/(1+Calculation_Assumptions!$B$5)^(B765-Calculation_Assumptions!$B$2)</f>
        <v>0.76641673234362695</v>
      </c>
      <c r="W765" s="21">
        <f t="shared" si="116"/>
        <v>18796843.040037133</v>
      </c>
      <c r="X765" s="21">
        <f t="shared" si="117"/>
        <v>29474919.729479581</v>
      </c>
      <c r="Y765" s="21">
        <f t="shared" si="118"/>
        <v>10678076.689442448</v>
      </c>
      <c r="Z765" s="15">
        <f>IFERROR(INDEX(Cost_Components!$T$2:$T$27,MATCH(E765,Cost_Components!$A$2:$A$27,0)),"")</f>
        <v>0.8</v>
      </c>
      <c r="AA765" s="24">
        <f>IFERROR(INDEX(Cost_Components!$U$2:$U$27,MATCH(E765,Cost_Components!$A$2:$A$27,0)),"")</f>
        <v>2025</v>
      </c>
      <c r="AB765" s="24">
        <f>IFERROR(INDEX(Cost_Components!$V$2:$V$27,MATCH(E765,Cost_Components!$A$2:$A$27,0)),"")</f>
        <v>2050</v>
      </c>
      <c r="AC765" s="24">
        <f>IFERROR(INDEX(Cost_Components!$M$2:$M$27,MATCH(E765,Cost_Components!$A$2:$A$27,0)),"")</f>
        <v>30</v>
      </c>
      <c r="AD765" s="24">
        <f>IFERROR(INDEX(Cost_Components!$N$2:$N$27,MATCH(E765,Cost_Components!$A$2:$A$27,0)),"")</f>
        <v>95</v>
      </c>
      <c r="AE765" s="14" t="str">
        <f>IFERROR(INDEX(Cost_Components!$O$2:$O$27,MATCH(E765,Cost_Components!$A$2:$A$27,0)),"")</f>
        <v>Both</v>
      </c>
      <c r="AF765" s="11">
        <v>546195.11378686898</v>
      </c>
      <c r="AG765" s="11">
        <v>560079.98664797004</v>
      </c>
      <c r="AH765" s="21">
        <f t="shared" si="119"/>
        <v>1</v>
      </c>
    </row>
    <row r="766" spans="1:34" hidden="1">
      <c r="A766" t="s">
        <v>75</v>
      </c>
      <c r="B766" s="18">
        <v>2035</v>
      </c>
      <c r="C766" t="s">
        <v>183</v>
      </c>
      <c r="D766" t="s">
        <v>163</v>
      </c>
      <c r="E766" s="20" t="s">
        <v>265</v>
      </c>
      <c r="F766" s="20" t="s">
        <v>266</v>
      </c>
      <c r="G766" s="20" t="s">
        <v>193</v>
      </c>
      <c r="H766" s="20" t="s">
        <v>192</v>
      </c>
      <c r="I766" s="20" t="s">
        <v>264</v>
      </c>
      <c r="J766" s="15">
        <f>IFERROR(INDEX(Cost_Components!$K$2:$K$27,MATCH(E766,Cost_Components!$A$2:$A$27,0)),"")</f>
        <v>0.5</v>
      </c>
      <c r="K766" s="15">
        <f t="shared" si="110"/>
        <v>0.51730769230769236</v>
      </c>
      <c r="L766" s="15">
        <f>IFERROR(INDEX(Cost_Components!$S$2:$S$27,MATCH(E766,Cost_Components!$A$2:$A$27,0)),"")</f>
        <v>0.31</v>
      </c>
      <c r="M766" s="26">
        <f>IFERROR(INDEX(Cost_Components!$L$2:$L$27,MATCH(E766,Cost_Components!$A$2:$A$27,0)),"")</f>
        <v>1</v>
      </c>
      <c r="N766" s="27">
        <f>IFERROR(INDEX(Cost_Components!$P$2:$P$27,MATCH(E766,Cost_Components!$A$2:$A$27,0)),"")</f>
        <v>282.51283599999999</v>
      </c>
      <c r="O766" s="21">
        <f t="shared" si="111"/>
        <v>279547.54852575948</v>
      </c>
      <c r="P766" s="21">
        <f t="shared" si="112"/>
        <v>287649.78874705499</v>
      </c>
      <c r="Q766" s="21">
        <f t="shared" si="113"/>
        <v>25192074.854056731</v>
      </c>
      <c r="R766" s="21">
        <f t="shared" si="114"/>
        <v>40854773.705002539</v>
      </c>
      <c r="S766" s="21">
        <f t="shared" si="115"/>
        <v>15662698.850945808</v>
      </c>
      <c r="T766" s="14">
        <f>IFERROR(INDEX(Cost_Components!$R$2:$R$27,MATCH(E766,Cost_Components!$A$2:$A$27,0)),"")</f>
        <v>1</v>
      </c>
      <c r="U766" s="24">
        <f>IFERROR(INDEX(Cost_Components!$Q$2:$Q$27,MATCH(E766,Cost_Components!$A$2:$A$27,0)),"")</f>
        <v>2023</v>
      </c>
      <c r="V766" s="28">
        <f>1/(1+Calculation_Assumptions!$B$5)^(B766-Calculation_Assumptions!$B$2)</f>
        <v>0.74409391489672516</v>
      </c>
      <c r="W766" s="21">
        <f t="shared" si="116"/>
        <v>18745269.602526419</v>
      </c>
      <c r="X766" s="21">
        <f t="shared" si="117"/>
        <v>30399788.508375123</v>
      </c>
      <c r="Y766" s="21">
        <f t="shared" si="118"/>
        <v>11654518.905848704</v>
      </c>
      <c r="Z766" s="15">
        <f>IFERROR(INDEX(Cost_Components!$T$2:$T$27,MATCH(E766,Cost_Components!$A$2:$A$27,0)),"")</f>
        <v>0.8</v>
      </c>
      <c r="AA766" s="24">
        <f>IFERROR(INDEX(Cost_Components!$U$2:$U$27,MATCH(E766,Cost_Components!$A$2:$A$27,0)),"")</f>
        <v>2025</v>
      </c>
      <c r="AB766" s="24">
        <f>IFERROR(INDEX(Cost_Components!$V$2:$V$27,MATCH(E766,Cost_Components!$A$2:$A$27,0)),"")</f>
        <v>2050</v>
      </c>
      <c r="AC766" s="24">
        <f>IFERROR(INDEX(Cost_Components!$M$2:$M$27,MATCH(E766,Cost_Components!$A$2:$A$27,0)),"")</f>
        <v>30</v>
      </c>
      <c r="AD766" s="24">
        <f>IFERROR(INDEX(Cost_Components!$N$2:$N$27,MATCH(E766,Cost_Components!$A$2:$A$27,0)),"")</f>
        <v>95</v>
      </c>
      <c r="AE766" s="14" t="str">
        <f>IFERROR(INDEX(Cost_Components!$O$2:$O$27,MATCH(E766,Cost_Components!$A$2:$A$27,0)),"")</f>
        <v>Both</v>
      </c>
      <c r="AF766" s="11">
        <v>559095.09705151897</v>
      </c>
      <c r="AG766" s="11">
        <v>575299.57749410998</v>
      </c>
      <c r="AH766" s="21">
        <f t="shared" si="119"/>
        <v>1</v>
      </c>
    </row>
    <row r="767" spans="1:34" hidden="1">
      <c r="A767" t="s">
        <v>75</v>
      </c>
      <c r="B767" s="18">
        <v>2036</v>
      </c>
      <c r="C767" t="s">
        <v>183</v>
      </c>
      <c r="D767" t="s">
        <v>163</v>
      </c>
      <c r="E767" s="20" t="s">
        <v>265</v>
      </c>
      <c r="F767" s="20" t="s">
        <v>266</v>
      </c>
      <c r="G767" s="20" t="s">
        <v>193</v>
      </c>
      <c r="H767" s="20" t="s">
        <v>192</v>
      </c>
      <c r="I767" s="20" t="s">
        <v>264</v>
      </c>
      <c r="J767" s="15">
        <f>IFERROR(INDEX(Cost_Components!$K$2:$K$27,MATCH(E767,Cost_Components!$A$2:$A$27,0)),"")</f>
        <v>0.5</v>
      </c>
      <c r="K767" s="15">
        <f t="shared" si="110"/>
        <v>0.5361538461538462</v>
      </c>
      <c r="L767" s="15">
        <f>IFERROR(INDEX(Cost_Components!$S$2:$S$27,MATCH(E767,Cost_Components!$A$2:$A$27,0)),"")</f>
        <v>0.31</v>
      </c>
      <c r="M767" s="26">
        <f>IFERROR(INDEX(Cost_Components!$L$2:$L$27,MATCH(E767,Cost_Components!$A$2:$A$27,0)),"")</f>
        <v>1</v>
      </c>
      <c r="N767" s="27">
        <f>IFERROR(INDEX(Cost_Components!$P$2:$P$27,MATCH(E767,Cost_Components!$A$2:$A$27,0)),"")</f>
        <v>282.51283599999999</v>
      </c>
      <c r="O767" s="21">
        <f t="shared" si="111"/>
        <v>285929.429017352</v>
      </c>
      <c r="P767" s="21">
        <f t="shared" si="112"/>
        <v>295245.540540702</v>
      </c>
      <c r="Q767" s="21">
        <f t="shared" si="113"/>
        <v>25857303.042097077</v>
      </c>
      <c r="R767" s="21">
        <f t="shared" si="114"/>
        <v>43309828.861249469</v>
      </c>
      <c r="S767" s="21">
        <f t="shared" si="115"/>
        <v>17452525.819152392</v>
      </c>
      <c r="T767" s="14">
        <f>IFERROR(INDEX(Cost_Components!$R$2:$R$27,MATCH(E767,Cost_Components!$A$2:$A$27,0)),"")</f>
        <v>1</v>
      </c>
      <c r="U767" s="24">
        <f>IFERROR(INDEX(Cost_Components!$Q$2:$Q$27,MATCH(E767,Cost_Components!$A$2:$A$27,0)),"")</f>
        <v>2023</v>
      </c>
      <c r="V767" s="28">
        <f>1/(1+Calculation_Assumptions!$B$5)^(B767-Calculation_Assumptions!$B$2)</f>
        <v>0.72242127659876232</v>
      </c>
      <c r="W767" s="21">
        <f t="shared" si="116"/>
        <v>18679865.873072829</v>
      </c>
      <c r="X767" s="21">
        <f t="shared" si="117"/>
        <v>31287941.855217762</v>
      </c>
      <c r="Y767" s="21">
        <f t="shared" si="118"/>
        <v>12608075.982144931</v>
      </c>
      <c r="Z767" s="15">
        <f>IFERROR(INDEX(Cost_Components!$T$2:$T$27,MATCH(E767,Cost_Components!$A$2:$A$27,0)),"")</f>
        <v>0.8</v>
      </c>
      <c r="AA767" s="24">
        <f>IFERROR(INDEX(Cost_Components!$U$2:$U$27,MATCH(E767,Cost_Components!$A$2:$A$27,0)),"")</f>
        <v>2025</v>
      </c>
      <c r="AB767" s="24">
        <f>IFERROR(INDEX(Cost_Components!$V$2:$V$27,MATCH(E767,Cost_Components!$A$2:$A$27,0)),"")</f>
        <v>2050</v>
      </c>
      <c r="AC767" s="24">
        <f>IFERROR(INDEX(Cost_Components!$M$2:$M$27,MATCH(E767,Cost_Components!$A$2:$A$27,0)),"")</f>
        <v>30</v>
      </c>
      <c r="AD767" s="24">
        <f>IFERROR(INDEX(Cost_Components!$N$2:$N$27,MATCH(E767,Cost_Components!$A$2:$A$27,0)),"")</f>
        <v>95</v>
      </c>
      <c r="AE767" s="14" t="str">
        <f>IFERROR(INDEX(Cost_Components!$O$2:$O$27,MATCH(E767,Cost_Components!$A$2:$A$27,0)),"")</f>
        <v>Both</v>
      </c>
      <c r="AF767" s="11">
        <v>571858.858034704</v>
      </c>
      <c r="AG767" s="11">
        <v>590491.081081404</v>
      </c>
      <c r="AH767" s="21">
        <f t="shared" si="119"/>
        <v>1</v>
      </c>
    </row>
    <row r="768" spans="1:34" hidden="1">
      <c r="A768" t="s">
        <v>75</v>
      </c>
      <c r="B768" s="18">
        <v>2037</v>
      </c>
      <c r="C768" t="s">
        <v>183</v>
      </c>
      <c r="D768" t="s">
        <v>163</v>
      </c>
      <c r="E768" s="20" t="s">
        <v>265</v>
      </c>
      <c r="F768" s="20" t="s">
        <v>266</v>
      </c>
      <c r="G768" s="20" t="s">
        <v>193</v>
      </c>
      <c r="H768" s="20" t="s">
        <v>192</v>
      </c>
      <c r="I768" s="20" t="s">
        <v>264</v>
      </c>
      <c r="J768" s="15">
        <f>IFERROR(INDEX(Cost_Components!$K$2:$K$27,MATCH(E768,Cost_Components!$A$2:$A$27,0)),"")</f>
        <v>0.5</v>
      </c>
      <c r="K768" s="15">
        <f t="shared" si="110"/>
        <v>0.55500000000000005</v>
      </c>
      <c r="L768" s="15">
        <f>IFERROR(INDEX(Cost_Components!$S$2:$S$27,MATCH(E768,Cost_Components!$A$2:$A$27,0)),"")</f>
        <v>0.31</v>
      </c>
      <c r="M768" s="26">
        <f>IFERROR(INDEX(Cost_Components!$L$2:$L$27,MATCH(E768,Cost_Components!$A$2:$A$27,0)),"")</f>
        <v>1</v>
      </c>
      <c r="N768" s="27">
        <f>IFERROR(INDEX(Cost_Components!$P$2:$P$27,MATCH(E768,Cost_Components!$A$2:$A$27,0)),"")</f>
        <v>282.51283599999999</v>
      </c>
      <c r="O768" s="21">
        <f t="shared" si="111"/>
        <v>292255.45981589949</v>
      </c>
      <c r="P768" s="21">
        <f t="shared" si="112"/>
        <v>302834.04862484051</v>
      </c>
      <c r="Q768" s="21">
        <f t="shared" si="113"/>
        <v>26521896.833453331</v>
      </c>
      <c r="R768" s="21">
        <f t="shared" si="114"/>
        <v>45824084.927935965</v>
      </c>
      <c r="S768" s="21">
        <f t="shared" si="115"/>
        <v>19302188.094482634</v>
      </c>
      <c r="T768" s="14">
        <f>IFERROR(INDEX(Cost_Components!$R$2:$R$27,MATCH(E768,Cost_Components!$A$2:$A$27,0)),"")</f>
        <v>1</v>
      </c>
      <c r="U768" s="24">
        <f>IFERROR(INDEX(Cost_Components!$Q$2:$Q$27,MATCH(E768,Cost_Components!$A$2:$A$27,0)),"")</f>
        <v>2023</v>
      </c>
      <c r="V768" s="28">
        <f>1/(1+Calculation_Assumptions!$B$5)^(B768-Calculation_Assumptions!$B$2)</f>
        <v>0.70137988019297326</v>
      </c>
      <c r="W768" s="21">
        <f t="shared" si="116"/>
        <v>18601924.823537894</v>
      </c>
      <c r="X768" s="21">
        <f t="shared" si="117"/>
        <v>32140091.196708359</v>
      </c>
      <c r="Y768" s="21">
        <f t="shared" si="118"/>
        <v>13538166.373170465</v>
      </c>
      <c r="Z768" s="15">
        <f>IFERROR(INDEX(Cost_Components!$T$2:$T$27,MATCH(E768,Cost_Components!$A$2:$A$27,0)),"")</f>
        <v>0.8</v>
      </c>
      <c r="AA768" s="24">
        <f>IFERROR(INDEX(Cost_Components!$U$2:$U$27,MATCH(E768,Cost_Components!$A$2:$A$27,0)),"")</f>
        <v>2025</v>
      </c>
      <c r="AB768" s="24">
        <f>IFERROR(INDEX(Cost_Components!$V$2:$V$27,MATCH(E768,Cost_Components!$A$2:$A$27,0)),"")</f>
        <v>2050</v>
      </c>
      <c r="AC768" s="24">
        <f>IFERROR(INDEX(Cost_Components!$M$2:$M$27,MATCH(E768,Cost_Components!$A$2:$A$27,0)),"")</f>
        <v>30</v>
      </c>
      <c r="AD768" s="24">
        <f>IFERROR(INDEX(Cost_Components!$N$2:$N$27,MATCH(E768,Cost_Components!$A$2:$A$27,0)),"")</f>
        <v>95</v>
      </c>
      <c r="AE768" s="14" t="str">
        <f>IFERROR(INDEX(Cost_Components!$O$2:$O$27,MATCH(E768,Cost_Components!$A$2:$A$27,0)),"")</f>
        <v>Both</v>
      </c>
      <c r="AF768" s="11">
        <v>584510.91963179898</v>
      </c>
      <c r="AG768" s="11">
        <v>605668.09724968101</v>
      </c>
      <c r="AH768" s="21">
        <f t="shared" si="119"/>
        <v>1</v>
      </c>
    </row>
    <row r="769" spans="1:34" hidden="1">
      <c r="A769" t="s">
        <v>75</v>
      </c>
      <c r="B769" s="18">
        <v>2038</v>
      </c>
      <c r="C769" t="s">
        <v>183</v>
      </c>
      <c r="D769" t="s">
        <v>163</v>
      </c>
      <c r="E769" s="20" t="s">
        <v>265</v>
      </c>
      <c r="F769" s="20" t="s">
        <v>266</v>
      </c>
      <c r="G769" s="20" t="s">
        <v>193</v>
      </c>
      <c r="H769" s="20" t="s">
        <v>192</v>
      </c>
      <c r="I769" s="20" t="s">
        <v>264</v>
      </c>
      <c r="J769" s="15">
        <f>IFERROR(INDEX(Cost_Components!$K$2:$K$27,MATCH(E769,Cost_Components!$A$2:$A$27,0)),"")</f>
        <v>0.5</v>
      </c>
      <c r="K769" s="15">
        <f t="shared" si="110"/>
        <v>0.57384615384615389</v>
      </c>
      <c r="L769" s="15">
        <f>IFERROR(INDEX(Cost_Components!$S$2:$S$27,MATCH(E769,Cost_Components!$A$2:$A$27,0)),"")</f>
        <v>0.31</v>
      </c>
      <c r="M769" s="26">
        <f>IFERROR(INDEX(Cost_Components!$L$2:$L$27,MATCH(E769,Cost_Components!$A$2:$A$27,0)),"")</f>
        <v>1</v>
      </c>
      <c r="N769" s="27">
        <f>IFERROR(INDEX(Cost_Components!$P$2:$P$27,MATCH(E769,Cost_Components!$A$2:$A$27,0)),"")</f>
        <v>282.51283599999999</v>
      </c>
      <c r="O769" s="21">
        <f t="shared" si="111"/>
        <v>298529.36697958951</v>
      </c>
      <c r="P769" s="21">
        <f t="shared" si="112"/>
        <v>310413.93621875747</v>
      </c>
      <c r="Q769" s="21">
        <f t="shared" si="113"/>
        <v>27185735.651076127</v>
      </c>
      <c r="R769" s="21">
        <f t="shared" si="114"/>
        <v>48397253.89125976</v>
      </c>
      <c r="S769" s="21">
        <f t="shared" si="115"/>
        <v>21211518.240183633</v>
      </c>
      <c r="T769" s="14">
        <f>IFERROR(INDEX(Cost_Components!$R$2:$R$27,MATCH(E769,Cost_Components!$A$2:$A$27,0)),"")</f>
        <v>1</v>
      </c>
      <c r="U769" s="24">
        <f>IFERROR(INDEX(Cost_Components!$Q$2:$Q$27,MATCH(E769,Cost_Components!$A$2:$A$27,0)),"")</f>
        <v>2023</v>
      </c>
      <c r="V769" s="28">
        <f>1/(1+Calculation_Assumptions!$B$5)^(B769-Calculation_Assumptions!$B$2)</f>
        <v>0.68095133999317792</v>
      </c>
      <c r="W769" s="21">
        <f t="shared" si="116"/>
        <v>18512163.120300598</v>
      </c>
      <c r="X769" s="21">
        <f t="shared" si="117"/>
        <v>32956174.889243379</v>
      </c>
      <c r="Y769" s="21">
        <f t="shared" si="118"/>
        <v>14444011.768942781</v>
      </c>
      <c r="Z769" s="15">
        <f>IFERROR(INDEX(Cost_Components!$T$2:$T$27,MATCH(E769,Cost_Components!$A$2:$A$27,0)),"")</f>
        <v>0.8</v>
      </c>
      <c r="AA769" s="24">
        <f>IFERROR(INDEX(Cost_Components!$U$2:$U$27,MATCH(E769,Cost_Components!$A$2:$A$27,0)),"")</f>
        <v>2025</v>
      </c>
      <c r="AB769" s="24">
        <f>IFERROR(INDEX(Cost_Components!$V$2:$V$27,MATCH(E769,Cost_Components!$A$2:$A$27,0)),"")</f>
        <v>2050</v>
      </c>
      <c r="AC769" s="24">
        <f>IFERROR(INDEX(Cost_Components!$M$2:$M$27,MATCH(E769,Cost_Components!$A$2:$A$27,0)),"")</f>
        <v>30</v>
      </c>
      <c r="AD769" s="24">
        <f>IFERROR(INDEX(Cost_Components!$N$2:$N$27,MATCH(E769,Cost_Components!$A$2:$A$27,0)),"")</f>
        <v>95</v>
      </c>
      <c r="AE769" s="14" t="str">
        <f>IFERROR(INDEX(Cost_Components!$O$2:$O$27,MATCH(E769,Cost_Components!$A$2:$A$27,0)),"")</f>
        <v>Both</v>
      </c>
      <c r="AF769" s="11">
        <v>597058.73395917902</v>
      </c>
      <c r="AG769" s="11">
        <v>620827.87243751495</v>
      </c>
      <c r="AH769" s="21">
        <f t="shared" si="119"/>
        <v>1</v>
      </c>
    </row>
    <row r="770" spans="1:34" hidden="1">
      <c r="A770" t="s">
        <v>75</v>
      </c>
      <c r="B770" s="18">
        <v>2039</v>
      </c>
      <c r="C770" t="s">
        <v>183</v>
      </c>
      <c r="D770" t="s">
        <v>163</v>
      </c>
      <c r="E770" s="20" t="s">
        <v>265</v>
      </c>
      <c r="F770" s="20" t="s">
        <v>266</v>
      </c>
      <c r="G770" s="20" t="s">
        <v>193</v>
      </c>
      <c r="H770" s="20" t="s">
        <v>192</v>
      </c>
      <c r="I770" s="20" t="s">
        <v>264</v>
      </c>
      <c r="J770" s="15">
        <f>IFERROR(INDEX(Cost_Components!$K$2:$K$27,MATCH(E770,Cost_Components!$A$2:$A$27,0)),"")</f>
        <v>0.5</v>
      </c>
      <c r="K770" s="15">
        <f t="shared" ref="K770:K833" si="120">IF(OR(L770="",Z770="",AA770="",AB770=""),"",IF(B770&lt;AA770,L770,IF(B770&gt;AB770,Z770,L770+(Z770-L770)*MIN(MAX((B770-AA770+1)/MAX(AB770-AA770+1,1),0),1))))</f>
        <v>0.59269230769230763</v>
      </c>
      <c r="L770" s="15">
        <f>IFERROR(INDEX(Cost_Components!$S$2:$S$27,MATCH(E770,Cost_Components!$A$2:$A$27,0)),"")</f>
        <v>0.31</v>
      </c>
      <c r="M770" s="26">
        <f>IFERROR(INDEX(Cost_Components!$L$2:$L$27,MATCH(E770,Cost_Components!$A$2:$A$27,0)),"")</f>
        <v>1</v>
      </c>
      <c r="N770" s="27">
        <f>IFERROR(INDEX(Cost_Components!$P$2:$P$27,MATCH(E770,Cost_Components!$A$2:$A$27,0)),"")</f>
        <v>282.51283599999999</v>
      </c>
      <c r="O770" s="21">
        <f t="shared" ref="O770:O833" si="121">AF770*J770</f>
        <v>304743.3251406505</v>
      </c>
      <c r="P770" s="21">
        <f t="shared" ref="P770:P833" si="122">AG770*J770</f>
        <v>317971.21847883897</v>
      </c>
      <c r="Q770" s="21">
        <f t="shared" ref="Q770:Q833" si="123">P770*L770*M770*N770</f>
        <v>27847594.716638044</v>
      </c>
      <c r="R770" s="21">
        <f t="shared" ref="R770:R833" si="124">O770*K770*M770*N770</f>
        <v>51027192.884181798</v>
      </c>
      <c r="S770" s="21">
        <f t="shared" ref="S770:S833" si="125">R770-Q770</f>
        <v>23179598.167543754</v>
      </c>
      <c r="T770" s="14">
        <f>IFERROR(INDEX(Cost_Components!$R$2:$R$27,MATCH(E770,Cost_Components!$A$2:$A$27,0)),"")</f>
        <v>1</v>
      </c>
      <c r="U770" s="24">
        <f>IFERROR(INDEX(Cost_Components!$Q$2:$Q$27,MATCH(E770,Cost_Components!$A$2:$A$27,0)),"")</f>
        <v>2023</v>
      </c>
      <c r="V770" s="28">
        <f>1/(1+Calculation_Assumptions!$B$5)^(B770-Calculation_Assumptions!$B$2)</f>
        <v>0.66111780581861923</v>
      </c>
      <c r="W770" s="21">
        <f t="shared" ref="W770:W833" si="126">Q770*V770</f>
        <v>18410540.716389917</v>
      </c>
      <c r="X770" s="21">
        <f t="shared" ref="X770:X833" si="127">R770*V770</f>
        <v>33734985.79667373</v>
      </c>
      <c r="Y770" s="21">
        <f t="shared" ref="Y770:Y833" si="128">S770*V770</f>
        <v>15324445.080283813</v>
      </c>
      <c r="Z770" s="15">
        <f>IFERROR(INDEX(Cost_Components!$T$2:$T$27,MATCH(E770,Cost_Components!$A$2:$A$27,0)),"")</f>
        <v>0.8</v>
      </c>
      <c r="AA770" s="24">
        <f>IFERROR(INDEX(Cost_Components!$U$2:$U$27,MATCH(E770,Cost_Components!$A$2:$A$27,0)),"")</f>
        <v>2025</v>
      </c>
      <c r="AB770" s="24">
        <f>IFERROR(INDEX(Cost_Components!$V$2:$V$27,MATCH(E770,Cost_Components!$A$2:$A$27,0)),"")</f>
        <v>2050</v>
      </c>
      <c r="AC770" s="24">
        <f>IFERROR(INDEX(Cost_Components!$M$2:$M$27,MATCH(E770,Cost_Components!$A$2:$A$27,0)),"")</f>
        <v>30</v>
      </c>
      <c r="AD770" s="24">
        <f>IFERROR(INDEX(Cost_Components!$N$2:$N$27,MATCH(E770,Cost_Components!$A$2:$A$27,0)),"")</f>
        <v>95</v>
      </c>
      <c r="AE770" s="14" t="str">
        <f>IFERROR(INDEX(Cost_Components!$O$2:$O$27,MATCH(E770,Cost_Components!$A$2:$A$27,0)),"")</f>
        <v>Both</v>
      </c>
      <c r="AF770" s="11">
        <v>609486.650281301</v>
      </c>
      <c r="AG770" s="11">
        <v>635942.43695767794</v>
      </c>
      <c r="AH770" s="21">
        <f t="shared" ref="AH770:AH833" si="129">IF(H770="shared-count-once",COUNTIFS($A$2:$A$1353,A770,$B$2:$B$1353,B770,$E$2:$E$1353,E770),1)</f>
        <v>1</v>
      </c>
    </row>
    <row r="771" spans="1:34" hidden="1">
      <c r="A771" t="s">
        <v>75</v>
      </c>
      <c r="B771" s="18">
        <v>2040</v>
      </c>
      <c r="C771" t="s">
        <v>183</v>
      </c>
      <c r="D771" t="s">
        <v>163</v>
      </c>
      <c r="E771" s="20" t="s">
        <v>265</v>
      </c>
      <c r="F771" s="20" t="s">
        <v>266</v>
      </c>
      <c r="G771" s="20" t="s">
        <v>193</v>
      </c>
      <c r="H771" s="20" t="s">
        <v>192</v>
      </c>
      <c r="I771" s="20" t="s">
        <v>264</v>
      </c>
      <c r="J771" s="15">
        <f>IFERROR(INDEX(Cost_Components!$K$2:$K$27,MATCH(E771,Cost_Components!$A$2:$A$27,0)),"")</f>
        <v>0.5</v>
      </c>
      <c r="K771" s="15">
        <f t="shared" si="120"/>
        <v>0.61153846153846159</v>
      </c>
      <c r="L771" s="15">
        <f>IFERROR(INDEX(Cost_Components!$S$2:$S$27,MATCH(E771,Cost_Components!$A$2:$A$27,0)),"")</f>
        <v>0.31</v>
      </c>
      <c r="M771" s="26">
        <f>IFERROR(INDEX(Cost_Components!$L$2:$L$27,MATCH(E771,Cost_Components!$A$2:$A$27,0)),"")</f>
        <v>1</v>
      </c>
      <c r="N771" s="27">
        <f>IFERROR(INDEX(Cost_Components!$P$2:$P$27,MATCH(E771,Cost_Components!$A$2:$A$27,0)),"")</f>
        <v>282.51283599999999</v>
      </c>
      <c r="O771" s="21">
        <f t="shared" si="121"/>
        <v>310895.61159724498</v>
      </c>
      <c r="P771" s="21">
        <f t="shared" si="122"/>
        <v>325498.07812450948</v>
      </c>
      <c r="Q771" s="21">
        <f t="shared" si="123"/>
        <v>28506789.400686465</v>
      </c>
      <c r="R771" s="21">
        <f t="shared" si="124"/>
        <v>53712646.723978676</v>
      </c>
      <c r="S771" s="21">
        <f t="shared" si="125"/>
        <v>25205857.323292211</v>
      </c>
      <c r="T771" s="14">
        <f>IFERROR(INDEX(Cost_Components!$R$2:$R$27,MATCH(E771,Cost_Components!$A$2:$A$27,0)),"")</f>
        <v>1</v>
      </c>
      <c r="U771" s="24">
        <f>IFERROR(INDEX(Cost_Components!$Q$2:$Q$27,MATCH(E771,Cost_Components!$A$2:$A$27,0)),"")</f>
        <v>2023</v>
      </c>
      <c r="V771" s="28">
        <f>1/(1+Calculation_Assumptions!$B$5)^(B771-Calculation_Assumptions!$B$2)</f>
        <v>0.64186194739671765</v>
      </c>
      <c r="W771" s="21">
        <f t="shared" si="126"/>
        <v>18297423.358752724</v>
      </c>
      <c r="X771" s="21">
        <f t="shared" si="127"/>
        <v>34476104.026084878</v>
      </c>
      <c r="Y771" s="21">
        <f t="shared" si="128"/>
        <v>16178680.667332156</v>
      </c>
      <c r="Z771" s="15">
        <f>IFERROR(INDEX(Cost_Components!$T$2:$T$27,MATCH(E771,Cost_Components!$A$2:$A$27,0)),"")</f>
        <v>0.8</v>
      </c>
      <c r="AA771" s="24">
        <f>IFERROR(INDEX(Cost_Components!$U$2:$U$27,MATCH(E771,Cost_Components!$A$2:$A$27,0)),"")</f>
        <v>2025</v>
      </c>
      <c r="AB771" s="24">
        <f>IFERROR(INDEX(Cost_Components!$V$2:$V$27,MATCH(E771,Cost_Components!$A$2:$A$27,0)),"")</f>
        <v>2050</v>
      </c>
      <c r="AC771" s="24">
        <f>IFERROR(INDEX(Cost_Components!$M$2:$M$27,MATCH(E771,Cost_Components!$A$2:$A$27,0)),"")</f>
        <v>30</v>
      </c>
      <c r="AD771" s="24">
        <f>IFERROR(INDEX(Cost_Components!$N$2:$N$27,MATCH(E771,Cost_Components!$A$2:$A$27,0)),"")</f>
        <v>95</v>
      </c>
      <c r="AE771" s="14" t="str">
        <f>IFERROR(INDEX(Cost_Components!$O$2:$O$27,MATCH(E771,Cost_Components!$A$2:$A$27,0)),"")</f>
        <v>Both</v>
      </c>
      <c r="AF771" s="11">
        <v>621791.22319448995</v>
      </c>
      <c r="AG771" s="11">
        <v>650996.15624901897</v>
      </c>
      <c r="AH771" s="21">
        <f t="shared" si="129"/>
        <v>1</v>
      </c>
    </row>
    <row r="772" spans="1:34" hidden="1">
      <c r="A772" t="s">
        <v>75</v>
      </c>
      <c r="B772" s="18">
        <v>2041</v>
      </c>
      <c r="C772" t="s">
        <v>183</v>
      </c>
      <c r="D772" t="s">
        <v>163</v>
      </c>
      <c r="E772" s="20" t="s">
        <v>265</v>
      </c>
      <c r="F772" s="20" t="s">
        <v>266</v>
      </c>
      <c r="G772" s="20" t="s">
        <v>193</v>
      </c>
      <c r="H772" s="20" t="s">
        <v>192</v>
      </c>
      <c r="I772" s="20" t="s">
        <v>264</v>
      </c>
      <c r="J772" s="15">
        <f>IFERROR(INDEX(Cost_Components!$K$2:$K$27,MATCH(E772,Cost_Components!$A$2:$A$27,0)),"")</f>
        <v>0.5</v>
      </c>
      <c r="K772" s="15">
        <f t="shared" si="120"/>
        <v>0.63038461538461543</v>
      </c>
      <c r="L772" s="15">
        <f>IFERROR(INDEX(Cost_Components!$S$2:$S$27,MATCH(E772,Cost_Components!$A$2:$A$27,0)),"")</f>
        <v>0.31</v>
      </c>
      <c r="M772" s="26">
        <f>IFERROR(INDEX(Cost_Components!$L$2:$L$27,MATCH(E772,Cost_Components!$A$2:$A$27,0)),"")</f>
        <v>1</v>
      </c>
      <c r="N772" s="27">
        <f>IFERROR(INDEX(Cost_Components!$P$2:$P$27,MATCH(E772,Cost_Components!$A$2:$A$27,0)),"")</f>
        <v>282.51283599999999</v>
      </c>
      <c r="O772" s="21">
        <f t="shared" si="121"/>
        <v>316990.78393945948</v>
      </c>
      <c r="P772" s="21">
        <f t="shared" si="122"/>
        <v>332993.11127286247</v>
      </c>
      <c r="Q772" s="21">
        <f t="shared" si="123"/>
        <v>29163196.752589583</v>
      </c>
      <c r="R772" s="21">
        <f t="shared" si="124"/>
        <v>56453442.007487431</v>
      </c>
      <c r="S772" s="21">
        <f t="shared" si="125"/>
        <v>27290245.254897848</v>
      </c>
      <c r="T772" s="14">
        <f>IFERROR(INDEX(Cost_Components!$R$2:$R$27,MATCH(E772,Cost_Components!$A$2:$A$27,0)),"")</f>
        <v>1</v>
      </c>
      <c r="U772" s="24">
        <f>IFERROR(INDEX(Cost_Components!$Q$2:$Q$27,MATCH(E772,Cost_Components!$A$2:$A$27,0)),"")</f>
        <v>2023</v>
      </c>
      <c r="V772" s="28">
        <f>1/(1+Calculation_Assumptions!$B$5)^(B772-Calculation_Assumptions!$B$2)</f>
        <v>0.62316693922011435</v>
      </c>
      <c r="W772" s="21">
        <f t="shared" si="126"/>
        <v>18173540.058185227</v>
      </c>
      <c r="X772" s="21">
        <f t="shared" si="127"/>
        <v>35179918.664246172</v>
      </c>
      <c r="Y772" s="21">
        <f t="shared" si="128"/>
        <v>17006378.606060941</v>
      </c>
      <c r="Z772" s="15">
        <f>IFERROR(INDEX(Cost_Components!$T$2:$T$27,MATCH(E772,Cost_Components!$A$2:$A$27,0)),"")</f>
        <v>0.8</v>
      </c>
      <c r="AA772" s="24">
        <f>IFERROR(INDEX(Cost_Components!$U$2:$U$27,MATCH(E772,Cost_Components!$A$2:$A$27,0)),"")</f>
        <v>2025</v>
      </c>
      <c r="AB772" s="24">
        <f>IFERROR(INDEX(Cost_Components!$V$2:$V$27,MATCH(E772,Cost_Components!$A$2:$A$27,0)),"")</f>
        <v>2050</v>
      </c>
      <c r="AC772" s="24">
        <f>IFERROR(INDEX(Cost_Components!$M$2:$M$27,MATCH(E772,Cost_Components!$A$2:$A$27,0)),"")</f>
        <v>30</v>
      </c>
      <c r="AD772" s="24">
        <f>IFERROR(INDEX(Cost_Components!$N$2:$N$27,MATCH(E772,Cost_Components!$A$2:$A$27,0)),"")</f>
        <v>95</v>
      </c>
      <c r="AE772" s="14" t="str">
        <f>IFERROR(INDEX(Cost_Components!$O$2:$O$27,MATCH(E772,Cost_Components!$A$2:$A$27,0)),"")</f>
        <v>Both</v>
      </c>
      <c r="AF772" s="11">
        <v>633981.56787891896</v>
      </c>
      <c r="AG772" s="11">
        <v>665986.22254572494</v>
      </c>
      <c r="AH772" s="21">
        <f t="shared" si="129"/>
        <v>1</v>
      </c>
    </row>
    <row r="773" spans="1:34" hidden="1">
      <c r="A773" t="s">
        <v>75</v>
      </c>
      <c r="B773" s="18">
        <v>2042</v>
      </c>
      <c r="C773" t="s">
        <v>183</v>
      </c>
      <c r="D773" t="s">
        <v>163</v>
      </c>
      <c r="E773" s="20" t="s">
        <v>265</v>
      </c>
      <c r="F773" s="20" t="s">
        <v>266</v>
      </c>
      <c r="G773" s="20" t="s">
        <v>193</v>
      </c>
      <c r="H773" s="20" t="s">
        <v>192</v>
      </c>
      <c r="I773" s="20" t="s">
        <v>264</v>
      </c>
      <c r="J773" s="15">
        <f>IFERROR(INDEX(Cost_Components!$K$2:$K$27,MATCH(E773,Cost_Components!$A$2:$A$27,0)),"")</f>
        <v>0.5</v>
      </c>
      <c r="K773" s="15">
        <f t="shared" si="120"/>
        <v>0.64923076923076928</v>
      </c>
      <c r="L773" s="15">
        <f>IFERROR(INDEX(Cost_Components!$S$2:$S$27,MATCH(E773,Cost_Components!$A$2:$A$27,0)),"")</f>
        <v>0.31</v>
      </c>
      <c r="M773" s="26">
        <f>IFERROR(INDEX(Cost_Components!$L$2:$L$27,MATCH(E773,Cost_Components!$A$2:$A$27,0)),"")</f>
        <v>1</v>
      </c>
      <c r="N773" s="27">
        <f>IFERROR(INDEX(Cost_Components!$P$2:$P$27,MATCH(E773,Cost_Components!$A$2:$A$27,0)),"")</f>
        <v>282.51283599999999</v>
      </c>
      <c r="O773" s="21">
        <f t="shared" si="121"/>
        <v>323027.76712938253</v>
      </c>
      <c r="P773" s="21">
        <f t="shared" si="122"/>
        <v>340448.21489986451</v>
      </c>
      <c r="Q773" s="21">
        <f t="shared" si="123"/>
        <v>29816107.117774434</v>
      </c>
      <c r="R773" s="21">
        <f t="shared" si="124"/>
        <v>59248469.280852467</v>
      </c>
      <c r="S773" s="21">
        <f t="shared" si="125"/>
        <v>29432362.163078032</v>
      </c>
      <c r="T773" s="14">
        <f>IFERROR(INDEX(Cost_Components!$R$2:$R$27,MATCH(E773,Cost_Components!$A$2:$A$27,0)),"")</f>
        <v>1</v>
      </c>
      <c r="U773" s="24">
        <f>IFERROR(INDEX(Cost_Components!$Q$2:$Q$27,MATCH(E773,Cost_Components!$A$2:$A$27,0)),"")</f>
        <v>2023</v>
      </c>
      <c r="V773" s="28">
        <f>1/(1+Calculation_Assumptions!$B$5)^(B773-Calculation_Assumptions!$B$2)</f>
        <v>0.60501644584477121</v>
      </c>
      <c r="W773" s="21">
        <f t="shared" si="126"/>
        <v>18039235.157322872</v>
      </c>
      <c r="X773" s="21">
        <f t="shared" si="127"/>
        <v>35846298.306044467</v>
      </c>
      <c r="Y773" s="21">
        <f t="shared" si="128"/>
        <v>17807063.148721594</v>
      </c>
      <c r="Z773" s="15">
        <f>IFERROR(INDEX(Cost_Components!$T$2:$T$27,MATCH(E773,Cost_Components!$A$2:$A$27,0)),"")</f>
        <v>0.8</v>
      </c>
      <c r="AA773" s="24">
        <f>IFERROR(INDEX(Cost_Components!$U$2:$U$27,MATCH(E773,Cost_Components!$A$2:$A$27,0)),"")</f>
        <v>2025</v>
      </c>
      <c r="AB773" s="24">
        <f>IFERROR(INDEX(Cost_Components!$V$2:$V$27,MATCH(E773,Cost_Components!$A$2:$A$27,0)),"")</f>
        <v>2050</v>
      </c>
      <c r="AC773" s="24">
        <f>IFERROR(INDEX(Cost_Components!$M$2:$M$27,MATCH(E773,Cost_Components!$A$2:$A$27,0)),"")</f>
        <v>30</v>
      </c>
      <c r="AD773" s="24">
        <f>IFERROR(INDEX(Cost_Components!$N$2:$N$27,MATCH(E773,Cost_Components!$A$2:$A$27,0)),"")</f>
        <v>95</v>
      </c>
      <c r="AE773" s="14" t="str">
        <f>IFERROR(INDEX(Cost_Components!$O$2:$O$27,MATCH(E773,Cost_Components!$A$2:$A$27,0)),"")</f>
        <v>Both</v>
      </c>
      <c r="AF773" s="11">
        <v>646055.53425876505</v>
      </c>
      <c r="AG773" s="11">
        <v>680896.42979972903</v>
      </c>
      <c r="AH773" s="21">
        <f t="shared" si="129"/>
        <v>1</v>
      </c>
    </row>
    <row r="774" spans="1:34" hidden="1">
      <c r="A774" t="s">
        <v>75</v>
      </c>
      <c r="B774" s="18">
        <v>2043</v>
      </c>
      <c r="C774" t="s">
        <v>183</v>
      </c>
      <c r="D774" t="s">
        <v>163</v>
      </c>
      <c r="E774" s="20" t="s">
        <v>265</v>
      </c>
      <c r="F774" s="20" t="s">
        <v>266</v>
      </c>
      <c r="G774" s="20" t="s">
        <v>193</v>
      </c>
      <c r="H774" s="20" t="s">
        <v>192</v>
      </c>
      <c r="I774" s="20" t="s">
        <v>264</v>
      </c>
      <c r="J774" s="15">
        <f>IFERROR(INDEX(Cost_Components!$K$2:$K$27,MATCH(E774,Cost_Components!$A$2:$A$27,0)),"")</f>
        <v>0.5</v>
      </c>
      <c r="K774" s="15">
        <f t="shared" si="120"/>
        <v>0.66807692307692301</v>
      </c>
      <c r="L774" s="15">
        <f>IFERROR(INDEX(Cost_Components!$S$2:$S$27,MATCH(E774,Cost_Components!$A$2:$A$27,0)),"")</f>
        <v>0.31</v>
      </c>
      <c r="M774" s="26">
        <f>IFERROR(INDEX(Cost_Components!$L$2:$L$27,MATCH(E774,Cost_Components!$A$2:$A$27,0)),"")</f>
        <v>1</v>
      </c>
      <c r="N774" s="27">
        <f>IFERROR(INDEX(Cost_Components!$P$2:$P$27,MATCH(E774,Cost_Components!$A$2:$A$27,0)),"")</f>
        <v>282.51283599999999</v>
      </c>
      <c r="O774" s="21">
        <f t="shared" si="121"/>
        <v>328989.366858817</v>
      </c>
      <c r="P774" s="21">
        <f t="shared" si="122"/>
        <v>347840.14026709151</v>
      </c>
      <c r="Q774" s="21">
        <f t="shared" si="123"/>
        <v>30463484.395463083</v>
      </c>
      <c r="R774" s="21">
        <f t="shared" si="124"/>
        <v>62093553.838995658</v>
      </c>
      <c r="S774" s="21">
        <f t="shared" si="125"/>
        <v>31630069.443532575</v>
      </c>
      <c r="T774" s="14">
        <f>IFERROR(INDEX(Cost_Components!$R$2:$R$27,MATCH(E774,Cost_Components!$A$2:$A$27,0)),"")</f>
        <v>1</v>
      </c>
      <c r="U774" s="24">
        <f>IFERROR(INDEX(Cost_Components!$Q$2:$Q$27,MATCH(E774,Cost_Components!$A$2:$A$27,0)),"")</f>
        <v>2023</v>
      </c>
      <c r="V774" s="28">
        <f>1/(1+Calculation_Assumptions!$B$5)^(B774-Calculation_Assumptions!$B$2)</f>
        <v>0.5873946076162827</v>
      </c>
      <c r="W774" s="21">
        <f t="shared" si="126"/>
        <v>17894086.463097788</v>
      </c>
      <c r="X774" s="21">
        <f t="shared" si="127"/>
        <v>36473418.692757376</v>
      </c>
      <c r="Y774" s="21">
        <f t="shared" si="128"/>
        <v>18579332.229659591</v>
      </c>
      <c r="Z774" s="15">
        <f>IFERROR(INDEX(Cost_Components!$T$2:$T$27,MATCH(E774,Cost_Components!$A$2:$A$27,0)),"")</f>
        <v>0.8</v>
      </c>
      <c r="AA774" s="24">
        <f>IFERROR(INDEX(Cost_Components!$U$2:$U$27,MATCH(E774,Cost_Components!$A$2:$A$27,0)),"")</f>
        <v>2025</v>
      </c>
      <c r="AB774" s="24">
        <f>IFERROR(INDEX(Cost_Components!$V$2:$V$27,MATCH(E774,Cost_Components!$A$2:$A$27,0)),"")</f>
        <v>2050</v>
      </c>
      <c r="AC774" s="24">
        <f>IFERROR(INDEX(Cost_Components!$M$2:$M$27,MATCH(E774,Cost_Components!$A$2:$A$27,0)),"")</f>
        <v>30</v>
      </c>
      <c r="AD774" s="24">
        <f>IFERROR(INDEX(Cost_Components!$N$2:$N$27,MATCH(E774,Cost_Components!$A$2:$A$27,0)),"")</f>
        <v>95</v>
      </c>
      <c r="AE774" s="14" t="str">
        <f>IFERROR(INDEX(Cost_Components!$O$2:$O$27,MATCH(E774,Cost_Components!$A$2:$A$27,0)),"")</f>
        <v>Both</v>
      </c>
      <c r="AF774" s="11">
        <v>657978.73371763399</v>
      </c>
      <c r="AG774" s="11">
        <v>695680.28053418302</v>
      </c>
      <c r="AH774" s="21">
        <f t="shared" si="129"/>
        <v>1</v>
      </c>
    </row>
    <row r="775" spans="1:34" hidden="1">
      <c r="A775" t="s">
        <v>75</v>
      </c>
      <c r="B775" s="18">
        <v>2044</v>
      </c>
      <c r="C775" t="s">
        <v>183</v>
      </c>
      <c r="D775" t="s">
        <v>163</v>
      </c>
      <c r="E775" s="20" t="s">
        <v>265</v>
      </c>
      <c r="F775" s="20" t="s">
        <v>266</v>
      </c>
      <c r="G775" s="20" t="s">
        <v>193</v>
      </c>
      <c r="H775" s="20" t="s">
        <v>192</v>
      </c>
      <c r="I775" s="20" t="s">
        <v>264</v>
      </c>
      <c r="J775" s="15">
        <f>IFERROR(INDEX(Cost_Components!$K$2:$K$27,MATCH(E775,Cost_Components!$A$2:$A$27,0)),"")</f>
        <v>0.5</v>
      </c>
      <c r="K775" s="15">
        <f t="shared" si="120"/>
        <v>0.68692307692307697</v>
      </c>
      <c r="L775" s="15">
        <f>IFERROR(INDEX(Cost_Components!$S$2:$S$27,MATCH(E775,Cost_Components!$A$2:$A$27,0)),"")</f>
        <v>0.31</v>
      </c>
      <c r="M775" s="26">
        <f>IFERROR(INDEX(Cost_Components!$L$2:$L$27,MATCH(E775,Cost_Components!$A$2:$A$27,0)),"")</f>
        <v>1</v>
      </c>
      <c r="N775" s="27">
        <f>IFERROR(INDEX(Cost_Components!$P$2:$P$27,MATCH(E775,Cost_Components!$A$2:$A$27,0)),"")</f>
        <v>282.51283599999999</v>
      </c>
      <c r="O775" s="21">
        <f t="shared" si="121"/>
        <v>334858.04302076052</v>
      </c>
      <c r="P775" s="21">
        <f t="shared" si="122"/>
        <v>355145.713894021</v>
      </c>
      <c r="Q775" s="21">
        <f t="shared" si="123"/>
        <v>31103299.075887784</v>
      </c>
      <c r="R775" s="21">
        <f t="shared" si="124"/>
        <v>64984087.680266246</v>
      </c>
      <c r="S775" s="21">
        <f t="shared" si="125"/>
        <v>33880788.604378462</v>
      </c>
      <c r="T775" s="14">
        <f>IFERROR(INDEX(Cost_Components!$R$2:$R$27,MATCH(E775,Cost_Components!$A$2:$A$27,0)),"")</f>
        <v>1</v>
      </c>
      <c r="U775" s="24">
        <f>IFERROR(INDEX(Cost_Components!$Q$2:$Q$27,MATCH(E775,Cost_Components!$A$2:$A$27,0)),"")</f>
        <v>2023</v>
      </c>
      <c r="V775" s="28">
        <f>1/(1+Calculation_Assumptions!$B$5)^(B775-Calculation_Assumptions!$B$2)</f>
        <v>0.57028602681192497</v>
      </c>
      <c r="W775" s="21">
        <f t="shared" si="126"/>
        <v>17737776.850731064</v>
      </c>
      <c r="X775" s="21">
        <f t="shared" si="127"/>
        <v>37059517.169176802</v>
      </c>
      <c r="Y775" s="21">
        <f t="shared" si="128"/>
        <v>19321740.318445738</v>
      </c>
      <c r="Z775" s="15">
        <f>IFERROR(INDEX(Cost_Components!$T$2:$T$27,MATCH(E775,Cost_Components!$A$2:$A$27,0)),"")</f>
        <v>0.8</v>
      </c>
      <c r="AA775" s="24">
        <f>IFERROR(INDEX(Cost_Components!$U$2:$U$27,MATCH(E775,Cost_Components!$A$2:$A$27,0)),"")</f>
        <v>2025</v>
      </c>
      <c r="AB775" s="24">
        <f>IFERROR(INDEX(Cost_Components!$V$2:$V$27,MATCH(E775,Cost_Components!$A$2:$A$27,0)),"")</f>
        <v>2050</v>
      </c>
      <c r="AC775" s="24">
        <f>IFERROR(INDEX(Cost_Components!$M$2:$M$27,MATCH(E775,Cost_Components!$A$2:$A$27,0)),"")</f>
        <v>30</v>
      </c>
      <c r="AD775" s="24">
        <f>IFERROR(INDEX(Cost_Components!$N$2:$N$27,MATCH(E775,Cost_Components!$A$2:$A$27,0)),"")</f>
        <v>95</v>
      </c>
      <c r="AE775" s="14" t="str">
        <f>IFERROR(INDEX(Cost_Components!$O$2:$O$27,MATCH(E775,Cost_Components!$A$2:$A$27,0)),"")</f>
        <v>Both</v>
      </c>
      <c r="AF775" s="11">
        <v>669716.08604152105</v>
      </c>
      <c r="AG775" s="11">
        <v>710291.427788042</v>
      </c>
      <c r="AH775" s="21">
        <f t="shared" si="129"/>
        <v>1</v>
      </c>
    </row>
    <row r="776" spans="1:34" hidden="1">
      <c r="A776" t="s">
        <v>75</v>
      </c>
      <c r="B776" s="18">
        <v>2045</v>
      </c>
      <c r="C776" t="s">
        <v>183</v>
      </c>
      <c r="D776" t="s">
        <v>163</v>
      </c>
      <c r="E776" s="20" t="s">
        <v>265</v>
      </c>
      <c r="F776" s="20" t="s">
        <v>266</v>
      </c>
      <c r="G776" s="20" t="s">
        <v>193</v>
      </c>
      <c r="H776" s="20" t="s">
        <v>192</v>
      </c>
      <c r="I776" s="20" t="s">
        <v>264</v>
      </c>
      <c r="J776" s="15">
        <f>IFERROR(INDEX(Cost_Components!$K$2:$K$27,MATCH(E776,Cost_Components!$A$2:$A$27,0)),"")</f>
        <v>0.5</v>
      </c>
      <c r="K776" s="15">
        <f t="shared" si="120"/>
        <v>0.70576923076923082</v>
      </c>
      <c r="L776" s="15">
        <f>IFERROR(INDEX(Cost_Components!$S$2:$S$27,MATCH(E776,Cost_Components!$A$2:$A$27,0)),"")</f>
        <v>0.31</v>
      </c>
      <c r="M776" s="26">
        <f>IFERROR(INDEX(Cost_Components!$L$2:$L$27,MATCH(E776,Cost_Components!$A$2:$A$27,0)),"")</f>
        <v>1</v>
      </c>
      <c r="N776" s="27">
        <f>IFERROR(INDEX(Cost_Components!$P$2:$P$27,MATCH(E776,Cost_Components!$A$2:$A$27,0)),"")</f>
        <v>282.51283599999999</v>
      </c>
      <c r="O776" s="21">
        <f t="shared" si="121"/>
        <v>340607.26518939948</v>
      </c>
      <c r="P776" s="21">
        <f t="shared" si="122"/>
        <v>362330.70241745852</v>
      </c>
      <c r="Q776" s="21">
        <f t="shared" si="123"/>
        <v>31732553.036046762</v>
      </c>
      <c r="R776" s="21">
        <f t="shared" si="124"/>
        <v>67913296.679742515</v>
      </c>
      <c r="S776" s="21">
        <f t="shared" si="125"/>
        <v>36180743.643695757</v>
      </c>
      <c r="T776" s="14">
        <f>IFERROR(INDEX(Cost_Components!$R$2:$R$27,MATCH(E776,Cost_Components!$A$2:$A$27,0)),"")</f>
        <v>1</v>
      </c>
      <c r="U776" s="24">
        <f>IFERROR(INDEX(Cost_Components!$Q$2:$Q$27,MATCH(E776,Cost_Components!$A$2:$A$27,0)),"")</f>
        <v>2023</v>
      </c>
      <c r="V776" s="28">
        <f>1/(1+Calculation_Assumptions!$B$5)^(B776-Calculation_Assumptions!$B$2)</f>
        <v>0.55367575418633497</v>
      </c>
      <c r="W776" s="21">
        <f t="shared" si="126"/>
        <v>17569545.234491065</v>
      </c>
      <c r="X776" s="21">
        <f t="shared" si="127"/>
        <v>37601945.758436754</v>
      </c>
      <c r="Y776" s="21">
        <f t="shared" si="128"/>
        <v>20032400.523945693</v>
      </c>
      <c r="Z776" s="15">
        <f>IFERROR(INDEX(Cost_Components!$T$2:$T$27,MATCH(E776,Cost_Components!$A$2:$A$27,0)),"")</f>
        <v>0.8</v>
      </c>
      <c r="AA776" s="24">
        <f>IFERROR(INDEX(Cost_Components!$U$2:$U$27,MATCH(E776,Cost_Components!$A$2:$A$27,0)),"")</f>
        <v>2025</v>
      </c>
      <c r="AB776" s="24">
        <f>IFERROR(INDEX(Cost_Components!$V$2:$V$27,MATCH(E776,Cost_Components!$A$2:$A$27,0)),"")</f>
        <v>2050</v>
      </c>
      <c r="AC776" s="24">
        <f>IFERROR(INDEX(Cost_Components!$M$2:$M$27,MATCH(E776,Cost_Components!$A$2:$A$27,0)),"")</f>
        <v>30</v>
      </c>
      <c r="AD776" s="24">
        <f>IFERROR(INDEX(Cost_Components!$N$2:$N$27,MATCH(E776,Cost_Components!$A$2:$A$27,0)),"")</f>
        <v>95</v>
      </c>
      <c r="AE776" s="14" t="str">
        <f>IFERROR(INDEX(Cost_Components!$O$2:$O$27,MATCH(E776,Cost_Components!$A$2:$A$27,0)),"")</f>
        <v>Both</v>
      </c>
      <c r="AF776" s="11">
        <v>681214.53037879895</v>
      </c>
      <c r="AG776" s="11">
        <v>724661.40483491705</v>
      </c>
      <c r="AH776" s="21">
        <f t="shared" si="129"/>
        <v>1</v>
      </c>
    </row>
    <row r="777" spans="1:34" hidden="1">
      <c r="A777" t="s">
        <v>75</v>
      </c>
      <c r="B777" s="18">
        <v>2046</v>
      </c>
      <c r="C777" t="s">
        <v>183</v>
      </c>
      <c r="D777" t="s">
        <v>163</v>
      </c>
      <c r="E777" s="20" t="s">
        <v>265</v>
      </c>
      <c r="F777" s="20" t="s">
        <v>266</v>
      </c>
      <c r="G777" s="20" t="s">
        <v>193</v>
      </c>
      <c r="H777" s="20" t="s">
        <v>192</v>
      </c>
      <c r="I777" s="20" t="s">
        <v>264</v>
      </c>
      <c r="J777" s="15">
        <f>IFERROR(INDEX(Cost_Components!$K$2:$K$27,MATCH(E777,Cost_Components!$A$2:$A$27,0)),"")</f>
        <v>0.5</v>
      </c>
      <c r="K777" s="15">
        <f t="shared" si="120"/>
        <v>0.72461538461538466</v>
      </c>
      <c r="L777" s="15">
        <f>IFERROR(INDEX(Cost_Components!$S$2:$S$27,MATCH(E777,Cost_Components!$A$2:$A$27,0)),"")</f>
        <v>0.31</v>
      </c>
      <c r="M777" s="26">
        <f>IFERROR(INDEX(Cost_Components!$L$2:$L$27,MATCH(E777,Cost_Components!$A$2:$A$27,0)),"")</f>
        <v>1</v>
      </c>
      <c r="N777" s="27">
        <f>IFERROR(INDEX(Cost_Components!$P$2:$P$27,MATCH(E777,Cost_Components!$A$2:$A$27,0)),"")</f>
        <v>282.51283599999999</v>
      </c>
      <c r="O777" s="21">
        <f t="shared" si="121"/>
        <v>346210.75761695398</v>
      </c>
      <c r="P777" s="21">
        <f t="shared" si="122"/>
        <v>369363.33305871551</v>
      </c>
      <c r="Q777" s="21">
        <f t="shared" si="123"/>
        <v>32348463.648417383</v>
      </c>
      <c r="R777" s="21">
        <f t="shared" si="124"/>
        <v>70873893.826743051</v>
      </c>
      <c r="S777" s="21">
        <f t="shared" si="125"/>
        <v>38525430.178325668</v>
      </c>
      <c r="T777" s="14">
        <f>IFERROR(INDEX(Cost_Components!$R$2:$R$27,MATCH(E777,Cost_Components!$A$2:$A$27,0)),"")</f>
        <v>1</v>
      </c>
      <c r="U777" s="24">
        <f>IFERROR(INDEX(Cost_Components!$Q$2:$Q$27,MATCH(E777,Cost_Components!$A$2:$A$27,0)),"")</f>
        <v>2023</v>
      </c>
      <c r="V777" s="28">
        <f>1/(1+Calculation_Assumptions!$B$5)^(B777-Calculation_Assumptions!$B$2)</f>
        <v>0.5375492759090631</v>
      </c>
      <c r="W777" s="21">
        <f t="shared" si="126"/>
        <v>17388893.210977413</v>
      </c>
      <c r="X777" s="21">
        <f t="shared" si="127"/>
        <v>38098210.307421543</v>
      </c>
      <c r="Y777" s="21">
        <f t="shared" si="128"/>
        <v>20709317.09644413</v>
      </c>
      <c r="Z777" s="15">
        <f>IFERROR(INDEX(Cost_Components!$T$2:$T$27,MATCH(E777,Cost_Components!$A$2:$A$27,0)),"")</f>
        <v>0.8</v>
      </c>
      <c r="AA777" s="24">
        <f>IFERROR(INDEX(Cost_Components!$U$2:$U$27,MATCH(E777,Cost_Components!$A$2:$A$27,0)),"")</f>
        <v>2025</v>
      </c>
      <c r="AB777" s="24">
        <f>IFERROR(INDEX(Cost_Components!$V$2:$V$27,MATCH(E777,Cost_Components!$A$2:$A$27,0)),"")</f>
        <v>2050</v>
      </c>
      <c r="AC777" s="24">
        <f>IFERROR(INDEX(Cost_Components!$M$2:$M$27,MATCH(E777,Cost_Components!$A$2:$A$27,0)),"")</f>
        <v>30</v>
      </c>
      <c r="AD777" s="24">
        <f>IFERROR(INDEX(Cost_Components!$N$2:$N$27,MATCH(E777,Cost_Components!$A$2:$A$27,0)),"")</f>
        <v>95</v>
      </c>
      <c r="AE777" s="14" t="str">
        <f>IFERROR(INDEX(Cost_Components!$O$2:$O$27,MATCH(E777,Cost_Components!$A$2:$A$27,0)),"")</f>
        <v>Both</v>
      </c>
      <c r="AF777" s="11">
        <v>692421.51523390797</v>
      </c>
      <c r="AG777" s="11">
        <v>738726.66611743101</v>
      </c>
      <c r="AH777" s="21">
        <f t="shared" si="129"/>
        <v>1</v>
      </c>
    </row>
    <row r="778" spans="1:34" hidden="1">
      <c r="A778" t="s">
        <v>75</v>
      </c>
      <c r="B778" s="18">
        <v>2047</v>
      </c>
      <c r="C778" t="s">
        <v>183</v>
      </c>
      <c r="D778" t="s">
        <v>163</v>
      </c>
      <c r="E778" s="20" t="s">
        <v>265</v>
      </c>
      <c r="F778" s="20" t="s">
        <v>266</v>
      </c>
      <c r="G778" s="20" t="s">
        <v>193</v>
      </c>
      <c r="H778" s="20" t="s">
        <v>192</v>
      </c>
      <c r="I778" s="20" t="s">
        <v>264</v>
      </c>
      <c r="J778" s="15">
        <f>IFERROR(INDEX(Cost_Components!$K$2:$K$27,MATCH(E778,Cost_Components!$A$2:$A$27,0)),"")</f>
        <v>0.5</v>
      </c>
      <c r="K778" s="15">
        <f t="shared" si="120"/>
        <v>0.74346153846153851</v>
      </c>
      <c r="L778" s="15">
        <f>IFERROR(INDEX(Cost_Components!$S$2:$S$27,MATCH(E778,Cost_Components!$A$2:$A$27,0)),"")</f>
        <v>0.31</v>
      </c>
      <c r="M778" s="26">
        <f>IFERROR(INDEX(Cost_Components!$L$2:$L$27,MATCH(E778,Cost_Components!$A$2:$A$27,0)),"")</f>
        <v>1</v>
      </c>
      <c r="N778" s="27">
        <f>IFERROR(INDEX(Cost_Components!$P$2:$P$27,MATCH(E778,Cost_Components!$A$2:$A$27,0)),"")</f>
        <v>282.51283599999999</v>
      </c>
      <c r="O778" s="21">
        <f t="shared" si="121"/>
        <v>351631.76528066752</v>
      </c>
      <c r="P778" s="21">
        <f t="shared" si="122"/>
        <v>376203.27920933848</v>
      </c>
      <c r="Q778" s="21">
        <f t="shared" si="123"/>
        <v>32947499.149798315</v>
      </c>
      <c r="R778" s="21">
        <f t="shared" si="124"/>
        <v>73855831.472833797</v>
      </c>
      <c r="S778" s="21">
        <f t="shared" si="125"/>
        <v>40908332.323035479</v>
      </c>
      <c r="T778" s="14">
        <f>IFERROR(INDEX(Cost_Components!$R$2:$R$27,MATCH(E778,Cost_Components!$A$2:$A$27,0)),"")</f>
        <v>1</v>
      </c>
      <c r="U778" s="24">
        <f>IFERROR(INDEX(Cost_Components!$Q$2:$Q$27,MATCH(E778,Cost_Components!$A$2:$A$27,0)),"")</f>
        <v>2023</v>
      </c>
      <c r="V778" s="28">
        <f>1/(1+Calculation_Assumptions!$B$5)^(B778-Calculation_Assumptions!$B$2)</f>
        <v>0.52189250088258554</v>
      </c>
      <c r="W778" s="21">
        <f t="shared" si="126"/>
        <v>17195052.729115102</v>
      </c>
      <c r="X778" s="21">
        <f t="shared" si="127"/>
        <v>38544804.592119999</v>
      </c>
      <c r="Y778" s="21">
        <f t="shared" si="128"/>
        <v>21349751.863004897</v>
      </c>
      <c r="Z778" s="15">
        <f>IFERROR(INDEX(Cost_Components!$T$2:$T$27,MATCH(E778,Cost_Components!$A$2:$A$27,0)),"")</f>
        <v>0.8</v>
      </c>
      <c r="AA778" s="24">
        <f>IFERROR(INDEX(Cost_Components!$U$2:$U$27,MATCH(E778,Cost_Components!$A$2:$A$27,0)),"")</f>
        <v>2025</v>
      </c>
      <c r="AB778" s="24">
        <f>IFERROR(INDEX(Cost_Components!$V$2:$V$27,MATCH(E778,Cost_Components!$A$2:$A$27,0)),"")</f>
        <v>2050</v>
      </c>
      <c r="AC778" s="24">
        <f>IFERROR(INDEX(Cost_Components!$M$2:$M$27,MATCH(E778,Cost_Components!$A$2:$A$27,0)),"")</f>
        <v>30</v>
      </c>
      <c r="AD778" s="24">
        <f>IFERROR(INDEX(Cost_Components!$N$2:$N$27,MATCH(E778,Cost_Components!$A$2:$A$27,0)),"")</f>
        <v>95</v>
      </c>
      <c r="AE778" s="14" t="str">
        <f>IFERROR(INDEX(Cost_Components!$O$2:$O$27,MATCH(E778,Cost_Components!$A$2:$A$27,0)),"")</f>
        <v>Both</v>
      </c>
      <c r="AF778" s="11">
        <v>703263.53056133504</v>
      </c>
      <c r="AG778" s="11">
        <v>752406.55841867696</v>
      </c>
      <c r="AH778" s="21">
        <f t="shared" si="129"/>
        <v>1</v>
      </c>
    </row>
    <row r="779" spans="1:34" hidden="1">
      <c r="A779" t="s">
        <v>75</v>
      </c>
      <c r="B779" s="18">
        <v>2048</v>
      </c>
      <c r="C779" t="s">
        <v>183</v>
      </c>
      <c r="D779" t="s">
        <v>163</v>
      </c>
      <c r="E779" s="20" t="s">
        <v>265</v>
      </c>
      <c r="F779" s="20" t="s">
        <v>266</v>
      </c>
      <c r="G779" s="20" t="s">
        <v>193</v>
      </c>
      <c r="H779" s="20" t="s">
        <v>192</v>
      </c>
      <c r="I779" s="20" t="s">
        <v>264</v>
      </c>
      <c r="J779" s="15">
        <f>IFERROR(INDEX(Cost_Components!$K$2:$K$27,MATCH(E779,Cost_Components!$A$2:$A$27,0)),"")</f>
        <v>0.5</v>
      </c>
      <c r="K779" s="15">
        <f t="shared" si="120"/>
        <v>0.76230769230769235</v>
      </c>
      <c r="L779" s="15">
        <f>IFERROR(INDEX(Cost_Components!$S$2:$S$27,MATCH(E779,Cost_Components!$A$2:$A$27,0)),"")</f>
        <v>0.31</v>
      </c>
      <c r="M779" s="26">
        <f>IFERROR(INDEX(Cost_Components!$L$2:$L$27,MATCH(E779,Cost_Components!$A$2:$A$27,0)),"")</f>
        <v>1</v>
      </c>
      <c r="N779" s="27">
        <f>IFERROR(INDEX(Cost_Components!$P$2:$P$27,MATCH(E779,Cost_Components!$A$2:$A$27,0)),"")</f>
        <v>282.51283599999999</v>
      </c>
      <c r="O779" s="21">
        <f t="shared" si="121"/>
        <v>356863.1961121835</v>
      </c>
      <c r="P779" s="21">
        <f t="shared" si="122"/>
        <v>382838.14610254503</v>
      </c>
      <c r="Q779" s="21">
        <f t="shared" si="123"/>
        <v>33528574.019167826</v>
      </c>
      <c r="R779" s="21">
        <f t="shared" si="124"/>
        <v>76854667.457921565</v>
      </c>
      <c r="S779" s="21">
        <f t="shared" si="125"/>
        <v>43326093.438753739</v>
      </c>
      <c r="T779" s="14">
        <f>IFERROR(INDEX(Cost_Components!$R$2:$R$27,MATCH(E779,Cost_Components!$A$2:$A$27,0)),"")</f>
        <v>1</v>
      </c>
      <c r="U779" s="24">
        <f>IFERROR(INDEX(Cost_Components!$Q$2:$Q$27,MATCH(E779,Cost_Components!$A$2:$A$27,0)),"")</f>
        <v>2023</v>
      </c>
      <c r="V779" s="28">
        <f>1/(1+Calculation_Assumptions!$B$5)^(B779-Calculation_Assumptions!$B$2)</f>
        <v>0.50669174842969467</v>
      </c>
      <c r="W779" s="21">
        <f t="shared" si="126"/>
        <v>16988651.792126581</v>
      </c>
      <c r="X779" s="21">
        <f t="shared" si="127"/>
        <v>38941625.829237036</v>
      </c>
      <c r="Y779" s="21">
        <f t="shared" si="128"/>
        <v>21952974.037110455</v>
      </c>
      <c r="Z779" s="15">
        <f>IFERROR(INDEX(Cost_Components!$T$2:$T$27,MATCH(E779,Cost_Components!$A$2:$A$27,0)),"")</f>
        <v>0.8</v>
      </c>
      <c r="AA779" s="24">
        <f>IFERROR(INDEX(Cost_Components!$U$2:$U$27,MATCH(E779,Cost_Components!$A$2:$A$27,0)),"")</f>
        <v>2025</v>
      </c>
      <c r="AB779" s="24">
        <f>IFERROR(INDEX(Cost_Components!$V$2:$V$27,MATCH(E779,Cost_Components!$A$2:$A$27,0)),"")</f>
        <v>2050</v>
      </c>
      <c r="AC779" s="24">
        <f>IFERROR(INDEX(Cost_Components!$M$2:$M$27,MATCH(E779,Cost_Components!$A$2:$A$27,0)),"")</f>
        <v>30</v>
      </c>
      <c r="AD779" s="24">
        <f>IFERROR(INDEX(Cost_Components!$N$2:$N$27,MATCH(E779,Cost_Components!$A$2:$A$27,0)),"")</f>
        <v>95</v>
      </c>
      <c r="AE779" s="14" t="str">
        <f>IFERROR(INDEX(Cost_Components!$O$2:$O$27,MATCH(E779,Cost_Components!$A$2:$A$27,0)),"")</f>
        <v>Both</v>
      </c>
      <c r="AF779" s="11">
        <v>713726.39222436701</v>
      </c>
      <c r="AG779" s="11">
        <v>765676.29220509005</v>
      </c>
      <c r="AH779" s="21">
        <f t="shared" si="129"/>
        <v>1</v>
      </c>
    </row>
    <row r="780" spans="1:34" hidden="1">
      <c r="A780" t="s">
        <v>75</v>
      </c>
      <c r="B780" s="18">
        <v>2049</v>
      </c>
      <c r="C780" t="s">
        <v>183</v>
      </c>
      <c r="D780" t="s">
        <v>163</v>
      </c>
      <c r="E780" s="20" t="s">
        <v>265</v>
      </c>
      <c r="F780" s="20" t="s">
        <v>266</v>
      </c>
      <c r="G780" s="20" t="s">
        <v>193</v>
      </c>
      <c r="H780" s="20" t="s">
        <v>192</v>
      </c>
      <c r="I780" s="20" t="s">
        <v>264</v>
      </c>
      <c r="J780" s="15">
        <f>IFERROR(INDEX(Cost_Components!$K$2:$K$27,MATCH(E780,Cost_Components!$A$2:$A$27,0)),"")</f>
        <v>0.5</v>
      </c>
      <c r="K780" s="15">
        <f t="shared" si="120"/>
        <v>0.7811538461538462</v>
      </c>
      <c r="L780" s="15">
        <f>IFERROR(INDEX(Cost_Components!$S$2:$S$27,MATCH(E780,Cost_Components!$A$2:$A$27,0)),"")</f>
        <v>0.31</v>
      </c>
      <c r="M780" s="26">
        <f>IFERROR(INDEX(Cost_Components!$L$2:$L$27,MATCH(E780,Cost_Components!$A$2:$A$27,0)),"")</f>
        <v>1</v>
      </c>
      <c r="N780" s="27">
        <f>IFERROR(INDEX(Cost_Components!$P$2:$P$27,MATCH(E780,Cost_Components!$A$2:$A$27,0)),"")</f>
        <v>282.51283599999999</v>
      </c>
      <c r="O780" s="21">
        <f t="shared" si="121"/>
        <v>361889.17913741153</v>
      </c>
      <c r="P780" s="21">
        <f t="shared" si="122"/>
        <v>389247.77406814299</v>
      </c>
      <c r="Q780" s="21">
        <f t="shared" si="123"/>
        <v>34089922.693190284</v>
      </c>
      <c r="R780" s="21">
        <f t="shared" si="124"/>
        <v>79863871.199782625</v>
      </c>
      <c r="S780" s="21">
        <f t="shared" si="125"/>
        <v>45773948.506592341</v>
      </c>
      <c r="T780" s="14">
        <f>IFERROR(INDEX(Cost_Components!$R$2:$R$27,MATCH(E780,Cost_Components!$A$2:$A$27,0)),"")</f>
        <v>1</v>
      </c>
      <c r="U780" s="24">
        <f>IFERROR(INDEX(Cost_Components!$Q$2:$Q$27,MATCH(E780,Cost_Components!$A$2:$A$27,0)),"")</f>
        <v>2023</v>
      </c>
      <c r="V780" s="28">
        <f>1/(1+Calculation_Assumptions!$B$5)^(B780-Calculation_Assumptions!$B$2)</f>
        <v>0.49193373633950943</v>
      </c>
      <c r="W780" s="21">
        <f t="shared" si="126"/>
        <v>16769983.041986128</v>
      </c>
      <c r="X780" s="21">
        <f t="shared" si="127"/>
        <v>39287732.557846405</v>
      </c>
      <c r="Y780" s="21">
        <f t="shared" si="128"/>
        <v>22517749.515860278</v>
      </c>
      <c r="Z780" s="15">
        <f>IFERROR(INDEX(Cost_Components!$T$2:$T$27,MATCH(E780,Cost_Components!$A$2:$A$27,0)),"")</f>
        <v>0.8</v>
      </c>
      <c r="AA780" s="24">
        <f>IFERROR(INDEX(Cost_Components!$U$2:$U$27,MATCH(E780,Cost_Components!$A$2:$A$27,0)),"")</f>
        <v>2025</v>
      </c>
      <c r="AB780" s="24">
        <f>IFERROR(INDEX(Cost_Components!$V$2:$V$27,MATCH(E780,Cost_Components!$A$2:$A$27,0)),"")</f>
        <v>2050</v>
      </c>
      <c r="AC780" s="24">
        <f>IFERROR(INDEX(Cost_Components!$M$2:$M$27,MATCH(E780,Cost_Components!$A$2:$A$27,0)),"")</f>
        <v>30</v>
      </c>
      <c r="AD780" s="24">
        <f>IFERROR(INDEX(Cost_Components!$N$2:$N$27,MATCH(E780,Cost_Components!$A$2:$A$27,0)),"")</f>
        <v>95</v>
      </c>
      <c r="AE780" s="14" t="str">
        <f>IFERROR(INDEX(Cost_Components!$O$2:$O$27,MATCH(E780,Cost_Components!$A$2:$A$27,0)),"")</f>
        <v>Both</v>
      </c>
      <c r="AF780" s="11">
        <v>723778.35827482305</v>
      </c>
      <c r="AG780" s="11">
        <v>778495.54813628597</v>
      </c>
      <c r="AH780" s="21">
        <f t="shared" si="129"/>
        <v>1</v>
      </c>
    </row>
    <row r="781" spans="1:34" hidden="1">
      <c r="A781" t="s">
        <v>75</v>
      </c>
      <c r="B781" s="18">
        <v>2050</v>
      </c>
      <c r="C781" t="s">
        <v>183</v>
      </c>
      <c r="D781" t="s">
        <v>163</v>
      </c>
      <c r="E781" s="20" t="s">
        <v>265</v>
      </c>
      <c r="F781" s="20" t="s">
        <v>266</v>
      </c>
      <c r="G781" s="20" t="s">
        <v>193</v>
      </c>
      <c r="H781" s="20" t="s">
        <v>192</v>
      </c>
      <c r="I781" s="20" t="s">
        <v>264</v>
      </c>
      <c r="J781" s="15">
        <f>IFERROR(INDEX(Cost_Components!$K$2:$K$27,MATCH(E781,Cost_Components!$A$2:$A$27,0)),"")</f>
        <v>0.5</v>
      </c>
      <c r="K781" s="15">
        <f t="shared" si="120"/>
        <v>0.8</v>
      </c>
      <c r="L781" s="15">
        <f>IFERROR(INDEX(Cost_Components!$S$2:$S$27,MATCH(E781,Cost_Components!$A$2:$A$27,0)),"")</f>
        <v>0.31</v>
      </c>
      <c r="M781" s="26">
        <f>IFERROR(INDEX(Cost_Components!$L$2:$L$27,MATCH(E781,Cost_Components!$A$2:$A$27,0)),"")</f>
        <v>1</v>
      </c>
      <c r="N781" s="27">
        <f>IFERROR(INDEX(Cost_Components!$P$2:$P$27,MATCH(E781,Cost_Components!$A$2:$A$27,0)),"")</f>
        <v>282.51283599999999</v>
      </c>
      <c r="O781" s="21">
        <f t="shared" si="121"/>
        <v>366708.55197713</v>
      </c>
      <c r="P781" s="21">
        <f t="shared" si="122"/>
        <v>395432.77812202153</v>
      </c>
      <c r="Q781" s="21">
        <f t="shared" si="123"/>
        <v>34631599.034329422</v>
      </c>
      <c r="R781" s="21">
        <f t="shared" si="124"/>
        <v>82879898.403609931</v>
      </c>
      <c r="S781" s="21">
        <f t="shared" si="125"/>
        <v>48248299.36928051</v>
      </c>
      <c r="T781" s="14">
        <f>IFERROR(INDEX(Cost_Components!$R$2:$R$27,MATCH(E781,Cost_Components!$A$2:$A$27,0)),"")</f>
        <v>1</v>
      </c>
      <c r="U781" s="24">
        <f>IFERROR(INDEX(Cost_Components!$Q$2:$Q$27,MATCH(E781,Cost_Components!$A$2:$A$27,0)),"")</f>
        <v>2023</v>
      </c>
      <c r="V781" s="28">
        <f>1/(1+Calculation_Assumptions!$B$5)^(B781-Calculation_Assumptions!$B$2)</f>
        <v>0.47760556926165965</v>
      </c>
      <c r="W781" s="21">
        <f t="shared" si="126"/>
        <v>16540244.571232446</v>
      </c>
      <c r="X781" s="21">
        <f t="shared" si="127"/>
        <v>39583901.057404637</v>
      </c>
      <c r="Y781" s="21">
        <f t="shared" si="128"/>
        <v>23043656.486172192</v>
      </c>
      <c r="Z781" s="15">
        <f>IFERROR(INDEX(Cost_Components!$T$2:$T$27,MATCH(E781,Cost_Components!$A$2:$A$27,0)),"")</f>
        <v>0.8</v>
      </c>
      <c r="AA781" s="24">
        <f>IFERROR(INDEX(Cost_Components!$U$2:$U$27,MATCH(E781,Cost_Components!$A$2:$A$27,0)),"")</f>
        <v>2025</v>
      </c>
      <c r="AB781" s="24">
        <f>IFERROR(INDEX(Cost_Components!$V$2:$V$27,MATCH(E781,Cost_Components!$A$2:$A$27,0)),"")</f>
        <v>2050</v>
      </c>
      <c r="AC781" s="24">
        <f>IFERROR(INDEX(Cost_Components!$M$2:$M$27,MATCH(E781,Cost_Components!$A$2:$A$27,0)),"")</f>
        <v>30</v>
      </c>
      <c r="AD781" s="24">
        <f>IFERROR(INDEX(Cost_Components!$N$2:$N$27,MATCH(E781,Cost_Components!$A$2:$A$27,0)),"")</f>
        <v>95</v>
      </c>
      <c r="AE781" s="14" t="str">
        <f>IFERROR(INDEX(Cost_Components!$O$2:$O$27,MATCH(E781,Cost_Components!$A$2:$A$27,0)),"")</f>
        <v>Both</v>
      </c>
      <c r="AF781" s="11">
        <v>733417.10395426</v>
      </c>
      <c r="AG781" s="11">
        <v>790865.55624404305</v>
      </c>
      <c r="AH781" s="21">
        <f t="shared" si="129"/>
        <v>1</v>
      </c>
    </row>
    <row r="782" spans="1:34" hidden="1">
      <c r="A782" t="s">
        <v>75</v>
      </c>
      <c r="B782" s="18">
        <v>2025</v>
      </c>
      <c r="C782" t="s">
        <v>183</v>
      </c>
      <c r="D782" t="s">
        <v>177</v>
      </c>
      <c r="E782" s="20" t="s">
        <v>267</v>
      </c>
      <c r="F782" s="20" t="s">
        <v>268</v>
      </c>
      <c r="G782" s="20" t="s">
        <v>195</v>
      </c>
      <c r="H782" s="20" t="s">
        <v>192</v>
      </c>
      <c r="I782" s="20" t="s">
        <v>264</v>
      </c>
      <c r="J782" s="15">
        <f>IFERROR(INDEX(Cost_Components!$K$2:$K$27,MATCH(E782,Cost_Components!$A$2:$A$27,0)),"")</f>
        <v>0.1</v>
      </c>
      <c r="K782" s="15">
        <f t="shared" si="120"/>
        <v>0.32884615384615384</v>
      </c>
      <c r="L782" s="15">
        <f>IFERROR(INDEX(Cost_Components!$S$2:$S$27,MATCH(E782,Cost_Components!$A$2:$A$27,0)),"")</f>
        <v>0.31</v>
      </c>
      <c r="M782" s="26">
        <f>IFERROR(INDEX(Cost_Components!$L$2:$L$27,MATCH(E782,Cost_Components!$A$2:$A$27,0)),"")</f>
        <v>1</v>
      </c>
      <c r="N782" s="27">
        <f>IFERROR(INDEX(Cost_Components!$P$2:$P$27,MATCH(E782,Cost_Components!$A$2:$A$27,0)),"")</f>
        <v>282.51283599999999</v>
      </c>
      <c r="O782" s="21">
        <f t="shared" si="121"/>
        <v>520269.764053675</v>
      </c>
      <c r="P782" s="21">
        <f t="shared" si="122"/>
        <v>520687.51682247699</v>
      </c>
      <c r="Q782" s="21">
        <f t="shared" si="123"/>
        <v>45601281.184667856</v>
      </c>
      <c r="R782" s="21">
        <f t="shared" si="124"/>
        <v>48334756.915890642</v>
      </c>
      <c r="S782" s="21">
        <f t="shared" si="125"/>
        <v>2733475.731222786</v>
      </c>
      <c r="T782" s="14">
        <f>IFERROR(INDEX(Cost_Components!$R$2:$R$27,MATCH(E782,Cost_Components!$A$2:$A$27,0)),"")</f>
        <v>1</v>
      </c>
      <c r="U782" s="24">
        <f>IFERROR(INDEX(Cost_Components!$Q$2:$Q$27,MATCH(E782,Cost_Components!$A$2:$A$27,0)),"")</f>
        <v>2023</v>
      </c>
      <c r="V782" s="28">
        <f>1/(1+Calculation_Assumptions!$B$5)^(B782-Calculation_Assumptions!$B$2)</f>
        <v>1</v>
      </c>
      <c r="W782" s="21">
        <f t="shared" si="126"/>
        <v>45601281.184667856</v>
      </c>
      <c r="X782" s="21">
        <f t="shared" si="127"/>
        <v>48334756.915890642</v>
      </c>
      <c r="Y782" s="21">
        <f t="shared" si="128"/>
        <v>2733475.731222786</v>
      </c>
      <c r="Z782" s="15">
        <f>IFERROR(INDEX(Cost_Components!$T$2:$T$27,MATCH(E782,Cost_Components!$A$2:$A$27,0)),"")</f>
        <v>0.8</v>
      </c>
      <c r="AA782" s="24">
        <f>IFERROR(INDEX(Cost_Components!$U$2:$U$27,MATCH(E782,Cost_Components!$A$2:$A$27,0)),"")</f>
        <v>2025</v>
      </c>
      <c r="AB782" s="24">
        <f>IFERROR(INDEX(Cost_Components!$V$2:$V$27,MATCH(E782,Cost_Components!$A$2:$A$27,0)),"")</f>
        <v>2050</v>
      </c>
      <c r="AC782" s="24">
        <f>IFERROR(INDEX(Cost_Components!$M$2:$M$27,MATCH(E782,Cost_Components!$A$2:$A$27,0)),"")</f>
        <v>30</v>
      </c>
      <c r="AD782" s="24">
        <f>IFERROR(INDEX(Cost_Components!$N$2:$N$27,MATCH(E782,Cost_Components!$A$2:$A$27,0)),"")</f>
        <v>95</v>
      </c>
      <c r="AE782" s="14" t="str">
        <f>IFERROR(INDEX(Cost_Components!$O$2:$O$27,MATCH(E782,Cost_Components!$A$2:$A$27,0)),"")</f>
        <v>Both</v>
      </c>
      <c r="AF782" s="11">
        <v>5202697.6405367497</v>
      </c>
      <c r="AG782" s="11">
        <v>5206875.1682247696</v>
      </c>
      <c r="AH782" s="21">
        <f t="shared" si="129"/>
        <v>1</v>
      </c>
    </row>
    <row r="783" spans="1:34" hidden="1">
      <c r="A783" t="s">
        <v>75</v>
      </c>
      <c r="B783" s="18">
        <v>2026</v>
      </c>
      <c r="C783" t="s">
        <v>183</v>
      </c>
      <c r="D783" t="s">
        <v>177</v>
      </c>
      <c r="E783" s="20" t="s">
        <v>267</v>
      </c>
      <c r="F783" s="20" t="s">
        <v>268</v>
      </c>
      <c r="G783" s="20" t="s">
        <v>195</v>
      </c>
      <c r="H783" s="20" t="s">
        <v>192</v>
      </c>
      <c r="I783" s="20" t="s">
        <v>264</v>
      </c>
      <c r="J783" s="15">
        <f>IFERROR(INDEX(Cost_Components!$K$2:$K$27,MATCH(E783,Cost_Components!$A$2:$A$27,0)),"")</f>
        <v>0.1</v>
      </c>
      <c r="K783" s="15">
        <f t="shared" si="120"/>
        <v>0.34769230769230769</v>
      </c>
      <c r="L783" s="15">
        <f>IFERROR(INDEX(Cost_Components!$S$2:$S$27,MATCH(E783,Cost_Components!$A$2:$A$27,0)),"")</f>
        <v>0.31</v>
      </c>
      <c r="M783" s="26">
        <f>IFERROR(INDEX(Cost_Components!$L$2:$L$27,MATCH(E783,Cost_Components!$A$2:$A$27,0)),"")</f>
        <v>1</v>
      </c>
      <c r="N783" s="27">
        <f>IFERROR(INDEX(Cost_Components!$P$2:$P$27,MATCH(E783,Cost_Components!$A$2:$A$27,0)),"")</f>
        <v>282.51283599999999</v>
      </c>
      <c r="O783" s="21">
        <f t="shared" si="121"/>
        <v>532197.95589978306</v>
      </c>
      <c r="P783" s="21">
        <f t="shared" si="122"/>
        <v>533435.528503604</v>
      </c>
      <c r="Q783" s="21">
        <f t="shared" si="123"/>
        <v>46717739.034020714</v>
      </c>
      <c r="R783" s="21">
        <f t="shared" si="124"/>
        <v>52276495.948663145</v>
      </c>
      <c r="S783" s="21">
        <f t="shared" si="125"/>
        <v>5558756.9146424308</v>
      </c>
      <c r="T783" s="14">
        <f>IFERROR(INDEX(Cost_Components!$R$2:$R$27,MATCH(E783,Cost_Components!$A$2:$A$27,0)),"")</f>
        <v>1</v>
      </c>
      <c r="U783" s="24">
        <f>IFERROR(INDEX(Cost_Components!$Q$2:$Q$27,MATCH(E783,Cost_Components!$A$2:$A$27,0)),"")</f>
        <v>2023</v>
      </c>
      <c r="V783" s="28">
        <f>1/(1+Calculation_Assumptions!$B$5)^(B783-Calculation_Assumptions!$B$2)</f>
        <v>0.970873786407767</v>
      </c>
      <c r="W783" s="21">
        <f t="shared" si="126"/>
        <v>45357028.188369624</v>
      </c>
      <c r="X783" s="21">
        <f t="shared" si="127"/>
        <v>50753879.561808877</v>
      </c>
      <c r="Y783" s="21">
        <f t="shared" si="128"/>
        <v>5396851.3734392533</v>
      </c>
      <c r="Z783" s="15">
        <f>IFERROR(INDEX(Cost_Components!$T$2:$T$27,MATCH(E783,Cost_Components!$A$2:$A$27,0)),"")</f>
        <v>0.8</v>
      </c>
      <c r="AA783" s="24">
        <f>IFERROR(INDEX(Cost_Components!$U$2:$U$27,MATCH(E783,Cost_Components!$A$2:$A$27,0)),"")</f>
        <v>2025</v>
      </c>
      <c r="AB783" s="24">
        <f>IFERROR(INDEX(Cost_Components!$V$2:$V$27,MATCH(E783,Cost_Components!$A$2:$A$27,0)),"")</f>
        <v>2050</v>
      </c>
      <c r="AC783" s="24">
        <f>IFERROR(INDEX(Cost_Components!$M$2:$M$27,MATCH(E783,Cost_Components!$A$2:$A$27,0)),"")</f>
        <v>30</v>
      </c>
      <c r="AD783" s="24">
        <f>IFERROR(INDEX(Cost_Components!$N$2:$N$27,MATCH(E783,Cost_Components!$A$2:$A$27,0)),"")</f>
        <v>95</v>
      </c>
      <c r="AE783" s="14" t="str">
        <f>IFERROR(INDEX(Cost_Components!$O$2:$O$27,MATCH(E783,Cost_Components!$A$2:$A$27,0)),"")</f>
        <v>Both</v>
      </c>
      <c r="AF783" s="11">
        <v>5321979.5589978304</v>
      </c>
      <c r="AG783" s="11">
        <v>5334355.2850360395</v>
      </c>
      <c r="AH783" s="21">
        <f t="shared" si="129"/>
        <v>1</v>
      </c>
    </row>
    <row r="784" spans="1:34" hidden="1">
      <c r="A784" t="s">
        <v>75</v>
      </c>
      <c r="B784" s="18">
        <v>2027</v>
      </c>
      <c r="C784" t="s">
        <v>183</v>
      </c>
      <c r="D784" t="s">
        <v>177</v>
      </c>
      <c r="E784" s="20" t="s">
        <v>267</v>
      </c>
      <c r="F784" s="20" t="s">
        <v>268</v>
      </c>
      <c r="G784" s="20" t="s">
        <v>195</v>
      </c>
      <c r="H784" s="20" t="s">
        <v>192</v>
      </c>
      <c r="I784" s="20" t="s">
        <v>264</v>
      </c>
      <c r="J784" s="15">
        <f>IFERROR(INDEX(Cost_Components!$K$2:$K$27,MATCH(E784,Cost_Components!$A$2:$A$27,0)),"")</f>
        <v>0.1</v>
      </c>
      <c r="K784" s="15">
        <f t="shared" si="120"/>
        <v>0.36653846153846154</v>
      </c>
      <c r="L784" s="15">
        <f>IFERROR(INDEX(Cost_Components!$S$2:$S$27,MATCH(E784,Cost_Components!$A$2:$A$27,0)),"")</f>
        <v>0.31</v>
      </c>
      <c r="M784" s="26">
        <f>IFERROR(INDEX(Cost_Components!$L$2:$L$27,MATCH(E784,Cost_Components!$A$2:$A$27,0)),"")</f>
        <v>1</v>
      </c>
      <c r="N784" s="27">
        <f>IFERROR(INDEX(Cost_Components!$P$2:$P$27,MATCH(E784,Cost_Components!$A$2:$A$27,0)),"")</f>
        <v>282.51283599999999</v>
      </c>
      <c r="O784" s="21">
        <f t="shared" si="121"/>
        <v>543695.14781766303</v>
      </c>
      <c r="P784" s="21">
        <f t="shared" si="122"/>
        <v>546138.2330752461</v>
      </c>
      <c r="Q784" s="21">
        <f t="shared" si="123"/>
        <v>47830228.932976201</v>
      </c>
      <c r="R784" s="21">
        <f t="shared" si="124"/>
        <v>56300622.229740411</v>
      </c>
      <c r="S784" s="21">
        <f t="shared" si="125"/>
        <v>8470393.2967642099</v>
      </c>
      <c r="T784" s="14">
        <f>IFERROR(INDEX(Cost_Components!$R$2:$R$27,MATCH(E784,Cost_Components!$A$2:$A$27,0)),"")</f>
        <v>1</v>
      </c>
      <c r="U784" s="24">
        <f>IFERROR(INDEX(Cost_Components!$Q$2:$Q$27,MATCH(E784,Cost_Components!$A$2:$A$27,0)),"")</f>
        <v>2023</v>
      </c>
      <c r="V784" s="28">
        <f>1/(1+Calculation_Assumptions!$B$5)^(B784-Calculation_Assumptions!$B$2)</f>
        <v>0.94259590913375435</v>
      </c>
      <c r="W784" s="21">
        <f t="shared" si="126"/>
        <v>45084578.125154302</v>
      </c>
      <c r="X784" s="21">
        <f t="shared" si="127"/>
        <v>53068736.195438221</v>
      </c>
      <c r="Y784" s="21">
        <f t="shared" si="128"/>
        <v>7984158.0702839196</v>
      </c>
      <c r="Z784" s="15">
        <f>IFERROR(INDEX(Cost_Components!$T$2:$T$27,MATCH(E784,Cost_Components!$A$2:$A$27,0)),"")</f>
        <v>0.8</v>
      </c>
      <c r="AA784" s="24">
        <f>IFERROR(INDEX(Cost_Components!$U$2:$U$27,MATCH(E784,Cost_Components!$A$2:$A$27,0)),"")</f>
        <v>2025</v>
      </c>
      <c r="AB784" s="24">
        <f>IFERROR(INDEX(Cost_Components!$V$2:$V$27,MATCH(E784,Cost_Components!$A$2:$A$27,0)),"")</f>
        <v>2050</v>
      </c>
      <c r="AC784" s="24">
        <f>IFERROR(INDEX(Cost_Components!$M$2:$M$27,MATCH(E784,Cost_Components!$A$2:$A$27,0)),"")</f>
        <v>30</v>
      </c>
      <c r="AD784" s="24">
        <f>IFERROR(INDEX(Cost_Components!$N$2:$N$27,MATCH(E784,Cost_Components!$A$2:$A$27,0)),"")</f>
        <v>95</v>
      </c>
      <c r="AE784" s="14" t="str">
        <f>IFERROR(INDEX(Cost_Components!$O$2:$O$27,MATCH(E784,Cost_Components!$A$2:$A$27,0)),"")</f>
        <v>Both</v>
      </c>
      <c r="AF784" s="11">
        <v>5436951.4781766301</v>
      </c>
      <c r="AG784" s="11">
        <v>5461382.3307524603</v>
      </c>
      <c r="AH784" s="21">
        <f t="shared" si="129"/>
        <v>1</v>
      </c>
    </row>
    <row r="785" spans="1:34" hidden="1">
      <c r="A785" t="s">
        <v>75</v>
      </c>
      <c r="B785" s="18">
        <v>2028</v>
      </c>
      <c r="C785" t="s">
        <v>183</v>
      </c>
      <c r="D785" t="s">
        <v>177</v>
      </c>
      <c r="E785" s="20" t="s">
        <v>267</v>
      </c>
      <c r="F785" s="20" t="s">
        <v>268</v>
      </c>
      <c r="G785" s="20" t="s">
        <v>195</v>
      </c>
      <c r="H785" s="20" t="s">
        <v>192</v>
      </c>
      <c r="I785" s="20" t="s">
        <v>264</v>
      </c>
      <c r="J785" s="15">
        <f>IFERROR(INDEX(Cost_Components!$K$2:$K$27,MATCH(E785,Cost_Components!$A$2:$A$27,0)),"")</f>
        <v>0.1</v>
      </c>
      <c r="K785" s="15">
        <f t="shared" si="120"/>
        <v>0.38538461538461538</v>
      </c>
      <c r="L785" s="15">
        <f>IFERROR(INDEX(Cost_Components!$S$2:$S$27,MATCH(E785,Cost_Components!$A$2:$A$27,0)),"")</f>
        <v>0.31</v>
      </c>
      <c r="M785" s="26">
        <f>IFERROR(INDEX(Cost_Components!$L$2:$L$27,MATCH(E785,Cost_Components!$A$2:$A$27,0)),"")</f>
        <v>1</v>
      </c>
      <c r="N785" s="27">
        <f>IFERROR(INDEX(Cost_Components!$P$2:$P$27,MATCH(E785,Cost_Components!$A$2:$A$27,0)),"")</f>
        <v>282.51283599999999</v>
      </c>
      <c r="O785" s="21">
        <f t="shared" si="121"/>
        <v>554677.23394363199</v>
      </c>
      <c r="P785" s="21">
        <f t="shared" si="122"/>
        <v>558694.9730225181</v>
      </c>
      <c r="Q785" s="21">
        <f t="shared" si="123"/>
        <v>48929935.399135873</v>
      </c>
      <c r="R785" s="21">
        <f t="shared" si="124"/>
        <v>60391094.347270392</v>
      </c>
      <c r="S785" s="21">
        <f t="shared" si="125"/>
        <v>11461158.948134519</v>
      </c>
      <c r="T785" s="14">
        <f>IFERROR(INDEX(Cost_Components!$R$2:$R$27,MATCH(E785,Cost_Components!$A$2:$A$27,0)),"")</f>
        <v>1</v>
      </c>
      <c r="U785" s="24">
        <f>IFERROR(INDEX(Cost_Components!$Q$2:$Q$27,MATCH(E785,Cost_Components!$A$2:$A$27,0)),"")</f>
        <v>2023</v>
      </c>
      <c r="V785" s="28">
        <f>1/(1+Calculation_Assumptions!$B$5)^(B785-Calculation_Assumptions!$B$2)</f>
        <v>0.91514165935315961</v>
      </c>
      <c r="W785" s="21">
        <f t="shared" si="126"/>
        <v>44777822.273208104</v>
      </c>
      <c r="X785" s="21">
        <f t="shared" si="127"/>
        <v>55266406.291114241</v>
      </c>
      <c r="Y785" s="21">
        <f t="shared" si="128"/>
        <v>10488584.017906137</v>
      </c>
      <c r="Z785" s="15">
        <f>IFERROR(INDEX(Cost_Components!$T$2:$T$27,MATCH(E785,Cost_Components!$A$2:$A$27,0)),"")</f>
        <v>0.8</v>
      </c>
      <c r="AA785" s="24">
        <f>IFERROR(INDEX(Cost_Components!$U$2:$U$27,MATCH(E785,Cost_Components!$A$2:$A$27,0)),"")</f>
        <v>2025</v>
      </c>
      <c r="AB785" s="24">
        <f>IFERROR(INDEX(Cost_Components!$V$2:$V$27,MATCH(E785,Cost_Components!$A$2:$A$27,0)),"")</f>
        <v>2050</v>
      </c>
      <c r="AC785" s="24">
        <f>IFERROR(INDEX(Cost_Components!$M$2:$M$27,MATCH(E785,Cost_Components!$A$2:$A$27,0)),"")</f>
        <v>30</v>
      </c>
      <c r="AD785" s="24">
        <f>IFERROR(INDEX(Cost_Components!$N$2:$N$27,MATCH(E785,Cost_Components!$A$2:$A$27,0)),"")</f>
        <v>95</v>
      </c>
      <c r="AE785" s="14" t="str">
        <f>IFERROR(INDEX(Cost_Components!$O$2:$O$27,MATCH(E785,Cost_Components!$A$2:$A$27,0)),"")</f>
        <v>Both</v>
      </c>
      <c r="AF785" s="11">
        <v>5546772.3394363197</v>
      </c>
      <c r="AG785" s="11">
        <v>5586949.7302251803</v>
      </c>
      <c r="AH785" s="21">
        <f t="shared" si="129"/>
        <v>1</v>
      </c>
    </row>
    <row r="786" spans="1:34" hidden="1">
      <c r="A786" t="s">
        <v>75</v>
      </c>
      <c r="B786" s="18">
        <v>2029</v>
      </c>
      <c r="C786" t="s">
        <v>183</v>
      </c>
      <c r="D786" t="s">
        <v>177</v>
      </c>
      <c r="E786" s="20" t="s">
        <v>267</v>
      </c>
      <c r="F786" s="20" t="s">
        <v>268</v>
      </c>
      <c r="G786" s="20" t="s">
        <v>195</v>
      </c>
      <c r="H786" s="20" t="s">
        <v>192</v>
      </c>
      <c r="I786" s="20" t="s">
        <v>264</v>
      </c>
      <c r="J786" s="15">
        <f>IFERROR(INDEX(Cost_Components!$K$2:$K$27,MATCH(E786,Cost_Components!$A$2:$A$27,0)),"")</f>
        <v>0.1</v>
      </c>
      <c r="K786" s="15">
        <f t="shared" si="120"/>
        <v>0.40423076923076923</v>
      </c>
      <c r="L786" s="15">
        <f>IFERROR(INDEX(Cost_Components!$S$2:$S$27,MATCH(E786,Cost_Components!$A$2:$A$27,0)),"")</f>
        <v>0.31</v>
      </c>
      <c r="M786" s="26">
        <f>IFERROR(INDEX(Cost_Components!$L$2:$L$27,MATCH(E786,Cost_Components!$A$2:$A$27,0)),"")</f>
        <v>1</v>
      </c>
      <c r="N786" s="27">
        <f>IFERROR(INDEX(Cost_Components!$P$2:$P$27,MATCH(E786,Cost_Components!$A$2:$A$27,0)),"")</f>
        <v>282.51283599999999</v>
      </c>
      <c r="O786" s="21">
        <f t="shared" si="121"/>
        <v>565108.91623378603</v>
      </c>
      <c r="P786" s="21">
        <f t="shared" si="122"/>
        <v>571053.99685696198</v>
      </c>
      <c r="Q786" s="21">
        <f t="shared" si="123"/>
        <v>50012326.089970574</v>
      </c>
      <c r="R786" s="21">
        <f t="shared" si="124"/>
        <v>64535653.548220031</v>
      </c>
      <c r="S786" s="21">
        <f t="shared" si="125"/>
        <v>14523327.458249457</v>
      </c>
      <c r="T786" s="14">
        <f>IFERROR(INDEX(Cost_Components!$R$2:$R$27,MATCH(E786,Cost_Components!$A$2:$A$27,0)),"")</f>
        <v>1</v>
      </c>
      <c r="U786" s="24">
        <f>IFERROR(INDEX(Cost_Components!$Q$2:$Q$27,MATCH(E786,Cost_Components!$A$2:$A$27,0)),"")</f>
        <v>2023</v>
      </c>
      <c r="V786" s="28">
        <f>1/(1+Calculation_Assumptions!$B$5)^(B786-Calculation_Assumptions!$B$2)</f>
        <v>0.888487047915689</v>
      </c>
      <c r="W786" s="21">
        <f t="shared" si="126"/>
        <v>44435303.967074752</v>
      </c>
      <c r="X786" s="21">
        <f t="shared" si="127"/>
        <v>57339092.306367673</v>
      </c>
      <c r="Y786" s="21">
        <f t="shared" si="128"/>
        <v>12903788.339292927</v>
      </c>
      <c r="Z786" s="15">
        <f>IFERROR(INDEX(Cost_Components!$T$2:$T$27,MATCH(E786,Cost_Components!$A$2:$A$27,0)),"")</f>
        <v>0.8</v>
      </c>
      <c r="AA786" s="24">
        <f>IFERROR(INDEX(Cost_Components!$U$2:$U$27,MATCH(E786,Cost_Components!$A$2:$A$27,0)),"")</f>
        <v>2025</v>
      </c>
      <c r="AB786" s="24">
        <f>IFERROR(INDEX(Cost_Components!$V$2:$V$27,MATCH(E786,Cost_Components!$A$2:$A$27,0)),"")</f>
        <v>2050</v>
      </c>
      <c r="AC786" s="24">
        <f>IFERROR(INDEX(Cost_Components!$M$2:$M$27,MATCH(E786,Cost_Components!$A$2:$A$27,0)),"")</f>
        <v>30</v>
      </c>
      <c r="AD786" s="24">
        <f>IFERROR(INDEX(Cost_Components!$N$2:$N$27,MATCH(E786,Cost_Components!$A$2:$A$27,0)),"")</f>
        <v>95</v>
      </c>
      <c r="AE786" s="14" t="str">
        <f>IFERROR(INDEX(Cost_Components!$O$2:$O$27,MATCH(E786,Cost_Components!$A$2:$A$27,0)),"")</f>
        <v>Both</v>
      </c>
      <c r="AF786" s="11">
        <v>5651089.1623378601</v>
      </c>
      <c r="AG786" s="11">
        <v>5710539.9685696196</v>
      </c>
      <c r="AH786" s="21">
        <f t="shared" si="129"/>
        <v>1</v>
      </c>
    </row>
    <row r="787" spans="1:34" hidden="1">
      <c r="A787" t="s">
        <v>75</v>
      </c>
      <c r="B787" s="18">
        <v>2030</v>
      </c>
      <c r="C787" t="s">
        <v>183</v>
      </c>
      <c r="D787" t="s">
        <v>177</v>
      </c>
      <c r="E787" s="20" t="s">
        <v>267</v>
      </c>
      <c r="F787" s="20" t="s">
        <v>268</v>
      </c>
      <c r="G787" s="20" t="s">
        <v>195</v>
      </c>
      <c r="H787" s="20" t="s">
        <v>192</v>
      </c>
      <c r="I787" s="20" t="s">
        <v>264</v>
      </c>
      <c r="J787" s="15">
        <f>IFERROR(INDEX(Cost_Components!$K$2:$K$27,MATCH(E787,Cost_Components!$A$2:$A$27,0)),"")</f>
        <v>0.1</v>
      </c>
      <c r="K787" s="15">
        <f t="shared" si="120"/>
        <v>0.42307692307692307</v>
      </c>
      <c r="L787" s="15">
        <f>IFERROR(INDEX(Cost_Components!$S$2:$S$27,MATCH(E787,Cost_Components!$A$2:$A$27,0)),"")</f>
        <v>0.31</v>
      </c>
      <c r="M787" s="26">
        <f>IFERROR(INDEX(Cost_Components!$L$2:$L$27,MATCH(E787,Cost_Components!$A$2:$A$27,0)),"")</f>
        <v>1</v>
      </c>
      <c r="N787" s="27">
        <f>IFERROR(INDEX(Cost_Components!$P$2:$P$27,MATCH(E787,Cost_Components!$A$2:$A$27,0)),"")</f>
        <v>282.51283599999999</v>
      </c>
      <c r="O787" s="21">
        <f t="shared" si="121"/>
        <v>574987.38415738102</v>
      </c>
      <c r="P787" s="21">
        <f t="shared" si="122"/>
        <v>583196.59874699102</v>
      </c>
      <c r="Q787" s="21">
        <f t="shared" si="123"/>
        <v>51075762.767845608</v>
      </c>
      <c r="R787" s="21">
        <f t="shared" si="124"/>
        <v>68725172.391836733</v>
      </c>
      <c r="S787" s="21">
        <f t="shared" si="125"/>
        <v>17649409.623991124</v>
      </c>
      <c r="T787" s="14">
        <f>IFERROR(INDEX(Cost_Components!$R$2:$R$27,MATCH(E787,Cost_Components!$A$2:$A$27,0)),"")</f>
        <v>1</v>
      </c>
      <c r="U787" s="24">
        <f>IFERROR(INDEX(Cost_Components!$Q$2:$Q$27,MATCH(E787,Cost_Components!$A$2:$A$27,0)),"")</f>
        <v>2023</v>
      </c>
      <c r="V787" s="28">
        <f>1/(1+Calculation_Assumptions!$B$5)^(B787-Calculation_Assumptions!$B$2)</f>
        <v>0.86260878438416411</v>
      </c>
      <c r="W787" s="21">
        <f t="shared" si="126"/>
        <v>44058401.632665247</v>
      </c>
      <c r="X787" s="21">
        <f t="shared" si="127"/>
        <v>59282937.413514398</v>
      </c>
      <c r="Y787" s="21">
        <f t="shared" si="128"/>
        <v>15224535.780849151</v>
      </c>
      <c r="Z787" s="15">
        <f>IFERROR(INDEX(Cost_Components!$T$2:$T$27,MATCH(E787,Cost_Components!$A$2:$A$27,0)),"")</f>
        <v>0.8</v>
      </c>
      <c r="AA787" s="24">
        <f>IFERROR(INDEX(Cost_Components!$U$2:$U$27,MATCH(E787,Cost_Components!$A$2:$A$27,0)),"")</f>
        <v>2025</v>
      </c>
      <c r="AB787" s="24">
        <f>IFERROR(INDEX(Cost_Components!$V$2:$V$27,MATCH(E787,Cost_Components!$A$2:$A$27,0)),"")</f>
        <v>2050</v>
      </c>
      <c r="AC787" s="24">
        <f>IFERROR(INDEX(Cost_Components!$M$2:$M$27,MATCH(E787,Cost_Components!$A$2:$A$27,0)),"")</f>
        <v>30</v>
      </c>
      <c r="AD787" s="24">
        <f>IFERROR(INDEX(Cost_Components!$N$2:$N$27,MATCH(E787,Cost_Components!$A$2:$A$27,0)),"")</f>
        <v>95</v>
      </c>
      <c r="AE787" s="14" t="str">
        <f>IFERROR(INDEX(Cost_Components!$O$2:$O$27,MATCH(E787,Cost_Components!$A$2:$A$27,0)),"")</f>
        <v>Both</v>
      </c>
      <c r="AF787" s="11">
        <v>5749873.8415738102</v>
      </c>
      <c r="AG787" s="11">
        <v>5831965.9874699097</v>
      </c>
      <c r="AH787" s="21">
        <f t="shared" si="129"/>
        <v>1</v>
      </c>
    </row>
    <row r="788" spans="1:34" hidden="1">
      <c r="A788" t="s">
        <v>75</v>
      </c>
      <c r="B788" s="18">
        <v>2031</v>
      </c>
      <c r="C788" t="s">
        <v>183</v>
      </c>
      <c r="D788" t="s">
        <v>177</v>
      </c>
      <c r="E788" s="20" t="s">
        <v>267</v>
      </c>
      <c r="F788" s="20" t="s">
        <v>268</v>
      </c>
      <c r="G788" s="20" t="s">
        <v>195</v>
      </c>
      <c r="H788" s="20" t="s">
        <v>192</v>
      </c>
      <c r="I788" s="20" t="s">
        <v>264</v>
      </c>
      <c r="J788" s="15">
        <f>IFERROR(INDEX(Cost_Components!$K$2:$K$27,MATCH(E788,Cost_Components!$A$2:$A$27,0)),"")</f>
        <v>0.1</v>
      </c>
      <c r="K788" s="15">
        <f t="shared" si="120"/>
        <v>0.44192307692307692</v>
      </c>
      <c r="L788" s="15">
        <f>IFERROR(INDEX(Cost_Components!$S$2:$S$27,MATCH(E788,Cost_Components!$A$2:$A$27,0)),"")</f>
        <v>0.31</v>
      </c>
      <c r="M788" s="26">
        <f>IFERROR(INDEX(Cost_Components!$L$2:$L$27,MATCH(E788,Cost_Components!$A$2:$A$27,0)),"")</f>
        <v>1</v>
      </c>
      <c r="N788" s="27">
        <f>IFERROR(INDEX(Cost_Components!$P$2:$P$27,MATCH(E788,Cost_Components!$A$2:$A$27,0)),"")</f>
        <v>282.51283599999999</v>
      </c>
      <c r="O788" s="21">
        <f t="shared" si="121"/>
        <v>584351.67975807702</v>
      </c>
      <c r="P788" s="21">
        <f t="shared" si="122"/>
        <v>595146.15629147307</v>
      </c>
      <c r="Q788" s="21">
        <f t="shared" si="123"/>
        <v>52122292.81900502</v>
      </c>
      <c r="R788" s="21">
        <f t="shared" si="124"/>
        <v>72955688.830777317</v>
      </c>
      <c r="S788" s="21">
        <f t="shared" si="125"/>
        <v>20833396.011772297</v>
      </c>
      <c r="T788" s="14">
        <f>IFERROR(INDEX(Cost_Components!$R$2:$R$27,MATCH(E788,Cost_Components!$A$2:$A$27,0)),"")</f>
        <v>1</v>
      </c>
      <c r="U788" s="24">
        <f>IFERROR(INDEX(Cost_Components!$Q$2:$Q$27,MATCH(E788,Cost_Components!$A$2:$A$27,0)),"")</f>
        <v>2023</v>
      </c>
      <c r="V788" s="28">
        <f>1/(1+Calculation_Assumptions!$B$5)^(B788-Calculation_Assumptions!$B$2)</f>
        <v>0.83748425668365445</v>
      </c>
      <c r="W788" s="21">
        <f t="shared" si="126"/>
        <v>43651599.658172198</v>
      </c>
      <c r="X788" s="21">
        <f t="shared" si="127"/>
        <v>61099240.831287533</v>
      </c>
      <c r="Y788" s="21">
        <f t="shared" si="128"/>
        <v>17447641.173115332</v>
      </c>
      <c r="Z788" s="15">
        <f>IFERROR(INDEX(Cost_Components!$T$2:$T$27,MATCH(E788,Cost_Components!$A$2:$A$27,0)),"")</f>
        <v>0.8</v>
      </c>
      <c r="AA788" s="24">
        <f>IFERROR(INDEX(Cost_Components!$U$2:$U$27,MATCH(E788,Cost_Components!$A$2:$A$27,0)),"")</f>
        <v>2025</v>
      </c>
      <c r="AB788" s="24">
        <f>IFERROR(INDEX(Cost_Components!$V$2:$V$27,MATCH(E788,Cost_Components!$A$2:$A$27,0)),"")</f>
        <v>2050</v>
      </c>
      <c r="AC788" s="24">
        <f>IFERROR(INDEX(Cost_Components!$M$2:$M$27,MATCH(E788,Cost_Components!$A$2:$A$27,0)),"")</f>
        <v>30</v>
      </c>
      <c r="AD788" s="24">
        <f>IFERROR(INDEX(Cost_Components!$N$2:$N$27,MATCH(E788,Cost_Components!$A$2:$A$27,0)),"")</f>
        <v>95</v>
      </c>
      <c r="AE788" s="14" t="str">
        <f>IFERROR(INDEX(Cost_Components!$O$2:$O$27,MATCH(E788,Cost_Components!$A$2:$A$27,0)),"")</f>
        <v>Both</v>
      </c>
      <c r="AF788" s="11">
        <v>5843516.7975807702</v>
      </c>
      <c r="AG788" s="11">
        <v>5951461.56291473</v>
      </c>
      <c r="AH788" s="21">
        <f t="shared" si="129"/>
        <v>1</v>
      </c>
    </row>
    <row r="789" spans="1:34" hidden="1">
      <c r="A789" t="s">
        <v>75</v>
      </c>
      <c r="B789" s="18">
        <v>2032</v>
      </c>
      <c r="C789" t="s">
        <v>183</v>
      </c>
      <c r="D789" t="s">
        <v>177</v>
      </c>
      <c r="E789" s="20" t="s">
        <v>267</v>
      </c>
      <c r="F789" s="20" t="s">
        <v>268</v>
      </c>
      <c r="G789" s="20" t="s">
        <v>195</v>
      </c>
      <c r="H789" s="20" t="s">
        <v>192</v>
      </c>
      <c r="I789" s="20" t="s">
        <v>264</v>
      </c>
      <c r="J789" s="15">
        <f>IFERROR(INDEX(Cost_Components!$K$2:$K$27,MATCH(E789,Cost_Components!$A$2:$A$27,0)),"")</f>
        <v>0.1</v>
      </c>
      <c r="K789" s="15">
        <f t="shared" si="120"/>
        <v>0.46076923076923082</v>
      </c>
      <c r="L789" s="15">
        <f>IFERROR(INDEX(Cost_Components!$S$2:$S$27,MATCH(E789,Cost_Components!$A$2:$A$27,0)),"")</f>
        <v>0.31</v>
      </c>
      <c r="M789" s="26">
        <f>IFERROR(INDEX(Cost_Components!$L$2:$L$27,MATCH(E789,Cost_Components!$A$2:$A$27,0)),"")</f>
        <v>1</v>
      </c>
      <c r="N789" s="27">
        <f>IFERROR(INDEX(Cost_Components!$P$2:$P$27,MATCH(E789,Cost_Components!$A$2:$A$27,0)),"")</f>
        <v>282.51283599999999</v>
      </c>
      <c r="O789" s="21">
        <f t="shared" si="121"/>
        <v>593204.17700396304</v>
      </c>
      <c r="P789" s="21">
        <f t="shared" si="122"/>
        <v>606889.218082921</v>
      </c>
      <c r="Q789" s="21">
        <f t="shared" si="123"/>
        <v>53150738.182912834</v>
      </c>
      <c r="R789" s="21">
        <f t="shared" si="124"/>
        <v>77219299.099299178</v>
      </c>
      <c r="S789" s="21">
        <f t="shared" si="125"/>
        <v>24068560.916386344</v>
      </c>
      <c r="T789" s="14">
        <f>IFERROR(INDEX(Cost_Components!$R$2:$R$27,MATCH(E789,Cost_Components!$A$2:$A$27,0)),"")</f>
        <v>1</v>
      </c>
      <c r="U789" s="24">
        <f>IFERROR(INDEX(Cost_Components!$Q$2:$Q$27,MATCH(E789,Cost_Components!$A$2:$A$27,0)),"")</f>
        <v>2023</v>
      </c>
      <c r="V789" s="28">
        <f>1/(1+Calculation_Assumptions!$B$5)^(B789-Calculation_Assumptions!$B$2)</f>
        <v>0.81309151134335378</v>
      </c>
      <c r="W789" s="21">
        <f t="shared" si="126"/>
        <v>43216414.038159497</v>
      </c>
      <c r="X789" s="21">
        <f t="shared" si="127"/>
        <v>62786356.609523647</v>
      </c>
      <c r="Y789" s="21">
        <f t="shared" si="128"/>
        <v>19569942.571364149</v>
      </c>
      <c r="Z789" s="15">
        <f>IFERROR(INDEX(Cost_Components!$T$2:$T$27,MATCH(E789,Cost_Components!$A$2:$A$27,0)),"")</f>
        <v>0.8</v>
      </c>
      <c r="AA789" s="24">
        <f>IFERROR(INDEX(Cost_Components!$U$2:$U$27,MATCH(E789,Cost_Components!$A$2:$A$27,0)),"")</f>
        <v>2025</v>
      </c>
      <c r="AB789" s="24">
        <f>IFERROR(INDEX(Cost_Components!$V$2:$V$27,MATCH(E789,Cost_Components!$A$2:$A$27,0)),"")</f>
        <v>2050</v>
      </c>
      <c r="AC789" s="24">
        <f>IFERROR(INDEX(Cost_Components!$M$2:$M$27,MATCH(E789,Cost_Components!$A$2:$A$27,0)),"")</f>
        <v>30</v>
      </c>
      <c r="AD789" s="24">
        <f>IFERROR(INDEX(Cost_Components!$N$2:$N$27,MATCH(E789,Cost_Components!$A$2:$A$27,0)),"")</f>
        <v>95</v>
      </c>
      <c r="AE789" s="14" t="str">
        <f>IFERROR(INDEX(Cost_Components!$O$2:$O$27,MATCH(E789,Cost_Components!$A$2:$A$27,0)),"")</f>
        <v>Both</v>
      </c>
      <c r="AF789" s="11">
        <v>5932041.7700396301</v>
      </c>
      <c r="AG789" s="11">
        <v>6068892.1808292102</v>
      </c>
      <c r="AH789" s="21">
        <f t="shared" si="129"/>
        <v>1</v>
      </c>
    </row>
    <row r="790" spans="1:34" hidden="1">
      <c r="A790" t="s">
        <v>75</v>
      </c>
      <c r="B790" s="18">
        <v>2033</v>
      </c>
      <c r="C790" t="s">
        <v>183</v>
      </c>
      <c r="D790" t="s">
        <v>177</v>
      </c>
      <c r="E790" s="20" t="s">
        <v>267</v>
      </c>
      <c r="F790" s="20" t="s">
        <v>268</v>
      </c>
      <c r="G790" s="20" t="s">
        <v>195</v>
      </c>
      <c r="H790" s="20" t="s">
        <v>192</v>
      </c>
      <c r="I790" s="20" t="s">
        <v>264</v>
      </c>
      <c r="J790" s="15">
        <f>IFERROR(INDEX(Cost_Components!$K$2:$K$27,MATCH(E790,Cost_Components!$A$2:$A$27,0)),"")</f>
        <v>0.1</v>
      </c>
      <c r="K790" s="15">
        <f t="shared" si="120"/>
        <v>0.47961538461538467</v>
      </c>
      <c r="L790" s="15">
        <f>IFERROR(INDEX(Cost_Components!$S$2:$S$27,MATCH(E790,Cost_Components!$A$2:$A$27,0)),"")</f>
        <v>0.31</v>
      </c>
      <c r="M790" s="26">
        <f>IFERROR(INDEX(Cost_Components!$L$2:$L$27,MATCH(E790,Cost_Components!$A$2:$A$27,0)),"")</f>
        <v>1</v>
      </c>
      <c r="N790" s="27">
        <f>IFERROR(INDEX(Cost_Components!$P$2:$P$27,MATCH(E790,Cost_Components!$A$2:$A$27,0)),"")</f>
        <v>282.51283599999999</v>
      </c>
      <c r="O790" s="21">
        <f t="shared" si="121"/>
        <v>601530.57355968701</v>
      </c>
      <c r="P790" s="21">
        <f t="shared" si="122"/>
        <v>618394.62388939504</v>
      </c>
      <c r="Q790" s="21">
        <f t="shared" si="123"/>
        <v>54158369.878265366</v>
      </c>
      <c r="R790" s="21">
        <f t="shared" si="124"/>
        <v>81505890.392879263</v>
      </c>
      <c r="S790" s="21">
        <f t="shared" si="125"/>
        <v>27347520.514613897</v>
      </c>
      <c r="T790" s="14">
        <f>IFERROR(INDEX(Cost_Components!$R$2:$R$27,MATCH(E790,Cost_Components!$A$2:$A$27,0)),"")</f>
        <v>1</v>
      </c>
      <c r="U790" s="24">
        <f>IFERROR(INDEX(Cost_Components!$Q$2:$Q$27,MATCH(E790,Cost_Components!$A$2:$A$27,0)),"")</f>
        <v>2023</v>
      </c>
      <c r="V790" s="28">
        <f>1/(1+Calculation_Assumptions!$B$5)^(B790-Calculation_Assumptions!$B$2)</f>
        <v>0.78940923431393573</v>
      </c>
      <c r="W790" s="21">
        <f t="shared" si="126"/>
        <v>42753117.297292382</v>
      </c>
      <c r="X790" s="21">
        <f t="shared" si="127"/>
        <v>64341502.527118392</v>
      </c>
      <c r="Y790" s="21">
        <f t="shared" si="128"/>
        <v>21588385.229826007</v>
      </c>
      <c r="Z790" s="15">
        <f>IFERROR(INDEX(Cost_Components!$T$2:$T$27,MATCH(E790,Cost_Components!$A$2:$A$27,0)),"")</f>
        <v>0.8</v>
      </c>
      <c r="AA790" s="24">
        <f>IFERROR(INDEX(Cost_Components!$U$2:$U$27,MATCH(E790,Cost_Components!$A$2:$A$27,0)),"")</f>
        <v>2025</v>
      </c>
      <c r="AB790" s="24">
        <f>IFERROR(INDEX(Cost_Components!$V$2:$V$27,MATCH(E790,Cost_Components!$A$2:$A$27,0)),"")</f>
        <v>2050</v>
      </c>
      <c r="AC790" s="24">
        <f>IFERROR(INDEX(Cost_Components!$M$2:$M$27,MATCH(E790,Cost_Components!$A$2:$A$27,0)),"")</f>
        <v>30</v>
      </c>
      <c r="AD790" s="24">
        <f>IFERROR(INDEX(Cost_Components!$N$2:$N$27,MATCH(E790,Cost_Components!$A$2:$A$27,0)),"")</f>
        <v>95</v>
      </c>
      <c r="AE790" s="14" t="str">
        <f>IFERROR(INDEX(Cost_Components!$O$2:$O$27,MATCH(E790,Cost_Components!$A$2:$A$27,0)),"")</f>
        <v>Both</v>
      </c>
      <c r="AF790" s="11">
        <v>6015305.7355968701</v>
      </c>
      <c r="AG790" s="11">
        <v>6183946.2388939504</v>
      </c>
      <c r="AH790" s="21">
        <f t="shared" si="129"/>
        <v>1</v>
      </c>
    </row>
    <row r="791" spans="1:34" hidden="1">
      <c r="A791" t="s">
        <v>75</v>
      </c>
      <c r="B791" s="18">
        <v>2034</v>
      </c>
      <c r="C791" t="s">
        <v>183</v>
      </c>
      <c r="D791" t="s">
        <v>177</v>
      </c>
      <c r="E791" s="20" t="s">
        <v>267</v>
      </c>
      <c r="F791" s="20" t="s">
        <v>268</v>
      </c>
      <c r="G791" s="20" t="s">
        <v>195</v>
      </c>
      <c r="H791" s="20" t="s">
        <v>192</v>
      </c>
      <c r="I791" s="20" t="s">
        <v>264</v>
      </c>
      <c r="J791" s="15">
        <f>IFERROR(INDEX(Cost_Components!$K$2:$K$27,MATCH(E791,Cost_Components!$A$2:$A$27,0)),"")</f>
        <v>0.1</v>
      </c>
      <c r="K791" s="15">
        <f t="shared" si="120"/>
        <v>0.49846153846153851</v>
      </c>
      <c r="L791" s="15">
        <f>IFERROR(INDEX(Cost_Components!$S$2:$S$27,MATCH(E791,Cost_Components!$A$2:$A$27,0)),"")</f>
        <v>0.31</v>
      </c>
      <c r="M791" s="26">
        <f>IFERROR(INDEX(Cost_Components!$L$2:$L$27,MATCH(E791,Cost_Components!$A$2:$A$27,0)),"")</f>
        <v>1</v>
      </c>
      <c r="N791" s="27">
        <f>IFERROR(INDEX(Cost_Components!$P$2:$P$27,MATCH(E791,Cost_Components!$A$2:$A$27,0)),"")</f>
        <v>282.51283599999999</v>
      </c>
      <c r="O791" s="21">
        <f t="shared" si="121"/>
        <v>609329.23803347501</v>
      </c>
      <c r="P791" s="21">
        <f t="shared" si="122"/>
        <v>629643.13001450303</v>
      </c>
      <c r="Q791" s="21">
        <f t="shared" si="123"/>
        <v>55143502.561777331</v>
      </c>
      <c r="R791" s="21">
        <f t="shared" si="124"/>
        <v>85806829.653286412</v>
      </c>
      <c r="S791" s="21">
        <f t="shared" si="125"/>
        <v>30663327.091509081</v>
      </c>
      <c r="T791" s="14">
        <f>IFERROR(INDEX(Cost_Components!$R$2:$R$27,MATCH(E791,Cost_Components!$A$2:$A$27,0)),"")</f>
        <v>1</v>
      </c>
      <c r="U791" s="24">
        <f>IFERROR(INDEX(Cost_Components!$Q$2:$Q$27,MATCH(E791,Cost_Components!$A$2:$A$27,0)),"")</f>
        <v>2023</v>
      </c>
      <c r="V791" s="28">
        <f>1/(1+Calculation_Assumptions!$B$5)^(B791-Calculation_Assumptions!$B$2)</f>
        <v>0.76641673234362695</v>
      </c>
      <c r="W791" s="21">
        <f t="shared" si="126"/>
        <v>42262903.043379806</v>
      </c>
      <c r="X791" s="21">
        <f t="shared" si="127"/>
        <v>65763789.995638005</v>
      </c>
      <c r="Y791" s="21">
        <f t="shared" si="128"/>
        <v>23500886.952258199</v>
      </c>
      <c r="Z791" s="15">
        <f>IFERROR(INDEX(Cost_Components!$T$2:$T$27,MATCH(E791,Cost_Components!$A$2:$A$27,0)),"")</f>
        <v>0.8</v>
      </c>
      <c r="AA791" s="24">
        <f>IFERROR(INDEX(Cost_Components!$U$2:$U$27,MATCH(E791,Cost_Components!$A$2:$A$27,0)),"")</f>
        <v>2025</v>
      </c>
      <c r="AB791" s="24">
        <f>IFERROR(INDEX(Cost_Components!$V$2:$V$27,MATCH(E791,Cost_Components!$A$2:$A$27,0)),"")</f>
        <v>2050</v>
      </c>
      <c r="AC791" s="24">
        <f>IFERROR(INDEX(Cost_Components!$M$2:$M$27,MATCH(E791,Cost_Components!$A$2:$A$27,0)),"")</f>
        <v>30</v>
      </c>
      <c r="AD791" s="24">
        <f>IFERROR(INDEX(Cost_Components!$N$2:$N$27,MATCH(E791,Cost_Components!$A$2:$A$27,0)),"")</f>
        <v>95</v>
      </c>
      <c r="AE791" s="14" t="str">
        <f>IFERROR(INDEX(Cost_Components!$O$2:$O$27,MATCH(E791,Cost_Components!$A$2:$A$27,0)),"")</f>
        <v>Both</v>
      </c>
      <c r="AF791" s="11">
        <v>6093292.3803347498</v>
      </c>
      <c r="AG791" s="11">
        <v>6296431.30014503</v>
      </c>
      <c r="AH791" s="21">
        <f t="shared" si="129"/>
        <v>1</v>
      </c>
    </row>
    <row r="792" spans="1:34" hidden="1">
      <c r="A792" t="s">
        <v>75</v>
      </c>
      <c r="B792" s="18">
        <v>2035</v>
      </c>
      <c r="C792" t="s">
        <v>183</v>
      </c>
      <c r="D792" t="s">
        <v>177</v>
      </c>
      <c r="E792" s="20" t="s">
        <v>267</v>
      </c>
      <c r="F792" s="20" t="s">
        <v>268</v>
      </c>
      <c r="G792" s="20" t="s">
        <v>195</v>
      </c>
      <c r="H792" s="20" t="s">
        <v>192</v>
      </c>
      <c r="I792" s="20" t="s">
        <v>264</v>
      </c>
      <c r="J792" s="15">
        <f>IFERROR(INDEX(Cost_Components!$K$2:$K$27,MATCH(E792,Cost_Components!$A$2:$A$27,0)),"")</f>
        <v>0.1</v>
      </c>
      <c r="K792" s="15">
        <f t="shared" si="120"/>
        <v>0.51730769230769236</v>
      </c>
      <c r="L792" s="15">
        <f>IFERROR(INDEX(Cost_Components!$S$2:$S$27,MATCH(E792,Cost_Components!$A$2:$A$27,0)),"")</f>
        <v>0.31</v>
      </c>
      <c r="M792" s="26">
        <f>IFERROR(INDEX(Cost_Components!$L$2:$L$27,MATCH(E792,Cost_Components!$A$2:$A$27,0)),"")</f>
        <v>1</v>
      </c>
      <c r="N792" s="27">
        <f>IFERROR(INDEX(Cost_Components!$P$2:$P$27,MATCH(E792,Cost_Components!$A$2:$A$27,0)),"")</f>
        <v>282.51283599999999</v>
      </c>
      <c r="O792" s="21">
        <f t="shared" si="121"/>
        <v>616618.040220347</v>
      </c>
      <c r="P792" s="21">
        <f t="shared" si="122"/>
        <v>640634.82700448809</v>
      </c>
      <c r="Q792" s="21">
        <f t="shared" si="123"/>
        <v>56106144.163396269</v>
      </c>
      <c r="R792" s="21">
        <f t="shared" si="124"/>
        <v>90116299.100019053</v>
      </c>
      <c r="S792" s="21">
        <f t="shared" si="125"/>
        <v>34010154.936622784</v>
      </c>
      <c r="T792" s="14">
        <f>IFERROR(INDEX(Cost_Components!$R$2:$R$27,MATCH(E792,Cost_Components!$A$2:$A$27,0)),"")</f>
        <v>1</v>
      </c>
      <c r="U792" s="24">
        <f>IFERROR(INDEX(Cost_Components!$Q$2:$Q$27,MATCH(E792,Cost_Components!$A$2:$A$27,0)),"")</f>
        <v>2023</v>
      </c>
      <c r="V792" s="28">
        <f>1/(1+Calculation_Assumptions!$B$5)^(B792-Calculation_Assumptions!$B$2)</f>
        <v>0.74409391489672516</v>
      </c>
      <c r="W792" s="21">
        <f t="shared" si="126"/>
        <v>41748240.460301578</v>
      </c>
      <c r="X792" s="21">
        <f t="shared" si="127"/>
        <v>67054989.793337405</v>
      </c>
      <c r="Y792" s="21">
        <f t="shared" si="128"/>
        <v>25306749.33303583</v>
      </c>
      <c r="Z792" s="15">
        <f>IFERROR(INDEX(Cost_Components!$T$2:$T$27,MATCH(E792,Cost_Components!$A$2:$A$27,0)),"")</f>
        <v>0.8</v>
      </c>
      <c r="AA792" s="24">
        <f>IFERROR(INDEX(Cost_Components!$U$2:$U$27,MATCH(E792,Cost_Components!$A$2:$A$27,0)),"")</f>
        <v>2025</v>
      </c>
      <c r="AB792" s="24">
        <f>IFERROR(INDEX(Cost_Components!$V$2:$V$27,MATCH(E792,Cost_Components!$A$2:$A$27,0)),"")</f>
        <v>2050</v>
      </c>
      <c r="AC792" s="24">
        <f>IFERROR(INDEX(Cost_Components!$M$2:$M$27,MATCH(E792,Cost_Components!$A$2:$A$27,0)),"")</f>
        <v>30</v>
      </c>
      <c r="AD792" s="24">
        <f>IFERROR(INDEX(Cost_Components!$N$2:$N$27,MATCH(E792,Cost_Components!$A$2:$A$27,0)),"")</f>
        <v>95</v>
      </c>
      <c r="AE792" s="14" t="str">
        <f>IFERROR(INDEX(Cost_Components!$O$2:$O$27,MATCH(E792,Cost_Components!$A$2:$A$27,0)),"")</f>
        <v>Both</v>
      </c>
      <c r="AF792" s="11">
        <v>6166180.4022034695</v>
      </c>
      <c r="AG792" s="11">
        <v>6406348.27004488</v>
      </c>
      <c r="AH792" s="21">
        <f t="shared" si="129"/>
        <v>1</v>
      </c>
    </row>
    <row r="793" spans="1:34" hidden="1">
      <c r="A793" t="s">
        <v>75</v>
      </c>
      <c r="B793" s="18">
        <v>2036</v>
      </c>
      <c r="C793" t="s">
        <v>183</v>
      </c>
      <c r="D793" t="s">
        <v>177</v>
      </c>
      <c r="E793" s="20" t="s">
        <v>267</v>
      </c>
      <c r="F793" s="20" t="s">
        <v>268</v>
      </c>
      <c r="G793" s="20" t="s">
        <v>195</v>
      </c>
      <c r="H793" s="20" t="s">
        <v>192</v>
      </c>
      <c r="I793" s="20" t="s">
        <v>264</v>
      </c>
      <c r="J793" s="15">
        <f>IFERROR(INDEX(Cost_Components!$K$2:$K$27,MATCH(E793,Cost_Components!$A$2:$A$27,0)),"")</f>
        <v>0.1</v>
      </c>
      <c r="K793" s="15">
        <f t="shared" si="120"/>
        <v>0.5361538461538462</v>
      </c>
      <c r="L793" s="15">
        <f>IFERROR(INDEX(Cost_Components!$S$2:$S$27,MATCH(E793,Cost_Components!$A$2:$A$27,0)),"")</f>
        <v>0.31</v>
      </c>
      <c r="M793" s="26">
        <f>IFERROR(INDEX(Cost_Components!$L$2:$L$27,MATCH(E793,Cost_Components!$A$2:$A$27,0)),"")</f>
        <v>1</v>
      </c>
      <c r="N793" s="27">
        <f>IFERROR(INDEX(Cost_Components!$P$2:$P$27,MATCH(E793,Cost_Components!$A$2:$A$27,0)),"")</f>
        <v>282.51283599999999</v>
      </c>
      <c r="O793" s="21">
        <f t="shared" si="121"/>
        <v>623435.40090130805</v>
      </c>
      <c r="P793" s="21">
        <f t="shared" si="122"/>
        <v>651389.96992914611</v>
      </c>
      <c r="Q793" s="21">
        <f t="shared" si="123"/>
        <v>57048068.601457715</v>
      </c>
      <c r="R793" s="21">
        <f t="shared" si="124"/>
        <v>94431974.392679676</v>
      </c>
      <c r="S793" s="21">
        <f t="shared" si="125"/>
        <v>37383905.791221961</v>
      </c>
      <c r="T793" s="14">
        <f>IFERROR(INDEX(Cost_Components!$R$2:$R$27,MATCH(E793,Cost_Components!$A$2:$A$27,0)),"")</f>
        <v>1</v>
      </c>
      <c r="U793" s="24">
        <f>IFERROR(INDEX(Cost_Components!$Q$2:$Q$27,MATCH(E793,Cost_Components!$A$2:$A$27,0)),"")</f>
        <v>2023</v>
      </c>
      <c r="V793" s="28">
        <f>1/(1+Calculation_Assumptions!$B$5)^(B793-Calculation_Assumptions!$B$2)</f>
        <v>0.72242127659876232</v>
      </c>
      <c r="W793" s="21">
        <f t="shared" si="126"/>
        <v>41212738.54655885</v>
      </c>
      <c r="X793" s="21">
        <f t="shared" si="127"/>
        <v>68219667.492501289</v>
      </c>
      <c r="Y793" s="21">
        <f t="shared" si="128"/>
        <v>27006928.945942432</v>
      </c>
      <c r="Z793" s="15">
        <f>IFERROR(INDEX(Cost_Components!$T$2:$T$27,MATCH(E793,Cost_Components!$A$2:$A$27,0)),"")</f>
        <v>0.8</v>
      </c>
      <c r="AA793" s="24">
        <f>IFERROR(INDEX(Cost_Components!$U$2:$U$27,MATCH(E793,Cost_Components!$A$2:$A$27,0)),"")</f>
        <v>2025</v>
      </c>
      <c r="AB793" s="24">
        <f>IFERROR(INDEX(Cost_Components!$V$2:$V$27,MATCH(E793,Cost_Components!$A$2:$A$27,0)),"")</f>
        <v>2050</v>
      </c>
      <c r="AC793" s="24">
        <f>IFERROR(INDEX(Cost_Components!$M$2:$M$27,MATCH(E793,Cost_Components!$A$2:$A$27,0)),"")</f>
        <v>30</v>
      </c>
      <c r="AD793" s="24">
        <f>IFERROR(INDEX(Cost_Components!$N$2:$N$27,MATCH(E793,Cost_Components!$A$2:$A$27,0)),"")</f>
        <v>95</v>
      </c>
      <c r="AE793" s="14" t="str">
        <f>IFERROR(INDEX(Cost_Components!$O$2:$O$27,MATCH(E793,Cost_Components!$A$2:$A$27,0)),"")</f>
        <v>Both</v>
      </c>
      <c r="AF793" s="11">
        <v>6234354.00901308</v>
      </c>
      <c r="AG793" s="11">
        <v>6513899.6992914602</v>
      </c>
      <c r="AH793" s="21">
        <f t="shared" si="129"/>
        <v>1</v>
      </c>
    </row>
    <row r="794" spans="1:34" hidden="1">
      <c r="A794" t="s">
        <v>75</v>
      </c>
      <c r="B794" s="18">
        <v>2037</v>
      </c>
      <c r="C794" t="s">
        <v>183</v>
      </c>
      <c r="D794" t="s">
        <v>177</v>
      </c>
      <c r="E794" s="20" t="s">
        <v>267</v>
      </c>
      <c r="F794" s="20" t="s">
        <v>268</v>
      </c>
      <c r="G794" s="20" t="s">
        <v>195</v>
      </c>
      <c r="H794" s="20" t="s">
        <v>192</v>
      </c>
      <c r="I794" s="20" t="s">
        <v>264</v>
      </c>
      <c r="J794" s="15">
        <f>IFERROR(INDEX(Cost_Components!$K$2:$K$27,MATCH(E794,Cost_Components!$A$2:$A$27,0)),"")</f>
        <v>0.1</v>
      </c>
      <c r="K794" s="15">
        <f t="shared" si="120"/>
        <v>0.55500000000000005</v>
      </c>
      <c r="L794" s="15">
        <f>IFERROR(INDEX(Cost_Components!$S$2:$S$27,MATCH(E794,Cost_Components!$A$2:$A$27,0)),"")</f>
        <v>0.31</v>
      </c>
      <c r="M794" s="26">
        <f>IFERROR(INDEX(Cost_Components!$L$2:$L$27,MATCH(E794,Cost_Components!$A$2:$A$27,0)),"")</f>
        <v>1</v>
      </c>
      <c r="N794" s="27">
        <f>IFERROR(INDEX(Cost_Components!$P$2:$P$27,MATCH(E794,Cost_Components!$A$2:$A$27,0)),"")</f>
        <v>282.51283599999999</v>
      </c>
      <c r="O794" s="21">
        <f t="shared" si="121"/>
        <v>629780.83543881809</v>
      </c>
      <c r="P794" s="21">
        <f t="shared" si="122"/>
        <v>661888.87462230399</v>
      </c>
      <c r="Q794" s="21">
        <f t="shared" si="123"/>
        <v>57967551.956782609</v>
      </c>
      <c r="R794" s="21">
        <f t="shared" si="124"/>
        <v>98746249.282439739</v>
      </c>
      <c r="S794" s="21">
        <f t="shared" si="125"/>
        <v>40778697.325657129</v>
      </c>
      <c r="T794" s="14">
        <f>IFERROR(INDEX(Cost_Components!$R$2:$R$27,MATCH(E794,Cost_Components!$A$2:$A$27,0)),"")</f>
        <v>1</v>
      </c>
      <c r="U794" s="24">
        <f>IFERROR(INDEX(Cost_Components!$Q$2:$Q$27,MATCH(E794,Cost_Components!$A$2:$A$27,0)),"")</f>
        <v>2023</v>
      </c>
      <c r="V794" s="28">
        <f>1/(1+Calculation_Assumptions!$B$5)^(B794-Calculation_Assumptions!$B$2)</f>
        <v>0.70137988019297326</v>
      </c>
      <c r="W794" s="21">
        <f t="shared" si="126"/>
        <v>40657274.64652814</v>
      </c>
      <c r="X794" s="21">
        <f t="shared" si="127"/>
        <v>69258632.491223052</v>
      </c>
      <c r="Y794" s="21">
        <f t="shared" si="128"/>
        <v>28601357.844694916</v>
      </c>
      <c r="Z794" s="15">
        <f>IFERROR(INDEX(Cost_Components!$T$2:$T$27,MATCH(E794,Cost_Components!$A$2:$A$27,0)),"")</f>
        <v>0.8</v>
      </c>
      <c r="AA794" s="24">
        <f>IFERROR(INDEX(Cost_Components!$U$2:$U$27,MATCH(E794,Cost_Components!$A$2:$A$27,0)),"")</f>
        <v>2025</v>
      </c>
      <c r="AB794" s="24">
        <f>IFERROR(INDEX(Cost_Components!$V$2:$V$27,MATCH(E794,Cost_Components!$A$2:$A$27,0)),"")</f>
        <v>2050</v>
      </c>
      <c r="AC794" s="24">
        <f>IFERROR(INDEX(Cost_Components!$M$2:$M$27,MATCH(E794,Cost_Components!$A$2:$A$27,0)),"")</f>
        <v>30</v>
      </c>
      <c r="AD794" s="24">
        <f>IFERROR(INDEX(Cost_Components!$N$2:$N$27,MATCH(E794,Cost_Components!$A$2:$A$27,0)),"")</f>
        <v>95</v>
      </c>
      <c r="AE794" s="14" t="str">
        <f>IFERROR(INDEX(Cost_Components!$O$2:$O$27,MATCH(E794,Cost_Components!$A$2:$A$27,0)),"")</f>
        <v>Both</v>
      </c>
      <c r="AF794" s="11">
        <v>6297808.3543881802</v>
      </c>
      <c r="AG794" s="11">
        <v>6618888.7462230399</v>
      </c>
      <c r="AH794" s="21">
        <f t="shared" si="129"/>
        <v>1</v>
      </c>
    </row>
    <row r="795" spans="1:34" hidden="1">
      <c r="A795" t="s">
        <v>75</v>
      </c>
      <c r="B795" s="18">
        <v>2038</v>
      </c>
      <c r="C795" t="s">
        <v>183</v>
      </c>
      <c r="D795" t="s">
        <v>177</v>
      </c>
      <c r="E795" s="20" t="s">
        <v>267</v>
      </c>
      <c r="F795" s="20" t="s">
        <v>268</v>
      </c>
      <c r="G795" s="20" t="s">
        <v>195</v>
      </c>
      <c r="H795" s="20" t="s">
        <v>192</v>
      </c>
      <c r="I795" s="20" t="s">
        <v>264</v>
      </c>
      <c r="J795" s="15">
        <f>IFERROR(INDEX(Cost_Components!$K$2:$K$27,MATCH(E795,Cost_Components!$A$2:$A$27,0)),"")</f>
        <v>0.1</v>
      </c>
      <c r="K795" s="15">
        <f t="shared" si="120"/>
        <v>0.57384615384615389</v>
      </c>
      <c r="L795" s="15">
        <f>IFERROR(INDEX(Cost_Components!$S$2:$S$27,MATCH(E795,Cost_Components!$A$2:$A$27,0)),"")</f>
        <v>0.31</v>
      </c>
      <c r="M795" s="26">
        <f>IFERROR(INDEX(Cost_Components!$L$2:$L$27,MATCH(E795,Cost_Components!$A$2:$A$27,0)),"")</f>
        <v>1</v>
      </c>
      <c r="N795" s="27">
        <f>IFERROR(INDEX(Cost_Components!$P$2:$P$27,MATCH(E795,Cost_Components!$A$2:$A$27,0)),"")</f>
        <v>282.51283599999999</v>
      </c>
      <c r="O795" s="21">
        <f t="shared" si="121"/>
        <v>635645.1311014751</v>
      </c>
      <c r="P795" s="21">
        <f t="shared" si="122"/>
        <v>672104.47586944408</v>
      </c>
      <c r="Q795" s="21">
        <f t="shared" si="123"/>
        <v>58862223.885512762</v>
      </c>
      <c r="R795" s="21">
        <f t="shared" si="124"/>
        <v>103050092.21007222</v>
      </c>
      <c r="S795" s="21">
        <f t="shared" si="125"/>
        <v>44187868.324559458</v>
      </c>
      <c r="T795" s="14">
        <f>IFERROR(INDEX(Cost_Components!$R$2:$R$27,MATCH(E795,Cost_Components!$A$2:$A$27,0)),"")</f>
        <v>1</v>
      </c>
      <c r="U795" s="24">
        <f>IFERROR(INDEX(Cost_Components!$Q$2:$Q$27,MATCH(E795,Cost_Components!$A$2:$A$27,0)),"")</f>
        <v>2023</v>
      </c>
      <c r="V795" s="28">
        <f>1/(1+Calculation_Assumptions!$B$5)^(B795-Calculation_Assumptions!$B$2)</f>
        <v>0.68095133999317792</v>
      </c>
      <c r="W795" s="21">
        <f t="shared" si="126"/>
        <v>40082310.229818359</v>
      </c>
      <c r="X795" s="21">
        <f t="shared" si="127"/>
        <v>70172098.376869217</v>
      </c>
      <c r="Y795" s="21">
        <f t="shared" si="128"/>
        <v>30089788.147050865</v>
      </c>
      <c r="Z795" s="15">
        <f>IFERROR(INDEX(Cost_Components!$T$2:$T$27,MATCH(E795,Cost_Components!$A$2:$A$27,0)),"")</f>
        <v>0.8</v>
      </c>
      <c r="AA795" s="24">
        <f>IFERROR(INDEX(Cost_Components!$U$2:$U$27,MATCH(E795,Cost_Components!$A$2:$A$27,0)),"")</f>
        <v>2025</v>
      </c>
      <c r="AB795" s="24">
        <f>IFERROR(INDEX(Cost_Components!$V$2:$V$27,MATCH(E795,Cost_Components!$A$2:$A$27,0)),"")</f>
        <v>2050</v>
      </c>
      <c r="AC795" s="24">
        <f>IFERROR(INDEX(Cost_Components!$M$2:$M$27,MATCH(E795,Cost_Components!$A$2:$A$27,0)),"")</f>
        <v>30</v>
      </c>
      <c r="AD795" s="24">
        <f>IFERROR(INDEX(Cost_Components!$N$2:$N$27,MATCH(E795,Cost_Components!$A$2:$A$27,0)),"")</f>
        <v>95</v>
      </c>
      <c r="AE795" s="14" t="str">
        <f>IFERROR(INDEX(Cost_Components!$O$2:$O$27,MATCH(E795,Cost_Components!$A$2:$A$27,0)),"")</f>
        <v>Both</v>
      </c>
      <c r="AF795" s="11">
        <v>6356451.31101475</v>
      </c>
      <c r="AG795" s="11">
        <v>6721044.7586944401</v>
      </c>
      <c r="AH795" s="21">
        <f t="shared" si="129"/>
        <v>1</v>
      </c>
    </row>
    <row r="796" spans="1:34" hidden="1">
      <c r="A796" t="s">
        <v>75</v>
      </c>
      <c r="B796" s="18">
        <v>2039</v>
      </c>
      <c r="C796" t="s">
        <v>183</v>
      </c>
      <c r="D796" t="s">
        <v>177</v>
      </c>
      <c r="E796" s="20" t="s">
        <v>267</v>
      </c>
      <c r="F796" s="20" t="s">
        <v>268</v>
      </c>
      <c r="G796" s="20" t="s">
        <v>195</v>
      </c>
      <c r="H796" s="20" t="s">
        <v>192</v>
      </c>
      <c r="I796" s="20" t="s">
        <v>264</v>
      </c>
      <c r="J796" s="15">
        <f>IFERROR(INDEX(Cost_Components!$K$2:$K$27,MATCH(E796,Cost_Components!$A$2:$A$27,0)),"")</f>
        <v>0.1</v>
      </c>
      <c r="K796" s="15">
        <f t="shared" si="120"/>
        <v>0.59269230769230763</v>
      </c>
      <c r="L796" s="15">
        <f>IFERROR(INDEX(Cost_Components!$S$2:$S$27,MATCH(E796,Cost_Components!$A$2:$A$27,0)),"")</f>
        <v>0.31</v>
      </c>
      <c r="M796" s="26">
        <f>IFERROR(INDEX(Cost_Components!$L$2:$L$27,MATCH(E796,Cost_Components!$A$2:$A$27,0)),"")</f>
        <v>1</v>
      </c>
      <c r="N796" s="27">
        <f>IFERROR(INDEX(Cost_Components!$P$2:$P$27,MATCH(E796,Cost_Components!$A$2:$A$27,0)),"")</f>
        <v>282.51283599999999</v>
      </c>
      <c r="O796" s="21">
        <f t="shared" si="121"/>
        <v>641031.36299430998</v>
      </c>
      <c r="P796" s="21">
        <f t="shared" si="122"/>
        <v>682023.49102481105</v>
      </c>
      <c r="Q796" s="21">
        <f t="shared" si="123"/>
        <v>59730921.107092373</v>
      </c>
      <c r="R796" s="21">
        <f t="shared" si="124"/>
        <v>107336332.92615582</v>
      </c>
      <c r="S796" s="21">
        <f t="shared" si="125"/>
        <v>47605411.819063447</v>
      </c>
      <c r="T796" s="14">
        <f>IFERROR(INDEX(Cost_Components!$R$2:$R$27,MATCH(E796,Cost_Components!$A$2:$A$27,0)),"")</f>
        <v>1</v>
      </c>
      <c r="U796" s="24">
        <f>IFERROR(INDEX(Cost_Components!$Q$2:$Q$27,MATCH(E796,Cost_Components!$A$2:$A$27,0)),"")</f>
        <v>2023</v>
      </c>
      <c r="V796" s="28">
        <f>1/(1+Calculation_Assumptions!$B$5)^(B796-Calculation_Assumptions!$B$2)</f>
        <v>0.66111780581861923</v>
      </c>
      <c r="W796" s="21">
        <f t="shared" si="126"/>
        <v>39489175.501845963</v>
      </c>
      <c r="X796" s="21">
        <f t="shared" si="127"/>
        <v>70961960.908756956</v>
      </c>
      <c r="Y796" s="21">
        <f t="shared" si="128"/>
        <v>31472785.406910989</v>
      </c>
      <c r="Z796" s="15">
        <f>IFERROR(INDEX(Cost_Components!$T$2:$T$27,MATCH(E796,Cost_Components!$A$2:$A$27,0)),"")</f>
        <v>0.8</v>
      </c>
      <c r="AA796" s="24">
        <f>IFERROR(INDEX(Cost_Components!$U$2:$U$27,MATCH(E796,Cost_Components!$A$2:$A$27,0)),"")</f>
        <v>2025</v>
      </c>
      <c r="AB796" s="24">
        <f>IFERROR(INDEX(Cost_Components!$V$2:$V$27,MATCH(E796,Cost_Components!$A$2:$A$27,0)),"")</f>
        <v>2050</v>
      </c>
      <c r="AC796" s="24">
        <f>IFERROR(INDEX(Cost_Components!$M$2:$M$27,MATCH(E796,Cost_Components!$A$2:$A$27,0)),"")</f>
        <v>30</v>
      </c>
      <c r="AD796" s="24">
        <f>IFERROR(INDEX(Cost_Components!$N$2:$N$27,MATCH(E796,Cost_Components!$A$2:$A$27,0)),"")</f>
        <v>95</v>
      </c>
      <c r="AE796" s="14" t="str">
        <f>IFERROR(INDEX(Cost_Components!$O$2:$O$27,MATCH(E796,Cost_Components!$A$2:$A$27,0)),"")</f>
        <v>Both</v>
      </c>
      <c r="AF796" s="11">
        <v>6410313.6299430998</v>
      </c>
      <c r="AG796" s="11">
        <v>6820234.9102481101</v>
      </c>
      <c r="AH796" s="21">
        <f t="shared" si="129"/>
        <v>1</v>
      </c>
    </row>
    <row r="797" spans="1:34" hidden="1">
      <c r="A797" t="s">
        <v>75</v>
      </c>
      <c r="B797" s="18">
        <v>2040</v>
      </c>
      <c r="C797" t="s">
        <v>183</v>
      </c>
      <c r="D797" t="s">
        <v>177</v>
      </c>
      <c r="E797" s="20" t="s">
        <v>267</v>
      </c>
      <c r="F797" s="20" t="s">
        <v>268</v>
      </c>
      <c r="G797" s="20" t="s">
        <v>195</v>
      </c>
      <c r="H797" s="20" t="s">
        <v>192</v>
      </c>
      <c r="I797" s="20" t="s">
        <v>264</v>
      </c>
      <c r="J797" s="15">
        <f>IFERROR(INDEX(Cost_Components!$K$2:$K$27,MATCH(E797,Cost_Components!$A$2:$A$27,0)),"")</f>
        <v>0.1</v>
      </c>
      <c r="K797" s="15">
        <f t="shared" si="120"/>
        <v>0.61153846153846159</v>
      </c>
      <c r="L797" s="15">
        <f>IFERROR(INDEX(Cost_Components!$S$2:$S$27,MATCH(E797,Cost_Components!$A$2:$A$27,0)),"")</f>
        <v>0.31</v>
      </c>
      <c r="M797" s="26">
        <f>IFERROR(INDEX(Cost_Components!$L$2:$L$27,MATCH(E797,Cost_Components!$A$2:$A$27,0)),"")</f>
        <v>1</v>
      </c>
      <c r="N797" s="27">
        <f>IFERROR(INDEX(Cost_Components!$P$2:$P$27,MATCH(E797,Cost_Components!$A$2:$A$27,0)),"")</f>
        <v>282.51283599999999</v>
      </c>
      <c r="O797" s="21">
        <f t="shared" si="121"/>
        <v>645970.35943351209</v>
      </c>
      <c r="P797" s="21">
        <f t="shared" si="122"/>
        <v>691658.97030638007</v>
      </c>
      <c r="Q797" s="21">
        <f t="shared" si="123"/>
        <v>60574786.546289518</v>
      </c>
      <c r="R797" s="21">
        <f t="shared" si="124"/>
        <v>111602661.52409475</v>
      </c>
      <c r="S797" s="21">
        <f t="shared" si="125"/>
        <v>51027874.977805227</v>
      </c>
      <c r="T797" s="14">
        <f>IFERROR(INDEX(Cost_Components!$R$2:$R$27,MATCH(E797,Cost_Components!$A$2:$A$27,0)),"")</f>
        <v>1</v>
      </c>
      <c r="U797" s="24">
        <f>IFERROR(INDEX(Cost_Components!$Q$2:$Q$27,MATCH(E797,Cost_Components!$A$2:$A$27,0)),"")</f>
        <v>2023</v>
      </c>
      <c r="V797" s="28">
        <f>1/(1+Calculation_Assumptions!$B$5)^(B797-Calculation_Assumptions!$B$2)</f>
        <v>0.64186194739671765</v>
      </c>
      <c r="W797" s="21">
        <f t="shared" si="126"/>
        <v>38880650.455741882</v>
      </c>
      <c r="X797" s="21">
        <f t="shared" si="127"/>
        <v>71633501.660512179</v>
      </c>
      <c r="Y797" s="21">
        <f t="shared" si="128"/>
        <v>32752851.204770304</v>
      </c>
      <c r="Z797" s="15">
        <f>IFERROR(INDEX(Cost_Components!$T$2:$T$27,MATCH(E797,Cost_Components!$A$2:$A$27,0)),"")</f>
        <v>0.8</v>
      </c>
      <c r="AA797" s="24">
        <f>IFERROR(INDEX(Cost_Components!$U$2:$U$27,MATCH(E797,Cost_Components!$A$2:$A$27,0)),"")</f>
        <v>2025</v>
      </c>
      <c r="AB797" s="24">
        <f>IFERROR(INDEX(Cost_Components!$V$2:$V$27,MATCH(E797,Cost_Components!$A$2:$A$27,0)),"")</f>
        <v>2050</v>
      </c>
      <c r="AC797" s="24">
        <f>IFERROR(INDEX(Cost_Components!$M$2:$M$27,MATCH(E797,Cost_Components!$A$2:$A$27,0)),"")</f>
        <v>30</v>
      </c>
      <c r="AD797" s="24">
        <f>IFERROR(INDEX(Cost_Components!$N$2:$N$27,MATCH(E797,Cost_Components!$A$2:$A$27,0)),"")</f>
        <v>95</v>
      </c>
      <c r="AE797" s="14" t="str">
        <f>IFERROR(INDEX(Cost_Components!$O$2:$O$27,MATCH(E797,Cost_Components!$A$2:$A$27,0)),"")</f>
        <v>Both</v>
      </c>
      <c r="AF797" s="11">
        <v>6459703.5943351202</v>
      </c>
      <c r="AG797" s="11">
        <v>6916589.7030638</v>
      </c>
      <c r="AH797" s="21">
        <f t="shared" si="129"/>
        <v>1</v>
      </c>
    </row>
    <row r="798" spans="1:34" hidden="1">
      <c r="A798" t="s">
        <v>75</v>
      </c>
      <c r="B798" s="18">
        <v>2041</v>
      </c>
      <c r="C798" t="s">
        <v>183</v>
      </c>
      <c r="D798" t="s">
        <v>177</v>
      </c>
      <c r="E798" s="20" t="s">
        <v>267</v>
      </c>
      <c r="F798" s="20" t="s">
        <v>268</v>
      </c>
      <c r="G798" s="20" t="s">
        <v>195</v>
      </c>
      <c r="H798" s="20" t="s">
        <v>192</v>
      </c>
      <c r="I798" s="20" t="s">
        <v>264</v>
      </c>
      <c r="J798" s="15">
        <f>IFERROR(INDEX(Cost_Components!$K$2:$K$27,MATCH(E798,Cost_Components!$A$2:$A$27,0)),"")</f>
        <v>0.1</v>
      </c>
      <c r="K798" s="15">
        <f t="shared" si="120"/>
        <v>0.63038461538461543</v>
      </c>
      <c r="L798" s="15">
        <f>IFERROR(INDEX(Cost_Components!$S$2:$S$27,MATCH(E798,Cost_Components!$A$2:$A$27,0)),"")</f>
        <v>0.31</v>
      </c>
      <c r="M798" s="26">
        <f>IFERROR(INDEX(Cost_Components!$L$2:$L$27,MATCH(E798,Cost_Components!$A$2:$A$27,0)),"")</f>
        <v>1</v>
      </c>
      <c r="N798" s="27">
        <f>IFERROR(INDEX(Cost_Components!$P$2:$P$27,MATCH(E798,Cost_Components!$A$2:$A$27,0)),"")</f>
        <v>282.51283599999999</v>
      </c>
      <c r="O798" s="21">
        <f t="shared" si="121"/>
        <v>650494.30799015798</v>
      </c>
      <c r="P798" s="21">
        <f t="shared" si="122"/>
        <v>701025.33446187014</v>
      </c>
      <c r="Q798" s="21">
        <f t="shared" si="123"/>
        <v>61395083.157468155</v>
      </c>
      <c r="R798" s="21">
        <f t="shared" si="124"/>
        <v>115847666.72376359</v>
      </c>
      <c r="S798" s="21">
        <f t="shared" si="125"/>
        <v>54452583.56629543</v>
      </c>
      <c r="T798" s="14">
        <f>IFERROR(INDEX(Cost_Components!$R$2:$R$27,MATCH(E798,Cost_Components!$A$2:$A$27,0)),"")</f>
        <v>1</v>
      </c>
      <c r="U798" s="24">
        <f>IFERROR(INDEX(Cost_Components!$Q$2:$Q$27,MATCH(E798,Cost_Components!$A$2:$A$27,0)),"")</f>
        <v>2023</v>
      </c>
      <c r="V798" s="28">
        <f>1/(1+Calculation_Assumptions!$B$5)^(B798-Calculation_Assumptions!$B$2)</f>
        <v>0.62316693922011435</v>
      </c>
      <c r="W798" s="21">
        <f t="shared" si="126"/>
        <v>38259386.054403827</v>
      </c>
      <c r="X798" s="21">
        <f t="shared" si="127"/>
        <v>72192435.888039649</v>
      </c>
      <c r="Y798" s="21">
        <f t="shared" si="128"/>
        <v>33933049.833635822</v>
      </c>
      <c r="Z798" s="15">
        <f>IFERROR(INDEX(Cost_Components!$T$2:$T$27,MATCH(E798,Cost_Components!$A$2:$A$27,0)),"")</f>
        <v>0.8</v>
      </c>
      <c r="AA798" s="24">
        <f>IFERROR(INDEX(Cost_Components!$U$2:$U$27,MATCH(E798,Cost_Components!$A$2:$A$27,0)),"")</f>
        <v>2025</v>
      </c>
      <c r="AB798" s="24">
        <f>IFERROR(INDEX(Cost_Components!$V$2:$V$27,MATCH(E798,Cost_Components!$A$2:$A$27,0)),"")</f>
        <v>2050</v>
      </c>
      <c r="AC798" s="24">
        <f>IFERROR(INDEX(Cost_Components!$M$2:$M$27,MATCH(E798,Cost_Components!$A$2:$A$27,0)),"")</f>
        <v>30</v>
      </c>
      <c r="AD798" s="24">
        <f>IFERROR(INDEX(Cost_Components!$N$2:$N$27,MATCH(E798,Cost_Components!$A$2:$A$27,0)),"")</f>
        <v>95</v>
      </c>
      <c r="AE798" s="14" t="str">
        <f>IFERROR(INDEX(Cost_Components!$O$2:$O$27,MATCH(E798,Cost_Components!$A$2:$A$27,0)),"")</f>
        <v>Both</v>
      </c>
      <c r="AF798" s="11">
        <v>6504943.0799015798</v>
      </c>
      <c r="AG798" s="11">
        <v>7010253.3446187004</v>
      </c>
      <c r="AH798" s="21">
        <f t="shared" si="129"/>
        <v>1</v>
      </c>
    </row>
    <row r="799" spans="1:34" hidden="1">
      <c r="A799" t="s">
        <v>75</v>
      </c>
      <c r="B799" s="18">
        <v>2042</v>
      </c>
      <c r="C799" t="s">
        <v>183</v>
      </c>
      <c r="D799" t="s">
        <v>177</v>
      </c>
      <c r="E799" s="20" t="s">
        <v>267</v>
      </c>
      <c r="F799" s="20" t="s">
        <v>268</v>
      </c>
      <c r="G799" s="20" t="s">
        <v>195</v>
      </c>
      <c r="H799" s="20" t="s">
        <v>192</v>
      </c>
      <c r="I799" s="20" t="s">
        <v>264</v>
      </c>
      <c r="J799" s="15">
        <f>IFERROR(INDEX(Cost_Components!$K$2:$K$27,MATCH(E799,Cost_Components!$A$2:$A$27,0)),"")</f>
        <v>0.1</v>
      </c>
      <c r="K799" s="15">
        <f t="shared" si="120"/>
        <v>0.64923076923076928</v>
      </c>
      <c r="L799" s="15">
        <f>IFERROR(INDEX(Cost_Components!$S$2:$S$27,MATCH(E799,Cost_Components!$A$2:$A$27,0)),"")</f>
        <v>0.31</v>
      </c>
      <c r="M799" s="26">
        <f>IFERROR(INDEX(Cost_Components!$L$2:$L$27,MATCH(E799,Cost_Components!$A$2:$A$27,0)),"")</f>
        <v>1</v>
      </c>
      <c r="N799" s="27">
        <f>IFERROR(INDEX(Cost_Components!$P$2:$P$27,MATCH(E799,Cost_Components!$A$2:$A$27,0)),"")</f>
        <v>282.51283599999999</v>
      </c>
      <c r="O799" s="21">
        <f t="shared" si="121"/>
        <v>654606.55660619307</v>
      </c>
      <c r="P799" s="21">
        <f t="shared" si="122"/>
        <v>710109.40397022606</v>
      </c>
      <c r="Q799" s="21">
        <f t="shared" si="123"/>
        <v>62190656.691628449</v>
      </c>
      <c r="R799" s="21">
        <f t="shared" si="124"/>
        <v>120065333.0974866</v>
      </c>
      <c r="S799" s="21">
        <f t="shared" si="125"/>
        <v>57874676.405858152</v>
      </c>
      <c r="T799" s="14">
        <f>IFERROR(INDEX(Cost_Components!$R$2:$R$27,MATCH(E799,Cost_Components!$A$2:$A$27,0)),"")</f>
        <v>1</v>
      </c>
      <c r="U799" s="24">
        <f>IFERROR(INDEX(Cost_Components!$Q$2:$Q$27,MATCH(E799,Cost_Components!$A$2:$A$27,0)),"")</f>
        <v>2023</v>
      </c>
      <c r="V799" s="28">
        <f>1/(1+Calculation_Assumptions!$B$5)^(B799-Calculation_Assumptions!$B$2)</f>
        <v>0.60501644584477121</v>
      </c>
      <c r="W799" s="21">
        <f t="shared" si="126"/>
        <v>37626370.076321378</v>
      </c>
      <c r="X799" s="21">
        <f t="shared" si="127"/>
        <v>72641501.099809915</v>
      </c>
      <c r="Y799" s="21">
        <f t="shared" si="128"/>
        <v>35015131.023488536</v>
      </c>
      <c r="Z799" s="15">
        <f>IFERROR(INDEX(Cost_Components!$T$2:$T$27,MATCH(E799,Cost_Components!$A$2:$A$27,0)),"")</f>
        <v>0.8</v>
      </c>
      <c r="AA799" s="24">
        <f>IFERROR(INDEX(Cost_Components!$U$2:$U$27,MATCH(E799,Cost_Components!$A$2:$A$27,0)),"")</f>
        <v>2025</v>
      </c>
      <c r="AB799" s="24">
        <f>IFERROR(INDEX(Cost_Components!$V$2:$V$27,MATCH(E799,Cost_Components!$A$2:$A$27,0)),"")</f>
        <v>2050</v>
      </c>
      <c r="AC799" s="24">
        <f>IFERROR(INDEX(Cost_Components!$M$2:$M$27,MATCH(E799,Cost_Components!$A$2:$A$27,0)),"")</f>
        <v>30</v>
      </c>
      <c r="AD799" s="24">
        <f>IFERROR(INDEX(Cost_Components!$N$2:$N$27,MATCH(E799,Cost_Components!$A$2:$A$27,0)),"")</f>
        <v>95</v>
      </c>
      <c r="AE799" s="14" t="str">
        <f>IFERROR(INDEX(Cost_Components!$O$2:$O$27,MATCH(E799,Cost_Components!$A$2:$A$27,0)),"")</f>
        <v>Both</v>
      </c>
      <c r="AF799" s="11">
        <v>6546065.5660619298</v>
      </c>
      <c r="AG799" s="11">
        <v>7101094.0397022599</v>
      </c>
      <c r="AH799" s="21">
        <f t="shared" si="129"/>
        <v>1</v>
      </c>
    </row>
    <row r="800" spans="1:34" hidden="1">
      <c r="A800" t="s">
        <v>75</v>
      </c>
      <c r="B800" s="18">
        <v>2043</v>
      </c>
      <c r="C800" t="s">
        <v>183</v>
      </c>
      <c r="D800" t="s">
        <v>177</v>
      </c>
      <c r="E800" s="20" t="s">
        <v>267</v>
      </c>
      <c r="F800" s="20" t="s">
        <v>268</v>
      </c>
      <c r="G800" s="20" t="s">
        <v>195</v>
      </c>
      <c r="H800" s="20" t="s">
        <v>192</v>
      </c>
      <c r="I800" s="20" t="s">
        <v>264</v>
      </c>
      <c r="J800" s="15">
        <f>IFERROR(INDEX(Cost_Components!$K$2:$K$27,MATCH(E800,Cost_Components!$A$2:$A$27,0)),"")</f>
        <v>0.1</v>
      </c>
      <c r="K800" s="15">
        <f t="shared" si="120"/>
        <v>0.66807692307692301</v>
      </c>
      <c r="L800" s="15">
        <f>IFERROR(INDEX(Cost_Components!$S$2:$S$27,MATCH(E800,Cost_Components!$A$2:$A$27,0)),"")</f>
        <v>0.31</v>
      </c>
      <c r="M800" s="26">
        <f>IFERROR(INDEX(Cost_Components!$L$2:$L$27,MATCH(E800,Cost_Components!$A$2:$A$27,0)),"")</f>
        <v>1</v>
      </c>
      <c r="N800" s="27">
        <f>IFERROR(INDEX(Cost_Components!$P$2:$P$27,MATCH(E800,Cost_Components!$A$2:$A$27,0)),"")</f>
        <v>282.51283599999999</v>
      </c>
      <c r="O800" s="21">
        <f t="shared" si="121"/>
        <v>658255.50136269501</v>
      </c>
      <c r="P800" s="21">
        <f t="shared" si="122"/>
        <v>718845.27302653005</v>
      </c>
      <c r="Q800" s="21">
        <f t="shared" si="123"/>
        <v>62955735.185654983</v>
      </c>
      <c r="R800" s="21">
        <f t="shared" si="124"/>
        <v>124239344.88806766</v>
      </c>
      <c r="S800" s="21">
        <f t="shared" si="125"/>
        <v>61283609.70241268</v>
      </c>
      <c r="T800" s="14">
        <f>IFERROR(INDEX(Cost_Components!$R$2:$R$27,MATCH(E800,Cost_Components!$A$2:$A$27,0)),"")</f>
        <v>1</v>
      </c>
      <c r="U800" s="24">
        <f>IFERROR(INDEX(Cost_Components!$Q$2:$Q$27,MATCH(E800,Cost_Components!$A$2:$A$27,0)),"")</f>
        <v>2023</v>
      </c>
      <c r="V800" s="28">
        <f>1/(1+Calculation_Assumptions!$B$5)^(B800-Calculation_Assumptions!$B$2)</f>
        <v>0.5873946076162827</v>
      </c>
      <c r="W800" s="21">
        <f t="shared" si="126"/>
        <v>36979859.36657241</v>
      </c>
      <c r="X800" s="21">
        <f t="shared" si="127"/>
        <v>72977521.241030529</v>
      </c>
      <c r="Y800" s="21">
        <f t="shared" si="128"/>
        <v>35997661.874458112</v>
      </c>
      <c r="Z800" s="15">
        <f>IFERROR(INDEX(Cost_Components!$T$2:$T$27,MATCH(E800,Cost_Components!$A$2:$A$27,0)),"")</f>
        <v>0.8</v>
      </c>
      <c r="AA800" s="24">
        <f>IFERROR(INDEX(Cost_Components!$U$2:$U$27,MATCH(E800,Cost_Components!$A$2:$A$27,0)),"")</f>
        <v>2025</v>
      </c>
      <c r="AB800" s="24">
        <f>IFERROR(INDEX(Cost_Components!$V$2:$V$27,MATCH(E800,Cost_Components!$A$2:$A$27,0)),"")</f>
        <v>2050</v>
      </c>
      <c r="AC800" s="24">
        <f>IFERROR(INDEX(Cost_Components!$M$2:$M$27,MATCH(E800,Cost_Components!$A$2:$A$27,0)),"")</f>
        <v>30</v>
      </c>
      <c r="AD800" s="24">
        <f>IFERROR(INDEX(Cost_Components!$N$2:$N$27,MATCH(E800,Cost_Components!$A$2:$A$27,0)),"")</f>
        <v>95</v>
      </c>
      <c r="AE800" s="14" t="str">
        <f>IFERROR(INDEX(Cost_Components!$O$2:$O$27,MATCH(E800,Cost_Components!$A$2:$A$27,0)),"")</f>
        <v>Both</v>
      </c>
      <c r="AF800" s="11">
        <v>6582555.0136269499</v>
      </c>
      <c r="AG800" s="11">
        <v>7188452.7302652998</v>
      </c>
      <c r="AH800" s="21">
        <f t="shared" si="129"/>
        <v>1</v>
      </c>
    </row>
    <row r="801" spans="1:34" hidden="1">
      <c r="A801" t="s">
        <v>75</v>
      </c>
      <c r="B801" s="18">
        <v>2044</v>
      </c>
      <c r="C801" t="s">
        <v>183</v>
      </c>
      <c r="D801" t="s">
        <v>177</v>
      </c>
      <c r="E801" s="20" t="s">
        <v>267</v>
      </c>
      <c r="F801" s="20" t="s">
        <v>268</v>
      </c>
      <c r="G801" s="20" t="s">
        <v>195</v>
      </c>
      <c r="H801" s="20" t="s">
        <v>192</v>
      </c>
      <c r="I801" s="20" t="s">
        <v>264</v>
      </c>
      <c r="J801" s="15">
        <f>IFERROR(INDEX(Cost_Components!$K$2:$K$27,MATCH(E801,Cost_Components!$A$2:$A$27,0)),"")</f>
        <v>0.1</v>
      </c>
      <c r="K801" s="15">
        <f t="shared" si="120"/>
        <v>0.68692307692307697</v>
      </c>
      <c r="L801" s="15">
        <f>IFERROR(INDEX(Cost_Components!$S$2:$S$27,MATCH(E801,Cost_Components!$A$2:$A$27,0)),"")</f>
        <v>0.31</v>
      </c>
      <c r="M801" s="26">
        <f>IFERROR(INDEX(Cost_Components!$L$2:$L$27,MATCH(E801,Cost_Components!$A$2:$A$27,0)),"")</f>
        <v>1</v>
      </c>
      <c r="N801" s="27">
        <f>IFERROR(INDEX(Cost_Components!$P$2:$P$27,MATCH(E801,Cost_Components!$A$2:$A$27,0)),"")</f>
        <v>282.51283599999999</v>
      </c>
      <c r="O801" s="21">
        <f t="shared" si="121"/>
        <v>661438.06399184105</v>
      </c>
      <c r="P801" s="21">
        <f t="shared" si="122"/>
        <v>727217.63584149606</v>
      </c>
      <c r="Q801" s="21">
        <f t="shared" si="123"/>
        <v>63688978.174146846</v>
      </c>
      <c r="R801" s="21">
        <f t="shared" si="124"/>
        <v>128361704.43379943</v>
      </c>
      <c r="S801" s="21">
        <f t="shared" si="125"/>
        <v>64672726.259652585</v>
      </c>
      <c r="T801" s="14">
        <f>IFERROR(INDEX(Cost_Components!$R$2:$R$27,MATCH(E801,Cost_Components!$A$2:$A$27,0)),"")</f>
        <v>1</v>
      </c>
      <c r="U801" s="24">
        <f>IFERROR(INDEX(Cost_Components!$Q$2:$Q$27,MATCH(E801,Cost_Components!$A$2:$A$27,0)),"")</f>
        <v>2023</v>
      </c>
      <c r="V801" s="28">
        <f>1/(1+Calculation_Assumptions!$B$5)^(B801-Calculation_Assumptions!$B$2)</f>
        <v>0.57028602681192497</v>
      </c>
      <c r="W801" s="21">
        <f t="shared" si="126"/>
        <v>36320934.314645611</v>
      </c>
      <c r="X801" s="21">
        <f t="shared" si="127"/>
        <v>73202886.416358128</v>
      </c>
      <c r="Y801" s="21">
        <f t="shared" si="128"/>
        <v>36881952.101712517</v>
      </c>
      <c r="Z801" s="15">
        <f>IFERROR(INDEX(Cost_Components!$T$2:$T$27,MATCH(E801,Cost_Components!$A$2:$A$27,0)),"")</f>
        <v>0.8</v>
      </c>
      <c r="AA801" s="24">
        <f>IFERROR(INDEX(Cost_Components!$U$2:$U$27,MATCH(E801,Cost_Components!$A$2:$A$27,0)),"")</f>
        <v>2025</v>
      </c>
      <c r="AB801" s="24">
        <f>IFERROR(INDEX(Cost_Components!$V$2:$V$27,MATCH(E801,Cost_Components!$A$2:$A$27,0)),"")</f>
        <v>2050</v>
      </c>
      <c r="AC801" s="24">
        <f>IFERROR(INDEX(Cost_Components!$M$2:$M$27,MATCH(E801,Cost_Components!$A$2:$A$27,0)),"")</f>
        <v>30</v>
      </c>
      <c r="AD801" s="24">
        <f>IFERROR(INDEX(Cost_Components!$N$2:$N$27,MATCH(E801,Cost_Components!$A$2:$A$27,0)),"")</f>
        <v>95</v>
      </c>
      <c r="AE801" s="14" t="str">
        <f>IFERROR(INDEX(Cost_Components!$O$2:$O$27,MATCH(E801,Cost_Components!$A$2:$A$27,0)),"")</f>
        <v>Both</v>
      </c>
      <c r="AF801" s="11">
        <v>6614380.6399184102</v>
      </c>
      <c r="AG801" s="11">
        <v>7272176.3584149601</v>
      </c>
      <c r="AH801" s="21">
        <f t="shared" si="129"/>
        <v>1</v>
      </c>
    </row>
    <row r="802" spans="1:34" hidden="1">
      <c r="A802" t="s">
        <v>75</v>
      </c>
      <c r="B802" s="18">
        <v>2045</v>
      </c>
      <c r="C802" t="s">
        <v>183</v>
      </c>
      <c r="D802" t="s">
        <v>177</v>
      </c>
      <c r="E802" s="20" t="s">
        <v>267</v>
      </c>
      <c r="F802" s="20" t="s">
        <v>268</v>
      </c>
      <c r="G802" s="20" t="s">
        <v>195</v>
      </c>
      <c r="H802" s="20" t="s">
        <v>192</v>
      </c>
      <c r="I802" s="20" t="s">
        <v>264</v>
      </c>
      <c r="J802" s="15">
        <f>IFERROR(INDEX(Cost_Components!$K$2:$K$27,MATCH(E802,Cost_Components!$A$2:$A$27,0)),"")</f>
        <v>0.1</v>
      </c>
      <c r="K802" s="15">
        <f t="shared" si="120"/>
        <v>0.70576923076923082</v>
      </c>
      <c r="L802" s="15">
        <f>IFERROR(INDEX(Cost_Components!$S$2:$S$27,MATCH(E802,Cost_Components!$A$2:$A$27,0)),"")</f>
        <v>0.31</v>
      </c>
      <c r="M802" s="26">
        <f>IFERROR(INDEX(Cost_Components!$L$2:$L$27,MATCH(E802,Cost_Components!$A$2:$A$27,0)),"")</f>
        <v>1</v>
      </c>
      <c r="N802" s="27">
        <f>IFERROR(INDEX(Cost_Components!$P$2:$P$27,MATCH(E802,Cost_Components!$A$2:$A$27,0)),"")</f>
        <v>282.51283599999999</v>
      </c>
      <c r="O802" s="21">
        <f t="shared" si="121"/>
        <v>664192.22848500311</v>
      </c>
      <c r="P802" s="21">
        <f t="shared" si="122"/>
        <v>735254.11872549914</v>
      </c>
      <c r="Q802" s="21">
        <f t="shared" si="123"/>
        <v>64392805.141164653</v>
      </c>
      <c r="R802" s="21">
        <f t="shared" si="124"/>
        <v>132432535.87206569</v>
      </c>
      <c r="S802" s="21">
        <f t="shared" si="125"/>
        <v>68039730.730901033</v>
      </c>
      <c r="T802" s="14">
        <f>IFERROR(INDEX(Cost_Components!$R$2:$R$27,MATCH(E802,Cost_Components!$A$2:$A$27,0)),"")</f>
        <v>1</v>
      </c>
      <c r="U802" s="24">
        <f>IFERROR(INDEX(Cost_Components!$Q$2:$Q$27,MATCH(E802,Cost_Components!$A$2:$A$27,0)),"")</f>
        <v>2023</v>
      </c>
      <c r="V802" s="28">
        <f>1/(1+Calculation_Assumptions!$B$5)^(B802-Calculation_Assumptions!$B$2)</f>
        <v>0.55367575418633497</v>
      </c>
      <c r="W802" s="21">
        <f t="shared" si="126"/>
        <v>35652734.950708047</v>
      </c>
      <c r="X802" s="21">
        <f t="shared" si="127"/>
        <v>73324684.177774832</v>
      </c>
      <c r="Y802" s="21">
        <f t="shared" si="128"/>
        <v>37671949.227066785</v>
      </c>
      <c r="Z802" s="15">
        <f>IFERROR(INDEX(Cost_Components!$T$2:$T$27,MATCH(E802,Cost_Components!$A$2:$A$27,0)),"")</f>
        <v>0.8</v>
      </c>
      <c r="AA802" s="24">
        <f>IFERROR(INDEX(Cost_Components!$U$2:$U$27,MATCH(E802,Cost_Components!$A$2:$A$27,0)),"")</f>
        <v>2025</v>
      </c>
      <c r="AB802" s="24">
        <f>IFERROR(INDEX(Cost_Components!$V$2:$V$27,MATCH(E802,Cost_Components!$A$2:$A$27,0)),"")</f>
        <v>2050</v>
      </c>
      <c r="AC802" s="24">
        <f>IFERROR(INDEX(Cost_Components!$M$2:$M$27,MATCH(E802,Cost_Components!$A$2:$A$27,0)),"")</f>
        <v>30</v>
      </c>
      <c r="AD802" s="24">
        <f>IFERROR(INDEX(Cost_Components!$N$2:$N$27,MATCH(E802,Cost_Components!$A$2:$A$27,0)),"")</f>
        <v>95</v>
      </c>
      <c r="AE802" s="14" t="str">
        <f>IFERROR(INDEX(Cost_Components!$O$2:$O$27,MATCH(E802,Cost_Components!$A$2:$A$27,0)),"")</f>
        <v>Both</v>
      </c>
      <c r="AF802" s="11">
        <v>6641922.2848500302</v>
      </c>
      <c r="AG802" s="11">
        <v>7352541.1872549905</v>
      </c>
      <c r="AH802" s="21">
        <f t="shared" si="129"/>
        <v>1</v>
      </c>
    </row>
    <row r="803" spans="1:34" hidden="1">
      <c r="A803" t="s">
        <v>75</v>
      </c>
      <c r="B803" s="18">
        <v>2046</v>
      </c>
      <c r="C803" t="s">
        <v>183</v>
      </c>
      <c r="D803" t="s">
        <v>177</v>
      </c>
      <c r="E803" s="20" t="s">
        <v>267</v>
      </c>
      <c r="F803" s="20" t="s">
        <v>268</v>
      </c>
      <c r="G803" s="20" t="s">
        <v>195</v>
      </c>
      <c r="H803" s="20" t="s">
        <v>192</v>
      </c>
      <c r="I803" s="20" t="s">
        <v>264</v>
      </c>
      <c r="J803" s="15">
        <f>IFERROR(INDEX(Cost_Components!$K$2:$K$27,MATCH(E803,Cost_Components!$A$2:$A$27,0)),"")</f>
        <v>0.1</v>
      </c>
      <c r="K803" s="15">
        <f t="shared" si="120"/>
        <v>0.72461538461538466</v>
      </c>
      <c r="L803" s="15">
        <f>IFERROR(INDEX(Cost_Components!$S$2:$S$27,MATCH(E803,Cost_Components!$A$2:$A$27,0)),"")</f>
        <v>0.31</v>
      </c>
      <c r="M803" s="26">
        <f>IFERROR(INDEX(Cost_Components!$L$2:$L$27,MATCH(E803,Cost_Components!$A$2:$A$27,0)),"")</f>
        <v>1</v>
      </c>
      <c r="N803" s="27">
        <f>IFERROR(INDEX(Cost_Components!$P$2:$P$27,MATCH(E803,Cost_Components!$A$2:$A$27,0)),"")</f>
        <v>282.51283599999999</v>
      </c>
      <c r="O803" s="21">
        <f t="shared" si="121"/>
        <v>666521.57371084206</v>
      </c>
      <c r="P803" s="21">
        <f t="shared" si="122"/>
        <v>742946.84922803903</v>
      </c>
      <c r="Q803" s="21">
        <f t="shared" si="123"/>
        <v>65066526.625530094</v>
      </c>
      <c r="R803" s="21">
        <f t="shared" si="124"/>
        <v>136445729.10897502</v>
      </c>
      <c r="S803" s="21">
        <f t="shared" si="125"/>
        <v>71379202.483444929</v>
      </c>
      <c r="T803" s="14">
        <f>IFERROR(INDEX(Cost_Components!$R$2:$R$27,MATCH(E803,Cost_Components!$A$2:$A$27,0)),"")</f>
        <v>1</v>
      </c>
      <c r="U803" s="24">
        <f>IFERROR(INDEX(Cost_Components!$Q$2:$Q$27,MATCH(E803,Cost_Components!$A$2:$A$27,0)),"")</f>
        <v>2023</v>
      </c>
      <c r="V803" s="28">
        <f>1/(1+Calculation_Assumptions!$B$5)^(B803-Calculation_Assumptions!$B$2)</f>
        <v>0.5375492759090631</v>
      </c>
      <c r="W803" s="21">
        <f t="shared" si="126"/>
        <v>34976464.273471475</v>
      </c>
      <c r="X803" s="21">
        <f t="shared" si="127"/>
        <v>73346302.883413702</v>
      </c>
      <c r="Y803" s="21">
        <f t="shared" si="128"/>
        <v>38369838.60994222</v>
      </c>
      <c r="Z803" s="15">
        <f>IFERROR(INDEX(Cost_Components!$T$2:$T$27,MATCH(E803,Cost_Components!$A$2:$A$27,0)),"")</f>
        <v>0.8</v>
      </c>
      <c r="AA803" s="24">
        <f>IFERROR(INDEX(Cost_Components!$U$2:$U$27,MATCH(E803,Cost_Components!$A$2:$A$27,0)),"")</f>
        <v>2025</v>
      </c>
      <c r="AB803" s="24">
        <f>IFERROR(INDEX(Cost_Components!$V$2:$V$27,MATCH(E803,Cost_Components!$A$2:$A$27,0)),"")</f>
        <v>2050</v>
      </c>
      <c r="AC803" s="24">
        <f>IFERROR(INDEX(Cost_Components!$M$2:$M$27,MATCH(E803,Cost_Components!$A$2:$A$27,0)),"")</f>
        <v>30</v>
      </c>
      <c r="AD803" s="24">
        <f>IFERROR(INDEX(Cost_Components!$N$2:$N$27,MATCH(E803,Cost_Components!$A$2:$A$27,0)),"")</f>
        <v>95</v>
      </c>
      <c r="AE803" s="14" t="str">
        <f>IFERROR(INDEX(Cost_Components!$O$2:$O$27,MATCH(E803,Cost_Components!$A$2:$A$27,0)),"")</f>
        <v>Both</v>
      </c>
      <c r="AF803" s="11">
        <v>6665215.7371084196</v>
      </c>
      <c r="AG803" s="11">
        <v>7429468.4922803901</v>
      </c>
      <c r="AH803" s="21">
        <f t="shared" si="129"/>
        <v>1</v>
      </c>
    </row>
    <row r="804" spans="1:34" hidden="1">
      <c r="A804" t="s">
        <v>75</v>
      </c>
      <c r="B804" s="18">
        <v>2047</v>
      </c>
      <c r="C804" t="s">
        <v>183</v>
      </c>
      <c r="D804" t="s">
        <v>177</v>
      </c>
      <c r="E804" s="20" t="s">
        <v>267</v>
      </c>
      <c r="F804" s="20" t="s">
        <v>268</v>
      </c>
      <c r="G804" s="20" t="s">
        <v>195</v>
      </c>
      <c r="H804" s="20" t="s">
        <v>192</v>
      </c>
      <c r="I804" s="20" t="s">
        <v>264</v>
      </c>
      <c r="J804" s="15">
        <f>IFERROR(INDEX(Cost_Components!$K$2:$K$27,MATCH(E804,Cost_Components!$A$2:$A$27,0)),"")</f>
        <v>0.1</v>
      </c>
      <c r="K804" s="15">
        <f t="shared" si="120"/>
        <v>0.74346153846153851</v>
      </c>
      <c r="L804" s="15">
        <f>IFERROR(INDEX(Cost_Components!$S$2:$S$27,MATCH(E804,Cost_Components!$A$2:$A$27,0)),"")</f>
        <v>0.31</v>
      </c>
      <c r="M804" s="26">
        <f>IFERROR(INDEX(Cost_Components!$L$2:$L$27,MATCH(E804,Cost_Components!$A$2:$A$27,0)),"")</f>
        <v>1</v>
      </c>
      <c r="N804" s="27">
        <f>IFERROR(INDEX(Cost_Components!$P$2:$P$27,MATCH(E804,Cost_Components!$A$2:$A$27,0)),"")</f>
        <v>282.51283599999999</v>
      </c>
      <c r="O804" s="21">
        <f t="shared" si="121"/>
        <v>668317.36269667209</v>
      </c>
      <c r="P804" s="21">
        <f t="shared" si="122"/>
        <v>750176.46315623913</v>
      </c>
      <c r="Q804" s="21">
        <f t="shared" si="123"/>
        <v>65699688.833082773</v>
      </c>
      <c r="R804" s="21">
        <f t="shared" si="124"/>
        <v>140371659.73983151</v>
      </c>
      <c r="S804" s="21">
        <f t="shared" si="125"/>
        <v>74671970.906748742</v>
      </c>
      <c r="T804" s="14">
        <f>IFERROR(INDEX(Cost_Components!$R$2:$R$27,MATCH(E804,Cost_Components!$A$2:$A$27,0)),"")</f>
        <v>1</v>
      </c>
      <c r="U804" s="24">
        <f>IFERROR(INDEX(Cost_Components!$Q$2:$Q$27,MATCH(E804,Cost_Components!$A$2:$A$27,0)),"")</f>
        <v>2023</v>
      </c>
      <c r="V804" s="28">
        <f>1/(1+Calculation_Assumptions!$B$5)^(B804-Calculation_Assumptions!$B$2)</f>
        <v>0.52189250088258554</v>
      </c>
      <c r="W804" s="21">
        <f t="shared" si="126"/>
        <v>34288174.912305243</v>
      </c>
      <c r="X804" s="21">
        <f t="shared" si="127"/>
        <v>73258916.554660007</v>
      </c>
      <c r="Y804" s="21">
        <f t="shared" si="128"/>
        <v>38970741.642354771</v>
      </c>
      <c r="Z804" s="15">
        <f>IFERROR(INDEX(Cost_Components!$T$2:$T$27,MATCH(E804,Cost_Components!$A$2:$A$27,0)),"")</f>
        <v>0.8</v>
      </c>
      <c r="AA804" s="24">
        <f>IFERROR(INDEX(Cost_Components!$U$2:$U$27,MATCH(E804,Cost_Components!$A$2:$A$27,0)),"")</f>
        <v>2025</v>
      </c>
      <c r="AB804" s="24">
        <f>IFERROR(INDEX(Cost_Components!$V$2:$V$27,MATCH(E804,Cost_Components!$A$2:$A$27,0)),"")</f>
        <v>2050</v>
      </c>
      <c r="AC804" s="24">
        <f>IFERROR(INDEX(Cost_Components!$M$2:$M$27,MATCH(E804,Cost_Components!$A$2:$A$27,0)),"")</f>
        <v>30</v>
      </c>
      <c r="AD804" s="24">
        <f>IFERROR(INDEX(Cost_Components!$N$2:$N$27,MATCH(E804,Cost_Components!$A$2:$A$27,0)),"")</f>
        <v>95</v>
      </c>
      <c r="AE804" s="14" t="str">
        <f>IFERROR(INDEX(Cost_Components!$O$2:$O$27,MATCH(E804,Cost_Components!$A$2:$A$27,0)),"")</f>
        <v>Both</v>
      </c>
      <c r="AF804" s="11">
        <v>6683173.6269667204</v>
      </c>
      <c r="AG804" s="11">
        <v>7501764.6315623904</v>
      </c>
      <c r="AH804" s="21">
        <f t="shared" si="129"/>
        <v>1</v>
      </c>
    </row>
    <row r="805" spans="1:34" hidden="1">
      <c r="A805" t="s">
        <v>75</v>
      </c>
      <c r="B805" s="18">
        <v>2048</v>
      </c>
      <c r="C805" t="s">
        <v>183</v>
      </c>
      <c r="D805" t="s">
        <v>177</v>
      </c>
      <c r="E805" s="20" t="s">
        <v>267</v>
      </c>
      <c r="F805" s="20" t="s">
        <v>268</v>
      </c>
      <c r="G805" s="20" t="s">
        <v>195</v>
      </c>
      <c r="H805" s="20" t="s">
        <v>192</v>
      </c>
      <c r="I805" s="20" t="s">
        <v>264</v>
      </c>
      <c r="J805" s="15">
        <f>IFERROR(INDEX(Cost_Components!$K$2:$K$27,MATCH(E805,Cost_Components!$A$2:$A$27,0)),"")</f>
        <v>0.1</v>
      </c>
      <c r="K805" s="15">
        <f t="shared" si="120"/>
        <v>0.76230769230769235</v>
      </c>
      <c r="L805" s="15">
        <f>IFERROR(INDEX(Cost_Components!$S$2:$S$27,MATCH(E805,Cost_Components!$A$2:$A$27,0)),"")</f>
        <v>0.31</v>
      </c>
      <c r="M805" s="26">
        <f>IFERROR(INDEX(Cost_Components!$L$2:$L$27,MATCH(E805,Cost_Components!$A$2:$A$27,0)),"")</f>
        <v>1</v>
      </c>
      <c r="N805" s="27">
        <f>IFERROR(INDEX(Cost_Components!$P$2:$P$27,MATCH(E805,Cost_Components!$A$2:$A$27,0)),"")</f>
        <v>282.51283599999999</v>
      </c>
      <c r="O805" s="21">
        <f t="shared" si="121"/>
        <v>669668.74178583408</v>
      </c>
      <c r="P805" s="21">
        <f t="shared" si="122"/>
        <v>757019.44146434404</v>
      </c>
      <c r="Q805" s="21">
        <f t="shared" si="123"/>
        <v>66298989.887720622</v>
      </c>
      <c r="R805" s="21">
        <f t="shared" si="124"/>
        <v>144221004.06435809</v>
      </c>
      <c r="S805" s="21">
        <f t="shared" si="125"/>
        <v>77922014.176637471</v>
      </c>
      <c r="T805" s="14">
        <f>IFERROR(INDEX(Cost_Components!$R$2:$R$27,MATCH(E805,Cost_Components!$A$2:$A$27,0)),"")</f>
        <v>1</v>
      </c>
      <c r="U805" s="24">
        <f>IFERROR(INDEX(Cost_Components!$Q$2:$Q$27,MATCH(E805,Cost_Components!$A$2:$A$27,0)),"")</f>
        <v>2023</v>
      </c>
      <c r="V805" s="28">
        <f>1/(1+Calculation_Assumptions!$B$5)^(B805-Calculation_Assumptions!$B$2)</f>
        <v>0.50669174842969467</v>
      </c>
      <c r="W805" s="21">
        <f t="shared" si="126"/>
        <v>33593151.105331808</v>
      </c>
      <c r="X805" s="21">
        <f t="shared" si="127"/>
        <v>73075592.709655702</v>
      </c>
      <c r="Y805" s="21">
        <f t="shared" si="128"/>
        <v>39482441.604323894</v>
      </c>
      <c r="Z805" s="15">
        <f>IFERROR(INDEX(Cost_Components!$T$2:$T$27,MATCH(E805,Cost_Components!$A$2:$A$27,0)),"")</f>
        <v>0.8</v>
      </c>
      <c r="AA805" s="24">
        <f>IFERROR(INDEX(Cost_Components!$U$2:$U$27,MATCH(E805,Cost_Components!$A$2:$A$27,0)),"")</f>
        <v>2025</v>
      </c>
      <c r="AB805" s="24">
        <f>IFERROR(INDEX(Cost_Components!$V$2:$V$27,MATCH(E805,Cost_Components!$A$2:$A$27,0)),"")</f>
        <v>2050</v>
      </c>
      <c r="AC805" s="24">
        <f>IFERROR(INDEX(Cost_Components!$M$2:$M$27,MATCH(E805,Cost_Components!$A$2:$A$27,0)),"")</f>
        <v>30</v>
      </c>
      <c r="AD805" s="24">
        <f>IFERROR(INDEX(Cost_Components!$N$2:$N$27,MATCH(E805,Cost_Components!$A$2:$A$27,0)),"")</f>
        <v>95</v>
      </c>
      <c r="AE805" s="14" t="str">
        <f>IFERROR(INDEX(Cost_Components!$O$2:$O$27,MATCH(E805,Cost_Components!$A$2:$A$27,0)),"")</f>
        <v>Both</v>
      </c>
      <c r="AF805" s="11">
        <v>6696687.4178583398</v>
      </c>
      <c r="AG805" s="11">
        <v>7570194.4146434404</v>
      </c>
      <c r="AH805" s="21">
        <f t="shared" si="129"/>
        <v>1</v>
      </c>
    </row>
    <row r="806" spans="1:34" hidden="1">
      <c r="A806" t="s">
        <v>75</v>
      </c>
      <c r="B806" s="18">
        <v>2049</v>
      </c>
      <c r="C806" t="s">
        <v>183</v>
      </c>
      <c r="D806" t="s">
        <v>177</v>
      </c>
      <c r="E806" s="20" t="s">
        <v>267</v>
      </c>
      <c r="F806" s="20" t="s">
        <v>268</v>
      </c>
      <c r="G806" s="20" t="s">
        <v>195</v>
      </c>
      <c r="H806" s="20" t="s">
        <v>192</v>
      </c>
      <c r="I806" s="20" t="s">
        <v>264</v>
      </c>
      <c r="J806" s="15">
        <f>IFERROR(INDEX(Cost_Components!$K$2:$K$27,MATCH(E806,Cost_Components!$A$2:$A$27,0)),"")</f>
        <v>0.1</v>
      </c>
      <c r="K806" s="15">
        <f t="shared" si="120"/>
        <v>0.7811538461538462</v>
      </c>
      <c r="L806" s="15">
        <f>IFERROR(INDEX(Cost_Components!$S$2:$S$27,MATCH(E806,Cost_Components!$A$2:$A$27,0)),"")</f>
        <v>0.31</v>
      </c>
      <c r="M806" s="26">
        <f>IFERROR(INDEX(Cost_Components!$L$2:$L$27,MATCH(E806,Cost_Components!$A$2:$A$27,0)),"")</f>
        <v>1</v>
      </c>
      <c r="N806" s="27">
        <f>IFERROR(INDEX(Cost_Components!$P$2:$P$27,MATCH(E806,Cost_Components!$A$2:$A$27,0)),"")</f>
        <v>282.51283599999999</v>
      </c>
      <c r="O806" s="21">
        <f t="shared" si="121"/>
        <v>670588.16861488204</v>
      </c>
      <c r="P806" s="21">
        <f t="shared" si="122"/>
        <v>763475.03951070306</v>
      </c>
      <c r="Q806" s="21">
        <f t="shared" si="123"/>
        <v>66864364.574488036</v>
      </c>
      <c r="R806" s="21">
        <f t="shared" si="124"/>
        <v>147989412.81972292</v>
      </c>
      <c r="S806" s="21">
        <f t="shared" si="125"/>
        <v>81125048.245234877</v>
      </c>
      <c r="T806" s="14">
        <f>IFERROR(INDEX(Cost_Components!$R$2:$R$27,MATCH(E806,Cost_Components!$A$2:$A$27,0)),"")</f>
        <v>1</v>
      </c>
      <c r="U806" s="24">
        <f>IFERROR(INDEX(Cost_Components!$Q$2:$Q$27,MATCH(E806,Cost_Components!$A$2:$A$27,0)),"")</f>
        <v>2023</v>
      </c>
      <c r="V806" s="28">
        <f>1/(1+Calculation_Assumptions!$B$5)^(B806-Calculation_Assumptions!$B$2)</f>
        <v>0.49193373633950943</v>
      </c>
      <c r="W806" s="21">
        <f t="shared" si="126"/>
        <v>32892836.693095032</v>
      </c>
      <c r="X806" s="21">
        <f t="shared" si="127"/>
        <v>72800984.787096396</v>
      </c>
      <c r="Y806" s="21">
        <f t="shared" si="128"/>
        <v>39908148.094001353</v>
      </c>
      <c r="Z806" s="15">
        <f>IFERROR(INDEX(Cost_Components!$T$2:$T$27,MATCH(E806,Cost_Components!$A$2:$A$27,0)),"")</f>
        <v>0.8</v>
      </c>
      <c r="AA806" s="24">
        <f>IFERROR(INDEX(Cost_Components!$U$2:$U$27,MATCH(E806,Cost_Components!$A$2:$A$27,0)),"")</f>
        <v>2025</v>
      </c>
      <c r="AB806" s="24">
        <f>IFERROR(INDEX(Cost_Components!$V$2:$V$27,MATCH(E806,Cost_Components!$A$2:$A$27,0)),"")</f>
        <v>2050</v>
      </c>
      <c r="AC806" s="24">
        <f>IFERROR(INDEX(Cost_Components!$M$2:$M$27,MATCH(E806,Cost_Components!$A$2:$A$27,0)),"")</f>
        <v>30</v>
      </c>
      <c r="AD806" s="24">
        <f>IFERROR(INDEX(Cost_Components!$N$2:$N$27,MATCH(E806,Cost_Components!$A$2:$A$27,0)),"")</f>
        <v>95</v>
      </c>
      <c r="AE806" s="14" t="str">
        <f>IFERROR(INDEX(Cost_Components!$O$2:$O$27,MATCH(E806,Cost_Components!$A$2:$A$27,0)),"")</f>
        <v>Both</v>
      </c>
      <c r="AF806" s="11">
        <v>6705881.6861488204</v>
      </c>
      <c r="AG806" s="11">
        <v>7634750.3951070299</v>
      </c>
      <c r="AH806" s="21">
        <f t="shared" si="129"/>
        <v>1</v>
      </c>
    </row>
    <row r="807" spans="1:34" hidden="1">
      <c r="A807" t="s">
        <v>75</v>
      </c>
      <c r="B807" s="18">
        <v>2050</v>
      </c>
      <c r="C807" t="s">
        <v>183</v>
      </c>
      <c r="D807" t="s">
        <v>177</v>
      </c>
      <c r="E807" s="20" t="s">
        <v>267</v>
      </c>
      <c r="F807" s="20" t="s">
        <v>268</v>
      </c>
      <c r="G807" s="20" t="s">
        <v>195</v>
      </c>
      <c r="H807" s="20" t="s">
        <v>192</v>
      </c>
      <c r="I807" s="20" t="s">
        <v>264</v>
      </c>
      <c r="J807" s="15">
        <f>IFERROR(INDEX(Cost_Components!$K$2:$K$27,MATCH(E807,Cost_Components!$A$2:$A$27,0)),"")</f>
        <v>0.1</v>
      </c>
      <c r="K807" s="15">
        <f t="shared" si="120"/>
        <v>0.8</v>
      </c>
      <c r="L807" s="15">
        <f>IFERROR(INDEX(Cost_Components!$S$2:$S$27,MATCH(E807,Cost_Components!$A$2:$A$27,0)),"")</f>
        <v>0.31</v>
      </c>
      <c r="M807" s="26">
        <f>IFERROR(INDEX(Cost_Components!$L$2:$L$27,MATCH(E807,Cost_Components!$A$2:$A$27,0)),"")</f>
        <v>1</v>
      </c>
      <c r="N807" s="27">
        <f>IFERROR(INDEX(Cost_Components!$P$2:$P$27,MATCH(E807,Cost_Components!$A$2:$A$27,0)),"")</f>
        <v>282.51283599999999</v>
      </c>
      <c r="O807" s="21">
        <f t="shared" si="121"/>
        <v>671094.48989849398</v>
      </c>
      <c r="P807" s="21">
        <f t="shared" si="122"/>
        <v>769549.32165961107</v>
      </c>
      <c r="Q807" s="21">
        <f t="shared" si="123"/>
        <v>67396344.004219219</v>
      </c>
      <c r="R807" s="21">
        <f t="shared" si="124"/>
        <v>151674246.05215752</v>
      </c>
      <c r="S807" s="21">
        <f t="shared" si="125"/>
        <v>84277902.047938302</v>
      </c>
      <c r="T807" s="14">
        <f>IFERROR(INDEX(Cost_Components!$R$2:$R$27,MATCH(E807,Cost_Components!$A$2:$A$27,0)),"")</f>
        <v>1</v>
      </c>
      <c r="U807" s="24">
        <f>IFERROR(INDEX(Cost_Components!$Q$2:$Q$27,MATCH(E807,Cost_Components!$A$2:$A$27,0)),"")</f>
        <v>2023</v>
      </c>
      <c r="V807" s="28">
        <f>1/(1+Calculation_Assumptions!$B$5)^(B807-Calculation_Assumptions!$B$2)</f>
        <v>0.47760556926165965</v>
      </c>
      <c r="W807" s="21">
        <f t="shared" si="126"/>
        <v>32188869.244289763</v>
      </c>
      <c r="X807" s="21">
        <f t="shared" si="127"/>
        <v>72440464.628073722</v>
      </c>
      <c r="Y807" s="21">
        <f t="shared" si="128"/>
        <v>40251595.383783966</v>
      </c>
      <c r="Z807" s="15">
        <f>IFERROR(INDEX(Cost_Components!$T$2:$T$27,MATCH(E807,Cost_Components!$A$2:$A$27,0)),"")</f>
        <v>0.8</v>
      </c>
      <c r="AA807" s="24">
        <f>IFERROR(INDEX(Cost_Components!$U$2:$U$27,MATCH(E807,Cost_Components!$A$2:$A$27,0)),"")</f>
        <v>2025</v>
      </c>
      <c r="AB807" s="24">
        <f>IFERROR(INDEX(Cost_Components!$V$2:$V$27,MATCH(E807,Cost_Components!$A$2:$A$27,0)),"")</f>
        <v>2050</v>
      </c>
      <c r="AC807" s="24">
        <f>IFERROR(INDEX(Cost_Components!$M$2:$M$27,MATCH(E807,Cost_Components!$A$2:$A$27,0)),"")</f>
        <v>30</v>
      </c>
      <c r="AD807" s="24">
        <f>IFERROR(INDEX(Cost_Components!$N$2:$N$27,MATCH(E807,Cost_Components!$A$2:$A$27,0)),"")</f>
        <v>95</v>
      </c>
      <c r="AE807" s="14" t="str">
        <f>IFERROR(INDEX(Cost_Components!$O$2:$O$27,MATCH(E807,Cost_Components!$A$2:$A$27,0)),"")</f>
        <v>Both</v>
      </c>
      <c r="AF807" s="11">
        <v>6710944.8989849398</v>
      </c>
      <c r="AG807" s="11">
        <v>7695493.2165961098</v>
      </c>
      <c r="AH807" s="21">
        <f t="shared" si="129"/>
        <v>1</v>
      </c>
    </row>
    <row r="808" spans="1:34" hidden="1">
      <c r="A808" t="s">
        <v>75</v>
      </c>
      <c r="B808" s="18">
        <v>2025</v>
      </c>
      <c r="C808" t="s">
        <v>197</v>
      </c>
      <c r="D808" t="s">
        <v>187</v>
      </c>
      <c r="E808" s="20" t="s">
        <v>269</v>
      </c>
      <c r="F808" s="20" t="s">
        <v>270</v>
      </c>
      <c r="G808" s="20" t="s">
        <v>198</v>
      </c>
      <c r="H808" s="20" t="s">
        <v>192</v>
      </c>
      <c r="I808" s="20" t="s">
        <v>264</v>
      </c>
      <c r="J808" s="15">
        <f>IFERROR(INDEX(Cost_Components!$K$2:$K$27,MATCH(E808,Cost_Components!$A$2:$A$27,0)),"")</f>
        <v>1</v>
      </c>
      <c r="K808" s="15">
        <f t="shared" si="120"/>
        <v>0.32884615384615384</v>
      </c>
      <c r="L808" s="15">
        <f>IFERROR(INDEX(Cost_Components!$S$2:$S$27,MATCH(E808,Cost_Components!$A$2:$A$27,0)),"")</f>
        <v>0.31</v>
      </c>
      <c r="M808" s="26">
        <f>IFERROR(INDEX(Cost_Components!$L$2:$L$27,MATCH(E808,Cost_Components!$A$2:$A$27,0)),"")</f>
        <v>1</v>
      </c>
      <c r="N808" s="27">
        <f>IFERROR(INDEX(Cost_Components!$P$2:$P$27,MATCH(E808,Cost_Components!$A$2:$A$27,0)),"")</f>
        <v>5.133311</v>
      </c>
      <c r="O808" s="21">
        <f t="shared" si="121"/>
        <v>78263.332008683705</v>
      </c>
      <c r="P808" s="21">
        <f t="shared" si="122"/>
        <v>78177.722455986499</v>
      </c>
      <c r="Q808" s="21">
        <f t="shared" si="123"/>
        <v>124406.27441786138</v>
      </c>
      <c r="R808" s="21">
        <f t="shared" si="124"/>
        <v>132113.94990299543</v>
      </c>
      <c r="S808" s="21">
        <f t="shared" si="125"/>
        <v>7707.675485134052</v>
      </c>
      <c r="T808" s="14">
        <f>IFERROR(INDEX(Cost_Components!$R$2:$R$27,MATCH(E808,Cost_Components!$A$2:$A$27,0)),"")</f>
        <v>1</v>
      </c>
      <c r="U808" s="24">
        <f>IFERROR(INDEX(Cost_Components!$Q$2:$Q$27,MATCH(E808,Cost_Components!$A$2:$A$27,0)),"")</f>
        <v>2023</v>
      </c>
      <c r="V808" s="28">
        <f>1/(1+Calculation_Assumptions!$B$5)^(B808-Calculation_Assumptions!$B$2)</f>
        <v>1</v>
      </c>
      <c r="W808" s="21">
        <f t="shared" si="126"/>
        <v>124406.27441786138</v>
      </c>
      <c r="X808" s="21">
        <f t="shared" si="127"/>
        <v>132113.94990299543</v>
      </c>
      <c r="Y808" s="21">
        <f t="shared" si="128"/>
        <v>7707.675485134052</v>
      </c>
      <c r="Z808" s="15">
        <f>IFERROR(INDEX(Cost_Components!$T$2:$T$27,MATCH(E808,Cost_Components!$A$2:$A$27,0)),"")</f>
        <v>0.8</v>
      </c>
      <c r="AA808" s="24">
        <f>IFERROR(INDEX(Cost_Components!$U$2:$U$27,MATCH(E808,Cost_Components!$A$2:$A$27,0)),"")</f>
        <v>2025</v>
      </c>
      <c r="AB808" s="24">
        <f>IFERROR(INDEX(Cost_Components!$V$2:$V$27,MATCH(E808,Cost_Components!$A$2:$A$27,0)),"")</f>
        <v>2050</v>
      </c>
      <c r="AC808" s="24">
        <f>IFERROR(INDEX(Cost_Components!$M$2:$M$27,MATCH(E808,Cost_Components!$A$2:$A$27,0)),"")</f>
        <v>0</v>
      </c>
      <c r="AD808" s="24">
        <f>IFERROR(INDEX(Cost_Components!$N$2:$N$27,MATCH(E808,Cost_Components!$A$2:$A$27,0)),"")</f>
        <v>95</v>
      </c>
      <c r="AE808" s="14" t="str">
        <f>IFERROR(INDEX(Cost_Components!$O$2:$O$27,MATCH(E808,Cost_Components!$A$2:$A$27,0)),"")</f>
        <v>Both</v>
      </c>
      <c r="AF808" s="11">
        <v>78263.332008683705</v>
      </c>
      <c r="AG808" s="11">
        <v>78177.722455986499</v>
      </c>
      <c r="AH808" s="21">
        <f t="shared" si="129"/>
        <v>1</v>
      </c>
    </row>
    <row r="809" spans="1:34" hidden="1">
      <c r="A809" t="s">
        <v>75</v>
      </c>
      <c r="B809" s="18">
        <v>2026</v>
      </c>
      <c r="C809" t="s">
        <v>197</v>
      </c>
      <c r="D809" t="s">
        <v>187</v>
      </c>
      <c r="E809" s="20" t="s">
        <v>269</v>
      </c>
      <c r="F809" s="20" t="s">
        <v>270</v>
      </c>
      <c r="G809" s="20" t="s">
        <v>198</v>
      </c>
      <c r="H809" s="20" t="s">
        <v>192</v>
      </c>
      <c r="I809" s="20" t="s">
        <v>264</v>
      </c>
      <c r="J809" s="15">
        <f>IFERROR(INDEX(Cost_Components!$K$2:$K$27,MATCH(E809,Cost_Components!$A$2:$A$27,0)),"")</f>
        <v>1</v>
      </c>
      <c r="K809" s="15">
        <f t="shared" si="120"/>
        <v>0.34769230769230769</v>
      </c>
      <c r="L809" s="15">
        <f>IFERROR(INDEX(Cost_Components!$S$2:$S$27,MATCH(E809,Cost_Components!$A$2:$A$27,0)),"")</f>
        <v>0.31</v>
      </c>
      <c r="M809" s="26">
        <f>IFERROR(INDEX(Cost_Components!$L$2:$L$27,MATCH(E809,Cost_Components!$A$2:$A$27,0)),"")</f>
        <v>1</v>
      </c>
      <c r="N809" s="27">
        <f>IFERROR(INDEX(Cost_Components!$P$2:$P$27,MATCH(E809,Cost_Components!$A$2:$A$27,0)),"")</f>
        <v>5.133311</v>
      </c>
      <c r="O809" s="21">
        <f t="shared" si="121"/>
        <v>80190.894280943903</v>
      </c>
      <c r="P809" s="21">
        <f t="shared" si="122"/>
        <v>79946.906612797</v>
      </c>
      <c r="Q809" s="21">
        <f t="shared" si="123"/>
        <v>127221.62389074751</v>
      </c>
      <c r="R809" s="21">
        <f t="shared" si="124"/>
        <v>143125.73036147485</v>
      </c>
      <c r="S809" s="21">
        <f t="shared" si="125"/>
        <v>15904.106470727347</v>
      </c>
      <c r="T809" s="14">
        <f>IFERROR(INDEX(Cost_Components!$R$2:$R$27,MATCH(E809,Cost_Components!$A$2:$A$27,0)),"")</f>
        <v>1</v>
      </c>
      <c r="U809" s="24">
        <f>IFERROR(INDEX(Cost_Components!$Q$2:$Q$27,MATCH(E809,Cost_Components!$A$2:$A$27,0)),"")</f>
        <v>2023</v>
      </c>
      <c r="V809" s="28">
        <f>1/(1+Calculation_Assumptions!$B$5)^(B809-Calculation_Assumptions!$B$2)</f>
        <v>0.970873786407767</v>
      </c>
      <c r="W809" s="21">
        <f t="shared" si="126"/>
        <v>123516.13969975486</v>
      </c>
      <c r="X809" s="21">
        <f t="shared" si="127"/>
        <v>138957.01976842218</v>
      </c>
      <c r="Y809" s="21">
        <f t="shared" si="128"/>
        <v>15440.880068667328</v>
      </c>
      <c r="Z809" s="15">
        <f>IFERROR(INDEX(Cost_Components!$T$2:$T$27,MATCH(E809,Cost_Components!$A$2:$A$27,0)),"")</f>
        <v>0.8</v>
      </c>
      <c r="AA809" s="24">
        <f>IFERROR(INDEX(Cost_Components!$U$2:$U$27,MATCH(E809,Cost_Components!$A$2:$A$27,0)),"")</f>
        <v>2025</v>
      </c>
      <c r="AB809" s="24">
        <f>IFERROR(INDEX(Cost_Components!$V$2:$V$27,MATCH(E809,Cost_Components!$A$2:$A$27,0)),"")</f>
        <v>2050</v>
      </c>
      <c r="AC809" s="24">
        <f>IFERROR(INDEX(Cost_Components!$M$2:$M$27,MATCH(E809,Cost_Components!$A$2:$A$27,0)),"")</f>
        <v>0</v>
      </c>
      <c r="AD809" s="24">
        <f>IFERROR(INDEX(Cost_Components!$N$2:$N$27,MATCH(E809,Cost_Components!$A$2:$A$27,0)),"")</f>
        <v>95</v>
      </c>
      <c r="AE809" s="14" t="str">
        <f>IFERROR(INDEX(Cost_Components!$O$2:$O$27,MATCH(E809,Cost_Components!$A$2:$A$27,0)),"")</f>
        <v>Both</v>
      </c>
      <c r="AF809" s="11">
        <v>80190.894280943903</v>
      </c>
      <c r="AG809" s="11">
        <v>79946.906612797</v>
      </c>
      <c r="AH809" s="21">
        <f t="shared" si="129"/>
        <v>1</v>
      </c>
    </row>
    <row r="810" spans="1:34" hidden="1">
      <c r="A810" t="s">
        <v>75</v>
      </c>
      <c r="B810" s="18">
        <v>2027</v>
      </c>
      <c r="C810" t="s">
        <v>197</v>
      </c>
      <c r="D810" t="s">
        <v>187</v>
      </c>
      <c r="E810" s="20" t="s">
        <v>269</v>
      </c>
      <c r="F810" s="20" t="s">
        <v>270</v>
      </c>
      <c r="G810" s="20" t="s">
        <v>198</v>
      </c>
      <c r="H810" s="20" t="s">
        <v>192</v>
      </c>
      <c r="I810" s="20" t="s">
        <v>264</v>
      </c>
      <c r="J810" s="15">
        <f>IFERROR(INDEX(Cost_Components!$K$2:$K$27,MATCH(E810,Cost_Components!$A$2:$A$27,0)),"")</f>
        <v>1</v>
      </c>
      <c r="K810" s="15">
        <f t="shared" si="120"/>
        <v>0.36653846153846154</v>
      </c>
      <c r="L810" s="15">
        <f>IFERROR(INDEX(Cost_Components!$S$2:$S$27,MATCH(E810,Cost_Components!$A$2:$A$27,0)),"")</f>
        <v>0.31</v>
      </c>
      <c r="M810" s="26">
        <f>IFERROR(INDEX(Cost_Components!$L$2:$L$27,MATCH(E810,Cost_Components!$A$2:$A$27,0)),"")</f>
        <v>1</v>
      </c>
      <c r="N810" s="27">
        <f>IFERROR(INDEX(Cost_Components!$P$2:$P$27,MATCH(E810,Cost_Components!$A$2:$A$27,0)),"")</f>
        <v>5.133311</v>
      </c>
      <c r="O810" s="21">
        <f t="shared" si="121"/>
        <v>82151.363252314099</v>
      </c>
      <c r="P810" s="21">
        <f t="shared" si="122"/>
        <v>81685.048654253798</v>
      </c>
      <c r="Q810" s="21">
        <f t="shared" si="123"/>
        <v>129987.57522564902</v>
      </c>
      <c r="R810" s="21">
        <f t="shared" si="124"/>
        <v>154572.38357909193</v>
      </c>
      <c r="S810" s="21">
        <f t="shared" si="125"/>
        <v>24584.808353442902</v>
      </c>
      <c r="T810" s="14">
        <f>IFERROR(INDEX(Cost_Components!$R$2:$R$27,MATCH(E810,Cost_Components!$A$2:$A$27,0)),"")</f>
        <v>1</v>
      </c>
      <c r="U810" s="24">
        <f>IFERROR(INDEX(Cost_Components!$Q$2:$Q$27,MATCH(E810,Cost_Components!$A$2:$A$27,0)),"")</f>
        <v>2023</v>
      </c>
      <c r="V810" s="28">
        <f>1/(1+Calculation_Assumptions!$B$5)^(B810-Calculation_Assumptions!$B$2)</f>
        <v>0.94259590913375435</v>
      </c>
      <c r="W810" s="21">
        <f t="shared" si="126"/>
        <v>122525.75664591293</v>
      </c>
      <c r="X810" s="21">
        <f t="shared" si="127"/>
        <v>145699.29642670555</v>
      </c>
      <c r="Y810" s="21">
        <f t="shared" si="128"/>
        <v>23173.539780792631</v>
      </c>
      <c r="Z810" s="15">
        <f>IFERROR(INDEX(Cost_Components!$T$2:$T$27,MATCH(E810,Cost_Components!$A$2:$A$27,0)),"")</f>
        <v>0.8</v>
      </c>
      <c r="AA810" s="24">
        <f>IFERROR(INDEX(Cost_Components!$U$2:$U$27,MATCH(E810,Cost_Components!$A$2:$A$27,0)),"")</f>
        <v>2025</v>
      </c>
      <c r="AB810" s="24">
        <f>IFERROR(INDEX(Cost_Components!$V$2:$V$27,MATCH(E810,Cost_Components!$A$2:$A$27,0)),"")</f>
        <v>2050</v>
      </c>
      <c r="AC810" s="24">
        <f>IFERROR(INDEX(Cost_Components!$M$2:$M$27,MATCH(E810,Cost_Components!$A$2:$A$27,0)),"")</f>
        <v>0</v>
      </c>
      <c r="AD810" s="24">
        <f>IFERROR(INDEX(Cost_Components!$N$2:$N$27,MATCH(E810,Cost_Components!$A$2:$A$27,0)),"")</f>
        <v>95</v>
      </c>
      <c r="AE810" s="14" t="str">
        <f>IFERROR(INDEX(Cost_Components!$O$2:$O$27,MATCH(E810,Cost_Components!$A$2:$A$27,0)),"")</f>
        <v>Both</v>
      </c>
      <c r="AF810" s="11">
        <v>82151.363252314099</v>
      </c>
      <c r="AG810" s="11">
        <v>81685.048654253798</v>
      </c>
      <c r="AH810" s="21">
        <f t="shared" si="129"/>
        <v>1</v>
      </c>
    </row>
    <row r="811" spans="1:34" hidden="1">
      <c r="A811" t="s">
        <v>75</v>
      </c>
      <c r="B811" s="18">
        <v>2028</v>
      </c>
      <c r="C811" t="s">
        <v>197</v>
      </c>
      <c r="D811" t="s">
        <v>187</v>
      </c>
      <c r="E811" s="20" t="s">
        <v>269</v>
      </c>
      <c r="F811" s="20" t="s">
        <v>270</v>
      </c>
      <c r="G811" s="20" t="s">
        <v>198</v>
      </c>
      <c r="H811" s="20" t="s">
        <v>192</v>
      </c>
      <c r="I811" s="20" t="s">
        <v>264</v>
      </c>
      <c r="J811" s="15">
        <f>IFERROR(INDEX(Cost_Components!$K$2:$K$27,MATCH(E811,Cost_Components!$A$2:$A$27,0)),"")</f>
        <v>1</v>
      </c>
      <c r="K811" s="15">
        <f t="shared" si="120"/>
        <v>0.38538461538461538</v>
      </c>
      <c r="L811" s="15">
        <f>IFERROR(INDEX(Cost_Components!$S$2:$S$27,MATCH(E811,Cost_Components!$A$2:$A$27,0)),"")</f>
        <v>0.31</v>
      </c>
      <c r="M811" s="26">
        <f>IFERROR(INDEX(Cost_Components!$L$2:$L$27,MATCH(E811,Cost_Components!$A$2:$A$27,0)),"")</f>
        <v>1</v>
      </c>
      <c r="N811" s="27">
        <f>IFERROR(INDEX(Cost_Components!$P$2:$P$27,MATCH(E811,Cost_Components!$A$2:$A$27,0)),"")</f>
        <v>5.133311</v>
      </c>
      <c r="O811" s="21">
        <f t="shared" si="121"/>
        <v>84133.426014957804</v>
      </c>
      <c r="P811" s="21">
        <f t="shared" si="122"/>
        <v>83387.072966053194</v>
      </c>
      <c r="Q811" s="21">
        <f t="shared" si="123"/>
        <v>132696.05146347746</v>
      </c>
      <c r="R811" s="21">
        <f t="shared" si="124"/>
        <v>166441.07973566523</v>
      </c>
      <c r="S811" s="21">
        <f t="shared" si="125"/>
        <v>33745.028272187774</v>
      </c>
      <c r="T811" s="14">
        <f>IFERROR(INDEX(Cost_Components!$R$2:$R$27,MATCH(E811,Cost_Components!$A$2:$A$27,0)),"")</f>
        <v>1</v>
      </c>
      <c r="U811" s="24">
        <f>IFERROR(INDEX(Cost_Components!$Q$2:$Q$27,MATCH(E811,Cost_Components!$A$2:$A$27,0)),"")</f>
        <v>2023</v>
      </c>
      <c r="V811" s="28">
        <f>1/(1+Calculation_Assumptions!$B$5)^(B811-Calculation_Assumptions!$B$2)</f>
        <v>0.91514165935315961</v>
      </c>
      <c r="W811" s="21">
        <f t="shared" si="126"/>
        <v>121435.68472589903</v>
      </c>
      <c r="X811" s="21">
        <f t="shared" si="127"/>
        <v>152317.16589382823</v>
      </c>
      <c r="Y811" s="21">
        <f t="shared" si="128"/>
        <v>30881.481167929203</v>
      </c>
      <c r="Z811" s="15">
        <f>IFERROR(INDEX(Cost_Components!$T$2:$T$27,MATCH(E811,Cost_Components!$A$2:$A$27,0)),"")</f>
        <v>0.8</v>
      </c>
      <c r="AA811" s="24">
        <f>IFERROR(INDEX(Cost_Components!$U$2:$U$27,MATCH(E811,Cost_Components!$A$2:$A$27,0)),"")</f>
        <v>2025</v>
      </c>
      <c r="AB811" s="24">
        <f>IFERROR(INDEX(Cost_Components!$V$2:$V$27,MATCH(E811,Cost_Components!$A$2:$A$27,0)),"")</f>
        <v>2050</v>
      </c>
      <c r="AC811" s="24">
        <f>IFERROR(INDEX(Cost_Components!$M$2:$M$27,MATCH(E811,Cost_Components!$A$2:$A$27,0)),"")</f>
        <v>0</v>
      </c>
      <c r="AD811" s="24">
        <f>IFERROR(INDEX(Cost_Components!$N$2:$N$27,MATCH(E811,Cost_Components!$A$2:$A$27,0)),"")</f>
        <v>95</v>
      </c>
      <c r="AE811" s="14" t="str">
        <f>IFERROR(INDEX(Cost_Components!$O$2:$O$27,MATCH(E811,Cost_Components!$A$2:$A$27,0)),"")</f>
        <v>Both</v>
      </c>
      <c r="AF811" s="11">
        <v>84133.426014957804</v>
      </c>
      <c r="AG811" s="11">
        <v>83387.072966053194</v>
      </c>
      <c r="AH811" s="21">
        <f t="shared" si="129"/>
        <v>1</v>
      </c>
    </row>
    <row r="812" spans="1:34" hidden="1">
      <c r="A812" t="s">
        <v>75</v>
      </c>
      <c r="B812" s="18">
        <v>2029</v>
      </c>
      <c r="C812" t="s">
        <v>197</v>
      </c>
      <c r="D812" t="s">
        <v>187</v>
      </c>
      <c r="E812" s="20" t="s">
        <v>269</v>
      </c>
      <c r="F812" s="20" t="s">
        <v>270</v>
      </c>
      <c r="G812" s="20" t="s">
        <v>198</v>
      </c>
      <c r="H812" s="20" t="s">
        <v>192</v>
      </c>
      <c r="I812" s="20" t="s">
        <v>264</v>
      </c>
      <c r="J812" s="15">
        <f>IFERROR(INDEX(Cost_Components!$K$2:$K$27,MATCH(E812,Cost_Components!$A$2:$A$27,0)),"")</f>
        <v>1</v>
      </c>
      <c r="K812" s="15">
        <f t="shared" si="120"/>
        <v>0.40423076923076923</v>
      </c>
      <c r="L812" s="15">
        <f>IFERROR(INDEX(Cost_Components!$S$2:$S$27,MATCH(E812,Cost_Components!$A$2:$A$27,0)),"")</f>
        <v>0.31</v>
      </c>
      <c r="M812" s="26">
        <f>IFERROR(INDEX(Cost_Components!$L$2:$L$27,MATCH(E812,Cost_Components!$A$2:$A$27,0)),"")</f>
        <v>1</v>
      </c>
      <c r="N812" s="27">
        <f>IFERROR(INDEX(Cost_Components!$P$2:$P$27,MATCH(E812,Cost_Components!$A$2:$A$27,0)),"")</f>
        <v>5.133311</v>
      </c>
      <c r="O812" s="21">
        <f t="shared" si="121"/>
        <v>86129.515852807395</v>
      </c>
      <c r="P812" s="21">
        <f t="shared" si="122"/>
        <v>85049.897381939096</v>
      </c>
      <c r="Q812" s="21">
        <f t="shared" si="123"/>
        <v>135342.14787166953</v>
      </c>
      <c r="R812" s="21">
        <f t="shared" si="124"/>
        <v>178722.38473101423</v>
      </c>
      <c r="S812" s="21">
        <f t="shared" si="125"/>
        <v>43380.236859344703</v>
      </c>
      <c r="T812" s="14">
        <f>IFERROR(INDEX(Cost_Components!$R$2:$R$27,MATCH(E812,Cost_Components!$A$2:$A$27,0)),"")</f>
        <v>1</v>
      </c>
      <c r="U812" s="24">
        <f>IFERROR(INDEX(Cost_Components!$Q$2:$Q$27,MATCH(E812,Cost_Components!$A$2:$A$27,0)),"")</f>
        <v>2023</v>
      </c>
      <c r="V812" s="28">
        <f>1/(1+Calculation_Assumptions!$B$5)^(B812-Calculation_Assumptions!$B$2)</f>
        <v>0.888487047915689</v>
      </c>
      <c r="W812" s="21">
        <f t="shared" si="126"/>
        <v>120249.74542106831</v>
      </c>
      <c r="X812" s="21">
        <f t="shared" si="127"/>
        <v>158792.52400611085</v>
      </c>
      <c r="Y812" s="21">
        <f t="shared" si="128"/>
        <v>38542.778585042535</v>
      </c>
      <c r="Z812" s="15">
        <f>IFERROR(INDEX(Cost_Components!$T$2:$T$27,MATCH(E812,Cost_Components!$A$2:$A$27,0)),"")</f>
        <v>0.8</v>
      </c>
      <c r="AA812" s="24">
        <f>IFERROR(INDEX(Cost_Components!$U$2:$U$27,MATCH(E812,Cost_Components!$A$2:$A$27,0)),"")</f>
        <v>2025</v>
      </c>
      <c r="AB812" s="24">
        <f>IFERROR(INDEX(Cost_Components!$V$2:$V$27,MATCH(E812,Cost_Components!$A$2:$A$27,0)),"")</f>
        <v>2050</v>
      </c>
      <c r="AC812" s="24">
        <f>IFERROR(INDEX(Cost_Components!$M$2:$M$27,MATCH(E812,Cost_Components!$A$2:$A$27,0)),"")</f>
        <v>0</v>
      </c>
      <c r="AD812" s="24">
        <f>IFERROR(INDEX(Cost_Components!$N$2:$N$27,MATCH(E812,Cost_Components!$A$2:$A$27,0)),"")</f>
        <v>95</v>
      </c>
      <c r="AE812" s="14" t="str">
        <f>IFERROR(INDEX(Cost_Components!$O$2:$O$27,MATCH(E812,Cost_Components!$A$2:$A$27,0)),"")</f>
        <v>Both</v>
      </c>
      <c r="AF812" s="11">
        <v>86129.515852807395</v>
      </c>
      <c r="AG812" s="11">
        <v>85049.897381939096</v>
      </c>
      <c r="AH812" s="21">
        <f t="shared" si="129"/>
        <v>1</v>
      </c>
    </row>
    <row r="813" spans="1:34" hidden="1">
      <c r="A813" t="s">
        <v>75</v>
      </c>
      <c r="B813" s="18">
        <v>2030</v>
      </c>
      <c r="C813" t="s">
        <v>197</v>
      </c>
      <c r="D813" t="s">
        <v>187</v>
      </c>
      <c r="E813" s="20" t="s">
        <v>269</v>
      </c>
      <c r="F813" s="20" t="s">
        <v>270</v>
      </c>
      <c r="G813" s="20" t="s">
        <v>198</v>
      </c>
      <c r="H813" s="20" t="s">
        <v>192</v>
      </c>
      <c r="I813" s="20" t="s">
        <v>264</v>
      </c>
      <c r="J813" s="15">
        <f>IFERROR(INDEX(Cost_Components!$K$2:$K$27,MATCH(E813,Cost_Components!$A$2:$A$27,0)),"")</f>
        <v>1</v>
      </c>
      <c r="K813" s="15">
        <f t="shared" si="120"/>
        <v>0.42307692307692307</v>
      </c>
      <c r="L813" s="15">
        <f>IFERROR(INDEX(Cost_Components!$S$2:$S$27,MATCH(E813,Cost_Components!$A$2:$A$27,0)),"")</f>
        <v>0.31</v>
      </c>
      <c r="M813" s="26">
        <f>IFERROR(INDEX(Cost_Components!$L$2:$L$27,MATCH(E813,Cost_Components!$A$2:$A$27,0)),"")</f>
        <v>1</v>
      </c>
      <c r="N813" s="27">
        <f>IFERROR(INDEX(Cost_Components!$P$2:$P$27,MATCH(E813,Cost_Components!$A$2:$A$27,0)),"")</f>
        <v>5.133311</v>
      </c>
      <c r="O813" s="21">
        <f t="shared" si="121"/>
        <v>88135.857254460701</v>
      </c>
      <c r="P813" s="21">
        <f t="shared" si="122"/>
        <v>86672.837931488</v>
      </c>
      <c r="Q813" s="21">
        <f t="shared" si="123"/>
        <v>137924.77603002661</v>
      </c>
      <c r="R813" s="21">
        <f t="shared" si="124"/>
        <v>191412.17003562622</v>
      </c>
      <c r="S813" s="21">
        <f t="shared" si="125"/>
        <v>53487.394005599606</v>
      </c>
      <c r="T813" s="14">
        <f>IFERROR(INDEX(Cost_Components!$R$2:$R$27,MATCH(E813,Cost_Components!$A$2:$A$27,0)),"")</f>
        <v>1</v>
      </c>
      <c r="U813" s="24">
        <f>IFERROR(INDEX(Cost_Components!$Q$2:$Q$27,MATCH(E813,Cost_Components!$A$2:$A$27,0)),"")</f>
        <v>2023</v>
      </c>
      <c r="V813" s="28">
        <f>1/(1+Calculation_Assumptions!$B$5)^(B813-Calculation_Assumptions!$B$2)</f>
        <v>0.86260878438416411</v>
      </c>
      <c r="W813" s="21">
        <f t="shared" si="126"/>
        <v>118975.12338771934</v>
      </c>
      <c r="X813" s="21">
        <f t="shared" si="127"/>
        <v>165113.81931076644</v>
      </c>
      <c r="Y813" s="21">
        <f t="shared" si="128"/>
        <v>46138.695923047104</v>
      </c>
      <c r="Z813" s="15">
        <f>IFERROR(INDEX(Cost_Components!$T$2:$T$27,MATCH(E813,Cost_Components!$A$2:$A$27,0)),"")</f>
        <v>0.8</v>
      </c>
      <c r="AA813" s="24">
        <f>IFERROR(INDEX(Cost_Components!$U$2:$U$27,MATCH(E813,Cost_Components!$A$2:$A$27,0)),"")</f>
        <v>2025</v>
      </c>
      <c r="AB813" s="24">
        <f>IFERROR(INDEX(Cost_Components!$V$2:$V$27,MATCH(E813,Cost_Components!$A$2:$A$27,0)),"")</f>
        <v>2050</v>
      </c>
      <c r="AC813" s="24">
        <f>IFERROR(INDEX(Cost_Components!$M$2:$M$27,MATCH(E813,Cost_Components!$A$2:$A$27,0)),"")</f>
        <v>0</v>
      </c>
      <c r="AD813" s="24">
        <f>IFERROR(INDEX(Cost_Components!$N$2:$N$27,MATCH(E813,Cost_Components!$A$2:$A$27,0)),"")</f>
        <v>95</v>
      </c>
      <c r="AE813" s="14" t="str">
        <f>IFERROR(INDEX(Cost_Components!$O$2:$O$27,MATCH(E813,Cost_Components!$A$2:$A$27,0)),"")</f>
        <v>Both</v>
      </c>
      <c r="AF813" s="11">
        <v>88135.857254460701</v>
      </c>
      <c r="AG813" s="11">
        <v>86672.837931488</v>
      </c>
      <c r="AH813" s="21">
        <f t="shared" si="129"/>
        <v>1</v>
      </c>
    </row>
    <row r="814" spans="1:34" hidden="1">
      <c r="A814" t="s">
        <v>75</v>
      </c>
      <c r="B814" s="18">
        <v>2031</v>
      </c>
      <c r="C814" t="s">
        <v>197</v>
      </c>
      <c r="D814" t="s">
        <v>187</v>
      </c>
      <c r="E814" s="20" t="s">
        <v>269</v>
      </c>
      <c r="F814" s="20" t="s">
        <v>270</v>
      </c>
      <c r="G814" s="20" t="s">
        <v>198</v>
      </c>
      <c r="H814" s="20" t="s">
        <v>192</v>
      </c>
      <c r="I814" s="20" t="s">
        <v>264</v>
      </c>
      <c r="J814" s="15">
        <f>IFERROR(INDEX(Cost_Components!$K$2:$K$27,MATCH(E814,Cost_Components!$A$2:$A$27,0)),"")</f>
        <v>1</v>
      </c>
      <c r="K814" s="15">
        <f t="shared" si="120"/>
        <v>0.44192307692307692</v>
      </c>
      <c r="L814" s="15">
        <f>IFERROR(INDEX(Cost_Components!$S$2:$S$27,MATCH(E814,Cost_Components!$A$2:$A$27,0)),"")</f>
        <v>0.31</v>
      </c>
      <c r="M814" s="26">
        <f>IFERROR(INDEX(Cost_Components!$L$2:$L$27,MATCH(E814,Cost_Components!$A$2:$A$27,0)),"")</f>
        <v>1</v>
      </c>
      <c r="N814" s="27">
        <f>IFERROR(INDEX(Cost_Components!$P$2:$P$27,MATCH(E814,Cost_Components!$A$2:$A$27,0)),"")</f>
        <v>5.133311</v>
      </c>
      <c r="O814" s="21">
        <f t="shared" si="121"/>
        <v>90155.673409573807</v>
      </c>
      <c r="P814" s="21">
        <f t="shared" si="122"/>
        <v>88261.326534887907</v>
      </c>
      <c r="Q814" s="21">
        <f t="shared" si="123"/>
        <v>140452.57989660092</v>
      </c>
      <c r="R814" s="21">
        <f t="shared" si="124"/>
        <v>204520.72285369725</v>
      </c>
      <c r="S814" s="21">
        <f t="shared" si="125"/>
        <v>64068.142957096337</v>
      </c>
      <c r="T814" s="14">
        <f>IFERROR(INDEX(Cost_Components!$R$2:$R$27,MATCH(E814,Cost_Components!$A$2:$A$27,0)),"")</f>
        <v>1</v>
      </c>
      <c r="U814" s="24">
        <f>IFERROR(INDEX(Cost_Components!$Q$2:$Q$27,MATCH(E814,Cost_Components!$A$2:$A$27,0)),"")</f>
        <v>2023</v>
      </c>
      <c r="V814" s="28">
        <f>1/(1+Calculation_Assumptions!$B$5)^(B814-Calculation_Assumptions!$B$2)</f>
        <v>0.83748425668365445</v>
      </c>
      <c r="W814" s="21">
        <f t="shared" si="126"/>
        <v>117626.82447400641</v>
      </c>
      <c r="X814" s="21">
        <f t="shared" si="127"/>
        <v>171282.88555553235</v>
      </c>
      <c r="Y814" s="21">
        <f t="shared" si="128"/>
        <v>53656.061081525935</v>
      </c>
      <c r="Z814" s="15">
        <f>IFERROR(INDEX(Cost_Components!$T$2:$T$27,MATCH(E814,Cost_Components!$A$2:$A$27,0)),"")</f>
        <v>0.8</v>
      </c>
      <c r="AA814" s="24">
        <f>IFERROR(INDEX(Cost_Components!$U$2:$U$27,MATCH(E814,Cost_Components!$A$2:$A$27,0)),"")</f>
        <v>2025</v>
      </c>
      <c r="AB814" s="24">
        <f>IFERROR(INDEX(Cost_Components!$V$2:$V$27,MATCH(E814,Cost_Components!$A$2:$A$27,0)),"")</f>
        <v>2050</v>
      </c>
      <c r="AC814" s="24">
        <f>IFERROR(INDEX(Cost_Components!$M$2:$M$27,MATCH(E814,Cost_Components!$A$2:$A$27,0)),"")</f>
        <v>0</v>
      </c>
      <c r="AD814" s="24">
        <f>IFERROR(INDEX(Cost_Components!$N$2:$N$27,MATCH(E814,Cost_Components!$A$2:$A$27,0)),"")</f>
        <v>95</v>
      </c>
      <c r="AE814" s="14" t="str">
        <f>IFERROR(INDEX(Cost_Components!$O$2:$O$27,MATCH(E814,Cost_Components!$A$2:$A$27,0)),"")</f>
        <v>Both</v>
      </c>
      <c r="AF814" s="11">
        <v>90155.673409573807</v>
      </c>
      <c r="AG814" s="11">
        <v>88261.326534887907</v>
      </c>
      <c r="AH814" s="21">
        <f t="shared" si="129"/>
        <v>1</v>
      </c>
    </row>
    <row r="815" spans="1:34" hidden="1">
      <c r="A815" t="s">
        <v>75</v>
      </c>
      <c r="B815" s="18">
        <v>2032</v>
      </c>
      <c r="C815" t="s">
        <v>197</v>
      </c>
      <c r="D815" t="s">
        <v>187</v>
      </c>
      <c r="E815" s="20" t="s">
        <v>269</v>
      </c>
      <c r="F815" s="20" t="s">
        <v>270</v>
      </c>
      <c r="G815" s="20" t="s">
        <v>198</v>
      </c>
      <c r="H815" s="20" t="s">
        <v>192</v>
      </c>
      <c r="I815" s="20" t="s">
        <v>264</v>
      </c>
      <c r="J815" s="15">
        <f>IFERROR(INDEX(Cost_Components!$K$2:$K$27,MATCH(E815,Cost_Components!$A$2:$A$27,0)),"")</f>
        <v>1</v>
      </c>
      <c r="K815" s="15">
        <f t="shared" si="120"/>
        <v>0.46076923076923082</v>
      </c>
      <c r="L815" s="15">
        <f>IFERROR(INDEX(Cost_Components!$S$2:$S$27,MATCH(E815,Cost_Components!$A$2:$A$27,0)),"")</f>
        <v>0.31</v>
      </c>
      <c r="M815" s="26">
        <f>IFERROR(INDEX(Cost_Components!$L$2:$L$27,MATCH(E815,Cost_Components!$A$2:$A$27,0)),"")</f>
        <v>1</v>
      </c>
      <c r="N815" s="27">
        <f>IFERROR(INDEX(Cost_Components!$P$2:$P$27,MATCH(E815,Cost_Components!$A$2:$A$27,0)),"")</f>
        <v>5.133311</v>
      </c>
      <c r="O815" s="21">
        <f t="shared" si="121"/>
        <v>92196.427560205397</v>
      </c>
      <c r="P815" s="21">
        <f t="shared" si="122"/>
        <v>89824.839885340101</v>
      </c>
      <c r="Q815" s="21">
        <f t="shared" si="123"/>
        <v>142940.63998356307</v>
      </c>
      <c r="R815" s="21">
        <f t="shared" si="124"/>
        <v>218069.60655195988</v>
      </c>
      <c r="S815" s="21">
        <f t="shared" si="125"/>
        <v>75128.966568396805</v>
      </c>
      <c r="T815" s="14">
        <f>IFERROR(INDEX(Cost_Components!$R$2:$R$27,MATCH(E815,Cost_Components!$A$2:$A$27,0)),"")</f>
        <v>1</v>
      </c>
      <c r="U815" s="24">
        <f>IFERROR(INDEX(Cost_Components!$Q$2:$Q$27,MATCH(E815,Cost_Components!$A$2:$A$27,0)),"")</f>
        <v>2023</v>
      </c>
      <c r="V815" s="28">
        <f>1/(1+Calculation_Assumptions!$B$5)^(B815-Calculation_Assumptions!$B$2)</f>
        <v>0.81309151134335378</v>
      </c>
      <c r="W815" s="21">
        <f t="shared" si="126"/>
        <v>116223.82099662152</v>
      </c>
      <c r="X815" s="21">
        <f t="shared" si="127"/>
        <v>177310.54596938359</v>
      </c>
      <c r="Y815" s="21">
        <f t="shared" si="128"/>
        <v>61086.724972762058</v>
      </c>
      <c r="Z815" s="15">
        <f>IFERROR(INDEX(Cost_Components!$T$2:$T$27,MATCH(E815,Cost_Components!$A$2:$A$27,0)),"")</f>
        <v>0.8</v>
      </c>
      <c r="AA815" s="24">
        <f>IFERROR(INDEX(Cost_Components!$U$2:$U$27,MATCH(E815,Cost_Components!$A$2:$A$27,0)),"")</f>
        <v>2025</v>
      </c>
      <c r="AB815" s="24">
        <f>IFERROR(INDEX(Cost_Components!$V$2:$V$27,MATCH(E815,Cost_Components!$A$2:$A$27,0)),"")</f>
        <v>2050</v>
      </c>
      <c r="AC815" s="24">
        <f>IFERROR(INDEX(Cost_Components!$M$2:$M$27,MATCH(E815,Cost_Components!$A$2:$A$27,0)),"")</f>
        <v>0</v>
      </c>
      <c r="AD815" s="24">
        <f>IFERROR(INDEX(Cost_Components!$N$2:$N$27,MATCH(E815,Cost_Components!$A$2:$A$27,0)),"")</f>
        <v>95</v>
      </c>
      <c r="AE815" s="14" t="str">
        <f>IFERROR(INDEX(Cost_Components!$O$2:$O$27,MATCH(E815,Cost_Components!$A$2:$A$27,0)),"")</f>
        <v>Both</v>
      </c>
      <c r="AF815" s="11">
        <v>92196.427560205397</v>
      </c>
      <c r="AG815" s="11">
        <v>89824.839885340101</v>
      </c>
      <c r="AH815" s="21">
        <f t="shared" si="129"/>
        <v>1</v>
      </c>
    </row>
    <row r="816" spans="1:34" hidden="1">
      <c r="A816" t="s">
        <v>75</v>
      </c>
      <c r="B816" s="18">
        <v>2033</v>
      </c>
      <c r="C816" t="s">
        <v>197</v>
      </c>
      <c r="D816" t="s">
        <v>187</v>
      </c>
      <c r="E816" s="20" t="s">
        <v>269</v>
      </c>
      <c r="F816" s="20" t="s">
        <v>270</v>
      </c>
      <c r="G816" s="20" t="s">
        <v>198</v>
      </c>
      <c r="H816" s="20" t="s">
        <v>192</v>
      </c>
      <c r="I816" s="20" t="s">
        <v>264</v>
      </c>
      <c r="J816" s="15">
        <f>IFERROR(INDEX(Cost_Components!$K$2:$K$27,MATCH(E816,Cost_Components!$A$2:$A$27,0)),"")</f>
        <v>1</v>
      </c>
      <c r="K816" s="15">
        <f t="shared" si="120"/>
        <v>0.47961538461538467</v>
      </c>
      <c r="L816" s="15">
        <f>IFERROR(INDEX(Cost_Components!$S$2:$S$27,MATCH(E816,Cost_Components!$A$2:$A$27,0)),"")</f>
        <v>0.31</v>
      </c>
      <c r="M816" s="26">
        <f>IFERROR(INDEX(Cost_Components!$L$2:$L$27,MATCH(E816,Cost_Components!$A$2:$A$27,0)),"")</f>
        <v>1</v>
      </c>
      <c r="N816" s="27">
        <f>IFERROR(INDEX(Cost_Components!$P$2:$P$27,MATCH(E816,Cost_Components!$A$2:$A$27,0)),"")</f>
        <v>5.133311</v>
      </c>
      <c r="O816" s="21">
        <f t="shared" si="121"/>
        <v>94266.706555511206</v>
      </c>
      <c r="P816" s="21">
        <f t="shared" si="122"/>
        <v>91373.697993231603</v>
      </c>
      <c r="Q816" s="21">
        <f t="shared" si="123"/>
        <v>145405.37879599346</v>
      </c>
      <c r="R816" s="21">
        <f t="shared" si="124"/>
        <v>232086.03890534106</v>
      </c>
      <c r="S816" s="21">
        <f t="shared" si="125"/>
        <v>86680.660109347606</v>
      </c>
      <c r="T816" s="14">
        <f>IFERROR(INDEX(Cost_Components!$R$2:$R$27,MATCH(E816,Cost_Components!$A$2:$A$27,0)),"")</f>
        <v>1</v>
      </c>
      <c r="U816" s="24">
        <f>IFERROR(INDEX(Cost_Components!$Q$2:$Q$27,MATCH(E816,Cost_Components!$A$2:$A$27,0)),"")</f>
        <v>2023</v>
      </c>
      <c r="V816" s="28">
        <f>1/(1+Calculation_Assumptions!$B$5)^(B816-Calculation_Assumptions!$B$2)</f>
        <v>0.78940923431393573</v>
      </c>
      <c r="W816" s="21">
        <f t="shared" si="126"/>
        <v>114784.34874047298</v>
      </c>
      <c r="X816" s="21">
        <f t="shared" si="127"/>
        <v>183210.86226721958</v>
      </c>
      <c r="Y816" s="21">
        <f t="shared" si="128"/>
        <v>68426.51352674661</v>
      </c>
      <c r="Z816" s="15">
        <f>IFERROR(INDEX(Cost_Components!$T$2:$T$27,MATCH(E816,Cost_Components!$A$2:$A$27,0)),"")</f>
        <v>0.8</v>
      </c>
      <c r="AA816" s="24">
        <f>IFERROR(INDEX(Cost_Components!$U$2:$U$27,MATCH(E816,Cost_Components!$A$2:$A$27,0)),"")</f>
        <v>2025</v>
      </c>
      <c r="AB816" s="24">
        <f>IFERROR(INDEX(Cost_Components!$V$2:$V$27,MATCH(E816,Cost_Components!$A$2:$A$27,0)),"")</f>
        <v>2050</v>
      </c>
      <c r="AC816" s="24">
        <f>IFERROR(INDEX(Cost_Components!$M$2:$M$27,MATCH(E816,Cost_Components!$A$2:$A$27,0)),"")</f>
        <v>0</v>
      </c>
      <c r="AD816" s="24">
        <f>IFERROR(INDEX(Cost_Components!$N$2:$N$27,MATCH(E816,Cost_Components!$A$2:$A$27,0)),"")</f>
        <v>95</v>
      </c>
      <c r="AE816" s="14" t="str">
        <f>IFERROR(INDEX(Cost_Components!$O$2:$O$27,MATCH(E816,Cost_Components!$A$2:$A$27,0)),"")</f>
        <v>Both</v>
      </c>
      <c r="AF816" s="11">
        <v>94266.706555511206</v>
      </c>
      <c r="AG816" s="11">
        <v>91373.697993231603</v>
      </c>
      <c r="AH816" s="21">
        <f t="shared" si="129"/>
        <v>1</v>
      </c>
    </row>
    <row r="817" spans="1:34" hidden="1">
      <c r="A817" t="s">
        <v>75</v>
      </c>
      <c r="B817" s="18">
        <v>2034</v>
      </c>
      <c r="C817" t="s">
        <v>197</v>
      </c>
      <c r="D817" t="s">
        <v>187</v>
      </c>
      <c r="E817" s="20" t="s">
        <v>269</v>
      </c>
      <c r="F817" s="20" t="s">
        <v>270</v>
      </c>
      <c r="G817" s="20" t="s">
        <v>198</v>
      </c>
      <c r="H817" s="20" t="s">
        <v>192</v>
      </c>
      <c r="I817" s="20" t="s">
        <v>264</v>
      </c>
      <c r="J817" s="15">
        <f>IFERROR(INDEX(Cost_Components!$K$2:$K$27,MATCH(E817,Cost_Components!$A$2:$A$27,0)),"")</f>
        <v>1</v>
      </c>
      <c r="K817" s="15">
        <f t="shared" si="120"/>
        <v>0.49846153846153851</v>
      </c>
      <c r="L817" s="15">
        <f>IFERROR(INDEX(Cost_Components!$S$2:$S$27,MATCH(E817,Cost_Components!$A$2:$A$27,0)),"")</f>
        <v>0.31</v>
      </c>
      <c r="M817" s="26">
        <f>IFERROR(INDEX(Cost_Components!$L$2:$L$27,MATCH(E817,Cost_Components!$A$2:$A$27,0)),"")</f>
        <v>1</v>
      </c>
      <c r="N817" s="27">
        <f>IFERROR(INDEX(Cost_Components!$P$2:$P$27,MATCH(E817,Cost_Components!$A$2:$A$27,0)),"")</f>
        <v>5.133311</v>
      </c>
      <c r="O817" s="21">
        <f t="shared" si="121"/>
        <v>96371.579146808304</v>
      </c>
      <c r="P817" s="21">
        <f t="shared" si="122"/>
        <v>92913.992066664694</v>
      </c>
      <c r="Q817" s="21">
        <f t="shared" si="123"/>
        <v>147856.48943421402</v>
      </c>
      <c r="R817" s="21">
        <f t="shared" si="124"/>
        <v>246591.55860342289</v>
      </c>
      <c r="S817" s="21">
        <f t="shared" si="125"/>
        <v>98735.069169208873</v>
      </c>
      <c r="T817" s="14">
        <f>IFERROR(INDEX(Cost_Components!$R$2:$R$27,MATCH(E817,Cost_Components!$A$2:$A$27,0)),"")</f>
        <v>1</v>
      </c>
      <c r="U817" s="24">
        <f>IFERROR(INDEX(Cost_Components!$Q$2:$Q$27,MATCH(E817,Cost_Components!$A$2:$A$27,0)),"")</f>
        <v>2023</v>
      </c>
      <c r="V817" s="28">
        <f>1/(1+Calculation_Assumptions!$B$5)^(B817-Calculation_Assumptions!$B$2)</f>
        <v>0.76641673234362695</v>
      </c>
      <c r="W817" s="21">
        <f t="shared" si="126"/>
        <v>113319.68748797031</v>
      </c>
      <c r="X817" s="21">
        <f t="shared" si="127"/>
        <v>188991.89656835736</v>
      </c>
      <c r="Y817" s="21">
        <f t="shared" si="128"/>
        <v>75672.209080387052</v>
      </c>
      <c r="Z817" s="15">
        <f>IFERROR(INDEX(Cost_Components!$T$2:$T$27,MATCH(E817,Cost_Components!$A$2:$A$27,0)),"")</f>
        <v>0.8</v>
      </c>
      <c r="AA817" s="24">
        <f>IFERROR(INDEX(Cost_Components!$U$2:$U$27,MATCH(E817,Cost_Components!$A$2:$A$27,0)),"")</f>
        <v>2025</v>
      </c>
      <c r="AB817" s="24">
        <f>IFERROR(INDEX(Cost_Components!$V$2:$V$27,MATCH(E817,Cost_Components!$A$2:$A$27,0)),"")</f>
        <v>2050</v>
      </c>
      <c r="AC817" s="24">
        <f>IFERROR(INDEX(Cost_Components!$M$2:$M$27,MATCH(E817,Cost_Components!$A$2:$A$27,0)),"")</f>
        <v>0</v>
      </c>
      <c r="AD817" s="24">
        <f>IFERROR(INDEX(Cost_Components!$N$2:$N$27,MATCH(E817,Cost_Components!$A$2:$A$27,0)),"")</f>
        <v>95</v>
      </c>
      <c r="AE817" s="14" t="str">
        <f>IFERROR(INDEX(Cost_Components!$O$2:$O$27,MATCH(E817,Cost_Components!$A$2:$A$27,0)),"")</f>
        <v>Both</v>
      </c>
      <c r="AF817" s="11">
        <v>96371.579146808304</v>
      </c>
      <c r="AG817" s="11">
        <v>92913.992066664694</v>
      </c>
      <c r="AH817" s="21">
        <f t="shared" si="129"/>
        <v>1</v>
      </c>
    </row>
    <row r="818" spans="1:34" hidden="1">
      <c r="A818" t="s">
        <v>75</v>
      </c>
      <c r="B818" s="18">
        <v>2035</v>
      </c>
      <c r="C818" t="s">
        <v>197</v>
      </c>
      <c r="D818" t="s">
        <v>187</v>
      </c>
      <c r="E818" s="20" t="s">
        <v>269</v>
      </c>
      <c r="F818" s="20" t="s">
        <v>270</v>
      </c>
      <c r="G818" s="20" t="s">
        <v>198</v>
      </c>
      <c r="H818" s="20" t="s">
        <v>192</v>
      </c>
      <c r="I818" s="20" t="s">
        <v>264</v>
      </c>
      <c r="J818" s="15">
        <f>IFERROR(INDEX(Cost_Components!$K$2:$K$27,MATCH(E818,Cost_Components!$A$2:$A$27,0)),"")</f>
        <v>1</v>
      </c>
      <c r="K818" s="15">
        <f t="shared" si="120"/>
        <v>0.51730769230769236</v>
      </c>
      <c r="L818" s="15">
        <f>IFERROR(INDEX(Cost_Components!$S$2:$S$27,MATCH(E818,Cost_Components!$A$2:$A$27,0)),"")</f>
        <v>0.31</v>
      </c>
      <c r="M818" s="26">
        <f>IFERROR(INDEX(Cost_Components!$L$2:$L$27,MATCH(E818,Cost_Components!$A$2:$A$27,0)),"")</f>
        <v>1</v>
      </c>
      <c r="N818" s="27">
        <f>IFERROR(INDEX(Cost_Components!$P$2:$P$27,MATCH(E818,Cost_Components!$A$2:$A$27,0)),"")</f>
        <v>5.133311</v>
      </c>
      <c r="O818" s="21">
        <f t="shared" si="121"/>
        <v>98517.646447849795</v>
      </c>
      <c r="P818" s="21">
        <f t="shared" si="122"/>
        <v>94452.800261580502</v>
      </c>
      <c r="Q818" s="21">
        <f t="shared" si="123"/>
        <v>150305.23555470796</v>
      </c>
      <c r="R818" s="21">
        <f t="shared" si="124"/>
        <v>261613.73499443632</v>
      </c>
      <c r="S818" s="21">
        <f t="shared" si="125"/>
        <v>111308.49943972836</v>
      </c>
      <c r="T818" s="14">
        <f>IFERROR(INDEX(Cost_Components!$R$2:$R$27,MATCH(E818,Cost_Components!$A$2:$A$27,0)),"")</f>
        <v>1</v>
      </c>
      <c r="U818" s="24">
        <f>IFERROR(INDEX(Cost_Components!$Q$2:$Q$27,MATCH(E818,Cost_Components!$A$2:$A$27,0)),"")</f>
        <v>2023</v>
      </c>
      <c r="V818" s="28">
        <f>1/(1+Calculation_Assumptions!$B$5)^(B818-Calculation_Assumptions!$B$2)</f>
        <v>0.74409391489672516</v>
      </c>
      <c r="W818" s="21">
        <f t="shared" si="126"/>
        <v>111841.21115337709</v>
      </c>
      <c r="X818" s="21">
        <f t="shared" si="127"/>
        <v>194665.18826276451</v>
      </c>
      <c r="Y818" s="21">
        <f t="shared" si="128"/>
        <v>82823.977109387415</v>
      </c>
      <c r="Z818" s="15">
        <f>IFERROR(INDEX(Cost_Components!$T$2:$T$27,MATCH(E818,Cost_Components!$A$2:$A$27,0)),"")</f>
        <v>0.8</v>
      </c>
      <c r="AA818" s="24">
        <f>IFERROR(INDEX(Cost_Components!$U$2:$U$27,MATCH(E818,Cost_Components!$A$2:$A$27,0)),"")</f>
        <v>2025</v>
      </c>
      <c r="AB818" s="24">
        <f>IFERROR(INDEX(Cost_Components!$V$2:$V$27,MATCH(E818,Cost_Components!$A$2:$A$27,0)),"")</f>
        <v>2050</v>
      </c>
      <c r="AC818" s="24">
        <f>IFERROR(INDEX(Cost_Components!$M$2:$M$27,MATCH(E818,Cost_Components!$A$2:$A$27,0)),"")</f>
        <v>0</v>
      </c>
      <c r="AD818" s="24">
        <f>IFERROR(INDEX(Cost_Components!$N$2:$N$27,MATCH(E818,Cost_Components!$A$2:$A$27,0)),"")</f>
        <v>95</v>
      </c>
      <c r="AE818" s="14" t="str">
        <f>IFERROR(INDEX(Cost_Components!$O$2:$O$27,MATCH(E818,Cost_Components!$A$2:$A$27,0)),"")</f>
        <v>Both</v>
      </c>
      <c r="AF818" s="11">
        <v>98517.646447849795</v>
      </c>
      <c r="AG818" s="11">
        <v>94452.800261580502</v>
      </c>
      <c r="AH818" s="21">
        <f t="shared" si="129"/>
        <v>1</v>
      </c>
    </row>
    <row r="819" spans="1:34" hidden="1">
      <c r="A819" t="s">
        <v>75</v>
      </c>
      <c r="B819" s="18">
        <v>2036</v>
      </c>
      <c r="C819" t="s">
        <v>197</v>
      </c>
      <c r="D819" t="s">
        <v>187</v>
      </c>
      <c r="E819" s="20" t="s">
        <v>269</v>
      </c>
      <c r="F819" s="20" t="s">
        <v>270</v>
      </c>
      <c r="G819" s="20" t="s">
        <v>198</v>
      </c>
      <c r="H819" s="20" t="s">
        <v>192</v>
      </c>
      <c r="I819" s="20" t="s">
        <v>264</v>
      </c>
      <c r="J819" s="15">
        <f>IFERROR(INDEX(Cost_Components!$K$2:$K$27,MATCH(E819,Cost_Components!$A$2:$A$27,0)),"")</f>
        <v>1</v>
      </c>
      <c r="K819" s="15">
        <f t="shared" si="120"/>
        <v>0.5361538461538462</v>
      </c>
      <c r="L819" s="15">
        <f>IFERROR(INDEX(Cost_Components!$S$2:$S$27,MATCH(E819,Cost_Components!$A$2:$A$27,0)),"")</f>
        <v>0.31</v>
      </c>
      <c r="M819" s="26">
        <f>IFERROR(INDEX(Cost_Components!$L$2:$L$27,MATCH(E819,Cost_Components!$A$2:$A$27,0)),"")</f>
        <v>1</v>
      </c>
      <c r="N819" s="27">
        <f>IFERROR(INDEX(Cost_Components!$P$2:$P$27,MATCH(E819,Cost_Components!$A$2:$A$27,0)),"")</f>
        <v>5.133311</v>
      </c>
      <c r="O819" s="21">
        <f t="shared" si="121"/>
        <v>100712.680567822</v>
      </c>
      <c r="P819" s="21">
        <f t="shared" si="122"/>
        <v>95997.909569691896</v>
      </c>
      <c r="Q819" s="21">
        <f t="shared" si="123"/>
        <v>152764.00880304247</v>
      </c>
      <c r="R819" s="21">
        <f t="shared" si="124"/>
        <v>277185.91474292771</v>
      </c>
      <c r="S819" s="21">
        <f t="shared" si="125"/>
        <v>124421.90593988524</v>
      </c>
      <c r="T819" s="14">
        <f>IFERROR(INDEX(Cost_Components!$R$2:$R$27,MATCH(E819,Cost_Components!$A$2:$A$27,0)),"")</f>
        <v>1</v>
      </c>
      <c r="U819" s="24">
        <f>IFERROR(INDEX(Cost_Components!$Q$2:$Q$27,MATCH(E819,Cost_Components!$A$2:$A$27,0)),"")</f>
        <v>2023</v>
      </c>
      <c r="V819" s="28">
        <f>1/(1+Calculation_Assumptions!$B$5)^(B819-Calculation_Assumptions!$B$2)</f>
        <v>0.72242127659876232</v>
      </c>
      <c r="W819" s="21">
        <f t="shared" si="126"/>
        <v>110359.9702578385</v>
      </c>
      <c r="X819" s="21">
        <f t="shared" si="127"/>
        <v>200245.00238378154</v>
      </c>
      <c r="Y819" s="21">
        <f t="shared" si="128"/>
        <v>89885.03212594302</v>
      </c>
      <c r="Z819" s="15">
        <f>IFERROR(INDEX(Cost_Components!$T$2:$T$27,MATCH(E819,Cost_Components!$A$2:$A$27,0)),"")</f>
        <v>0.8</v>
      </c>
      <c r="AA819" s="24">
        <f>IFERROR(INDEX(Cost_Components!$U$2:$U$27,MATCH(E819,Cost_Components!$A$2:$A$27,0)),"")</f>
        <v>2025</v>
      </c>
      <c r="AB819" s="24">
        <f>IFERROR(INDEX(Cost_Components!$V$2:$V$27,MATCH(E819,Cost_Components!$A$2:$A$27,0)),"")</f>
        <v>2050</v>
      </c>
      <c r="AC819" s="24">
        <f>IFERROR(INDEX(Cost_Components!$M$2:$M$27,MATCH(E819,Cost_Components!$A$2:$A$27,0)),"")</f>
        <v>0</v>
      </c>
      <c r="AD819" s="24">
        <f>IFERROR(INDEX(Cost_Components!$N$2:$N$27,MATCH(E819,Cost_Components!$A$2:$A$27,0)),"")</f>
        <v>95</v>
      </c>
      <c r="AE819" s="14" t="str">
        <f>IFERROR(INDEX(Cost_Components!$O$2:$O$27,MATCH(E819,Cost_Components!$A$2:$A$27,0)),"")</f>
        <v>Both</v>
      </c>
      <c r="AF819" s="11">
        <v>100712.680567822</v>
      </c>
      <c r="AG819" s="11">
        <v>95997.909569691896</v>
      </c>
      <c r="AH819" s="21">
        <f t="shared" si="129"/>
        <v>1</v>
      </c>
    </row>
    <row r="820" spans="1:34" hidden="1">
      <c r="A820" t="s">
        <v>75</v>
      </c>
      <c r="B820" s="18">
        <v>2037</v>
      </c>
      <c r="C820" t="s">
        <v>197</v>
      </c>
      <c r="D820" t="s">
        <v>187</v>
      </c>
      <c r="E820" s="20" t="s">
        <v>269</v>
      </c>
      <c r="F820" s="20" t="s">
        <v>270</v>
      </c>
      <c r="G820" s="20" t="s">
        <v>198</v>
      </c>
      <c r="H820" s="20" t="s">
        <v>192</v>
      </c>
      <c r="I820" s="20" t="s">
        <v>264</v>
      </c>
      <c r="J820" s="15">
        <f>IFERROR(INDEX(Cost_Components!$K$2:$K$27,MATCH(E820,Cost_Components!$A$2:$A$27,0)),"")</f>
        <v>1</v>
      </c>
      <c r="K820" s="15">
        <f t="shared" si="120"/>
        <v>0.55500000000000005</v>
      </c>
      <c r="L820" s="15">
        <f>IFERROR(INDEX(Cost_Components!$S$2:$S$27,MATCH(E820,Cost_Components!$A$2:$A$27,0)),"")</f>
        <v>0.31</v>
      </c>
      <c r="M820" s="26">
        <f>IFERROR(INDEX(Cost_Components!$L$2:$L$27,MATCH(E820,Cost_Components!$A$2:$A$27,0)),"")</f>
        <v>1</v>
      </c>
      <c r="N820" s="27">
        <f>IFERROR(INDEX(Cost_Components!$P$2:$P$27,MATCH(E820,Cost_Components!$A$2:$A$27,0)),"")</f>
        <v>5.133311</v>
      </c>
      <c r="O820" s="21">
        <f t="shared" si="121"/>
        <v>102965.09161817101</v>
      </c>
      <c r="P820" s="21">
        <f t="shared" si="122"/>
        <v>97557.195739179399</v>
      </c>
      <c r="Q820" s="21">
        <f t="shared" si="123"/>
        <v>155245.34206529564</v>
      </c>
      <c r="R820" s="21">
        <f t="shared" si="124"/>
        <v>293346.26976785861</v>
      </c>
      <c r="S820" s="21">
        <f t="shared" si="125"/>
        <v>138100.92770256297</v>
      </c>
      <c r="T820" s="14">
        <f>IFERROR(INDEX(Cost_Components!$R$2:$R$27,MATCH(E820,Cost_Components!$A$2:$A$27,0)),"")</f>
        <v>1</v>
      </c>
      <c r="U820" s="24">
        <f>IFERROR(INDEX(Cost_Components!$Q$2:$Q$27,MATCH(E820,Cost_Components!$A$2:$A$27,0)),"")</f>
        <v>2023</v>
      </c>
      <c r="V820" s="28">
        <f>1/(1+Calculation_Assumptions!$B$5)^(B820-Calculation_Assumptions!$B$2)</f>
        <v>0.70137988019297326</v>
      </c>
      <c r="W820" s="21">
        <f t="shared" si="126"/>
        <v>108885.95941827421</v>
      </c>
      <c r="X820" s="21">
        <f t="shared" si="127"/>
        <v>205747.17154483628</v>
      </c>
      <c r="Y820" s="21">
        <f t="shared" si="128"/>
        <v>96861.212126562081</v>
      </c>
      <c r="Z820" s="15">
        <f>IFERROR(INDEX(Cost_Components!$T$2:$T$27,MATCH(E820,Cost_Components!$A$2:$A$27,0)),"")</f>
        <v>0.8</v>
      </c>
      <c r="AA820" s="24">
        <f>IFERROR(INDEX(Cost_Components!$U$2:$U$27,MATCH(E820,Cost_Components!$A$2:$A$27,0)),"")</f>
        <v>2025</v>
      </c>
      <c r="AB820" s="24">
        <f>IFERROR(INDEX(Cost_Components!$V$2:$V$27,MATCH(E820,Cost_Components!$A$2:$A$27,0)),"")</f>
        <v>2050</v>
      </c>
      <c r="AC820" s="24">
        <f>IFERROR(INDEX(Cost_Components!$M$2:$M$27,MATCH(E820,Cost_Components!$A$2:$A$27,0)),"")</f>
        <v>0</v>
      </c>
      <c r="AD820" s="24">
        <f>IFERROR(INDEX(Cost_Components!$N$2:$N$27,MATCH(E820,Cost_Components!$A$2:$A$27,0)),"")</f>
        <v>95</v>
      </c>
      <c r="AE820" s="14" t="str">
        <f>IFERROR(INDEX(Cost_Components!$O$2:$O$27,MATCH(E820,Cost_Components!$A$2:$A$27,0)),"")</f>
        <v>Both</v>
      </c>
      <c r="AF820" s="11">
        <v>102965.09161817101</v>
      </c>
      <c r="AG820" s="11">
        <v>97557.195739179399</v>
      </c>
      <c r="AH820" s="21">
        <f t="shared" si="129"/>
        <v>1</v>
      </c>
    </row>
    <row r="821" spans="1:34" hidden="1">
      <c r="A821" t="s">
        <v>75</v>
      </c>
      <c r="B821" s="18">
        <v>2038</v>
      </c>
      <c r="C821" t="s">
        <v>197</v>
      </c>
      <c r="D821" t="s">
        <v>187</v>
      </c>
      <c r="E821" s="20" t="s">
        <v>269</v>
      </c>
      <c r="F821" s="20" t="s">
        <v>270</v>
      </c>
      <c r="G821" s="20" t="s">
        <v>198</v>
      </c>
      <c r="H821" s="20" t="s">
        <v>192</v>
      </c>
      <c r="I821" s="20" t="s">
        <v>264</v>
      </c>
      <c r="J821" s="15">
        <f>IFERROR(INDEX(Cost_Components!$K$2:$K$27,MATCH(E821,Cost_Components!$A$2:$A$27,0)),"")</f>
        <v>1</v>
      </c>
      <c r="K821" s="15">
        <f t="shared" si="120"/>
        <v>0.57384615384615389</v>
      </c>
      <c r="L821" s="15">
        <f>IFERROR(INDEX(Cost_Components!$S$2:$S$27,MATCH(E821,Cost_Components!$A$2:$A$27,0)),"")</f>
        <v>0.31</v>
      </c>
      <c r="M821" s="26">
        <f>IFERROR(INDEX(Cost_Components!$L$2:$L$27,MATCH(E821,Cost_Components!$A$2:$A$27,0)),"")</f>
        <v>1</v>
      </c>
      <c r="N821" s="27">
        <f>IFERROR(INDEX(Cost_Components!$P$2:$P$27,MATCH(E821,Cost_Components!$A$2:$A$27,0)),"")</f>
        <v>5.133311</v>
      </c>
      <c r="O821" s="21">
        <f t="shared" si="121"/>
        <v>105279.935626399</v>
      </c>
      <c r="P821" s="21">
        <f t="shared" si="122"/>
        <v>99135.037182664295</v>
      </c>
      <c r="Q821" s="21">
        <f t="shared" si="123"/>
        <v>157756.20282510566</v>
      </c>
      <c r="R821" s="21">
        <f t="shared" si="124"/>
        <v>310126.34624322562</v>
      </c>
      <c r="S821" s="21">
        <f t="shared" si="125"/>
        <v>152370.14341811996</v>
      </c>
      <c r="T821" s="14">
        <f>IFERROR(INDEX(Cost_Components!$R$2:$R$27,MATCH(E821,Cost_Components!$A$2:$A$27,0)),"")</f>
        <v>1</v>
      </c>
      <c r="U821" s="24">
        <f>IFERROR(INDEX(Cost_Components!$Q$2:$Q$27,MATCH(E821,Cost_Components!$A$2:$A$27,0)),"")</f>
        <v>2023</v>
      </c>
      <c r="V821" s="28">
        <f>1/(1+Calculation_Assumptions!$B$5)^(B821-Calculation_Assumptions!$B$2)</f>
        <v>0.68095133999317792</v>
      </c>
      <c r="W821" s="21">
        <f t="shared" si="126"/>
        <v>107424.29770599127</v>
      </c>
      <c r="X821" s="21">
        <f t="shared" si="127"/>
        <v>211180.95104151274</v>
      </c>
      <c r="Y821" s="21">
        <f t="shared" si="128"/>
        <v>103756.65333552148</v>
      </c>
      <c r="Z821" s="15">
        <f>IFERROR(INDEX(Cost_Components!$T$2:$T$27,MATCH(E821,Cost_Components!$A$2:$A$27,0)),"")</f>
        <v>0.8</v>
      </c>
      <c r="AA821" s="24">
        <f>IFERROR(INDEX(Cost_Components!$U$2:$U$27,MATCH(E821,Cost_Components!$A$2:$A$27,0)),"")</f>
        <v>2025</v>
      </c>
      <c r="AB821" s="24">
        <f>IFERROR(INDEX(Cost_Components!$V$2:$V$27,MATCH(E821,Cost_Components!$A$2:$A$27,0)),"")</f>
        <v>2050</v>
      </c>
      <c r="AC821" s="24">
        <f>IFERROR(INDEX(Cost_Components!$M$2:$M$27,MATCH(E821,Cost_Components!$A$2:$A$27,0)),"")</f>
        <v>0</v>
      </c>
      <c r="AD821" s="24">
        <f>IFERROR(INDEX(Cost_Components!$N$2:$N$27,MATCH(E821,Cost_Components!$A$2:$A$27,0)),"")</f>
        <v>95</v>
      </c>
      <c r="AE821" s="14" t="str">
        <f>IFERROR(INDEX(Cost_Components!$O$2:$O$27,MATCH(E821,Cost_Components!$A$2:$A$27,0)),"")</f>
        <v>Both</v>
      </c>
      <c r="AF821" s="11">
        <v>105279.935626399</v>
      </c>
      <c r="AG821" s="11">
        <v>99135.037182664295</v>
      </c>
      <c r="AH821" s="21">
        <f t="shared" si="129"/>
        <v>1</v>
      </c>
    </row>
    <row r="822" spans="1:34" hidden="1">
      <c r="A822" t="s">
        <v>75</v>
      </c>
      <c r="B822" s="18">
        <v>2039</v>
      </c>
      <c r="C822" t="s">
        <v>197</v>
      </c>
      <c r="D822" t="s">
        <v>187</v>
      </c>
      <c r="E822" s="20" t="s">
        <v>269</v>
      </c>
      <c r="F822" s="20" t="s">
        <v>270</v>
      </c>
      <c r="G822" s="20" t="s">
        <v>198</v>
      </c>
      <c r="H822" s="20" t="s">
        <v>192</v>
      </c>
      <c r="I822" s="20" t="s">
        <v>264</v>
      </c>
      <c r="J822" s="15">
        <f>IFERROR(INDEX(Cost_Components!$K$2:$K$27,MATCH(E822,Cost_Components!$A$2:$A$27,0)),"")</f>
        <v>1</v>
      </c>
      <c r="K822" s="15">
        <f t="shared" si="120"/>
        <v>0.59269230769230763</v>
      </c>
      <c r="L822" s="15">
        <f>IFERROR(INDEX(Cost_Components!$S$2:$S$27,MATCH(E822,Cost_Components!$A$2:$A$27,0)),"")</f>
        <v>0.31</v>
      </c>
      <c r="M822" s="26">
        <f>IFERROR(INDEX(Cost_Components!$L$2:$L$27,MATCH(E822,Cost_Components!$A$2:$A$27,0)),"")</f>
        <v>1</v>
      </c>
      <c r="N822" s="27">
        <f>IFERROR(INDEX(Cost_Components!$P$2:$P$27,MATCH(E822,Cost_Components!$A$2:$A$27,0)),"")</f>
        <v>5.133311</v>
      </c>
      <c r="O822" s="21">
        <f t="shared" si="121"/>
        <v>107668.603400243</v>
      </c>
      <c r="P822" s="21">
        <f t="shared" si="122"/>
        <v>100742.027695759</v>
      </c>
      <c r="Q822" s="21">
        <f t="shared" si="123"/>
        <v>160313.44926921275</v>
      </c>
      <c r="R822" s="21">
        <f t="shared" si="124"/>
        <v>327578.92029131169</v>
      </c>
      <c r="S822" s="21">
        <f t="shared" si="125"/>
        <v>167265.47102209894</v>
      </c>
      <c r="T822" s="14">
        <f>IFERROR(INDEX(Cost_Components!$R$2:$R$27,MATCH(E822,Cost_Components!$A$2:$A$27,0)),"")</f>
        <v>1</v>
      </c>
      <c r="U822" s="24">
        <f>IFERROR(INDEX(Cost_Components!$Q$2:$Q$27,MATCH(E822,Cost_Components!$A$2:$A$27,0)),"")</f>
        <v>2023</v>
      </c>
      <c r="V822" s="28">
        <f>1/(1+Calculation_Assumptions!$B$5)^(B822-Calculation_Assumptions!$B$2)</f>
        <v>0.66111780581861923</v>
      </c>
      <c r="W822" s="21">
        <f t="shared" si="126"/>
        <v>105986.07582407646</v>
      </c>
      <c r="X822" s="21">
        <f t="shared" si="127"/>
        <v>216568.25701542434</v>
      </c>
      <c r="Y822" s="21">
        <f t="shared" si="128"/>
        <v>110582.18119134789</v>
      </c>
      <c r="Z822" s="15">
        <f>IFERROR(INDEX(Cost_Components!$T$2:$T$27,MATCH(E822,Cost_Components!$A$2:$A$27,0)),"")</f>
        <v>0.8</v>
      </c>
      <c r="AA822" s="24">
        <f>IFERROR(INDEX(Cost_Components!$U$2:$U$27,MATCH(E822,Cost_Components!$A$2:$A$27,0)),"")</f>
        <v>2025</v>
      </c>
      <c r="AB822" s="24">
        <f>IFERROR(INDEX(Cost_Components!$V$2:$V$27,MATCH(E822,Cost_Components!$A$2:$A$27,0)),"")</f>
        <v>2050</v>
      </c>
      <c r="AC822" s="24">
        <f>IFERROR(INDEX(Cost_Components!$M$2:$M$27,MATCH(E822,Cost_Components!$A$2:$A$27,0)),"")</f>
        <v>0</v>
      </c>
      <c r="AD822" s="24">
        <f>IFERROR(INDEX(Cost_Components!$N$2:$N$27,MATCH(E822,Cost_Components!$A$2:$A$27,0)),"")</f>
        <v>95</v>
      </c>
      <c r="AE822" s="14" t="str">
        <f>IFERROR(INDEX(Cost_Components!$O$2:$O$27,MATCH(E822,Cost_Components!$A$2:$A$27,0)),"")</f>
        <v>Both</v>
      </c>
      <c r="AF822" s="11">
        <v>107668.603400243</v>
      </c>
      <c r="AG822" s="11">
        <v>100742.027695759</v>
      </c>
      <c r="AH822" s="21">
        <f t="shared" si="129"/>
        <v>1</v>
      </c>
    </row>
    <row r="823" spans="1:34" hidden="1">
      <c r="A823" t="s">
        <v>75</v>
      </c>
      <c r="B823" s="18">
        <v>2040</v>
      </c>
      <c r="C823" t="s">
        <v>197</v>
      </c>
      <c r="D823" t="s">
        <v>187</v>
      </c>
      <c r="E823" s="20" t="s">
        <v>269</v>
      </c>
      <c r="F823" s="20" t="s">
        <v>270</v>
      </c>
      <c r="G823" s="20" t="s">
        <v>198</v>
      </c>
      <c r="H823" s="20" t="s">
        <v>192</v>
      </c>
      <c r="I823" s="20" t="s">
        <v>264</v>
      </c>
      <c r="J823" s="15">
        <f>IFERROR(INDEX(Cost_Components!$K$2:$K$27,MATCH(E823,Cost_Components!$A$2:$A$27,0)),"")</f>
        <v>1</v>
      </c>
      <c r="K823" s="15">
        <f t="shared" si="120"/>
        <v>0.61153846153846159</v>
      </c>
      <c r="L823" s="15">
        <f>IFERROR(INDEX(Cost_Components!$S$2:$S$27,MATCH(E823,Cost_Components!$A$2:$A$27,0)),"")</f>
        <v>0.31</v>
      </c>
      <c r="M823" s="26">
        <f>IFERROR(INDEX(Cost_Components!$L$2:$L$27,MATCH(E823,Cost_Components!$A$2:$A$27,0)),"")</f>
        <v>1</v>
      </c>
      <c r="N823" s="27">
        <f>IFERROR(INDEX(Cost_Components!$P$2:$P$27,MATCH(E823,Cost_Components!$A$2:$A$27,0)),"")</f>
        <v>5.133311</v>
      </c>
      <c r="O823" s="21">
        <f t="shared" si="121"/>
        <v>110140.842458598</v>
      </c>
      <c r="P823" s="21">
        <f t="shared" si="122"/>
        <v>102387.063046542</v>
      </c>
      <c r="Q823" s="21">
        <f t="shared" si="123"/>
        <v>162931.23746829733</v>
      </c>
      <c r="R823" s="21">
        <f t="shared" si="124"/>
        <v>345756.01732529275</v>
      </c>
      <c r="S823" s="21">
        <f t="shared" si="125"/>
        <v>182824.77985699542</v>
      </c>
      <c r="T823" s="14">
        <f>IFERROR(INDEX(Cost_Components!$R$2:$R$27,MATCH(E823,Cost_Components!$A$2:$A$27,0)),"")</f>
        <v>1</v>
      </c>
      <c r="U823" s="24">
        <f>IFERROR(INDEX(Cost_Components!$Q$2:$Q$27,MATCH(E823,Cost_Components!$A$2:$A$27,0)),"")</f>
        <v>2023</v>
      </c>
      <c r="V823" s="28">
        <f>1/(1+Calculation_Assumptions!$B$5)^(B823-Calculation_Assumptions!$B$2)</f>
        <v>0.64186194739671765</v>
      </c>
      <c r="W823" s="21">
        <f t="shared" si="126"/>
        <v>104579.36137315838</v>
      </c>
      <c r="X823" s="21">
        <f t="shared" si="127"/>
        <v>221927.63060454564</v>
      </c>
      <c r="Y823" s="21">
        <f t="shared" si="128"/>
        <v>117348.26923138728</v>
      </c>
      <c r="Z823" s="15">
        <f>IFERROR(INDEX(Cost_Components!$T$2:$T$27,MATCH(E823,Cost_Components!$A$2:$A$27,0)),"")</f>
        <v>0.8</v>
      </c>
      <c r="AA823" s="24">
        <f>IFERROR(INDEX(Cost_Components!$U$2:$U$27,MATCH(E823,Cost_Components!$A$2:$A$27,0)),"")</f>
        <v>2025</v>
      </c>
      <c r="AB823" s="24">
        <f>IFERROR(INDEX(Cost_Components!$V$2:$V$27,MATCH(E823,Cost_Components!$A$2:$A$27,0)),"")</f>
        <v>2050</v>
      </c>
      <c r="AC823" s="24">
        <f>IFERROR(INDEX(Cost_Components!$M$2:$M$27,MATCH(E823,Cost_Components!$A$2:$A$27,0)),"")</f>
        <v>0</v>
      </c>
      <c r="AD823" s="24">
        <f>IFERROR(INDEX(Cost_Components!$N$2:$N$27,MATCH(E823,Cost_Components!$A$2:$A$27,0)),"")</f>
        <v>95</v>
      </c>
      <c r="AE823" s="14" t="str">
        <f>IFERROR(INDEX(Cost_Components!$O$2:$O$27,MATCH(E823,Cost_Components!$A$2:$A$27,0)),"")</f>
        <v>Both</v>
      </c>
      <c r="AF823" s="11">
        <v>110140.842458598</v>
      </c>
      <c r="AG823" s="11">
        <v>102387.063046542</v>
      </c>
      <c r="AH823" s="21">
        <f t="shared" si="129"/>
        <v>1</v>
      </c>
    </row>
    <row r="824" spans="1:34" hidden="1">
      <c r="A824" t="s">
        <v>75</v>
      </c>
      <c r="B824" s="18">
        <v>2041</v>
      </c>
      <c r="C824" t="s">
        <v>197</v>
      </c>
      <c r="D824" t="s">
        <v>187</v>
      </c>
      <c r="E824" s="20" t="s">
        <v>269</v>
      </c>
      <c r="F824" s="20" t="s">
        <v>270</v>
      </c>
      <c r="G824" s="20" t="s">
        <v>198</v>
      </c>
      <c r="H824" s="20" t="s">
        <v>192</v>
      </c>
      <c r="I824" s="20" t="s">
        <v>264</v>
      </c>
      <c r="J824" s="15">
        <f>IFERROR(INDEX(Cost_Components!$K$2:$K$27,MATCH(E824,Cost_Components!$A$2:$A$27,0)),"")</f>
        <v>1</v>
      </c>
      <c r="K824" s="15">
        <f t="shared" si="120"/>
        <v>0.63038461538461543</v>
      </c>
      <c r="L824" s="15">
        <f>IFERROR(INDEX(Cost_Components!$S$2:$S$27,MATCH(E824,Cost_Components!$A$2:$A$27,0)),"")</f>
        <v>0.31</v>
      </c>
      <c r="M824" s="26">
        <f>IFERROR(INDEX(Cost_Components!$L$2:$L$27,MATCH(E824,Cost_Components!$A$2:$A$27,0)),"")</f>
        <v>1</v>
      </c>
      <c r="N824" s="27">
        <f>IFERROR(INDEX(Cost_Components!$P$2:$P$27,MATCH(E824,Cost_Components!$A$2:$A$27,0)),"")</f>
        <v>5.133311</v>
      </c>
      <c r="O824" s="21">
        <f t="shared" si="121"/>
        <v>112702.023145525</v>
      </c>
      <c r="P824" s="21">
        <f t="shared" si="122"/>
        <v>104074.53307124101</v>
      </c>
      <c r="Q824" s="21">
        <f t="shared" si="123"/>
        <v>165616.55308468422</v>
      </c>
      <c r="R824" s="21">
        <f t="shared" si="124"/>
        <v>364699.27041790652</v>
      </c>
      <c r="S824" s="21">
        <f t="shared" si="125"/>
        <v>199082.7173332223</v>
      </c>
      <c r="T824" s="14">
        <f>IFERROR(INDEX(Cost_Components!$R$2:$R$27,MATCH(E824,Cost_Components!$A$2:$A$27,0)),"")</f>
        <v>1</v>
      </c>
      <c r="U824" s="24">
        <f>IFERROR(INDEX(Cost_Components!$Q$2:$Q$27,MATCH(E824,Cost_Components!$A$2:$A$27,0)),"")</f>
        <v>2023</v>
      </c>
      <c r="V824" s="28">
        <f>1/(1+Calculation_Assumptions!$B$5)^(B824-Calculation_Assumptions!$B$2)</f>
        <v>0.62316693922011435</v>
      </c>
      <c r="W824" s="21">
        <f t="shared" si="126"/>
        <v>103206.76046996826</v>
      </c>
      <c r="X824" s="21">
        <f t="shared" si="127"/>
        <v>227268.5280821356</v>
      </c>
      <c r="Y824" s="21">
        <f t="shared" si="128"/>
        <v>124061.76761216734</v>
      </c>
      <c r="Z824" s="15">
        <f>IFERROR(INDEX(Cost_Components!$T$2:$T$27,MATCH(E824,Cost_Components!$A$2:$A$27,0)),"")</f>
        <v>0.8</v>
      </c>
      <c r="AA824" s="24">
        <f>IFERROR(INDEX(Cost_Components!$U$2:$U$27,MATCH(E824,Cost_Components!$A$2:$A$27,0)),"")</f>
        <v>2025</v>
      </c>
      <c r="AB824" s="24">
        <f>IFERROR(INDEX(Cost_Components!$V$2:$V$27,MATCH(E824,Cost_Components!$A$2:$A$27,0)),"")</f>
        <v>2050</v>
      </c>
      <c r="AC824" s="24">
        <f>IFERROR(INDEX(Cost_Components!$M$2:$M$27,MATCH(E824,Cost_Components!$A$2:$A$27,0)),"")</f>
        <v>0</v>
      </c>
      <c r="AD824" s="24">
        <f>IFERROR(INDEX(Cost_Components!$N$2:$N$27,MATCH(E824,Cost_Components!$A$2:$A$27,0)),"")</f>
        <v>95</v>
      </c>
      <c r="AE824" s="14" t="str">
        <f>IFERROR(INDEX(Cost_Components!$O$2:$O$27,MATCH(E824,Cost_Components!$A$2:$A$27,0)),"")</f>
        <v>Both</v>
      </c>
      <c r="AF824" s="11">
        <v>112702.023145525</v>
      </c>
      <c r="AG824" s="11">
        <v>104074.53307124101</v>
      </c>
      <c r="AH824" s="21">
        <f t="shared" si="129"/>
        <v>1</v>
      </c>
    </row>
    <row r="825" spans="1:34" hidden="1">
      <c r="A825" t="s">
        <v>75</v>
      </c>
      <c r="B825" s="18">
        <v>2042</v>
      </c>
      <c r="C825" t="s">
        <v>197</v>
      </c>
      <c r="D825" t="s">
        <v>187</v>
      </c>
      <c r="E825" s="20" t="s">
        <v>269</v>
      </c>
      <c r="F825" s="20" t="s">
        <v>270</v>
      </c>
      <c r="G825" s="20" t="s">
        <v>198</v>
      </c>
      <c r="H825" s="20" t="s">
        <v>192</v>
      </c>
      <c r="I825" s="20" t="s">
        <v>264</v>
      </c>
      <c r="J825" s="15">
        <f>IFERROR(INDEX(Cost_Components!$K$2:$K$27,MATCH(E825,Cost_Components!$A$2:$A$27,0)),"")</f>
        <v>1</v>
      </c>
      <c r="K825" s="15">
        <f t="shared" si="120"/>
        <v>0.64923076923076928</v>
      </c>
      <c r="L825" s="15">
        <f>IFERROR(INDEX(Cost_Components!$S$2:$S$27,MATCH(E825,Cost_Components!$A$2:$A$27,0)),"")</f>
        <v>0.31</v>
      </c>
      <c r="M825" s="26">
        <f>IFERROR(INDEX(Cost_Components!$L$2:$L$27,MATCH(E825,Cost_Components!$A$2:$A$27,0)),"")</f>
        <v>1</v>
      </c>
      <c r="N825" s="27">
        <f>IFERROR(INDEX(Cost_Components!$P$2:$P$27,MATCH(E825,Cost_Components!$A$2:$A$27,0)),"")</f>
        <v>5.133311</v>
      </c>
      <c r="O825" s="21">
        <f t="shared" si="121"/>
        <v>115350.74591610199</v>
      </c>
      <c r="P825" s="21">
        <f t="shared" si="122"/>
        <v>105801.648046402</v>
      </c>
      <c r="Q825" s="21">
        <f t="shared" si="123"/>
        <v>168364.95675776442</v>
      </c>
      <c r="R825" s="21">
        <f t="shared" si="124"/>
        <v>384429.82878593518</v>
      </c>
      <c r="S825" s="21">
        <f t="shared" si="125"/>
        <v>216064.87202817076</v>
      </c>
      <c r="T825" s="14">
        <f>IFERROR(INDEX(Cost_Components!$R$2:$R$27,MATCH(E825,Cost_Components!$A$2:$A$27,0)),"")</f>
        <v>1</v>
      </c>
      <c r="U825" s="24">
        <f>IFERROR(INDEX(Cost_Components!$Q$2:$Q$27,MATCH(E825,Cost_Components!$A$2:$A$27,0)),"")</f>
        <v>2023</v>
      </c>
      <c r="V825" s="28">
        <f>1/(1+Calculation_Assumptions!$B$5)^(B825-Calculation_Assumptions!$B$2)</f>
        <v>0.60501644584477121</v>
      </c>
      <c r="W825" s="21">
        <f t="shared" si="126"/>
        <v>101863.56774239123</v>
      </c>
      <c r="X825" s="21">
        <f t="shared" si="127"/>
        <v>232586.36868878044</v>
      </c>
      <c r="Y825" s="21">
        <f t="shared" si="128"/>
        <v>130722.80094638919</v>
      </c>
      <c r="Z825" s="15">
        <f>IFERROR(INDEX(Cost_Components!$T$2:$T$27,MATCH(E825,Cost_Components!$A$2:$A$27,0)),"")</f>
        <v>0.8</v>
      </c>
      <c r="AA825" s="24">
        <f>IFERROR(INDEX(Cost_Components!$U$2:$U$27,MATCH(E825,Cost_Components!$A$2:$A$27,0)),"")</f>
        <v>2025</v>
      </c>
      <c r="AB825" s="24">
        <f>IFERROR(INDEX(Cost_Components!$V$2:$V$27,MATCH(E825,Cost_Components!$A$2:$A$27,0)),"")</f>
        <v>2050</v>
      </c>
      <c r="AC825" s="24">
        <f>IFERROR(INDEX(Cost_Components!$M$2:$M$27,MATCH(E825,Cost_Components!$A$2:$A$27,0)),"")</f>
        <v>0</v>
      </c>
      <c r="AD825" s="24">
        <f>IFERROR(INDEX(Cost_Components!$N$2:$N$27,MATCH(E825,Cost_Components!$A$2:$A$27,0)),"")</f>
        <v>95</v>
      </c>
      <c r="AE825" s="14" t="str">
        <f>IFERROR(INDEX(Cost_Components!$O$2:$O$27,MATCH(E825,Cost_Components!$A$2:$A$27,0)),"")</f>
        <v>Both</v>
      </c>
      <c r="AF825" s="11">
        <v>115350.74591610199</v>
      </c>
      <c r="AG825" s="11">
        <v>105801.648046402</v>
      </c>
      <c r="AH825" s="21">
        <f t="shared" si="129"/>
        <v>1</v>
      </c>
    </row>
    <row r="826" spans="1:34" hidden="1">
      <c r="A826" t="s">
        <v>75</v>
      </c>
      <c r="B826" s="18">
        <v>2043</v>
      </c>
      <c r="C826" t="s">
        <v>197</v>
      </c>
      <c r="D826" t="s">
        <v>187</v>
      </c>
      <c r="E826" s="20" t="s">
        <v>269</v>
      </c>
      <c r="F826" s="20" t="s">
        <v>270</v>
      </c>
      <c r="G826" s="20" t="s">
        <v>198</v>
      </c>
      <c r="H826" s="20" t="s">
        <v>192</v>
      </c>
      <c r="I826" s="20" t="s">
        <v>264</v>
      </c>
      <c r="J826" s="15">
        <f>IFERROR(INDEX(Cost_Components!$K$2:$K$27,MATCH(E826,Cost_Components!$A$2:$A$27,0)),"")</f>
        <v>1</v>
      </c>
      <c r="K826" s="15">
        <f t="shared" si="120"/>
        <v>0.66807692307692301</v>
      </c>
      <c r="L826" s="15">
        <f>IFERROR(INDEX(Cost_Components!$S$2:$S$27,MATCH(E826,Cost_Components!$A$2:$A$27,0)),"")</f>
        <v>0.31</v>
      </c>
      <c r="M826" s="26">
        <f>IFERROR(INDEX(Cost_Components!$L$2:$L$27,MATCH(E826,Cost_Components!$A$2:$A$27,0)),"")</f>
        <v>1</v>
      </c>
      <c r="N826" s="27">
        <f>IFERROR(INDEX(Cost_Components!$P$2:$P$27,MATCH(E826,Cost_Components!$A$2:$A$27,0)),"")</f>
        <v>5.133311</v>
      </c>
      <c r="O826" s="21">
        <f t="shared" si="121"/>
        <v>118091.46852039899</v>
      </c>
      <c r="P826" s="21">
        <f t="shared" si="122"/>
        <v>107571.320256081</v>
      </c>
      <c r="Q826" s="21">
        <f t="shared" si="123"/>
        <v>171181.08288206966</v>
      </c>
      <c r="R826" s="21">
        <f t="shared" si="124"/>
        <v>404988.3873410197</v>
      </c>
      <c r="S826" s="21">
        <f t="shared" si="125"/>
        <v>233807.30445895004</v>
      </c>
      <c r="T826" s="14">
        <f>IFERROR(INDEX(Cost_Components!$R$2:$R$27,MATCH(E826,Cost_Components!$A$2:$A$27,0)),"")</f>
        <v>1</v>
      </c>
      <c r="U826" s="24">
        <f>IFERROR(INDEX(Cost_Components!$Q$2:$Q$27,MATCH(E826,Cost_Components!$A$2:$A$27,0)),"")</f>
        <v>2023</v>
      </c>
      <c r="V826" s="28">
        <f>1/(1+Calculation_Assumptions!$B$5)^(B826-Calculation_Assumptions!$B$2)</f>
        <v>0.5873946076162827</v>
      </c>
      <c r="W826" s="21">
        <f t="shared" si="126"/>
        <v>100550.84501084368</v>
      </c>
      <c r="X826" s="21">
        <f t="shared" si="127"/>
        <v>237887.99487132937</v>
      </c>
      <c r="Y826" s="21">
        <f t="shared" si="128"/>
        <v>137337.14986048569</v>
      </c>
      <c r="Z826" s="15">
        <f>IFERROR(INDEX(Cost_Components!$T$2:$T$27,MATCH(E826,Cost_Components!$A$2:$A$27,0)),"")</f>
        <v>0.8</v>
      </c>
      <c r="AA826" s="24">
        <f>IFERROR(INDEX(Cost_Components!$U$2:$U$27,MATCH(E826,Cost_Components!$A$2:$A$27,0)),"")</f>
        <v>2025</v>
      </c>
      <c r="AB826" s="24">
        <f>IFERROR(INDEX(Cost_Components!$V$2:$V$27,MATCH(E826,Cost_Components!$A$2:$A$27,0)),"")</f>
        <v>2050</v>
      </c>
      <c r="AC826" s="24">
        <f>IFERROR(INDEX(Cost_Components!$M$2:$M$27,MATCH(E826,Cost_Components!$A$2:$A$27,0)),"")</f>
        <v>0</v>
      </c>
      <c r="AD826" s="24">
        <f>IFERROR(INDEX(Cost_Components!$N$2:$N$27,MATCH(E826,Cost_Components!$A$2:$A$27,0)),"")</f>
        <v>95</v>
      </c>
      <c r="AE826" s="14" t="str">
        <f>IFERROR(INDEX(Cost_Components!$O$2:$O$27,MATCH(E826,Cost_Components!$A$2:$A$27,0)),"")</f>
        <v>Both</v>
      </c>
      <c r="AF826" s="11">
        <v>118091.46852039899</v>
      </c>
      <c r="AG826" s="11">
        <v>107571.320256081</v>
      </c>
      <c r="AH826" s="21">
        <f t="shared" si="129"/>
        <v>1</v>
      </c>
    </row>
    <row r="827" spans="1:34" hidden="1">
      <c r="A827" t="s">
        <v>75</v>
      </c>
      <c r="B827" s="18">
        <v>2044</v>
      </c>
      <c r="C827" t="s">
        <v>197</v>
      </c>
      <c r="D827" t="s">
        <v>187</v>
      </c>
      <c r="E827" s="20" t="s">
        <v>269</v>
      </c>
      <c r="F827" s="20" t="s">
        <v>270</v>
      </c>
      <c r="G827" s="20" t="s">
        <v>198</v>
      </c>
      <c r="H827" s="20" t="s">
        <v>192</v>
      </c>
      <c r="I827" s="20" t="s">
        <v>264</v>
      </c>
      <c r="J827" s="15">
        <f>IFERROR(INDEX(Cost_Components!$K$2:$K$27,MATCH(E827,Cost_Components!$A$2:$A$27,0)),"")</f>
        <v>1</v>
      </c>
      <c r="K827" s="15">
        <f t="shared" si="120"/>
        <v>0.68692307692307697</v>
      </c>
      <c r="L827" s="15">
        <f>IFERROR(INDEX(Cost_Components!$S$2:$S$27,MATCH(E827,Cost_Components!$A$2:$A$27,0)),"")</f>
        <v>0.31</v>
      </c>
      <c r="M827" s="26">
        <f>IFERROR(INDEX(Cost_Components!$L$2:$L$27,MATCH(E827,Cost_Components!$A$2:$A$27,0)),"")</f>
        <v>1</v>
      </c>
      <c r="N827" s="27">
        <f>IFERROR(INDEX(Cost_Components!$P$2:$P$27,MATCH(E827,Cost_Components!$A$2:$A$27,0)),"")</f>
        <v>5.133311</v>
      </c>
      <c r="O827" s="21">
        <f t="shared" si="121"/>
        <v>120920.46852223</v>
      </c>
      <c r="P827" s="21">
        <f t="shared" si="122"/>
        <v>109378.894414443</v>
      </c>
      <c r="Q827" s="21">
        <f t="shared" si="123"/>
        <v>174057.52337830464</v>
      </c>
      <c r="R827" s="21">
        <f t="shared" si="124"/>
        <v>426388.52113304089</v>
      </c>
      <c r="S827" s="21">
        <f t="shared" si="125"/>
        <v>252330.99775473625</v>
      </c>
      <c r="T827" s="14">
        <f>IFERROR(INDEX(Cost_Components!$R$2:$R$27,MATCH(E827,Cost_Components!$A$2:$A$27,0)),"")</f>
        <v>1</v>
      </c>
      <c r="U827" s="24">
        <f>IFERROR(INDEX(Cost_Components!$Q$2:$Q$27,MATCH(E827,Cost_Components!$A$2:$A$27,0)),"")</f>
        <v>2023</v>
      </c>
      <c r="V827" s="28">
        <f>1/(1+Calculation_Assumptions!$B$5)^(B827-Calculation_Assumptions!$B$2)</f>
        <v>0.57028602681192497</v>
      </c>
      <c r="W827" s="21">
        <f t="shared" si="126"/>
        <v>99262.573444137102</v>
      </c>
      <c r="X827" s="21">
        <f t="shared" si="127"/>
        <v>243163.41559517439</v>
      </c>
      <c r="Y827" s="21">
        <f t="shared" si="128"/>
        <v>143900.8421510373</v>
      </c>
      <c r="Z827" s="15">
        <f>IFERROR(INDEX(Cost_Components!$T$2:$T$27,MATCH(E827,Cost_Components!$A$2:$A$27,0)),"")</f>
        <v>0.8</v>
      </c>
      <c r="AA827" s="24">
        <f>IFERROR(INDEX(Cost_Components!$U$2:$U$27,MATCH(E827,Cost_Components!$A$2:$A$27,0)),"")</f>
        <v>2025</v>
      </c>
      <c r="AB827" s="24">
        <f>IFERROR(INDEX(Cost_Components!$V$2:$V$27,MATCH(E827,Cost_Components!$A$2:$A$27,0)),"")</f>
        <v>2050</v>
      </c>
      <c r="AC827" s="24">
        <f>IFERROR(INDEX(Cost_Components!$M$2:$M$27,MATCH(E827,Cost_Components!$A$2:$A$27,0)),"")</f>
        <v>0</v>
      </c>
      <c r="AD827" s="24">
        <f>IFERROR(INDEX(Cost_Components!$N$2:$N$27,MATCH(E827,Cost_Components!$A$2:$A$27,0)),"")</f>
        <v>95</v>
      </c>
      <c r="AE827" s="14" t="str">
        <f>IFERROR(INDEX(Cost_Components!$O$2:$O$27,MATCH(E827,Cost_Components!$A$2:$A$27,0)),"")</f>
        <v>Both</v>
      </c>
      <c r="AF827" s="11">
        <v>120920.46852223</v>
      </c>
      <c r="AG827" s="11">
        <v>109378.894414443</v>
      </c>
      <c r="AH827" s="21">
        <f t="shared" si="129"/>
        <v>1</v>
      </c>
    </row>
    <row r="828" spans="1:34" hidden="1">
      <c r="A828" t="s">
        <v>75</v>
      </c>
      <c r="B828" s="18">
        <v>2045</v>
      </c>
      <c r="C828" t="s">
        <v>197</v>
      </c>
      <c r="D828" t="s">
        <v>187</v>
      </c>
      <c r="E828" s="20" t="s">
        <v>269</v>
      </c>
      <c r="F828" s="20" t="s">
        <v>270</v>
      </c>
      <c r="G828" s="20" t="s">
        <v>198</v>
      </c>
      <c r="H828" s="20" t="s">
        <v>192</v>
      </c>
      <c r="I828" s="20" t="s">
        <v>264</v>
      </c>
      <c r="J828" s="15">
        <f>IFERROR(INDEX(Cost_Components!$K$2:$K$27,MATCH(E828,Cost_Components!$A$2:$A$27,0)),"")</f>
        <v>1</v>
      </c>
      <c r="K828" s="15">
        <f t="shared" si="120"/>
        <v>0.70576923076923082</v>
      </c>
      <c r="L828" s="15">
        <f>IFERROR(INDEX(Cost_Components!$S$2:$S$27,MATCH(E828,Cost_Components!$A$2:$A$27,0)),"")</f>
        <v>0.31</v>
      </c>
      <c r="M828" s="26">
        <f>IFERROR(INDEX(Cost_Components!$L$2:$L$27,MATCH(E828,Cost_Components!$A$2:$A$27,0)),"")</f>
        <v>1</v>
      </c>
      <c r="N828" s="27">
        <f>IFERROR(INDEX(Cost_Components!$P$2:$P$27,MATCH(E828,Cost_Components!$A$2:$A$27,0)),"")</f>
        <v>5.133311</v>
      </c>
      <c r="O828" s="21">
        <f t="shared" si="121"/>
        <v>123829.77516398</v>
      </c>
      <c r="P828" s="21">
        <f t="shared" si="122"/>
        <v>111216.138075836</v>
      </c>
      <c r="Q828" s="21">
        <f t="shared" si="123"/>
        <v>176981.1777382844</v>
      </c>
      <c r="R828" s="21">
        <f t="shared" si="124"/>
        <v>448626.97334707738</v>
      </c>
      <c r="S828" s="21">
        <f t="shared" si="125"/>
        <v>271645.79560879298</v>
      </c>
      <c r="T828" s="14">
        <f>IFERROR(INDEX(Cost_Components!$R$2:$R$27,MATCH(E828,Cost_Components!$A$2:$A$27,0)),"")</f>
        <v>1</v>
      </c>
      <c r="U828" s="24">
        <f>IFERROR(INDEX(Cost_Components!$Q$2:$Q$27,MATCH(E828,Cost_Components!$A$2:$A$27,0)),"")</f>
        <v>2023</v>
      </c>
      <c r="V828" s="28">
        <f>1/(1+Calculation_Assumptions!$B$5)^(B828-Calculation_Assumptions!$B$2)</f>
        <v>0.55367575418633497</v>
      </c>
      <c r="W828" s="21">
        <f t="shared" si="126"/>
        <v>97990.187061030418</v>
      </c>
      <c r="X828" s="21">
        <f t="shared" si="127"/>
        <v>248393.87781627587</v>
      </c>
      <c r="Y828" s="21">
        <f t="shared" si="128"/>
        <v>150403.69075524545</v>
      </c>
      <c r="Z828" s="15">
        <f>IFERROR(INDEX(Cost_Components!$T$2:$T$27,MATCH(E828,Cost_Components!$A$2:$A$27,0)),"")</f>
        <v>0.8</v>
      </c>
      <c r="AA828" s="24">
        <f>IFERROR(INDEX(Cost_Components!$U$2:$U$27,MATCH(E828,Cost_Components!$A$2:$A$27,0)),"")</f>
        <v>2025</v>
      </c>
      <c r="AB828" s="24">
        <f>IFERROR(INDEX(Cost_Components!$V$2:$V$27,MATCH(E828,Cost_Components!$A$2:$A$27,0)),"")</f>
        <v>2050</v>
      </c>
      <c r="AC828" s="24">
        <f>IFERROR(INDEX(Cost_Components!$M$2:$M$27,MATCH(E828,Cost_Components!$A$2:$A$27,0)),"")</f>
        <v>0</v>
      </c>
      <c r="AD828" s="24">
        <f>IFERROR(INDEX(Cost_Components!$N$2:$N$27,MATCH(E828,Cost_Components!$A$2:$A$27,0)),"")</f>
        <v>95</v>
      </c>
      <c r="AE828" s="14" t="str">
        <f>IFERROR(INDEX(Cost_Components!$O$2:$O$27,MATCH(E828,Cost_Components!$A$2:$A$27,0)),"")</f>
        <v>Both</v>
      </c>
      <c r="AF828" s="11">
        <v>123829.77516398</v>
      </c>
      <c r="AG828" s="11">
        <v>111216.138075836</v>
      </c>
      <c r="AH828" s="21">
        <f t="shared" si="129"/>
        <v>1</v>
      </c>
    </row>
    <row r="829" spans="1:34" hidden="1">
      <c r="A829" t="s">
        <v>75</v>
      </c>
      <c r="B829" s="18">
        <v>2046</v>
      </c>
      <c r="C829" t="s">
        <v>197</v>
      </c>
      <c r="D829" t="s">
        <v>187</v>
      </c>
      <c r="E829" s="20" t="s">
        <v>269</v>
      </c>
      <c r="F829" s="20" t="s">
        <v>270</v>
      </c>
      <c r="G829" s="20" t="s">
        <v>198</v>
      </c>
      <c r="H829" s="20" t="s">
        <v>192</v>
      </c>
      <c r="I829" s="20" t="s">
        <v>264</v>
      </c>
      <c r="J829" s="15">
        <f>IFERROR(INDEX(Cost_Components!$K$2:$K$27,MATCH(E829,Cost_Components!$A$2:$A$27,0)),"")</f>
        <v>1</v>
      </c>
      <c r="K829" s="15">
        <f t="shared" si="120"/>
        <v>0.72461538461538466</v>
      </c>
      <c r="L829" s="15">
        <f>IFERROR(INDEX(Cost_Components!$S$2:$S$27,MATCH(E829,Cost_Components!$A$2:$A$27,0)),"")</f>
        <v>0.31</v>
      </c>
      <c r="M829" s="26">
        <f>IFERROR(INDEX(Cost_Components!$L$2:$L$27,MATCH(E829,Cost_Components!$A$2:$A$27,0)),"")</f>
        <v>1</v>
      </c>
      <c r="N829" s="27">
        <f>IFERROR(INDEX(Cost_Components!$P$2:$P$27,MATCH(E829,Cost_Components!$A$2:$A$27,0)),"")</f>
        <v>5.133311</v>
      </c>
      <c r="O829" s="21">
        <f t="shared" si="121"/>
        <v>126804.819318073</v>
      </c>
      <c r="P829" s="21">
        <f t="shared" si="122"/>
        <v>113069.08390616599</v>
      </c>
      <c r="Q829" s="21">
        <f t="shared" si="123"/>
        <v>179929.81937438791</v>
      </c>
      <c r="R829" s="21">
        <f t="shared" si="124"/>
        <v>471672.85890360386</v>
      </c>
      <c r="S829" s="21">
        <f t="shared" si="125"/>
        <v>291743.03952921595</v>
      </c>
      <c r="T829" s="14">
        <f>IFERROR(INDEX(Cost_Components!$R$2:$R$27,MATCH(E829,Cost_Components!$A$2:$A$27,0)),"")</f>
        <v>1</v>
      </c>
      <c r="U829" s="24">
        <f>IFERROR(INDEX(Cost_Components!$Q$2:$Q$27,MATCH(E829,Cost_Components!$A$2:$A$27,0)),"")</f>
        <v>2023</v>
      </c>
      <c r="V829" s="28">
        <f>1/(1+Calculation_Assumptions!$B$5)^(B829-Calculation_Assumptions!$B$2)</f>
        <v>0.5375492759090631</v>
      </c>
      <c r="W829" s="21">
        <f t="shared" si="126"/>
        <v>96721.144119150733</v>
      </c>
      <c r="X829" s="21">
        <f t="shared" si="127"/>
        <v>253547.40376958993</v>
      </c>
      <c r="Y829" s="21">
        <f t="shared" si="128"/>
        <v>156826.2596504392</v>
      </c>
      <c r="Z829" s="15">
        <f>IFERROR(INDEX(Cost_Components!$T$2:$T$27,MATCH(E829,Cost_Components!$A$2:$A$27,0)),"")</f>
        <v>0.8</v>
      </c>
      <c r="AA829" s="24">
        <f>IFERROR(INDEX(Cost_Components!$U$2:$U$27,MATCH(E829,Cost_Components!$A$2:$A$27,0)),"")</f>
        <v>2025</v>
      </c>
      <c r="AB829" s="24">
        <f>IFERROR(INDEX(Cost_Components!$V$2:$V$27,MATCH(E829,Cost_Components!$A$2:$A$27,0)),"")</f>
        <v>2050</v>
      </c>
      <c r="AC829" s="24">
        <f>IFERROR(INDEX(Cost_Components!$M$2:$M$27,MATCH(E829,Cost_Components!$A$2:$A$27,0)),"")</f>
        <v>0</v>
      </c>
      <c r="AD829" s="24">
        <f>IFERROR(INDEX(Cost_Components!$N$2:$N$27,MATCH(E829,Cost_Components!$A$2:$A$27,0)),"")</f>
        <v>95</v>
      </c>
      <c r="AE829" s="14" t="str">
        <f>IFERROR(INDEX(Cost_Components!$O$2:$O$27,MATCH(E829,Cost_Components!$A$2:$A$27,0)),"")</f>
        <v>Both</v>
      </c>
      <c r="AF829" s="11">
        <v>126804.819318073</v>
      </c>
      <c r="AG829" s="11">
        <v>113069.08390616599</v>
      </c>
      <c r="AH829" s="21">
        <f t="shared" si="129"/>
        <v>1</v>
      </c>
    </row>
    <row r="830" spans="1:34" hidden="1">
      <c r="A830" t="s">
        <v>75</v>
      </c>
      <c r="B830" s="18">
        <v>2047</v>
      </c>
      <c r="C830" t="s">
        <v>197</v>
      </c>
      <c r="D830" t="s">
        <v>187</v>
      </c>
      <c r="E830" s="20" t="s">
        <v>269</v>
      </c>
      <c r="F830" s="20" t="s">
        <v>270</v>
      </c>
      <c r="G830" s="20" t="s">
        <v>198</v>
      </c>
      <c r="H830" s="20" t="s">
        <v>192</v>
      </c>
      <c r="I830" s="20" t="s">
        <v>264</v>
      </c>
      <c r="J830" s="15">
        <f>IFERROR(INDEX(Cost_Components!$K$2:$K$27,MATCH(E830,Cost_Components!$A$2:$A$27,0)),"")</f>
        <v>1</v>
      </c>
      <c r="K830" s="15">
        <f t="shared" si="120"/>
        <v>0.74346153846153851</v>
      </c>
      <c r="L830" s="15">
        <f>IFERROR(INDEX(Cost_Components!$S$2:$S$27,MATCH(E830,Cost_Components!$A$2:$A$27,0)),"")</f>
        <v>0.31</v>
      </c>
      <c r="M830" s="26">
        <f>IFERROR(INDEX(Cost_Components!$L$2:$L$27,MATCH(E830,Cost_Components!$A$2:$A$27,0)),"")</f>
        <v>1</v>
      </c>
      <c r="N830" s="27">
        <f>IFERROR(INDEX(Cost_Components!$P$2:$P$27,MATCH(E830,Cost_Components!$A$2:$A$27,0)),"")</f>
        <v>5.133311</v>
      </c>
      <c r="O830" s="21">
        <f t="shared" si="121"/>
        <v>129830.71669560899</v>
      </c>
      <c r="P830" s="21">
        <f t="shared" si="122"/>
        <v>114923.915044056</v>
      </c>
      <c r="Q830" s="21">
        <f t="shared" si="123"/>
        <v>182881.46115020264</v>
      </c>
      <c r="R830" s="21">
        <f t="shared" si="124"/>
        <v>495488.45208106126</v>
      </c>
      <c r="S830" s="21">
        <f t="shared" si="125"/>
        <v>312606.99093085865</v>
      </c>
      <c r="T830" s="14">
        <f>IFERROR(INDEX(Cost_Components!$R$2:$R$27,MATCH(E830,Cost_Components!$A$2:$A$27,0)),"")</f>
        <v>1</v>
      </c>
      <c r="U830" s="24">
        <f>IFERROR(INDEX(Cost_Components!$Q$2:$Q$27,MATCH(E830,Cost_Components!$A$2:$A$27,0)),"")</f>
        <v>2023</v>
      </c>
      <c r="V830" s="28">
        <f>1/(1+Calculation_Assumptions!$B$5)^(B830-Calculation_Assumptions!$B$2)</f>
        <v>0.52189250088258554</v>
      </c>
      <c r="W830" s="21">
        <f t="shared" si="126"/>
        <v>95444.463124740665</v>
      </c>
      <c r="X830" s="21">
        <f t="shared" si="127"/>
        <v>258591.70741502621</v>
      </c>
      <c r="Y830" s="21">
        <f t="shared" si="128"/>
        <v>163147.24429028557</v>
      </c>
      <c r="Z830" s="15">
        <f>IFERROR(INDEX(Cost_Components!$T$2:$T$27,MATCH(E830,Cost_Components!$A$2:$A$27,0)),"")</f>
        <v>0.8</v>
      </c>
      <c r="AA830" s="24">
        <f>IFERROR(INDEX(Cost_Components!$U$2:$U$27,MATCH(E830,Cost_Components!$A$2:$A$27,0)),"")</f>
        <v>2025</v>
      </c>
      <c r="AB830" s="24">
        <f>IFERROR(INDEX(Cost_Components!$V$2:$V$27,MATCH(E830,Cost_Components!$A$2:$A$27,0)),"")</f>
        <v>2050</v>
      </c>
      <c r="AC830" s="24">
        <f>IFERROR(INDEX(Cost_Components!$M$2:$M$27,MATCH(E830,Cost_Components!$A$2:$A$27,0)),"")</f>
        <v>0</v>
      </c>
      <c r="AD830" s="24">
        <f>IFERROR(INDEX(Cost_Components!$N$2:$N$27,MATCH(E830,Cost_Components!$A$2:$A$27,0)),"")</f>
        <v>95</v>
      </c>
      <c r="AE830" s="14" t="str">
        <f>IFERROR(INDEX(Cost_Components!$O$2:$O$27,MATCH(E830,Cost_Components!$A$2:$A$27,0)),"")</f>
        <v>Both</v>
      </c>
      <c r="AF830" s="11">
        <v>129830.71669560899</v>
      </c>
      <c r="AG830" s="11">
        <v>114923.915044056</v>
      </c>
      <c r="AH830" s="21">
        <f t="shared" si="129"/>
        <v>1</v>
      </c>
    </row>
    <row r="831" spans="1:34" hidden="1">
      <c r="A831" t="s">
        <v>75</v>
      </c>
      <c r="B831" s="18">
        <v>2048</v>
      </c>
      <c r="C831" t="s">
        <v>197</v>
      </c>
      <c r="D831" t="s">
        <v>187</v>
      </c>
      <c r="E831" s="20" t="s">
        <v>269</v>
      </c>
      <c r="F831" s="20" t="s">
        <v>270</v>
      </c>
      <c r="G831" s="20" t="s">
        <v>198</v>
      </c>
      <c r="H831" s="20" t="s">
        <v>192</v>
      </c>
      <c r="I831" s="20" t="s">
        <v>264</v>
      </c>
      <c r="J831" s="15">
        <f>IFERROR(INDEX(Cost_Components!$K$2:$K$27,MATCH(E831,Cost_Components!$A$2:$A$27,0)),"")</f>
        <v>1</v>
      </c>
      <c r="K831" s="15">
        <f t="shared" si="120"/>
        <v>0.76230769230769235</v>
      </c>
      <c r="L831" s="15">
        <f>IFERROR(INDEX(Cost_Components!$S$2:$S$27,MATCH(E831,Cost_Components!$A$2:$A$27,0)),"")</f>
        <v>0.31</v>
      </c>
      <c r="M831" s="26">
        <f>IFERROR(INDEX(Cost_Components!$L$2:$L$27,MATCH(E831,Cost_Components!$A$2:$A$27,0)),"")</f>
        <v>1</v>
      </c>
      <c r="N831" s="27">
        <f>IFERROR(INDEX(Cost_Components!$P$2:$P$27,MATCH(E831,Cost_Components!$A$2:$A$27,0)),"")</f>
        <v>5.133311</v>
      </c>
      <c r="O831" s="21">
        <f t="shared" si="121"/>
        <v>132887.31722706501</v>
      </c>
      <c r="P831" s="21">
        <f t="shared" si="122"/>
        <v>116764.023601522</v>
      </c>
      <c r="Q831" s="21">
        <f t="shared" si="123"/>
        <v>185809.67449496526</v>
      </c>
      <c r="R831" s="21">
        <f t="shared" si="124"/>
        <v>520009.66148972517</v>
      </c>
      <c r="S831" s="21">
        <f t="shared" si="125"/>
        <v>334199.98699475988</v>
      </c>
      <c r="T831" s="14">
        <f>IFERROR(INDEX(Cost_Components!$R$2:$R$27,MATCH(E831,Cost_Components!$A$2:$A$27,0)),"")</f>
        <v>1</v>
      </c>
      <c r="U831" s="24">
        <f>IFERROR(INDEX(Cost_Components!$Q$2:$Q$27,MATCH(E831,Cost_Components!$A$2:$A$27,0)),"")</f>
        <v>2023</v>
      </c>
      <c r="V831" s="28">
        <f>1/(1+Calculation_Assumptions!$B$5)^(B831-Calculation_Assumptions!$B$2)</f>
        <v>0.50669174842969467</v>
      </c>
      <c r="W831" s="21">
        <f t="shared" si="126"/>
        <v>94148.228845006393</v>
      </c>
      <c r="X831" s="21">
        <f t="shared" si="127"/>
        <v>263484.6045805625</v>
      </c>
      <c r="Y831" s="21">
        <f t="shared" si="128"/>
        <v>169336.3757355561</v>
      </c>
      <c r="Z831" s="15">
        <f>IFERROR(INDEX(Cost_Components!$T$2:$T$27,MATCH(E831,Cost_Components!$A$2:$A$27,0)),"")</f>
        <v>0.8</v>
      </c>
      <c r="AA831" s="24">
        <f>IFERROR(INDEX(Cost_Components!$U$2:$U$27,MATCH(E831,Cost_Components!$A$2:$A$27,0)),"")</f>
        <v>2025</v>
      </c>
      <c r="AB831" s="24">
        <f>IFERROR(INDEX(Cost_Components!$V$2:$V$27,MATCH(E831,Cost_Components!$A$2:$A$27,0)),"")</f>
        <v>2050</v>
      </c>
      <c r="AC831" s="24">
        <f>IFERROR(INDEX(Cost_Components!$M$2:$M$27,MATCH(E831,Cost_Components!$A$2:$A$27,0)),"")</f>
        <v>0</v>
      </c>
      <c r="AD831" s="24">
        <f>IFERROR(INDEX(Cost_Components!$N$2:$N$27,MATCH(E831,Cost_Components!$A$2:$A$27,0)),"")</f>
        <v>95</v>
      </c>
      <c r="AE831" s="14" t="str">
        <f>IFERROR(INDEX(Cost_Components!$O$2:$O$27,MATCH(E831,Cost_Components!$A$2:$A$27,0)),"")</f>
        <v>Both</v>
      </c>
      <c r="AF831" s="11">
        <v>132887.31722706501</v>
      </c>
      <c r="AG831" s="11">
        <v>116764.023601522</v>
      </c>
      <c r="AH831" s="21">
        <f t="shared" si="129"/>
        <v>1</v>
      </c>
    </row>
    <row r="832" spans="1:34" hidden="1">
      <c r="A832" t="s">
        <v>75</v>
      </c>
      <c r="B832" s="18">
        <v>2049</v>
      </c>
      <c r="C832" t="s">
        <v>197</v>
      </c>
      <c r="D832" t="s">
        <v>187</v>
      </c>
      <c r="E832" s="20" t="s">
        <v>269</v>
      </c>
      <c r="F832" s="20" t="s">
        <v>270</v>
      </c>
      <c r="G832" s="20" t="s">
        <v>198</v>
      </c>
      <c r="H832" s="20" t="s">
        <v>192</v>
      </c>
      <c r="I832" s="20" t="s">
        <v>264</v>
      </c>
      <c r="J832" s="15">
        <f>IFERROR(INDEX(Cost_Components!$K$2:$K$27,MATCH(E832,Cost_Components!$A$2:$A$27,0)),"")</f>
        <v>1</v>
      </c>
      <c r="K832" s="15">
        <f t="shared" si="120"/>
        <v>0.7811538461538462</v>
      </c>
      <c r="L832" s="15">
        <f>IFERROR(INDEX(Cost_Components!$S$2:$S$27,MATCH(E832,Cost_Components!$A$2:$A$27,0)),"")</f>
        <v>0.31</v>
      </c>
      <c r="M832" s="26">
        <f>IFERROR(INDEX(Cost_Components!$L$2:$L$27,MATCH(E832,Cost_Components!$A$2:$A$27,0)),"")</f>
        <v>1</v>
      </c>
      <c r="N832" s="27">
        <f>IFERROR(INDEX(Cost_Components!$P$2:$P$27,MATCH(E832,Cost_Components!$A$2:$A$27,0)),"")</f>
        <v>5.133311</v>
      </c>
      <c r="O832" s="21">
        <f t="shared" si="121"/>
        <v>135963.05967975699</v>
      </c>
      <c r="P832" s="21">
        <f t="shared" si="122"/>
        <v>118577.866241739</v>
      </c>
      <c r="Q832" s="21">
        <f t="shared" si="123"/>
        <v>188696.09019192672</v>
      </c>
      <c r="R832" s="21">
        <f t="shared" si="124"/>
        <v>545199.03863876406</v>
      </c>
      <c r="S832" s="21">
        <f t="shared" si="125"/>
        <v>356502.94844683737</v>
      </c>
      <c r="T832" s="14">
        <f>IFERROR(INDEX(Cost_Components!$R$2:$R$27,MATCH(E832,Cost_Components!$A$2:$A$27,0)),"")</f>
        <v>1</v>
      </c>
      <c r="U832" s="24">
        <f>IFERROR(INDEX(Cost_Components!$Q$2:$Q$27,MATCH(E832,Cost_Components!$A$2:$A$27,0)),"")</f>
        <v>2023</v>
      </c>
      <c r="V832" s="28">
        <f>1/(1+Calculation_Assumptions!$B$5)^(B832-Calculation_Assumptions!$B$2)</f>
        <v>0.49193373633950943</v>
      </c>
      <c r="W832" s="21">
        <f t="shared" si="126"/>
        <v>92825.972680771563</v>
      </c>
      <c r="X832" s="21">
        <f t="shared" si="127"/>
        <v>268201.80012627575</v>
      </c>
      <c r="Y832" s="21">
        <f t="shared" si="128"/>
        <v>175375.82744550423</v>
      </c>
      <c r="Z832" s="15">
        <f>IFERROR(INDEX(Cost_Components!$T$2:$T$27,MATCH(E832,Cost_Components!$A$2:$A$27,0)),"")</f>
        <v>0.8</v>
      </c>
      <c r="AA832" s="24">
        <f>IFERROR(INDEX(Cost_Components!$U$2:$U$27,MATCH(E832,Cost_Components!$A$2:$A$27,0)),"")</f>
        <v>2025</v>
      </c>
      <c r="AB832" s="24">
        <f>IFERROR(INDEX(Cost_Components!$V$2:$V$27,MATCH(E832,Cost_Components!$A$2:$A$27,0)),"")</f>
        <v>2050</v>
      </c>
      <c r="AC832" s="24">
        <f>IFERROR(INDEX(Cost_Components!$M$2:$M$27,MATCH(E832,Cost_Components!$A$2:$A$27,0)),"")</f>
        <v>0</v>
      </c>
      <c r="AD832" s="24">
        <f>IFERROR(INDEX(Cost_Components!$N$2:$N$27,MATCH(E832,Cost_Components!$A$2:$A$27,0)),"")</f>
        <v>95</v>
      </c>
      <c r="AE832" s="14" t="str">
        <f>IFERROR(INDEX(Cost_Components!$O$2:$O$27,MATCH(E832,Cost_Components!$A$2:$A$27,0)),"")</f>
        <v>Both</v>
      </c>
      <c r="AF832" s="11">
        <v>135963.05967975699</v>
      </c>
      <c r="AG832" s="11">
        <v>118577.866241739</v>
      </c>
      <c r="AH832" s="21">
        <f t="shared" si="129"/>
        <v>1</v>
      </c>
    </row>
    <row r="833" spans="1:34" hidden="1">
      <c r="A833" t="s">
        <v>75</v>
      </c>
      <c r="B833" s="18">
        <v>2050</v>
      </c>
      <c r="C833" t="s">
        <v>197</v>
      </c>
      <c r="D833" t="s">
        <v>187</v>
      </c>
      <c r="E833" s="20" t="s">
        <v>269</v>
      </c>
      <c r="F833" s="20" t="s">
        <v>270</v>
      </c>
      <c r="G833" s="20" t="s">
        <v>198</v>
      </c>
      <c r="H833" s="20" t="s">
        <v>192</v>
      </c>
      <c r="I833" s="20" t="s">
        <v>264</v>
      </c>
      <c r="J833" s="15">
        <f>IFERROR(INDEX(Cost_Components!$K$2:$K$27,MATCH(E833,Cost_Components!$A$2:$A$27,0)),"")</f>
        <v>1</v>
      </c>
      <c r="K833" s="15">
        <f t="shared" si="120"/>
        <v>0.8</v>
      </c>
      <c r="L833" s="15">
        <f>IFERROR(INDEX(Cost_Components!$S$2:$S$27,MATCH(E833,Cost_Components!$A$2:$A$27,0)),"")</f>
        <v>0.31</v>
      </c>
      <c r="M833" s="26">
        <f>IFERROR(INDEX(Cost_Components!$L$2:$L$27,MATCH(E833,Cost_Components!$A$2:$A$27,0)),"")</f>
        <v>1</v>
      </c>
      <c r="N833" s="27">
        <f>IFERROR(INDEX(Cost_Components!$P$2:$P$27,MATCH(E833,Cost_Components!$A$2:$A$27,0)),"")</f>
        <v>5.133311</v>
      </c>
      <c r="O833" s="21">
        <f t="shared" si="121"/>
        <v>139048.50869075299</v>
      </c>
      <c r="P833" s="21">
        <f t="shared" si="122"/>
        <v>120355.978736713</v>
      </c>
      <c r="Q833" s="21">
        <f t="shared" si="123"/>
        <v>191525.64756512982</v>
      </c>
      <c r="R833" s="21">
        <f t="shared" si="124"/>
        <v>571023.39135667041</v>
      </c>
      <c r="S833" s="21">
        <f t="shared" si="125"/>
        <v>379497.74379154062</v>
      </c>
      <c r="T833" s="14">
        <f>IFERROR(INDEX(Cost_Components!$R$2:$R$27,MATCH(E833,Cost_Components!$A$2:$A$27,0)),"")</f>
        <v>1</v>
      </c>
      <c r="U833" s="24">
        <f>IFERROR(INDEX(Cost_Components!$Q$2:$Q$27,MATCH(E833,Cost_Components!$A$2:$A$27,0)),"")</f>
        <v>2023</v>
      </c>
      <c r="V833" s="28">
        <f>1/(1+Calculation_Assumptions!$B$5)^(B833-Calculation_Assumptions!$B$2)</f>
        <v>0.47760556926165965</v>
      </c>
      <c r="W833" s="21">
        <f t="shared" si="126"/>
        <v>91473.715933551823</v>
      </c>
      <c r="X833" s="21">
        <f t="shared" si="127"/>
        <v>272723.95189062605</v>
      </c>
      <c r="Y833" s="21">
        <f t="shared" si="128"/>
        <v>181250.23595707421</v>
      </c>
      <c r="Z833" s="15">
        <f>IFERROR(INDEX(Cost_Components!$T$2:$T$27,MATCH(E833,Cost_Components!$A$2:$A$27,0)),"")</f>
        <v>0.8</v>
      </c>
      <c r="AA833" s="24">
        <f>IFERROR(INDEX(Cost_Components!$U$2:$U$27,MATCH(E833,Cost_Components!$A$2:$A$27,0)),"")</f>
        <v>2025</v>
      </c>
      <c r="AB833" s="24">
        <f>IFERROR(INDEX(Cost_Components!$V$2:$V$27,MATCH(E833,Cost_Components!$A$2:$A$27,0)),"")</f>
        <v>2050</v>
      </c>
      <c r="AC833" s="24">
        <f>IFERROR(INDEX(Cost_Components!$M$2:$M$27,MATCH(E833,Cost_Components!$A$2:$A$27,0)),"")</f>
        <v>0</v>
      </c>
      <c r="AD833" s="24">
        <f>IFERROR(INDEX(Cost_Components!$N$2:$N$27,MATCH(E833,Cost_Components!$A$2:$A$27,0)),"")</f>
        <v>95</v>
      </c>
      <c r="AE833" s="14" t="str">
        <f>IFERROR(INDEX(Cost_Components!$O$2:$O$27,MATCH(E833,Cost_Components!$A$2:$A$27,0)),"")</f>
        <v>Both</v>
      </c>
      <c r="AF833" s="11">
        <v>139048.50869075299</v>
      </c>
      <c r="AG833" s="11">
        <v>120355.978736713</v>
      </c>
      <c r="AH833" s="21">
        <f t="shared" si="129"/>
        <v>1</v>
      </c>
    </row>
    <row r="834" spans="1:34" hidden="1">
      <c r="A834" t="s">
        <v>75</v>
      </c>
      <c r="B834" s="18">
        <v>2025</v>
      </c>
      <c r="C834" t="s">
        <v>197</v>
      </c>
      <c r="D834" t="s">
        <v>187</v>
      </c>
      <c r="E834" s="20" t="s">
        <v>272</v>
      </c>
      <c r="F834" s="20" t="s">
        <v>273</v>
      </c>
      <c r="G834" s="20" t="s">
        <v>198</v>
      </c>
      <c r="H834" s="20" t="s">
        <v>192</v>
      </c>
      <c r="I834" s="20" t="s">
        <v>264</v>
      </c>
      <c r="J834" s="15">
        <f>IFERROR(INDEX(Cost_Components!$K$2:$K$27,MATCH(E834,Cost_Components!$A$2:$A$27,0)),"")</f>
        <v>1</v>
      </c>
      <c r="K834" s="15">
        <f t="shared" ref="K834:K897" si="130">IF(OR(L834="",Z834="",AA834="",AB834=""),"",IF(B834&lt;AA834,L834,IF(B834&gt;AB834,Z834,L834+(Z834-L834)*MIN(MAX((B834-AA834+1)/MAX(AB834-AA834+1,1),0),1))))</f>
        <v>0.32884615384615384</v>
      </c>
      <c r="L834" s="15">
        <f>IFERROR(INDEX(Cost_Components!$S$2:$S$27,MATCH(E834,Cost_Components!$A$2:$A$27,0)),"")</f>
        <v>0.31</v>
      </c>
      <c r="M834" s="26">
        <f>IFERROR(INDEX(Cost_Components!$L$2:$L$27,MATCH(E834,Cost_Components!$A$2:$A$27,0)),"")</f>
        <v>1</v>
      </c>
      <c r="N834" s="27">
        <f>IFERROR(INDEX(Cost_Components!$P$2:$P$27,MATCH(E834,Cost_Components!$A$2:$A$27,0)),"")</f>
        <v>35.362648999999998</v>
      </c>
      <c r="O834" s="21">
        <f t="shared" ref="O834:O897" si="131">AF834*J834</f>
        <v>78263.332008683705</v>
      </c>
      <c r="P834" s="21">
        <f t="shared" ref="P834:P897" si="132">AG834*J834</f>
        <v>78177.722455986499</v>
      </c>
      <c r="Q834" s="21">
        <f t="shared" ref="Q834:Q897" si="133">P834*L834*M834*N834</f>
        <v>857017.12123744516</v>
      </c>
      <c r="R834" s="21">
        <f t="shared" ref="R834:R897" si="134">O834*K834*M834*N834</f>
        <v>910114.20083903172</v>
      </c>
      <c r="S834" s="21">
        <f t="shared" ref="S834:S897" si="135">R834-Q834</f>
        <v>53097.079601586564</v>
      </c>
      <c r="T834" s="14">
        <f>IFERROR(INDEX(Cost_Components!$R$2:$R$27,MATCH(E834,Cost_Components!$A$2:$A$27,0)),"")</f>
        <v>1</v>
      </c>
      <c r="U834" s="24">
        <f>IFERROR(INDEX(Cost_Components!$Q$2:$Q$27,MATCH(E834,Cost_Components!$A$2:$A$27,0)),"")</f>
        <v>2023</v>
      </c>
      <c r="V834" s="28">
        <f>1/(1+Calculation_Assumptions!$B$5)^(B834-Calculation_Assumptions!$B$2)</f>
        <v>1</v>
      </c>
      <c r="W834" s="21">
        <f t="shared" ref="W834:W897" si="136">Q834*V834</f>
        <v>857017.12123744516</v>
      </c>
      <c r="X834" s="21">
        <f t="shared" ref="X834:X897" si="137">R834*V834</f>
        <v>910114.20083903172</v>
      </c>
      <c r="Y834" s="21">
        <f t="shared" ref="Y834:Y897" si="138">S834*V834</f>
        <v>53097.079601586564</v>
      </c>
      <c r="Z834" s="15">
        <f>IFERROR(INDEX(Cost_Components!$T$2:$T$27,MATCH(E834,Cost_Components!$A$2:$A$27,0)),"")</f>
        <v>0.8</v>
      </c>
      <c r="AA834" s="24">
        <f>IFERROR(INDEX(Cost_Components!$U$2:$U$27,MATCH(E834,Cost_Components!$A$2:$A$27,0)),"")</f>
        <v>2025</v>
      </c>
      <c r="AB834" s="24">
        <f>IFERROR(INDEX(Cost_Components!$V$2:$V$27,MATCH(E834,Cost_Components!$A$2:$A$27,0)),"")</f>
        <v>2050</v>
      </c>
      <c r="AC834" s="24">
        <f>IFERROR(INDEX(Cost_Components!$M$2:$M$27,MATCH(E834,Cost_Components!$A$2:$A$27,0)),"")</f>
        <v>0</v>
      </c>
      <c r="AD834" s="24">
        <f>IFERROR(INDEX(Cost_Components!$N$2:$N$27,MATCH(E834,Cost_Components!$A$2:$A$27,0)),"")</f>
        <v>95</v>
      </c>
      <c r="AE834" s="14" t="str">
        <f>IFERROR(INDEX(Cost_Components!$O$2:$O$27,MATCH(E834,Cost_Components!$A$2:$A$27,0)),"")</f>
        <v>Both</v>
      </c>
      <c r="AF834" s="11">
        <v>78263.332008683705</v>
      </c>
      <c r="AG834" s="11">
        <v>78177.722455986499</v>
      </c>
      <c r="AH834" s="21">
        <f t="shared" ref="AH834:AH897" si="139">IF(H834="shared-count-once",COUNTIFS($A$2:$A$1353,A834,$B$2:$B$1353,B834,$E$2:$E$1353,E834),1)</f>
        <v>1</v>
      </c>
    </row>
    <row r="835" spans="1:34" hidden="1">
      <c r="A835" t="s">
        <v>75</v>
      </c>
      <c r="B835" s="18">
        <v>2026</v>
      </c>
      <c r="C835" t="s">
        <v>197</v>
      </c>
      <c r="D835" t="s">
        <v>187</v>
      </c>
      <c r="E835" s="20" t="s">
        <v>272</v>
      </c>
      <c r="F835" s="20" t="s">
        <v>273</v>
      </c>
      <c r="G835" s="20" t="s">
        <v>198</v>
      </c>
      <c r="H835" s="20" t="s">
        <v>192</v>
      </c>
      <c r="I835" s="20" t="s">
        <v>264</v>
      </c>
      <c r="J835" s="15">
        <f>IFERROR(INDEX(Cost_Components!$K$2:$K$27,MATCH(E835,Cost_Components!$A$2:$A$27,0)),"")</f>
        <v>1</v>
      </c>
      <c r="K835" s="15">
        <f t="shared" si="130"/>
        <v>0.34769230769230769</v>
      </c>
      <c r="L835" s="15">
        <f>IFERROR(INDEX(Cost_Components!$S$2:$S$27,MATCH(E835,Cost_Components!$A$2:$A$27,0)),"")</f>
        <v>0.31</v>
      </c>
      <c r="M835" s="26">
        <f>IFERROR(INDEX(Cost_Components!$L$2:$L$27,MATCH(E835,Cost_Components!$A$2:$A$27,0)),"")</f>
        <v>1</v>
      </c>
      <c r="N835" s="27">
        <f>IFERROR(INDEX(Cost_Components!$P$2:$P$27,MATCH(E835,Cost_Components!$A$2:$A$27,0)),"")</f>
        <v>35.362648999999998</v>
      </c>
      <c r="O835" s="21">
        <f t="shared" si="131"/>
        <v>80190.894280943903</v>
      </c>
      <c r="P835" s="21">
        <f t="shared" si="132"/>
        <v>79946.906612797</v>
      </c>
      <c r="Q835" s="21">
        <f t="shared" si="133"/>
        <v>876411.66312707681</v>
      </c>
      <c r="R835" s="21">
        <f t="shared" si="134"/>
        <v>985972.78942216397</v>
      </c>
      <c r="S835" s="21">
        <f t="shared" si="135"/>
        <v>109561.12629508716</v>
      </c>
      <c r="T835" s="14">
        <f>IFERROR(INDEX(Cost_Components!$R$2:$R$27,MATCH(E835,Cost_Components!$A$2:$A$27,0)),"")</f>
        <v>1</v>
      </c>
      <c r="U835" s="24">
        <f>IFERROR(INDEX(Cost_Components!$Q$2:$Q$27,MATCH(E835,Cost_Components!$A$2:$A$27,0)),"")</f>
        <v>2023</v>
      </c>
      <c r="V835" s="28">
        <f>1/(1+Calculation_Assumptions!$B$5)^(B835-Calculation_Assumptions!$B$2)</f>
        <v>0.970873786407767</v>
      </c>
      <c r="W835" s="21">
        <f t="shared" si="136"/>
        <v>850885.10983211338</v>
      </c>
      <c r="X835" s="21">
        <f t="shared" si="137"/>
        <v>957255.1353613243</v>
      </c>
      <c r="Y835" s="21">
        <f t="shared" si="138"/>
        <v>106370.02552921083</v>
      </c>
      <c r="Z835" s="15">
        <f>IFERROR(INDEX(Cost_Components!$T$2:$T$27,MATCH(E835,Cost_Components!$A$2:$A$27,0)),"")</f>
        <v>0.8</v>
      </c>
      <c r="AA835" s="24">
        <f>IFERROR(INDEX(Cost_Components!$U$2:$U$27,MATCH(E835,Cost_Components!$A$2:$A$27,0)),"")</f>
        <v>2025</v>
      </c>
      <c r="AB835" s="24">
        <f>IFERROR(INDEX(Cost_Components!$V$2:$V$27,MATCH(E835,Cost_Components!$A$2:$A$27,0)),"")</f>
        <v>2050</v>
      </c>
      <c r="AC835" s="24">
        <f>IFERROR(INDEX(Cost_Components!$M$2:$M$27,MATCH(E835,Cost_Components!$A$2:$A$27,0)),"")</f>
        <v>0</v>
      </c>
      <c r="AD835" s="24">
        <f>IFERROR(INDEX(Cost_Components!$N$2:$N$27,MATCH(E835,Cost_Components!$A$2:$A$27,0)),"")</f>
        <v>95</v>
      </c>
      <c r="AE835" s="14" t="str">
        <f>IFERROR(INDEX(Cost_Components!$O$2:$O$27,MATCH(E835,Cost_Components!$A$2:$A$27,0)),"")</f>
        <v>Both</v>
      </c>
      <c r="AF835" s="11">
        <v>80190.894280943903</v>
      </c>
      <c r="AG835" s="11">
        <v>79946.906612797</v>
      </c>
      <c r="AH835" s="21">
        <f t="shared" si="139"/>
        <v>1</v>
      </c>
    </row>
    <row r="836" spans="1:34" hidden="1">
      <c r="A836" t="s">
        <v>75</v>
      </c>
      <c r="B836" s="18">
        <v>2027</v>
      </c>
      <c r="C836" t="s">
        <v>197</v>
      </c>
      <c r="D836" t="s">
        <v>187</v>
      </c>
      <c r="E836" s="20" t="s">
        <v>272</v>
      </c>
      <c r="F836" s="20" t="s">
        <v>273</v>
      </c>
      <c r="G836" s="20" t="s">
        <v>198</v>
      </c>
      <c r="H836" s="20" t="s">
        <v>192</v>
      </c>
      <c r="I836" s="20" t="s">
        <v>264</v>
      </c>
      <c r="J836" s="15">
        <f>IFERROR(INDEX(Cost_Components!$K$2:$K$27,MATCH(E836,Cost_Components!$A$2:$A$27,0)),"")</f>
        <v>1</v>
      </c>
      <c r="K836" s="15">
        <f t="shared" si="130"/>
        <v>0.36653846153846154</v>
      </c>
      <c r="L836" s="15">
        <f>IFERROR(INDEX(Cost_Components!$S$2:$S$27,MATCH(E836,Cost_Components!$A$2:$A$27,0)),"")</f>
        <v>0.31</v>
      </c>
      <c r="M836" s="26">
        <f>IFERROR(INDEX(Cost_Components!$L$2:$L$27,MATCH(E836,Cost_Components!$A$2:$A$27,0)),"")</f>
        <v>1</v>
      </c>
      <c r="N836" s="27">
        <f>IFERROR(INDEX(Cost_Components!$P$2:$P$27,MATCH(E836,Cost_Components!$A$2:$A$27,0)),"")</f>
        <v>35.362648999999998</v>
      </c>
      <c r="O836" s="21">
        <f t="shared" si="131"/>
        <v>82151.363252314099</v>
      </c>
      <c r="P836" s="21">
        <f t="shared" si="132"/>
        <v>81685.048654253798</v>
      </c>
      <c r="Q836" s="21">
        <f t="shared" si="133"/>
        <v>895465.90827357268</v>
      </c>
      <c r="R836" s="21">
        <f t="shared" si="134"/>
        <v>1064827.1545598526</v>
      </c>
      <c r="S836" s="21">
        <f t="shared" si="135"/>
        <v>169361.24628627987</v>
      </c>
      <c r="T836" s="14">
        <f>IFERROR(INDEX(Cost_Components!$R$2:$R$27,MATCH(E836,Cost_Components!$A$2:$A$27,0)),"")</f>
        <v>1</v>
      </c>
      <c r="U836" s="24">
        <f>IFERROR(INDEX(Cost_Components!$Q$2:$Q$27,MATCH(E836,Cost_Components!$A$2:$A$27,0)),"")</f>
        <v>2023</v>
      </c>
      <c r="V836" s="28">
        <f>1/(1+Calculation_Assumptions!$B$5)^(B836-Calculation_Assumptions!$B$2)</f>
        <v>0.94259590913375435</v>
      </c>
      <c r="W836" s="21">
        <f t="shared" si="136"/>
        <v>844062.50190741138</v>
      </c>
      <c r="X836" s="21">
        <f t="shared" si="137"/>
        <v>1003701.719822653</v>
      </c>
      <c r="Y836" s="21">
        <f t="shared" si="138"/>
        <v>159639.21791524166</v>
      </c>
      <c r="Z836" s="15">
        <f>IFERROR(INDEX(Cost_Components!$T$2:$T$27,MATCH(E836,Cost_Components!$A$2:$A$27,0)),"")</f>
        <v>0.8</v>
      </c>
      <c r="AA836" s="24">
        <f>IFERROR(INDEX(Cost_Components!$U$2:$U$27,MATCH(E836,Cost_Components!$A$2:$A$27,0)),"")</f>
        <v>2025</v>
      </c>
      <c r="AB836" s="24">
        <f>IFERROR(INDEX(Cost_Components!$V$2:$V$27,MATCH(E836,Cost_Components!$A$2:$A$27,0)),"")</f>
        <v>2050</v>
      </c>
      <c r="AC836" s="24">
        <f>IFERROR(INDEX(Cost_Components!$M$2:$M$27,MATCH(E836,Cost_Components!$A$2:$A$27,0)),"")</f>
        <v>0</v>
      </c>
      <c r="AD836" s="24">
        <f>IFERROR(INDEX(Cost_Components!$N$2:$N$27,MATCH(E836,Cost_Components!$A$2:$A$27,0)),"")</f>
        <v>95</v>
      </c>
      <c r="AE836" s="14" t="str">
        <f>IFERROR(INDEX(Cost_Components!$O$2:$O$27,MATCH(E836,Cost_Components!$A$2:$A$27,0)),"")</f>
        <v>Both</v>
      </c>
      <c r="AF836" s="11">
        <v>82151.363252314099</v>
      </c>
      <c r="AG836" s="11">
        <v>81685.048654253798</v>
      </c>
      <c r="AH836" s="21">
        <f t="shared" si="139"/>
        <v>1</v>
      </c>
    </row>
    <row r="837" spans="1:34" hidden="1">
      <c r="A837" t="s">
        <v>75</v>
      </c>
      <c r="B837" s="18">
        <v>2028</v>
      </c>
      <c r="C837" t="s">
        <v>197</v>
      </c>
      <c r="D837" t="s">
        <v>187</v>
      </c>
      <c r="E837" s="20" t="s">
        <v>272</v>
      </c>
      <c r="F837" s="20" t="s">
        <v>273</v>
      </c>
      <c r="G837" s="20" t="s">
        <v>198</v>
      </c>
      <c r="H837" s="20" t="s">
        <v>192</v>
      </c>
      <c r="I837" s="20" t="s">
        <v>264</v>
      </c>
      <c r="J837" s="15">
        <f>IFERROR(INDEX(Cost_Components!$K$2:$K$27,MATCH(E837,Cost_Components!$A$2:$A$27,0)),"")</f>
        <v>1</v>
      </c>
      <c r="K837" s="15">
        <f t="shared" si="130"/>
        <v>0.38538461538461538</v>
      </c>
      <c r="L837" s="15">
        <f>IFERROR(INDEX(Cost_Components!$S$2:$S$27,MATCH(E837,Cost_Components!$A$2:$A$27,0)),"")</f>
        <v>0.31</v>
      </c>
      <c r="M837" s="26">
        <f>IFERROR(INDEX(Cost_Components!$L$2:$L$27,MATCH(E837,Cost_Components!$A$2:$A$27,0)),"")</f>
        <v>1</v>
      </c>
      <c r="N837" s="27">
        <f>IFERROR(INDEX(Cost_Components!$P$2:$P$27,MATCH(E837,Cost_Components!$A$2:$A$27,0)),"")</f>
        <v>35.362648999999998</v>
      </c>
      <c r="O837" s="21">
        <f t="shared" si="131"/>
        <v>84133.426014957804</v>
      </c>
      <c r="P837" s="21">
        <f t="shared" si="132"/>
        <v>83387.072966053194</v>
      </c>
      <c r="Q837" s="21">
        <f t="shared" si="133"/>
        <v>914124.21565513755</v>
      </c>
      <c r="R837" s="21">
        <f t="shared" si="134"/>
        <v>1146588.9134465731</v>
      </c>
      <c r="S837" s="21">
        <f t="shared" si="135"/>
        <v>232464.69779143552</v>
      </c>
      <c r="T837" s="14">
        <f>IFERROR(INDEX(Cost_Components!$R$2:$R$27,MATCH(E837,Cost_Components!$A$2:$A$27,0)),"")</f>
        <v>1</v>
      </c>
      <c r="U837" s="24">
        <f>IFERROR(INDEX(Cost_Components!$Q$2:$Q$27,MATCH(E837,Cost_Components!$A$2:$A$27,0)),"")</f>
        <v>2023</v>
      </c>
      <c r="V837" s="28">
        <f>1/(1+Calculation_Assumptions!$B$5)^(B837-Calculation_Assumptions!$B$2)</f>
        <v>0.91514165935315961</v>
      </c>
      <c r="W837" s="21">
        <f t="shared" si="136"/>
        <v>836553.15156954806</v>
      </c>
      <c r="X837" s="21">
        <f t="shared" si="137"/>
        <v>1049291.2808474333</v>
      </c>
      <c r="Y837" s="21">
        <f t="shared" si="138"/>
        <v>212738.12927788508</v>
      </c>
      <c r="Z837" s="15">
        <f>IFERROR(INDEX(Cost_Components!$T$2:$T$27,MATCH(E837,Cost_Components!$A$2:$A$27,0)),"")</f>
        <v>0.8</v>
      </c>
      <c r="AA837" s="24">
        <f>IFERROR(INDEX(Cost_Components!$U$2:$U$27,MATCH(E837,Cost_Components!$A$2:$A$27,0)),"")</f>
        <v>2025</v>
      </c>
      <c r="AB837" s="24">
        <f>IFERROR(INDEX(Cost_Components!$V$2:$V$27,MATCH(E837,Cost_Components!$A$2:$A$27,0)),"")</f>
        <v>2050</v>
      </c>
      <c r="AC837" s="24">
        <f>IFERROR(INDEX(Cost_Components!$M$2:$M$27,MATCH(E837,Cost_Components!$A$2:$A$27,0)),"")</f>
        <v>0</v>
      </c>
      <c r="AD837" s="24">
        <f>IFERROR(INDEX(Cost_Components!$N$2:$N$27,MATCH(E837,Cost_Components!$A$2:$A$27,0)),"")</f>
        <v>95</v>
      </c>
      <c r="AE837" s="14" t="str">
        <f>IFERROR(INDEX(Cost_Components!$O$2:$O$27,MATCH(E837,Cost_Components!$A$2:$A$27,0)),"")</f>
        <v>Both</v>
      </c>
      <c r="AF837" s="11">
        <v>84133.426014957804</v>
      </c>
      <c r="AG837" s="11">
        <v>83387.072966053194</v>
      </c>
      <c r="AH837" s="21">
        <f t="shared" si="139"/>
        <v>1</v>
      </c>
    </row>
    <row r="838" spans="1:34" hidden="1">
      <c r="A838" t="s">
        <v>75</v>
      </c>
      <c r="B838" s="18">
        <v>2029</v>
      </c>
      <c r="C838" t="s">
        <v>197</v>
      </c>
      <c r="D838" t="s">
        <v>187</v>
      </c>
      <c r="E838" s="20" t="s">
        <v>272</v>
      </c>
      <c r="F838" s="20" t="s">
        <v>273</v>
      </c>
      <c r="G838" s="20" t="s">
        <v>198</v>
      </c>
      <c r="H838" s="20" t="s">
        <v>192</v>
      </c>
      <c r="I838" s="20" t="s">
        <v>264</v>
      </c>
      <c r="J838" s="15">
        <f>IFERROR(INDEX(Cost_Components!$K$2:$K$27,MATCH(E838,Cost_Components!$A$2:$A$27,0)),"")</f>
        <v>1</v>
      </c>
      <c r="K838" s="15">
        <f t="shared" si="130"/>
        <v>0.40423076923076923</v>
      </c>
      <c r="L838" s="15">
        <f>IFERROR(INDEX(Cost_Components!$S$2:$S$27,MATCH(E838,Cost_Components!$A$2:$A$27,0)),"")</f>
        <v>0.31</v>
      </c>
      <c r="M838" s="26">
        <f>IFERROR(INDEX(Cost_Components!$L$2:$L$27,MATCH(E838,Cost_Components!$A$2:$A$27,0)),"")</f>
        <v>1</v>
      </c>
      <c r="N838" s="27">
        <f>IFERROR(INDEX(Cost_Components!$P$2:$P$27,MATCH(E838,Cost_Components!$A$2:$A$27,0)),"")</f>
        <v>35.362648999999998</v>
      </c>
      <c r="O838" s="21">
        <f t="shared" si="131"/>
        <v>86129.515852807395</v>
      </c>
      <c r="P838" s="21">
        <f t="shared" si="132"/>
        <v>85049.897381939096</v>
      </c>
      <c r="Q838" s="21">
        <f t="shared" si="133"/>
        <v>932352.7972670946</v>
      </c>
      <c r="R838" s="21">
        <f t="shared" si="134"/>
        <v>1231193.0759086709</v>
      </c>
      <c r="S838" s="21">
        <f t="shared" si="135"/>
        <v>298840.2786415763</v>
      </c>
      <c r="T838" s="14">
        <f>IFERROR(INDEX(Cost_Components!$R$2:$R$27,MATCH(E838,Cost_Components!$A$2:$A$27,0)),"")</f>
        <v>1</v>
      </c>
      <c r="U838" s="24">
        <f>IFERROR(INDEX(Cost_Components!$Q$2:$Q$27,MATCH(E838,Cost_Components!$A$2:$A$27,0)),"")</f>
        <v>2023</v>
      </c>
      <c r="V838" s="28">
        <f>1/(1+Calculation_Assumptions!$B$5)^(B838-Calculation_Assumptions!$B$2)</f>
        <v>0.888487047915689</v>
      </c>
      <c r="W838" s="21">
        <f t="shared" si="136"/>
        <v>828383.38445977576</v>
      </c>
      <c r="X838" s="21">
        <f t="shared" si="137"/>
        <v>1093899.1014283318</v>
      </c>
      <c r="Y838" s="21">
        <f t="shared" si="138"/>
        <v>265515.71696855605</v>
      </c>
      <c r="Z838" s="15">
        <f>IFERROR(INDEX(Cost_Components!$T$2:$T$27,MATCH(E838,Cost_Components!$A$2:$A$27,0)),"")</f>
        <v>0.8</v>
      </c>
      <c r="AA838" s="24">
        <f>IFERROR(INDEX(Cost_Components!$U$2:$U$27,MATCH(E838,Cost_Components!$A$2:$A$27,0)),"")</f>
        <v>2025</v>
      </c>
      <c r="AB838" s="24">
        <f>IFERROR(INDEX(Cost_Components!$V$2:$V$27,MATCH(E838,Cost_Components!$A$2:$A$27,0)),"")</f>
        <v>2050</v>
      </c>
      <c r="AC838" s="24">
        <f>IFERROR(INDEX(Cost_Components!$M$2:$M$27,MATCH(E838,Cost_Components!$A$2:$A$27,0)),"")</f>
        <v>0</v>
      </c>
      <c r="AD838" s="24">
        <f>IFERROR(INDEX(Cost_Components!$N$2:$N$27,MATCH(E838,Cost_Components!$A$2:$A$27,0)),"")</f>
        <v>95</v>
      </c>
      <c r="AE838" s="14" t="str">
        <f>IFERROR(INDEX(Cost_Components!$O$2:$O$27,MATCH(E838,Cost_Components!$A$2:$A$27,0)),"")</f>
        <v>Both</v>
      </c>
      <c r="AF838" s="11">
        <v>86129.515852807395</v>
      </c>
      <c r="AG838" s="11">
        <v>85049.897381939096</v>
      </c>
      <c r="AH838" s="21">
        <f t="shared" si="139"/>
        <v>1</v>
      </c>
    </row>
    <row r="839" spans="1:34" hidden="1">
      <c r="A839" t="s">
        <v>75</v>
      </c>
      <c r="B839" s="18">
        <v>2030</v>
      </c>
      <c r="C839" t="s">
        <v>197</v>
      </c>
      <c r="D839" t="s">
        <v>187</v>
      </c>
      <c r="E839" s="20" t="s">
        <v>272</v>
      </c>
      <c r="F839" s="20" t="s">
        <v>273</v>
      </c>
      <c r="G839" s="20" t="s">
        <v>198</v>
      </c>
      <c r="H839" s="20" t="s">
        <v>192</v>
      </c>
      <c r="I839" s="20" t="s">
        <v>264</v>
      </c>
      <c r="J839" s="15">
        <f>IFERROR(INDEX(Cost_Components!$K$2:$K$27,MATCH(E839,Cost_Components!$A$2:$A$27,0)),"")</f>
        <v>1</v>
      </c>
      <c r="K839" s="15">
        <f t="shared" si="130"/>
        <v>0.42307692307692307</v>
      </c>
      <c r="L839" s="15">
        <f>IFERROR(INDEX(Cost_Components!$S$2:$S$27,MATCH(E839,Cost_Components!$A$2:$A$27,0)),"")</f>
        <v>0.31</v>
      </c>
      <c r="M839" s="26">
        <f>IFERROR(INDEX(Cost_Components!$L$2:$L$27,MATCH(E839,Cost_Components!$A$2:$A$27,0)),"")</f>
        <v>1</v>
      </c>
      <c r="N839" s="27">
        <f>IFERROR(INDEX(Cost_Components!$P$2:$P$27,MATCH(E839,Cost_Components!$A$2:$A$27,0)),"")</f>
        <v>35.362648999999998</v>
      </c>
      <c r="O839" s="21">
        <f t="shared" si="131"/>
        <v>88135.857254460701</v>
      </c>
      <c r="P839" s="21">
        <f t="shared" si="132"/>
        <v>86672.837931488</v>
      </c>
      <c r="Q839" s="21">
        <f t="shared" si="133"/>
        <v>950144.15513757977</v>
      </c>
      <c r="R839" s="21">
        <f t="shared" si="134"/>
        <v>1318611.2010938295</v>
      </c>
      <c r="S839" s="21">
        <f t="shared" si="135"/>
        <v>368467.0459562497</v>
      </c>
      <c r="T839" s="14">
        <f>IFERROR(INDEX(Cost_Components!$R$2:$R$27,MATCH(E839,Cost_Components!$A$2:$A$27,0)),"")</f>
        <v>1</v>
      </c>
      <c r="U839" s="24">
        <f>IFERROR(INDEX(Cost_Components!$Q$2:$Q$27,MATCH(E839,Cost_Components!$A$2:$A$27,0)),"")</f>
        <v>2023</v>
      </c>
      <c r="V839" s="28">
        <f>1/(1+Calculation_Assumptions!$B$5)^(B839-Calculation_Assumptions!$B$2)</f>
        <v>0.86260878438416411</v>
      </c>
      <c r="W839" s="21">
        <f t="shared" si="136"/>
        <v>819602.69465294632</v>
      </c>
      <c r="X839" s="21">
        <f t="shared" si="137"/>
        <v>1137445.6052508908</v>
      </c>
      <c r="Y839" s="21">
        <f t="shared" si="138"/>
        <v>317842.91059794446</v>
      </c>
      <c r="Z839" s="15">
        <f>IFERROR(INDEX(Cost_Components!$T$2:$T$27,MATCH(E839,Cost_Components!$A$2:$A$27,0)),"")</f>
        <v>0.8</v>
      </c>
      <c r="AA839" s="24">
        <f>IFERROR(INDEX(Cost_Components!$U$2:$U$27,MATCH(E839,Cost_Components!$A$2:$A$27,0)),"")</f>
        <v>2025</v>
      </c>
      <c r="AB839" s="24">
        <f>IFERROR(INDEX(Cost_Components!$V$2:$V$27,MATCH(E839,Cost_Components!$A$2:$A$27,0)),"")</f>
        <v>2050</v>
      </c>
      <c r="AC839" s="24">
        <f>IFERROR(INDEX(Cost_Components!$M$2:$M$27,MATCH(E839,Cost_Components!$A$2:$A$27,0)),"")</f>
        <v>0</v>
      </c>
      <c r="AD839" s="24">
        <f>IFERROR(INDEX(Cost_Components!$N$2:$N$27,MATCH(E839,Cost_Components!$A$2:$A$27,0)),"")</f>
        <v>95</v>
      </c>
      <c r="AE839" s="14" t="str">
        <f>IFERROR(INDEX(Cost_Components!$O$2:$O$27,MATCH(E839,Cost_Components!$A$2:$A$27,0)),"")</f>
        <v>Both</v>
      </c>
      <c r="AF839" s="11">
        <v>88135.857254460701</v>
      </c>
      <c r="AG839" s="11">
        <v>86672.837931488</v>
      </c>
      <c r="AH839" s="21">
        <f t="shared" si="139"/>
        <v>1</v>
      </c>
    </row>
    <row r="840" spans="1:34" hidden="1">
      <c r="A840" t="s">
        <v>75</v>
      </c>
      <c r="B840" s="18">
        <v>2031</v>
      </c>
      <c r="C840" t="s">
        <v>197</v>
      </c>
      <c r="D840" t="s">
        <v>187</v>
      </c>
      <c r="E840" s="20" t="s">
        <v>272</v>
      </c>
      <c r="F840" s="20" t="s">
        <v>273</v>
      </c>
      <c r="G840" s="20" t="s">
        <v>198</v>
      </c>
      <c r="H840" s="20" t="s">
        <v>192</v>
      </c>
      <c r="I840" s="20" t="s">
        <v>264</v>
      </c>
      <c r="J840" s="15">
        <f>IFERROR(INDEX(Cost_Components!$K$2:$K$27,MATCH(E840,Cost_Components!$A$2:$A$27,0)),"")</f>
        <v>1</v>
      </c>
      <c r="K840" s="15">
        <f t="shared" si="130"/>
        <v>0.44192307692307692</v>
      </c>
      <c r="L840" s="15">
        <f>IFERROR(INDEX(Cost_Components!$S$2:$S$27,MATCH(E840,Cost_Components!$A$2:$A$27,0)),"")</f>
        <v>0.31</v>
      </c>
      <c r="M840" s="26">
        <f>IFERROR(INDEX(Cost_Components!$L$2:$L$27,MATCH(E840,Cost_Components!$A$2:$A$27,0)),"")</f>
        <v>1</v>
      </c>
      <c r="N840" s="27">
        <f>IFERROR(INDEX(Cost_Components!$P$2:$P$27,MATCH(E840,Cost_Components!$A$2:$A$27,0)),"")</f>
        <v>35.362648999999998</v>
      </c>
      <c r="O840" s="21">
        <f t="shared" si="131"/>
        <v>90155.673409573807</v>
      </c>
      <c r="P840" s="21">
        <f t="shared" si="132"/>
        <v>88261.326534887907</v>
      </c>
      <c r="Q840" s="21">
        <f t="shared" si="133"/>
        <v>967557.83626356442</v>
      </c>
      <c r="R840" s="21">
        <f t="shared" si="134"/>
        <v>1408914.1560878688</v>
      </c>
      <c r="S840" s="21">
        <f t="shared" si="135"/>
        <v>441356.31982430443</v>
      </c>
      <c r="T840" s="14">
        <f>IFERROR(INDEX(Cost_Components!$R$2:$R$27,MATCH(E840,Cost_Components!$A$2:$A$27,0)),"")</f>
        <v>1</v>
      </c>
      <c r="U840" s="24">
        <f>IFERROR(INDEX(Cost_Components!$Q$2:$Q$27,MATCH(E840,Cost_Components!$A$2:$A$27,0)),"")</f>
        <v>2023</v>
      </c>
      <c r="V840" s="28">
        <f>1/(1+Calculation_Assumptions!$B$5)^(B840-Calculation_Assumptions!$B$2)</f>
        <v>0.83748425668365445</v>
      </c>
      <c r="W840" s="21">
        <f t="shared" si="136"/>
        <v>810314.45530163625</v>
      </c>
      <c r="X840" s="21">
        <f t="shared" si="137"/>
        <v>1179943.4247423271</v>
      </c>
      <c r="Y840" s="21">
        <f t="shared" si="138"/>
        <v>369628.96944069088</v>
      </c>
      <c r="Z840" s="15">
        <f>IFERROR(INDEX(Cost_Components!$T$2:$T$27,MATCH(E840,Cost_Components!$A$2:$A$27,0)),"")</f>
        <v>0.8</v>
      </c>
      <c r="AA840" s="24">
        <f>IFERROR(INDEX(Cost_Components!$U$2:$U$27,MATCH(E840,Cost_Components!$A$2:$A$27,0)),"")</f>
        <v>2025</v>
      </c>
      <c r="AB840" s="24">
        <f>IFERROR(INDEX(Cost_Components!$V$2:$V$27,MATCH(E840,Cost_Components!$A$2:$A$27,0)),"")</f>
        <v>2050</v>
      </c>
      <c r="AC840" s="24">
        <f>IFERROR(INDEX(Cost_Components!$M$2:$M$27,MATCH(E840,Cost_Components!$A$2:$A$27,0)),"")</f>
        <v>0</v>
      </c>
      <c r="AD840" s="24">
        <f>IFERROR(INDEX(Cost_Components!$N$2:$N$27,MATCH(E840,Cost_Components!$A$2:$A$27,0)),"")</f>
        <v>95</v>
      </c>
      <c r="AE840" s="14" t="str">
        <f>IFERROR(INDEX(Cost_Components!$O$2:$O$27,MATCH(E840,Cost_Components!$A$2:$A$27,0)),"")</f>
        <v>Both</v>
      </c>
      <c r="AF840" s="11">
        <v>90155.673409573807</v>
      </c>
      <c r="AG840" s="11">
        <v>88261.326534887907</v>
      </c>
      <c r="AH840" s="21">
        <f t="shared" si="139"/>
        <v>1</v>
      </c>
    </row>
    <row r="841" spans="1:34" hidden="1">
      <c r="A841" t="s">
        <v>75</v>
      </c>
      <c r="B841" s="18">
        <v>2032</v>
      </c>
      <c r="C841" t="s">
        <v>197</v>
      </c>
      <c r="D841" t="s">
        <v>187</v>
      </c>
      <c r="E841" s="20" t="s">
        <v>272</v>
      </c>
      <c r="F841" s="20" t="s">
        <v>273</v>
      </c>
      <c r="G841" s="20" t="s">
        <v>198</v>
      </c>
      <c r="H841" s="20" t="s">
        <v>192</v>
      </c>
      <c r="I841" s="20" t="s">
        <v>264</v>
      </c>
      <c r="J841" s="15">
        <f>IFERROR(INDEX(Cost_Components!$K$2:$K$27,MATCH(E841,Cost_Components!$A$2:$A$27,0)),"")</f>
        <v>1</v>
      </c>
      <c r="K841" s="15">
        <f t="shared" si="130"/>
        <v>0.46076923076923082</v>
      </c>
      <c r="L841" s="15">
        <f>IFERROR(INDEX(Cost_Components!$S$2:$S$27,MATCH(E841,Cost_Components!$A$2:$A$27,0)),"")</f>
        <v>0.31</v>
      </c>
      <c r="M841" s="26">
        <f>IFERROR(INDEX(Cost_Components!$L$2:$L$27,MATCH(E841,Cost_Components!$A$2:$A$27,0)),"")</f>
        <v>1</v>
      </c>
      <c r="N841" s="27">
        <f>IFERROR(INDEX(Cost_Components!$P$2:$P$27,MATCH(E841,Cost_Components!$A$2:$A$27,0)),"")</f>
        <v>35.362648999999998</v>
      </c>
      <c r="O841" s="21">
        <f t="shared" si="131"/>
        <v>92196.427560205397</v>
      </c>
      <c r="P841" s="21">
        <f t="shared" si="132"/>
        <v>89824.839885340101</v>
      </c>
      <c r="Q841" s="21">
        <f t="shared" si="133"/>
        <v>984697.72814740939</v>
      </c>
      <c r="R841" s="21">
        <f t="shared" si="134"/>
        <v>1502250.4878557052</v>
      </c>
      <c r="S841" s="21">
        <f t="shared" si="135"/>
        <v>517552.75970829581</v>
      </c>
      <c r="T841" s="14">
        <f>IFERROR(INDEX(Cost_Components!$R$2:$R$27,MATCH(E841,Cost_Components!$A$2:$A$27,0)),"")</f>
        <v>1</v>
      </c>
      <c r="U841" s="24">
        <f>IFERROR(INDEX(Cost_Components!$Q$2:$Q$27,MATCH(E841,Cost_Components!$A$2:$A$27,0)),"")</f>
        <v>2023</v>
      </c>
      <c r="V841" s="28">
        <f>1/(1+Calculation_Assumptions!$B$5)^(B841-Calculation_Assumptions!$B$2)</f>
        <v>0.81309151134335378</v>
      </c>
      <c r="W841" s="21">
        <f t="shared" si="136"/>
        <v>800649.36399574403</v>
      </c>
      <c r="X841" s="21">
        <f t="shared" si="137"/>
        <v>1221467.1195868859</v>
      </c>
      <c r="Y841" s="21">
        <f t="shared" si="138"/>
        <v>420817.75559114187</v>
      </c>
      <c r="Z841" s="15">
        <f>IFERROR(INDEX(Cost_Components!$T$2:$T$27,MATCH(E841,Cost_Components!$A$2:$A$27,0)),"")</f>
        <v>0.8</v>
      </c>
      <c r="AA841" s="24">
        <f>IFERROR(INDEX(Cost_Components!$U$2:$U$27,MATCH(E841,Cost_Components!$A$2:$A$27,0)),"")</f>
        <v>2025</v>
      </c>
      <c r="AB841" s="24">
        <f>IFERROR(INDEX(Cost_Components!$V$2:$V$27,MATCH(E841,Cost_Components!$A$2:$A$27,0)),"")</f>
        <v>2050</v>
      </c>
      <c r="AC841" s="24">
        <f>IFERROR(INDEX(Cost_Components!$M$2:$M$27,MATCH(E841,Cost_Components!$A$2:$A$27,0)),"")</f>
        <v>0</v>
      </c>
      <c r="AD841" s="24">
        <f>IFERROR(INDEX(Cost_Components!$N$2:$N$27,MATCH(E841,Cost_Components!$A$2:$A$27,0)),"")</f>
        <v>95</v>
      </c>
      <c r="AE841" s="14" t="str">
        <f>IFERROR(INDEX(Cost_Components!$O$2:$O$27,MATCH(E841,Cost_Components!$A$2:$A$27,0)),"")</f>
        <v>Both</v>
      </c>
      <c r="AF841" s="11">
        <v>92196.427560205397</v>
      </c>
      <c r="AG841" s="11">
        <v>89824.839885340101</v>
      </c>
      <c r="AH841" s="21">
        <f t="shared" si="139"/>
        <v>1</v>
      </c>
    </row>
    <row r="842" spans="1:34" hidden="1">
      <c r="A842" t="s">
        <v>75</v>
      </c>
      <c r="B842" s="18">
        <v>2033</v>
      </c>
      <c r="C842" t="s">
        <v>197</v>
      </c>
      <c r="D842" t="s">
        <v>187</v>
      </c>
      <c r="E842" s="20" t="s">
        <v>272</v>
      </c>
      <c r="F842" s="20" t="s">
        <v>273</v>
      </c>
      <c r="G842" s="20" t="s">
        <v>198</v>
      </c>
      <c r="H842" s="20" t="s">
        <v>192</v>
      </c>
      <c r="I842" s="20" t="s">
        <v>264</v>
      </c>
      <c r="J842" s="15">
        <f>IFERROR(INDEX(Cost_Components!$K$2:$K$27,MATCH(E842,Cost_Components!$A$2:$A$27,0)),"")</f>
        <v>1</v>
      </c>
      <c r="K842" s="15">
        <f t="shared" si="130"/>
        <v>0.47961538461538467</v>
      </c>
      <c r="L842" s="15">
        <f>IFERROR(INDEX(Cost_Components!$S$2:$S$27,MATCH(E842,Cost_Components!$A$2:$A$27,0)),"")</f>
        <v>0.31</v>
      </c>
      <c r="M842" s="26">
        <f>IFERROR(INDEX(Cost_Components!$L$2:$L$27,MATCH(E842,Cost_Components!$A$2:$A$27,0)),"")</f>
        <v>1</v>
      </c>
      <c r="N842" s="27">
        <f>IFERROR(INDEX(Cost_Components!$P$2:$P$27,MATCH(E842,Cost_Components!$A$2:$A$27,0)),"")</f>
        <v>35.362648999999998</v>
      </c>
      <c r="O842" s="21">
        <f t="shared" si="131"/>
        <v>94266.706555511206</v>
      </c>
      <c r="P842" s="21">
        <f t="shared" si="132"/>
        <v>91373.697993231603</v>
      </c>
      <c r="Q842" s="21">
        <f t="shared" si="133"/>
        <v>1001676.9630896626</v>
      </c>
      <c r="R842" s="21">
        <f t="shared" si="134"/>
        <v>1598807.6957756737</v>
      </c>
      <c r="S842" s="21">
        <f t="shared" si="135"/>
        <v>597130.73268601112</v>
      </c>
      <c r="T842" s="14">
        <f>IFERROR(INDEX(Cost_Components!$R$2:$R$27,MATCH(E842,Cost_Components!$A$2:$A$27,0)),"")</f>
        <v>1</v>
      </c>
      <c r="U842" s="24">
        <f>IFERROR(INDEX(Cost_Components!$Q$2:$Q$27,MATCH(E842,Cost_Components!$A$2:$A$27,0)),"")</f>
        <v>2023</v>
      </c>
      <c r="V842" s="28">
        <f>1/(1+Calculation_Assumptions!$B$5)^(B842-Calculation_Assumptions!$B$2)</f>
        <v>0.78940923431393573</v>
      </c>
      <c r="W842" s="21">
        <f t="shared" si="136"/>
        <v>790733.044462519</v>
      </c>
      <c r="X842" s="21">
        <f t="shared" si="137"/>
        <v>1262113.5589375026</v>
      </c>
      <c r="Y842" s="21">
        <f t="shared" si="138"/>
        <v>471380.51447498344</v>
      </c>
      <c r="Z842" s="15">
        <f>IFERROR(INDEX(Cost_Components!$T$2:$T$27,MATCH(E842,Cost_Components!$A$2:$A$27,0)),"")</f>
        <v>0.8</v>
      </c>
      <c r="AA842" s="24">
        <f>IFERROR(INDEX(Cost_Components!$U$2:$U$27,MATCH(E842,Cost_Components!$A$2:$A$27,0)),"")</f>
        <v>2025</v>
      </c>
      <c r="AB842" s="24">
        <f>IFERROR(INDEX(Cost_Components!$V$2:$V$27,MATCH(E842,Cost_Components!$A$2:$A$27,0)),"")</f>
        <v>2050</v>
      </c>
      <c r="AC842" s="24">
        <f>IFERROR(INDEX(Cost_Components!$M$2:$M$27,MATCH(E842,Cost_Components!$A$2:$A$27,0)),"")</f>
        <v>0</v>
      </c>
      <c r="AD842" s="24">
        <f>IFERROR(INDEX(Cost_Components!$N$2:$N$27,MATCH(E842,Cost_Components!$A$2:$A$27,0)),"")</f>
        <v>95</v>
      </c>
      <c r="AE842" s="14" t="str">
        <f>IFERROR(INDEX(Cost_Components!$O$2:$O$27,MATCH(E842,Cost_Components!$A$2:$A$27,0)),"")</f>
        <v>Both</v>
      </c>
      <c r="AF842" s="11">
        <v>94266.706555511206</v>
      </c>
      <c r="AG842" s="11">
        <v>91373.697993231603</v>
      </c>
      <c r="AH842" s="21">
        <f t="shared" si="139"/>
        <v>1</v>
      </c>
    </row>
    <row r="843" spans="1:34" hidden="1">
      <c r="A843" t="s">
        <v>75</v>
      </c>
      <c r="B843" s="18">
        <v>2034</v>
      </c>
      <c r="C843" t="s">
        <v>197</v>
      </c>
      <c r="D843" t="s">
        <v>187</v>
      </c>
      <c r="E843" s="20" t="s">
        <v>272</v>
      </c>
      <c r="F843" s="20" t="s">
        <v>273</v>
      </c>
      <c r="G843" s="20" t="s">
        <v>198</v>
      </c>
      <c r="H843" s="20" t="s">
        <v>192</v>
      </c>
      <c r="I843" s="20" t="s">
        <v>264</v>
      </c>
      <c r="J843" s="15">
        <f>IFERROR(INDEX(Cost_Components!$K$2:$K$27,MATCH(E843,Cost_Components!$A$2:$A$27,0)),"")</f>
        <v>1</v>
      </c>
      <c r="K843" s="15">
        <f t="shared" si="130"/>
        <v>0.49846153846153851</v>
      </c>
      <c r="L843" s="15">
        <f>IFERROR(INDEX(Cost_Components!$S$2:$S$27,MATCH(E843,Cost_Components!$A$2:$A$27,0)),"")</f>
        <v>0.31</v>
      </c>
      <c r="M843" s="26">
        <f>IFERROR(INDEX(Cost_Components!$L$2:$L$27,MATCH(E843,Cost_Components!$A$2:$A$27,0)),"")</f>
        <v>1</v>
      </c>
      <c r="N843" s="27">
        <f>IFERROR(INDEX(Cost_Components!$P$2:$P$27,MATCH(E843,Cost_Components!$A$2:$A$27,0)),"")</f>
        <v>35.362648999999998</v>
      </c>
      <c r="O843" s="21">
        <f t="shared" si="131"/>
        <v>96371.579146808304</v>
      </c>
      <c r="P843" s="21">
        <f t="shared" si="132"/>
        <v>92913.992066664694</v>
      </c>
      <c r="Q843" s="21">
        <f t="shared" si="133"/>
        <v>1018562.315479097</v>
      </c>
      <c r="R843" s="21">
        <f t="shared" si="134"/>
        <v>1698734.1568153135</v>
      </c>
      <c r="S843" s="21">
        <f t="shared" si="135"/>
        <v>680171.84133621654</v>
      </c>
      <c r="T843" s="14">
        <f>IFERROR(INDEX(Cost_Components!$R$2:$R$27,MATCH(E843,Cost_Components!$A$2:$A$27,0)),"")</f>
        <v>1</v>
      </c>
      <c r="U843" s="24">
        <f>IFERROR(INDEX(Cost_Components!$Q$2:$Q$27,MATCH(E843,Cost_Components!$A$2:$A$27,0)),"")</f>
        <v>2023</v>
      </c>
      <c r="V843" s="28">
        <f>1/(1+Calculation_Assumptions!$B$5)^(B843-Calculation_Assumptions!$B$2)</f>
        <v>0.76641673234362695</v>
      </c>
      <c r="W843" s="21">
        <f t="shared" si="136"/>
        <v>780643.20151784795</v>
      </c>
      <c r="X843" s="21">
        <f t="shared" si="137"/>
        <v>1301938.281586899</v>
      </c>
      <c r="Y843" s="21">
        <f t="shared" si="138"/>
        <v>521295.08006905095</v>
      </c>
      <c r="Z843" s="15">
        <f>IFERROR(INDEX(Cost_Components!$T$2:$T$27,MATCH(E843,Cost_Components!$A$2:$A$27,0)),"")</f>
        <v>0.8</v>
      </c>
      <c r="AA843" s="24">
        <f>IFERROR(INDEX(Cost_Components!$U$2:$U$27,MATCH(E843,Cost_Components!$A$2:$A$27,0)),"")</f>
        <v>2025</v>
      </c>
      <c r="AB843" s="24">
        <f>IFERROR(INDEX(Cost_Components!$V$2:$V$27,MATCH(E843,Cost_Components!$A$2:$A$27,0)),"")</f>
        <v>2050</v>
      </c>
      <c r="AC843" s="24">
        <f>IFERROR(INDEX(Cost_Components!$M$2:$M$27,MATCH(E843,Cost_Components!$A$2:$A$27,0)),"")</f>
        <v>0</v>
      </c>
      <c r="AD843" s="24">
        <f>IFERROR(INDEX(Cost_Components!$N$2:$N$27,MATCH(E843,Cost_Components!$A$2:$A$27,0)),"")</f>
        <v>95</v>
      </c>
      <c r="AE843" s="14" t="str">
        <f>IFERROR(INDEX(Cost_Components!$O$2:$O$27,MATCH(E843,Cost_Components!$A$2:$A$27,0)),"")</f>
        <v>Both</v>
      </c>
      <c r="AF843" s="11">
        <v>96371.579146808304</v>
      </c>
      <c r="AG843" s="11">
        <v>92913.992066664694</v>
      </c>
      <c r="AH843" s="21">
        <f t="shared" si="139"/>
        <v>1</v>
      </c>
    </row>
    <row r="844" spans="1:34" hidden="1">
      <c r="A844" t="s">
        <v>75</v>
      </c>
      <c r="B844" s="18">
        <v>2035</v>
      </c>
      <c r="C844" t="s">
        <v>197</v>
      </c>
      <c r="D844" t="s">
        <v>187</v>
      </c>
      <c r="E844" s="20" t="s">
        <v>272</v>
      </c>
      <c r="F844" s="20" t="s">
        <v>273</v>
      </c>
      <c r="G844" s="20" t="s">
        <v>198</v>
      </c>
      <c r="H844" s="20" t="s">
        <v>192</v>
      </c>
      <c r="I844" s="20" t="s">
        <v>264</v>
      </c>
      <c r="J844" s="15">
        <f>IFERROR(INDEX(Cost_Components!$K$2:$K$27,MATCH(E844,Cost_Components!$A$2:$A$27,0)),"")</f>
        <v>1</v>
      </c>
      <c r="K844" s="15">
        <f t="shared" si="130"/>
        <v>0.51730769230769236</v>
      </c>
      <c r="L844" s="15">
        <f>IFERROR(INDEX(Cost_Components!$S$2:$S$27,MATCH(E844,Cost_Components!$A$2:$A$27,0)),"")</f>
        <v>0.31</v>
      </c>
      <c r="M844" s="26">
        <f>IFERROR(INDEX(Cost_Components!$L$2:$L$27,MATCH(E844,Cost_Components!$A$2:$A$27,0)),"")</f>
        <v>1</v>
      </c>
      <c r="N844" s="27">
        <f>IFERROR(INDEX(Cost_Components!$P$2:$P$27,MATCH(E844,Cost_Components!$A$2:$A$27,0)),"")</f>
        <v>35.362648999999998</v>
      </c>
      <c r="O844" s="21">
        <f t="shared" si="131"/>
        <v>98517.646447849795</v>
      </c>
      <c r="P844" s="21">
        <f t="shared" si="132"/>
        <v>94452.800261580502</v>
      </c>
      <c r="Q844" s="21">
        <f t="shared" si="133"/>
        <v>1035431.3790423876</v>
      </c>
      <c r="R844" s="21">
        <f t="shared" si="134"/>
        <v>1802219.7922914212</v>
      </c>
      <c r="S844" s="21">
        <f t="shared" si="135"/>
        <v>766788.41324903362</v>
      </c>
      <c r="T844" s="14">
        <f>IFERROR(INDEX(Cost_Components!$R$2:$R$27,MATCH(E844,Cost_Components!$A$2:$A$27,0)),"")</f>
        <v>1</v>
      </c>
      <c r="U844" s="24">
        <f>IFERROR(INDEX(Cost_Components!$Q$2:$Q$27,MATCH(E844,Cost_Components!$A$2:$A$27,0)),"")</f>
        <v>2023</v>
      </c>
      <c r="V844" s="28">
        <f>1/(1+Calculation_Assumptions!$B$5)^(B844-Calculation_Assumptions!$B$2)</f>
        <v>0.74409391489672516</v>
      </c>
      <c r="W844" s="21">
        <f t="shared" si="136"/>
        <v>770458.18843856512</v>
      </c>
      <c r="X844" s="21">
        <f t="shared" si="137"/>
        <v>1341020.7807504865</v>
      </c>
      <c r="Y844" s="21">
        <f t="shared" si="138"/>
        <v>570562.5923119213</v>
      </c>
      <c r="Z844" s="15">
        <f>IFERROR(INDEX(Cost_Components!$T$2:$T$27,MATCH(E844,Cost_Components!$A$2:$A$27,0)),"")</f>
        <v>0.8</v>
      </c>
      <c r="AA844" s="24">
        <f>IFERROR(INDEX(Cost_Components!$U$2:$U$27,MATCH(E844,Cost_Components!$A$2:$A$27,0)),"")</f>
        <v>2025</v>
      </c>
      <c r="AB844" s="24">
        <f>IFERROR(INDEX(Cost_Components!$V$2:$V$27,MATCH(E844,Cost_Components!$A$2:$A$27,0)),"")</f>
        <v>2050</v>
      </c>
      <c r="AC844" s="24">
        <f>IFERROR(INDEX(Cost_Components!$M$2:$M$27,MATCH(E844,Cost_Components!$A$2:$A$27,0)),"")</f>
        <v>0</v>
      </c>
      <c r="AD844" s="24">
        <f>IFERROR(INDEX(Cost_Components!$N$2:$N$27,MATCH(E844,Cost_Components!$A$2:$A$27,0)),"")</f>
        <v>95</v>
      </c>
      <c r="AE844" s="14" t="str">
        <f>IFERROR(INDEX(Cost_Components!$O$2:$O$27,MATCH(E844,Cost_Components!$A$2:$A$27,0)),"")</f>
        <v>Both</v>
      </c>
      <c r="AF844" s="11">
        <v>98517.646447849795</v>
      </c>
      <c r="AG844" s="11">
        <v>94452.800261580502</v>
      </c>
      <c r="AH844" s="21">
        <f t="shared" si="139"/>
        <v>1</v>
      </c>
    </row>
    <row r="845" spans="1:34" hidden="1">
      <c r="A845" t="s">
        <v>75</v>
      </c>
      <c r="B845" s="18">
        <v>2036</v>
      </c>
      <c r="C845" t="s">
        <v>197</v>
      </c>
      <c r="D845" t="s">
        <v>187</v>
      </c>
      <c r="E845" s="20" t="s">
        <v>272</v>
      </c>
      <c r="F845" s="20" t="s">
        <v>273</v>
      </c>
      <c r="G845" s="20" t="s">
        <v>198</v>
      </c>
      <c r="H845" s="20" t="s">
        <v>192</v>
      </c>
      <c r="I845" s="20" t="s">
        <v>264</v>
      </c>
      <c r="J845" s="15">
        <f>IFERROR(INDEX(Cost_Components!$K$2:$K$27,MATCH(E845,Cost_Components!$A$2:$A$27,0)),"")</f>
        <v>1</v>
      </c>
      <c r="K845" s="15">
        <f t="shared" si="130"/>
        <v>0.5361538461538462</v>
      </c>
      <c r="L845" s="15">
        <f>IFERROR(INDEX(Cost_Components!$S$2:$S$27,MATCH(E845,Cost_Components!$A$2:$A$27,0)),"")</f>
        <v>0.31</v>
      </c>
      <c r="M845" s="26">
        <f>IFERROR(INDEX(Cost_Components!$L$2:$L$27,MATCH(E845,Cost_Components!$A$2:$A$27,0)),"")</f>
        <v>1</v>
      </c>
      <c r="N845" s="27">
        <f>IFERROR(INDEX(Cost_Components!$P$2:$P$27,MATCH(E845,Cost_Components!$A$2:$A$27,0)),"")</f>
        <v>35.362648999999998</v>
      </c>
      <c r="O845" s="21">
        <f t="shared" si="131"/>
        <v>100712.680567822</v>
      </c>
      <c r="P845" s="21">
        <f t="shared" si="132"/>
        <v>95997.909569691896</v>
      </c>
      <c r="Q845" s="21">
        <f t="shared" si="133"/>
        <v>1052369.5180624942</v>
      </c>
      <c r="R845" s="21">
        <f t="shared" si="134"/>
        <v>1909494.3226307693</v>
      </c>
      <c r="S845" s="21">
        <f t="shared" si="135"/>
        <v>857124.80456827511</v>
      </c>
      <c r="T845" s="14">
        <f>IFERROR(INDEX(Cost_Components!$R$2:$R$27,MATCH(E845,Cost_Components!$A$2:$A$27,0)),"")</f>
        <v>1</v>
      </c>
      <c r="U845" s="24">
        <f>IFERROR(INDEX(Cost_Components!$Q$2:$Q$27,MATCH(E845,Cost_Components!$A$2:$A$27,0)),"")</f>
        <v>2023</v>
      </c>
      <c r="V845" s="28">
        <f>1/(1+Calculation_Assumptions!$B$5)^(B845-Calculation_Assumptions!$B$2)</f>
        <v>0.72242127659876232</v>
      </c>
      <c r="W845" s="21">
        <f t="shared" si="136"/>
        <v>760254.13069233135</v>
      </c>
      <c r="X845" s="21">
        <f t="shared" si="137"/>
        <v>1379459.3262130094</v>
      </c>
      <c r="Y845" s="21">
        <f t="shared" si="138"/>
        <v>619205.19552067795</v>
      </c>
      <c r="Z845" s="15">
        <f>IFERROR(INDEX(Cost_Components!$T$2:$T$27,MATCH(E845,Cost_Components!$A$2:$A$27,0)),"")</f>
        <v>0.8</v>
      </c>
      <c r="AA845" s="24">
        <f>IFERROR(INDEX(Cost_Components!$U$2:$U$27,MATCH(E845,Cost_Components!$A$2:$A$27,0)),"")</f>
        <v>2025</v>
      </c>
      <c r="AB845" s="24">
        <f>IFERROR(INDEX(Cost_Components!$V$2:$V$27,MATCH(E845,Cost_Components!$A$2:$A$27,0)),"")</f>
        <v>2050</v>
      </c>
      <c r="AC845" s="24">
        <f>IFERROR(INDEX(Cost_Components!$M$2:$M$27,MATCH(E845,Cost_Components!$A$2:$A$27,0)),"")</f>
        <v>0</v>
      </c>
      <c r="AD845" s="24">
        <f>IFERROR(INDEX(Cost_Components!$N$2:$N$27,MATCH(E845,Cost_Components!$A$2:$A$27,0)),"")</f>
        <v>95</v>
      </c>
      <c r="AE845" s="14" t="str">
        <f>IFERROR(INDEX(Cost_Components!$O$2:$O$27,MATCH(E845,Cost_Components!$A$2:$A$27,0)),"")</f>
        <v>Both</v>
      </c>
      <c r="AF845" s="11">
        <v>100712.680567822</v>
      </c>
      <c r="AG845" s="11">
        <v>95997.909569691896</v>
      </c>
      <c r="AH845" s="21">
        <f t="shared" si="139"/>
        <v>1</v>
      </c>
    </row>
    <row r="846" spans="1:34" hidden="1">
      <c r="A846" t="s">
        <v>75</v>
      </c>
      <c r="B846" s="18">
        <v>2037</v>
      </c>
      <c r="C846" t="s">
        <v>197</v>
      </c>
      <c r="D846" t="s">
        <v>187</v>
      </c>
      <c r="E846" s="20" t="s">
        <v>272</v>
      </c>
      <c r="F846" s="20" t="s">
        <v>273</v>
      </c>
      <c r="G846" s="20" t="s">
        <v>198</v>
      </c>
      <c r="H846" s="20" t="s">
        <v>192</v>
      </c>
      <c r="I846" s="20" t="s">
        <v>264</v>
      </c>
      <c r="J846" s="15">
        <f>IFERROR(INDEX(Cost_Components!$K$2:$K$27,MATCH(E846,Cost_Components!$A$2:$A$27,0)),"")</f>
        <v>1</v>
      </c>
      <c r="K846" s="15">
        <f t="shared" si="130"/>
        <v>0.55500000000000005</v>
      </c>
      <c r="L846" s="15">
        <f>IFERROR(INDEX(Cost_Components!$S$2:$S$27,MATCH(E846,Cost_Components!$A$2:$A$27,0)),"")</f>
        <v>0.31</v>
      </c>
      <c r="M846" s="26">
        <f>IFERROR(INDEX(Cost_Components!$L$2:$L$27,MATCH(E846,Cost_Components!$A$2:$A$27,0)),"")</f>
        <v>1</v>
      </c>
      <c r="N846" s="27">
        <f>IFERROR(INDEX(Cost_Components!$P$2:$P$27,MATCH(E846,Cost_Components!$A$2:$A$27,0)),"")</f>
        <v>35.362648999999998</v>
      </c>
      <c r="O846" s="21">
        <f t="shared" si="131"/>
        <v>102965.09161817101</v>
      </c>
      <c r="P846" s="21">
        <f t="shared" si="132"/>
        <v>97557.195739179399</v>
      </c>
      <c r="Q846" s="21">
        <f t="shared" si="133"/>
        <v>1069463.0698081579</v>
      </c>
      <c r="R846" s="21">
        <f t="shared" si="134"/>
        <v>2020820.7087511539</v>
      </c>
      <c r="S846" s="21">
        <f t="shared" si="135"/>
        <v>951357.63894299604</v>
      </c>
      <c r="T846" s="14">
        <f>IFERROR(INDEX(Cost_Components!$R$2:$R$27,MATCH(E846,Cost_Components!$A$2:$A$27,0)),"")</f>
        <v>1</v>
      </c>
      <c r="U846" s="24">
        <f>IFERROR(INDEX(Cost_Components!$Q$2:$Q$27,MATCH(E846,Cost_Components!$A$2:$A$27,0)),"")</f>
        <v>2023</v>
      </c>
      <c r="V846" s="28">
        <f>1/(1+Calculation_Assumptions!$B$5)^(B846-Calculation_Assumptions!$B$2)</f>
        <v>0.70137988019297326</v>
      </c>
      <c r="W846" s="21">
        <f t="shared" si="136"/>
        <v>750099.8797728552</v>
      </c>
      <c r="X846" s="21">
        <f t="shared" si="137"/>
        <v>1417362.9865953636</v>
      </c>
      <c r="Y846" s="21">
        <f t="shared" si="138"/>
        <v>667263.1068225085</v>
      </c>
      <c r="Z846" s="15">
        <f>IFERROR(INDEX(Cost_Components!$T$2:$T$27,MATCH(E846,Cost_Components!$A$2:$A$27,0)),"")</f>
        <v>0.8</v>
      </c>
      <c r="AA846" s="24">
        <f>IFERROR(INDEX(Cost_Components!$U$2:$U$27,MATCH(E846,Cost_Components!$A$2:$A$27,0)),"")</f>
        <v>2025</v>
      </c>
      <c r="AB846" s="24">
        <f>IFERROR(INDEX(Cost_Components!$V$2:$V$27,MATCH(E846,Cost_Components!$A$2:$A$27,0)),"")</f>
        <v>2050</v>
      </c>
      <c r="AC846" s="24">
        <f>IFERROR(INDEX(Cost_Components!$M$2:$M$27,MATCH(E846,Cost_Components!$A$2:$A$27,0)),"")</f>
        <v>0</v>
      </c>
      <c r="AD846" s="24">
        <f>IFERROR(INDEX(Cost_Components!$N$2:$N$27,MATCH(E846,Cost_Components!$A$2:$A$27,0)),"")</f>
        <v>95</v>
      </c>
      <c r="AE846" s="14" t="str">
        <f>IFERROR(INDEX(Cost_Components!$O$2:$O$27,MATCH(E846,Cost_Components!$A$2:$A$27,0)),"")</f>
        <v>Both</v>
      </c>
      <c r="AF846" s="11">
        <v>102965.09161817101</v>
      </c>
      <c r="AG846" s="11">
        <v>97557.195739179399</v>
      </c>
      <c r="AH846" s="21">
        <f t="shared" si="139"/>
        <v>1</v>
      </c>
    </row>
    <row r="847" spans="1:34" hidden="1">
      <c r="A847" t="s">
        <v>75</v>
      </c>
      <c r="B847" s="18">
        <v>2038</v>
      </c>
      <c r="C847" t="s">
        <v>197</v>
      </c>
      <c r="D847" t="s">
        <v>187</v>
      </c>
      <c r="E847" s="20" t="s">
        <v>272</v>
      </c>
      <c r="F847" s="20" t="s">
        <v>273</v>
      </c>
      <c r="G847" s="20" t="s">
        <v>198</v>
      </c>
      <c r="H847" s="20" t="s">
        <v>192</v>
      </c>
      <c r="I847" s="20" t="s">
        <v>264</v>
      </c>
      <c r="J847" s="15">
        <f>IFERROR(INDEX(Cost_Components!$K$2:$K$27,MATCH(E847,Cost_Components!$A$2:$A$27,0)),"")</f>
        <v>1</v>
      </c>
      <c r="K847" s="15">
        <f t="shared" si="130"/>
        <v>0.57384615384615389</v>
      </c>
      <c r="L847" s="15">
        <f>IFERROR(INDEX(Cost_Components!$S$2:$S$27,MATCH(E847,Cost_Components!$A$2:$A$27,0)),"")</f>
        <v>0.31</v>
      </c>
      <c r="M847" s="26">
        <f>IFERROR(INDEX(Cost_Components!$L$2:$L$27,MATCH(E847,Cost_Components!$A$2:$A$27,0)),"")</f>
        <v>1</v>
      </c>
      <c r="N847" s="27">
        <f>IFERROR(INDEX(Cost_Components!$P$2:$P$27,MATCH(E847,Cost_Components!$A$2:$A$27,0)),"")</f>
        <v>35.362648999999998</v>
      </c>
      <c r="O847" s="21">
        <f t="shared" si="131"/>
        <v>105279.935626399</v>
      </c>
      <c r="P847" s="21">
        <f t="shared" si="132"/>
        <v>99135.037182664295</v>
      </c>
      <c r="Q847" s="21">
        <f t="shared" si="133"/>
        <v>1086760.0322826768</v>
      </c>
      <c r="R847" s="21">
        <f t="shared" si="134"/>
        <v>2136416.2677561627</v>
      </c>
      <c r="S847" s="21">
        <f t="shared" si="135"/>
        <v>1049656.2354734859</v>
      </c>
      <c r="T847" s="14">
        <f>IFERROR(INDEX(Cost_Components!$R$2:$R$27,MATCH(E847,Cost_Components!$A$2:$A$27,0)),"")</f>
        <v>1</v>
      </c>
      <c r="U847" s="24">
        <f>IFERROR(INDEX(Cost_Components!$Q$2:$Q$27,MATCH(E847,Cost_Components!$A$2:$A$27,0)),"")</f>
        <v>2023</v>
      </c>
      <c r="V847" s="28">
        <f>1/(1+Calculation_Assumptions!$B$5)^(B847-Calculation_Assumptions!$B$2)</f>
        <v>0.68095133999317792</v>
      </c>
      <c r="W847" s="21">
        <f t="shared" si="136"/>
        <v>740030.70023391803</v>
      </c>
      <c r="X847" s="21">
        <f t="shared" si="137"/>
        <v>1454795.5203117831</v>
      </c>
      <c r="Y847" s="21">
        <f t="shared" si="138"/>
        <v>714764.82007786492</v>
      </c>
      <c r="Z847" s="15">
        <f>IFERROR(INDEX(Cost_Components!$T$2:$T$27,MATCH(E847,Cost_Components!$A$2:$A$27,0)),"")</f>
        <v>0.8</v>
      </c>
      <c r="AA847" s="24">
        <f>IFERROR(INDEX(Cost_Components!$U$2:$U$27,MATCH(E847,Cost_Components!$A$2:$A$27,0)),"")</f>
        <v>2025</v>
      </c>
      <c r="AB847" s="24">
        <f>IFERROR(INDEX(Cost_Components!$V$2:$V$27,MATCH(E847,Cost_Components!$A$2:$A$27,0)),"")</f>
        <v>2050</v>
      </c>
      <c r="AC847" s="24">
        <f>IFERROR(INDEX(Cost_Components!$M$2:$M$27,MATCH(E847,Cost_Components!$A$2:$A$27,0)),"")</f>
        <v>0</v>
      </c>
      <c r="AD847" s="24">
        <f>IFERROR(INDEX(Cost_Components!$N$2:$N$27,MATCH(E847,Cost_Components!$A$2:$A$27,0)),"")</f>
        <v>95</v>
      </c>
      <c r="AE847" s="14" t="str">
        <f>IFERROR(INDEX(Cost_Components!$O$2:$O$27,MATCH(E847,Cost_Components!$A$2:$A$27,0)),"")</f>
        <v>Both</v>
      </c>
      <c r="AF847" s="11">
        <v>105279.935626399</v>
      </c>
      <c r="AG847" s="11">
        <v>99135.037182664295</v>
      </c>
      <c r="AH847" s="21">
        <f t="shared" si="139"/>
        <v>1</v>
      </c>
    </row>
    <row r="848" spans="1:34" hidden="1">
      <c r="A848" t="s">
        <v>75</v>
      </c>
      <c r="B848" s="18">
        <v>2039</v>
      </c>
      <c r="C848" t="s">
        <v>197</v>
      </c>
      <c r="D848" t="s">
        <v>187</v>
      </c>
      <c r="E848" s="20" t="s">
        <v>272</v>
      </c>
      <c r="F848" s="20" t="s">
        <v>273</v>
      </c>
      <c r="G848" s="20" t="s">
        <v>198</v>
      </c>
      <c r="H848" s="20" t="s">
        <v>192</v>
      </c>
      <c r="I848" s="20" t="s">
        <v>264</v>
      </c>
      <c r="J848" s="15">
        <f>IFERROR(INDEX(Cost_Components!$K$2:$K$27,MATCH(E848,Cost_Components!$A$2:$A$27,0)),"")</f>
        <v>1</v>
      </c>
      <c r="K848" s="15">
        <f t="shared" si="130"/>
        <v>0.59269230769230763</v>
      </c>
      <c r="L848" s="15">
        <f>IFERROR(INDEX(Cost_Components!$S$2:$S$27,MATCH(E848,Cost_Components!$A$2:$A$27,0)),"")</f>
        <v>0.31</v>
      </c>
      <c r="M848" s="26">
        <f>IFERROR(INDEX(Cost_Components!$L$2:$L$27,MATCH(E848,Cost_Components!$A$2:$A$27,0)),"")</f>
        <v>1</v>
      </c>
      <c r="N848" s="27">
        <f>IFERROR(INDEX(Cost_Components!$P$2:$P$27,MATCH(E848,Cost_Components!$A$2:$A$27,0)),"")</f>
        <v>35.362648999999998</v>
      </c>
      <c r="O848" s="21">
        <f t="shared" si="131"/>
        <v>107668.603400243</v>
      </c>
      <c r="P848" s="21">
        <f t="shared" si="132"/>
        <v>100742.027695759</v>
      </c>
      <c r="Q848" s="21">
        <f t="shared" si="133"/>
        <v>1104376.5391355553</v>
      </c>
      <c r="R848" s="21">
        <f t="shared" si="134"/>
        <v>2256644.5668420698</v>
      </c>
      <c r="S848" s="21">
        <f t="shared" si="135"/>
        <v>1152268.0277065146</v>
      </c>
      <c r="T848" s="14">
        <f>IFERROR(INDEX(Cost_Components!$R$2:$R$27,MATCH(E848,Cost_Components!$A$2:$A$27,0)),"")</f>
        <v>1</v>
      </c>
      <c r="U848" s="24">
        <f>IFERROR(INDEX(Cost_Components!$Q$2:$Q$27,MATCH(E848,Cost_Components!$A$2:$A$27,0)),"")</f>
        <v>2023</v>
      </c>
      <c r="V848" s="28">
        <f>1/(1+Calculation_Assumptions!$B$5)^(B848-Calculation_Assumptions!$B$2)</f>
        <v>0.66111780581861923</v>
      </c>
      <c r="W848" s="21">
        <f t="shared" si="136"/>
        <v>730122.99435085873</v>
      </c>
      <c r="X848" s="21">
        <f t="shared" si="137"/>
        <v>1491907.9045431376</v>
      </c>
      <c r="Y848" s="21">
        <f t="shared" si="138"/>
        <v>761784.91019227891</v>
      </c>
      <c r="Z848" s="15">
        <f>IFERROR(INDEX(Cost_Components!$T$2:$T$27,MATCH(E848,Cost_Components!$A$2:$A$27,0)),"")</f>
        <v>0.8</v>
      </c>
      <c r="AA848" s="24">
        <f>IFERROR(INDEX(Cost_Components!$U$2:$U$27,MATCH(E848,Cost_Components!$A$2:$A$27,0)),"")</f>
        <v>2025</v>
      </c>
      <c r="AB848" s="24">
        <f>IFERROR(INDEX(Cost_Components!$V$2:$V$27,MATCH(E848,Cost_Components!$A$2:$A$27,0)),"")</f>
        <v>2050</v>
      </c>
      <c r="AC848" s="24">
        <f>IFERROR(INDEX(Cost_Components!$M$2:$M$27,MATCH(E848,Cost_Components!$A$2:$A$27,0)),"")</f>
        <v>0</v>
      </c>
      <c r="AD848" s="24">
        <f>IFERROR(INDEX(Cost_Components!$N$2:$N$27,MATCH(E848,Cost_Components!$A$2:$A$27,0)),"")</f>
        <v>95</v>
      </c>
      <c r="AE848" s="14" t="str">
        <f>IFERROR(INDEX(Cost_Components!$O$2:$O$27,MATCH(E848,Cost_Components!$A$2:$A$27,0)),"")</f>
        <v>Both</v>
      </c>
      <c r="AF848" s="11">
        <v>107668.603400243</v>
      </c>
      <c r="AG848" s="11">
        <v>100742.027695759</v>
      </c>
      <c r="AH848" s="21">
        <f t="shared" si="139"/>
        <v>1</v>
      </c>
    </row>
    <row r="849" spans="1:34" hidden="1">
      <c r="A849" t="s">
        <v>75</v>
      </c>
      <c r="B849" s="18">
        <v>2040</v>
      </c>
      <c r="C849" t="s">
        <v>197</v>
      </c>
      <c r="D849" t="s">
        <v>187</v>
      </c>
      <c r="E849" s="20" t="s">
        <v>272</v>
      </c>
      <c r="F849" s="20" t="s">
        <v>273</v>
      </c>
      <c r="G849" s="20" t="s">
        <v>198</v>
      </c>
      <c r="H849" s="20" t="s">
        <v>192</v>
      </c>
      <c r="I849" s="20" t="s">
        <v>264</v>
      </c>
      <c r="J849" s="15">
        <f>IFERROR(INDEX(Cost_Components!$K$2:$K$27,MATCH(E849,Cost_Components!$A$2:$A$27,0)),"")</f>
        <v>1</v>
      </c>
      <c r="K849" s="15">
        <f t="shared" si="130"/>
        <v>0.61153846153846159</v>
      </c>
      <c r="L849" s="15">
        <f>IFERROR(INDEX(Cost_Components!$S$2:$S$27,MATCH(E849,Cost_Components!$A$2:$A$27,0)),"")</f>
        <v>0.31</v>
      </c>
      <c r="M849" s="26">
        <f>IFERROR(INDEX(Cost_Components!$L$2:$L$27,MATCH(E849,Cost_Components!$A$2:$A$27,0)),"")</f>
        <v>1</v>
      </c>
      <c r="N849" s="27">
        <f>IFERROR(INDEX(Cost_Components!$P$2:$P$27,MATCH(E849,Cost_Components!$A$2:$A$27,0)),"")</f>
        <v>35.362648999999998</v>
      </c>
      <c r="O849" s="21">
        <f t="shared" si="131"/>
        <v>110140.842458598</v>
      </c>
      <c r="P849" s="21">
        <f t="shared" si="132"/>
        <v>102387.063046542</v>
      </c>
      <c r="Q849" s="21">
        <f t="shared" si="133"/>
        <v>1122410.109523278</v>
      </c>
      <c r="R849" s="21">
        <f t="shared" si="134"/>
        <v>2381864.0016769385</v>
      </c>
      <c r="S849" s="21">
        <f t="shared" si="135"/>
        <v>1259453.8921536605</v>
      </c>
      <c r="T849" s="14">
        <f>IFERROR(INDEX(Cost_Components!$R$2:$R$27,MATCH(E849,Cost_Components!$A$2:$A$27,0)),"")</f>
        <v>1</v>
      </c>
      <c r="U849" s="24">
        <f>IFERROR(INDEX(Cost_Components!$Q$2:$Q$27,MATCH(E849,Cost_Components!$A$2:$A$27,0)),"")</f>
        <v>2023</v>
      </c>
      <c r="V849" s="28">
        <f>1/(1+Calculation_Assumptions!$B$5)^(B849-Calculation_Assumptions!$B$2)</f>
        <v>0.64186194739671765</v>
      </c>
      <c r="W849" s="21">
        <f t="shared" si="136"/>
        <v>720432.33867637429</v>
      </c>
      <c r="X849" s="21">
        <f t="shared" si="137"/>
        <v>1528827.8665504984</v>
      </c>
      <c r="Y849" s="21">
        <f t="shared" si="138"/>
        <v>808395.52787412412</v>
      </c>
      <c r="Z849" s="15">
        <f>IFERROR(INDEX(Cost_Components!$T$2:$T$27,MATCH(E849,Cost_Components!$A$2:$A$27,0)),"")</f>
        <v>0.8</v>
      </c>
      <c r="AA849" s="24">
        <f>IFERROR(INDEX(Cost_Components!$U$2:$U$27,MATCH(E849,Cost_Components!$A$2:$A$27,0)),"")</f>
        <v>2025</v>
      </c>
      <c r="AB849" s="24">
        <f>IFERROR(INDEX(Cost_Components!$V$2:$V$27,MATCH(E849,Cost_Components!$A$2:$A$27,0)),"")</f>
        <v>2050</v>
      </c>
      <c r="AC849" s="24">
        <f>IFERROR(INDEX(Cost_Components!$M$2:$M$27,MATCH(E849,Cost_Components!$A$2:$A$27,0)),"")</f>
        <v>0</v>
      </c>
      <c r="AD849" s="24">
        <f>IFERROR(INDEX(Cost_Components!$N$2:$N$27,MATCH(E849,Cost_Components!$A$2:$A$27,0)),"")</f>
        <v>95</v>
      </c>
      <c r="AE849" s="14" t="str">
        <f>IFERROR(INDEX(Cost_Components!$O$2:$O$27,MATCH(E849,Cost_Components!$A$2:$A$27,0)),"")</f>
        <v>Both</v>
      </c>
      <c r="AF849" s="11">
        <v>110140.842458598</v>
      </c>
      <c r="AG849" s="11">
        <v>102387.063046542</v>
      </c>
      <c r="AH849" s="21">
        <f t="shared" si="139"/>
        <v>1</v>
      </c>
    </row>
    <row r="850" spans="1:34" hidden="1">
      <c r="A850" t="s">
        <v>75</v>
      </c>
      <c r="B850" s="18">
        <v>2041</v>
      </c>
      <c r="C850" t="s">
        <v>197</v>
      </c>
      <c r="D850" t="s">
        <v>187</v>
      </c>
      <c r="E850" s="20" t="s">
        <v>272</v>
      </c>
      <c r="F850" s="20" t="s">
        <v>273</v>
      </c>
      <c r="G850" s="20" t="s">
        <v>198</v>
      </c>
      <c r="H850" s="20" t="s">
        <v>192</v>
      </c>
      <c r="I850" s="20" t="s">
        <v>264</v>
      </c>
      <c r="J850" s="15">
        <f>IFERROR(INDEX(Cost_Components!$K$2:$K$27,MATCH(E850,Cost_Components!$A$2:$A$27,0)),"")</f>
        <v>1</v>
      </c>
      <c r="K850" s="15">
        <f t="shared" si="130"/>
        <v>0.63038461538461543</v>
      </c>
      <c r="L850" s="15">
        <f>IFERROR(INDEX(Cost_Components!$S$2:$S$27,MATCH(E850,Cost_Components!$A$2:$A$27,0)),"")</f>
        <v>0.31</v>
      </c>
      <c r="M850" s="26">
        <f>IFERROR(INDEX(Cost_Components!$L$2:$L$27,MATCH(E850,Cost_Components!$A$2:$A$27,0)),"")</f>
        <v>1</v>
      </c>
      <c r="N850" s="27">
        <f>IFERROR(INDEX(Cost_Components!$P$2:$P$27,MATCH(E850,Cost_Components!$A$2:$A$27,0)),"")</f>
        <v>35.362648999999998</v>
      </c>
      <c r="O850" s="21">
        <f t="shared" si="131"/>
        <v>112702.023145525</v>
      </c>
      <c r="P850" s="21">
        <f t="shared" si="132"/>
        <v>104074.53307124101</v>
      </c>
      <c r="Q850" s="21">
        <f t="shared" si="133"/>
        <v>1140908.866679528</v>
      </c>
      <c r="R850" s="21">
        <f t="shared" si="134"/>
        <v>2512361.3765744003</v>
      </c>
      <c r="S850" s="21">
        <f t="shared" si="135"/>
        <v>1371452.5098948723</v>
      </c>
      <c r="T850" s="14">
        <f>IFERROR(INDEX(Cost_Components!$R$2:$R$27,MATCH(E850,Cost_Components!$A$2:$A$27,0)),"")</f>
        <v>1</v>
      </c>
      <c r="U850" s="24">
        <f>IFERROR(INDEX(Cost_Components!$Q$2:$Q$27,MATCH(E850,Cost_Components!$A$2:$A$27,0)),"")</f>
        <v>2023</v>
      </c>
      <c r="V850" s="28">
        <f>1/(1+Calculation_Assumptions!$B$5)^(B850-Calculation_Assumptions!$B$2)</f>
        <v>0.62316693922011435</v>
      </c>
      <c r="W850" s="21">
        <f t="shared" si="136"/>
        <v>710976.68637777097</v>
      </c>
      <c r="X850" s="21">
        <f t="shared" si="137"/>
        <v>1565620.5492547022</v>
      </c>
      <c r="Y850" s="21">
        <f t="shared" si="138"/>
        <v>854643.86287693121</v>
      </c>
      <c r="Z850" s="15">
        <f>IFERROR(INDEX(Cost_Components!$T$2:$T$27,MATCH(E850,Cost_Components!$A$2:$A$27,0)),"")</f>
        <v>0.8</v>
      </c>
      <c r="AA850" s="24">
        <f>IFERROR(INDEX(Cost_Components!$U$2:$U$27,MATCH(E850,Cost_Components!$A$2:$A$27,0)),"")</f>
        <v>2025</v>
      </c>
      <c r="AB850" s="24">
        <f>IFERROR(INDEX(Cost_Components!$V$2:$V$27,MATCH(E850,Cost_Components!$A$2:$A$27,0)),"")</f>
        <v>2050</v>
      </c>
      <c r="AC850" s="24">
        <f>IFERROR(INDEX(Cost_Components!$M$2:$M$27,MATCH(E850,Cost_Components!$A$2:$A$27,0)),"")</f>
        <v>0</v>
      </c>
      <c r="AD850" s="24">
        <f>IFERROR(INDEX(Cost_Components!$N$2:$N$27,MATCH(E850,Cost_Components!$A$2:$A$27,0)),"")</f>
        <v>95</v>
      </c>
      <c r="AE850" s="14" t="str">
        <f>IFERROR(INDEX(Cost_Components!$O$2:$O$27,MATCH(E850,Cost_Components!$A$2:$A$27,0)),"")</f>
        <v>Both</v>
      </c>
      <c r="AF850" s="11">
        <v>112702.023145525</v>
      </c>
      <c r="AG850" s="11">
        <v>104074.53307124101</v>
      </c>
      <c r="AH850" s="21">
        <f t="shared" si="139"/>
        <v>1</v>
      </c>
    </row>
    <row r="851" spans="1:34" hidden="1">
      <c r="A851" t="s">
        <v>75</v>
      </c>
      <c r="B851" s="18">
        <v>2042</v>
      </c>
      <c r="C851" t="s">
        <v>197</v>
      </c>
      <c r="D851" t="s">
        <v>187</v>
      </c>
      <c r="E851" s="20" t="s">
        <v>272</v>
      </c>
      <c r="F851" s="20" t="s">
        <v>273</v>
      </c>
      <c r="G851" s="20" t="s">
        <v>198</v>
      </c>
      <c r="H851" s="20" t="s">
        <v>192</v>
      </c>
      <c r="I851" s="20" t="s">
        <v>264</v>
      </c>
      <c r="J851" s="15">
        <f>IFERROR(INDEX(Cost_Components!$K$2:$K$27,MATCH(E851,Cost_Components!$A$2:$A$27,0)),"")</f>
        <v>1</v>
      </c>
      <c r="K851" s="15">
        <f t="shared" si="130"/>
        <v>0.64923076923076928</v>
      </c>
      <c r="L851" s="15">
        <f>IFERROR(INDEX(Cost_Components!$S$2:$S$27,MATCH(E851,Cost_Components!$A$2:$A$27,0)),"")</f>
        <v>0.31</v>
      </c>
      <c r="M851" s="26">
        <f>IFERROR(INDEX(Cost_Components!$L$2:$L$27,MATCH(E851,Cost_Components!$A$2:$A$27,0)),"")</f>
        <v>1</v>
      </c>
      <c r="N851" s="27">
        <f>IFERROR(INDEX(Cost_Components!$P$2:$P$27,MATCH(E851,Cost_Components!$A$2:$A$27,0)),"")</f>
        <v>35.362648999999998</v>
      </c>
      <c r="O851" s="21">
        <f t="shared" si="131"/>
        <v>115350.74591610199</v>
      </c>
      <c r="P851" s="21">
        <f t="shared" si="132"/>
        <v>105801.648046402</v>
      </c>
      <c r="Q851" s="21">
        <f t="shared" si="133"/>
        <v>1159842.2284807994</v>
      </c>
      <c r="R851" s="21">
        <f t="shared" si="134"/>
        <v>2648282.385479298</v>
      </c>
      <c r="S851" s="21">
        <f t="shared" si="135"/>
        <v>1488440.1569984986</v>
      </c>
      <c r="T851" s="14">
        <f>IFERROR(INDEX(Cost_Components!$R$2:$R$27,MATCH(E851,Cost_Components!$A$2:$A$27,0)),"")</f>
        <v>1</v>
      </c>
      <c r="U851" s="24">
        <f>IFERROR(INDEX(Cost_Components!$Q$2:$Q$27,MATCH(E851,Cost_Components!$A$2:$A$27,0)),"")</f>
        <v>2023</v>
      </c>
      <c r="V851" s="28">
        <f>1/(1+Calculation_Assumptions!$B$5)^(B851-Calculation_Assumptions!$B$2)</f>
        <v>0.60501644584477121</v>
      </c>
      <c r="W851" s="21">
        <f t="shared" si="136"/>
        <v>701723.62281613227</v>
      </c>
      <c r="X851" s="21">
        <f t="shared" si="137"/>
        <v>1602254.3964559971</v>
      </c>
      <c r="Y851" s="21">
        <f t="shared" si="138"/>
        <v>900530.77363986487</v>
      </c>
      <c r="Z851" s="15">
        <f>IFERROR(INDEX(Cost_Components!$T$2:$T$27,MATCH(E851,Cost_Components!$A$2:$A$27,0)),"")</f>
        <v>0.8</v>
      </c>
      <c r="AA851" s="24">
        <f>IFERROR(INDEX(Cost_Components!$U$2:$U$27,MATCH(E851,Cost_Components!$A$2:$A$27,0)),"")</f>
        <v>2025</v>
      </c>
      <c r="AB851" s="24">
        <f>IFERROR(INDEX(Cost_Components!$V$2:$V$27,MATCH(E851,Cost_Components!$A$2:$A$27,0)),"")</f>
        <v>2050</v>
      </c>
      <c r="AC851" s="24">
        <f>IFERROR(INDEX(Cost_Components!$M$2:$M$27,MATCH(E851,Cost_Components!$A$2:$A$27,0)),"")</f>
        <v>0</v>
      </c>
      <c r="AD851" s="24">
        <f>IFERROR(INDEX(Cost_Components!$N$2:$N$27,MATCH(E851,Cost_Components!$A$2:$A$27,0)),"")</f>
        <v>95</v>
      </c>
      <c r="AE851" s="14" t="str">
        <f>IFERROR(INDEX(Cost_Components!$O$2:$O$27,MATCH(E851,Cost_Components!$A$2:$A$27,0)),"")</f>
        <v>Both</v>
      </c>
      <c r="AF851" s="11">
        <v>115350.74591610199</v>
      </c>
      <c r="AG851" s="11">
        <v>105801.648046402</v>
      </c>
      <c r="AH851" s="21">
        <f t="shared" si="139"/>
        <v>1</v>
      </c>
    </row>
    <row r="852" spans="1:34" hidden="1">
      <c r="A852" t="s">
        <v>75</v>
      </c>
      <c r="B852" s="18">
        <v>2043</v>
      </c>
      <c r="C852" t="s">
        <v>197</v>
      </c>
      <c r="D852" t="s">
        <v>187</v>
      </c>
      <c r="E852" s="20" t="s">
        <v>272</v>
      </c>
      <c r="F852" s="20" t="s">
        <v>273</v>
      </c>
      <c r="G852" s="20" t="s">
        <v>198</v>
      </c>
      <c r="H852" s="20" t="s">
        <v>192</v>
      </c>
      <c r="I852" s="20" t="s">
        <v>264</v>
      </c>
      <c r="J852" s="15">
        <f>IFERROR(INDEX(Cost_Components!$K$2:$K$27,MATCH(E852,Cost_Components!$A$2:$A$27,0)),"")</f>
        <v>1</v>
      </c>
      <c r="K852" s="15">
        <f t="shared" si="130"/>
        <v>0.66807692307692301</v>
      </c>
      <c r="L852" s="15">
        <f>IFERROR(INDEX(Cost_Components!$S$2:$S$27,MATCH(E852,Cost_Components!$A$2:$A$27,0)),"")</f>
        <v>0.31</v>
      </c>
      <c r="M852" s="26">
        <f>IFERROR(INDEX(Cost_Components!$L$2:$L$27,MATCH(E852,Cost_Components!$A$2:$A$27,0)),"")</f>
        <v>1</v>
      </c>
      <c r="N852" s="27">
        <f>IFERROR(INDEX(Cost_Components!$P$2:$P$27,MATCH(E852,Cost_Components!$A$2:$A$27,0)),"")</f>
        <v>35.362648999999998</v>
      </c>
      <c r="O852" s="21">
        <f t="shared" si="131"/>
        <v>118091.46852039899</v>
      </c>
      <c r="P852" s="21">
        <f t="shared" si="132"/>
        <v>107571.320256081</v>
      </c>
      <c r="Q852" s="21">
        <f t="shared" si="133"/>
        <v>1179242.1206115386</v>
      </c>
      <c r="R852" s="21">
        <f t="shared" si="134"/>
        <v>2789907.3698469708</v>
      </c>
      <c r="S852" s="21">
        <f t="shared" si="135"/>
        <v>1610665.2492354321</v>
      </c>
      <c r="T852" s="14">
        <f>IFERROR(INDEX(Cost_Components!$R$2:$R$27,MATCH(E852,Cost_Components!$A$2:$A$27,0)),"")</f>
        <v>1</v>
      </c>
      <c r="U852" s="24">
        <f>IFERROR(INDEX(Cost_Components!$Q$2:$Q$27,MATCH(E852,Cost_Components!$A$2:$A$27,0)),"")</f>
        <v>2023</v>
      </c>
      <c r="V852" s="28">
        <f>1/(1+Calculation_Assumptions!$B$5)^(B852-Calculation_Assumptions!$B$2)</f>
        <v>0.5873946076162827</v>
      </c>
      <c r="W852" s="21">
        <f t="shared" si="136"/>
        <v>692680.46272120788</v>
      </c>
      <c r="X852" s="21">
        <f t="shared" si="137"/>
        <v>1638776.5447970368</v>
      </c>
      <c r="Y852" s="21">
        <f t="shared" si="138"/>
        <v>946096.0820758288</v>
      </c>
      <c r="Z852" s="15">
        <f>IFERROR(INDEX(Cost_Components!$T$2:$T$27,MATCH(E852,Cost_Components!$A$2:$A$27,0)),"")</f>
        <v>0.8</v>
      </c>
      <c r="AA852" s="24">
        <f>IFERROR(INDEX(Cost_Components!$U$2:$U$27,MATCH(E852,Cost_Components!$A$2:$A$27,0)),"")</f>
        <v>2025</v>
      </c>
      <c r="AB852" s="24">
        <f>IFERROR(INDEX(Cost_Components!$V$2:$V$27,MATCH(E852,Cost_Components!$A$2:$A$27,0)),"")</f>
        <v>2050</v>
      </c>
      <c r="AC852" s="24">
        <f>IFERROR(INDEX(Cost_Components!$M$2:$M$27,MATCH(E852,Cost_Components!$A$2:$A$27,0)),"")</f>
        <v>0</v>
      </c>
      <c r="AD852" s="24">
        <f>IFERROR(INDEX(Cost_Components!$N$2:$N$27,MATCH(E852,Cost_Components!$A$2:$A$27,0)),"")</f>
        <v>95</v>
      </c>
      <c r="AE852" s="14" t="str">
        <f>IFERROR(INDEX(Cost_Components!$O$2:$O$27,MATCH(E852,Cost_Components!$A$2:$A$27,0)),"")</f>
        <v>Both</v>
      </c>
      <c r="AF852" s="11">
        <v>118091.46852039899</v>
      </c>
      <c r="AG852" s="11">
        <v>107571.320256081</v>
      </c>
      <c r="AH852" s="21">
        <f t="shared" si="139"/>
        <v>1</v>
      </c>
    </row>
    <row r="853" spans="1:34" hidden="1">
      <c r="A853" t="s">
        <v>75</v>
      </c>
      <c r="B853" s="18">
        <v>2044</v>
      </c>
      <c r="C853" t="s">
        <v>197</v>
      </c>
      <c r="D853" t="s">
        <v>187</v>
      </c>
      <c r="E853" s="20" t="s">
        <v>272</v>
      </c>
      <c r="F853" s="20" t="s">
        <v>273</v>
      </c>
      <c r="G853" s="20" t="s">
        <v>198</v>
      </c>
      <c r="H853" s="20" t="s">
        <v>192</v>
      </c>
      <c r="I853" s="20" t="s">
        <v>264</v>
      </c>
      <c r="J853" s="15">
        <f>IFERROR(INDEX(Cost_Components!$K$2:$K$27,MATCH(E853,Cost_Components!$A$2:$A$27,0)),"")</f>
        <v>1</v>
      </c>
      <c r="K853" s="15">
        <f t="shared" si="130"/>
        <v>0.68692307692307697</v>
      </c>
      <c r="L853" s="15">
        <f>IFERROR(INDEX(Cost_Components!$S$2:$S$27,MATCH(E853,Cost_Components!$A$2:$A$27,0)),"")</f>
        <v>0.31</v>
      </c>
      <c r="M853" s="26">
        <f>IFERROR(INDEX(Cost_Components!$L$2:$L$27,MATCH(E853,Cost_Components!$A$2:$A$27,0)),"")</f>
        <v>1</v>
      </c>
      <c r="N853" s="27">
        <f>IFERROR(INDEX(Cost_Components!$P$2:$P$27,MATCH(E853,Cost_Components!$A$2:$A$27,0)),"")</f>
        <v>35.362648999999998</v>
      </c>
      <c r="O853" s="21">
        <f t="shared" si="131"/>
        <v>120920.46852223</v>
      </c>
      <c r="P853" s="21">
        <f t="shared" si="132"/>
        <v>109378.894414443</v>
      </c>
      <c r="Q853" s="21">
        <f t="shared" si="133"/>
        <v>1199057.5098676626</v>
      </c>
      <c r="R853" s="21">
        <f t="shared" si="134"/>
        <v>2937329.8462642934</v>
      </c>
      <c r="S853" s="21">
        <f t="shared" si="135"/>
        <v>1738272.3363966309</v>
      </c>
      <c r="T853" s="14">
        <f>IFERROR(INDEX(Cost_Components!$R$2:$R$27,MATCH(E853,Cost_Components!$A$2:$A$27,0)),"")</f>
        <v>1</v>
      </c>
      <c r="U853" s="24">
        <f>IFERROR(INDEX(Cost_Components!$Q$2:$Q$27,MATCH(E853,Cost_Components!$A$2:$A$27,0)),"")</f>
        <v>2023</v>
      </c>
      <c r="V853" s="28">
        <f>1/(1+Calculation_Assumptions!$B$5)^(B853-Calculation_Assumptions!$B$2)</f>
        <v>0.57028602681192497</v>
      </c>
      <c r="W853" s="21">
        <f t="shared" si="136"/>
        <v>683805.74322142976</v>
      </c>
      <c r="X853" s="21">
        <f t="shared" si="137"/>
        <v>1675118.1674621464</v>
      </c>
      <c r="Y853" s="21">
        <f t="shared" si="138"/>
        <v>991312.4242407165</v>
      </c>
      <c r="Z853" s="15">
        <f>IFERROR(INDEX(Cost_Components!$T$2:$T$27,MATCH(E853,Cost_Components!$A$2:$A$27,0)),"")</f>
        <v>0.8</v>
      </c>
      <c r="AA853" s="24">
        <f>IFERROR(INDEX(Cost_Components!$U$2:$U$27,MATCH(E853,Cost_Components!$A$2:$A$27,0)),"")</f>
        <v>2025</v>
      </c>
      <c r="AB853" s="24">
        <f>IFERROR(INDEX(Cost_Components!$V$2:$V$27,MATCH(E853,Cost_Components!$A$2:$A$27,0)),"")</f>
        <v>2050</v>
      </c>
      <c r="AC853" s="24">
        <f>IFERROR(INDEX(Cost_Components!$M$2:$M$27,MATCH(E853,Cost_Components!$A$2:$A$27,0)),"")</f>
        <v>0</v>
      </c>
      <c r="AD853" s="24">
        <f>IFERROR(INDEX(Cost_Components!$N$2:$N$27,MATCH(E853,Cost_Components!$A$2:$A$27,0)),"")</f>
        <v>95</v>
      </c>
      <c r="AE853" s="14" t="str">
        <f>IFERROR(INDEX(Cost_Components!$O$2:$O$27,MATCH(E853,Cost_Components!$A$2:$A$27,0)),"")</f>
        <v>Both</v>
      </c>
      <c r="AF853" s="11">
        <v>120920.46852223</v>
      </c>
      <c r="AG853" s="11">
        <v>109378.894414443</v>
      </c>
      <c r="AH853" s="21">
        <f t="shared" si="139"/>
        <v>1</v>
      </c>
    </row>
    <row r="854" spans="1:34" hidden="1">
      <c r="A854" t="s">
        <v>75</v>
      </c>
      <c r="B854" s="18">
        <v>2045</v>
      </c>
      <c r="C854" t="s">
        <v>197</v>
      </c>
      <c r="D854" t="s">
        <v>187</v>
      </c>
      <c r="E854" s="20" t="s">
        <v>272</v>
      </c>
      <c r="F854" s="20" t="s">
        <v>273</v>
      </c>
      <c r="G854" s="20" t="s">
        <v>198</v>
      </c>
      <c r="H854" s="20" t="s">
        <v>192</v>
      </c>
      <c r="I854" s="20" t="s">
        <v>264</v>
      </c>
      <c r="J854" s="15">
        <f>IFERROR(INDEX(Cost_Components!$K$2:$K$27,MATCH(E854,Cost_Components!$A$2:$A$27,0)),"")</f>
        <v>1</v>
      </c>
      <c r="K854" s="15">
        <f t="shared" si="130"/>
        <v>0.70576923076923082</v>
      </c>
      <c r="L854" s="15">
        <f>IFERROR(INDEX(Cost_Components!$S$2:$S$27,MATCH(E854,Cost_Components!$A$2:$A$27,0)),"")</f>
        <v>0.31</v>
      </c>
      <c r="M854" s="26">
        <f>IFERROR(INDEX(Cost_Components!$L$2:$L$27,MATCH(E854,Cost_Components!$A$2:$A$27,0)),"")</f>
        <v>1</v>
      </c>
      <c r="N854" s="27">
        <f>IFERROR(INDEX(Cost_Components!$P$2:$P$27,MATCH(E854,Cost_Components!$A$2:$A$27,0)),"")</f>
        <v>35.362648999999998</v>
      </c>
      <c r="O854" s="21">
        <f t="shared" si="131"/>
        <v>123829.77516398</v>
      </c>
      <c r="P854" s="21">
        <f t="shared" si="132"/>
        <v>111216.138075836</v>
      </c>
      <c r="Q854" s="21">
        <f t="shared" si="133"/>
        <v>1219198.1487125102</v>
      </c>
      <c r="R854" s="21">
        <f t="shared" si="134"/>
        <v>3090527.3789967238</v>
      </c>
      <c r="S854" s="21">
        <f t="shared" si="135"/>
        <v>1871329.2302842136</v>
      </c>
      <c r="T854" s="14">
        <f>IFERROR(INDEX(Cost_Components!$R$2:$R$27,MATCH(E854,Cost_Components!$A$2:$A$27,0)),"")</f>
        <v>1</v>
      </c>
      <c r="U854" s="24">
        <f>IFERROR(INDEX(Cost_Components!$Q$2:$Q$27,MATCH(E854,Cost_Components!$A$2:$A$27,0)),"")</f>
        <v>2023</v>
      </c>
      <c r="V854" s="28">
        <f>1/(1+Calculation_Assumptions!$B$5)^(B854-Calculation_Assumptions!$B$2)</f>
        <v>0.55367575418633497</v>
      </c>
      <c r="W854" s="21">
        <f t="shared" si="136"/>
        <v>675040.45449098246</v>
      </c>
      <c r="X854" s="21">
        <f t="shared" si="137"/>
        <v>1711150.0773995281</v>
      </c>
      <c r="Y854" s="21">
        <f t="shared" si="138"/>
        <v>1036109.6229085457</v>
      </c>
      <c r="Z854" s="15">
        <f>IFERROR(INDEX(Cost_Components!$T$2:$T$27,MATCH(E854,Cost_Components!$A$2:$A$27,0)),"")</f>
        <v>0.8</v>
      </c>
      <c r="AA854" s="24">
        <f>IFERROR(INDEX(Cost_Components!$U$2:$U$27,MATCH(E854,Cost_Components!$A$2:$A$27,0)),"")</f>
        <v>2025</v>
      </c>
      <c r="AB854" s="24">
        <f>IFERROR(INDEX(Cost_Components!$V$2:$V$27,MATCH(E854,Cost_Components!$A$2:$A$27,0)),"")</f>
        <v>2050</v>
      </c>
      <c r="AC854" s="24">
        <f>IFERROR(INDEX(Cost_Components!$M$2:$M$27,MATCH(E854,Cost_Components!$A$2:$A$27,0)),"")</f>
        <v>0</v>
      </c>
      <c r="AD854" s="24">
        <f>IFERROR(INDEX(Cost_Components!$N$2:$N$27,MATCH(E854,Cost_Components!$A$2:$A$27,0)),"")</f>
        <v>95</v>
      </c>
      <c r="AE854" s="14" t="str">
        <f>IFERROR(INDEX(Cost_Components!$O$2:$O$27,MATCH(E854,Cost_Components!$A$2:$A$27,0)),"")</f>
        <v>Both</v>
      </c>
      <c r="AF854" s="11">
        <v>123829.77516398</v>
      </c>
      <c r="AG854" s="11">
        <v>111216.138075836</v>
      </c>
      <c r="AH854" s="21">
        <f t="shared" si="139"/>
        <v>1</v>
      </c>
    </row>
    <row r="855" spans="1:34" hidden="1">
      <c r="A855" t="s">
        <v>75</v>
      </c>
      <c r="B855" s="18">
        <v>2046</v>
      </c>
      <c r="C855" t="s">
        <v>197</v>
      </c>
      <c r="D855" t="s">
        <v>187</v>
      </c>
      <c r="E855" s="20" t="s">
        <v>272</v>
      </c>
      <c r="F855" s="20" t="s">
        <v>273</v>
      </c>
      <c r="G855" s="20" t="s">
        <v>198</v>
      </c>
      <c r="H855" s="20" t="s">
        <v>192</v>
      </c>
      <c r="I855" s="20" t="s">
        <v>264</v>
      </c>
      <c r="J855" s="15">
        <f>IFERROR(INDEX(Cost_Components!$K$2:$K$27,MATCH(E855,Cost_Components!$A$2:$A$27,0)),"")</f>
        <v>1</v>
      </c>
      <c r="K855" s="15">
        <f t="shared" si="130"/>
        <v>0.72461538461538466</v>
      </c>
      <c r="L855" s="15">
        <f>IFERROR(INDEX(Cost_Components!$S$2:$S$27,MATCH(E855,Cost_Components!$A$2:$A$27,0)),"")</f>
        <v>0.31</v>
      </c>
      <c r="M855" s="26">
        <f>IFERROR(INDEX(Cost_Components!$L$2:$L$27,MATCH(E855,Cost_Components!$A$2:$A$27,0)),"")</f>
        <v>1</v>
      </c>
      <c r="N855" s="27">
        <f>IFERROR(INDEX(Cost_Components!$P$2:$P$27,MATCH(E855,Cost_Components!$A$2:$A$27,0)),"")</f>
        <v>35.362648999999998</v>
      </c>
      <c r="O855" s="21">
        <f t="shared" si="131"/>
        <v>126804.819318073</v>
      </c>
      <c r="P855" s="21">
        <f t="shared" si="132"/>
        <v>113069.08390616599</v>
      </c>
      <c r="Q855" s="21">
        <f t="shared" si="133"/>
        <v>1239510.9213468421</v>
      </c>
      <c r="R855" s="21">
        <f t="shared" si="134"/>
        <v>3249287.2051264117</v>
      </c>
      <c r="S855" s="21">
        <f t="shared" si="135"/>
        <v>2009776.2837795697</v>
      </c>
      <c r="T855" s="14">
        <f>IFERROR(INDEX(Cost_Components!$R$2:$R$27,MATCH(E855,Cost_Components!$A$2:$A$27,0)),"")</f>
        <v>1</v>
      </c>
      <c r="U855" s="24">
        <f>IFERROR(INDEX(Cost_Components!$Q$2:$Q$27,MATCH(E855,Cost_Components!$A$2:$A$27,0)),"")</f>
        <v>2023</v>
      </c>
      <c r="V855" s="28">
        <f>1/(1+Calculation_Assumptions!$B$5)^(B855-Calculation_Assumptions!$B$2)</f>
        <v>0.5375492759090631</v>
      </c>
      <c r="W855" s="21">
        <f t="shared" si="136"/>
        <v>666298.19825137057</v>
      </c>
      <c r="X855" s="21">
        <f t="shared" si="137"/>
        <v>1746651.9843362861</v>
      </c>
      <c r="Y855" s="21">
        <f t="shared" si="138"/>
        <v>1080353.7860849153</v>
      </c>
      <c r="Z855" s="15">
        <f>IFERROR(INDEX(Cost_Components!$T$2:$T$27,MATCH(E855,Cost_Components!$A$2:$A$27,0)),"")</f>
        <v>0.8</v>
      </c>
      <c r="AA855" s="24">
        <f>IFERROR(INDEX(Cost_Components!$U$2:$U$27,MATCH(E855,Cost_Components!$A$2:$A$27,0)),"")</f>
        <v>2025</v>
      </c>
      <c r="AB855" s="24">
        <f>IFERROR(INDEX(Cost_Components!$V$2:$V$27,MATCH(E855,Cost_Components!$A$2:$A$27,0)),"")</f>
        <v>2050</v>
      </c>
      <c r="AC855" s="24">
        <f>IFERROR(INDEX(Cost_Components!$M$2:$M$27,MATCH(E855,Cost_Components!$A$2:$A$27,0)),"")</f>
        <v>0</v>
      </c>
      <c r="AD855" s="24">
        <f>IFERROR(INDEX(Cost_Components!$N$2:$N$27,MATCH(E855,Cost_Components!$A$2:$A$27,0)),"")</f>
        <v>95</v>
      </c>
      <c r="AE855" s="14" t="str">
        <f>IFERROR(INDEX(Cost_Components!$O$2:$O$27,MATCH(E855,Cost_Components!$A$2:$A$27,0)),"")</f>
        <v>Both</v>
      </c>
      <c r="AF855" s="11">
        <v>126804.819318073</v>
      </c>
      <c r="AG855" s="11">
        <v>113069.08390616599</v>
      </c>
      <c r="AH855" s="21">
        <f t="shared" si="139"/>
        <v>1</v>
      </c>
    </row>
    <row r="856" spans="1:34" hidden="1">
      <c r="A856" t="s">
        <v>75</v>
      </c>
      <c r="B856" s="18">
        <v>2047</v>
      </c>
      <c r="C856" t="s">
        <v>197</v>
      </c>
      <c r="D856" t="s">
        <v>187</v>
      </c>
      <c r="E856" s="20" t="s">
        <v>272</v>
      </c>
      <c r="F856" s="20" t="s">
        <v>273</v>
      </c>
      <c r="G856" s="20" t="s">
        <v>198</v>
      </c>
      <c r="H856" s="20" t="s">
        <v>192</v>
      </c>
      <c r="I856" s="20" t="s">
        <v>264</v>
      </c>
      <c r="J856" s="15">
        <f>IFERROR(INDEX(Cost_Components!$K$2:$K$27,MATCH(E856,Cost_Components!$A$2:$A$27,0)),"")</f>
        <v>1</v>
      </c>
      <c r="K856" s="15">
        <f t="shared" si="130"/>
        <v>0.74346153846153851</v>
      </c>
      <c r="L856" s="15">
        <f>IFERROR(INDEX(Cost_Components!$S$2:$S$27,MATCH(E856,Cost_Components!$A$2:$A$27,0)),"")</f>
        <v>0.31</v>
      </c>
      <c r="M856" s="26">
        <f>IFERROR(INDEX(Cost_Components!$L$2:$L$27,MATCH(E856,Cost_Components!$A$2:$A$27,0)),"")</f>
        <v>1</v>
      </c>
      <c r="N856" s="27">
        <f>IFERROR(INDEX(Cost_Components!$P$2:$P$27,MATCH(E856,Cost_Components!$A$2:$A$27,0)),"")</f>
        <v>35.362648999999998</v>
      </c>
      <c r="O856" s="21">
        <f t="shared" si="131"/>
        <v>129830.71669560899</v>
      </c>
      <c r="P856" s="21">
        <f t="shared" si="132"/>
        <v>114923.915044056</v>
      </c>
      <c r="Q856" s="21">
        <f t="shared" si="133"/>
        <v>1259844.3615167192</v>
      </c>
      <c r="R856" s="21">
        <f t="shared" si="134"/>
        <v>3413349.4375259727</v>
      </c>
      <c r="S856" s="21">
        <f t="shared" si="135"/>
        <v>2153505.0760092535</v>
      </c>
      <c r="T856" s="14">
        <f>IFERROR(INDEX(Cost_Components!$R$2:$R$27,MATCH(E856,Cost_Components!$A$2:$A$27,0)),"")</f>
        <v>1</v>
      </c>
      <c r="U856" s="24">
        <f>IFERROR(INDEX(Cost_Components!$Q$2:$Q$27,MATCH(E856,Cost_Components!$A$2:$A$27,0)),"")</f>
        <v>2023</v>
      </c>
      <c r="V856" s="28">
        <f>1/(1+Calculation_Assumptions!$B$5)^(B856-Calculation_Assumptions!$B$2)</f>
        <v>0.52189250088258554</v>
      </c>
      <c r="W856" s="21">
        <f t="shared" si="136"/>
        <v>657503.32455478481</v>
      </c>
      <c r="X856" s="21">
        <f t="shared" si="137"/>
        <v>1781401.4743365967</v>
      </c>
      <c r="Y856" s="21">
        <f t="shared" si="138"/>
        <v>1123898.1497818117</v>
      </c>
      <c r="Z856" s="15">
        <f>IFERROR(INDEX(Cost_Components!$T$2:$T$27,MATCH(E856,Cost_Components!$A$2:$A$27,0)),"")</f>
        <v>0.8</v>
      </c>
      <c r="AA856" s="24">
        <f>IFERROR(INDEX(Cost_Components!$U$2:$U$27,MATCH(E856,Cost_Components!$A$2:$A$27,0)),"")</f>
        <v>2025</v>
      </c>
      <c r="AB856" s="24">
        <f>IFERROR(INDEX(Cost_Components!$V$2:$V$27,MATCH(E856,Cost_Components!$A$2:$A$27,0)),"")</f>
        <v>2050</v>
      </c>
      <c r="AC856" s="24">
        <f>IFERROR(INDEX(Cost_Components!$M$2:$M$27,MATCH(E856,Cost_Components!$A$2:$A$27,0)),"")</f>
        <v>0</v>
      </c>
      <c r="AD856" s="24">
        <f>IFERROR(INDEX(Cost_Components!$N$2:$N$27,MATCH(E856,Cost_Components!$A$2:$A$27,0)),"")</f>
        <v>95</v>
      </c>
      <c r="AE856" s="14" t="str">
        <f>IFERROR(INDEX(Cost_Components!$O$2:$O$27,MATCH(E856,Cost_Components!$A$2:$A$27,0)),"")</f>
        <v>Both</v>
      </c>
      <c r="AF856" s="11">
        <v>129830.71669560899</v>
      </c>
      <c r="AG856" s="11">
        <v>114923.915044056</v>
      </c>
      <c r="AH856" s="21">
        <f t="shared" si="139"/>
        <v>1</v>
      </c>
    </row>
    <row r="857" spans="1:34" hidden="1">
      <c r="A857" t="s">
        <v>75</v>
      </c>
      <c r="B857" s="18">
        <v>2048</v>
      </c>
      <c r="C857" t="s">
        <v>197</v>
      </c>
      <c r="D857" t="s">
        <v>187</v>
      </c>
      <c r="E857" s="20" t="s">
        <v>272</v>
      </c>
      <c r="F857" s="20" t="s">
        <v>273</v>
      </c>
      <c r="G857" s="20" t="s">
        <v>198</v>
      </c>
      <c r="H857" s="20" t="s">
        <v>192</v>
      </c>
      <c r="I857" s="20" t="s">
        <v>264</v>
      </c>
      <c r="J857" s="15">
        <f>IFERROR(INDEX(Cost_Components!$K$2:$K$27,MATCH(E857,Cost_Components!$A$2:$A$27,0)),"")</f>
        <v>1</v>
      </c>
      <c r="K857" s="15">
        <f t="shared" si="130"/>
        <v>0.76230769230769235</v>
      </c>
      <c r="L857" s="15">
        <f>IFERROR(INDEX(Cost_Components!$S$2:$S$27,MATCH(E857,Cost_Components!$A$2:$A$27,0)),"")</f>
        <v>0.31</v>
      </c>
      <c r="M857" s="26">
        <f>IFERROR(INDEX(Cost_Components!$L$2:$L$27,MATCH(E857,Cost_Components!$A$2:$A$27,0)),"")</f>
        <v>1</v>
      </c>
      <c r="N857" s="27">
        <f>IFERROR(INDEX(Cost_Components!$P$2:$P$27,MATCH(E857,Cost_Components!$A$2:$A$27,0)),"")</f>
        <v>35.362648999999998</v>
      </c>
      <c r="O857" s="21">
        <f t="shared" si="131"/>
        <v>132887.31722706501</v>
      </c>
      <c r="P857" s="21">
        <f t="shared" si="132"/>
        <v>116764.023601522</v>
      </c>
      <c r="Q857" s="21">
        <f t="shared" si="133"/>
        <v>1280016.4065589847</v>
      </c>
      <c r="R857" s="21">
        <f t="shared" si="134"/>
        <v>3582272.5597319091</v>
      </c>
      <c r="S857" s="21">
        <f t="shared" si="135"/>
        <v>2302256.1531729242</v>
      </c>
      <c r="T857" s="14">
        <f>IFERROR(INDEX(Cost_Components!$R$2:$R$27,MATCH(E857,Cost_Components!$A$2:$A$27,0)),"")</f>
        <v>1</v>
      </c>
      <c r="U857" s="24">
        <f>IFERROR(INDEX(Cost_Components!$Q$2:$Q$27,MATCH(E857,Cost_Components!$A$2:$A$27,0)),"")</f>
        <v>2023</v>
      </c>
      <c r="V857" s="28">
        <f>1/(1+Calculation_Assumptions!$B$5)^(B857-Calculation_Assumptions!$B$2)</f>
        <v>0.50669174842969467</v>
      </c>
      <c r="W857" s="21">
        <f t="shared" si="136"/>
        <v>648573.75105806685</v>
      </c>
      <c r="X857" s="21">
        <f t="shared" si="137"/>
        <v>1815107.9466422789</v>
      </c>
      <c r="Y857" s="21">
        <f t="shared" si="138"/>
        <v>1166534.195584212</v>
      </c>
      <c r="Z857" s="15">
        <f>IFERROR(INDEX(Cost_Components!$T$2:$T$27,MATCH(E857,Cost_Components!$A$2:$A$27,0)),"")</f>
        <v>0.8</v>
      </c>
      <c r="AA857" s="24">
        <f>IFERROR(INDEX(Cost_Components!$U$2:$U$27,MATCH(E857,Cost_Components!$A$2:$A$27,0)),"")</f>
        <v>2025</v>
      </c>
      <c r="AB857" s="24">
        <f>IFERROR(INDEX(Cost_Components!$V$2:$V$27,MATCH(E857,Cost_Components!$A$2:$A$27,0)),"")</f>
        <v>2050</v>
      </c>
      <c r="AC857" s="24">
        <f>IFERROR(INDEX(Cost_Components!$M$2:$M$27,MATCH(E857,Cost_Components!$A$2:$A$27,0)),"")</f>
        <v>0</v>
      </c>
      <c r="AD857" s="24">
        <f>IFERROR(INDEX(Cost_Components!$N$2:$N$27,MATCH(E857,Cost_Components!$A$2:$A$27,0)),"")</f>
        <v>95</v>
      </c>
      <c r="AE857" s="14" t="str">
        <f>IFERROR(INDEX(Cost_Components!$O$2:$O$27,MATCH(E857,Cost_Components!$A$2:$A$27,0)),"")</f>
        <v>Both</v>
      </c>
      <c r="AF857" s="11">
        <v>132887.31722706501</v>
      </c>
      <c r="AG857" s="11">
        <v>116764.023601522</v>
      </c>
      <c r="AH857" s="21">
        <f t="shared" si="139"/>
        <v>1</v>
      </c>
    </row>
    <row r="858" spans="1:34" hidden="1">
      <c r="A858" t="s">
        <v>75</v>
      </c>
      <c r="B858" s="18">
        <v>2049</v>
      </c>
      <c r="C858" t="s">
        <v>197</v>
      </c>
      <c r="D858" t="s">
        <v>187</v>
      </c>
      <c r="E858" s="20" t="s">
        <v>272</v>
      </c>
      <c r="F858" s="20" t="s">
        <v>273</v>
      </c>
      <c r="G858" s="20" t="s">
        <v>198</v>
      </c>
      <c r="H858" s="20" t="s">
        <v>192</v>
      </c>
      <c r="I858" s="20" t="s">
        <v>264</v>
      </c>
      <c r="J858" s="15">
        <f>IFERROR(INDEX(Cost_Components!$K$2:$K$27,MATCH(E858,Cost_Components!$A$2:$A$27,0)),"")</f>
        <v>1</v>
      </c>
      <c r="K858" s="15">
        <f t="shared" si="130"/>
        <v>0.7811538461538462</v>
      </c>
      <c r="L858" s="15">
        <f>IFERROR(INDEX(Cost_Components!$S$2:$S$27,MATCH(E858,Cost_Components!$A$2:$A$27,0)),"")</f>
        <v>0.31</v>
      </c>
      <c r="M858" s="26">
        <f>IFERROR(INDEX(Cost_Components!$L$2:$L$27,MATCH(E858,Cost_Components!$A$2:$A$27,0)),"")</f>
        <v>1</v>
      </c>
      <c r="N858" s="27">
        <f>IFERROR(INDEX(Cost_Components!$P$2:$P$27,MATCH(E858,Cost_Components!$A$2:$A$27,0)),"")</f>
        <v>35.362648999999998</v>
      </c>
      <c r="O858" s="21">
        <f t="shared" si="131"/>
        <v>135963.05967975699</v>
      </c>
      <c r="P858" s="21">
        <f t="shared" si="132"/>
        <v>118577.866241739</v>
      </c>
      <c r="Q858" s="21">
        <f t="shared" si="133"/>
        <v>1299900.5135534252</v>
      </c>
      <c r="R858" s="21">
        <f t="shared" si="134"/>
        <v>3755798.5944198682</v>
      </c>
      <c r="S858" s="21">
        <f t="shared" si="135"/>
        <v>2455898.080866443</v>
      </c>
      <c r="T858" s="14">
        <f>IFERROR(INDEX(Cost_Components!$R$2:$R$27,MATCH(E858,Cost_Components!$A$2:$A$27,0)),"")</f>
        <v>1</v>
      </c>
      <c r="U858" s="24">
        <f>IFERROR(INDEX(Cost_Components!$Q$2:$Q$27,MATCH(E858,Cost_Components!$A$2:$A$27,0)),"")</f>
        <v>2023</v>
      </c>
      <c r="V858" s="28">
        <f>1/(1+Calculation_Assumptions!$B$5)^(B858-Calculation_Assumptions!$B$2)</f>
        <v>0.49193373633950943</v>
      </c>
      <c r="W858" s="21">
        <f t="shared" si="136"/>
        <v>639464.91650198353</v>
      </c>
      <c r="X858" s="21">
        <f t="shared" si="137"/>
        <v>1847604.0354916435</v>
      </c>
      <c r="Y858" s="21">
        <f t="shared" si="138"/>
        <v>1208139.1189896599</v>
      </c>
      <c r="Z858" s="15">
        <f>IFERROR(INDEX(Cost_Components!$T$2:$T$27,MATCH(E858,Cost_Components!$A$2:$A$27,0)),"")</f>
        <v>0.8</v>
      </c>
      <c r="AA858" s="24">
        <f>IFERROR(INDEX(Cost_Components!$U$2:$U$27,MATCH(E858,Cost_Components!$A$2:$A$27,0)),"")</f>
        <v>2025</v>
      </c>
      <c r="AB858" s="24">
        <f>IFERROR(INDEX(Cost_Components!$V$2:$V$27,MATCH(E858,Cost_Components!$A$2:$A$27,0)),"")</f>
        <v>2050</v>
      </c>
      <c r="AC858" s="24">
        <f>IFERROR(INDEX(Cost_Components!$M$2:$M$27,MATCH(E858,Cost_Components!$A$2:$A$27,0)),"")</f>
        <v>0</v>
      </c>
      <c r="AD858" s="24">
        <f>IFERROR(INDEX(Cost_Components!$N$2:$N$27,MATCH(E858,Cost_Components!$A$2:$A$27,0)),"")</f>
        <v>95</v>
      </c>
      <c r="AE858" s="14" t="str">
        <f>IFERROR(INDEX(Cost_Components!$O$2:$O$27,MATCH(E858,Cost_Components!$A$2:$A$27,0)),"")</f>
        <v>Both</v>
      </c>
      <c r="AF858" s="11">
        <v>135963.05967975699</v>
      </c>
      <c r="AG858" s="11">
        <v>118577.866241739</v>
      </c>
      <c r="AH858" s="21">
        <f t="shared" si="139"/>
        <v>1</v>
      </c>
    </row>
    <row r="859" spans="1:34" hidden="1">
      <c r="A859" t="s">
        <v>75</v>
      </c>
      <c r="B859" s="18">
        <v>2050</v>
      </c>
      <c r="C859" t="s">
        <v>197</v>
      </c>
      <c r="D859" t="s">
        <v>187</v>
      </c>
      <c r="E859" s="20" t="s">
        <v>272</v>
      </c>
      <c r="F859" s="20" t="s">
        <v>273</v>
      </c>
      <c r="G859" s="20" t="s">
        <v>198</v>
      </c>
      <c r="H859" s="20" t="s">
        <v>192</v>
      </c>
      <c r="I859" s="20" t="s">
        <v>264</v>
      </c>
      <c r="J859" s="15">
        <f>IFERROR(INDEX(Cost_Components!$K$2:$K$27,MATCH(E859,Cost_Components!$A$2:$A$27,0)),"")</f>
        <v>1</v>
      </c>
      <c r="K859" s="15">
        <f t="shared" si="130"/>
        <v>0.8</v>
      </c>
      <c r="L859" s="15">
        <f>IFERROR(INDEX(Cost_Components!$S$2:$S$27,MATCH(E859,Cost_Components!$A$2:$A$27,0)),"")</f>
        <v>0.31</v>
      </c>
      <c r="M859" s="26">
        <f>IFERROR(INDEX(Cost_Components!$L$2:$L$27,MATCH(E859,Cost_Components!$A$2:$A$27,0)),"")</f>
        <v>1</v>
      </c>
      <c r="N859" s="27">
        <f>IFERROR(INDEX(Cost_Components!$P$2:$P$27,MATCH(E859,Cost_Components!$A$2:$A$27,0)),"")</f>
        <v>35.362648999999998</v>
      </c>
      <c r="O859" s="21">
        <f t="shared" si="131"/>
        <v>139048.50869075299</v>
      </c>
      <c r="P859" s="21">
        <f t="shared" si="132"/>
        <v>120355.978736713</v>
      </c>
      <c r="Q859" s="21">
        <f t="shared" si="133"/>
        <v>1319392.9316465319</v>
      </c>
      <c r="R859" s="21">
        <f t="shared" si="134"/>
        <v>3933698.8854436381</v>
      </c>
      <c r="S859" s="21">
        <f t="shared" si="135"/>
        <v>2614305.9537971062</v>
      </c>
      <c r="T859" s="14">
        <f>IFERROR(INDEX(Cost_Components!$R$2:$R$27,MATCH(E859,Cost_Components!$A$2:$A$27,0)),"")</f>
        <v>1</v>
      </c>
      <c r="U859" s="24">
        <f>IFERROR(INDEX(Cost_Components!$Q$2:$Q$27,MATCH(E859,Cost_Components!$A$2:$A$27,0)),"")</f>
        <v>2023</v>
      </c>
      <c r="V859" s="28">
        <f>1/(1+Calculation_Assumptions!$B$5)^(B859-Calculation_Assumptions!$B$2)</f>
        <v>0.47760556926165965</v>
      </c>
      <c r="W859" s="21">
        <f t="shared" si="136"/>
        <v>630149.41219885182</v>
      </c>
      <c r="X859" s="21">
        <f t="shared" si="137"/>
        <v>1878756.4954862648</v>
      </c>
      <c r="Y859" s="21">
        <f t="shared" si="138"/>
        <v>1248607.083287413</v>
      </c>
      <c r="Z859" s="15">
        <f>IFERROR(INDEX(Cost_Components!$T$2:$T$27,MATCH(E859,Cost_Components!$A$2:$A$27,0)),"")</f>
        <v>0.8</v>
      </c>
      <c r="AA859" s="24">
        <f>IFERROR(INDEX(Cost_Components!$U$2:$U$27,MATCH(E859,Cost_Components!$A$2:$A$27,0)),"")</f>
        <v>2025</v>
      </c>
      <c r="AB859" s="24">
        <f>IFERROR(INDEX(Cost_Components!$V$2:$V$27,MATCH(E859,Cost_Components!$A$2:$A$27,0)),"")</f>
        <v>2050</v>
      </c>
      <c r="AC859" s="24">
        <f>IFERROR(INDEX(Cost_Components!$M$2:$M$27,MATCH(E859,Cost_Components!$A$2:$A$27,0)),"")</f>
        <v>0</v>
      </c>
      <c r="AD859" s="24">
        <f>IFERROR(INDEX(Cost_Components!$N$2:$N$27,MATCH(E859,Cost_Components!$A$2:$A$27,0)),"")</f>
        <v>95</v>
      </c>
      <c r="AE859" s="14" t="str">
        <f>IFERROR(INDEX(Cost_Components!$O$2:$O$27,MATCH(E859,Cost_Components!$A$2:$A$27,0)),"")</f>
        <v>Both</v>
      </c>
      <c r="AF859" s="11">
        <v>139048.50869075299</v>
      </c>
      <c r="AG859" s="11">
        <v>120355.978736713</v>
      </c>
      <c r="AH859" s="21">
        <f t="shared" si="139"/>
        <v>1</v>
      </c>
    </row>
    <row r="860" spans="1:34" hidden="1">
      <c r="A860" t="s">
        <v>75</v>
      </c>
      <c r="B860" s="18">
        <v>2025</v>
      </c>
      <c r="C860" t="s">
        <v>197</v>
      </c>
      <c r="D860" t="s">
        <v>187</v>
      </c>
      <c r="E860" s="20" t="s">
        <v>275</v>
      </c>
      <c r="F860" s="20" t="s">
        <v>276</v>
      </c>
      <c r="G860" s="20" t="s">
        <v>198</v>
      </c>
      <c r="H860" s="20" t="s">
        <v>192</v>
      </c>
      <c r="I860" s="20" t="s">
        <v>264</v>
      </c>
      <c r="J860" s="15">
        <f>IFERROR(INDEX(Cost_Components!$K$2:$K$27,MATCH(E860,Cost_Components!$A$2:$A$27,0)),"")</f>
        <v>1</v>
      </c>
      <c r="K860" s="15">
        <f t="shared" si="130"/>
        <v>0.32884615384615384</v>
      </c>
      <c r="L860" s="15">
        <f>IFERROR(INDEX(Cost_Components!$S$2:$S$27,MATCH(E860,Cost_Components!$A$2:$A$27,0)),"")</f>
        <v>0.31</v>
      </c>
      <c r="M860" s="26">
        <f>IFERROR(INDEX(Cost_Components!$L$2:$L$27,MATCH(E860,Cost_Components!$A$2:$A$27,0)),"")</f>
        <v>1</v>
      </c>
      <c r="N860" s="27">
        <f>IFERROR(INDEX(Cost_Components!$P$2:$P$27,MATCH(E860,Cost_Components!$A$2:$A$27,0)),"")</f>
        <v>115.10623099999999</v>
      </c>
      <c r="O860" s="21">
        <f t="shared" si="131"/>
        <v>78263.332008683705</v>
      </c>
      <c r="P860" s="21">
        <f t="shared" si="132"/>
        <v>78177.722455986499</v>
      </c>
      <c r="Q860" s="21">
        <f t="shared" si="133"/>
        <v>2789610.3238225272</v>
      </c>
      <c r="R860" s="21">
        <f t="shared" si="134"/>
        <v>2962442.5318973693</v>
      </c>
      <c r="S860" s="21">
        <f t="shared" si="135"/>
        <v>172832.20807484211</v>
      </c>
      <c r="T860" s="14">
        <f>IFERROR(INDEX(Cost_Components!$R$2:$R$27,MATCH(E860,Cost_Components!$A$2:$A$27,0)),"")</f>
        <v>1</v>
      </c>
      <c r="U860" s="24">
        <f>IFERROR(INDEX(Cost_Components!$Q$2:$Q$27,MATCH(E860,Cost_Components!$A$2:$A$27,0)),"")</f>
        <v>2023</v>
      </c>
      <c r="V860" s="28">
        <f>1/(1+Calculation_Assumptions!$B$5)^(B860-Calculation_Assumptions!$B$2)</f>
        <v>1</v>
      </c>
      <c r="W860" s="21">
        <f t="shared" si="136"/>
        <v>2789610.3238225272</v>
      </c>
      <c r="X860" s="21">
        <f t="shared" si="137"/>
        <v>2962442.5318973693</v>
      </c>
      <c r="Y860" s="21">
        <f t="shared" si="138"/>
        <v>172832.20807484211</v>
      </c>
      <c r="Z860" s="15">
        <f>IFERROR(INDEX(Cost_Components!$T$2:$T$27,MATCH(E860,Cost_Components!$A$2:$A$27,0)),"")</f>
        <v>0.8</v>
      </c>
      <c r="AA860" s="24">
        <f>IFERROR(INDEX(Cost_Components!$U$2:$U$27,MATCH(E860,Cost_Components!$A$2:$A$27,0)),"")</f>
        <v>2025</v>
      </c>
      <c r="AB860" s="24">
        <f>IFERROR(INDEX(Cost_Components!$V$2:$V$27,MATCH(E860,Cost_Components!$A$2:$A$27,0)),"")</f>
        <v>2050</v>
      </c>
      <c r="AC860" s="24">
        <f>IFERROR(INDEX(Cost_Components!$M$2:$M$27,MATCH(E860,Cost_Components!$A$2:$A$27,0)),"")</f>
        <v>0</v>
      </c>
      <c r="AD860" s="24">
        <f>IFERROR(INDEX(Cost_Components!$N$2:$N$27,MATCH(E860,Cost_Components!$A$2:$A$27,0)),"")</f>
        <v>95</v>
      </c>
      <c r="AE860" s="14" t="str">
        <f>IFERROR(INDEX(Cost_Components!$O$2:$O$27,MATCH(E860,Cost_Components!$A$2:$A$27,0)),"")</f>
        <v>Both</v>
      </c>
      <c r="AF860" s="11">
        <v>78263.332008683705</v>
      </c>
      <c r="AG860" s="11">
        <v>78177.722455986499</v>
      </c>
      <c r="AH860" s="21">
        <f t="shared" si="139"/>
        <v>1</v>
      </c>
    </row>
    <row r="861" spans="1:34" hidden="1">
      <c r="A861" t="s">
        <v>75</v>
      </c>
      <c r="B861" s="18">
        <v>2026</v>
      </c>
      <c r="C861" t="s">
        <v>197</v>
      </c>
      <c r="D861" t="s">
        <v>187</v>
      </c>
      <c r="E861" s="20" t="s">
        <v>275</v>
      </c>
      <c r="F861" s="20" t="s">
        <v>276</v>
      </c>
      <c r="G861" s="20" t="s">
        <v>198</v>
      </c>
      <c r="H861" s="20" t="s">
        <v>192</v>
      </c>
      <c r="I861" s="20" t="s">
        <v>264</v>
      </c>
      <c r="J861" s="15">
        <f>IFERROR(INDEX(Cost_Components!$K$2:$K$27,MATCH(E861,Cost_Components!$A$2:$A$27,0)),"")</f>
        <v>1</v>
      </c>
      <c r="K861" s="15">
        <f t="shared" si="130"/>
        <v>0.34769230769230769</v>
      </c>
      <c r="L861" s="15">
        <f>IFERROR(INDEX(Cost_Components!$S$2:$S$27,MATCH(E861,Cost_Components!$A$2:$A$27,0)),"")</f>
        <v>0.31</v>
      </c>
      <c r="M861" s="26">
        <f>IFERROR(INDEX(Cost_Components!$L$2:$L$27,MATCH(E861,Cost_Components!$A$2:$A$27,0)),"")</f>
        <v>1</v>
      </c>
      <c r="N861" s="27">
        <f>IFERROR(INDEX(Cost_Components!$P$2:$P$27,MATCH(E861,Cost_Components!$A$2:$A$27,0)),"")</f>
        <v>115.10623099999999</v>
      </c>
      <c r="O861" s="21">
        <f t="shared" si="131"/>
        <v>80190.894280943903</v>
      </c>
      <c r="P861" s="21">
        <f t="shared" si="132"/>
        <v>79946.906612797</v>
      </c>
      <c r="Q861" s="21">
        <f t="shared" si="133"/>
        <v>2852740.0010954919</v>
      </c>
      <c r="R861" s="21">
        <f t="shared" si="134"/>
        <v>3209363.9721091585</v>
      </c>
      <c r="S861" s="21">
        <f t="shared" si="135"/>
        <v>356623.9710136666</v>
      </c>
      <c r="T861" s="14">
        <f>IFERROR(INDEX(Cost_Components!$R$2:$R$27,MATCH(E861,Cost_Components!$A$2:$A$27,0)),"")</f>
        <v>1</v>
      </c>
      <c r="U861" s="24">
        <f>IFERROR(INDEX(Cost_Components!$Q$2:$Q$27,MATCH(E861,Cost_Components!$A$2:$A$27,0)),"")</f>
        <v>2023</v>
      </c>
      <c r="V861" s="28">
        <f>1/(1+Calculation_Assumptions!$B$5)^(B861-Calculation_Assumptions!$B$2)</f>
        <v>0.970873786407767</v>
      </c>
      <c r="W861" s="21">
        <f t="shared" si="136"/>
        <v>2769650.4865004774</v>
      </c>
      <c r="X861" s="21">
        <f t="shared" si="137"/>
        <v>3115887.35156229</v>
      </c>
      <c r="Y861" s="21">
        <f t="shared" si="138"/>
        <v>346236.86506181222</v>
      </c>
      <c r="Z861" s="15">
        <f>IFERROR(INDEX(Cost_Components!$T$2:$T$27,MATCH(E861,Cost_Components!$A$2:$A$27,0)),"")</f>
        <v>0.8</v>
      </c>
      <c r="AA861" s="24">
        <f>IFERROR(INDEX(Cost_Components!$U$2:$U$27,MATCH(E861,Cost_Components!$A$2:$A$27,0)),"")</f>
        <v>2025</v>
      </c>
      <c r="AB861" s="24">
        <f>IFERROR(INDEX(Cost_Components!$V$2:$V$27,MATCH(E861,Cost_Components!$A$2:$A$27,0)),"")</f>
        <v>2050</v>
      </c>
      <c r="AC861" s="24">
        <f>IFERROR(INDEX(Cost_Components!$M$2:$M$27,MATCH(E861,Cost_Components!$A$2:$A$27,0)),"")</f>
        <v>0</v>
      </c>
      <c r="AD861" s="24">
        <f>IFERROR(INDEX(Cost_Components!$N$2:$N$27,MATCH(E861,Cost_Components!$A$2:$A$27,0)),"")</f>
        <v>95</v>
      </c>
      <c r="AE861" s="14" t="str">
        <f>IFERROR(INDEX(Cost_Components!$O$2:$O$27,MATCH(E861,Cost_Components!$A$2:$A$27,0)),"")</f>
        <v>Both</v>
      </c>
      <c r="AF861" s="11">
        <v>80190.894280943903</v>
      </c>
      <c r="AG861" s="11">
        <v>79946.906612797</v>
      </c>
      <c r="AH861" s="21">
        <f t="shared" si="139"/>
        <v>1</v>
      </c>
    </row>
    <row r="862" spans="1:34" hidden="1">
      <c r="A862" t="s">
        <v>75</v>
      </c>
      <c r="B862" s="18">
        <v>2027</v>
      </c>
      <c r="C862" t="s">
        <v>197</v>
      </c>
      <c r="D862" t="s">
        <v>187</v>
      </c>
      <c r="E862" s="20" t="s">
        <v>275</v>
      </c>
      <c r="F862" s="20" t="s">
        <v>276</v>
      </c>
      <c r="G862" s="20" t="s">
        <v>198</v>
      </c>
      <c r="H862" s="20" t="s">
        <v>192</v>
      </c>
      <c r="I862" s="20" t="s">
        <v>264</v>
      </c>
      <c r="J862" s="15">
        <f>IFERROR(INDEX(Cost_Components!$K$2:$K$27,MATCH(E862,Cost_Components!$A$2:$A$27,0)),"")</f>
        <v>1</v>
      </c>
      <c r="K862" s="15">
        <f t="shared" si="130"/>
        <v>0.36653846153846154</v>
      </c>
      <c r="L862" s="15">
        <f>IFERROR(INDEX(Cost_Components!$S$2:$S$27,MATCH(E862,Cost_Components!$A$2:$A$27,0)),"")</f>
        <v>0.31</v>
      </c>
      <c r="M862" s="26">
        <f>IFERROR(INDEX(Cost_Components!$L$2:$L$27,MATCH(E862,Cost_Components!$A$2:$A$27,0)),"")</f>
        <v>1</v>
      </c>
      <c r="N862" s="27">
        <f>IFERROR(INDEX(Cost_Components!$P$2:$P$27,MATCH(E862,Cost_Components!$A$2:$A$27,0)),"")</f>
        <v>115.10623099999999</v>
      </c>
      <c r="O862" s="21">
        <f t="shared" si="131"/>
        <v>82151.363252314099</v>
      </c>
      <c r="P862" s="21">
        <f t="shared" si="132"/>
        <v>81685.048654253798</v>
      </c>
      <c r="Q862" s="21">
        <f t="shared" si="133"/>
        <v>2914762.0046892604</v>
      </c>
      <c r="R862" s="21">
        <f t="shared" si="134"/>
        <v>3466036.7334992099</v>
      </c>
      <c r="S862" s="21">
        <f t="shared" si="135"/>
        <v>551274.72880994948</v>
      </c>
      <c r="T862" s="14">
        <f>IFERROR(INDEX(Cost_Components!$R$2:$R$27,MATCH(E862,Cost_Components!$A$2:$A$27,0)),"")</f>
        <v>1</v>
      </c>
      <c r="U862" s="24">
        <f>IFERROR(INDEX(Cost_Components!$Q$2:$Q$27,MATCH(E862,Cost_Components!$A$2:$A$27,0)),"")</f>
        <v>2023</v>
      </c>
      <c r="V862" s="28">
        <f>1/(1+Calculation_Assumptions!$B$5)^(B862-Calculation_Assumptions!$B$2)</f>
        <v>0.94259590913375435</v>
      </c>
      <c r="W862" s="21">
        <f t="shared" si="136"/>
        <v>2747442.7417185977</v>
      </c>
      <c r="X862" s="21">
        <f t="shared" si="137"/>
        <v>3267072.0459036762</v>
      </c>
      <c r="Y862" s="21">
        <f t="shared" si="138"/>
        <v>519629.30418507819</v>
      </c>
      <c r="Z862" s="15">
        <f>IFERROR(INDEX(Cost_Components!$T$2:$T$27,MATCH(E862,Cost_Components!$A$2:$A$27,0)),"")</f>
        <v>0.8</v>
      </c>
      <c r="AA862" s="24">
        <f>IFERROR(INDEX(Cost_Components!$U$2:$U$27,MATCH(E862,Cost_Components!$A$2:$A$27,0)),"")</f>
        <v>2025</v>
      </c>
      <c r="AB862" s="24">
        <f>IFERROR(INDEX(Cost_Components!$V$2:$V$27,MATCH(E862,Cost_Components!$A$2:$A$27,0)),"")</f>
        <v>2050</v>
      </c>
      <c r="AC862" s="24">
        <f>IFERROR(INDEX(Cost_Components!$M$2:$M$27,MATCH(E862,Cost_Components!$A$2:$A$27,0)),"")</f>
        <v>0</v>
      </c>
      <c r="AD862" s="24">
        <f>IFERROR(INDEX(Cost_Components!$N$2:$N$27,MATCH(E862,Cost_Components!$A$2:$A$27,0)),"")</f>
        <v>95</v>
      </c>
      <c r="AE862" s="14" t="str">
        <f>IFERROR(INDEX(Cost_Components!$O$2:$O$27,MATCH(E862,Cost_Components!$A$2:$A$27,0)),"")</f>
        <v>Both</v>
      </c>
      <c r="AF862" s="11">
        <v>82151.363252314099</v>
      </c>
      <c r="AG862" s="11">
        <v>81685.048654253798</v>
      </c>
      <c r="AH862" s="21">
        <f t="shared" si="139"/>
        <v>1</v>
      </c>
    </row>
    <row r="863" spans="1:34" hidden="1">
      <c r="A863" t="s">
        <v>75</v>
      </c>
      <c r="B863" s="18">
        <v>2028</v>
      </c>
      <c r="C863" t="s">
        <v>197</v>
      </c>
      <c r="D863" t="s">
        <v>187</v>
      </c>
      <c r="E863" s="20" t="s">
        <v>275</v>
      </c>
      <c r="F863" s="20" t="s">
        <v>276</v>
      </c>
      <c r="G863" s="20" t="s">
        <v>198</v>
      </c>
      <c r="H863" s="20" t="s">
        <v>192</v>
      </c>
      <c r="I863" s="20" t="s">
        <v>264</v>
      </c>
      <c r="J863" s="15">
        <f>IFERROR(INDEX(Cost_Components!$K$2:$K$27,MATCH(E863,Cost_Components!$A$2:$A$27,0)),"")</f>
        <v>1</v>
      </c>
      <c r="K863" s="15">
        <f t="shared" si="130"/>
        <v>0.38538461538461538</v>
      </c>
      <c r="L863" s="15">
        <f>IFERROR(INDEX(Cost_Components!$S$2:$S$27,MATCH(E863,Cost_Components!$A$2:$A$27,0)),"")</f>
        <v>0.31</v>
      </c>
      <c r="M863" s="26">
        <f>IFERROR(INDEX(Cost_Components!$L$2:$L$27,MATCH(E863,Cost_Components!$A$2:$A$27,0)),"")</f>
        <v>1</v>
      </c>
      <c r="N863" s="27">
        <f>IFERROR(INDEX(Cost_Components!$P$2:$P$27,MATCH(E863,Cost_Components!$A$2:$A$27,0)),"")</f>
        <v>115.10623099999999</v>
      </c>
      <c r="O863" s="21">
        <f t="shared" si="131"/>
        <v>84133.426014957804</v>
      </c>
      <c r="P863" s="21">
        <f t="shared" si="132"/>
        <v>83387.072966053194</v>
      </c>
      <c r="Q863" s="21">
        <f t="shared" si="133"/>
        <v>2975495.2218057555</v>
      </c>
      <c r="R863" s="21">
        <f t="shared" si="134"/>
        <v>3732173.128014823</v>
      </c>
      <c r="S863" s="21">
        <f t="shared" si="135"/>
        <v>756677.90620906744</v>
      </c>
      <c r="T863" s="14">
        <f>IFERROR(INDEX(Cost_Components!$R$2:$R$27,MATCH(E863,Cost_Components!$A$2:$A$27,0)),"")</f>
        <v>1</v>
      </c>
      <c r="U863" s="24">
        <f>IFERROR(INDEX(Cost_Components!$Q$2:$Q$27,MATCH(E863,Cost_Components!$A$2:$A$27,0)),"")</f>
        <v>2023</v>
      </c>
      <c r="V863" s="28">
        <f>1/(1+Calculation_Assumptions!$B$5)^(B863-Calculation_Assumptions!$B$2)</f>
        <v>0.91514165935315961</v>
      </c>
      <c r="W863" s="21">
        <f t="shared" si="136"/>
        <v>2722999.6346807168</v>
      </c>
      <c r="X863" s="21">
        <f t="shared" si="137"/>
        <v>3415467.1093647573</v>
      </c>
      <c r="Y863" s="21">
        <f t="shared" si="138"/>
        <v>692467.47468404041</v>
      </c>
      <c r="Z863" s="15">
        <f>IFERROR(INDEX(Cost_Components!$T$2:$T$27,MATCH(E863,Cost_Components!$A$2:$A$27,0)),"")</f>
        <v>0.8</v>
      </c>
      <c r="AA863" s="24">
        <f>IFERROR(INDEX(Cost_Components!$U$2:$U$27,MATCH(E863,Cost_Components!$A$2:$A$27,0)),"")</f>
        <v>2025</v>
      </c>
      <c r="AB863" s="24">
        <f>IFERROR(INDEX(Cost_Components!$V$2:$V$27,MATCH(E863,Cost_Components!$A$2:$A$27,0)),"")</f>
        <v>2050</v>
      </c>
      <c r="AC863" s="24">
        <f>IFERROR(INDEX(Cost_Components!$M$2:$M$27,MATCH(E863,Cost_Components!$A$2:$A$27,0)),"")</f>
        <v>0</v>
      </c>
      <c r="AD863" s="24">
        <f>IFERROR(INDEX(Cost_Components!$N$2:$N$27,MATCH(E863,Cost_Components!$A$2:$A$27,0)),"")</f>
        <v>95</v>
      </c>
      <c r="AE863" s="14" t="str">
        <f>IFERROR(INDEX(Cost_Components!$O$2:$O$27,MATCH(E863,Cost_Components!$A$2:$A$27,0)),"")</f>
        <v>Both</v>
      </c>
      <c r="AF863" s="11">
        <v>84133.426014957804</v>
      </c>
      <c r="AG863" s="11">
        <v>83387.072966053194</v>
      </c>
      <c r="AH863" s="21">
        <f t="shared" si="139"/>
        <v>1</v>
      </c>
    </row>
    <row r="864" spans="1:34" hidden="1">
      <c r="A864" t="s">
        <v>75</v>
      </c>
      <c r="B864" s="18">
        <v>2029</v>
      </c>
      <c r="C864" t="s">
        <v>197</v>
      </c>
      <c r="D864" t="s">
        <v>187</v>
      </c>
      <c r="E864" s="20" t="s">
        <v>275</v>
      </c>
      <c r="F864" s="20" t="s">
        <v>276</v>
      </c>
      <c r="G864" s="20" t="s">
        <v>198</v>
      </c>
      <c r="H864" s="20" t="s">
        <v>192</v>
      </c>
      <c r="I864" s="20" t="s">
        <v>264</v>
      </c>
      <c r="J864" s="15">
        <f>IFERROR(INDEX(Cost_Components!$K$2:$K$27,MATCH(E864,Cost_Components!$A$2:$A$27,0)),"")</f>
        <v>1</v>
      </c>
      <c r="K864" s="15">
        <f t="shared" si="130"/>
        <v>0.40423076923076923</v>
      </c>
      <c r="L864" s="15">
        <f>IFERROR(INDEX(Cost_Components!$S$2:$S$27,MATCH(E864,Cost_Components!$A$2:$A$27,0)),"")</f>
        <v>0.31</v>
      </c>
      <c r="M864" s="26">
        <f>IFERROR(INDEX(Cost_Components!$L$2:$L$27,MATCH(E864,Cost_Components!$A$2:$A$27,0)),"")</f>
        <v>1</v>
      </c>
      <c r="N864" s="27">
        <f>IFERROR(INDEX(Cost_Components!$P$2:$P$27,MATCH(E864,Cost_Components!$A$2:$A$27,0)),"")</f>
        <v>115.10623099999999</v>
      </c>
      <c r="O864" s="21">
        <f t="shared" si="131"/>
        <v>86129.515852807395</v>
      </c>
      <c r="P864" s="21">
        <f t="shared" si="132"/>
        <v>85049.897381939096</v>
      </c>
      <c r="Q864" s="21">
        <f t="shared" si="133"/>
        <v>3034829.6717172507</v>
      </c>
      <c r="R864" s="21">
        <f t="shared" si="134"/>
        <v>4007561.6111548659</v>
      </c>
      <c r="S864" s="21">
        <f t="shared" si="135"/>
        <v>972731.93943761522</v>
      </c>
      <c r="T864" s="14">
        <f>IFERROR(INDEX(Cost_Components!$R$2:$R$27,MATCH(E864,Cost_Components!$A$2:$A$27,0)),"")</f>
        <v>1</v>
      </c>
      <c r="U864" s="24">
        <f>IFERROR(INDEX(Cost_Components!$Q$2:$Q$27,MATCH(E864,Cost_Components!$A$2:$A$27,0)),"")</f>
        <v>2023</v>
      </c>
      <c r="V864" s="28">
        <f>1/(1+Calculation_Assumptions!$B$5)^(B864-Calculation_Assumptions!$B$2)</f>
        <v>0.888487047915689</v>
      </c>
      <c r="W864" s="21">
        <f t="shared" si="136"/>
        <v>2696406.8559509995</v>
      </c>
      <c r="X864" s="21">
        <f t="shared" si="137"/>
        <v>3560666.5852352292</v>
      </c>
      <c r="Y864" s="21">
        <f t="shared" si="138"/>
        <v>864259.72928422957</v>
      </c>
      <c r="Z864" s="15">
        <f>IFERROR(INDEX(Cost_Components!$T$2:$T$27,MATCH(E864,Cost_Components!$A$2:$A$27,0)),"")</f>
        <v>0.8</v>
      </c>
      <c r="AA864" s="24">
        <f>IFERROR(INDEX(Cost_Components!$U$2:$U$27,MATCH(E864,Cost_Components!$A$2:$A$27,0)),"")</f>
        <v>2025</v>
      </c>
      <c r="AB864" s="24">
        <f>IFERROR(INDEX(Cost_Components!$V$2:$V$27,MATCH(E864,Cost_Components!$A$2:$A$27,0)),"")</f>
        <v>2050</v>
      </c>
      <c r="AC864" s="24">
        <f>IFERROR(INDEX(Cost_Components!$M$2:$M$27,MATCH(E864,Cost_Components!$A$2:$A$27,0)),"")</f>
        <v>0</v>
      </c>
      <c r="AD864" s="24">
        <f>IFERROR(INDEX(Cost_Components!$N$2:$N$27,MATCH(E864,Cost_Components!$A$2:$A$27,0)),"")</f>
        <v>95</v>
      </c>
      <c r="AE864" s="14" t="str">
        <f>IFERROR(INDEX(Cost_Components!$O$2:$O$27,MATCH(E864,Cost_Components!$A$2:$A$27,0)),"")</f>
        <v>Both</v>
      </c>
      <c r="AF864" s="11">
        <v>86129.515852807395</v>
      </c>
      <c r="AG864" s="11">
        <v>85049.897381939096</v>
      </c>
      <c r="AH864" s="21">
        <f t="shared" si="139"/>
        <v>1</v>
      </c>
    </row>
    <row r="865" spans="1:34" hidden="1">
      <c r="A865" t="s">
        <v>75</v>
      </c>
      <c r="B865" s="18">
        <v>2030</v>
      </c>
      <c r="C865" t="s">
        <v>197</v>
      </c>
      <c r="D865" t="s">
        <v>187</v>
      </c>
      <c r="E865" s="20" t="s">
        <v>275</v>
      </c>
      <c r="F865" s="20" t="s">
        <v>276</v>
      </c>
      <c r="G865" s="20" t="s">
        <v>198</v>
      </c>
      <c r="H865" s="20" t="s">
        <v>192</v>
      </c>
      <c r="I865" s="20" t="s">
        <v>264</v>
      </c>
      <c r="J865" s="15">
        <f>IFERROR(INDEX(Cost_Components!$K$2:$K$27,MATCH(E865,Cost_Components!$A$2:$A$27,0)),"")</f>
        <v>1</v>
      </c>
      <c r="K865" s="15">
        <f t="shared" si="130"/>
        <v>0.42307692307692307</v>
      </c>
      <c r="L865" s="15">
        <f>IFERROR(INDEX(Cost_Components!$S$2:$S$27,MATCH(E865,Cost_Components!$A$2:$A$27,0)),"")</f>
        <v>0.31</v>
      </c>
      <c r="M865" s="26">
        <f>IFERROR(INDEX(Cost_Components!$L$2:$L$27,MATCH(E865,Cost_Components!$A$2:$A$27,0)),"")</f>
        <v>1</v>
      </c>
      <c r="N865" s="27">
        <f>IFERROR(INDEX(Cost_Components!$P$2:$P$27,MATCH(E865,Cost_Components!$A$2:$A$27,0)),"")</f>
        <v>115.10623099999999</v>
      </c>
      <c r="O865" s="21">
        <f t="shared" si="131"/>
        <v>88135.857254460701</v>
      </c>
      <c r="P865" s="21">
        <f t="shared" si="132"/>
        <v>86672.837931488</v>
      </c>
      <c r="Q865" s="21">
        <f t="shared" si="133"/>
        <v>3092740.9483539001</v>
      </c>
      <c r="R865" s="21">
        <f t="shared" si="134"/>
        <v>4292109.6072947979</v>
      </c>
      <c r="S865" s="21">
        <f t="shared" si="135"/>
        <v>1199368.6589408978</v>
      </c>
      <c r="T865" s="14">
        <f>IFERROR(INDEX(Cost_Components!$R$2:$R$27,MATCH(E865,Cost_Components!$A$2:$A$27,0)),"")</f>
        <v>1</v>
      </c>
      <c r="U865" s="24">
        <f>IFERROR(INDEX(Cost_Components!$Q$2:$Q$27,MATCH(E865,Cost_Components!$A$2:$A$27,0)),"")</f>
        <v>2023</v>
      </c>
      <c r="V865" s="28">
        <f>1/(1+Calculation_Assumptions!$B$5)^(B865-Calculation_Assumptions!$B$2)</f>
        <v>0.86260878438416411</v>
      </c>
      <c r="W865" s="21">
        <f t="shared" si="136"/>
        <v>2667825.5098746847</v>
      </c>
      <c r="X865" s="21">
        <f t="shared" si="137"/>
        <v>3702411.4507921576</v>
      </c>
      <c r="Y865" s="21">
        <f t="shared" si="138"/>
        <v>1034585.9409174729</v>
      </c>
      <c r="Z865" s="15">
        <f>IFERROR(INDEX(Cost_Components!$T$2:$T$27,MATCH(E865,Cost_Components!$A$2:$A$27,0)),"")</f>
        <v>0.8</v>
      </c>
      <c r="AA865" s="24">
        <f>IFERROR(INDEX(Cost_Components!$U$2:$U$27,MATCH(E865,Cost_Components!$A$2:$A$27,0)),"")</f>
        <v>2025</v>
      </c>
      <c r="AB865" s="24">
        <f>IFERROR(INDEX(Cost_Components!$V$2:$V$27,MATCH(E865,Cost_Components!$A$2:$A$27,0)),"")</f>
        <v>2050</v>
      </c>
      <c r="AC865" s="24">
        <f>IFERROR(INDEX(Cost_Components!$M$2:$M$27,MATCH(E865,Cost_Components!$A$2:$A$27,0)),"")</f>
        <v>0</v>
      </c>
      <c r="AD865" s="24">
        <f>IFERROR(INDEX(Cost_Components!$N$2:$N$27,MATCH(E865,Cost_Components!$A$2:$A$27,0)),"")</f>
        <v>95</v>
      </c>
      <c r="AE865" s="14" t="str">
        <f>IFERROR(INDEX(Cost_Components!$O$2:$O$27,MATCH(E865,Cost_Components!$A$2:$A$27,0)),"")</f>
        <v>Both</v>
      </c>
      <c r="AF865" s="11">
        <v>88135.857254460701</v>
      </c>
      <c r="AG865" s="11">
        <v>86672.837931488</v>
      </c>
      <c r="AH865" s="21">
        <f t="shared" si="139"/>
        <v>1</v>
      </c>
    </row>
    <row r="866" spans="1:34" hidden="1">
      <c r="A866" t="s">
        <v>75</v>
      </c>
      <c r="B866" s="18">
        <v>2031</v>
      </c>
      <c r="C866" t="s">
        <v>197</v>
      </c>
      <c r="D866" t="s">
        <v>187</v>
      </c>
      <c r="E866" s="20" t="s">
        <v>275</v>
      </c>
      <c r="F866" s="20" t="s">
        <v>276</v>
      </c>
      <c r="G866" s="20" t="s">
        <v>198</v>
      </c>
      <c r="H866" s="20" t="s">
        <v>192</v>
      </c>
      <c r="I866" s="20" t="s">
        <v>264</v>
      </c>
      <c r="J866" s="15">
        <f>IFERROR(INDEX(Cost_Components!$K$2:$K$27,MATCH(E866,Cost_Components!$A$2:$A$27,0)),"")</f>
        <v>1</v>
      </c>
      <c r="K866" s="15">
        <f t="shared" si="130"/>
        <v>0.44192307692307692</v>
      </c>
      <c r="L866" s="15">
        <f>IFERROR(INDEX(Cost_Components!$S$2:$S$27,MATCH(E866,Cost_Components!$A$2:$A$27,0)),"")</f>
        <v>0.31</v>
      </c>
      <c r="M866" s="26">
        <f>IFERROR(INDEX(Cost_Components!$L$2:$L$27,MATCH(E866,Cost_Components!$A$2:$A$27,0)),"")</f>
        <v>1</v>
      </c>
      <c r="N866" s="27">
        <f>IFERROR(INDEX(Cost_Components!$P$2:$P$27,MATCH(E866,Cost_Components!$A$2:$A$27,0)),"")</f>
        <v>115.10623099999999</v>
      </c>
      <c r="O866" s="21">
        <f t="shared" si="131"/>
        <v>90155.673409573807</v>
      </c>
      <c r="P866" s="21">
        <f t="shared" si="132"/>
        <v>88261.326534887907</v>
      </c>
      <c r="Q866" s="21">
        <f t="shared" si="133"/>
        <v>3149422.8785522832</v>
      </c>
      <c r="R866" s="21">
        <f t="shared" si="134"/>
        <v>4586047.7904192163</v>
      </c>
      <c r="S866" s="21">
        <f t="shared" si="135"/>
        <v>1436624.9118669331</v>
      </c>
      <c r="T866" s="14">
        <f>IFERROR(INDEX(Cost_Components!$R$2:$R$27,MATCH(E866,Cost_Components!$A$2:$A$27,0)),"")</f>
        <v>1</v>
      </c>
      <c r="U866" s="24">
        <f>IFERROR(INDEX(Cost_Components!$Q$2:$Q$27,MATCH(E866,Cost_Components!$A$2:$A$27,0)),"")</f>
        <v>2023</v>
      </c>
      <c r="V866" s="28">
        <f>1/(1+Calculation_Assumptions!$B$5)^(B866-Calculation_Assumptions!$B$2)</f>
        <v>0.83748425668365445</v>
      </c>
      <c r="W866" s="21">
        <f t="shared" si="136"/>
        <v>2637592.0784268542</v>
      </c>
      <c r="X866" s="21">
        <f t="shared" si="137"/>
        <v>3840742.8248749534</v>
      </c>
      <c r="Y866" s="21">
        <f t="shared" si="138"/>
        <v>1203150.7464480991</v>
      </c>
      <c r="Z866" s="15">
        <f>IFERROR(INDEX(Cost_Components!$T$2:$T$27,MATCH(E866,Cost_Components!$A$2:$A$27,0)),"")</f>
        <v>0.8</v>
      </c>
      <c r="AA866" s="24">
        <f>IFERROR(INDEX(Cost_Components!$U$2:$U$27,MATCH(E866,Cost_Components!$A$2:$A$27,0)),"")</f>
        <v>2025</v>
      </c>
      <c r="AB866" s="24">
        <f>IFERROR(INDEX(Cost_Components!$V$2:$V$27,MATCH(E866,Cost_Components!$A$2:$A$27,0)),"")</f>
        <v>2050</v>
      </c>
      <c r="AC866" s="24">
        <f>IFERROR(INDEX(Cost_Components!$M$2:$M$27,MATCH(E866,Cost_Components!$A$2:$A$27,0)),"")</f>
        <v>0</v>
      </c>
      <c r="AD866" s="24">
        <f>IFERROR(INDEX(Cost_Components!$N$2:$N$27,MATCH(E866,Cost_Components!$A$2:$A$27,0)),"")</f>
        <v>95</v>
      </c>
      <c r="AE866" s="14" t="str">
        <f>IFERROR(INDEX(Cost_Components!$O$2:$O$27,MATCH(E866,Cost_Components!$A$2:$A$27,0)),"")</f>
        <v>Both</v>
      </c>
      <c r="AF866" s="11">
        <v>90155.673409573807</v>
      </c>
      <c r="AG866" s="11">
        <v>88261.326534887907</v>
      </c>
      <c r="AH866" s="21">
        <f t="shared" si="139"/>
        <v>1</v>
      </c>
    </row>
    <row r="867" spans="1:34" hidden="1">
      <c r="A867" t="s">
        <v>75</v>
      </c>
      <c r="B867" s="18">
        <v>2032</v>
      </c>
      <c r="C867" t="s">
        <v>197</v>
      </c>
      <c r="D867" t="s">
        <v>187</v>
      </c>
      <c r="E867" s="20" t="s">
        <v>275</v>
      </c>
      <c r="F867" s="20" t="s">
        <v>276</v>
      </c>
      <c r="G867" s="20" t="s">
        <v>198</v>
      </c>
      <c r="H867" s="20" t="s">
        <v>192</v>
      </c>
      <c r="I867" s="20" t="s">
        <v>264</v>
      </c>
      <c r="J867" s="15">
        <f>IFERROR(INDEX(Cost_Components!$K$2:$K$27,MATCH(E867,Cost_Components!$A$2:$A$27,0)),"")</f>
        <v>1</v>
      </c>
      <c r="K867" s="15">
        <f t="shared" si="130"/>
        <v>0.46076923076923082</v>
      </c>
      <c r="L867" s="15">
        <f>IFERROR(INDEX(Cost_Components!$S$2:$S$27,MATCH(E867,Cost_Components!$A$2:$A$27,0)),"")</f>
        <v>0.31</v>
      </c>
      <c r="M867" s="26">
        <f>IFERROR(INDEX(Cost_Components!$L$2:$L$27,MATCH(E867,Cost_Components!$A$2:$A$27,0)),"")</f>
        <v>1</v>
      </c>
      <c r="N867" s="27">
        <f>IFERROR(INDEX(Cost_Components!$P$2:$P$27,MATCH(E867,Cost_Components!$A$2:$A$27,0)),"")</f>
        <v>115.10623099999999</v>
      </c>
      <c r="O867" s="21">
        <f t="shared" si="131"/>
        <v>92196.427560205397</v>
      </c>
      <c r="P867" s="21">
        <f t="shared" si="132"/>
        <v>89824.839885340101</v>
      </c>
      <c r="Q867" s="21">
        <f t="shared" si="133"/>
        <v>3205213.6185077908</v>
      </c>
      <c r="R867" s="21">
        <f t="shared" si="134"/>
        <v>4889859.6842951868</v>
      </c>
      <c r="S867" s="21">
        <f t="shared" si="135"/>
        <v>1684646.0657873959</v>
      </c>
      <c r="T867" s="14">
        <f>IFERROR(INDEX(Cost_Components!$R$2:$R$27,MATCH(E867,Cost_Components!$A$2:$A$27,0)),"")</f>
        <v>1</v>
      </c>
      <c r="U867" s="24">
        <f>IFERROR(INDEX(Cost_Components!$Q$2:$Q$27,MATCH(E867,Cost_Components!$A$2:$A$27,0)),"")</f>
        <v>2023</v>
      </c>
      <c r="V867" s="28">
        <f>1/(1+Calculation_Assumptions!$B$5)^(B867-Calculation_Assumptions!$B$2)</f>
        <v>0.81309151134335378</v>
      </c>
      <c r="W867" s="21">
        <f t="shared" si="136"/>
        <v>2606131.9852507995</v>
      </c>
      <c r="X867" s="21">
        <f t="shared" si="137"/>
        <v>3975903.4009605083</v>
      </c>
      <c r="Y867" s="21">
        <f t="shared" si="138"/>
        <v>1369771.4157097088</v>
      </c>
      <c r="Z867" s="15">
        <f>IFERROR(INDEX(Cost_Components!$T$2:$T$27,MATCH(E867,Cost_Components!$A$2:$A$27,0)),"")</f>
        <v>0.8</v>
      </c>
      <c r="AA867" s="24">
        <f>IFERROR(INDEX(Cost_Components!$U$2:$U$27,MATCH(E867,Cost_Components!$A$2:$A$27,0)),"")</f>
        <v>2025</v>
      </c>
      <c r="AB867" s="24">
        <f>IFERROR(INDEX(Cost_Components!$V$2:$V$27,MATCH(E867,Cost_Components!$A$2:$A$27,0)),"")</f>
        <v>2050</v>
      </c>
      <c r="AC867" s="24">
        <f>IFERROR(INDEX(Cost_Components!$M$2:$M$27,MATCH(E867,Cost_Components!$A$2:$A$27,0)),"")</f>
        <v>0</v>
      </c>
      <c r="AD867" s="24">
        <f>IFERROR(INDEX(Cost_Components!$N$2:$N$27,MATCH(E867,Cost_Components!$A$2:$A$27,0)),"")</f>
        <v>95</v>
      </c>
      <c r="AE867" s="14" t="str">
        <f>IFERROR(INDEX(Cost_Components!$O$2:$O$27,MATCH(E867,Cost_Components!$A$2:$A$27,0)),"")</f>
        <v>Both</v>
      </c>
      <c r="AF867" s="11">
        <v>92196.427560205397</v>
      </c>
      <c r="AG867" s="11">
        <v>89824.839885340101</v>
      </c>
      <c r="AH867" s="21">
        <f t="shared" si="139"/>
        <v>1</v>
      </c>
    </row>
    <row r="868" spans="1:34" hidden="1">
      <c r="A868" t="s">
        <v>75</v>
      </c>
      <c r="B868" s="18">
        <v>2033</v>
      </c>
      <c r="C868" t="s">
        <v>197</v>
      </c>
      <c r="D868" t="s">
        <v>187</v>
      </c>
      <c r="E868" s="20" t="s">
        <v>275</v>
      </c>
      <c r="F868" s="20" t="s">
        <v>276</v>
      </c>
      <c r="G868" s="20" t="s">
        <v>198</v>
      </c>
      <c r="H868" s="20" t="s">
        <v>192</v>
      </c>
      <c r="I868" s="20" t="s">
        <v>264</v>
      </c>
      <c r="J868" s="15">
        <f>IFERROR(INDEX(Cost_Components!$K$2:$K$27,MATCH(E868,Cost_Components!$A$2:$A$27,0)),"")</f>
        <v>1</v>
      </c>
      <c r="K868" s="15">
        <f t="shared" si="130"/>
        <v>0.47961538461538467</v>
      </c>
      <c r="L868" s="15">
        <f>IFERROR(INDEX(Cost_Components!$S$2:$S$27,MATCH(E868,Cost_Components!$A$2:$A$27,0)),"")</f>
        <v>0.31</v>
      </c>
      <c r="M868" s="26">
        <f>IFERROR(INDEX(Cost_Components!$L$2:$L$27,MATCH(E868,Cost_Components!$A$2:$A$27,0)),"")</f>
        <v>1</v>
      </c>
      <c r="N868" s="27">
        <f>IFERROR(INDEX(Cost_Components!$P$2:$P$27,MATCH(E868,Cost_Components!$A$2:$A$27,0)),"")</f>
        <v>115.10623099999999</v>
      </c>
      <c r="O868" s="21">
        <f t="shared" si="131"/>
        <v>94266.706555511206</v>
      </c>
      <c r="P868" s="21">
        <f t="shared" si="132"/>
        <v>91373.697993231603</v>
      </c>
      <c r="Q868" s="21">
        <f t="shared" si="133"/>
        <v>3260481.4164452776</v>
      </c>
      <c r="R868" s="21">
        <f t="shared" si="134"/>
        <v>5204155.6036860375</v>
      </c>
      <c r="S868" s="21">
        <f t="shared" si="135"/>
        <v>1943674.1872407598</v>
      </c>
      <c r="T868" s="14">
        <f>IFERROR(INDEX(Cost_Components!$R$2:$R$27,MATCH(E868,Cost_Components!$A$2:$A$27,0)),"")</f>
        <v>1</v>
      </c>
      <c r="U868" s="24">
        <f>IFERROR(INDEX(Cost_Components!$Q$2:$Q$27,MATCH(E868,Cost_Components!$A$2:$A$27,0)),"")</f>
        <v>2023</v>
      </c>
      <c r="V868" s="28">
        <f>1/(1+Calculation_Assumptions!$B$5)^(B868-Calculation_Assumptions!$B$2)</f>
        <v>0.78940923431393573</v>
      </c>
      <c r="W868" s="21">
        <f t="shared" si="136"/>
        <v>2573854.1384508833</v>
      </c>
      <c r="X868" s="21">
        <f t="shared" si="137"/>
        <v>4108208.4903563727</v>
      </c>
      <c r="Y868" s="21">
        <f t="shared" si="138"/>
        <v>1534354.3519054896</v>
      </c>
      <c r="Z868" s="15">
        <f>IFERROR(INDEX(Cost_Components!$T$2:$T$27,MATCH(E868,Cost_Components!$A$2:$A$27,0)),"")</f>
        <v>0.8</v>
      </c>
      <c r="AA868" s="24">
        <f>IFERROR(INDEX(Cost_Components!$U$2:$U$27,MATCH(E868,Cost_Components!$A$2:$A$27,0)),"")</f>
        <v>2025</v>
      </c>
      <c r="AB868" s="24">
        <f>IFERROR(INDEX(Cost_Components!$V$2:$V$27,MATCH(E868,Cost_Components!$A$2:$A$27,0)),"")</f>
        <v>2050</v>
      </c>
      <c r="AC868" s="24">
        <f>IFERROR(INDEX(Cost_Components!$M$2:$M$27,MATCH(E868,Cost_Components!$A$2:$A$27,0)),"")</f>
        <v>0</v>
      </c>
      <c r="AD868" s="24">
        <f>IFERROR(INDEX(Cost_Components!$N$2:$N$27,MATCH(E868,Cost_Components!$A$2:$A$27,0)),"")</f>
        <v>95</v>
      </c>
      <c r="AE868" s="14" t="str">
        <f>IFERROR(INDEX(Cost_Components!$O$2:$O$27,MATCH(E868,Cost_Components!$A$2:$A$27,0)),"")</f>
        <v>Both</v>
      </c>
      <c r="AF868" s="11">
        <v>94266.706555511206</v>
      </c>
      <c r="AG868" s="11">
        <v>91373.697993231603</v>
      </c>
      <c r="AH868" s="21">
        <f t="shared" si="139"/>
        <v>1</v>
      </c>
    </row>
    <row r="869" spans="1:34" hidden="1">
      <c r="A869" t="s">
        <v>75</v>
      </c>
      <c r="B869" s="18">
        <v>2034</v>
      </c>
      <c r="C869" t="s">
        <v>197</v>
      </c>
      <c r="D869" t="s">
        <v>187</v>
      </c>
      <c r="E869" s="20" t="s">
        <v>275</v>
      </c>
      <c r="F869" s="20" t="s">
        <v>276</v>
      </c>
      <c r="G869" s="20" t="s">
        <v>198</v>
      </c>
      <c r="H869" s="20" t="s">
        <v>192</v>
      </c>
      <c r="I869" s="20" t="s">
        <v>264</v>
      </c>
      <c r="J869" s="15">
        <f>IFERROR(INDEX(Cost_Components!$K$2:$K$27,MATCH(E869,Cost_Components!$A$2:$A$27,0)),"")</f>
        <v>1</v>
      </c>
      <c r="K869" s="15">
        <f t="shared" si="130"/>
        <v>0.49846153846153851</v>
      </c>
      <c r="L869" s="15">
        <f>IFERROR(INDEX(Cost_Components!$S$2:$S$27,MATCH(E869,Cost_Components!$A$2:$A$27,0)),"")</f>
        <v>0.31</v>
      </c>
      <c r="M869" s="26">
        <f>IFERROR(INDEX(Cost_Components!$L$2:$L$27,MATCH(E869,Cost_Components!$A$2:$A$27,0)),"")</f>
        <v>1</v>
      </c>
      <c r="N869" s="27">
        <f>IFERROR(INDEX(Cost_Components!$P$2:$P$27,MATCH(E869,Cost_Components!$A$2:$A$27,0)),"")</f>
        <v>115.10623099999999</v>
      </c>
      <c r="O869" s="21">
        <f t="shared" si="131"/>
        <v>96371.579146808304</v>
      </c>
      <c r="P869" s="21">
        <f t="shared" si="132"/>
        <v>92913.992066664694</v>
      </c>
      <c r="Q869" s="21">
        <f t="shared" si="133"/>
        <v>3315443.6245268788</v>
      </c>
      <c r="R869" s="21">
        <f t="shared" si="134"/>
        <v>5529418.5190134849</v>
      </c>
      <c r="S869" s="21">
        <f t="shared" si="135"/>
        <v>2213974.8944866061</v>
      </c>
      <c r="T869" s="14">
        <f>IFERROR(INDEX(Cost_Components!$R$2:$R$27,MATCH(E869,Cost_Components!$A$2:$A$27,0)),"")</f>
        <v>1</v>
      </c>
      <c r="U869" s="24">
        <f>IFERROR(INDEX(Cost_Components!$Q$2:$Q$27,MATCH(E869,Cost_Components!$A$2:$A$27,0)),"")</f>
        <v>2023</v>
      </c>
      <c r="V869" s="28">
        <f>1/(1+Calculation_Assumptions!$B$5)^(B869-Calculation_Assumptions!$B$2)</f>
        <v>0.76641673234362695</v>
      </c>
      <c r="W869" s="21">
        <f t="shared" si="136"/>
        <v>2541011.4689794015</v>
      </c>
      <c r="X869" s="21">
        <f t="shared" si="137"/>
        <v>4237838.8731026519</v>
      </c>
      <c r="Y869" s="21">
        <f t="shared" si="138"/>
        <v>1696827.4041232509</v>
      </c>
      <c r="Z869" s="15">
        <f>IFERROR(INDEX(Cost_Components!$T$2:$T$27,MATCH(E869,Cost_Components!$A$2:$A$27,0)),"")</f>
        <v>0.8</v>
      </c>
      <c r="AA869" s="24">
        <f>IFERROR(INDEX(Cost_Components!$U$2:$U$27,MATCH(E869,Cost_Components!$A$2:$A$27,0)),"")</f>
        <v>2025</v>
      </c>
      <c r="AB869" s="24">
        <f>IFERROR(INDEX(Cost_Components!$V$2:$V$27,MATCH(E869,Cost_Components!$A$2:$A$27,0)),"")</f>
        <v>2050</v>
      </c>
      <c r="AC869" s="24">
        <f>IFERROR(INDEX(Cost_Components!$M$2:$M$27,MATCH(E869,Cost_Components!$A$2:$A$27,0)),"")</f>
        <v>0</v>
      </c>
      <c r="AD869" s="24">
        <f>IFERROR(INDEX(Cost_Components!$N$2:$N$27,MATCH(E869,Cost_Components!$A$2:$A$27,0)),"")</f>
        <v>95</v>
      </c>
      <c r="AE869" s="14" t="str">
        <f>IFERROR(INDEX(Cost_Components!$O$2:$O$27,MATCH(E869,Cost_Components!$A$2:$A$27,0)),"")</f>
        <v>Both</v>
      </c>
      <c r="AF869" s="11">
        <v>96371.579146808304</v>
      </c>
      <c r="AG869" s="11">
        <v>92913.992066664694</v>
      </c>
      <c r="AH869" s="21">
        <f t="shared" si="139"/>
        <v>1</v>
      </c>
    </row>
    <row r="870" spans="1:34" hidden="1">
      <c r="A870" t="s">
        <v>75</v>
      </c>
      <c r="B870" s="18">
        <v>2035</v>
      </c>
      <c r="C870" t="s">
        <v>197</v>
      </c>
      <c r="D870" t="s">
        <v>187</v>
      </c>
      <c r="E870" s="20" t="s">
        <v>275</v>
      </c>
      <c r="F870" s="20" t="s">
        <v>276</v>
      </c>
      <c r="G870" s="20" t="s">
        <v>198</v>
      </c>
      <c r="H870" s="20" t="s">
        <v>192</v>
      </c>
      <c r="I870" s="20" t="s">
        <v>264</v>
      </c>
      <c r="J870" s="15">
        <f>IFERROR(INDEX(Cost_Components!$K$2:$K$27,MATCH(E870,Cost_Components!$A$2:$A$27,0)),"")</f>
        <v>1</v>
      </c>
      <c r="K870" s="15">
        <f t="shared" si="130"/>
        <v>0.51730769230769236</v>
      </c>
      <c r="L870" s="15">
        <f>IFERROR(INDEX(Cost_Components!$S$2:$S$27,MATCH(E870,Cost_Components!$A$2:$A$27,0)),"")</f>
        <v>0.31</v>
      </c>
      <c r="M870" s="26">
        <f>IFERROR(INDEX(Cost_Components!$L$2:$L$27,MATCH(E870,Cost_Components!$A$2:$A$27,0)),"")</f>
        <v>1</v>
      </c>
      <c r="N870" s="27">
        <f>IFERROR(INDEX(Cost_Components!$P$2:$P$27,MATCH(E870,Cost_Components!$A$2:$A$27,0)),"")</f>
        <v>115.10623099999999</v>
      </c>
      <c r="O870" s="21">
        <f t="shared" si="131"/>
        <v>98517.646447849795</v>
      </c>
      <c r="P870" s="21">
        <f t="shared" si="132"/>
        <v>94452.800261580502</v>
      </c>
      <c r="Q870" s="21">
        <f t="shared" si="133"/>
        <v>3370352.812106967</v>
      </c>
      <c r="R870" s="21">
        <f t="shared" si="134"/>
        <v>5866266.6285059238</v>
      </c>
      <c r="S870" s="21">
        <f t="shared" si="135"/>
        <v>2495913.8163989568</v>
      </c>
      <c r="T870" s="14">
        <f>IFERROR(INDEX(Cost_Components!$R$2:$R$27,MATCH(E870,Cost_Components!$A$2:$A$27,0)),"")</f>
        <v>1</v>
      </c>
      <c r="U870" s="24">
        <f>IFERROR(INDEX(Cost_Components!$Q$2:$Q$27,MATCH(E870,Cost_Components!$A$2:$A$27,0)),"")</f>
        <v>2023</v>
      </c>
      <c r="V870" s="28">
        <f>1/(1+Calculation_Assumptions!$B$5)^(B870-Calculation_Assumptions!$B$2)</f>
        <v>0.74409391489672516</v>
      </c>
      <c r="W870" s="21">
        <f t="shared" si="136"/>
        <v>2507859.0185438599</v>
      </c>
      <c r="X870" s="21">
        <f t="shared" si="137"/>
        <v>4365053.3014329858</v>
      </c>
      <c r="Y870" s="21">
        <f t="shared" si="138"/>
        <v>1857194.2828891259</v>
      </c>
      <c r="Z870" s="15">
        <f>IFERROR(INDEX(Cost_Components!$T$2:$T$27,MATCH(E870,Cost_Components!$A$2:$A$27,0)),"")</f>
        <v>0.8</v>
      </c>
      <c r="AA870" s="24">
        <f>IFERROR(INDEX(Cost_Components!$U$2:$U$27,MATCH(E870,Cost_Components!$A$2:$A$27,0)),"")</f>
        <v>2025</v>
      </c>
      <c r="AB870" s="24">
        <f>IFERROR(INDEX(Cost_Components!$V$2:$V$27,MATCH(E870,Cost_Components!$A$2:$A$27,0)),"")</f>
        <v>2050</v>
      </c>
      <c r="AC870" s="24">
        <f>IFERROR(INDEX(Cost_Components!$M$2:$M$27,MATCH(E870,Cost_Components!$A$2:$A$27,0)),"")</f>
        <v>0</v>
      </c>
      <c r="AD870" s="24">
        <f>IFERROR(INDEX(Cost_Components!$N$2:$N$27,MATCH(E870,Cost_Components!$A$2:$A$27,0)),"")</f>
        <v>95</v>
      </c>
      <c r="AE870" s="14" t="str">
        <f>IFERROR(INDEX(Cost_Components!$O$2:$O$27,MATCH(E870,Cost_Components!$A$2:$A$27,0)),"")</f>
        <v>Both</v>
      </c>
      <c r="AF870" s="11">
        <v>98517.646447849795</v>
      </c>
      <c r="AG870" s="11">
        <v>94452.800261580502</v>
      </c>
      <c r="AH870" s="21">
        <f t="shared" si="139"/>
        <v>1</v>
      </c>
    </row>
    <row r="871" spans="1:34" hidden="1">
      <c r="A871" t="s">
        <v>75</v>
      </c>
      <c r="B871" s="18">
        <v>2036</v>
      </c>
      <c r="C871" t="s">
        <v>197</v>
      </c>
      <c r="D871" t="s">
        <v>187</v>
      </c>
      <c r="E871" s="20" t="s">
        <v>275</v>
      </c>
      <c r="F871" s="20" t="s">
        <v>276</v>
      </c>
      <c r="G871" s="20" t="s">
        <v>198</v>
      </c>
      <c r="H871" s="20" t="s">
        <v>192</v>
      </c>
      <c r="I871" s="20" t="s">
        <v>264</v>
      </c>
      <c r="J871" s="15">
        <f>IFERROR(INDEX(Cost_Components!$K$2:$K$27,MATCH(E871,Cost_Components!$A$2:$A$27,0)),"")</f>
        <v>1</v>
      </c>
      <c r="K871" s="15">
        <f t="shared" si="130"/>
        <v>0.5361538461538462</v>
      </c>
      <c r="L871" s="15">
        <f>IFERROR(INDEX(Cost_Components!$S$2:$S$27,MATCH(E871,Cost_Components!$A$2:$A$27,0)),"")</f>
        <v>0.31</v>
      </c>
      <c r="M871" s="26">
        <f>IFERROR(INDEX(Cost_Components!$L$2:$L$27,MATCH(E871,Cost_Components!$A$2:$A$27,0)),"")</f>
        <v>1</v>
      </c>
      <c r="N871" s="27">
        <f>IFERROR(INDEX(Cost_Components!$P$2:$P$27,MATCH(E871,Cost_Components!$A$2:$A$27,0)),"")</f>
        <v>115.10623099999999</v>
      </c>
      <c r="O871" s="21">
        <f t="shared" si="131"/>
        <v>100712.680567822</v>
      </c>
      <c r="P871" s="21">
        <f t="shared" si="132"/>
        <v>95997.909569691896</v>
      </c>
      <c r="Q871" s="21">
        <f t="shared" si="133"/>
        <v>3425486.8418782805</v>
      </c>
      <c r="R871" s="21">
        <f t="shared" si="134"/>
        <v>6215447.6774046496</v>
      </c>
      <c r="S871" s="21">
        <f t="shared" si="135"/>
        <v>2789960.835526369</v>
      </c>
      <c r="T871" s="14">
        <f>IFERROR(INDEX(Cost_Components!$R$2:$R$27,MATCH(E871,Cost_Components!$A$2:$A$27,0)),"")</f>
        <v>1</v>
      </c>
      <c r="U871" s="24">
        <f>IFERROR(INDEX(Cost_Components!$Q$2:$Q$27,MATCH(E871,Cost_Components!$A$2:$A$27,0)),"")</f>
        <v>2023</v>
      </c>
      <c r="V871" s="28">
        <f>1/(1+Calculation_Assumptions!$B$5)^(B871-Calculation_Assumptions!$B$2)</f>
        <v>0.72242127659876232</v>
      </c>
      <c r="W871" s="21">
        <f t="shared" si="136"/>
        <v>2474644.5772819701</v>
      </c>
      <c r="X871" s="21">
        <f t="shared" si="137"/>
        <v>4490171.645743479</v>
      </c>
      <c r="Y871" s="21">
        <f t="shared" si="138"/>
        <v>2015527.0684615092</v>
      </c>
      <c r="Z871" s="15">
        <f>IFERROR(INDEX(Cost_Components!$T$2:$T$27,MATCH(E871,Cost_Components!$A$2:$A$27,0)),"")</f>
        <v>0.8</v>
      </c>
      <c r="AA871" s="24">
        <f>IFERROR(INDEX(Cost_Components!$U$2:$U$27,MATCH(E871,Cost_Components!$A$2:$A$27,0)),"")</f>
        <v>2025</v>
      </c>
      <c r="AB871" s="24">
        <f>IFERROR(INDEX(Cost_Components!$V$2:$V$27,MATCH(E871,Cost_Components!$A$2:$A$27,0)),"")</f>
        <v>2050</v>
      </c>
      <c r="AC871" s="24">
        <f>IFERROR(INDEX(Cost_Components!$M$2:$M$27,MATCH(E871,Cost_Components!$A$2:$A$27,0)),"")</f>
        <v>0</v>
      </c>
      <c r="AD871" s="24">
        <f>IFERROR(INDEX(Cost_Components!$N$2:$N$27,MATCH(E871,Cost_Components!$A$2:$A$27,0)),"")</f>
        <v>95</v>
      </c>
      <c r="AE871" s="14" t="str">
        <f>IFERROR(INDEX(Cost_Components!$O$2:$O$27,MATCH(E871,Cost_Components!$A$2:$A$27,0)),"")</f>
        <v>Both</v>
      </c>
      <c r="AF871" s="11">
        <v>100712.680567822</v>
      </c>
      <c r="AG871" s="11">
        <v>95997.909569691896</v>
      </c>
      <c r="AH871" s="21">
        <f t="shared" si="139"/>
        <v>1</v>
      </c>
    </row>
    <row r="872" spans="1:34" hidden="1">
      <c r="A872" t="s">
        <v>75</v>
      </c>
      <c r="B872" s="18">
        <v>2037</v>
      </c>
      <c r="C872" t="s">
        <v>197</v>
      </c>
      <c r="D872" t="s">
        <v>187</v>
      </c>
      <c r="E872" s="20" t="s">
        <v>275</v>
      </c>
      <c r="F872" s="20" t="s">
        <v>276</v>
      </c>
      <c r="G872" s="20" t="s">
        <v>198</v>
      </c>
      <c r="H872" s="20" t="s">
        <v>192</v>
      </c>
      <c r="I872" s="20" t="s">
        <v>264</v>
      </c>
      <c r="J872" s="15">
        <f>IFERROR(INDEX(Cost_Components!$K$2:$K$27,MATCH(E872,Cost_Components!$A$2:$A$27,0)),"")</f>
        <v>1</v>
      </c>
      <c r="K872" s="15">
        <f t="shared" si="130"/>
        <v>0.55500000000000005</v>
      </c>
      <c r="L872" s="15">
        <f>IFERROR(INDEX(Cost_Components!$S$2:$S$27,MATCH(E872,Cost_Components!$A$2:$A$27,0)),"")</f>
        <v>0.31</v>
      </c>
      <c r="M872" s="26">
        <f>IFERROR(INDEX(Cost_Components!$L$2:$L$27,MATCH(E872,Cost_Components!$A$2:$A$27,0)),"")</f>
        <v>1</v>
      </c>
      <c r="N872" s="27">
        <f>IFERROR(INDEX(Cost_Components!$P$2:$P$27,MATCH(E872,Cost_Components!$A$2:$A$27,0)),"")</f>
        <v>115.10623099999999</v>
      </c>
      <c r="O872" s="21">
        <f t="shared" si="131"/>
        <v>102965.09161817101</v>
      </c>
      <c r="P872" s="21">
        <f t="shared" si="132"/>
        <v>97557.195739179399</v>
      </c>
      <c r="Q872" s="21">
        <f t="shared" si="133"/>
        <v>3481126.7436245219</v>
      </c>
      <c r="R872" s="21">
        <f t="shared" si="134"/>
        <v>6577817.6095092325</v>
      </c>
      <c r="S872" s="21">
        <f t="shared" si="135"/>
        <v>3096690.8658847106</v>
      </c>
      <c r="T872" s="14">
        <f>IFERROR(INDEX(Cost_Components!$R$2:$R$27,MATCH(E872,Cost_Components!$A$2:$A$27,0)),"")</f>
        <v>1</v>
      </c>
      <c r="U872" s="24">
        <f>IFERROR(INDEX(Cost_Components!$Q$2:$Q$27,MATCH(E872,Cost_Components!$A$2:$A$27,0)),"")</f>
        <v>2023</v>
      </c>
      <c r="V872" s="28">
        <f>1/(1+Calculation_Assumptions!$B$5)^(B872-Calculation_Assumptions!$B$2)</f>
        <v>0.70137988019297326</v>
      </c>
      <c r="W872" s="21">
        <f t="shared" si="136"/>
        <v>2441592.2583799222</v>
      </c>
      <c r="X872" s="21">
        <f t="shared" si="137"/>
        <v>4613548.9268888151</v>
      </c>
      <c r="Y872" s="21">
        <f t="shared" si="138"/>
        <v>2171956.6685088929</v>
      </c>
      <c r="Z872" s="15">
        <f>IFERROR(INDEX(Cost_Components!$T$2:$T$27,MATCH(E872,Cost_Components!$A$2:$A$27,0)),"")</f>
        <v>0.8</v>
      </c>
      <c r="AA872" s="24">
        <f>IFERROR(INDEX(Cost_Components!$U$2:$U$27,MATCH(E872,Cost_Components!$A$2:$A$27,0)),"")</f>
        <v>2025</v>
      </c>
      <c r="AB872" s="24">
        <f>IFERROR(INDEX(Cost_Components!$V$2:$V$27,MATCH(E872,Cost_Components!$A$2:$A$27,0)),"")</f>
        <v>2050</v>
      </c>
      <c r="AC872" s="24">
        <f>IFERROR(INDEX(Cost_Components!$M$2:$M$27,MATCH(E872,Cost_Components!$A$2:$A$27,0)),"")</f>
        <v>0</v>
      </c>
      <c r="AD872" s="24">
        <f>IFERROR(INDEX(Cost_Components!$N$2:$N$27,MATCH(E872,Cost_Components!$A$2:$A$27,0)),"")</f>
        <v>95</v>
      </c>
      <c r="AE872" s="14" t="str">
        <f>IFERROR(INDEX(Cost_Components!$O$2:$O$27,MATCH(E872,Cost_Components!$A$2:$A$27,0)),"")</f>
        <v>Both</v>
      </c>
      <c r="AF872" s="11">
        <v>102965.09161817101</v>
      </c>
      <c r="AG872" s="11">
        <v>97557.195739179399</v>
      </c>
      <c r="AH872" s="21">
        <f t="shared" si="139"/>
        <v>1</v>
      </c>
    </row>
    <row r="873" spans="1:34" hidden="1">
      <c r="A873" t="s">
        <v>75</v>
      </c>
      <c r="B873" s="18">
        <v>2038</v>
      </c>
      <c r="C873" t="s">
        <v>197</v>
      </c>
      <c r="D873" t="s">
        <v>187</v>
      </c>
      <c r="E873" s="20" t="s">
        <v>275</v>
      </c>
      <c r="F873" s="20" t="s">
        <v>276</v>
      </c>
      <c r="G873" s="20" t="s">
        <v>198</v>
      </c>
      <c r="H873" s="20" t="s">
        <v>192</v>
      </c>
      <c r="I873" s="20" t="s">
        <v>264</v>
      </c>
      <c r="J873" s="15">
        <f>IFERROR(INDEX(Cost_Components!$K$2:$K$27,MATCH(E873,Cost_Components!$A$2:$A$27,0)),"")</f>
        <v>1</v>
      </c>
      <c r="K873" s="15">
        <f t="shared" si="130"/>
        <v>0.57384615384615389</v>
      </c>
      <c r="L873" s="15">
        <f>IFERROR(INDEX(Cost_Components!$S$2:$S$27,MATCH(E873,Cost_Components!$A$2:$A$27,0)),"")</f>
        <v>0.31</v>
      </c>
      <c r="M873" s="26">
        <f>IFERROR(INDEX(Cost_Components!$L$2:$L$27,MATCH(E873,Cost_Components!$A$2:$A$27,0)),"")</f>
        <v>1</v>
      </c>
      <c r="N873" s="27">
        <f>IFERROR(INDEX(Cost_Components!$P$2:$P$27,MATCH(E873,Cost_Components!$A$2:$A$27,0)),"")</f>
        <v>115.10623099999999</v>
      </c>
      <c r="O873" s="21">
        <f t="shared" si="131"/>
        <v>105279.935626399</v>
      </c>
      <c r="P873" s="21">
        <f t="shared" si="132"/>
        <v>99135.037182664295</v>
      </c>
      <c r="Q873" s="21">
        <f t="shared" si="133"/>
        <v>3537428.7519438169</v>
      </c>
      <c r="R873" s="21">
        <f t="shared" si="134"/>
        <v>6954083.7969604237</v>
      </c>
      <c r="S873" s="21">
        <f t="shared" si="135"/>
        <v>3416655.0450166068</v>
      </c>
      <c r="T873" s="14">
        <f>IFERROR(INDEX(Cost_Components!$R$2:$R$27,MATCH(E873,Cost_Components!$A$2:$A$27,0)),"")</f>
        <v>1</v>
      </c>
      <c r="U873" s="24">
        <f>IFERROR(INDEX(Cost_Components!$Q$2:$Q$27,MATCH(E873,Cost_Components!$A$2:$A$27,0)),"")</f>
        <v>2023</v>
      </c>
      <c r="V873" s="28">
        <f>1/(1+Calculation_Assumptions!$B$5)^(B873-Calculation_Assumptions!$B$2)</f>
        <v>0.68095133999317792</v>
      </c>
      <c r="W873" s="21">
        <f t="shared" si="136"/>
        <v>2408816.8487665369</v>
      </c>
      <c r="X873" s="21">
        <f t="shared" si="137"/>
        <v>4735392.6799650472</v>
      </c>
      <c r="Y873" s="21">
        <f t="shared" si="138"/>
        <v>2326575.8311985102</v>
      </c>
      <c r="Z873" s="15">
        <f>IFERROR(INDEX(Cost_Components!$T$2:$T$27,MATCH(E873,Cost_Components!$A$2:$A$27,0)),"")</f>
        <v>0.8</v>
      </c>
      <c r="AA873" s="24">
        <f>IFERROR(INDEX(Cost_Components!$U$2:$U$27,MATCH(E873,Cost_Components!$A$2:$A$27,0)),"")</f>
        <v>2025</v>
      </c>
      <c r="AB873" s="24">
        <f>IFERROR(INDEX(Cost_Components!$V$2:$V$27,MATCH(E873,Cost_Components!$A$2:$A$27,0)),"")</f>
        <v>2050</v>
      </c>
      <c r="AC873" s="24">
        <f>IFERROR(INDEX(Cost_Components!$M$2:$M$27,MATCH(E873,Cost_Components!$A$2:$A$27,0)),"")</f>
        <v>0</v>
      </c>
      <c r="AD873" s="24">
        <f>IFERROR(INDEX(Cost_Components!$N$2:$N$27,MATCH(E873,Cost_Components!$A$2:$A$27,0)),"")</f>
        <v>95</v>
      </c>
      <c r="AE873" s="14" t="str">
        <f>IFERROR(INDEX(Cost_Components!$O$2:$O$27,MATCH(E873,Cost_Components!$A$2:$A$27,0)),"")</f>
        <v>Both</v>
      </c>
      <c r="AF873" s="11">
        <v>105279.935626399</v>
      </c>
      <c r="AG873" s="11">
        <v>99135.037182664295</v>
      </c>
      <c r="AH873" s="21">
        <f t="shared" si="139"/>
        <v>1</v>
      </c>
    </row>
    <row r="874" spans="1:34" hidden="1">
      <c r="A874" t="s">
        <v>75</v>
      </c>
      <c r="B874" s="18">
        <v>2039</v>
      </c>
      <c r="C874" t="s">
        <v>197</v>
      </c>
      <c r="D874" t="s">
        <v>187</v>
      </c>
      <c r="E874" s="20" t="s">
        <v>275</v>
      </c>
      <c r="F874" s="20" t="s">
        <v>276</v>
      </c>
      <c r="G874" s="20" t="s">
        <v>198</v>
      </c>
      <c r="H874" s="20" t="s">
        <v>192</v>
      </c>
      <c r="I874" s="20" t="s">
        <v>264</v>
      </c>
      <c r="J874" s="15">
        <f>IFERROR(INDEX(Cost_Components!$K$2:$K$27,MATCH(E874,Cost_Components!$A$2:$A$27,0)),"")</f>
        <v>1</v>
      </c>
      <c r="K874" s="15">
        <f t="shared" si="130"/>
        <v>0.59269230769230763</v>
      </c>
      <c r="L874" s="15">
        <f>IFERROR(INDEX(Cost_Components!$S$2:$S$27,MATCH(E874,Cost_Components!$A$2:$A$27,0)),"")</f>
        <v>0.31</v>
      </c>
      <c r="M874" s="26">
        <f>IFERROR(INDEX(Cost_Components!$L$2:$L$27,MATCH(E874,Cost_Components!$A$2:$A$27,0)),"")</f>
        <v>1</v>
      </c>
      <c r="N874" s="27">
        <f>IFERROR(INDEX(Cost_Components!$P$2:$P$27,MATCH(E874,Cost_Components!$A$2:$A$27,0)),"")</f>
        <v>115.10623099999999</v>
      </c>
      <c r="O874" s="21">
        <f t="shared" si="131"/>
        <v>107668.603400243</v>
      </c>
      <c r="P874" s="21">
        <f t="shared" si="132"/>
        <v>100742.027695759</v>
      </c>
      <c r="Q874" s="21">
        <f t="shared" si="133"/>
        <v>3594770.8845204939</v>
      </c>
      <c r="R874" s="21">
        <f t="shared" si="134"/>
        <v>7345429.6592944218</v>
      </c>
      <c r="S874" s="21">
        <f t="shared" si="135"/>
        <v>3750658.7747739279</v>
      </c>
      <c r="T874" s="14">
        <f>IFERROR(INDEX(Cost_Components!$R$2:$R$27,MATCH(E874,Cost_Components!$A$2:$A$27,0)),"")</f>
        <v>1</v>
      </c>
      <c r="U874" s="24">
        <f>IFERROR(INDEX(Cost_Components!$Q$2:$Q$27,MATCH(E874,Cost_Components!$A$2:$A$27,0)),"")</f>
        <v>2023</v>
      </c>
      <c r="V874" s="28">
        <f>1/(1+Calculation_Assumptions!$B$5)^(B874-Calculation_Assumptions!$B$2)</f>
        <v>0.66111780581861923</v>
      </c>
      <c r="W874" s="21">
        <f t="shared" si="136"/>
        <v>2376567.0395948458</v>
      </c>
      <c r="X874" s="21">
        <f t="shared" si="137"/>
        <v>4856194.3391477363</v>
      </c>
      <c r="Y874" s="21">
        <f t="shared" si="138"/>
        <v>2479627.29955289</v>
      </c>
      <c r="Z874" s="15">
        <f>IFERROR(INDEX(Cost_Components!$T$2:$T$27,MATCH(E874,Cost_Components!$A$2:$A$27,0)),"")</f>
        <v>0.8</v>
      </c>
      <c r="AA874" s="24">
        <f>IFERROR(INDEX(Cost_Components!$U$2:$U$27,MATCH(E874,Cost_Components!$A$2:$A$27,0)),"")</f>
        <v>2025</v>
      </c>
      <c r="AB874" s="24">
        <f>IFERROR(INDEX(Cost_Components!$V$2:$V$27,MATCH(E874,Cost_Components!$A$2:$A$27,0)),"")</f>
        <v>2050</v>
      </c>
      <c r="AC874" s="24">
        <f>IFERROR(INDEX(Cost_Components!$M$2:$M$27,MATCH(E874,Cost_Components!$A$2:$A$27,0)),"")</f>
        <v>0</v>
      </c>
      <c r="AD874" s="24">
        <f>IFERROR(INDEX(Cost_Components!$N$2:$N$27,MATCH(E874,Cost_Components!$A$2:$A$27,0)),"")</f>
        <v>95</v>
      </c>
      <c r="AE874" s="14" t="str">
        <f>IFERROR(INDEX(Cost_Components!$O$2:$O$27,MATCH(E874,Cost_Components!$A$2:$A$27,0)),"")</f>
        <v>Both</v>
      </c>
      <c r="AF874" s="11">
        <v>107668.603400243</v>
      </c>
      <c r="AG874" s="11">
        <v>100742.027695759</v>
      </c>
      <c r="AH874" s="21">
        <f t="shared" si="139"/>
        <v>1</v>
      </c>
    </row>
    <row r="875" spans="1:34" hidden="1">
      <c r="A875" t="s">
        <v>75</v>
      </c>
      <c r="B875" s="18">
        <v>2040</v>
      </c>
      <c r="C875" t="s">
        <v>197</v>
      </c>
      <c r="D875" t="s">
        <v>187</v>
      </c>
      <c r="E875" s="20" t="s">
        <v>275</v>
      </c>
      <c r="F875" s="20" t="s">
        <v>276</v>
      </c>
      <c r="G875" s="20" t="s">
        <v>198</v>
      </c>
      <c r="H875" s="20" t="s">
        <v>192</v>
      </c>
      <c r="I875" s="20" t="s">
        <v>264</v>
      </c>
      <c r="J875" s="15">
        <f>IFERROR(INDEX(Cost_Components!$K$2:$K$27,MATCH(E875,Cost_Components!$A$2:$A$27,0)),"")</f>
        <v>1</v>
      </c>
      <c r="K875" s="15">
        <f t="shared" si="130"/>
        <v>0.61153846153846159</v>
      </c>
      <c r="L875" s="15">
        <f>IFERROR(INDEX(Cost_Components!$S$2:$S$27,MATCH(E875,Cost_Components!$A$2:$A$27,0)),"")</f>
        <v>0.31</v>
      </c>
      <c r="M875" s="26">
        <f>IFERROR(INDEX(Cost_Components!$L$2:$L$27,MATCH(E875,Cost_Components!$A$2:$A$27,0)),"")</f>
        <v>1</v>
      </c>
      <c r="N875" s="27">
        <f>IFERROR(INDEX(Cost_Components!$P$2:$P$27,MATCH(E875,Cost_Components!$A$2:$A$27,0)),"")</f>
        <v>115.10623099999999</v>
      </c>
      <c r="O875" s="21">
        <f t="shared" si="131"/>
        <v>110140.842458598</v>
      </c>
      <c r="P875" s="21">
        <f t="shared" si="132"/>
        <v>102387.063046542</v>
      </c>
      <c r="Q875" s="21">
        <f t="shared" si="133"/>
        <v>3653470.568438516</v>
      </c>
      <c r="R875" s="21">
        <f t="shared" si="134"/>
        <v>7753021.7826048629</v>
      </c>
      <c r="S875" s="21">
        <f t="shared" si="135"/>
        <v>4099551.2141663469</v>
      </c>
      <c r="T875" s="14">
        <f>IFERROR(INDEX(Cost_Components!$R$2:$R$27,MATCH(E875,Cost_Components!$A$2:$A$27,0)),"")</f>
        <v>1</v>
      </c>
      <c r="U875" s="24">
        <f>IFERROR(INDEX(Cost_Components!$Q$2:$Q$27,MATCH(E875,Cost_Components!$A$2:$A$27,0)),"")</f>
        <v>2023</v>
      </c>
      <c r="V875" s="28">
        <f>1/(1+Calculation_Assumptions!$B$5)^(B875-Calculation_Assumptions!$B$2)</f>
        <v>0.64186194739671765</v>
      </c>
      <c r="W875" s="21">
        <f t="shared" si="136"/>
        <v>2345023.7338145389</v>
      </c>
      <c r="X875" s="21">
        <f t="shared" si="137"/>
        <v>4976369.6595919291</v>
      </c>
      <c r="Y875" s="21">
        <f t="shared" si="138"/>
        <v>2631345.9257773897</v>
      </c>
      <c r="Z875" s="15">
        <f>IFERROR(INDEX(Cost_Components!$T$2:$T$27,MATCH(E875,Cost_Components!$A$2:$A$27,0)),"")</f>
        <v>0.8</v>
      </c>
      <c r="AA875" s="24">
        <f>IFERROR(INDEX(Cost_Components!$U$2:$U$27,MATCH(E875,Cost_Components!$A$2:$A$27,0)),"")</f>
        <v>2025</v>
      </c>
      <c r="AB875" s="24">
        <f>IFERROR(INDEX(Cost_Components!$V$2:$V$27,MATCH(E875,Cost_Components!$A$2:$A$27,0)),"")</f>
        <v>2050</v>
      </c>
      <c r="AC875" s="24">
        <f>IFERROR(INDEX(Cost_Components!$M$2:$M$27,MATCH(E875,Cost_Components!$A$2:$A$27,0)),"")</f>
        <v>0</v>
      </c>
      <c r="AD875" s="24">
        <f>IFERROR(INDEX(Cost_Components!$N$2:$N$27,MATCH(E875,Cost_Components!$A$2:$A$27,0)),"")</f>
        <v>95</v>
      </c>
      <c r="AE875" s="14" t="str">
        <f>IFERROR(INDEX(Cost_Components!$O$2:$O$27,MATCH(E875,Cost_Components!$A$2:$A$27,0)),"")</f>
        <v>Both</v>
      </c>
      <c r="AF875" s="11">
        <v>110140.842458598</v>
      </c>
      <c r="AG875" s="11">
        <v>102387.063046542</v>
      </c>
      <c r="AH875" s="21">
        <f t="shared" si="139"/>
        <v>1</v>
      </c>
    </row>
    <row r="876" spans="1:34" hidden="1">
      <c r="A876" t="s">
        <v>75</v>
      </c>
      <c r="B876" s="18">
        <v>2041</v>
      </c>
      <c r="C876" t="s">
        <v>197</v>
      </c>
      <c r="D876" t="s">
        <v>187</v>
      </c>
      <c r="E876" s="20" t="s">
        <v>275</v>
      </c>
      <c r="F876" s="20" t="s">
        <v>276</v>
      </c>
      <c r="G876" s="20" t="s">
        <v>198</v>
      </c>
      <c r="H876" s="20" t="s">
        <v>192</v>
      </c>
      <c r="I876" s="20" t="s">
        <v>264</v>
      </c>
      <c r="J876" s="15">
        <f>IFERROR(INDEX(Cost_Components!$K$2:$K$27,MATCH(E876,Cost_Components!$A$2:$A$27,0)),"")</f>
        <v>1</v>
      </c>
      <c r="K876" s="15">
        <f t="shared" si="130"/>
        <v>0.63038461538461543</v>
      </c>
      <c r="L876" s="15">
        <f>IFERROR(INDEX(Cost_Components!$S$2:$S$27,MATCH(E876,Cost_Components!$A$2:$A$27,0)),"")</f>
        <v>0.31</v>
      </c>
      <c r="M876" s="26">
        <f>IFERROR(INDEX(Cost_Components!$L$2:$L$27,MATCH(E876,Cost_Components!$A$2:$A$27,0)),"")</f>
        <v>1</v>
      </c>
      <c r="N876" s="27">
        <f>IFERROR(INDEX(Cost_Components!$P$2:$P$27,MATCH(E876,Cost_Components!$A$2:$A$27,0)),"")</f>
        <v>115.10623099999999</v>
      </c>
      <c r="O876" s="21">
        <f t="shared" si="131"/>
        <v>112702.023145525</v>
      </c>
      <c r="P876" s="21">
        <f t="shared" si="132"/>
        <v>104074.53307124101</v>
      </c>
      <c r="Q876" s="21">
        <f t="shared" si="133"/>
        <v>3713684.4459237759</v>
      </c>
      <c r="R876" s="21">
        <f t="shared" si="134"/>
        <v>8177793.7214898942</v>
      </c>
      <c r="S876" s="21">
        <f t="shared" si="135"/>
        <v>4464109.2755661178</v>
      </c>
      <c r="T876" s="14">
        <f>IFERROR(INDEX(Cost_Components!$R$2:$R$27,MATCH(E876,Cost_Components!$A$2:$A$27,0)),"")</f>
        <v>1</v>
      </c>
      <c r="U876" s="24">
        <f>IFERROR(INDEX(Cost_Components!$Q$2:$Q$27,MATCH(E876,Cost_Components!$A$2:$A$27,0)),"")</f>
        <v>2023</v>
      </c>
      <c r="V876" s="28">
        <f>1/(1+Calculation_Assumptions!$B$5)^(B876-Calculation_Assumptions!$B$2)</f>
        <v>0.62316693922011435</v>
      </c>
      <c r="W876" s="21">
        <f t="shared" si="136"/>
        <v>2314245.3693956658</v>
      </c>
      <c r="X876" s="21">
        <f t="shared" si="137"/>
        <v>5096130.6829943256</v>
      </c>
      <c r="Y876" s="21">
        <f t="shared" si="138"/>
        <v>2781885.3135986598</v>
      </c>
      <c r="Z876" s="15">
        <f>IFERROR(INDEX(Cost_Components!$T$2:$T$27,MATCH(E876,Cost_Components!$A$2:$A$27,0)),"")</f>
        <v>0.8</v>
      </c>
      <c r="AA876" s="24">
        <f>IFERROR(INDEX(Cost_Components!$U$2:$U$27,MATCH(E876,Cost_Components!$A$2:$A$27,0)),"")</f>
        <v>2025</v>
      </c>
      <c r="AB876" s="24">
        <f>IFERROR(INDEX(Cost_Components!$V$2:$V$27,MATCH(E876,Cost_Components!$A$2:$A$27,0)),"")</f>
        <v>2050</v>
      </c>
      <c r="AC876" s="24">
        <f>IFERROR(INDEX(Cost_Components!$M$2:$M$27,MATCH(E876,Cost_Components!$A$2:$A$27,0)),"")</f>
        <v>0</v>
      </c>
      <c r="AD876" s="24">
        <f>IFERROR(INDEX(Cost_Components!$N$2:$N$27,MATCH(E876,Cost_Components!$A$2:$A$27,0)),"")</f>
        <v>95</v>
      </c>
      <c r="AE876" s="14" t="str">
        <f>IFERROR(INDEX(Cost_Components!$O$2:$O$27,MATCH(E876,Cost_Components!$A$2:$A$27,0)),"")</f>
        <v>Both</v>
      </c>
      <c r="AF876" s="11">
        <v>112702.023145525</v>
      </c>
      <c r="AG876" s="11">
        <v>104074.53307124101</v>
      </c>
      <c r="AH876" s="21">
        <f t="shared" si="139"/>
        <v>1</v>
      </c>
    </row>
    <row r="877" spans="1:34" hidden="1">
      <c r="A877" t="s">
        <v>75</v>
      </c>
      <c r="B877" s="18">
        <v>2042</v>
      </c>
      <c r="C877" t="s">
        <v>197</v>
      </c>
      <c r="D877" t="s">
        <v>187</v>
      </c>
      <c r="E877" s="20" t="s">
        <v>275</v>
      </c>
      <c r="F877" s="20" t="s">
        <v>276</v>
      </c>
      <c r="G877" s="20" t="s">
        <v>198</v>
      </c>
      <c r="H877" s="20" t="s">
        <v>192</v>
      </c>
      <c r="I877" s="20" t="s">
        <v>264</v>
      </c>
      <c r="J877" s="15">
        <f>IFERROR(INDEX(Cost_Components!$K$2:$K$27,MATCH(E877,Cost_Components!$A$2:$A$27,0)),"")</f>
        <v>1</v>
      </c>
      <c r="K877" s="15">
        <f t="shared" si="130"/>
        <v>0.64923076923076928</v>
      </c>
      <c r="L877" s="15">
        <f>IFERROR(INDEX(Cost_Components!$S$2:$S$27,MATCH(E877,Cost_Components!$A$2:$A$27,0)),"")</f>
        <v>0.31</v>
      </c>
      <c r="M877" s="26">
        <f>IFERROR(INDEX(Cost_Components!$L$2:$L$27,MATCH(E877,Cost_Components!$A$2:$A$27,0)),"")</f>
        <v>1</v>
      </c>
      <c r="N877" s="27">
        <f>IFERROR(INDEX(Cost_Components!$P$2:$P$27,MATCH(E877,Cost_Components!$A$2:$A$27,0)),"")</f>
        <v>115.10623099999999</v>
      </c>
      <c r="O877" s="21">
        <f t="shared" si="131"/>
        <v>115350.74591610199</v>
      </c>
      <c r="P877" s="21">
        <f t="shared" si="132"/>
        <v>105801.648046402</v>
      </c>
      <c r="Q877" s="21">
        <f t="shared" si="133"/>
        <v>3775312.9714650526</v>
      </c>
      <c r="R877" s="21">
        <f t="shared" si="134"/>
        <v>8620219.7130710185</v>
      </c>
      <c r="S877" s="21">
        <f t="shared" si="135"/>
        <v>4844906.7416059654</v>
      </c>
      <c r="T877" s="14">
        <f>IFERROR(INDEX(Cost_Components!$R$2:$R$27,MATCH(E877,Cost_Components!$A$2:$A$27,0)),"")</f>
        <v>1</v>
      </c>
      <c r="U877" s="24">
        <f>IFERROR(INDEX(Cost_Components!$Q$2:$Q$27,MATCH(E877,Cost_Components!$A$2:$A$27,0)),"")</f>
        <v>2023</v>
      </c>
      <c r="V877" s="28">
        <f>1/(1+Calculation_Assumptions!$B$5)^(B877-Calculation_Assumptions!$B$2)</f>
        <v>0.60501644584477121</v>
      </c>
      <c r="W877" s="21">
        <f t="shared" si="136"/>
        <v>2284126.4359474485</v>
      </c>
      <c r="X877" s="21">
        <f t="shared" si="137"/>
        <v>5215374.6932032611</v>
      </c>
      <c r="Y877" s="21">
        <f t="shared" si="138"/>
        <v>2931248.2572558126</v>
      </c>
      <c r="Z877" s="15">
        <f>IFERROR(INDEX(Cost_Components!$T$2:$T$27,MATCH(E877,Cost_Components!$A$2:$A$27,0)),"")</f>
        <v>0.8</v>
      </c>
      <c r="AA877" s="24">
        <f>IFERROR(INDEX(Cost_Components!$U$2:$U$27,MATCH(E877,Cost_Components!$A$2:$A$27,0)),"")</f>
        <v>2025</v>
      </c>
      <c r="AB877" s="24">
        <f>IFERROR(INDEX(Cost_Components!$V$2:$V$27,MATCH(E877,Cost_Components!$A$2:$A$27,0)),"")</f>
        <v>2050</v>
      </c>
      <c r="AC877" s="24">
        <f>IFERROR(INDEX(Cost_Components!$M$2:$M$27,MATCH(E877,Cost_Components!$A$2:$A$27,0)),"")</f>
        <v>0</v>
      </c>
      <c r="AD877" s="24">
        <f>IFERROR(INDEX(Cost_Components!$N$2:$N$27,MATCH(E877,Cost_Components!$A$2:$A$27,0)),"")</f>
        <v>95</v>
      </c>
      <c r="AE877" s="14" t="str">
        <f>IFERROR(INDEX(Cost_Components!$O$2:$O$27,MATCH(E877,Cost_Components!$A$2:$A$27,0)),"")</f>
        <v>Both</v>
      </c>
      <c r="AF877" s="11">
        <v>115350.74591610199</v>
      </c>
      <c r="AG877" s="11">
        <v>105801.648046402</v>
      </c>
      <c r="AH877" s="21">
        <f t="shared" si="139"/>
        <v>1</v>
      </c>
    </row>
    <row r="878" spans="1:34" hidden="1">
      <c r="A878" t="s">
        <v>75</v>
      </c>
      <c r="B878" s="18">
        <v>2043</v>
      </c>
      <c r="C878" t="s">
        <v>197</v>
      </c>
      <c r="D878" t="s">
        <v>187</v>
      </c>
      <c r="E878" s="20" t="s">
        <v>275</v>
      </c>
      <c r="F878" s="20" t="s">
        <v>276</v>
      </c>
      <c r="G878" s="20" t="s">
        <v>198</v>
      </c>
      <c r="H878" s="20" t="s">
        <v>192</v>
      </c>
      <c r="I878" s="20" t="s">
        <v>264</v>
      </c>
      <c r="J878" s="15">
        <f>IFERROR(INDEX(Cost_Components!$K$2:$K$27,MATCH(E878,Cost_Components!$A$2:$A$27,0)),"")</f>
        <v>1</v>
      </c>
      <c r="K878" s="15">
        <f t="shared" si="130"/>
        <v>0.66807692307692301</v>
      </c>
      <c r="L878" s="15">
        <f>IFERROR(INDEX(Cost_Components!$S$2:$S$27,MATCH(E878,Cost_Components!$A$2:$A$27,0)),"")</f>
        <v>0.31</v>
      </c>
      <c r="M878" s="26">
        <f>IFERROR(INDEX(Cost_Components!$L$2:$L$27,MATCH(E878,Cost_Components!$A$2:$A$27,0)),"")</f>
        <v>1</v>
      </c>
      <c r="N878" s="27">
        <f>IFERROR(INDEX(Cost_Components!$P$2:$P$27,MATCH(E878,Cost_Components!$A$2:$A$27,0)),"")</f>
        <v>115.10623099999999</v>
      </c>
      <c r="O878" s="21">
        <f t="shared" si="131"/>
        <v>118091.46852039899</v>
      </c>
      <c r="P878" s="21">
        <f t="shared" si="132"/>
        <v>107571.320256081</v>
      </c>
      <c r="Q878" s="21">
        <f t="shared" si="133"/>
        <v>3838460.0638951464</v>
      </c>
      <c r="R878" s="21">
        <f t="shared" si="134"/>
        <v>9081212.2751948778</v>
      </c>
      <c r="S878" s="21">
        <f t="shared" si="135"/>
        <v>5242752.2112997314</v>
      </c>
      <c r="T878" s="14">
        <f>IFERROR(INDEX(Cost_Components!$R$2:$R$27,MATCH(E878,Cost_Components!$A$2:$A$27,0)),"")</f>
        <v>1</v>
      </c>
      <c r="U878" s="24">
        <f>IFERROR(INDEX(Cost_Components!$Q$2:$Q$27,MATCH(E878,Cost_Components!$A$2:$A$27,0)),"")</f>
        <v>2023</v>
      </c>
      <c r="V878" s="28">
        <f>1/(1+Calculation_Assumptions!$B$5)^(B878-Calculation_Assumptions!$B$2)</f>
        <v>0.5873946076162827</v>
      </c>
      <c r="W878" s="21">
        <f t="shared" si="136"/>
        <v>2254690.7430824609</v>
      </c>
      <c r="X878" s="21">
        <f t="shared" si="137"/>
        <v>5334255.1210682653</v>
      </c>
      <c r="Y878" s="21">
        <f t="shared" si="138"/>
        <v>3079564.3779858043</v>
      </c>
      <c r="Z878" s="15">
        <f>IFERROR(INDEX(Cost_Components!$T$2:$T$27,MATCH(E878,Cost_Components!$A$2:$A$27,0)),"")</f>
        <v>0.8</v>
      </c>
      <c r="AA878" s="24">
        <f>IFERROR(INDEX(Cost_Components!$U$2:$U$27,MATCH(E878,Cost_Components!$A$2:$A$27,0)),"")</f>
        <v>2025</v>
      </c>
      <c r="AB878" s="24">
        <f>IFERROR(INDEX(Cost_Components!$V$2:$V$27,MATCH(E878,Cost_Components!$A$2:$A$27,0)),"")</f>
        <v>2050</v>
      </c>
      <c r="AC878" s="24">
        <f>IFERROR(INDEX(Cost_Components!$M$2:$M$27,MATCH(E878,Cost_Components!$A$2:$A$27,0)),"")</f>
        <v>0</v>
      </c>
      <c r="AD878" s="24">
        <f>IFERROR(INDEX(Cost_Components!$N$2:$N$27,MATCH(E878,Cost_Components!$A$2:$A$27,0)),"")</f>
        <v>95</v>
      </c>
      <c r="AE878" s="14" t="str">
        <f>IFERROR(INDEX(Cost_Components!$O$2:$O$27,MATCH(E878,Cost_Components!$A$2:$A$27,0)),"")</f>
        <v>Both</v>
      </c>
      <c r="AF878" s="11">
        <v>118091.46852039899</v>
      </c>
      <c r="AG878" s="11">
        <v>107571.320256081</v>
      </c>
      <c r="AH878" s="21">
        <f t="shared" si="139"/>
        <v>1</v>
      </c>
    </row>
    <row r="879" spans="1:34" hidden="1">
      <c r="A879" t="s">
        <v>75</v>
      </c>
      <c r="B879" s="18">
        <v>2044</v>
      </c>
      <c r="C879" t="s">
        <v>197</v>
      </c>
      <c r="D879" t="s">
        <v>187</v>
      </c>
      <c r="E879" s="20" t="s">
        <v>275</v>
      </c>
      <c r="F879" s="20" t="s">
        <v>276</v>
      </c>
      <c r="G879" s="20" t="s">
        <v>198</v>
      </c>
      <c r="H879" s="20" t="s">
        <v>192</v>
      </c>
      <c r="I879" s="20" t="s">
        <v>264</v>
      </c>
      <c r="J879" s="15">
        <f>IFERROR(INDEX(Cost_Components!$K$2:$K$27,MATCH(E879,Cost_Components!$A$2:$A$27,0)),"")</f>
        <v>1</v>
      </c>
      <c r="K879" s="15">
        <f t="shared" si="130"/>
        <v>0.68692307692307697</v>
      </c>
      <c r="L879" s="15">
        <f>IFERROR(INDEX(Cost_Components!$S$2:$S$27,MATCH(E879,Cost_Components!$A$2:$A$27,0)),"")</f>
        <v>0.31</v>
      </c>
      <c r="M879" s="26">
        <f>IFERROR(INDEX(Cost_Components!$L$2:$L$27,MATCH(E879,Cost_Components!$A$2:$A$27,0)),"")</f>
        <v>1</v>
      </c>
      <c r="N879" s="27">
        <f>IFERROR(INDEX(Cost_Components!$P$2:$P$27,MATCH(E879,Cost_Components!$A$2:$A$27,0)),"")</f>
        <v>115.10623099999999</v>
      </c>
      <c r="O879" s="21">
        <f t="shared" si="131"/>
        <v>120920.46852223</v>
      </c>
      <c r="P879" s="21">
        <f t="shared" si="132"/>
        <v>109378.894414443</v>
      </c>
      <c r="Q879" s="21">
        <f t="shared" si="133"/>
        <v>3902959.6089679804</v>
      </c>
      <c r="R879" s="21">
        <f t="shared" si="134"/>
        <v>9561075.8064898439</v>
      </c>
      <c r="S879" s="21">
        <f t="shared" si="135"/>
        <v>5658116.1975218635</v>
      </c>
      <c r="T879" s="14">
        <f>IFERROR(INDEX(Cost_Components!$R$2:$R$27,MATCH(E879,Cost_Components!$A$2:$A$27,0)),"")</f>
        <v>1</v>
      </c>
      <c r="U879" s="24">
        <f>IFERROR(INDEX(Cost_Components!$Q$2:$Q$27,MATCH(E879,Cost_Components!$A$2:$A$27,0)),"")</f>
        <v>2023</v>
      </c>
      <c r="V879" s="28">
        <f>1/(1+Calculation_Assumptions!$B$5)^(B879-Calculation_Assumptions!$B$2)</f>
        <v>0.57028602681192497</v>
      </c>
      <c r="W879" s="21">
        <f t="shared" si="136"/>
        <v>2225803.3282057741</v>
      </c>
      <c r="X879" s="21">
        <f t="shared" si="137"/>
        <v>5452547.933730714</v>
      </c>
      <c r="Y879" s="21">
        <f t="shared" si="138"/>
        <v>3226744.6055249404</v>
      </c>
      <c r="Z879" s="15">
        <f>IFERROR(INDEX(Cost_Components!$T$2:$T$27,MATCH(E879,Cost_Components!$A$2:$A$27,0)),"")</f>
        <v>0.8</v>
      </c>
      <c r="AA879" s="24">
        <f>IFERROR(INDEX(Cost_Components!$U$2:$U$27,MATCH(E879,Cost_Components!$A$2:$A$27,0)),"")</f>
        <v>2025</v>
      </c>
      <c r="AB879" s="24">
        <f>IFERROR(INDEX(Cost_Components!$V$2:$V$27,MATCH(E879,Cost_Components!$A$2:$A$27,0)),"")</f>
        <v>2050</v>
      </c>
      <c r="AC879" s="24">
        <f>IFERROR(INDEX(Cost_Components!$M$2:$M$27,MATCH(E879,Cost_Components!$A$2:$A$27,0)),"")</f>
        <v>0</v>
      </c>
      <c r="AD879" s="24">
        <f>IFERROR(INDEX(Cost_Components!$N$2:$N$27,MATCH(E879,Cost_Components!$A$2:$A$27,0)),"")</f>
        <v>95</v>
      </c>
      <c r="AE879" s="14" t="str">
        <f>IFERROR(INDEX(Cost_Components!$O$2:$O$27,MATCH(E879,Cost_Components!$A$2:$A$27,0)),"")</f>
        <v>Both</v>
      </c>
      <c r="AF879" s="11">
        <v>120920.46852223</v>
      </c>
      <c r="AG879" s="11">
        <v>109378.894414443</v>
      </c>
      <c r="AH879" s="21">
        <f t="shared" si="139"/>
        <v>1</v>
      </c>
    </row>
    <row r="880" spans="1:34" hidden="1">
      <c r="A880" t="s">
        <v>75</v>
      </c>
      <c r="B880" s="18">
        <v>2045</v>
      </c>
      <c r="C880" t="s">
        <v>197</v>
      </c>
      <c r="D880" t="s">
        <v>187</v>
      </c>
      <c r="E880" s="20" t="s">
        <v>275</v>
      </c>
      <c r="F880" s="20" t="s">
        <v>276</v>
      </c>
      <c r="G880" s="20" t="s">
        <v>198</v>
      </c>
      <c r="H880" s="20" t="s">
        <v>192</v>
      </c>
      <c r="I880" s="20" t="s">
        <v>264</v>
      </c>
      <c r="J880" s="15">
        <f>IFERROR(INDEX(Cost_Components!$K$2:$K$27,MATCH(E880,Cost_Components!$A$2:$A$27,0)),"")</f>
        <v>1</v>
      </c>
      <c r="K880" s="15">
        <f t="shared" si="130"/>
        <v>0.70576923076923082</v>
      </c>
      <c r="L880" s="15">
        <f>IFERROR(INDEX(Cost_Components!$S$2:$S$27,MATCH(E880,Cost_Components!$A$2:$A$27,0)),"")</f>
        <v>0.31</v>
      </c>
      <c r="M880" s="26">
        <f>IFERROR(INDEX(Cost_Components!$L$2:$L$27,MATCH(E880,Cost_Components!$A$2:$A$27,0)),"")</f>
        <v>1</v>
      </c>
      <c r="N880" s="27">
        <f>IFERROR(INDEX(Cost_Components!$P$2:$P$27,MATCH(E880,Cost_Components!$A$2:$A$27,0)),"")</f>
        <v>115.10623099999999</v>
      </c>
      <c r="O880" s="21">
        <f t="shared" si="131"/>
        <v>123829.77516398</v>
      </c>
      <c r="P880" s="21">
        <f t="shared" si="132"/>
        <v>111216.138075836</v>
      </c>
      <c r="Q880" s="21">
        <f t="shared" si="133"/>
        <v>3968517.848888373</v>
      </c>
      <c r="R880" s="21">
        <f t="shared" si="134"/>
        <v>10059737.278127028</v>
      </c>
      <c r="S880" s="21">
        <f t="shared" si="135"/>
        <v>6091219.4292386547</v>
      </c>
      <c r="T880" s="14">
        <f>IFERROR(INDEX(Cost_Components!$R$2:$R$27,MATCH(E880,Cost_Components!$A$2:$A$27,0)),"")</f>
        <v>1</v>
      </c>
      <c r="U880" s="24">
        <f>IFERROR(INDEX(Cost_Components!$Q$2:$Q$27,MATCH(E880,Cost_Components!$A$2:$A$27,0)),"")</f>
        <v>2023</v>
      </c>
      <c r="V880" s="28">
        <f>1/(1+Calculation_Assumptions!$B$5)^(B880-Calculation_Assumptions!$B$2)</f>
        <v>0.55367575418633497</v>
      </c>
      <c r="W880" s="21">
        <f t="shared" si="136"/>
        <v>2197272.1129852016</v>
      </c>
      <c r="X880" s="21">
        <f t="shared" si="137"/>
        <v>5569832.6243833704</v>
      </c>
      <c r="Y880" s="21">
        <f t="shared" si="138"/>
        <v>3372560.5113981687</v>
      </c>
      <c r="Z880" s="15">
        <f>IFERROR(INDEX(Cost_Components!$T$2:$T$27,MATCH(E880,Cost_Components!$A$2:$A$27,0)),"")</f>
        <v>0.8</v>
      </c>
      <c r="AA880" s="24">
        <f>IFERROR(INDEX(Cost_Components!$U$2:$U$27,MATCH(E880,Cost_Components!$A$2:$A$27,0)),"")</f>
        <v>2025</v>
      </c>
      <c r="AB880" s="24">
        <f>IFERROR(INDEX(Cost_Components!$V$2:$V$27,MATCH(E880,Cost_Components!$A$2:$A$27,0)),"")</f>
        <v>2050</v>
      </c>
      <c r="AC880" s="24">
        <f>IFERROR(INDEX(Cost_Components!$M$2:$M$27,MATCH(E880,Cost_Components!$A$2:$A$27,0)),"")</f>
        <v>0</v>
      </c>
      <c r="AD880" s="24">
        <f>IFERROR(INDEX(Cost_Components!$N$2:$N$27,MATCH(E880,Cost_Components!$A$2:$A$27,0)),"")</f>
        <v>95</v>
      </c>
      <c r="AE880" s="14" t="str">
        <f>IFERROR(INDEX(Cost_Components!$O$2:$O$27,MATCH(E880,Cost_Components!$A$2:$A$27,0)),"")</f>
        <v>Both</v>
      </c>
      <c r="AF880" s="11">
        <v>123829.77516398</v>
      </c>
      <c r="AG880" s="11">
        <v>111216.138075836</v>
      </c>
      <c r="AH880" s="21">
        <f t="shared" si="139"/>
        <v>1</v>
      </c>
    </row>
    <row r="881" spans="1:34" hidden="1">
      <c r="A881" t="s">
        <v>75</v>
      </c>
      <c r="B881" s="18">
        <v>2046</v>
      </c>
      <c r="C881" t="s">
        <v>197</v>
      </c>
      <c r="D881" t="s">
        <v>187</v>
      </c>
      <c r="E881" s="20" t="s">
        <v>275</v>
      </c>
      <c r="F881" s="20" t="s">
        <v>276</v>
      </c>
      <c r="G881" s="20" t="s">
        <v>198</v>
      </c>
      <c r="H881" s="20" t="s">
        <v>192</v>
      </c>
      <c r="I881" s="20" t="s">
        <v>264</v>
      </c>
      <c r="J881" s="15">
        <f>IFERROR(INDEX(Cost_Components!$K$2:$K$27,MATCH(E881,Cost_Components!$A$2:$A$27,0)),"")</f>
        <v>1</v>
      </c>
      <c r="K881" s="15">
        <f t="shared" si="130"/>
        <v>0.72461538461538466</v>
      </c>
      <c r="L881" s="15">
        <f>IFERROR(INDEX(Cost_Components!$S$2:$S$27,MATCH(E881,Cost_Components!$A$2:$A$27,0)),"")</f>
        <v>0.31</v>
      </c>
      <c r="M881" s="26">
        <f>IFERROR(INDEX(Cost_Components!$L$2:$L$27,MATCH(E881,Cost_Components!$A$2:$A$27,0)),"")</f>
        <v>1</v>
      </c>
      <c r="N881" s="27">
        <f>IFERROR(INDEX(Cost_Components!$P$2:$P$27,MATCH(E881,Cost_Components!$A$2:$A$27,0)),"")</f>
        <v>115.10623099999999</v>
      </c>
      <c r="O881" s="21">
        <f t="shared" si="131"/>
        <v>126804.819318073</v>
      </c>
      <c r="P881" s="21">
        <f t="shared" si="132"/>
        <v>113069.08390616599</v>
      </c>
      <c r="Q881" s="21">
        <f t="shared" si="133"/>
        <v>4034636.388229073</v>
      </c>
      <c r="R881" s="21">
        <f t="shared" si="134"/>
        <v>10576504.141944377</v>
      </c>
      <c r="S881" s="21">
        <f t="shared" si="135"/>
        <v>6541867.7537153037</v>
      </c>
      <c r="T881" s="14">
        <f>IFERROR(INDEX(Cost_Components!$R$2:$R$27,MATCH(E881,Cost_Components!$A$2:$A$27,0)),"")</f>
        <v>1</v>
      </c>
      <c r="U881" s="24">
        <f>IFERROR(INDEX(Cost_Components!$Q$2:$Q$27,MATCH(E881,Cost_Components!$A$2:$A$27,0)),"")</f>
        <v>2023</v>
      </c>
      <c r="V881" s="28">
        <f>1/(1+Calculation_Assumptions!$B$5)^(B881-Calculation_Assumptions!$B$2)</f>
        <v>0.5375492759090631</v>
      </c>
      <c r="W881" s="21">
        <f t="shared" si="136"/>
        <v>2168815.8690488958</v>
      </c>
      <c r="X881" s="21">
        <f t="shared" si="137"/>
        <v>5685392.1431514062</v>
      </c>
      <c r="Y881" s="21">
        <f t="shared" si="138"/>
        <v>3516576.2741025104</v>
      </c>
      <c r="Z881" s="15">
        <f>IFERROR(INDEX(Cost_Components!$T$2:$T$27,MATCH(E881,Cost_Components!$A$2:$A$27,0)),"")</f>
        <v>0.8</v>
      </c>
      <c r="AA881" s="24">
        <f>IFERROR(INDEX(Cost_Components!$U$2:$U$27,MATCH(E881,Cost_Components!$A$2:$A$27,0)),"")</f>
        <v>2025</v>
      </c>
      <c r="AB881" s="24">
        <f>IFERROR(INDEX(Cost_Components!$V$2:$V$27,MATCH(E881,Cost_Components!$A$2:$A$27,0)),"")</f>
        <v>2050</v>
      </c>
      <c r="AC881" s="24">
        <f>IFERROR(INDEX(Cost_Components!$M$2:$M$27,MATCH(E881,Cost_Components!$A$2:$A$27,0)),"")</f>
        <v>0</v>
      </c>
      <c r="AD881" s="24">
        <f>IFERROR(INDEX(Cost_Components!$N$2:$N$27,MATCH(E881,Cost_Components!$A$2:$A$27,0)),"")</f>
        <v>95</v>
      </c>
      <c r="AE881" s="14" t="str">
        <f>IFERROR(INDEX(Cost_Components!$O$2:$O$27,MATCH(E881,Cost_Components!$A$2:$A$27,0)),"")</f>
        <v>Both</v>
      </c>
      <c r="AF881" s="11">
        <v>126804.819318073</v>
      </c>
      <c r="AG881" s="11">
        <v>113069.08390616599</v>
      </c>
      <c r="AH881" s="21">
        <f t="shared" si="139"/>
        <v>1</v>
      </c>
    </row>
    <row r="882" spans="1:34" hidden="1">
      <c r="A882" t="s">
        <v>75</v>
      </c>
      <c r="B882" s="18">
        <v>2047</v>
      </c>
      <c r="C882" t="s">
        <v>197</v>
      </c>
      <c r="D882" t="s">
        <v>187</v>
      </c>
      <c r="E882" s="20" t="s">
        <v>275</v>
      </c>
      <c r="F882" s="20" t="s">
        <v>276</v>
      </c>
      <c r="G882" s="20" t="s">
        <v>198</v>
      </c>
      <c r="H882" s="20" t="s">
        <v>192</v>
      </c>
      <c r="I882" s="20" t="s">
        <v>264</v>
      </c>
      <c r="J882" s="15">
        <f>IFERROR(INDEX(Cost_Components!$K$2:$K$27,MATCH(E882,Cost_Components!$A$2:$A$27,0)),"")</f>
        <v>1</v>
      </c>
      <c r="K882" s="15">
        <f t="shared" si="130"/>
        <v>0.74346153846153851</v>
      </c>
      <c r="L882" s="15">
        <f>IFERROR(INDEX(Cost_Components!$S$2:$S$27,MATCH(E882,Cost_Components!$A$2:$A$27,0)),"")</f>
        <v>0.31</v>
      </c>
      <c r="M882" s="26">
        <f>IFERROR(INDEX(Cost_Components!$L$2:$L$27,MATCH(E882,Cost_Components!$A$2:$A$27,0)),"")</f>
        <v>1</v>
      </c>
      <c r="N882" s="27">
        <f>IFERROR(INDEX(Cost_Components!$P$2:$P$27,MATCH(E882,Cost_Components!$A$2:$A$27,0)),"")</f>
        <v>115.10623099999999</v>
      </c>
      <c r="O882" s="21">
        <f t="shared" si="131"/>
        <v>129830.71669560899</v>
      </c>
      <c r="P882" s="21">
        <f t="shared" si="132"/>
        <v>114923.915044056</v>
      </c>
      <c r="Q882" s="21">
        <f t="shared" si="133"/>
        <v>4100822.2008705004</v>
      </c>
      <c r="R882" s="21">
        <f t="shared" si="134"/>
        <v>11110530.459400389</v>
      </c>
      <c r="S882" s="21">
        <f t="shared" si="135"/>
        <v>7009708.2585298885</v>
      </c>
      <c r="T882" s="14">
        <f>IFERROR(INDEX(Cost_Components!$R$2:$R$27,MATCH(E882,Cost_Components!$A$2:$A$27,0)),"")</f>
        <v>1</v>
      </c>
      <c r="U882" s="24">
        <f>IFERROR(INDEX(Cost_Components!$Q$2:$Q$27,MATCH(E882,Cost_Components!$A$2:$A$27,0)),"")</f>
        <v>2023</v>
      </c>
      <c r="V882" s="28">
        <f>1/(1+Calculation_Assumptions!$B$5)^(B882-Calculation_Assumptions!$B$2)</f>
        <v>0.52189250088258554</v>
      </c>
      <c r="W882" s="21">
        <f t="shared" si="136"/>
        <v>2140188.3540871339</v>
      </c>
      <c r="X882" s="21">
        <f t="shared" si="137"/>
        <v>5798502.5275886115</v>
      </c>
      <c r="Y882" s="21">
        <f t="shared" si="138"/>
        <v>3658314.1735014771</v>
      </c>
      <c r="Z882" s="15">
        <f>IFERROR(INDEX(Cost_Components!$T$2:$T$27,MATCH(E882,Cost_Components!$A$2:$A$27,0)),"")</f>
        <v>0.8</v>
      </c>
      <c r="AA882" s="24">
        <f>IFERROR(INDEX(Cost_Components!$U$2:$U$27,MATCH(E882,Cost_Components!$A$2:$A$27,0)),"")</f>
        <v>2025</v>
      </c>
      <c r="AB882" s="24">
        <f>IFERROR(INDEX(Cost_Components!$V$2:$V$27,MATCH(E882,Cost_Components!$A$2:$A$27,0)),"")</f>
        <v>2050</v>
      </c>
      <c r="AC882" s="24">
        <f>IFERROR(INDEX(Cost_Components!$M$2:$M$27,MATCH(E882,Cost_Components!$A$2:$A$27,0)),"")</f>
        <v>0</v>
      </c>
      <c r="AD882" s="24">
        <f>IFERROR(INDEX(Cost_Components!$N$2:$N$27,MATCH(E882,Cost_Components!$A$2:$A$27,0)),"")</f>
        <v>95</v>
      </c>
      <c r="AE882" s="14" t="str">
        <f>IFERROR(INDEX(Cost_Components!$O$2:$O$27,MATCH(E882,Cost_Components!$A$2:$A$27,0)),"")</f>
        <v>Both</v>
      </c>
      <c r="AF882" s="11">
        <v>129830.71669560899</v>
      </c>
      <c r="AG882" s="11">
        <v>114923.915044056</v>
      </c>
      <c r="AH882" s="21">
        <f t="shared" si="139"/>
        <v>1</v>
      </c>
    </row>
    <row r="883" spans="1:34" hidden="1">
      <c r="A883" t="s">
        <v>75</v>
      </c>
      <c r="B883" s="18">
        <v>2048</v>
      </c>
      <c r="C883" t="s">
        <v>197</v>
      </c>
      <c r="D883" t="s">
        <v>187</v>
      </c>
      <c r="E883" s="20" t="s">
        <v>275</v>
      </c>
      <c r="F883" s="20" t="s">
        <v>276</v>
      </c>
      <c r="G883" s="20" t="s">
        <v>198</v>
      </c>
      <c r="H883" s="20" t="s">
        <v>192</v>
      </c>
      <c r="I883" s="20" t="s">
        <v>264</v>
      </c>
      <c r="J883" s="15">
        <f>IFERROR(INDEX(Cost_Components!$K$2:$K$27,MATCH(E883,Cost_Components!$A$2:$A$27,0)),"")</f>
        <v>1</v>
      </c>
      <c r="K883" s="15">
        <f t="shared" si="130"/>
        <v>0.76230769230769235</v>
      </c>
      <c r="L883" s="15">
        <f>IFERROR(INDEX(Cost_Components!$S$2:$S$27,MATCH(E883,Cost_Components!$A$2:$A$27,0)),"")</f>
        <v>0.31</v>
      </c>
      <c r="M883" s="26">
        <f>IFERROR(INDEX(Cost_Components!$L$2:$L$27,MATCH(E883,Cost_Components!$A$2:$A$27,0)),"")</f>
        <v>1</v>
      </c>
      <c r="N883" s="27">
        <f>IFERROR(INDEX(Cost_Components!$P$2:$P$27,MATCH(E883,Cost_Components!$A$2:$A$27,0)),"")</f>
        <v>115.10623099999999</v>
      </c>
      <c r="O883" s="21">
        <f t="shared" si="131"/>
        <v>132887.31722706501</v>
      </c>
      <c r="P883" s="21">
        <f t="shared" si="132"/>
        <v>116764.023601522</v>
      </c>
      <c r="Q883" s="21">
        <f t="shared" si="133"/>
        <v>4166482.6686815349</v>
      </c>
      <c r="R883" s="21">
        <f t="shared" si="134"/>
        <v>11660379.08431188</v>
      </c>
      <c r="S883" s="21">
        <f t="shared" si="135"/>
        <v>7493896.4156303452</v>
      </c>
      <c r="T883" s="14">
        <f>IFERROR(INDEX(Cost_Components!$R$2:$R$27,MATCH(E883,Cost_Components!$A$2:$A$27,0)),"")</f>
        <v>1</v>
      </c>
      <c r="U883" s="24">
        <f>IFERROR(INDEX(Cost_Components!$Q$2:$Q$27,MATCH(E883,Cost_Components!$A$2:$A$27,0)),"")</f>
        <v>2023</v>
      </c>
      <c r="V883" s="28">
        <f>1/(1+Calculation_Assumptions!$B$5)^(B883-Calculation_Assumptions!$B$2)</f>
        <v>0.50669174842969467</v>
      </c>
      <c r="W883" s="21">
        <f t="shared" si="136"/>
        <v>2111122.3881962672</v>
      </c>
      <c r="X883" s="21">
        <f t="shared" si="137"/>
        <v>5908217.8655830286</v>
      </c>
      <c r="Y883" s="21">
        <f t="shared" si="138"/>
        <v>3797095.4773867615</v>
      </c>
      <c r="Z883" s="15">
        <f>IFERROR(INDEX(Cost_Components!$T$2:$T$27,MATCH(E883,Cost_Components!$A$2:$A$27,0)),"")</f>
        <v>0.8</v>
      </c>
      <c r="AA883" s="24">
        <f>IFERROR(INDEX(Cost_Components!$U$2:$U$27,MATCH(E883,Cost_Components!$A$2:$A$27,0)),"")</f>
        <v>2025</v>
      </c>
      <c r="AB883" s="24">
        <f>IFERROR(INDEX(Cost_Components!$V$2:$V$27,MATCH(E883,Cost_Components!$A$2:$A$27,0)),"")</f>
        <v>2050</v>
      </c>
      <c r="AC883" s="24">
        <f>IFERROR(INDEX(Cost_Components!$M$2:$M$27,MATCH(E883,Cost_Components!$A$2:$A$27,0)),"")</f>
        <v>0</v>
      </c>
      <c r="AD883" s="24">
        <f>IFERROR(INDEX(Cost_Components!$N$2:$N$27,MATCH(E883,Cost_Components!$A$2:$A$27,0)),"")</f>
        <v>95</v>
      </c>
      <c r="AE883" s="14" t="str">
        <f>IFERROR(INDEX(Cost_Components!$O$2:$O$27,MATCH(E883,Cost_Components!$A$2:$A$27,0)),"")</f>
        <v>Both</v>
      </c>
      <c r="AF883" s="11">
        <v>132887.31722706501</v>
      </c>
      <c r="AG883" s="11">
        <v>116764.023601522</v>
      </c>
      <c r="AH883" s="21">
        <f t="shared" si="139"/>
        <v>1</v>
      </c>
    </row>
    <row r="884" spans="1:34" hidden="1">
      <c r="A884" t="s">
        <v>75</v>
      </c>
      <c r="B884" s="18">
        <v>2049</v>
      </c>
      <c r="C884" t="s">
        <v>197</v>
      </c>
      <c r="D884" t="s">
        <v>187</v>
      </c>
      <c r="E884" s="20" t="s">
        <v>275</v>
      </c>
      <c r="F884" s="20" t="s">
        <v>276</v>
      </c>
      <c r="G884" s="20" t="s">
        <v>198</v>
      </c>
      <c r="H884" s="20" t="s">
        <v>192</v>
      </c>
      <c r="I884" s="20" t="s">
        <v>264</v>
      </c>
      <c r="J884" s="15">
        <f>IFERROR(INDEX(Cost_Components!$K$2:$K$27,MATCH(E884,Cost_Components!$A$2:$A$27,0)),"")</f>
        <v>1</v>
      </c>
      <c r="K884" s="15">
        <f t="shared" si="130"/>
        <v>0.7811538461538462</v>
      </c>
      <c r="L884" s="15">
        <f>IFERROR(INDEX(Cost_Components!$S$2:$S$27,MATCH(E884,Cost_Components!$A$2:$A$27,0)),"")</f>
        <v>0.31</v>
      </c>
      <c r="M884" s="26">
        <f>IFERROR(INDEX(Cost_Components!$L$2:$L$27,MATCH(E884,Cost_Components!$A$2:$A$27,0)),"")</f>
        <v>1</v>
      </c>
      <c r="N884" s="27">
        <f>IFERROR(INDEX(Cost_Components!$P$2:$P$27,MATCH(E884,Cost_Components!$A$2:$A$27,0)),"")</f>
        <v>115.10623099999999</v>
      </c>
      <c r="O884" s="21">
        <f t="shared" si="131"/>
        <v>135963.05967975699</v>
      </c>
      <c r="P884" s="21">
        <f t="shared" si="132"/>
        <v>118577.866241739</v>
      </c>
      <c r="Q884" s="21">
        <f t="shared" si="133"/>
        <v>4231205.8915637005</v>
      </c>
      <c r="R884" s="21">
        <f t="shared" si="134"/>
        <v>12225210.294589885</v>
      </c>
      <c r="S884" s="21">
        <f t="shared" si="135"/>
        <v>7994004.4030261841</v>
      </c>
      <c r="T884" s="14">
        <f>IFERROR(INDEX(Cost_Components!$R$2:$R$27,MATCH(E884,Cost_Components!$A$2:$A$27,0)),"")</f>
        <v>1</v>
      </c>
      <c r="U884" s="24">
        <f>IFERROR(INDEX(Cost_Components!$Q$2:$Q$27,MATCH(E884,Cost_Components!$A$2:$A$27,0)),"")</f>
        <v>2023</v>
      </c>
      <c r="V884" s="28">
        <f>1/(1+Calculation_Assumptions!$B$5)^(B884-Calculation_Assumptions!$B$2)</f>
        <v>0.49193373633950943</v>
      </c>
      <c r="W884" s="21">
        <f t="shared" si="136"/>
        <v>2081472.9234586763</v>
      </c>
      <c r="X884" s="21">
        <f t="shared" si="137"/>
        <v>6013993.377753837</v>
      </c>
      <c r="Y884" s="21">
        <f t="shared" si="138"/>
        <v>3932520.4542951602</v>
      </c>
      <c r="Z884" s="15">
        <f>IFERROR(INDEX(Cost_Components!$T$2:$T$27,MATCH(E884,Cost_Components!$A$2:$A$27,0)),"")</f>
        <v>0.8</v>
      </c>
      <c r="AA884" s="24">
        <f>IFERROR(INDEX(Cost_Components!$U$2:$U$27,MATCH(E884,Cost_Components!$A$2:$A$27,0)),"")</f>
        <v>2025</v>
      </c>
      <c r="AB884" s="24">
        <f>IFERROR(INDEX(Cost_Components!$V$2:$V$27,MATCH(E884,Cost_Components!$A$2:$A$27,0)),"")</f>
        <v>2050</v>
      </c>
      <c r="AC884" s="24">
        <f>IFERROR(INDEX(Cost_Components!$M$2:$M$27,MATCH(E884,Cost_Components!$A$2:$A$27,0)),"")</f>
        <v>0</v>
      </c>
      <c r="AD884" s="24">
        <f>IFERROR(INDEX(Cost_Components!$N$2:$N$27,MATCH(E884,Cost_Components!$A$2:$A$27,0)),"")</f>
        <v>95</v>
      </c>
      <c r="AE884" s="14" t="str">
        <f>IFERROR(INDEX(Cost_Components!$O$2:$O$27,MATCH(E884,Cost_Components!$A$2:$A$27,0)),"")</f>
        <v>Both</v>
      </c>
      <c r="AF884" s="11">
        <v>135963.05967975699</v>
      </c>
      <c r="AG884" s="11">
        <v>118577.866241739</v>
      </c>
      <c r="AH884" s="21">
        <f t="shared" si="139"/>
        <v>1</v>
      </c>
    </row>
    <row r="885" spans="1:34" hidden="1">
      <c r="A885" t="s">
        <v>75</v>
      </c>
      <c r="B885" s="18">
        <v>2050</v>
      </c>
      <c r="C885" t="s">
        <v>197</v>
      </c>
      <c r="D885" t="s">
        <v>187</v>
      </c>
      <c r="E885" s="20" t="s">
        <v>275</v>
      </c>
      <c r="F885" s="20" t="s">
        <v>276</v>
      </c>
      <c r="G885" s="20" t="s">
        <v>198</v>
      </c>
      <c r="H885" s="20" t="s">
        <v>192</v>
      </c>
      <c r="I885" s="20" t="s">
        <v>264</v>
      </c>
      <c r="J885" s="15">
        <f>IFERROR(INDEX(Cost_Components!$K$2:$K$27,MATCH(E885,Cost_Components!$A$2:$A$27,0)),"")</f>
        <v>1</v>
      </c>
      <c r="K885" s="15">
        <f t="shared" si="130"/>
        <v>0.8</v>
      </c>
      <c r="L885" s="15">
        <f>IFERROR(INDEX(Cost_Components!$S$2:$S$27,MATCH(E885,Cost_Components!$A$2:$A$27,0)),"")</f>
        <v>0.31</v>
      </c>
      <c r="M885" s="26">
        <f>IFERROR(INDEX(Cost_Components!$L$2:$L$27,MATCH(E885,Cost_Components!$A$2:$A$27,0)),"")</f>
        <v>1</v>
      </c>
      <c r="N885" s="27">
        <f>IFERROR(INDEX(Cost_Components!$P$2:$P$27,MATCH(E885,Cost_Components!$A$2:$A$27,0)),"")</f>
        <v>115.10623099999999</v>
      </c>
      <c r="O885" s="21">
        <f t="shared" si="131"/>
        <v>139048.50869075299</v>
      </c>
      <c r="P885" s="21">
        <f t="shared" si="132"/>
        <v>120355.978736713</v>
      </c>
      <c r="Q885" s="21">
        <f t="shared" si="133"/>
        <v>4294654.1581167439</v>
      </c>
      <c r="R885" s="21">
        <f t="shared" si="134"/>
        <v>12804279.809250658</v>
      </c>
      <c r="S885" s="21">
        <f t="shared" si="135"/>
        <v>8509625.6511339135</v>
      </c>
      <c r="T885" s="14">
        <f>IFERROR(INDEX(Cost_Components!$R$2:$R$27,MATCH(E885,Cost_Components!$A$2:$A$27,0)),"")</f>
        <v>1</v>
      </c>
      <c r="U885" s="24">
        <f>IFERROR(INDEX(Cost_Components!$Q$2:$Q$27,MATCH(E885,Cost_Components!$A$2:$A$27,0)),"")</f>
        <v>2023</v>
      </c>
      <c r="V885" s="28">
        <f>1/(1+Calculation_Assumptions!$B$5)^(B885-Calculation_Assumptions!$B$2)</f>
        <v>0.47760556926165965</v>
      </c>
      <c r="W885" s="21">
        <f t="shared" si="136"/>
        <v>2051150.7439693012</v>
      </c>
      <c r="X885" s="21">
        <f t="shared" si="137"/>
        <v>6115395.3472827356</v>
      </c>
      <c r="Y885" s="21">
        <f t="shared" si="138"/>
        <v>4064244.6033134339</v>
      </c>
      <c r="Z885" s="15">
        <f>IFERROR(INDEX(Cost_Components!$T$2:$T$27,MATCH(E885,Cost_Components!$A$2:$A$27,0)),"")</f>
        <v>0.8</v>
      </c>
      <c r="AA885" s="24">
        <f>IFERROR(INDEX(Cost_Components!$U$2:$U$27,MATCH(E885,Cost_Components!$A$2:$A$27,0)),"")</f>
        <v>2025</v>
      </c>
      <c r="AB885" s="24">
        <f>IFERROR(INDEX(Cost_Components!$V$2:$V$27,MATCH(E885,Cost_Components!$A$2:$A$27,0)),"")</f>
        <v>2050</v>
      </c>
      <c r="AC885" s="24">
        <f>IFERROR(INDEX(Cost_Components!$M$2:$M$27,MATCH(E885,Cost_Components!$A$2:$A$27,0)),"")</f>
        <v>0</v>
      </c>
      <c r="AD885" s="24">
        <f>IFERROR(INDEX(Cost_Components!$N$2:$N$27,MATCH(E885,Cost_Components!$A$2:$A$27,0)),"")</f>
        <v>95</v>
      </c>
      <c r="AE885" s="14" t="str">
        <f>IFERROR(INDEX(Cost_Components!$O$2:$O$27,MATCH(E885,Cost_Components!$A$2:$A$27,0)),"")</f>
        <v>Both</v>
      </c>
      <c r="AF885" s="11">
        <v>139048.50869075299</v>
      </c>
      <c r="AG885" s="11">
        <v>120355.978736713</v>
      </c>
      <c r="AH885" s="21">
        <f t="shared" si="139"/>
        <v>1</v>
      </c>
    </row>
    <row r="886" spans="1:34" hidden="1">
      <c r="A886" t="s">
        <v>75</v>
      </c>
      <c r="B886" s="18">
        <v>2025</v>
      </c>
      <c r="C886" t="s">
        <v>197</v>
      </c>
      <c r="D886" t="s">
        <v>163</v>
      </c>
      <c r="E886" s="20" t="s">
        <v>278</v>
      </c>
      <c r="F886" s="20" t="s">
        <v>279</v>
      </c>
      <c r="G886" s="20" t="s">
        <v>200</v>
      </c>
      <c r="H886" s="20" t="s">
        <v>192</v>
      </c>
      <c r="I886" s="20" t="s">
        <v>264</v>
      </c>
      <c r="J886" s="15">
        <f>IFERROR(INDEX(Cost_Components!$K$2:$K$27,MATCH(E886,Cost_Components!$A$2:$A$27,0)),"")</f>
        <v>1</v>
      </c>
      <c r="K886" s="15">
        <f t="shared" si="130"/>
        <v>0.32884615384615384</v>
      </c>
      <c r="L886" s="15">
        <f>IFERROR(INDEX(Cost_Components!$S$2:$S$27,MATCH(E886,Cost_Components!$A$2:$A$27,0)),"")</f>
        <v>0.31</v>
      </c>
      <c r="M886" s="26">
        <f>IFERROR(INDEX(Cost_Components!$L$2:$L$27,MATCH(E886,Cost_Components!$A$2:$A$27,0)),"")</f>
        <v>1</v>
      </c>
      <c r="N886" s="27">
        <f>IFERROR(INDEX(Cost_Components!$P$2:$P$27,MATCH(E886,Cost_Components!$A$2:$A$27,0)),"")</f>
        <v>5.133311</v>
      </c>
      <c r="O886" s="21">
        <f t="shared" si="131"/>
        <v>428944.96954566502</v>
      </c>
      <c r="P886" s="21">
        <f t="shared" si="132"/>
        <v>429284.57781346003</v>
      </c>
      <c r="Q886" s="21">
        <f t="shared" si="133"/>
        <v>683131.88608025888</v>
      </c>
      <c r="R886" s="21">
        <f t="shared" si="134"/>
        <v>724088.95408912702</v>
      </c>
      <c r="S886" s="21">
        <f t="shared" si="135"/>
        <v>40957.06800886814</v>
      </c>
      <c r="T886" s="14">
        <f>IFERROR(INDEX(Cost_Components!$R$2:$R$27,MATCH(E886,Cost_Components!$A$2:$A$27,0)),"")</f>
        <v>1</v>
      </c>
      <c r="U886" s="24">
        <f>IFERROR(INDEX(Cost_Components!$Q$2:$Q$27,MATCH(E886,Cost_Components!$A$2:$A$27,0)),"")</f>
        <v>2023</v>
      </c>
      <c r="V886" s="28">
        <f>1/(1+Calculation_Assumptions!$B$5)^(B886-Calculation_Assumptions!$B$2)</f>
        <v>1</v>
      </c>
      <c r="W886" s="21">
        <f t="shared" si="136"/>
        <v>683131.88608025888</v>
      </c>
      <c r="X886" s="21">
        <f t="shared" si="137"/>
        <v>724088.95408912702</v>
      </c>
      <c r="Y886" s="21">
        <f t="shared" si="138"/>
        <v>40957.06800886814</v>
      </c>
      <c r="Z886" s="15">
        <f>IFERROR(INDEX(Cost_Components!$T$2:$T$27,MATCH(E886,Cost_Components!$A$2:$A$27,0)),"")</f>
        <v>0.8</v>
      </c>
      <c r="AA886" s="24">
        <f>IFERROR(INDEX(Cost_Components!$U$2:$U$27,MATCH(E886,Cost_Components!$A$2:$A$27,0)),"")</f>
        <v>2025</v>
      </c>
      <c r="AB886" s="24">
        <f>IFERROR(INDEX(Cost_Components!$V$2:$V$27,MATCH(E886,Cost_Components!$A$2:$A$27,0)),"")</f>
        <v>2050</v>
      </c>
      <c r="AC886" s="24">
        <f>IFERROR(INDEX(Cost_Components!$M$2:$M$27,MATCH(E886,Cost_Components!$A$2:$A$27,0)),"")</f>
        <v>30</v>
      </c>
      <c r="AD886" s="24">
        <f>IFERROR(INDEX(Cost_Components!$N$2:$N$27,MATCH(E886,Cost_Components!$A$2:$A$27,0)),"")</f>
        <v>95</v>
      </c>
      <c r="AE886" s="14" t="str">
        <f>IFERROR(INDEX(Cost_Components!$O$2:$O$27,MATCH(E886,Cost_Components!$A$2:$A$27,0)),"")</f>
        <v>Both</v>
      </c>
      <c r="AF886" s="11">
        <v>428944.96954566502</v>
      </c>
      <c r="AG886" s="11">
        <v>429284.57781346003</v>
      </c>
      <c r="AH886" s="21">
        <f t="shared" si="139"/>
        <v>1</v>
      </c>
    </row>
    <row r="887" spans="1:34" hidden="1">
      <c r="A887" t="s">
        <v>75</v>
      </c>
      <c r="B887" s="18">
        <v>2026</v>
      </c>
      <c r="C887" t="s">
        <v>197</v>
      </c>
      <c r="D887" t="s">
        <v>163</v>
      </c>
      <c r="E887" s="20" t="s">
        <v>278</v>
      </c>
      <c r="F887" s="20" t="s">
        <v>279</v>
      </c>
      <c r="G887" s="20" t="s">
        <v>200</v>
      </c>
      <c r="H887" s="20" t="s">
        <v>192</v>
      </c>
      <c r="I887" s="20" t="s">
        <v>264</v>
      </c>
      <c r="J887" s="15">
        <f>IFERROR(INDEX(Cost_Components!$K$2:$K$27,MATCH(E887,Cost_Components!$A$2:$A$27,0)),"")</f>
        <v>1</v>
      </c>
      <c r="K887" s="15">
        <f t="shared" si="130"/>
        <v>0.34769230769230769</v>
      </c>
      <c r="L887" s="15">
        <f>IFERROR(INDEX(Cost_Components!$S$2:$S$27,MATCH(E887,Cost_Components!$A$2:$A$27,0)),"")</f>
        <v>0.31</v>
      </c>
      <c r="M887" s="26">
        <f>IFERROR(INDEX(Cost_Components!$L$2:$L$27,MATCH(E887,Cost_Components!$A$2:$A$27,0)),"")</f>
        <v>1</v>
      </c>
      <c r="N887" s="27">
        <f>IFERROR(INDEX(Cost_Components!$P$2:$P$27,MATCH(E887,Cost_Components!$A$2:$A$27,0)),"")</f>
        <v>5.133311</v>
      </c>
      <c r="O887" s="21">
        <f t="shared" si="131"/>
        <v>441300.08208889101</v>
      </c>
      <c r="P887" s="21">
        <f t="shared" si="132"/>
        <v>442279.13119291799</v>
      </c>
      <c r="Q887" s="21">
        <f t="shared" si="133"/>
        <v>703810.46205914521</v>
      </c>
      <c r="R887" s="21">
        <f t="shared" si="134"/>
        <v>787638.01206991461</v>
      </c>
      <c r="S887" s="21">
        <f t="shared" si="135"/>
        <v>83827.550010769395</v>
      </c>
      <c r="T887" s="14">
        <f>IFERROR(INDEX(Cost_Components!$R$2:$R$27,MATCH(E887,Cost_Components!$A$2:$A$27,0)),"")</f>
        <v>1</v>
      </c>
      <c r="U887" s="24">
        <f>IFERROR(INDEX(Cost_Components!$Q$2:$Q$27,MATCH(E887,Cost_Components!$A$2:$A$27,0)),"")</f>
        <v>2023</v>
      </c>
      <c r="V887" s="28">
        <f>1/(1+Calculation_Assumptions!$B$5)^(B887-Calculation_Assumptions!$B$2)</f>
        <v>0.970873786407767</v>
      </c>
      <c r="W887" s="21">
        <f t="shared" si="136"/>
        <v>683311.1282127623</v>
      </c>
      <c r="X887" s="21">
        <f t="shared" si="137"/>
        <v>764697.09909700451</v>
      </c>
      <c r="Y887" s="21">
        <f t="shared" si="138"/>
        <v>81385.970884242139</v>
      </c>
      <c r="Z887" s="15">
        <f>IFERROR(INDEX(Cost_Components!$T$2:$T$27,MATCH(E887,Cost_Components!$A$2:$A$27,0)),"")</f>
        <v>0.8</v>
      </c>
      <c r="AA887" s="24">
        <f>IFERROR(INDEX(Cost_Components!$U$2:$U$27,MATCH(E887,Cost_Components!$A$2:$A$27,0)),"")</f>
        <v>2025</v>
      </c>
      <c r="AB887" s="24">
        <f>IFERROR(INDEX(Cost_Components!$V$2:$V$27,MATCH(E887,Cost_Components!$A$2:$A$27,0)),"")</f>
        <v>2050</v>
      </c>
      <c r="AC887" s="24">
        <f>IFERROR(INDEX(Cost_Components!$M$2:$M$27,MATCH(E887,Cost_Components!$A$2:$A$27,0)),"")</f>
        <v>30</v>
      </c>
      <c r="AD887" s="24">
        <f>IFERROR(INDEX(Cost_Components!$N$2:$N$27,MATCH(E887,Cost_Components!$A$2:$A$27,0)),"")</f>
        <v>95</v>
      </c>
      <c r="AE887" s="14" t="str">
        <f>IFERROR(INDEX(Cost_Components!$O$2:$O$27,MATCH(E887,Cost_Components!$A$2:$A$27,0)),"")</f>
        <v>Both</v>
      </c>
      <c r="AF887" s="11">
        <v>441300.08208889101</v>
      </c>
      <c r="AG887" s="11">
        <v>442279.13119291799</v>
      </c>
      <c r="AH887" s="21">
        <f t="shared" si="139"/>
        <v>1</v>
      </c>
    </row>
    <row r="888" spans="1:34" hidden="1">
      <c r="A888" t="s">
        <v>75</v>
      </c>
      <c r="B888" s="18">
        <v>2027</v>
      </c>
      <c r="C888" t="s">
        <v>197</v>
      </c>
      <c r="D888" t="s">
        <v>163</v>
      </c>
      <c r="E888" s="20" t="s">
        <v>278</v>
      </c>
      <c r="F888" s="20" t="s">
        <v>279</v>
      </c>
      <c r="G888" s="20" t="s">
        <v>200</v>
      </c>
      <c r="H888" s="20" t="s">
        <v>192</v>
      </c>
      <c r="I888" s="20" t="s">
        <v>264</v>
      </c>
      <c r="J888" s="15">
        <f>IFERROR(INDEX(Cost_Components!$K$2:$K$27,MATCH(E888,Cost_Components!$A$2:$A$27,0)),"")</f>
        <v>1</v>
      </c>
      <c r="K888" s="15">
        <f t="shared" si="130"/>
        <v>0.36653846153846154</v>
      </c>
      <c r="L888" s="15">
        <f>IFERROR(INDEX(Cost_Components!$S$2:$S$27,MATCH(E888,Cost_Components!$A$2:$A$27,0)),"")</f>
        <v>0.31</v>
      </c>
      <c r="M888" s="26">
        <f>IFERROR(INDEX(Cost_Components!$L$2:$L$27,MATCH(E888,Cost_Components!$A$2:$A$27,0)),"")</f>
        <v>1</v>
      </c>
      <c r="N888" s="27">
        <f>IFERROR(INDEX(Cost_Components!$P$2:$P$27,MATCH(E888,Cost_Components!$A$2:$A$27,0)),"")</f>
        <v>5.133311</v>
      </c>
      <c r="O888" s="21">
        <f t="shared" si="131"/>
        <v>454043.53302607703</v>
      </c>
      <c r="P888" s="21">
        <f t="shared" si="132"/>
        <v>455929.90648416698</v>
      </c>
      <c r="Q888" s="21">
        <f t="shared" si="133"/>
        <v>725533.30129708513</v>
      </c>
      <c r="R888" s="21">
        <f t="shared" si="134"/>
        <v>854308.29593124148</v>
      </c>
      <c r="S888" s="21">
        <f t="shared" si="135"/>
        <v>128774.99463415635</v>
      </c>
      <c r="T888" s="14">
        <f>IFERROR(INDEX(Cost_Components!$R$2:$R$27,MATCH(E888,Cost_Components!$A$2:$A$27,0)),"")</f>
        <v>1</v>
      </c>
      <c r="U888" s="24">
        <f>IFERROR(INDEX(Cost_Components!$Q$2:$Q$27,MATCH(E888,Cost_Components!$A$2:$A$27,0)),"")</f>
        <v>2023</v>
      </c>
      <c r="V888" s="28">
        <f>1/(1+Calculation_Assumptions!$B$5)^(B888-Calculation_Assumptions!$B$2)</f>
        <v>0.94259590913375435</v>
      </c>
      <c r="W888" s="21">
        <f t="shared" si="136"/>
        <v>683884.72174294002</v>
      </c>
      <c r="X888" s="21">
        <f t="shared" si="137"/>
        <v>805267.50488381705</v>
      </c>
      <c r="Y888" s="21">
        <f t="shared" si="138"/>
        <v>121382.78314087694</v>
      </c>
      <c r="Z888" s="15">
        <f>IFERROR(INDEX(Cost_Components!$T$2:$T$27,MATCH(E888,Cost_Components!$A$2:$A$27,0)),"")</f>
        <v>0.8</v>
      </c>
      <c r="AA888" s="24">
        <f>IFERROR(INDEX(Cost_Components!$U$2:$U$27,MATCH(E888,Cost_Components!$A$2:$A$27,0)),"")</f>
        <v>2025</v>
      </c>
      <c r="AB888" s="24">
        <f>IFERROR(INDEX(Cost_Components!$V$2:$V$27,MATCH(E888,Cost_Components!$A$2:$A$27,0)),"")</f>
        <v>2050</v>
      </c>
      <c r="AC888" s="24">
        <f>IFERROR(INDEX(Cost_Components!$M$2:$M$27,MATCH(E888,Cost_Components!$A$2:$A$27,0)),"")</f>
        <v>30</v>
      </c>
      <c r="AD888" s="24">
        <f>IFERROR(INDEX(Cost_Components!$N$2:$N$27,MATCH(E888,Cost_Components!$A$2:$A$27,0)),"")</f>
        <v>95</v>
      </c>
      <c r="AE888" s="14" t="str">
        <f>IFERROR(INDEX(Cost_Components!$O$2:$O$27,MATCH(E888,Cost_Components!$A$2:$A$27,0)),"")</f>
        <v>Both</v>
      </c>
      <c r="AF888" s="11">
        <v>454043.53302607703</v>
      </c>
      <c r="AG888" s="11">
        <v>455929.90648416698</v>
      </c>
      <c r="AH888" s="21">
        <f t="shared" si="139"/>
        <v>1</v>
      </c>
    </row>
    <row r="889" spans="1:34" hidden="1">
      <c r="A889" t="s">
        <v>75</v>
      </c>
      <c r="B889" s="18">
        <v>2028</v>
      </c>
      <c r="C889" t="s">
        <v>197</v>
      </c>
      <c r="D889" t="s">
        <v>163</v>
      </c>
      <c r="E889" s="20" t="s">
        <v>278</v>
      </c>
      <c r="F889" s="20" t="s">
        <v>279</v>
      </c>
      <c r="G889" s="20" t="s">
        <v>200</v>
      </c>
      <c r="H889" s="20" t="s">
        <v>192</v>
      </c>
      <c r="I889" s="20" t="s">
        <v>264</v>
      </c>
      <c r="J889" s="15">
        <f>IFERROR(INDEX(Cost_Components!$K$2:$K$27,MATCH(E889,Cost_Components!$A$2:$A$27,0)),"")</f>
        <v>1</v>
      </c>
      <c r="K889" s="15">
        <f t="shared" si="130"/>
        <v>0.38538461538461538</v>
      </c>
      <c r="L889" s="15">
        <f>IFERROR(INDEX(Cost_Components!$S$2:$S$27,MATCH(E889,Cost_Components!$A$2:$A$27,0)),"")</f>
        <v>0.31</v>
      </c>
      <c r="M889" s="26">
        <f>IFERROR(INDEX(Cost_Components!$L$2:$L$27,MATCH(E889,Cost_Components!$A$2:$A$27,0)),"")</f>
        <v>1</v>
      </c>
      <c r="N889" s="27">
        <f>IFERROR(INDEX(Cost_Components!$P$2:$P$27,MATCH(E889,Cost_Components!$A$2:$A$27,0)),"")</f>
        <v>5.133311</v>
      </c>
      <c r="O889" s="21">
        <f t="shared" si="131"/>
        <v>467068.77091064298</v>
      </c>
      <c r="P889" s="21">
        <f t="shared" si="132"/>
        <v>470103.874999244</v>
      </c>
      <c r="Q889" s="21">
        <f t="shared" si="133"/>
        <v>748088.71172963572</v>
      </c>
      <c r="R889" s="21">
        <f t="shared" si="134"/>
        <v>924001.7223042415</v>
      </c>
      <c r="S889" s="21">
        <f t="shared" si="135"/>
        <v>175913.01057460578</v>
      </c>
      <c r="T889" s="14">
        <f>IFERROR(INDEX(Cost_Components!$R$2:$R$27,MATCH(E889,Cost_Components!$A$2:$A$27,0)),"")</f>
        <v>1</v>
      </c>
      <c r="U889" s="24">
        <f>IFERROR(INDEX(Cost_Components!$Q$2:$Q$27,MATCH(E889,Cost_Components!$A$2:$A$27,0)),"")</f>
        <v>2023</v>
      </c>
      <c r="V889" s="28">
        <f>1/(1+Calculation_Assumptions!$B$5)^(B889-Calculation_Assumptions!$B$2)</f>
        <v>0.91514165935315961</v>
      </c>
      <c r="W889" s="21">
        <f t="shared" si="136"/>
        <v>684607.14499562629</v>
      </c>
      <c r="X889" s="21">
        <f t="shared" si="137"/>
        <v>845592.46939468093</v>
      </c>
      <c r="Y889" s="21">
        <f t="shared" si="138"/>
        <v>160985.32439905466</v>
      </c>
      <c r="Z889" s="15">
        <f>IFERROR(INDEX(Cost_Components!$T$2:$T$27,MATCH(E889,Cost_Components!$A$2:$A$27,0)),"")</f>
        <v>0.8</v>
      </c>
      <c r="AA889" s="24">
        <f>IFERROR(INDEX(Cost_Components!$U$2:$U$27,MATCH(E889,Cost_Components!$A$2:$A$27,0)),"")</f>
        <v>2025</v>
      </c>
      <c r="AB889" s="24">
        <f>IFERROR(INDEX(Cost_Components!$V$2:$V$27,MATCH(E889,Cost_Components!$A$2:$A$27,0)),"")</f>
        <v>2050</v>
      </c>
      <c r="AC889" s="24">
        <f>IFERROR(INDEX(Cost_Components!$M$2:$M$27,MATCH(E889,Cost_Components!$A$2:$A$27,0)),"")</f>
        <v>30</v>
      </c>
      <c r="AD889" s="24">
        <f>IFERROR(INDEX(Cost_Components!$N$2:$N$27,MATCH(E889,Cost_Components!$A$2:$A$27,0)),"")</f>
        <v>95</v>
      </c>
      <c r="AE889" s="14" t="str">
        <f>IFERROR(INDEX(Cost_Components!$O$2:$O$27,MATCH(E889,Cost_Components!$A$2:$A$27,0)),"")</f>
        <v>Both</v>
      </c>
      <c r="AF889" s="11">
        <v>467068.77091064298</v>
      </c>
      <c r="AG889" s="11">
        <v>470103.874999244</v>
      </c>
      <c r="AH889" s="21">
        <f t="shared" si="139"/>
        <v>1</v>
      </c>
    </row>
    <row r="890" spans="1:34" hidden="1">
      <c r="A890" t="s">
        <v>75</v>
      </c>
      <c r="B890" s="18">
        <v>2029</v>
      </c>
      <c r="C890" t="s">
        <v>197</v>
      </c>
      <c r="D890" t="s">
        <v>163</v>
      </c>
      <c r="E890" s="20" t="s">
        <v>278</v>
      </c>
      <c r="F890" s="20" t="s">
        <v>279</v>
      </c>
      <c r="G890" s="20" t="s">
        <v>200</v>
      </c>
      <c r="H890" s="20" t="s">
        <v>192</v>
      </c>
      <c r="I890" s="20" t="s">
        <v>264</v>
      </c>
      <c r="J890" s="15">
        <f>IFERROR(INDEX(Cost_Components!$K$2:$K$27,MATCH(E890,Cost_Components!$A$2:$A$27,0)),"")</f>
        <v>1</v>
      </c>
      <c r="K890" s="15">
        <f t="shared" si="130"/>
        <v>0.40423076923076923</v>
      </c>
      <c r="L890" s="15">
        <f>IFERROR(INDEX(Cost_Components!$S$2:$S$27,MATCH(E890,Cost_Components!$A$2:$A$27,0)),"")</f>
        <v>0.31</v>
      </c>
      <c r="M890" s="26">
        <f>IFERROR(INDEX(Cost_Components!$L$2:$L$27,MATCH(E890,Cost_Components!$A$2:$A$27,0)),"")</f>
        <v>1</v>
      </c>
      <c r="N890" s="27">
        <f>IFERROR(INDEX(Cost_Components!$P$2:$P$27,MATCH(E890,Cost_Components!$A$2:$A$27,0)),"")</f>
        <v>5.133311</v>
      </c>
      <c r="O890" s="21">
        <f t="shared" si="131"/>
        <v>480258.54498760798</v>
      </c>
      <c r="P890" s="21">
        <f t="shared" si="132"/>
        <v>484660.27242354199</v>
      </c>
      <c r="Q890" s="21">
        <f t="shared" si="133"/>
        <v>771252.69138537697</v>
      </c>
      <c r="R890" s="21">
        <f t="shared" si="134"/>
        <v>996556.77380467544</v>
      </c>
      <c r="S890" s="21">
        <f t="shared" si="135"/>
        <v>225304.08241929847</v>
      </c>
      <c r="T890" s="14">
        <f>IFERROR(INDEX(Cost_Components!$R$2:$R$27,MATCH(E890,Cost_Components!$A$2:$A$27,0)),"")</f>
        <v>1</v>
      </c>
      <c r="U890" s="24">
        <f>IFERROR(INDEX(Cost_Components!$Q$2:$Q$27,MATCH(E890,Cost_Components!$A$2:$A$27,0)),"")</f>
        <v>2023</v>
      </c>
      <c r="V890" s="28">
        <f>1/(1+Calculation_Assumptions!$B$5)^(B890-Calculation_Assumptions!$B$2)</f>
        <v>0.888487047915689</v>
      </c>
      <c r="W890" s="21">
        <f t="shared" si="136"/>
        <v>685248.02696602349</v>
      </c>
      <c r="X890" s="21">
        <f t="shared" si="137"/>
        <v>885427.78603809909</v>
      </c>
      <c r="Y890" s="21">
        <f t="shared" si="138"/>
        <v>200179.7590720756</v>
      </c>
      <c r="Z890" s="15">
        <f>IFERROR(INDEX(Cost_Components!$T$2:$T$27,MATCH(E890,Cost_Components!$A$2:$A$27,0)),"")</f>
        <v>0.8</v>
      </c>
      <c r="AA890" s="24">
        <f>IFERROR(INDEX(Cost_Components!$U$2:$U$27,MATCH(E890,Cost_Components!$A$2:$A$27,0)),"")</f>
        <v>2025</v>
      </c>
      <c r="AB890" s="24">
        <f>IFERROR(INDEX(Cost_Components!$V$2:$V$27,MATCH(E890,Cost_Components!$A$2:$A$27,0)),"")</f>
        <v>2050</v>
      </c>
      <c r="AC890" s="24">
        <f>IFERROR(INDEX(Cost_Components!$M$2:$M$27,MATCH(E890,Cost_Components!$A$2:$A$27,0)),"")</f>
        <v>30</v>
      </c>
      <c r="AD890" s="24">
        <f>IFERROR(INDEX(Cost_Components!$N$2:$N$27,MATCH(E890,Cost_Components!$A$2:$A$27,0)),"")</f>
        <v>95</v>
      </c>
      <c r="AE890" s="14" t="str">
        <f>IFERROR(INDEX(Cost_Components!$O$2:$O$27,MATCH(E890,Cost_Components!$A$2:$A$27,0)),"")</f>
        <v>Both</v>
      </c>
      <c r="AF890" s="11">
        <v>480258.54498760798</v>
      </c>
      <c r="AG890" s="11">
        <v>484660.27242354199</v>
      </c>
      <c r="AH890" s="21">
        <f t="shared" si="139"/>
        <v>1</v>
      </c>
    </row>
    <row r="891" spans="1:34" hidden="1">
      <c r="A891" t="s">
        <v>75</v>
      </c>
      <c r="B891" s="18">
        <v>2030</v>
      </c>
      <c r="C891" t="s">
        <v>197</v>
      </c>
      <c r="D891" t="s">
        <v>163</v>
      </c>
      <c r="E891" s="20" t="s">
        <v>278</v>
      </c>
      <c r="F891" s="20" t="s">
        <v>279</v>
      </c>
      <c r="G891" s="20" t="s">
        <v>200</v>
      </c>
      <c r="H891" s="20" t="s">
        <v>192</v>
      </c>
      <c r="I891" s="20" t="s">
        <v>264</v>
      </c>
      <c r="J891" s="15">
        <f>IFERROR(INDEX(Cost_Components!$K$2:$K$27,MATCH(E891,Cost_Components!$A$2:$A$27,0)),"")</f>
        <v>1</v>
      </c>
      <c r="K891" s="15">
        <f t="shared" si="130"/>
        <v>0.42307692307692307</v>
      </c>
      <c r="L891" s="15">
        <f>IFERROR(INDEX(Cost_Components!$S$2:$S$27,MATCH(E891,Cost_Components!$A$2:$A$27,0)),"")</f>
        <v>0.31</v>
      </c>
      <c r="M891" s="26">
        <f>IFERROR(INDEX(Cost_Components!$L$2:$L$27,MATCH(E891,Cost_Components!$A$2:$A$27,0)),"")</f>
        <v>1</v>
      </c>
      <c r="N891" s="27">
        <f>IFERROR(INDEX(Cost_Components!$P$2:$P$27,MATCH(E891,Cost_Components!$A$2:$A$27,0)),"")</f>
        <v>5.133311</v>
      </c>
      <c r="O891" s="21">
        <f t="shared" si="131"/>
        <v>493515.99466953397</v>
      </c>
      <c r="P891" s="21">
        <f t="shared" si="132"/>
        <v>499481.64335301798</v>
      </c>
      <c r="Q891" s="21">
        <f t="shared" si="133"/>
        <v>794838.33037785848</v>
      </c>
      <c r="R891" s="21">
        <f t="shared" si="134"/>
        <v>1071810.8432786022</v>
      </c>
      <c r="S891" s="21">
        <f t="shared" si="135"/>
        <v>276972.51290074375</v>
      </c>
      <c r="T891" s="14">
        <f>IFERROR(INDEX(Cost_Components!$R$2:$R$27,MATCH(E891,Cost_Components!$A$2:$A$27,0)),"")</f>
        <v>1</v>
      </c>
      <c r="U891" s="24">
        <f>IFERROR(INDEX(Cost_Components!$Q$2:$Q$27,MATCH(E891,Cost_Components!$A$2:$A$27,0)),"")</f>
        <v>2023</v>
      </c>
      <c r="V891" s="28">
        <f>1/(1+Calculation_Assumptions!$B$5)^(B891-Calculation_Assumptions!$B$2)</f>
        <v>0.86260878438416411</v>
      </c>
      <c r="W891" s="21">
        <f t="shared" si="136"/>
        <v>685634.52594918315</v>
      </c>
      <c r="X891" s="21">
        <f t="shared" si="137"/>
        <v>924553.44861032092</v>
      </c>
      <c r="Y891" s="21">
        <f t="shared" si="138"/>
        <v>238918.92266113777</v>
      </c>
      <c r="Z891" s="15">
        <f>IFERROR(INDEX(Cost_Components!$T$2:$T$27,MATCH(E891,Cost_Components!$A$2:$A$27,0)),"")</f>
        <v>0.8</v>
      </c>
      <c r="AA891" s="24">
        <f>IFERROR(INDEX(Cost_Components!$U$2:$U$27,MATCH(E891,Cost_Components!$A$2:$A$27,0)),"")</f>
        <v>2025</v>
      </c>
      <c r="AB891" s="24">
        <f>IFERROR(INDEX(Cost_Components!$V$2:$V$27,MATCH(E891,Cost_Components!$A$2:$A$27,0)),"")</f>
        <v>2050</v>
      </c>
      <c r="AC891" s="24">
        <f>IFERROR(INDEX(Cost_Components!$M$2:$M$27,MATCH(E891,Cost_Components!$A$2:$A$27,0)),"")</f>
        <v>30</v>
      </c>
      <c r="AD891" s="24">
        <f>IFERROR(INDEX(Cost_Components!$N$2:$N$27,MATCH(E891,Cost_Components!$A$2:$A$27,0)),"")</f>
        <v>95</v>
      </c>
      <c r="AE891" s="14" t="str">
        <f>IFERROR(INDEX(Cost_Components!$O$2:$O$27,MATCH(E891,Cost_Components!$A$2:$A$27,0)),"")</f>
        <v>Both</v>
      </c>
      <c r="AF891" s="11">
        <v>493515.99466953397</v>
      </c>
      <c r="AG891" s="11">
        <v>499481.64335301798</v>
      </c>
      <c r="AH891" s="21">
        <f t="shared" si="139"/>
        <v>1</v>
      </c>
    </row>
    <row r="892" spans="1:34" hidden="1">
      <c r="A892" t="s">
        <v>75</v>
      </c>
      <c r="B892" s="18">
        <v>2031</v>
      </c>
      <c r="C892" t="s">
        <v>197</v>
      </c>
      <c r="D892" t="s">
        <v>163</v>
      </c>
      <c r="E892" s="20" t="s">
        <v>278</v>
      </c>
      <c r="F892" s="20" t="s">
        <v>279</v>
      </c>
      <c r="G892" s="20" t="s">
        <v>200</v>
      </c>
      <c r="H892" s="20" t="s">
        <v>192</v>
      </c>
      <c r="I892" s="20" t="s">
        <v>264</v>
      </c>
      <c r="J892" s="15">
        <f>IFERROR(INDEX(Cost_Components!$K$2:$K$27,MATCH(E892,Cost_Components!$A$2:$A$27,0)),"")</f>
        <v>1</v>
      </c>
      <c r="K892" s="15">
        <f t="shared" si="130"/>
        <v>0.44192307692307692</v>
      </c>
      <c r="L892" s="15">
        <f>IFERROR(INDEX(Cost_Components!$S$2:$S$27,MATCH(E892,Cost_Components!$A$2:$A$27,0)),"")</f>
        <v>0.31</v>
      </c>
      <c r="M892" s="26">
        <f>IFERROR(INDEX(Cost_Components!$L$2:$L$27,MATCH(E892,Cost_Components!$A$2:$A$27,0)),"")</f>
        <v>1</v>
      </c>
      <c r="N892" s="27">
        <f>IFERROR(INDEX(Cost_Components!$P$2:$P$27,MATCH(E892,Cost_Components!$A$2:$A$27,0)),"")</f>
        <v>5.133311</v>
      </c>
      <c r="O892" s="21">
        <f t="shared" si="131"/>
        <v>506781.93210920598</v>
      </c>
      <c r="P892" s="21">
        <f t="shared" si="132"/>
        <v>514493.02589405101</v>
      </c>
      <c r="Q892" s="21">
        <f t="shared" si="133"/>
        <v>818726.33986601722</v>
      </c>
      <c r="R892" s="21">
        <f t="shared" si="134"/>
        <v>1149649.3028597534</v>
      </c>
      <c r="S892" s="21">
        <f t="shared" si="135"/>
        <v>330922.96299373615</v>
      </c>
      <c r="T892" s="14">
        <f>IFERROR(INDEX(Cost_Components!$R$2:$R$27,MATCH(E892,Cost_Components!$A$2:$A$27,0)),"")</f>
        <v>1</v>
      </c>
      <c r="U892" s="24">
        <f>IFERROR(INDEX(Cost_Components!$Q$2:$Q$27,MATCH(E892,Cost_Components!$A$2:$A$27,0)),"")</f>
        <v>2023</v>
      </c>
      <c r="V892" s="28">
        <f>1/(1+Calculation_Assumptions!$B$5)^(B892-Calculation_Assumptions!$B$2)</f>
        <v>0.83748425668365445</v>
      </c>
      <c r="W892" s="21">
        <f t="shared" si="136"/>
        <v>685670.42017002043</v>
      </c>
      <c r="X892" s="21">
        <f t="shared" si="137"/>
        <v>962813.19185238203</v>
      </c>
      <c r="Y892" s="21">
        <f t="shared" si="138"/>
        <v>277142.77168236161</v>
      </c>
      <c r="Z892" s="15">
        <f>IFERROR(INDEX(Cost_Components!$T$2:$T$27,MATCH(E892,Cost_Components!$A$2:$A$27,0)),"")</f>
        <v>0.8</v>
      </c>
      <c r="AA892" s="24">
        <f>IFERROR(INDEX(Cost_Components!$U$2:$U$27,MATCH(E892,Cost_Components!$A$2:$A$27,0)),"")</f>
        <v>2025</v>
      </c>
      <c r="AB892" s="24">
        <f>IFERROR(INDEX(Cost_Components!$V$2:$V$27,MATCH(E892,Cost_Components!$A$2:$A$27,0)),"")</f>
        <v>2050</v>
      </c>
      <c r="AC892" s="24">
        <f>IFERROR(INDEX(Cost_Components!$M$2:$M$27,MATCH(E892,Cost_Components!$A$2:$A$27,0)),"")</f>
        <v>30</v>
      </c>
      <c r="AD892" s="24">
        <f>IFERROR(INDEX(Cost_Components!$N$2:$N$27,MATCH(E892,Cost_Components!$A$2:$A$27,0)),"")</f>
        <v>95</v>
      </c>
      <c r="AE892" s="14" t="str">
        <f>IFERROR(INDEX(Cost_Components!$O$2:$O$27,MATCH(E892,Cost_Components!$A$2:$A$27,0)),"")</f>
        <v>Both</v>
      </c>
      <c r="AF892" s="11">
        <v>506781.93210920598</v>
      </c>
      <c r="AG892" s="11">
        <v>514493.02589405101</v>
      </c>
      <c r="AH892" s="21">
        <f t="shared" si="139"/>
        <v>1</v>
      </c>
    </row>
    <row r="893" spans="1:34" hidden="1">
      <c r="A893" t="s">
        <v>75</v>
      </c>
      <c r="B893" s="18">
        <v>2032</v>
      </c>
      <c r="C893" t="s">
        <v>197</v>
      </c>
      <c r="D893" t="s">
        <v>163</v>
      </c>
      <c r="E893" s="20" t="s">
        <v>278</v>
      </c>
      <c r="F893" s="20" t="s">
        <v>279</v>
      </c>
      <c r="G893" s="20" t="s">
        <v>200</v>
      </c>
      <c r="H893" s="20" t="s">
        <v>192</v>
      </c>
      <c r="I893" s="20" t="s">
        <v>264</v>
      </c>
      <c r="J893" s="15">
        <f>IFERROR(INDEX(Cost_Components!$K$2:$K$27,MATCH(E893,Cost_Components!$A$2:$A$27,0)),"")</f>
        <v>1</v>
      </c>
      <c r="K893" s="15">
        <f t="shared" si="130"/>
        <v>0.46076923076923082</v>
      </c>
      <c r="L893" s="15">
        <f>IFERROR(INDEX(Cost_Components!$S$2:$S$27,MATCH(E893,Cost_Components!$A$2:$A$27,0)),"")</f>
        <v>0.31</v>
      </c>
      <c r="M893" s="26">
        <f>IFERROR(INDEX(Cost_Components!$L$2:$L$27,MATCH(E893,Cost_Components!$A$2:$A$27,0)),"")</f>
        <v>1</v>
      </c>
      <c r="N893" s="27">
        <f>IFERROR(INDEX(Cost_Components!$P$2:$P$27,MATCH(E893,Cost_Components!$A$2:$A$27,0)),"")</f>
        <v>5.133311</v>
      </c>
      <c r="O893" s="21">
        <f t="shared" si="131"/>
        <v>520008.05932184902</v>
      </c>
      <c r="P893" s="21">
        <f t="shared" si="132"/>
        <v>529631.54154831904</v>
      </c>
      <c r="Q893" s="21">
        <f t="shared" si="133"/>
        <v>842816.65963485243</v>
      </c>
      <c r="R893" s="21">
        <f t="shared" si="134"/>
        <v>1229960.3780863807</v>
      </c>
      <c r="S893" s="21">
        <f t="shared" si="135"/>
        <v>387143.71845152823</v>
      </c>
      <c r="T893" s="14">
        <f>IFERROR(INDEX(Cost_Components!$R$2:$R$27,MATCH(E893,Cost_Components!$A$2:$A$27,0)),"")</f>
        <v>1</v>
      </c>
      <c r="U893" s="24">
        <f>IFERROR(INDEX(Cost_Components!$Q$2:$Q$27,MATCH(E893,Cost_Components!$A$2:$A$27,0)),"")</f>
        <v>2023</v>
      </c>
      <c r="V893" s="28">
        <f>1/(1+Calculation_Assumptions!$B$5)^(B893-Calculation_Assumptions!$B$2)</f>
        <v>0.81309151134335378</v>
      </c>
      <c r="W893" s="21">
        <f t="shared" si="136"/>
        <v>685287.07156785915</v>
      </c>
      <c r="X893" s="21">
        <f t="shared" si="137"/>
        <v>1000070.3427106981</v>
      </c>
      <c r="Y893" s="21">
        <f t="shared" si="138"/>
        <v>314783.27114283893</v>
      </c>
      <c r="Z893" s="15">
        <f>IFERROR(INDEX(Cost_Components!$T$2:$T$27,MATCH(E893,Cost_Components!$A$2:$A$27,0)),"")</f>
        <v>0.8</v>
      </c>
      <c r="AA893" s="24">
        <f>IFERROR(INDEX(Cost_Components!$U$2:$U$27,MATCH(E893,Cost_Components!$A$2:$A$27,0)),"")</f>
        <v>2025</v>
      </c>
      <c r="AB893" s="24">
        <f>IFERROR(INDEX(Cost_Components!$V$2:$V$27,MATCH(E893,Cost_Components!$A$2:$A$27,0)),"")</f>
        <v>2050</v>
      </c>
      <c r="AC893" s="24">
        <f>IFERROR(INDEX(Cost_Components!$M$2:$M$27,MATCH(E893,Cost_Components!$A$2:$A$27,0)),"")</f>
        <v>30</v>
      </c>
      <c r="AD893" s="24">
        <f>IFERROR(INDEX(Cost_Components!$N$2:$N$27,MATCH(E893,Cost_Components!$A$2:$A$27,0)),"")</f>
        <v>95</v>
      </c>
      <c r="AE893" s="14" t="str">
        <f>IFERROR(INDEX(Cost_Components!$O$2:$O$27,MATCH(E893,Cost_Components!$A$2:$A$27,0)),"")</f>
        <v>Both</v>
      </c>
      <c r="AF893" s="11">
        <v>520008.05932184902</v>
      </c>
      <c r="AG893" s="11">
        <v>529631.54154831904</v>
      </c>
      <c r="AH893" s="21">
        <f t="shared" si="139"/>
        <v>1</v>
      </c>
    </row>
    <row r="894" spans="1:34" hidden="1">
      <c r="A894" t="s">
        <v>75</v>
      </c>
      <c r="B894" s="18">
        <v>2033</v>
      </c>
      <c r="C894" t="s">
        <v>197</v>
      </c>
      <c r="D894" t="s">
        <v>163</v>
      </c>
      <c r="E894" s="20" t="s">
        <v>278</v>
      </c>
      <c r="F894" s="20" t="s">
        <v>279</v>
      </c>
      <c r="G894" s="20" t="s">
        <v>200</v>
      </c>
      <c r="H894" s="20" t="s">
        <v>192</v>
      </c>
      <c r="I894" s="20" t="s">
        <v>264</v>
      </c>
      <c r="J894" s="15">
        <f>IFERROR(INDEX(Cost_Components!$K$2:$K$27,MATCH(E894,Cost_Components!$A$2:$A$27,0)),"")</f>
        <v>1</v>
      </c>
      <c r="K894" s="15">
        <f t="shared" si="130"/>
        <v>0.47961538461538467</v>
      </c>
      <c r="L894" s="15">
        <f>IFERROR(INDEX(Cost_Components!$S$2:$S$27,MATCH(E894,Cost_Components!$A$2:$A$27,0)),"")</f>
        <v>0.31</v>
      </c>
      <c r="M894" s="26">
        <f>IFERROR(INDEX(Cost_Components!$L$2:$L$27,MATCH(E894,Cost_Components!$A$2:$A$27,0)),"")</f>
        <v>1</v>
      </c>
      <c r="N894" s="27">
        <f>IFERROR(INDEX(Cost_Components!$P$2:$P$27,MATCH(E894,Cost_Components!$A$2:$A$27,0)),"")</f>
        <v>5.133311</v>
      </c>
      <c r="O894" s="21">
        <f t="shared" si="131"/>
        <v>533156.310726383</v>
      </c>
      <c r="P894" s="21">
        <f t="shared" si="132"/>
        <v>544842.74626271694</v>
      </c>
      <c r="Q894" s="21">
        <f t="shared" si="133"/>
        <v>867022.65142479027</v>
      </c>
      <c r="R894" s="21">
        <f t="shared" si="134"/>
        <v>1312638.7968270141</v>
      </c>
      <c r="S894" s="21">
        <f t="shared" si="135"/>
        <v>445616.1454022238</v>
      </c>
      <c r="T894" s="14">
        <f>IFERROR(INDEX(Cost_Components!$R$2:$R$27,MATCH(E894,Cost_Components!$A$2:$A$27,0)),"")</f>
        <v>1</v>
      </c>
      <c r="U894" s="24">
        <f>IFERROR(INDEX(Cost_Components!$Q$2:$Q$27,MATCH(E894,Cost_Components!$A$2:$A$27,0)),"")</f>
        <v>2023</v>
      </c>
      <c r="V894" s="28">
        <f>1/(1+Calculation_Assumptions!$B$5)^(B894-Calculation_Assumptions!$B$2)</f>
        <v>0.78940923431393573</v>
      </c>
      <c r="W894" s="21">
        <f t="shared" si="136"/>
        <v>684435.68739408208</v>
      </c>
      <c r="X894" s="21">
        <f t="shared" si="137"/>
        <v>1036209.1875339791</v>
      </c>
      <c r="Y894" s="21">
        <f t="shared" si="138"/>
        <v>351773.50013989693</v>
      </c>
      <c r="Z894" s="15">
        <f>IFERROR(INDEX(Cost_Components!$T$2:$T$27,MATCH(E894,Cost_Components!$A$2:$A$27,0)),"")</f>
        <v>0.8</v>
      </c>
      <c r="AA894" s="24">
        <f>IFERROR(INDEX(Cost_Components!$U$2:$U$27,MATCH(E894,Cost_Components!$A$2:$A$27,0)),"")</f>
        <v>2025</v>
      </c>
      <c r="AB894" s="24">
        <f>IFERROR(INDEX(Cost_Components!$V$2:$V$27,MATCH(E894,Cost_Components!$A$2:$A$27,0)),"")</f>
        <v>2050</v>
      </c>
      <c r="AC894" s="24">
        <f>IFERROR(INDEX(Cost_Components!$M$2:$M$27,MATCH(E894,Cost_Components!$A$2:$A$27,0)),"")</f>
        <v>30</v>
      </c>
      <c r="AD894" s="24">
        <f>IFERROR(INDEX(Cost_Components!$N$2:$N$27,MATCH(E894,Cost_Components!$A$2:$A$27,0)),"")</f>
        <v>95</v>
      </c>
      <c r="AE894" s="14" t="str">
        <f>IFERROR(INDEX(Cost_Components!$O$2:$O$27,MATCH(E894,Cost_Components!$A$2:$A$27,0)),"")</f>
        <v>Both</v>
      </c>
      <c r="AF894" s="11">
        <v>533156.310726383</v>
      </c>
      <c r="AG894" s="11">
        <v>544842.74626271694</v>
      </c>
      <c r="AH894" s="21">
        <f t="shared" si="139"/>
        <v>1</v>
      </c>
    </row>
    <row r="895" spans="1:34" hidden="1">
      <c r="A895" t="s">
        <v>75</v>
      </c>
      <c r="B895" s="18">
        <v>2034</v>
      </c>
      <c r="C895" t="s">
        <v>197</v>
      </c>
      <c r="D895" t="s">
        <v>163</v>
      </c>
      <c r="E895" s="20" t="s">
        <v>278</v>
      </c>
      <c r="F895" s="20" t="s">
        <v>279</v>
      </c>
      <c r="G895" s="20" t="s">
        <v>200</v>
      </c>
      <c r="H895" s="20" t="s">
        <v>192</v>
      </c>
      <c r="I895" s="20" t="s">
        <v>264</v>
      </c>
      <c r="J895" s="15">
        <f>IFERROR(INDEX(Cost_Components!$K$2:$K$27,MATCH(E895,Cost_Components!$A$2:$A$27,0)),"")</f>
        <v>1</v>
      </c>
      <c r="K895" s="15">
        <f t="shared" si="130"/>
        <v>0.49846153846153851</v>
      </c>
      <c r="L895" s="15">
        <f>IFERROR(INDEX(Cost_Components!$S$2:$S$27,MATCH(E895,Cost_Components!$A$2:$A$27,0)),"")</f>
        <v>0.31</v>
      </c>
      <c r="M895" s="26">
        <f>IFERROR(INDEX(Cost_Components!$L$2:$L$27,MATCH(E895,Cost_Components!$A$2:$A$27,0)),"")</f>
        <v>1</v>
      </c>
      <c r="N895" s="27">
        <f>IFERROR(INDEX(Cost_Components!$P$2:$P$27,MATCH(E895,Cost_Components!$A$2:$A$27,0)),"")</f>
        <v>5.133311</v>
      </c>
      <c r="O895" s="21">
        <f t="shared" si="131"/>
        <v>546195.11378686898</v>
      </c>
      <c r="P895" s="21">
        <f t="shared" si="132"/>
        <v>560079.98664797004</v>
      </c>
      <c r="Q895" s="21">
        <f t="shared" si="133"/>
        <v>891270.07446536212</v>
      </c>
      <c r="R895" s="21">
        <f t="shared" si="134"/>
        <v>1397581.1707422726</v>
      </c>
      <c r="S895" s="21">
        <f t="shared" si="135"/>
        <v>506311.09627691051</v>
      </c>
      <c r="T895" s="14">
        <f>IFERROR(INDEX(Cost_Components!$R$2:$R$27,MATCH(E895,Cost_Components!$A$2:$A$27,0)),"")</f>
        <v>1</v>
      </c>
      <c r="U895" s="24">
        <f>IFERROR(INDEX(Cost_Components!$Q$2:$Q$27,MATCH(E895,Cost_Components!$A$2:$A$27,0)),"")</f>
        <v>2023</v>
      </c>
      <c r="V895" s="28">
        <f>1/(1+Calculation_Assumptions!$B$5)^(B895-Calculation_Assumptions!$B$2)</f>
        <v>0.76641673234362695</v>
      </c>
      <c r="W895" s="21">
        <f t="shared" si="136"/>
        <v>683084.29810740391</v>
      </c>
      <c r="X895" s="21">
        <f t="shared" si="137"/>
        <v>1071129.5940652732</v>
      </c>
      <c r="Y895" s="21">
        <f t="shared" si="138"/>
        <v>388045.29595786927</v>
      </c>
      <c r="Z895" s="15">
        <f>IFERROR(INDEX(Cost_Components!$T$2:$T$27,MATCH(E895,Cost_Components!$A$2:$A$27,0)),"")</f>
        <v>0.8</v>
      </c>
      <c r="AA895" s="24">
        <f>IFERROR(INDEX(Cost_Components!$U$2:$U$27,MATCH(E895,Cost_Components!$A$2:$A$27,0)),"")</f>
        <v>2025</v>
      </c>
      <c r="AB895" s="24">
        <f>IFERROR(INDEX(Cost_Components!$V$2:$V$27,MATCH(E895,Cost_Components!$A$2:$A$27,0)),"")</f>
        <v>2050</v>
      </c>
      <c r="AC895" s="24">
        <f>IFERROR(INDEX(Cost_Components!$M$2:$M$27,MATCH(E895,Cost_Components!$A$2:$A$27,0)),"")</f>
        <v>30</v>
      </c>
      <c r="AD895" s="24">
        <f>IFERROR(INDEX(Cost_Components!$N$2:$N$27,MATCH(E895,Cost_Components!$A$2:$A$27,0)),"")</f>
        <v>95</v>
      </c>
      <c r="AE895" s="14" t="str">
        <f>IFERROR(INDEX(Cost_Components!$O$2:$O$27,MATCH(E895,Cost_Components!$A$2:$A$27,0)),"")</f>
        <v>Both</v>
      </c>
      <c r="AF895" s="11">
        <v>546195.11378686898</v>
      </c>
      <c r="AG895" s="11">
        <v>560079.98664797004</v>
      </c>
      <c r="AH895" s="21">
        <f t="shared" si="139"/>
        <v>1</v>
      </c>
    </row>
    <row r="896" spans="1:34" hidden="1">
      <c r="A896" t="s">
        <v>75</v>
      </c>
      <c r="B896" s="18">
        <v>2035</v>
      </c>
      <c r="C896" t="s">
        <v>197</v>
      </c>
      <c r="D896" t="s">
        <v>163</v>
      </c>
      <c r="E896" s="20" t="s">
        <v>278</v>
      </c>
      <c r="F896" s="20" t="s">
        <v>279</v>
      </c>
      <c r="G896" s="20" t="s">
        <v>200</v>
      </c>
      <c r="H896" s="20" t="s">
        <v>192</v>
      </c>
      <c r="I896" s="20" t="s">
        <v>264</v>
      </c>
      <c r="J896" s="15">
        <f>IFERROR(INDEX(Cost_Components!$K$2:$K$27,MATCH(E896,Cost_Components!$A$2:$A$27,0)),"")</f>
        <v>1</v>
      </c>
      <c r="K896" s="15">
        <f t="shared" si="130"/>
        <v>0.51730769230769236</v>
      </c>
      <c r="L896" s="15">
        <f>IFERROR(INDEX(Cost_Components!$S$2:$S$27,MATCH(E896,Cost_Components!$A$2:$A$27,0)),"")</f>
        <v>0.31</v>
      </c>
      <c r="M896" s="26">
        <f>IFERROR(INDEX(Cost_Components!$L$2:$L$27,MATCH(E896,Cost_Components!$A$2:$A$27,0)),"")</f>
        <v>1</v>
      </c>
      <c r="N896" s="27">
        <f>IFERROR(INDEX(Cost_Components!$P$2:$P$27,MATCH(E896,Cost_Components!$A$2:$A$27,0)),"")</f>
        <v>5.133311</v>
      </c>
      <c r="O896" s="21">
        <f t="shared" si="131"/>
        <v>559095.09705151897</v>
      </c>
      <c r="P896" s="21">
        <f t="shared" si="132"/>
        <v>575299.57749410998</v>
      </c>
      <c r="Q896" s="21">
        <f t="shared" si="133"/>
        <v>915489.41132821888</v>
      </c>
      <c r="R896" s="21">
        <f t="shared" si="134"/>
        <v>1484677.738765826</v>
      </c>
      <c r="S896" s="21">
        <f t="shared" si="135"/>
        <v>569188.32743760711</v>
      </c>
      <c r="T896" s="14">
        <f>IFERROR(INDEX(Cost_Components!$R$2:$R$27,MATCH(E896,Cost_Components!$A$2:$A$27,0)),"")</f>
        <v>1</v>
      </c>
      <c r="U896" s="24">
        <f>IFERROR(INDEX(Cost_Components!$Q$2:$Q$27,MATCH(E896,Cost_Components!$A$2:$A$27,0)),"")</f>
        <v>2023</v>
      </c>
      <c r="V896" s="28">
        <f>1/(1+Calculation_Assumptions!$B$5)^(B896-Calculation_Assumptions!$B$2)</f>
        <v>0.74409391489672516</v>
      </c>
      <c r="W896" s="21">
        <f t="shared" si="136"/>
        <v>681210.10012171266</v>
      </c>
      <c r="X896" s="21">
        <f t="shared" si="137"/>
        <v>1104739.6709982809</v>
      </c>
      <c r="Y896" s="21">
        <f t="shared" si="138"/>
        <v>423529.57087656815</v>
      </c>
      <c r="Z896" s="15">
        <f>IFERROR(INDEX(Cost_Components!$T$2:$T$27,MATCH(E896,Cost_Components!$A$2:$A$27,0)),"")</f>
        <v>0.8</v>
      </c>
      <c r="AA896" s="24">
        <f>IFERROR(INDEX(Cost_Components!$U$2:$U$27,MATCH(E896,Cost_Components!$A$2:$A$27,0)),"")</f>
        <v>2025</v>
      </c>
      <c r="AB896" s="24">
        <f>IFERROR(INDEX(Cost_Components!$V$2:$V$27,MATCH(E896,Cost_Components!$A$2:$A$27,0)),"")</f>
        <v>2050</v>
      </c>
      <c r="AC896" s="24">
        <f>IFERROR(INDEX(Cost_Components!$M$2:$M$27,MATCH(E896,Cost_Components!$A$2:$A$27,0)),"")</f>
        <v>30</v>
      </c>
      <c r="AD896" s="24">
        <f>IFERROR(INDEX(Cost_Components!$N$2:$N$27,MATCH(E896,Cost_Components!$A$2:$A$27,0)),"")</f>
        <v>95</v>
      </c>
      <c r="AE896" s="14" t="str">
        <f>IFERROR(INDEX(Cost_Components!$O$2:$O$27,MATCH(E896,Cost_Components!$A$2:$A$27,0)),"")</f>
        <v>Both</v>
      </c>
      <c r="AF896" s="11">
        <v>559095.09705151897</v>
      </c>
      <c r="AG896" s="11">
        <v>575299.57749410998</v>
      </c>
      <c r="AH896" s="21">
        <f t="shared" si="139"/>
        <v>1</v>
      </c>
    </row>
    <row r="897" spans="1:34" hidden="1">
      <c r="A897" t="s">
        <v>75</v>
      </c>
      <c r="B897" s="18">
        <v>2036</v>
      </c>
      <c r="C897" t="s">
        <v>197</v>
      </c>
      <c r="D897" t="s">
        <v>163</v>
      </c>
      <c r="E897" s="20" t="s">
        <v>278</v>
      </c>
      <c r="F897" s="20" t="s">
        <v>279</v>
      </c>
      <c r="G897" s="20" t="s">
        <v>200</v>
      </c>
      <c r="H897" s="20" t="s">
        <v>192</v>
      </c>
      <c r="I897" s="20" t="s">
        <v>264</v>
      </c>
      <c r="J897" s="15">
        <f>IFERROR(INDEX(Cost_Components!$K$2:$K$27,MATCH(E897,Cost_Components!$A$2:$A$27,0)),"")</f>
        <v>1</v>
      </c>
      <c r="K897" s="15">
        <f t="shared" si="130"/>
        <v>0.5361538461538462</v>
      </c>
      <c r="L897" s="15">
        <f>IFERROR(INDEX(Cost_Components!$S$2:$S$27,MATCH(E897,Cost_Components!$A$2:$A$27,0)),"")</f>
        <v>0.31</v>
      </c>
      <c r="M897" s="26">
        <f>IFERROR(INDEX(Cost_Components!$L$2:$L$27,MATCH(E897,Cost_Components!$A$2:$A$27,0)),"")</f>
        <v>1</v>
      </c>
      <c r="N897" s="27">
        <f>IFERROR(INDEX(Cost_Components!$P$2:$P$27,MATCH(E897,Cost_Components!$A$2:$A$27,0)),"")</f>
        <v>5.133311</v>
      </c>
      <c r="O897" s="21">
        <f t="shared" si="131"/>
        <v>571858.858034704</v>
      </c>
      <c r="P897" s="21">
        <f t="shared" si="132"/>
        <v>590491.081081404</v>
      </c>
      <c r="Q897" s="21">
        <f t="shared" si="133"/>
        <v>939664.05219428951</v>
      </c>
      <c r="R897" s="21">
        <f t="shared" si="134"/>
        <v>1573895.3602913064</v>
      </c>
      <c r="S897" s="21">
        <f t="shared" si="135"/>
        <v>634231.30809701688</v>
      </c>
      <c r="T897" s="14">
        <f>IFERROR(INDEX(Cost_Components!$R$2:$R$27,MATCH(E897,Cost_Components!$A$2:$A$27,0)),"")</f>
        <v>1</v>
      </c>
      <c r="U897" s="24">
        <f>IFERROR(INDEX(Cost_Components!$Q$2:$Q$27,MATCH(E897,Cost_Components!$A$2:$A$27,0)),"")</f>
        <v>2023</v>
      </c>
      <c r="V897" s="28">
        <f>1/(1+Calculation_Assumptions!$B$5)^(B897-Calculation_Assumptions!$B$2)</f>
        <v>0.72242127659876232</v>
      </c>
      <c r="W897" s="21">
        <f t="shared" si="136"/>
        <v>678833.30416016467</v>
      </c>
      <c r="X897" s="21">
        <f t="shared" si="137"/>
        <v>1137015.4954145146</v>
      </c>
      <c r="Y897" s="21">
        <f t="shared" si="138"/>
        <v>458182.19125434989</v>
      </c>
      <c r="Z897" s="15">
        <f>IFERROR(INDEX(Cost_Components!$T$2:$T$27,MATCH(E897,Cost_Components!$A$2:$A$27,0)),"")</f>
        <v>0.8</v>
      </c>
      <c r="AA897" s="24">
        <f>IFERROR(INDEX(Cost_Components!$U$2:$U$27,MATCH(E897,Cost_Components!$A$2:$A$27,0)),"")</f>
        <v>2025</v>
      </c>
      <c r="AB897" s="24">
        <f>IFERROR(INDEX(Cost_Components!$V$2:$V$27,MATCH(E897,Cost_Components!$A$2:$A$27,0)),"")</f>
        <v>2050</v>
      </c>
      <c r="AC897" s="24">
        <f>IFERROR(INDEX(Cost_Components!$M$2:$M$27,MATCH(E897,Cost_Components!$A$2:$A$27,0)),"")</f>
        <v>30</v>
      </c>
      <c r="AD897" s="24">
        <f>IFERROR(INDEX(Cost_Components!$N$2:$N$27,MATCH(E897,Cost_Components!$A$2:$A$27,0)),"")</f>
        <v>95</v>
      </c>
      <c r="AE897" s="14" t="str">
        <f>IFERROR(INDEX(Cost_Components!$O$2:$O$27,MATCH(E897,Cost_Components!$A$2:$A$27,0)),"")</f>
        <v>Both</v>
      </c>
      <c r="AF897" s="11">
        <v>571858.858034704</v>
      </c>
      <c r="AG897" s="11">
        <v>590491.081081404</v>
      </c>
      <c r="AH897" s="21">
        <f t="shared" si="139"/>
        <v>1</v>
      </c>
    </row>
    <row r="898" spans="1:34" hidden="1">
      <c r="A898" t="s">
        <v>75</v>
      </c>
      <c r="B898" s="18">
        <v>2037</v>
      </c>
      <c r="C898" t="s">
        <v>197</v>
      </c>
      <c r="D898" t="s">
        <v>163</v>
      </c>
      <c r="E898" s="20" t="s">
        <v>278</v>
      </c>
      <c r="F898" s="20" t="s">
        <v>279</v>
      </c>
      <c r="G898" s="20" t="s">
        <v>200</v>
      </c>
      <c r="H898" s="20" t="s">
        <v>192</v>
      </c>
      <c r="I898" s="20" t="s">
        <v>264</v>
      </c>
      <c r="J898" s="15">
        <f>IFERROR(INDEX(Cost_Components!$K$2:$K$27,MATCH(E898,Cost_Components!$A$2:$A$27,0)),"")</f>
        <v>1</v>
      </c>
      <c r="K898" s="15">
        <f t="shared" ref="K898:K961" si="140">IF(OR(L898="",Z898="",AA898="",AB898=""),"",IF(B898&lt;AA898,L898,IF(B898&gt;AB898,Z898,L898+(Z898-L898)*MIN(MAX((B898-AA898+1)/MAX(AB898-AA898+1,1),0),1))))</f>
        <v>0.55500000000000005</v>
      </c>
      <c r="L898" s="15">
        <f>IFERROR(INDEX(Cost_Components!$S$2:$S$27,MATCH(E898,Cost_Components!$A$2:$A$27,0)),"")</f>
        <v>0.31</v>
      </c>
      <c r="M898" s="26">
        <f>IFERROR(INDEX(Cost_Components!$L$2:$L$27,MATCH(E898,Cost_Components!$A$2:$A$27,0)),"")</f>
        <v>1</v>
      </c>
      <c r="N898" s="27">
        <f>IFERROR(INDEX(Cost_Components!$P$2:$P$27,MATCH(E898,Cost_Components!$A$2:$A$27,0)),"")</f>
        <v>5.133311</v>
      </c>
      <c r="O898" s="21">
        <f t="shared" ref="O898:O961" si="141">AF898*J898</f>
        <v>584510.91963179898</v>
      </c>
      <c r="P898" s="21">
        <f t="shared" ref="P898:P961" si="142">AG898*J898</f>
        <v>605668.09724968101</v>
      </c>
      <c r="Q898" s="21">
        <f t="shared" ref="Q898:Q961" si="143">P898*L898*M898*N898</f>
        <v>963815.63884786575</v>
      </c>
      <c r="R898" s="21">
        <f t="shared" ref="R898:R961" si="144">O898*K898*M898*N898</f>
        <v>1665264.3650181466</v>
      </c>
      <c r="S898" s="21">
        <f t="shared" ref="S898:S961" si="145">R898-Q898</f>
        <v>701448.72617028083</v>
      </c>
      <c r="T898" s="14">
        <f>IFERROR(INDEX(Cost_Components!$R$2:$R$27,MATCH(E898,Cost_Components!$A$2:$A$27,0)),"")</f>
        <v>1</v>
      </c>
      <c r="U898" s="24">
        <f>IFERROR(INDEX(Cost_Components!$Q$2:$Q$27,MATCH(E898,Cost_Components!$A$2:$A$27,0)),"")</f>
        <v>2023</v>
      </c>
      <c r="V898" s="28">
        <f>1/(1+Calculation_Assumptions!$B$5)^(B898-Calculation_Assumptions!$B$2)</f>
        <v>0.70137988019297326</v>
      </c>
      <c r="W898" s="21">
        <f t="shared" ref="W898:W961" si="146">Q898*V898</f>
        <v>676000.89730323001</v>
      </c>
      <c r="X898" s="21">
        <f t="shared" ref="X898:X961" si="147">R898*V898</f>
        <v>1167982.9208260553</v>
      </c>
      <c r="Y898" s="21">
        <f t="shared" ref="Y898:Y961" si="148">S898*V898</f>
        <v>491982.02352282527</v>
      </c>
      <c r="Z898" s="15">
        <f>IFERROR(INDEX(Cost_Components!$T$2:$T$27,MATCH(E898,Cost_Components!$A$2:$A$27,0)),"")</f>
        <v>0.8</v>
      </c>
      <c r="AA898" s="24">
        <f>IFERROR(INDEX(Cost_Components!$U$2:$U$27,MATCH(E898,Cost_Components!$A$2:$A$27,0)),"")</f>
        <v>2025</v>
      </c>
      <c r="AB898" s="24">
        <f>IFERROR(INDEX(Cost_Components!$V$2:$V$27,MATCH(E898,Cost_Components!$A$2:$A$27,0)),"")</f>
        <v>2050</v>
      </c>
      <c r="AC898" s="24">
        <f>IFERROR(INDEX(Cost_Components!$M$2:$M$27,MATCH(E898,Cost_Components!$A$2:$A$27,0)),"")</f>
        <v>30</v>
      </c>
      <c r="AD898" s="24">
        <f>IFERROR(INDEX(Cost_Components!$N$2:$N$27,MATCH(E898,Cost_Components!$A$2:$A$27,0)),"")</f>
        <v>95</v>
      </c>
      <c r="AE898" s="14" t="str">
        <f>IFERROR(INDEX(Cost_Components!$O$2:$O$27,MATCH(E898,Cost_Components!$A$2:$A$27,0)),"")</f>
        <v>Both</v>
      </c>
      <c r="AF898" s="11">
        <v>584510.91963179898</v>
      </c>
      <c r="AG898" s="11">
        <v>605668.09724968101</v>
      </c>
      <c r="AH898" s="21">
        <f t="shared" ref="AH898:AH961" si="149">IF(H898="shared-count-once",COUNTIFS($A$2:$A$1353,A898,$B$2:$B$1353,B898,$E$2:$E$1353,E898),1)</f>
        <v>1</v>
      </c>
    </row>
    <row r="899" spans="1:34" hidden="1">
      <c r="A899" t="s">
        <v>75</v>
      </c>
      <c r="B899" s="18">
        <v>2038</v>
      </c>
      <c r="C899" t="s">
        <v>197</v>
      </c>
      <c r="D899" t="s">
        <v>163</v>
      </c>
      <c r="E899" s="20" t="s">
        <v>278</v>
      </c>
      <c r="F899" s="20" t="s">
        <v>279</v>
      </c>
      <c r="G899" s="20" t="s">
        <v>200</v>
      </c>
      <c r="H899" s="20" t="s">
        <v>192</v>
      </c>
      <c r="I899" s="20" t="s">
        <v>264</v>
      </c>
      <c r="J899" s="15">
        <f>IFERROR(INDEX(Cost_Components!$K$2:$K$27,MATCH(E899,Cost_Components!$A$2:$A$27,0)),"")</f>
        <v>1</v>
      </c>
      <c r="K899" s="15">
        <f t="shared" si="140"/>
        <v>0.57384615384615389</v>
      </c>
      <c r="L899" s="15">
        <f>IFERROR(INDEX(Cost_Components!$S$2:$S$27,MATCH(E899,Cost_Components!$A$2:$A$27,0)),"")</f>
        <v>0.31</v>
      </c>
      <c r="M899" s="26">
        <f>IFERROR(INDEX(Cost_Components!$L$2:$L$27,MATCH(E899,Cost_Components!$A$2:$A$27,0)),"")</f>
        <v>1</v>
      </c>
      <c r="N899" s="27">
        <f>IFERROR(INDEX(Cost_Components!$P$2:$P$27,MATCH(E899,Cost_Components!$A$2:$A$27,0)),"")</f>
        <v>5.133311</v>
      </c>
      <c r="O899" s="21">
        <f t="shared" si="141"/>
        <v>597058.73395917902</v>
      </c>
      <c r="P899" s="21">
        <f t="shared" si="142"/>
        <v>620827.87243751495</v>
      </c>
      <c r="Q899" s="21">
        <f t="shared" si="143"/>
        <v>987939.78947392851</v>
      </c>
      <c r="R899" s="21">
        <f t="shared" si="144"/>
        <v>1758774.2864171774</v>
      </c>
      <c r="S899" s="21">
        <f t="shared" si="145"/>
        <v>770834.4969432489</v>
      </c>
      <c r="T899" s="14">
        <f>IFERROR(INDEX(Cost_Components!$R$2:$R$27,MATCH(E899,Cost_Components!$A$2:$A$27,0)),"")</f>
        <v>1</v>
      </c>
      <c r="U899" s="24">
        <f>IFERROR(INDEX(Cost_Components!$Q$2:$Q$27,MATCH(E899,Cost_Components!$A$2:$A$27,0)),"")</f>
        <v>2023</v>
      </c>
      <c r="V899" s="28">
        <f>1/(1+Calculation_Assumptions!$B$5)^(B899-Calculation_Assumptions!$B$2)</f>
        <v>0.68095133999317792</v>
      </c>
      <c r="W899" s="21">
        <f t="shared" si="146"/>
        <v>672738.92347484967</v>
      </c>
      <c r="X899" s="21">
        <f t="shared" si="147"/>
        <v>1197639.7070813223</v>
      </c>
      <c r="Y899" s="21">
        <f t="shared" si="148"/>
        <v>524900.78360647254</v>
      </c>
      <c r="Z899" s="15">
        <f>IFERROR(INDEX(Cost_Components!$T$2:$T$27,MATCH(E899,Cost_Components!$A$2:$A$27,0)),"")</f>
        <v>0.8</v>
      </c>
      <c r="AA899" s="24">
        <f>IFERROR(INDEX(Cost_Components!$U$2:$U$27,MATCH(E899,Cost_Components!$A$2:$A$27,0)),"")</f>
        <v>2025</v>
      </c>
      <c r="AB899" s="24">
        <f>IFERROR(INDEX(Cost_Components!$V$2:$V$27,MATCH(E899,Cost_Components!$A$2:$A$27,0)),"")</f>
        <v>2050</v>
      </c>
      <c r="AC899" s="24">
        <f>IFERROR(INDEX(Cost_Components!$M$2:$M$27,MATCH(E899,Cost_Components!$A$2:$A$27,0)),"")</f>
        <v>30</v>
      </c>
      <c r="AD899" s="24">
        <f>IFERROR(INDEX(Cost_Components!$N$2:$N$27,MATCH(E899,Cost_Components!$A$2:$A$27,0)),"")</f>
        <v>95</v>
      </c>
      <c r="AE899" s="14" t="str">
        <f>IFERROR(INDEX(Cost_Components!$O$2:$O$27,MATCH(E899,Cost_Components!$A$2:$A$27,0)),"")</f>
        <v>Both</v>
      </c>
      <c r="AF899" s="11">
        <v>597058.73395917902</v>
      </c>
      <c r="AG899" s="11">
        <v>620827.87243751495</v>
      </c>
      <c r="AH899" s="21">
        <f t="shared" si="149"/>
        <v>1</v>
      </c>
    </row>
    <row r="900" spans="1:34" hidden="1">
      <c r="A900" t="s">
        <v>75</v>
      </c>
      <c r="B900" s="18">
        <v>2039</v>
      </c>
      <c r="C900" t="s">
        <v>197</v>
      </c>
      <c r="D900" t="s">
        <v>163</v>
      </c>
      <c r="E900" s="20" t="s">
        <v>278</v>
      </c>
      <c r="F900" s="20" t="s">
        <v>279</v>
      </c>
      <c r="G900" s="20" t="s">
        <v>200</v>
      </c>
      <c r="H900" s="20" t="s">
        <v>192</v>
      </c>
      <c r="I900" s="20" t="s">
        <v>264</v>
      </c>
      <c r="J900" s="15">
        <f>IFERROR(INDEX(Cost_Components!$K$2:$K$27,MATCH(E900,Cost_Components!$A$2:$A$27,0)),"")</f>
        <v>1</v>
      </c>
      <c r="K900" s="15">
        <f t="shared" si="140"/>
        <v>0.59269230769230763</v>
      </c>
      <c r="L900" s="15">
        <f>IFERROR(INDEX(Cost_Components!$S$2:$S$27,MATCH(E900,Cost_Components!$A$2:$A$27,0)),"")</f>
        <v>0.31</v>
      </c>
      <c r="M900" s="26">
        <f>IFERROR(INDEX(Cost_Components!$L$2:$L$27,MATCH(E900,Cost_Components!$A$2:$A$27,0)),"")</f>
        <v>1</v>
      </c>
      <c r="N900" s="27">
        <f>IFERROR(INDEX(Cost_Components!$P$2:$P$27,MATCH(E900,Cost_Components!$A$2:$A$27,0)),"")</f>
        <v>5.133311</v>
      </c>
      <c r="O900" s="21">
        <f t="shared" si="141"/>
        <v>609486.650281301</v>
      </c>
      <c r="P900" s="21">
        <f t="shared" si="142"/>
        <v>635942.43695767794</v>
      </c>
      <c r="Q900" s="21">
        <f t="shared" si="143"/>
        <v>1011991.9951705129</v>
      </c>
      <c r="R900" s="21">
        <f t="shared" si="144"/>
        <v>1854347.2518996776</v>
      </c>
      <c r="S900" s="21">
        <f t="shared" si="145"/>
        <v>842355.25672916463</v>
      </c>
      <c r="T900" s="14">
        <f>IFERROR(INDEX(Cost_Components!$R$2:$R$27,MATCH(E900,Cost_Components!$A$2:$A$27,0)),"")</f>
        <v>1</v>
      </c>
      <c r="U900" s="24">
        <f>IFERROR(INDEX(Cost_Components!$Q$2:$Q$27,MATCH(E900,Cost_Components!$A$2:$A$27,0)),"")</f>
        <v>2023</v>
      </c>
      <c r="V900" s="28">
        <f>1/(1+Calculation_Assumptions!$B$5)^(B900-Calculation_Assumptions!$B$2)</f>
        <v>0.66111780581861923</v>
      </c>
      <c r="W900" s="21">
        <f t="shared" si="146"/>
        <v>669045.92735313624</v>
      </c>
      <c r="X900" s="21">
        <f t="shared" si="147"/>
        <v>1225941.9864017013</v>
      </c>
      <c r="Y900" s="21">
        <f t="shared" si="148"/>
        <v>556896.05904856499</v>
      </c>
      <c r="Z900" s="15">
        <f>IFERROR(INDEX(Cost_Components!$T$2:$T$27,MATCH(E900,Cost_Components!$A$2:$A$27,0)),"")</f>
        <v>0.8</v>
      </c>
      <c r="AA900" s="24">
        <f>IFERROR(INDEX(Cost_Components!$U$2:$U$27,MATCH(E900,Cost_Components!$A$2:$A$27,0)),"")</f>
        <v>2025</v>
      </c>
      <c r="AB900" s="24">
        <f>IFERROR(INDEX(Cost_Components!$V$2:$V$27,MATCH(E900,Cost_Components!$A$2:$A$27,0)),"")</f>
        <v>2050</v>
      </c>
      <c r="AC900" s="24">
        <f>IFERROR(INDEX(Cost_Components!$M$2:$M$27,MATCH(E900,Cost_Components!$A$2:$A$27,0)),"")</f>
        <v>30</v>
      </c>
      <c r="AD900" s="24">
        <f>IFERROR(INDEX(Cost_Components!$N$2:$N$27,MATCH(E900,Cost_Components!$A$2:$A$27,0)),"")</f>
        <v>95</v>
      </c>
      <c r="AE900" s="14" t="str">
        <f>IFERROR(INDEX(Cost_Components!$O$2:$O$27,MATCH(E900,Cost_Components!$A$2:$A$27,0)),"")</f>
        <v>Both</v>
      </c>
      <c r="AF900" s="11">
        <v>609486.650281301</v>
      </c>
      <c r="AG900" s="11">
        <v>635942.43695767794</v>
      </c>
      <c r="AH900" s="21">
        <f t="shared" si="149"/>
        <v>1</v>
      </c>
    </row>
    <row r="901" spans="1:34" hidden="1">
      <c r="A901" t="s">
        <v>75</v>
      </c>
      <c r="B901" s="18">
        <v>2040</v>
      </c>
      <c r="C901" t="s">
        <v>197</v>
      </c>
      <c r="D901" t="s">
        <v>163</v>
      </c>
      <c r="E901" s="20" t="s">
        <v>278</v>
      </c>
      <c r="F901" s="20" t="s">
        <v>279</v>
      </c>
      <c r="G901" s="20" t="s">
        <v>200</v>
      </c>
      <c r="H901" s="20" t="s">
        <v>192</v>
      </c>
      <c r="I901" s="20" t="s">
        <v>264</v>
      </c>
      <c r="J901" s="15">
        <f>IFERROR(INDEX(Cost_Components!$K$2:$K$27,MATCH(E901,Cost_Components!$A$2:$A$27,0)),"")</f>
        <v>1</v>
      </c>
      <c r="K901" s="15">
        <f t="shared" si="140"/>
        <v>0.61153846153846159</v>
      </c>
      <c r="L901" s="15">
        <f>IFERROR(INDEX(Cost_Components!$S$2:$S$27,MATCH(E901,Cost_Components!$A$2:$A$27,0)),"")</f>
        <v>0.31</v>
      </c>
      <c r="M901" s="26">
        <f>IFERROR(INDEX(Cost_Components!$L$2:$L$27,MATCH(E901,Cost_Components!$A$2:$A$27,0)),"")</f>
        <v>1</v>
      </c>
      <c r="N901" s="27">
        <f>IFERROR(INDEX(Cost_Components!$P$2:$P$27,MATCH(E901,Cost_Components!$A$2:$A$27,0)),"")</f>
        <v>5.133311</v>
      </c>
      <c r="O901" s="21">
        <f t="shared" si="141"/>
        <v>621791.22319448995</v>
      </c>
      <c r="P901" s="21">
        <f t="shared" si="142"/>
        <v>650996.15624901897</v>
      </c>
      <c r="Q901" s="21">
        <f t="shared" si="143"/>
        <v>1035947.3762475504</v>
      </c>
      <c r="R901" s="21">
        <f t="shared" si="144"/>
        <v>1951937.6476565737</v>
      </c>
      <c r="S901" s="21">
        <f t="shared" si="145"/>
        <v>915990.27140902332</v>
      </c>
      <c r="T901" s="14">
        <f>IFERROR(INDEX(Cost_Components!$R$2:$R$27,MATCH(E901,Cost_Components!$A$2:$A$27,0)),"")</f>
        <v>1</v>
      </c>
      <c r="U901" s="24">
        <f>IFERROR(INDEX(Cost_Components!$Q$2:$Q$27,MATCH(E901,Cost_Components!$A$2:$A$27,0)),"")</f>
        <v>2023</v>
      </c>
      <c r="V901" s="28">
        <f>1/(1+Calculation_Assumptions!$B$5)^(B901-Calculation_Assumptions!$B$2)</f>
        <v>0.64186194739671765</v>
      </c>
      <c r="W901" s="21">
        <f t="shared" si="146"/>
        <v>664935.20031877281</v>
      </c>
      <c r="X901" s="21">
        <f t="shared" si="147"/>
        <v>1252874.4997218165</v>
      </c>
      <c r="Y901" s="21">
        <f t="shared" si="148"/>
        <v>587939.2994030437</v>
      </c>
      <c r="Z901" s="15">
        <f>IFERROR(INDEX(Cost_Components!$T$2:$T$27,MATCH(E901,Cost_Components!$A$2:$A$27,0)),"")</f>
        <v>0.8</v>
      </c>
      <c r="AA901" s="24">
        <f>IFERROR(INDEX(Cost_Components!$U$2:$U$27,MATCH(E901,Cost_Components!$A$2:$A$27,0)),"")</f>
        <v>2025</v>
      </c>
      <c r="AB901" s="24">
        <f>IFERROR(INDEX(Cost_Components!$V$2:$V$27,MATCH(E901,Cost_Components!$A$2:$A$27,0)),"")</f>
        <v>2050</v>
      </c>
      <c r="AC901" s="24">
        <f>IFERROR(INDEX(Cost_Components!$M$2:$M$27,MATCH(E901,Cost_Components!$A$2:$A$27,0)),"")</f>
        <v>30</v>
      </c>
      <c r="AD901" s="24">
        <f>IFERROR(INDEX(Cost_Components!$N$2:$N$27,MATCH(E901,Cost_Components!$A$2:$A$27,0)),"")</f>
        <v>95</v>
      </c>
      <c r="AE901" s="14" t="str">
        <f>IFERROR(INDEX(Cost_Components!$O$2:$O$27,MATCH(E901,Cost_Components!$A$2:$A$27,0)),"")</f>
        <v>Both</v>
      </c>
      <c r="AF901" s="11">
        <v>621791.22319448995</v>
      </c>
      <c r="AG901" s="11">
        <v>650996.15624901897</v>
      </c>
      <c r="AH901" s="21">
        <f t="shared" si="149"/>
        <v>1</v>
      </c>
    </row>
    <row r="902" spans="1:34" hidden="1">
      <c r="A902" t="s">
        <v>75</v>
      </c>
      <c r="B902" s="18">
        <v>2041</v>
      </c>
      <c r="C902" t="s">
        <v>197</v>
      </c>
      <c r="D902" t="s">
        <v>163</v>
      </c>
      <c r="E902" s="20" t="s">
        <v>278</v>
      </c>
      <c r="F902" s="20" t="s">
        <v>279</v>
      </c>
      <c r="G902" s="20" t="s">
        <v>200</v>
      </c>
      <c r="H902" s="20" t="s">
        <v>192</v>
      </c>
      <c r="I902" s="20" t="s">
        <v>264</v>
      </c>
      <c r="J902" s="15">
        <f>IFERROR(INDEX(Cost_Components!$K$2:$K$27,MATCH(E902,Cost_Components!$A$2:$A$27,0)),"")</f>
        <v>1</v>
      </c>
      <c r="K902" s="15">
        <f t="shared" si="140"/>
        <v>0.63038461538461543</v>
      </c>
      <c r="L902" s="15">
        <f>IFERROR(INDEX(Cost_Components!$S$2:$S$27,MATCH(E902,Cost_Components!$A$2:$A$27,0)),"")</f>
        <v>0.31</v>
      </c>
      <c r="M902" s="26">
        <f>IFERROR(INDEX(Cost_Components!$L$2:$L$27,MATCH(E902,Cost_Components!$A$2:$A$27,0)),"")</f>
        <v>1</v>
      </c>
      <c r="N902" s="27">
        <f>IFERROR(INDEX(Cost_Components!$P$2:$P$27,MATCH(E902,Cost_Components!$A$2:$A$27,0)),"")</f>
        <v>5.133311</v>
      </c>
      <c r="O902" s="21">
        <f t="shared" si="141"/>
        <v>633981.56787891896</v>
      </c>
      <c r="P902" s="21">
        <f t="shared" si="142"/>
        <v>665986.22254572494</v>
      </c>
      <c r="Q902" s="21">
        <f t="shared" si="143"/>
        <v>1059801.4646331496</v>
      </c>
      <c r="R902" s="21">
        <f t="shared" si="144"/>
        <v>2051539.1721521446</v>
      </c>
      <c r="S902" s="21">
        <f t="shared" si="145"/>
        <v>991737.70751899504</v>
      </c>
      <c r="T902" s="14">
        <f>IFERROR(INDEX(Cost_Components!$R$2:$R$27,MATCH(E902,Cost_Components!$A$2:$A$27,0)),"")</f>
        <v>1</v>
      </c>
      <c r="U902" s="24">
        <f>IFERROR(INDEX(Cost_Components!$Q$2:$Q$27,MATCH(E902,Cost_Components!$A$2:$A$27,0)),"")</f>
        <v>2023</v>
      </c>
      <c r="V902" s="28">
        <f>1/(1+Calculation_Assumptions!$B$5)^(B902-Calculation_Assumptions!$B$2)</f>
        <v>0.62316693922011435</v>
      </c>
      <c r="W902" s="21">
        <f t="shared" si="146"/>
        <v>660433.23489643412</v>
      </c>
      <c r="X902" s="21">
        <f t="shared" si="147"/>
        <v>1278451.3866002192</v>
      </c>
      <c r="Y902" s="21">
        <f t="shared" si="148"/>
        <v>618018.15170378517</v>
      </c>
      <c r="Z902" s="15">
        <f>IFERROR(INDEX(Cost_Components!$T$2:$T$27,MATCH(E902,Cost_Components!$A$2:$A$27,0)),"")</f>
        <v>0.8</v>
      </c>
      <c r="AA902" s="24">
        <f>IFERROR(INDEX(Cost_Components!$U$2:$U$27,MATCH(E902,Cost_Components!$A$2:$A$27,0)),"")</f>
        <v>2025</v>
      </c>
      <c r="AB902" s="24">
        <f>IFERROR(INDEX(Cost_Components!$V$2:$V$27,MATCH(E902,Cost_Components!$A$2:$A$27,0)),"")</f>
        <v>2050</v>
      </c>
      <c r="AC902" s="24">
        <f>IFERROR(INDEX(Cost_Components!$M$2:$M$27,MATCH(E902,Cost_Components!$A$2:$A$27,0)),"")</f>
        <v>30</v>
      </c>
      <c r="AD902" s="24">
        <f>IFERROR(INDEX(Cost_Components!$N$2:$N$27,MATCH(E902,Cost_Components!$A$2:$A$27,0)),"")</f>
        <v>95</v>
      </c>
      <c r="AE902" s="14" t="str">
        <f>IFERROR(INDEX(Cost_Components!$O$2:$O$27,MATCH(E902,Cost_Components!$A$2:$A$27,0)),"")</f>
        <v>Both</v>
      </c>
      <c r="AF902" s="11">
        <v>633981.56787891896</v>
      </c>
      <c r="AG902" s="11">
        <v>665986.22254572494</v>
      </c>
      <c r="AH902" s="21">
        <f t="shared" si="149"/>
        <v>1</v>
      </c>
    </row>
    <row r="903" spans="1:34" hidden="1">
      <c r="A903" t="s">
        <v>75</v>
      </c>
      <c r="B903" s="18">
        <v>2042</v>
      </c>
      <c r="C903" t="s">
        <v>197</v>
      </c>
      <c r="D903" t="s">
        <v>163</v>
      </c>
      <c r="E903" s="20" t="s">
        <v>278</v>
      </c>
      <c r="F903" s="20" t="s">
        <v>279</v>
      </c>
      <c r="G903" s="20" t="s">
        <v>200</v>
      </c>
      <c r="H903" s="20" t="s">
        <v>192</v>
      </c>
      <c r="I903" s="20" t="s">
        <v>264</v>
      </c>
      <c r="J903" s="15">
        <f>IFERROR(INDEX(Cost_Components!$K$2:$K$27,MATCH(E903,Cost_Components!$A$2:$A$27,0)),"")</f>
        <v>1</v>
      </c>
      <c r="K903" s="15">
        <f t="shared" si="140"/>
        <v>0.64923076923076928</v>
      </c>
      <c r="L903" s="15">
        <f>IFERROR(INDEX(Cost_Components!$S$2:$S$27,MATCH(E903,Cost_Components!$A$2:$A$27,0)),"")</f>
        <v>0.31</v>
      </c>
      <c r="M903" s="26">
        <f>IFERROR(INDEX(Cost_Components!$L$2:$L$27,MATCH(E903,Cost_Components!$A$2:$A$27,0)),"")</f>
        <v>1</v>
      </c>
      <c r="N903" s="27">
        <f>IFERROR(INDEX(Cost_Components!$P$2:$P$27,MATCH(E903,Cost_Components!$A$2:$A$27,0)),"")</f>
        <v>5.133311</v>
      </c>
      <c r="O903" s="21">
        <f t="shared" si="141"/>
        <v>646055.53425876505</v>
      </c>
      <c r="P903" s="21">
        <f t="shared" si="142"/>
        <v>680896.42979972903</v>
      </c>
      <c r="Q903" s="21">
        <f t="shared" si="143"/>
        <v>1083528.4712150197</v>
      </c>
      <c r="R903" s="21">
        <f t="shared" si="144"/>
        <v>2153111.5074188141</v>
      </c>
      <c r="S903" s="21">
        <f t="shared" si="145"/>
        <v>1069583.0362037944</v>
      </c>
      <c r="T903" s="14">
        <f>IFERROR(INDEX(Cost_Components!$R$2:$R$27,MATCH(E903,Cost_Components!$A$2:$A$27,0)),"")</f>
        <v>1</v>
      </c>
      <c r="U903" s="24">
        <f>IFERROR(INDEX(Cost_Components!$Q$2:$Q$27,MATCH(E903,Cost_Components!$A$2:$A$27,0)),"")</f>
        <v>2023</v>
      </c>
      <c r="V903" s="28">
        <f>1/(1+Calculation_Assumptions!$B$5)^(B903-Calculation_Assumptions!$B$2)</f>
        <v>0.60501644584477121</v>
      </c>
      <c r="W903" s="21">
        <f t="shared" si="146"/>
        <v>655552.54462612967</v>
      </c>
      <c r="X903" s="21">
        <f t="shared" si="147"/>
        <v>1302667.8717260086</v>
      </c>
      <c r="Y903" s="21">
        <f t="shared" si="148"/>
        <v>647115.32709987892</v>
      </c>
      <c r="Z903" s="15">
        <f>IFERROR(INDEX(Cost_Components!$T$2:$T$27,MATCH(E903,Cost_Components!$A$2:$A$27,0)),"")</f>
        <v>0.8</v>
      </c>
      <c r="AA903" s="24">
        <f>IFERROR(INDEX(Cost_Components!$U$2:$U$27,MATCH(E903,Cost_Components!$A$2:$A$27,0)),"")</f>
        <v>2025</v>
      </c>
      <c r="AB903" s="24">
        <f>IFERROR(INDEX(Cost_Components!$V$2:$V$27,MATCH(E903,Cost_Components!$A$2:$A$27,0)),"")</f>
        <v>2050</v>
      </c>
      <c r="AC903" s="24">
        <f>IFERROR(INDEX(Cost_Components!$M$2:$M$27,MATCH(E903,Cost_Components!$A$2:$A$27,0)),"")</f>
        <v>30</v>
      </c>
      <c r="AD903" s="24">
        <f>IFERROR(INDEX(Cost_Components!$N$2:$N$27,MATCH(E903,Cost_Components!$A$2:$A$27,0)),"")</f>
        <v>95</v>
      </c>
      <c r="AE903" s="14" t="str">
        <f>IFERROR(INDEX(Cost_Components!$O$2:$O$27,MATCH(E903,Cost_Components!$A$2:$A$27,0)),"")</f>
        <v>Both</v>
      </c>
      <c r="AF903" s="11">
        <v>646055.53425876505</v>
      </c>
      <c r="AG903" s="11">
        <v>680896.42979972903</v>
      </c>
      <c r="AH903" s="21">
        <f t="shared" si="149"/>
        <v>1</v>
      </c>
    </row>
    <row r="904" spans="1:34" hidden="1">
      <c r="A904" t="s">
        <v>75</v>
      </c>
      <c r="B904" s="18">
        <v>2043</v>
      </c>
      <c r="C904" t="s">
        <v>197</v>
      </c>
      <c r="D904" t="s">
        <v>163</v>
      </c>
      <c r="E904" s="20" t="s">
        <v>278</v>
      </c>
      <c r="F904" s="20" t="s">
        <v>279</v>
      </c>
      <c r="G904" s="20" t="s">
        <v>200</v>
      </c>
      <c r="H904" s="20" t="s">
        <v>192</v>
      </c>
      <c r="I904" s="20" t="s">
        <v>264</v>
      </c>
      <c r="J904" s="15">
        <f>IFERROR(INDEX(Cost_Components!$K$2:$K$27,MATCH(E904,Cost_Components!$A$2:$A$27,0)),"")</f>
        <v>1</v>
      </c>
      <c r="K904" s="15">
        <f t="shared" si="140"/>
        <v>0.66807692307692301</v>
      </c>
      <c r="L904" s="15">
        <f>IFERROR(INDEX(Cost_Components!$S$2:$S$27,MATCH(E904,Cost_Components!$A$2:$A$27,0)),"")</f>
        <v>0.31</v>
      </c>
      <c r="M904" s="26">
        <f>IFERROR(INDEX(Cost_Components!$L$2:$L$27,MATCH(E904,Cost_Components!$A$2:$A$27,0)),"")</f>
        <v>1</v>
      </c>
      <c r="N904" s="27">
        <f>IFERROR(INDEX(Cost_Components!$P$2:$P$27,MATCH(E904,Cost_Components!$A$2:$A$27,0)),"")</f>
        <v>5.133311</v>
      </c>
      <c r="O904" s="21">
        <f t="shared" si="141"/>
        <v>657978.73371763399</v>
      </c>
      <c r="P904" s="21">
        <f t="shared" si="142"/>
        <v>695680.28053418302</v>
      </c>
      <c r="Q904" s="21">
        <f t="shared" si="143"/>
        <v>1107054.4033302544</v>
      </c>
      <c r="R904" s="21">
        <f t="shared" si="144"/>
        <v>2256502.9431144758</v>
      </c>
      <c r="S904" s="21">
        <f t="shared" si="145"/>
        <v>1149448.5397842214</v>
      </c>
      <c r="T904" s="14">
        <f>IFERROR(INDEX(Cost_Components!$R$2:$R$27,MATCH(E904,Cost_Components!$A$2:$A$27,0)),"")</f>
        <v>1</v>
      </c>
      <c r="U904" s="24">
        <f>IFERROR(INDEX(Cost_Components!$Q$2:$Q$27,MATCH(E904,Cost_Components!$A$2:$A$27,0)),"")</f>
        <v>2023</v>
      </c>
      <c r="V904" s="28">
        <f>1/(1+Calculation_Assumptions!$B$5)^(B904-Calculation_Assumptions!$B$2)</f>
        <v>0.5873946076162827</v>
      </c>
      <c r="W904" s="21">
        <f t="shared" si="146"/>
        <v>650277.78685405268</v>
      </c>
      <c r="X904" s="21">
        <f t="shared" si="147"/>
        <v>1325457.6608557147</v>
      </c>
      <c r="Y904" s="21">
        <f t="shared" si="148"/>
        <v>675179.8740016619</v>
      </c>
      <c r="Z904" s="15">
        <f>IFERROR(INDEX(Cost_Components!$T$2:$T$27,MATCH(E904,Cost_Components!$A$2:$A$27,0)),"")</f>
        <v>0.8</v>
      </c>
      <c r="AA904" s="24">
        <f>IFERROR(INDEX(Cost_Components!$U$2:$U$27,MATCH(E904,Cost_Components!$A$2:$A$27,0)),"")</f>
        <v>2025</v>
      </c>
      <c r="AB904" s="24">
        <f>IFERROR(INDEX(Cost_Components!$V$2:$V$27,MATCH(E904,Cost_Components!$A$2:$A$27,0)),"")</f>
        <v>2050</v>
      </c>
      <c r="AC904" s="24">
        <f>IFERROR(INDEX(Cost_Components!$M$2:$M$27,MATCH(E904,Cost_Components!$A$2:$A$27,0)),"")</f>
        <v>30</v>
      </c>
      <c r="AD904" s="24">
        <f>IFERROR(INDEX(Cost_Components!$N$2:$N$27,MATCH(E904,Cost_Components!$A$2:$A$27,0)),"")</f>
        <v>95</v>
      </c>
      <c r="AE904" s="14" t="str">
        <f>IFERROR(INDEX(Cost_Components!$O$2:$O$27,MATCH(E904,Cost_Components!$A$2:$A$27,0)),"")</f>
        <v>Both</v>
      </c>
      <c r="AF904" s="11">
        <v>657978.73371763399</v>
      </c>
      <c r="AG904" s="11">
        <v>695680.28053418302</v>
      </c>
      <c r="AH904" s="21">
        <f t="shared" si="149"/>
        <v>1</v>
      </c>
    </row>
    <row r="905" spans="1:34" hidden="1">
      <c r="A905" t="s">
        <v>75</v>
      </c>
      <c r="B905" s="18">
        <v>2044</v>
      </c>
      <c r="C905" t="s">
        <v>197</v>
      </c>
      <c r="D905" t="s">
        <v>163</v>
      </c>
      <c r="E905" s="20" t="s">
        <v>278</v>
      </c>
      <c r="F905" s="20" t="s">
        <v>279</v>
      </c>
      <c r="G905" s="20" t="s">
        <v>200</v>
      </c>
      <c r="H905" s="20" t="s">
        <v>192</v>
      </c>
      <c r="I905" s="20" t="s">
        <v>264</v>
      </c>
      <c r="J905" s="15">
        <f>IFERROR(INDEX(Cost_Components!$K$2:$K$27,MATCH(E905,Cost_Components!$A$2:$A$27,0)),"")</f>
        <v>1</v>
      </c>
      <c r="K905" s="15">
        <f t="shared" si="140"/>
        <v>0.68692307692307697</v>
      </c>
      <c r="L905" s="15">
        <f>IFERROR(INDEX(Cost_Components!$S$2:$S$27,MATCH(E905,Cost_Components!$A$2:$A$27,0)),"")</f>
        <v>0.31</v>
      </c>
      <c r="M905" s="26">
        <f>IFERROR(INDEX(Cost_Components!$L$2:$L$27,MATCH(E905,Cost_Components!$A$2:$A$27,0)),"")</f>
        <v>1</v>
      </c>
      <c r="N905" s="27">
        <f>IFERROR(INDEX(Cost_Components!$P$2:$P$27,MATCH(E905,Cost_Components!$A$2:$A$27,0)),"")</f>
        <v>5.133311</v>
      </c>
      <c r="O905" s="21">
        <f t="shared" si="141"/>
        <v>669716.08604152105</v>
      </c>
      <c r="P905" s="21">
        <f t="shared" si="142"/>
        <v>710291.427788042</v>
      </c>
      <c r="Q905" s="21">
        <f t="shared" si="143"/>
        <v>1130305.507835719</v>
      </c>
      <c r="R905" s="21">
        <f t="shared" si="144"/>
        <v>2361546.0227377079</v>
      </c>
      <c r="S905" s="21">
        <f t="shared" si="145"/>
        <v>1231240.5149019889</v>
      </c>
      <c r="T905" s="14">
        <f>IFERROR(INDEX(Cost_Components!$R$2:$R$27,MATCH(E905,Cost_Components!$A$2:$A$27,0)),"")</f>
        <v>1</v>
      </c>
      <c r="U905" s="24">
        <f>IFERROR(INDEX(Cost_Components!$Q$2:$Q$27,MATCH(E905,Cost_Components!$A$2:$A$27,0)),"")</f>
        <v>2023</v>
      </c>
      <c r="V905" s="28">
        <f>1/(1+Calculation_Assumptions!$B$5)^(B905-Calculation_Assumptions!$B$2)</f>
        <v>0.57028602681192497</v>
      </c>
      <c r="W905" s="21">
        <f t="shared" si="146"/>
        <v>644597.4371472674</v>
      </c>
      <c r="X905" s="21">
        <f t="shared" si="147"/>
        <v>1346756.6984405913</v>
      </c>
      <c r="Y905" s="21">
        <f t="shared" si="148"/>
        <v>702159.26129332394</v>
      </c>
      <c r="Z905" s="15">
        <f>IFERROR(INDEX(Cost_Components!$T$2:$T$27,MATCH(E905,Cost_Components!$A$2:$A$27,0)),"")</f>
        <v>0.8</v>
      </c>
      <c r="AA905" s="24">
        <f>IFERROR(INDEX(Cost_Components!$U$2:$U$27,MATCH(E905,Cost_Components!$A$2:$A$27,0)),"")</f>
        <v>2025</v>
      </c>
      <c r="AB905" s="24">
        <f>IFERROR(INDEX(Cost_Components!$V$2:$V$27,MATCH(E905,Cost_Components!$A$2:$A$27,0)),"")</f>
        <v>2050</v>
      </c>
      <c r="AC905" s="24">
        <f>IFERROR(INDEX(Cost_Components!$M$2:$M$27,MATCH(E905,Cost_Components!$A$2:$A$27,0)),"")</f>
        <v>30</v>
      </c>
      <c r="AD905" s="24">
        <f>IFERROR(INDEX(Cost_Components!$N$2:$N$27,MATCH(E905,Cost_Components!$A$2:$A$27,0)),"")</f>
        <v>95</v>
      </c>
      <c r="AE905" s="14" t="str">
        <f>IFERROR(INDEX(Cost_Components!$O$2:$O$27,MATCH(E905,Cost_Components!$A$2:$A$27,0)),"")</f>
        <v>Both</v>
      </c>
      <c r="AF905" s="11">
        <v>669716.08604152105</v>
      </c>
      <c r="AG905" s="11">
        <v>710291.427788042</v>
      </c>
      <c r="AH905" s="21">
        <f t="shared" si="149"/>
        <v>1</v>
      </c>
    </row>
    <row r="906" spans="1:34" hidden="1">
      <c r="A906" t="s">
        <v>75</v>
      </c>
      <c r="B906" s="18">
        <v>2045</v>
      </c>
      <c r="C906" t="s">
        <v>197</v>
      </c>
      <c r="D906" t="s">
        <v>163</v>
      </c>
      <c r="E906" s="20" t="s">
        <v>278</v>
      </c>
      <c r="F906" s="20" t="s">
        <v>279</v>
      </c>
      <c r="G906" s="20" t="s">
        <v>200</v>
      </c>
      <c r="H906" s="20" t="s">
        <v>192</v>
      </c>
      <c r="I906" s="20" t="s">
        <v>264</v>
      </c>
      <c r="J906" s="15">
        <f>IFERROR(INDEX(Cost_Components!$K$2:$K$27,MATCH(E906,Cost_Components!$A$2:$A$27,0)),"")</f>
        <v>1</v>
      </c>
      <c r="K906" s="15">
        <f t="shared" si="140"/>
        <v>0.70576923076923082</v>
      </c>
      <c r="L906" s="15">
        <f>IFERROR(INDEX(Cost_Components!$S$2:$S$27,MATCH(E906,Cost_Components!$A$2:$A$27,0)),"")</f>
        <v>0.31</v>
      </c>
      <c r="M906" s="26">
        <f>IFERROR(INDEX(Cost_Components!$L$2:$L$27,MATCH(E906,Cost_Components!$A$2:$A$27,0)),"")</f>
        <v>1</v>
      </c>
      <c r="N906" s="27">
        <f>IFERROR(INDEX(Cost_Components!$P$2:$P$27,MATCH(E906,Cost_Components!$A$2:$A$27,0)),"")</f>
        <v>5.133311</v>
      </c>
      <c r="O906" s="21">
        <f t="shared" si="141"/>
        <v>681214.53037879895</v>
      </c>
      <c r="P906" s="21">
        <f t="shared" si="142"/>
        <v>724661.40483491705</v>
      </c>
      <c r="Q906" s="21">
        <f t="shared" si="143"/>
        <v>1153172.8318215052</v>
      </c>
      <c r="R906" s="21">
        <f t="shared" si="144"/>
        <v>2467994.5720582106</v>
      </c>
      <c r="S906" s="21">
        <f t="shared" si="145"/>
        <v>1314821.7402367054</v>
      </c>
      <c r="T906" s="14">
        <f>IFERROR(INDEX(Cost_Components!$R$2:$R$27,MATCH(E906,Cost_Components!$A$2:$A$27,0)),"")</f>
        <v>1</v>
      </c>
      <c r="U906" s="24">
        <f>IFERROR(INDEX(Cost_Components!$Q$2:$Q$27,MATCH(E906,Cost_Components!$A$2:$A$27,0)),"")</f>
        <v>2023</v>
      </c>
      <c r="V906" s="28">
        <f>1/(1+Calculation_Assumptions!$B$5)^(B906-Calculation_Assumptions!$B$2)</f>
        <v>0.55367575418633497</v>
      </c>
      <c r="W906" s="21">
        <f t="shared" si="146"/>
        <v>638483.8373659635</v>
      </c>
      <c r="X906" s="21">
        <f t="shared" si="147"/>
        <v>1366468.7560121107</v>
      </c>
      <c r="Y906" s="21">
        <f t="shared" si="148"/>
        <v>727984.91864614724</v>
      </c>
      <c r="Z906" s="15">
        <f>IFERROR(INDEX(Cost_Components!$T$2:$T$27,MATCH(E906,Cost_Components!$A$2:$A$27,0)),"")</f>
        <v>0.8</v>
      </c>
      <c r="AA906" s="24">
        <f>IFERROR(INDEX(Cost_Components!$U$2:$U$27,MATCH(E906,Cost_Components!$A$2:$A$27,0)),"")</f>
        <v>2025</v>
      </c>
      <c r="AB906" s="24">
        <f>IFERROR(INDEX(Cost_Components!$V$2:$V$27,MATCH(E906,Cost_Components!$A$2:$A$27,0)),"")</f>
        <v>2050</v>
      </c>
      <c r="AC906" s="24">
        <f>IFERROR(INDEX(Cost_Components!$M$2:$M$27,MATCH(E906,Cost_Components!$A$2:$A$27,0)),"")</f>
        <v>30</v>
      </c>
      <c r="AD906" s="24">
        <f>IFERROR(INDEX(Cost_Components!$N$2:$N$27,MATCH(E906,Cost_Components!$A$2:$A$27,0)),"")</f>
        <v>95</v>
      </c>
      <c r="AE906" s="14" t="str">
        <f>IFERROR(INDEX(Cost_Components!$O$2:$O$27,MATCH(E906,Cost_Components!$A$2:$A$27,0)),"")</f>
        <v>Both</v>
      </c>
      <c r="AF906" s="11">
        <v>681214.53037879895</v>
      </c>
      <c r="AG906" s="11">
        <v>724661.40483491705</v>
      </c>
      <c r="AH906" s="21">
        <f t="shared" si="149"/>
        <v>1</v>
      </c>
    </row>
    <row r="907" spans="1:34" hidden="1">
      <c r="A907" t="s">
        <v>75</v>
      </c>
      <c r="B907" s="18">
        <v>2046</v>
      </c>
      <c r="C907" t="s">
        <v>197</v>
      </c>
      <c r="D907" t="s">
        <v>163</v>
      </c>
      <c r="E907" s="20" t="s">
        <v>278</v>
      </c>
      <c r="F907" s="20" t="s">
        <v>279</v>
      </c>
      <c r="G907" s="20" t="s">
        <v>200</v>
      </c>
      <c r="H907" s="20" t="s">
        <v>192</v>
      </c>
      <c r="I907" s="20" t="s">
        <v>264</v>
      </c>
      <c r="J907" s="15">
        <f>IFERROR(INDEX(Cost_Components!$K$2:$K$27,MATCH(E907,Cost_Components!$A$2:$A$27,0)),"")</f>
        <v>1</v>
      </c>
      <c r="K907" s="15">
        <f t="shared" si="140"/>
        <v>0.72461538461538466</v>
      </c>
      <c r="L907" s="15">
        <f>IFERROR(INDEX(Cost_Components!$S$2:$S$27,MATCH(E907,Cost_Components!$A$2:$A$27,0)),"")</f>
        <v>0.31</v>
      </c>
      <c r="M907" s="26">
        <f>IFERROR(INDEX(Cost_Components!$L$2:$L$27,MATCH(E907,Cost_Components!$A$2:$A$27,0)),"")</f>
        <v>1</v>
      </c>
      <c r="N907" s="27">
        <f>IFERROR(INDEX(Cost_Components!$P$2:$P$27,MATCH(E907,Cost_Components!$A$2:$A$27,0)),"")</f>
        <v>5.133311</v>
      </c>
      <c r="O907" s="21">
        <f t="shared" si="141"/>
        <v>692421.51523390797</v>
      </c>
      <c r="P907" s="21">
        <f t="shared" si="142"/>
        <v>738726.66611743101</v>
      </c>
      <c r="Q907" s="21">
        <f t="shared" si="143"/>
        <v>1175555.25356392</v>
      </c>
      <c r="R907" s="21">
        <f t="shared" si="144"/>
        <v>2575583.7783855754</v>
      </c>
      <c r="S907" s="21">
        <f t="shared" si="145"/>
        <v>1400028.5248216554</v>
      </c>
      <c r="T907" s="14">
        <f>IFERROR(INDEX(Cost_Components!$R$2:$R$27,MATCH(E907,Cost_Components!$A$2:$A$27,0)),"")</f>
        <v>1</v>
      </c>
      <c r="U907" s="24">
        <f>IFERROR(INDEX(Cost_Components!$Q$2:$Q$27,MATCH(E907,Cost_Components!$A$2:$A$27,0)),"")</f>
        <v>2023</v>
      </c>
      <c r="V907" s="28">
        <f>1/(1+Calculation_Assumptions!$B$5)^(B907-Calculation_Assumptions!$B$2)</f>
        <v>0.5375492759090631</v>
      </c>
      <c r="W907" s="21">
        <f t="shared" si="146"/>
        <v>631918.87534438027</v>
      </c>
      <c r="X907" s="21">
        <f t="shared" si="147"/>
        <v>1384503.195114295</v>
      </c>
      <c r="Y907" s="21">
        <f t="shared" si="148"/>
        <v>752584.31976991461</v>
      </c>
      <c r="Z907" s="15">
        <f>IFERROR(INDEX(Cost_Components!$T$2:$T$27,MATCH(E907,Cost_Components!$A$2:$A$27,0)),"")</f>
        <v>0.8</v>
      </c>
      <c r="AA907" s="24">
        <f>IFERROR(INDEX(Cost_Components!$U$2:$U$27,MATCH(E907,Cost_Components!$A$2:$A$27,0)),"")</f>
        <v>2025</v>
      </c>
      <c r="AB907" s="24">
        <f>IFERROR(INDEX(Cost_Components!$V$2:$V$27,MATCH(E907,Cost_Components!$A$2:$A$27,0)),"")</f>
        <v>2050</v>
      </c>
      <c r="AC907" s="24">
        <f>IFERROR(INDEX(Cost_Components!$M$2:$M$27,MATCH(E907,Cost_Components!$A$2:$A$27,0)),"")</f>
        <v>30</v>
      </c>
      <c r="AD907" s="24">
        <f>IFERROR(INDEX(Cost_Components!$N$2:$N$27,MATCH(E907,Cost_Components!$A$2:$A$27,0)),"")</f>
        <v>95</v>
      </c>
      <c r="AE907" s="14" t="str">
        <f>IFERROR(INDEX(Cost_Components!$O$2:$O$27,MATCH(E907,Cost_Components!$A$2:$A$27,0)),"")</f>
        <v>Both</v>
      </c>
      <c r="AF907" s="11">
        <v>692421.51523390797</v>
      </c>
      <c r="AG907" s="11">
        <v>738726.66611743101</v>
      </c>
      <c r="AH907" s="21">
        <f t="shared" si="149"/>
        <v>1</v>
      </c>
    </row>
    <row r="908" spans="1:34" hidden="1">
      <c r="A908" t="s">
        <v>75</v>
      </c>
      <c r="B908" s="18">
        <v>2047</v>
      </c>
      <c r="C908" t="s">
        <v>197</v>
      </c>
      <c r="D908" t="s">
        <v>163</v>
      </c>
      <c r="E908" s="20" t="s">
        <v>278</v>
      </c>
      <c r="F908" s="20" t="s">
        <v>279</v>
      </c>
      <c r="G908" s="20" t="s">
        <v>200</v>
      </c>
      <c r="H908" s="20" t="s">
        <v>192</v>
      </c>
      <c r="I908" s="20" t="s">
        <v>264</v>
      </c>
      <c r="J908" s="15">
        <f>IFERROR(INDEX(Cost_Components!$K$2:$K$27,MATCH(E908,Cost_Components!$A$2:$A$27,0)),"")</f>
        <v>1</v>
      </c>
      <c r="K908" s="15">
        <f t="shared" si="140"/>
        <v>0.74346153846153851</v>
      </c>
      <c r="L908" s="15">
        <f>IFERROR(INDEX(Cost_Components!$S$2:$S$27,MATCH(E908,Cost_Components!$A$2:$A$27,0)),"")</f>
        <v>0.31</v>
      </c>
      <c r="M908" s="26">
        <f>IFERROR(INDEX(Cost_Components!$L$2:$L$27,MATCH(E908,Cost_Components!$A$2:$A$27,0)),"")</f>
        <v>1</v>
      </c>
      <c r="N908" s="27">
        <f>IFERROR(INDEX(Cost_Components!$P$2:$P$27,MATCH(E908,Cost_Components!$A$2:$A$27,0)),"")</f>
        <v>5.133311</v>
      </c>
      <c r="O908" s="21">
        <f t="shared" si="141"/>
        <v>703263.53056133504</v>
      </c>
      <c r="P908" s="21">
        <f t="shared" si="142"/>
        <v>752406.55841867696</v>
      </c>
      <c r="Q908" s="21">
        <f t="shared" si="143"/>
        <v>1197324.4274688484</v>
      </c>
      <c r="R908" s="21">
        <f t="shared" si="144"/>
        <v>2683948.5064221574</v>
      </c>
      <c r="S908" s="21">
        <f t="shared" si="145"/>
        <v>1486624.078953309</v>
      </c>
      <c r="T908" s="14">
        <f>IFERROR(INDEX(Cost_Components!$R$2:$R$27,MATCH(E908,Cost_Components!$A$2:$A$27,0)),"")</f>
        <v>1</v>
      </c>
      <c r="U908" s="24">
        <f>IFERROR(INDEX(Cost_Components!$Q$2:$Q$27,MATCH(E908,Cost_Components!$A$2:$A$27,0)),"")</f>
        <v>2023</v>
      </c>
      <c r="V908" s="28">
        <f>1/(1+Calculation_Assumptions!$B$5)^(B908-Calculation_Assumptions!$B$2)</f>
        <v>0.52189250088258554</v>
      </c>
      <c r="W908" s="21">
        <f t="shared" si="146"/>
        <v>624874.63981952716</v>
      </c>
      <c r="X908" s="21">
        <f t="shared" si="147"/>
        <v>1400732.59825674</v>
      </c>
      <c r="Y908" s="21">
        <f t="shared" si="148"/>
        <v>775857.95843721274</v>
      </c>
      <c r="Z908" s="15">
        <f>IFERROR(INDEX(Cost_Components!$T$2:$T$27,MATCH(E908,Cost_Components!$A$2:$A$27,0)),"")</f>
        <v>0.8</v>
      </c>
      <c r="AA908" s="24">
        <f>IFERROR(INDEX(Cost_Components!$U$2:$U$27,MATCH(E908,Cost_Components!$A$2:$A$27,0)),"")</f>
        <v>2025</v>
      </c>
      <c r="AB908" s="24">
        <f>IFERROR(INDEX(Cost_Components!$V$2:$V$27,MATCH(E908,Cost_Components!$A$2:$A$27,0)),"")</f>
        <v>2050</v>
      </c>
      <c r="AC908" s="24">
        <f>IFERROR(INDEX(Cost_Components!$M$2:$M$27,MATCH(E908,Cost_Components!$A$2:$A$27,0)),"")</f>
        <v>30</v>
      </c>
      <c r="AD908" s="24">
        <f>IFERROR(INDEX(Cost_Components!$N$2:$N$27,MATCH(E908,Cost_Components!$A$2:$A$27,0)),"")</f>
        <v>95</v>
      </c>
      <c r="AE908" s="14" t="str">
        <f>IFERROR(INDEX(Cost_Components!$O$2:$O$27,MATCH(E908,Cost_Components!$A$2:$A$27,0)),"")</f>
        <v>Both</v>
      </c>
      <c r="AF908" s="11">
        <v>703263.53056133504</v>
      </c>
      <c r="AG908" s="11">
        <v>752406.55841867696</v>
      </c>
      <c r="AH908" s="21">
        <f t="shared" si="149"/>
        <v>1</v>
      </c>
    </row>
    <row r="909" spans="1:34" hidden="1">
      <c r="A909" t="s">
        <v>75</v>
      </c>
      <c r="B909" s="18">
        <v>2048</v>
      </c>
      <c r="C909" t="s">
        <v>197</v>
      </c>
      <c r="D909" t="s">
        <v>163</v>
      </c>
      <c r="E909" s="20" t="s">
        <v>278</v>
      </c>
      <c r="F909" s="20" t="s">
        <v>279</v>
      </c>
      <c r="G909" s="20" t="s">
        <v>200</v>
      </c>
      <c r="H909" s="20" t="s">
        <v>192</v>
      </c>
      <c r="I909" s="20" t="s">
        <v>264</v>
      </c>
      <c r="J909" s="15">
        <f>IFERROR(INDEX(Cost_Components!$K$2:$K$27,MATCH(E909,Cost_Components!$A$2:$A$27,0)),"")</f>
        <v>1</v>
      </c>
      <c r="K909" s="15">
        <f t="shared" si="140"/>
        <v>0.76230769230769235</v>
      </c>
      <c r="L909" s="15">
        <f>IFERROR(INDEX(Cost_Components!$S$2:$S$27,MATCH(E909,Cost_Components!$A$2:$A$27,0)),"")</f>
        <v>0.31</v>
      </c>
      <c r="M909" s="26">
        <f>IFERROR(INDEX(Cost_Components!$L$2:$L$27,MATCH(E909,Cost_Components!$A$2:$A$27,0)),"")</f>
        <v>1</v>
      </c>
      <c r="N909" s="27">
        <f>IFERROR(INDEX(Cost_Components!$P$2:$P$27,MATCH(E909,Cost_Components!$A$2:$A$27,0)),"")</f>
        <v>5.133311</v>
      </c>
      <c r="O909" s="21">
        <f t="shared" si="141"/>
        <v>713726.39222436701</v>
      </c>
      <c r="P909" s="21">
        <f t="shared" si="142"/>
        <v>765676.29220509005</v>
      </c>
      <c r="Q909" s="21">
        <f t="shared" si="143"/>
        <v>1218440.905296837</v>
      </c>
      <c r="R909" s="21">
        <f t="shared" si="144"/>
        <v>2792927.3264106899</v>
      </c>
      <c r="S909" s="21">
        <f t="shared" si="145"/>
        <v>1574486.4211138529</v>
      </c>
      <c r="T909" s="14">
        <f>IFERROR(INDEX(Cost_Components!$R$2:$R$27,MATCH(E909,Cost_Components!$A$2:$A$27,0)),"")</f>
        <v>1</v>
      </c>
      <c r="U909" s="24">
        <f>IFERROR(INDEX(Cost_Components!$Q$2:$Q$27,MATCH(E909,Cost_Components!$A$2:$A$27,0)),"")</f>
        <v>2023</v>
      </c>
      <c r="V909" s="28">
        <f>1/(1+Calculation_Assumptions!$B$5)^(B909-Calculation_Assumptions!$B$2)</f>
        <v>0.50669174842969467</v>
      </c>
      <c r="W909" s="21">
        <f t="shared" si="146"/>
        <v>617373.95266311429</v>
      </c>
      <c r="X909" s="21">
        <f t="shared" si="147"/>
        <v>1415153.2302561051</v>
      </c>
      <c r="Y909" s="21">
        <f t="shared" si="148"/>
        <v>797779.27759299066</v>
      </c>
      <c r="Z909" s="15">
        <f>IFERROR(INDEX(Cost_Components!$T$2:$T$27,MATCH(E909,Cost_Components!$A$2:$A$27,0)),"")</f>
        <v>0.8</v>
      </c>
      <c r="AA909" s="24">
        <f>IFERROR(INDEX(Cost_Components!$U$2:$U$27,MATCH(E909,Cost_Components!$A$2:$A$27,0)),"")</f>
        <v>2025</v>
      </c>
      <c r="AB909" s="24">
        <f>IFERROR(INDEX(Cost_Components!$V$2:$V$27,MATCH(E909,Cost_Components!$A$2:$A$27,0)),"")</f>
        <v>2050</v>
      </c>
      <c r="AC909" s="24">
        <f>IFERROR(INDEX(Cost_Components!$M$2:$M$27,MATCH(E909,Cost_Components!$A$2:$A$27,0)),"")</f>
        <v>30</v>
      </c>
      <c r="AD909" s="24">
        <f>IFERROR(INDEX(Cost_Components!$N$2:$N$27,MATCH(E909,Cost_Components!$A$2:$A$27,0)),"")</f>
        <v>95</v>
      </c>
      <c r="AE909" s="14" t="str">
        <f>IFERROR(INDEX(Cost_Components!$O$2:$O$27,MATCH(E909,Cost_Components!$A$2:$A$27,0)),"")</f>
        <v>Both</v>
      </c>
      <c r="AF909" s="11">
        <v>713726.39222436701</v>
      </c>
      <c r="AG909" s="11">
        <v>765676.29220509005</v>
      </c>
      <c r="AH909" s="21">
        <f t="shared" si="149"/>
        <v>1</v>
      </c>
    </row>
    <row r="910" spans="1:34" hidden="1">
      <c r="A910" t="s">
        <v>75</v>
      </c>
      <c r="B910" s="18">
        <v>2049</v>
      </c>
      <c r="C910" t="s">
        <v>197</v>
      </c>
      <c r="D910" t="s">
        <v>163</v>
      </c>
      <c r="E910" s="20" t="s">
        <v>278</v>
      </c>
      <c r="F910" s="20" t="s">
        <v>279</v>
      </c>
      <c r="G910" s="20" t="s">
        <v>200</v>
      </c>
      <c r="H910" s="20" t="s">
        <v>192</v>
      </c>
      <c r="I910" s="20" t="s">
        <v>264</v>
      </c>
      <c r="J910" s="15">
        <f>IFERROR(INDEX(Cost_Components!$K$2:$K$27,MATCH(E910,Cost_Components!$A$2:$A$27,0)),"")</f>
        <v>1</v>
      </c>
      <c r="K910" s="15">
        <f t="shared" si="140"/>
        <v>0.7811538461538462</v>
      </c>
      <c r="L910" s="15">
        <f>IFERROR(INDEX(Cost_Components!$S$2:$S$27,MATCH(E910,Cost_Components!$A$2:$A$27,0)),"")</f>
        <v>0.31</v>
      </c>
      <c r="M910" s="26">
        <f>IFERROR(INDEX(Cost_Components!$L$2:$L$27,MATCH(E910,Cost_Components!$A$2:$A$27,0)),"")</f>
        <v>1</v>
      </c>
      <c r="N910" s="27">
        <f>IFERROR(INDEX(Cost_Components!$P$2:$P$27,MATCH(E910,Cost_Components!$A$2:$A$27,0)),"")</f>
        <v>5.133311</v>
      </c>
      <c r="O910" s="21">
        <f t="shared" si="141"/>
        <v>723778.35827482305</v>
      </c>
      <c r="P910" s="21">
        <f t="shared" si="142"/>
        <v>778495.54813628597</v>
      </c>
      <c r="Q910" s="21">
        <f t="shared" si="143"/>
        <v>1238840.5258166981</v>
      </c>
      <c r="R910" s="21">
        <f t="shared" si="144"/>
        <v>2902282.9145534988</v>
      </c>
      <c r="S910" s="21">
        <f t="shared" si="145"/>
        <v>1663442.3887368008</v>
      </c>
      <c r="T910" s="14">
        <f>IFERROR(INDEX(Cost_Components!$R$2:$R$27,MATCH(E910,Cost_Components!$A$2:$A$27,0)),"")</f>
        <v>1</v>
      </c>
      <c r="U910" s="24">
        <f>IFERROR(INDEX(Cost_Components!$Q$2:$Q$27,MATCH(E910,Cost_Components!$A$2:$A$27,0)),"")</f>
        <v>2023</v>
      </c>
      <c r="V910" s="28">
        <f>1/(1+Calculation_Assumptions!$B$5)^(B910-Calculation_Assumptions!$B$2)</f>
        <v>0.49193373633950943</v>
      </c>
      <c r="W910" s="21">
        <f t="shared" si="146"/>
        <v>609427.44859381078</v>
      </c>
      <c r="X910" s="21">
        <f t="shared" si="147"/>
        <v>1427730.8780706238</v>
      </c>
      <c r="Y910" s="21">
        <f t="shared" si="148"/>
        <v>818303.42947681306</v>
      </c>
      <c r="Z910" s="15">
        <f>IFERROR(INDEX(Cost_Components!$T$2:$T$27,MATCH(E910,Cost_Components!$A$2:$A$27,0)),"")</f>
        <v>0.8</v>
      </c>
      <c r="AA910" s="24">
        <f>IFERROR(INDEX(Cost_Components!$U$2:$U$27,MATCH(E910,Cost_Components!$A$2:$A$27,0)),"")</f>
        <v>2025</v>
      </c>
      <c r="AB910" s="24">
        <f>IFERROR(INDEX(Cost_Components!$V$2:$V$27,MATCH(E910,Cost_Components!$A$2:$A$27,0)),"")</f>
        <v>2050</v>
      </c>
      <c r="AC910" s="24">
        <f>IFERROR(INDEX(Cost_Components!$M$2:$M$27,MATCH(E910,Cost_Components!$A$2:$A$27,0)),"")</f>
        <v>30</v>
      </c>
      <c r="AD910" s="24">
        <f>IFERROR(INDEX(Cost_Components!$N$2:$N$27,MATCH(E910,Cost_Components!$A$2:$A$27,0)),"")</f>
        <v>95</v>
      </c>
      <c r="AE910" s="14" t="str">
        <f>IFERROR(INDEX(Cost_Components!$O$2:$O$27,MATCH(E910,Cost_Components!$A$2:$A$27,0)),"")</f>
        <v>Both</v>
      </c>
      <c r="AF910" s="11">
        <v>723778.35827482305</v>
      </c>
      <c r="AG910" s="11">
        <v>778495.54813628597</v>
      </c>
      <c r="AH910" s="21">
        <f t="shared" si="149"/>
        <v>1</v>
      </c>
    </row>
    <row r="911" spans="1:34" hidden="1">
      <c r="A911" t="s">
        <v>75</v>
      </c>
      <c r="B911" s="18">
        <v>2050</v>
      </c>
      <c r="C911" t="s">
        <v>197</v>
      </c>
      <c r="D911" t="s">
        <v>163</v>
      </c>
      <c r="E911" s="20" t="s">
        <v>278</v>
      </c>
      <c r="F911" s="20" t="s">
        <v>279</v>
      </c>
      <c r="G911" s="20" t="s">
        <v>200</v>
      </c>
      <c r="H911" s="20" t="s">
        <v>192</v>
      </c>
      <c r="I911" s="20" t="s">
        <v>264</v>
      </c>
      <c r="J911" s="15">
        <f>IFERROR(INDEX(Cost_Components!$K$2:$K$27,MATCH(E911,Cost_Components!$A$2:$A$27,0)),"")</f>
        <v>1</v>
      </c>
      <c r="K911" s="15">
        <f t="shared" si="140"/>
        <v>0.8</v>
      </c>
      <c r="L911" s="15">
        <f>IFERROR(INDEX(Cost_Components!$S$2:$S$27,MATCH(E911,Cost_Components!$A$2:$A$27,0)),"")</f>
        <v>0.31</v>
      </c>
      <c r="M911" s="26">
        <f>IFERROR(INDEX(Cost_Components!$L$2:$L$27,MATCH(E911,Cost_Components!$A$2:$A$27,0)),"")</f>
        <v>1</v>
      </c>
      <c r="N911" s="27">
        <f>IFERROR(INDEX(Cost_Components!$P$2:$P$27,MATCH(E911,Cost_Components!$A$2:$A$27,0)),"")</f>
        <v>5.133311</v>
      </c>
      <c r="O911" s="21">
        <f t="shared" si="141"/>
        <v>733417.10395426</v>
      </c>
      <c r="P911" s="21">
        <f t="shared" si="142"/>
        <v>790865.55624404305</v>
      </c>
      <c r="Q911" s="21">
        <f t="shared" si="143"/>
        <v>1258525.2464104861</v>
      </c>
      <c r="R911" s="21">
        <f t="shared" si="144"/>
        <v>3011886.4698532373</v>
      </c>
      <c r="S911" s="21">
        <f t="shared" si="145"/>
        <v>1753361.2234427512</v>
      </c>
      <c r="T911" s="14">
        <f>IFERROR(INDEX(Cost_Components!$R$2:$R$27,MATCH(E911,Cost_Components!$A$2:$A$27,0)),"")</f>
        <v>1</v>
      </c>
      <c r="U911" s="24">
        <f>IFERROR(INDEX(Cost_Components!$Q$2:$Q$27,MATCH(E911,Cost_Components!$A$2:$A$27,0)),"")</f>
        <v>2023</v>
      </c>
      <c r="V911" s="28">
        <f>1/(1+Calculation_Assumptions!$B$5)^(B911-Calculation_Assumptions!$B$2)</f>
        <v>0.47760556926165965</v>
      </c>
      <c r="W911" s="21">
        <f t="shared" si="146"/>
        <v>601078.66674205067</v>
      </c>
      <c r="X911" s="21">
        <f t="shared" si="147"/>
        <v>1438493.751985746</v>
      </c>
      <c r="Y911" s="21">
        <f t="shared" si="148"/>
        <v>837415.08524369518</v>
      </c>
      <c r="Z911" s="15">
        <f>IFERROR(INDEX(Cost_Components!$T$2:$T$27,MATCH(E911,Cost_Components!$A$2:$A$27,0)),"")</f>
        <v>0.8</v>
      </c>
      <c r="AA911" s="24">
        <f>IFERROR(INDEX(Cost_Components!$U$2:$U$27,MATCH(E911,Cost_Components!$A$2:$A$27,0)),"")</f>
        <v>2025</v>
      </c>
      <c r="AB911" s="24">
        <f>IFERROR(INDEX(Cost_Components!$V$2:$V$27,MATCH(E911,Cost_Components!$A$2:$A$27,0)),"")</f>
        <v>2050</v>
      </c>
      <c r="AC911" s="24">
        <f>IFERROR(INDEX(Cost_Components!$M$2:$M$27,MATCH(E911,Cost_Components!$A$2:$A$27,0)),"")</f>
        <v>30</v>
      </c>
      <c r="AD911" s="24">
        <f>IFERROR(INDEX(Cost_Components!$N$2:$N$27,MATCH(E911,Cost_Components!$A$2:$A$27,0)),"")</f>
        <v>95</v>
      </c>
      <c r="AE911" s="14" t="str">
        <f>IFERROR(INDEX(Cost_Components!$O$2:$O$27,MATCH(E911,Cost_Components!$A$2:$A$27,0)),"")</f>
        <v>Both</v>
      </c>
      <c r="AF911" s="11">
        <v>733417.10395426</v>
      </c>
      <c r="AG911" s="11">
        <v>790865.55624404305</v>
      </c>
      <c r="AH911" s="21">
        <f t="shared" si="149"/>
        <v>1</v>
      </c>
    </row>
    <row r="912" spans="1:34" hidden="1">
      <c r="A912" t="s">
        <v>75</v>
      </c>
      <c r="B912" s="18">
        <v>2025</v>
      </c>
      <c r="C912" t="s">
        <v>197</v>
      </c>
      <c r="D912" t="s">
        <v>163</v>
      </c>
      <c r="E912" s="20" t="s">
        <v>280</v>
      </c>
      <c r="F912" s="20" t="s">
        <v>281</v>
      </c>
      <c r="G912" s="20" t="s">
        <v>200</v>
      </c>
      <c r="H912" s="20" t="s">
        <v>192</v>
      </c>
      <c r="I912" s="20" t="s">
        <v>264</v>
      </c>
      <c r="J912" s="15">
        <f>IFERROR(INDEX(Cost_Components!$K$2:$K$27,MATCH(E912,Cost_Components!$A$2:$A$27,0)),"")</f>
        <v>1</v>
      </c>
      <c r="K912" s="15">
        <f t="shared" si="140"/>
        <v>0.32884615384615384</v>
      </c>
      <c r="L912" s="15">
        <f>IFERROR(INDEX(Cost_Components!$S$2:$S$27,MATCH(E912,Cost_Components!$A$2:$A$27,0)),"")</f>
        <v>0.31</v>
      </c>
      <c r="M912" s="26">
        <f>IFERROR(INDEX(Cost_Components!$L$2:$L$27,MATCH(E912,Cost_Components!$A$2:$A$27,0)),"")</f>
        <v>1</v>
      </c>
      <c r="N912" s="27">
        <f>IFERROR(INDEX(Cost_Components!$P$2:$P$27,MATCH(E912,Cost_Components!$A$2:$A$27,0)),"")</f>
        <v>35.362648999999998</v>
      </c>
      <c r="O912" s="21">
        <f t="shared" si="141"/>
        <v>428944.96954566502</v>
      </c>
      <c r="P912" s="21">
        <f t="shared" si="142"/>
        <v>429284.57781346003</v>
      </c>
      <c r="Q912" s="21">
        <f t="shared" si="143"/>
        <v>4705998.3523624772</v>
      </c>
      <c r="R912" s="21">
        <f t="shared" si="144"/>
        <v>4988145.7656142237</v>
      </c>
      <c r="S912" s="21">
        <f t="shared" si="145"/>
        <v>282147.41325174645</v>
      </c>
      <c r="T912" s="14">
        <f>IFERROR(INDEX(Cost_Components!$R$2:$R$27,MATCH(E912,Cost_Components!$A$2:$A$27,0)),"")</f>
        <v>1</v>
      </c>
      <c r="U912" s="24">
        <f>IFERROR(INDEX(Cost_Components!$Q$2:$Q$27,MATCH(E912,Cost_Components!$A$2:$A$27,0)),"")</f>
        <v>2023</v>
      </c>
      <c r="V912" s="28">
        <f>1/(1+Calculation_Assumptions!$B$5)^(B912-Calculation_Assumptions!$B$2)</f>
        <v>1</v>
      </c>
      <c r="W912" s="21">
        <f t="shared" si="146"/>
        <v>4705998.3523624772</v>
      </c>
      <c r="X912" s="21">
        <f t="shared" si="147"/>
        <v>4988145.7656142237</v>
      </c>
      <c r="Y912" s="21">
        <f t="shared" si="148"/>
        <v>282147.41325174645</v>
      </c>
      <c r="Z912" s="15">
        <f>IFERROR(INDEX(Cost_Components!$T$2:$T$27,MATCH(E912,Cost_Components!$A$2:$A$27,0)),"")</f>
        <v>0.8</v>
      </c>
      <c r="AA912" s="24">
        <f>IFERROR(INDEX(Cost_Components!$U$2:$U$27,MATCH(E912,Cost_Components!$A$2:$A$27,0)),"")</f>
        <v>2025</v>
      </c>
      <c r="AB912" s="24">
        <f>IFERROR(INDEX(Cost_Components!$V$2:$V$27,MATCH(E912,Cost_Components!$A$2:$A$27,0)),"")</f>
        <v>2050</v>
      </c>
      <c r="AC912" s="24">
        <f>IFERROR(INDEX(Cost_Components!$M$2:$M$27,MATCH(E912,Cost_Components!$A$2:$A$27,0)),"")</f>
        <v>30</v>
      </c>
      <c r="AD912" s="24">
        <f>IFERROR(INDEX(Cost_Components!$N$2:$N$27,MATCH(E912,Cost_Components!$A$2:$A$27,0)),"")</f>
        <v>95</v>
      </c>
      <c r="AE912" s="14" t="str">
        <f>IFERROR(INDEX(Cost_Components!$O$2:$O$27,MATCH(E912,Cost_Components!$A$2:$A$27,0)),"")</f>
        <v>Both</v>
      </c>
      <c r="AF912" s="11">
        <v>428944.96954566502</v>
      </c>
      <c r="AG912" s="11">
        <v>429284.57781346003</v>
      </c>
      <c r="AH912" s="21">
        <f t="shared" si="149"/>
        <v>1</v>
      </c>
    </row>
    <row r="913" spans="1:34" hidden="1">
      <c r="A913" t="s">
        <v>75</v>
      </c>
      <c r="B913" s="18">
        <v>2026</v>
      </c>
      <c r="C913" t="s">
        <v>197</v>
      </c>
      <c r="D913" t="s">
        <v>163</v>
      </c>
      <c r="E913" s="20" t="s">
        <v>280</v>
      </c>
      <c r="F913" s="20" t="s">
        <v>281</v>
      </c>
      <c r="G913" s="20" t="s">
        <v>200</v>
      </c>
      <c r="H913" s="20" t="s">
        <v>192</v>
      </c>
      <c r="I913" s="20" t="s">
        <v>264</v>
      </c>
      <c r="J913" s="15">
        <f>IFERROR(INDEX(Cost_Components!$K$2:$K$27,MATCH(E913,Cost_Components!$A$2:$A$27,0)),"")</f>
        <v>1</v>
      </c>
      <c r="K913" s="15">
        <f t="shared" si="140"/>
        <v>0.34769230769230769</v>
      </c>
      <c r="L913" s="15">
        <f>IFERROR(INDEX(Cost_Components!$S$2:$S$27,MATCH(E913,Cost_Components!$A$2:$A$27,0)),"")</f>
        <v>0.31</v>
      </c>
      <c r="M913" s="26">
        <f>IFERROR(INDEX(Cost_Components!$L$2:$L$27,MATCH(E913,Cost_Components!$A$2:$A$27,0)),"")</f>
        <v>1</v>
      </c>
      <c r="N913" s="27">
        <f>IFERROR(INDEX(Cost_Components!$P$2:$P$27,MATCH(E913,Cost_Components!$A$2:$A$27,0)),"")</f>
        <v>35.362648999999998</v>
      </c>
      <c r="O913" s="21">
        <f t="shared" si="141"/>
        <v>441300.08208889101</v>
      </c>
      <c r="P913" s="21">
        <f t="shared" si="142"/>
        <v>442279.13119291799</v>
      </c>
      <c r="Q913" s="21">
        <f t="shared" si="143"/>
        <v>4848450.119684034</v>
      </c>
      <c r="R913" s="21">
        <f t="shared" si="144"/>
        <v>5425926.182903422</v>
      </c>
      <c r="S913" s="21">
        <f t="shared" si="145"/>
        <v>577476.06321938802</v>
      </c>
      <c r="T913" s="14">
        <f>IFERROR(INDEX(Cost_Components!$R$2:$R$27,MATCH(E913,Cost_Components!$A$2:$A$27,0)),"")</f>
        <v>1</v>
      </c>
      <c r="U913" s="24">
        <f>IFERROR(INDEX(Cost_Components!$Q$2:$Q$27,MATCH(E913,Cost_Components!$A$2:$A$27,0)),"")</f>
        <v>2023</v>
      </c>
      <c r="V913" s="28">
        <f>1/(1+Calculation_Assumptions!$B$5)^(B913-Calculation_Assumptions!$B$2)</f>
        <v>0.970873786407767</v>
      </c>
      <c r="W913" s="21">
        <f t="shared" si="146"/>
        <v>4707233.1259068288</v>
      </c>
      <c r="X913" s="21">
        <f t="shared" si="147"/>
        <v>5267889.4979644874</v>
      </c>
      <c r="Y913" s="21">
        <f t="shared" si="148"/>
        <v>560656.37205765827</v>
      </c>
      <c r="Z913" s="15">
        <f>IFERROR(INDEX(Cost_Components!$T$2:$T$27,MATCH(E913,Cost_Components!$A$2:$A$27,0)),"")</f>
        <v>0.8</v>
      </c>
      <c r="AA913" s="24">
        <f>IFERROR(INDEX(Cost_Components!$U$2:$U$27,MATCH(E913,Cost_Components!$A$2:$A$27,0)),"")</f>
        <v>2025</v>
      </c>
      <c r="AB913" s="24">
        <f>IFERROR(INDEX(Cost_Components!$V$2:$V$27,MATCH(E913,Cost_Components!$A$2:$A$27,0)),"")</f>
        <v>2050</v>
      </c>
      <c r="AC913" s="24">
        <f>IFERROR(INDEX(Cost_Components!$M$2:$M$27,MATCH(E913,Cost_Components!$A$2:$A$27,0)),"")</f>
        <v>30</v>
      </c>
      <c r="AD913" s="24">
        <f>IFERROR(INDEX(Cost_Components!$N$2:$N$27,MATCH(E913,Cost_Components!$A$2:$A$27,0)),"")</f>
        <v>95</v>
      </c>
      <c r="AE913" s="14" t="str">
        <f>IFERROR(INDEX(Cost_Components!$O$2:$O$27,MATCH(E913,Cost_Components!$A$2:$A$27,0)),"")</f>
        <v>Both</v>
      </c>
      <c r="AF913" s="11">
        <v>441300.08208889101</v>
      </c>
      <c r="AG913" s="11">
        <v>442279.13119291799</v>
      </c>
      <c r="AH913" s="21">
        <f t="shared" si="149"/>
        <v>1</v>
      </c>
    </row>
    <row r="914" spans="1:34" hidden="1">
      <c r="A914" t="s">
        <v>75</v>
      </c>
      <c r="B914" s="18">
        <v>2027</v>
      </c>
      <c r="C914" t="s">
        <v>197</v>
      </c>
      <c r="D914" t="s">
        <v>163</v>
      </c>
      <c r="E914" s="20" t="s">
        <v>280</v>
      </c>
      <c r="F914" s="20" t="s">
        <v>281</v>
      </c>
      <c r="G914" s="20" t="s">
        <v>200</v>
      </c>
      <c r="H914" s="20" t="s">
        <v>192</v>
      </c>
      <c r="I914" s="20" t="s">
        <v>264</v>
      </c>
      <c r="J914" s="15">
        <f>IFERROR(INDEX(Cost_Components!$K$2:$K$27,MATCH(E914,Cost_Components!$A$2:$A$27,0)),"")</f>
        <v>1</v>
      </c>
      <c r="K914" s="15">
        <f t="shared" si="140"/>
        <v>0.36653846153846154</v>
      </c>
      <c r="L914" s="15">
        <f>IFERROR(INDEX(Cost_Components!$S$2:$S$27,MATCH(E914,Cost_Components!$A$2:$A$27,0)),"")</f>
        <v>0.31</v>
      </c>
      <c r="M914" s="26">
        <f>IFERROR(INDEX(Cost_Components!$L$2:$L$27,MATCH(E914,Cost_Components!$A$2:$A$27,0)),"")</f>
        <v>1</v>
      </c>
      <c r="N914" s="27">
        <f>IFERROR(INDEX(Cost_Components!$P$2:$P$27,MATCH(E914,Cost_Components!$A$2:$A$27,0)),"")</f>
        <v>35.362648999999998</v>
      </c>
      <c r="O914" s="21">
        <f t="shared" si="141"/>
        <v>454043.53302607703</v>
      </c>
      <c r="P914" s="21">
        <f t="shared" si="142"/>
        <v>455929.90648416698</v>
      </c>
      <c r="Q914" s="21">
        <f t="shared" si="143"/>
        <v>4998095.6679967502</v>
      </c>
      <c r="R914" s="21">
        <f t="shared" si="144"/>
        <v>5885208.2811278375</v>
      </c>
      <c r="S914" s="21">
        <f t="shared" si="145"/>
        <v>887112.61313108727</v>
      </c>
      <c r="T914" s="14">
        <f>IFERROR(INDEX(Cost_Components!$R$2:$R$27,MATCH(E914,Cost_Components!$A$2:$A$27,0)),"")</f>
        <v>1</v>
      </c>
      <c r="U914" s="24">
        <f>IFERROR(INDEX(Cost_Components!$Q$2:$Q$27,MATCH(E914,Cost_Components!$A$2:$A$27,0)),"")</f>
        <v>2023</v>
      </c>
      <c r="V914" s="28">
        <f>1/(1+Calculation_Assumptions!$B$5)^(B914-Calculation_Assumptions!$B$2)</f>
        <v>0.94259590913375435</v>
      </c>
      <c r="W914" s="21">
        <f t="shared" si="146"/>
        <v>4711184.5301128756</v>
      </c>
      <c r="X914" s="21">
        <f t="shared" si="147"/>
        <v>5547373.250191194</v>
      </c>
      <c r="Y914" s="21">
        <f t="shared" si="148"/>
        <v>836188.72007831768</v>
      </c>
      <c r="Z914" s="15">
        <f>IFERROR(INDEX(Cost_Components!$T$2:$T$27,MATCH(E914,Cost_Components!$A$2:$A$27,0)),"")</f>
        <v>0.8</v>
      </c>
      <c r="AA914" s="24">
        <f>IFERROR(INDEX(Cost_Components!$U$2:$U$27,MATCH(E914,Cost_Components!$A$2:$A$27,0)),"")</f>
        <v>2025</v>
      </c>
      <c r="AB914" s="24">
        <f>IFERROR(INDEX(Cost_Components!$V$2:$V$27,MATCH(E914,Cost_Components!$A$2:$A$27,0)),"")</f>
        <v>2050</v>
      </c>
      <c r="AC914" s="24">
        <f>IFERROR(INDEX(Cost_Components!$M$2:$M$27,MATCH(E914,Cost_Components!$A$2:$A$27,0)),"")</f>
        <v>30</v>
      </c>
      <c r="AD914" s="24">
        <f>IFERROR(INDEX(Cost_Components!$N$2:$N$27,MATCH(E914,Cost_Components!$A$2:$A$27,0)),"")</f>
        <v>95</v>
      </c>
      <c r="AE914" s="14" t="str">
        <f>IFERROR(INDEX(Cost_Components!$O$2:$O$27,MATCH(E914,Cost_Components!$A$2:$A$27,0)),"")</f>
        <v>Both</v>
      </c>
      <c r="AF914" s="11">
        <v>454043.53302607703</v>
      </c>
      <c r="AG914" s="11">
        <v>455929.90648416698</v>
      </c>
      <c r="AH914" s="21">
        <f t="shared" si="149"/>
        <v>1</v>
      </c>
    </row>
    <row r="915" spans="1:34" hidden="1">
      <c r="A915" t="s">
        <v>75</v>
      </c>
      <c r="B915" s="18">
        <v>2028</v>
      </c>
      <c r="C915" t="s">
        <v>197</v>
      </c>
      <c r="D915" t="s">
        <v>163</v>
      </c>
      <c r="E915" s="20" t="s">
        <v>280</v>
      </c>
      <c r="F915" s="20" t="s">
        <v>281</v>
      </c>
      <c r="G915" s="20" t="s">
        <v>200</v>
      </c>
      <c r="H915" s="20" t="s">
        <v>192</v>
      </c>
      <c r="I915" s="20" t="s">
        <v>264</v>
      </c>
      <c r="J915" s="15">
        <f>IFERROR(INDEX(Cost_Components!$K$2:$K$27,MATCH(E915,Cost_Components!$A$2:$A$27,0)),"")</f>
        <v>1</v>
      </c>
      <c r="K915" s="15">
        <f t="shared" si="140"/>
        <v>0.38538461538461538</v>
      </c>
      <c r="L915" s="15">
        <f>IFERROR(INDEX(Cost_Components!$S$2:$S$27,MATCH(E915,Cost_Components!$A$2:$A$27,0)),"")</f>
        <v>0.31</v>
      </c>
      <c r="M915" s="26">
        <f>IFERROR(INDEX(Cost_Components!$L$2:$L$27,MATCH(E915,Cost_Components!$A$2:$A$27,0)),"")</f>
        <v>1</v>
      </c>
      <c r="N915" s="27">
        <f>IFERROR(INDEX(Cost_Components!$P$2:$P$27,MATCH(E915,Cost_Components!$A$2:$A$27,0)),"")</f>
        <v>35.362648999999998</v>
      </c>
      <c r="O915" s="21">
        <f t="shared" si="141"/>
        <v>467068.77091064298</v>
      </c>
      <c r="P915" s="21">
        <f t="shared" si="142"/>
        <v>470103.874999244</v>
      </c>
      <c r="Q915" s="21">
        <f t="shared" si="143"/>
        <v>5153476.6807928234</v>
      </c>
      <c r="R915" s="21">
        <f t="shared" si="144"/>
        <v>6365316.3779167794</v>
      </c>
      <c r="S915" s="21">
        <f t="shared" si="145"/>
        <v>1211839.6971239559</v>
      </c>
      <c r="T915" s="14">
        <f>IFERROR(INDEX(Cost_Components!$R$2:$R$27,MATCH(E915,Cost_Components!$A$2:$A$27,0)),"")</f>
        <v>1</v>
      </c>
      <c r="U915" s="24">
        <f>IFERROR(INDEX(Cost_Components!$Q$2:$Q$27,MATCH(E915,Cost_Components!$A$2:$A$27,0)),"")</f>
        <v>2023</v>
      </c>
      <c r="V915" s="28">
        <f>1/(1+Calculation_Assumptions!$B$5)^(B915-Calculation_Assumptions!$B$2)</f>
        <v>0.91514165935315961</v>
      </c>
      <c r="W915" s="21">
        <f t="shared" si="146"/>
        <v>4716161.2010985576</v>
      </c>
      <c r="X915" s="21">
        <f t="shared" si="147"/>
        <v>5825166.1923946049</v>
      </c>
      <c r="Y915" s="21">
        <f t="shared" si="148"/>
        <v>1109004.9912960473</v>
      </c>
      <c r="Z915" s="15">
        <f>IFERROR(INDEX(Cost_Components!$T$2:$T$27,MATCH(E915,Cost_Components!$A$2:$A$27,0)),"")</f>
        <v>0.8</v>
      </c>
      <c r="AA915" s="24">
        <f>IFERROR(INDEX(Cost_Components!$U$2:$U$27,MATCH(E915,Cost_Components!$A$2:$A$27,0)),"")</f>
        <v>2025</v>
      </c>
      <c r="AB915" s="24">
        <f>IFERROR(INDEX(Cost_Components!$V$2:$V$27,MATCH(E915,Cost_Components!$A$2:$A$27,0)),"")</f>
        <v>2050</v>
      </c>
      <c r="AC915" s="24">
        <f>IFERROR(INDEX(Cost_Components!$M$2:$M$27,MATCH(E915,Cost_Components!$A$2:$A$27,0)),"")</f>
        <v>30</v>
      </c>
      <c r="AD915" s="24">
        <f>IFERROR(INDEX(Cost_Components!$N$2:$N$27,MATCH(E915,Cost_Components!$A$2:$A$27,0)),"")</f>
        <v>95</v>
      </c>
      <c r="AE915" s="14" t="str">
        <f>IFERROR(INDEX(Cost_Components!$O$2:$O$27,MATCH(E915,Cost_Components!$A$2:$A$27,0)),"")</f>
        <v>Both</v>
      </c>
      <c r="AF915" s="11">
        <v>467068.77091064298</v>
      </c>
      <c r="AG915" s="11">
        <v>470103.874999244</v>
      </c>
      <c r="AH915" s="21">
        <f t="shared" si="149"/>
        <v>1</v>
      </c>
    </row>
    <row r="916" spans="1:34" hidden="1">
      <c r="A916" t="s">
        <v>75</v>
      </c>
      <c r="B916" s="18">
        <v>2029</v>
      </c>
      <c r="C916" t="s">
        <v>197</v>
      </c>
      <c r="D916" t="s">
        <v>163</v>
      </c>
      <c r="E916" s="20" t="s">
        <v>280</v>
      </c>
      <c r="F916" s="20" t="s">
        <v>281</v>
      </c>
      <c r="G916" s="20" t="s">
        <v>200</v>
      </c>
      <c r="H916" s="20" t="s">
        <v>192</v>
      </c>
      <c r="I916" s="20" t="s">
        <v>264</v>
      </c>
      <c r="J916" s="15">
        <f>IFERROR(INDEX(Cost_Components!$K$2:$K$27,MATCH(E916,Cost_Components!$A$2:$A$27,0)),"")</f>
        <v>1</v>
      </c>
      <c r="K916" s="15">
        <f t="shared" si="140"/>
        <v>0.40423076923076923</v>
      </c>
      <c r="L916" s="15">
        <f>IFERROR(INDEX(Cost_Components!$S$2:$S$27,MATCH(E916,Cost_Components!$A$2:$A$27,0)),"")</f>
        <v>0.31</v>
      </c>
      <c r="M916" s="26">
        <f>IFERROR(INDEX(Cost_Components!$L$2:$L$27,MATCH(E916,Cost_Components!$A$2:$A$27,0)),"")</f>
        <v>1</v>
      </c>
      <c r="N916" s="27">
        <f>IFERROR(INDEX(Cost_Components!$P$2:$P$27,MATCH(E916,Cost_Components!$A$2:$A$27,0)),"")</f>
        <v>35.362648999999998</v>
      </c>
      <c r="O916" s="21">
        <f t="shared" si="141"/>
        <v>480258.54498760798</v>
      </c>
      <c r="P916" s="21">
        <f t="shared" si="142"/>
        <v>484660.27242354199</v>
      </c>
      <c r="Q916" s="21">
        <f t="shared" si="143"/>
        <v>5313050.0403670082</v>
      </c>
      <c r="R916" s="21">
        <f t="shared" si="144"/>
        <v>6865137.8029944273</v>
      </c>
      <c r="S916" s="21">
        <f t="shared" si="145"/>
        <v>1552087.7626274191</v>
      </c>
      <c r="T916" s="14">
        <f>IFERROR(INDEX(Cost_Components!$R$2:$R$27,MATCH(E916,Cost_Components!$A$2:$A$27,0)),"")</f>
        <v>1</v>
      </c>
      <c r="U916" s="24">
        <f>IFERROR(INDEX(Cost_Components!$Q$2:$Q$27,MATCH(E916,Cost_Components!$A$2:$A$27,0)),"")</f>
        <v>2023</v>
      </c>
      <c r="V916" s="28">
        <f>1/(1+Calculation_Assumptions!$B$5)^(B916-Calculation_Assumptions!$B$2)</f>
        <v>0.888487047915689</v>
      </c>
      <c r="W916" s="21">
        <f t="shared" si="146"/>
        <v>4720576.1457940154</v>
      </c>
      <c r="X916" s="21">
        <f t="shared" si="147"/>
        <v>6099586.0201169178</v>
      </c>
      <c r="Y916" s="21">
        <f t="shared" si="148"/>
        <v>1379009.8743229022</v>
      </c>
      <c r="Z916" s="15">
        <f>IFERROR(INDEX(Cost_Components!$T$2:$T$27,MATCH(E916,Cost_Components!$A$2:$A$27,0)),"")</f>
        <v>0.8</v>
      </c>
      <c r="AA916" s="24">
        <f>IFERROR(INDEX(Cost_Components!$U$2:$U$27,MATCH(E916,Cost_Components!$A$2:$A$27,0)),"")</f>
        <v>2025</v>
      </c>
      <c r="AB916" s="24">
        <f>IFERROR(INDEX(Cost_Components!$V$2:$V$27,MATCH(E916,Cost_Components!$A$2:$A$27,0)),"")</f>
        <v>2050</v>
      </c>
      <c r="AC916" s="24">
        <f>IFERROR(INDEX(Cost_Components!$M$2:$M$27,MATCH(E916,Cost_Components!$A$2:$A$27,0)),"")</f>
        <v>30</v>
      </c>
      <c r="AD916" s="24">
        <f>IFERROR(INDEX(Cost_Components!$N$2:$N$27,MATCH(E916,Cost_Components!$A$2:$A$27,0)),"")</f>
        <v>95</v>
      </c>
      <c r="AE916" s="14" t="str">
        <f>IFERROR(INDEX(Cost_Components!$O$2:$O$27,MATCH(E916,Cost_Components!$A$2:$A$27,0)),"")</f>
        <v>Both</v>
      </c>
      <c r="AF916" s="11">
        <v>480258.54498760798</v>
      </c>
      <c r="AG916" s="11">
        <v>484660.27242354199</v>
      </c>
      <c r="AH916" s="21">
        <f t="shared" si="149"/>
        <v>1</v>
      </c>
    </row>
    <row r="917" spans="1:34" hidden="1">
      <c r="A917" t="s">
        <v>75</v>
      </c>
      <c r="B917" s="18">
        <v>2030</v>
      </c>
      <c r="C917" t="s">
        <v>197</v>
      </c>
      <c r="D917" t="s">
        <v>163</v>
      </c>
      <c r="E917" s="20" t="s">
        <v>280</v>
      </c>
      <c r="F917" s="20" t="s">
        <v>281</v>
      </c>
      <c r="G917" s="20" t="s">
        <v>200</v>
      </c>
      <c r="H917" s="20" t="s">
        <v>192</v>
      </c>
      <c r="I917" s="20" t="s">
        <v>264</v>
      </c>
      <c r="J917" s="15">
        <f>IFERROR(INDEX(Cost_Components!$K$2:$K$27,MATCH(E917,Cost_Components!$A$2:$A$27,0)),"")</f>
        <v>1</v>
      </c>
      <c r="K917" s="15">
        <f t="shared" si="140"/>
        <v>0.42307692307692307</v>
      </c>
      <c r="L917" s="15">
        <f>IFERROR(INDEX(Cost_Components!$S$2:$S$27,MATCH(E917,Cost_Components!$A$2:$A$27,0)),"")</f>
        <v>0.31</v>
      </c>
      <c r="M917" s="26">
        <f>IFERROR(INDEX(Cost_Components!$L$2:$L$27,MATCH(E917,Cost_Components!$A$2:$A$27,0)),"")</f>
        <v>1</v>
      </c>
      <c r="N917" s="27">
        <f>IFERROR(INDEX(Cost_Components!$P$2:$P$27,MATCH(E917,Cost_Components!$A$2:$A$27,0)),"")</f>
        <v>35.362648999999998</v>
      </c>
      <c r="O917" s="21">
        <f t="shared" si="141"/>
        <v>493515.99466953397</v>
      </c>
      <c r="P917" s="21">
        <f t="shared" si="142"/>
        <v>499481.64335301798</v>
      </c>
      <c r="Q917" s="21">
        <f t="shared" si="143"/>
        <v>5475528.1511091469</v>
      </c>
      <c r="R917" s="21">
        <f t="shared" si="144"/>
        <v>7383552.3788165618</v>
      </c>
      <c r="S917" s="21">
        <f t="shared" si="145"/>
        <v>1908024.2277074149</v>
      </c>
      <c r="T917" s="14">
        <f>IFERROR(INDEX(Cost_Components!$R$2:$R$27,MATCH(E917,Cost_Components!$A$2:$A$27,0)),"")</f>
        <v>1</v>
      </c>
      <c r="U917" s="24">
        <f>IFERROR(INDEX(Cost_Components!$Q$2:$Q$27,MATCH(E917,Cost_Components!$A$2:$A$27,0)),"")</f>
        <v>2023</v>
      </c>
      <c r="V917" s="28">
        <f>1/(1+Calculation_Assumptions!$B$5)^(B917-Calculation_Assumptions!$B$2)</f>
        <v>0.86260878438416411</v>
      </c>
      <c r="W917" s="21">
        <f t="shared" si="146"/>
        <v>4723238.6822895305</v>
      </c>
      <c r="X917" s="21">
        <f t="shared" si="147"/>
        <v>6369117.1419277573</v>
      </c>
      <c r="Y917" s="21">
        <f t="shared" si="148"/>
        <v>1645878.4596382268</v>
      </c>
      <c r="Z917" s="15">
        <f>IFERROR(INDEX(Cost_Components!$T$2:$T$27,MATCH(E917,Cost_Components!$A$2:$A$27,0)),"")</f>
        <v>0.8</v>
      </c>
      <c r="AA917" s="24">
        <f>IFERROR(INDEX(Cost_Components!$U$2:$U$27,MATCH(E917,Cost_Components!$A$2:$A$27,0)),"")</f>
        <v>2025</v>
      </c>
      <c r="AB917" s="24">
        <f>IFERROR(INDEX(Cost_Components!$V$2:$V$27,MATCH(E917,Cost_Components!$A$2:$A$27,0)),"")</f>
        <v>2050</v>
      </c>
      <c r="AC917" s="24">
        <f>IFERROR(INDEX(Cost_Components!$M$2:$M$27,MATCH(E917,Cost_Components!$A$2:$A$27,0)),"")</f>
        <v>30</v>
      </c>
      <c r="AD917" s="24">
        <f>IFERROR(INDEX(Cost_Components!$N$2:$N$27,MATCH(E917,Cost_Components!$A$2:$A$27,0)),"")</f>
        <v>95</v>
      </c>
      <c r="AE917" s="14" t="str">
        <f>IFERROR(INDEX(Cost_Components!$O$2:$O$27,MATCH(E917,Cost_Components!$A$2:$A$27,0)),"")</f>
        <v>Both</v>
      </c>
      <c r="AF917" s="11">
        <v>493515.99466953397</v>
      </c>
      <c r="AG917" s="11">
        <v>499481.64335301798</v>
      </c>
      <c r="AH917" s="21">
        <f t="shared" si="149"/>
        <v>1</v>
      </c>
    </row>
    <row r="918" spans="1:34" hidden="1">
      <c r="A918" t="s">
        <v>75</v>
      </c>
      <c r="B918" s="18">
        <v>2031</v>
      </c>
      <c r="C918" t="s">
        <v>197</v>
      </c>
      <c r="D918" t="s">
        <v>163</v>
      </c>
      <c r="E918" s="20" t="s">
        <v>280</v>
      </c>
      <c r="F918" s="20" t="s">
        <v>281</v>
      </c>
      <c r="G918" s="20" t="s">
        <v>200</v>
      </c>
      <c r="H918" s="20" t="s">
        <v>192</v>
      </c>
      <c r="I918" s="20" t="s">
        <v>264</v>
      </c>
      <c r="J918" s="15">
        <f>IFERROR(INDEX(Cost_Components!$K$2:$K$27,MATCH(E918,Cost_Components!$A$2:$A$27,0)),"")</f>
        <v>1</v>
      </c>
      <c r="K918" s="15">
        <f t="shared" si="140"/>
        <v>0.44192307692307692</v>
      </c>
      <c r="L918" s="15">
        <f>IFERROR(INDEX(Cost_Components!$S$2:$S$27,MATCH(E918,Cost_Components!$A$2:$A$27,0)),"")</f>
        <v>0.31</v>
      </c>
      <c r="M918" s="26">
        <f>IFERROR(INDEX(Cost_Components!$L$2:$L$27,MATCH(E918,Cost_Components!$A$2:$A$27,0)),"")</f>
        <v>1</v>
      </c>
      <c r="N918" s="27">
        <f>IFERROR(INDEX(Cost_Components!$P$2:$P$27,MATCH(E918,Cost_Components!$A$2:$A$27,0)),"")</f>
        <v>35.362648999999998</v>
      </c>
      <c r="O918" s="21">
        <f t="shared" si="141"/>
        <v>506781.93210920598</v>
      </c>
      <c r="P918" s="21">
        <f t="shared" si="142"/>
        <v>514493.02589405101</v>
      </c>
      <c r="Q918" s="21">
        <f t="shared" si="143"/>
        <v>5640089.2491681632</v>
      </c>
      <c r="R918" s="21">
        <f t="shared" si="144"/>
        <v>7919770.4503241964</v>
      </c>
      <c r="S918" s="21">
        <f t="shared" si="145"/>
        <v>2279681.2011560332</v>
      </c>
      <c r="T918" s="14">
        <f>IFERROR(INDEX(Cost_Components!$R$2:$R$27,MATCH(E918,Cost_Components!$A$2:$A$27,0)),"")</f>
        <v>1</v>
      </c>
      <c r="U918" s="24">
        <f>IFERROR(INDEX(Cost_Components!$Q$2:$Q$27,MATCH(E918,Cost_Components!$A$2:$A$27,0)),"")</f>
        <v>2023</v>
      </c>
      <c r="V918" s="28">
        <f>1/(1+Calculation_Assumptions!$B$5)^(B918-Calculation_Assumptions!$B$2)</f>
        <v>0.83748425668365445</v>
      </c>
      <c r="W918" s="21">
        <f t="shared" si="146"/>
        <v>4723485.9524690695</v>
      </c>
      <c r="X918" s="21">
        <f t="shared" si="147"/>
        <v>6632683.0686949305</v>
      </c>
      <c r="Y918" s="21">
        <f t="shared" si="148"/>
        <v>1909197.116225861</v>
      </c>
      <c r="Z918" s="15">
        <f>IFERROR(INDEX(Cost_Components!$T$2:$T$27,MATCH(E918,Cost_Components!$A$2:$A$27,0)),"")</f>
        <v>0.8</v>
      </c>
      <c r="AA918" s="24">
        <f>IFERROR(INDEX(Cost_Components!$U$2:$U$27,MATCH(E918,Cost_Components!$A$2:$A$27,0)),"")</f>
        <v>2025</v>
      </c>
      <c r="AB918" s="24">
        <f>IFERROR(INDEX(Cost_Components!$V$2:$V$27,MATCH(E918,Cost_Components!$A$2:$A$27,0)),"")</f>
        <v>2050</v>
      </c>
      <c r="AC918" s="24">
        <f>IFERROR(INDEX(Cost_Components!$M$2:$M$27,MATCH(E918,Cost_Components!$A$2:$A$27,0)),"")</f>
        <v>30</v>
      </c>
      <c r="AD918" s="24">
        <f>IFERROR(INDEX(Cost_Components!$N$2:$N$27,MATCH(E918,Cost_Components!$A$2:$A$27,0)),"")</f>
        <v>95</v>
      </c>
      <c r="AE918" s="14" t="str">
        <f>IFERROR(INDEX(Cost_Components!$O$2:$O$27,MATCH(E918,Cost_Components!$A$2:$A$27,0)),"")</f>
        <v>Both</v>
      </c>
      <c r="AF918" s="11">
        <v>506781.93210920598</v>
      </c>
      <c r="AG918" s="11">
        <v>514493.02589405101</v>
      </c>
      <c r="AH918" s="21">
        <f t="shared" si="149"/>
        <v>1</v>
      </c>
    </row>
    <row r="919" spans="1:34" hidden="1">
      <c r="A919" t="s">
        <v>75</v>
      </c>
      <c r="B919" s="18">
        <v>2032</v>
      </c>
      <c r="C919" t="s">
        <v>197</v>
      </c>
      <c r="D919" t="s">
        <v>163</v>
      </c>
      <c r="E919" s="20" t="s">
        <v>280</v>
      </c>
      <c r="F919" s="20" t="s">
        <v>281</v>
      </c>
      <c r="G919" s="20" t="s">
        <v>200</v>
      </c>
      <c r="H919" s="20" t="s">
        <v>192</v>
      </c>
      <c r="I919" s="20" t="s">
        <v>264</v>
      </c>
      <c r="J919" s="15">
        <f>IFERROR(INDEX(Cost_Components!$K$2:$K$27,MATCH(E919,Cost_Components!$A$2:$A$27,0)),"")</f>
        <v>1</v>
      </c>
      <c r="K919" s="15">
        <f t="shared" si="140"/>
        <v>0.46076923076923082</v>
      </c>
      <c r="L919" s="15">
        <f>IFERROR(INDEX(Cost_Components!$S$2:$S$27,MATCH(E919,Cost_Components!$A$2:$A$27,0)),"")</f>
        <v>0.31</v>
      </c>
      <c r="M919" s="26">
        <f>IFERROR(INDEX(Cost_Components!$L$2:$L$27,MATCH(E919,Cost_Components!$A$2:$A$27,0)),"")</f>
        <v>1</v>
      </c>
      <c r="N919" s="27">
        <f>IFERROR(INDEX(Cost_Components!$P$2:$P$27,MATCH(E919,Cost_Components!$A$2:$A$27,0)),"")</f>
        <v>35.362648999999998</v>
      </c>
      <c r="O919" s="21">
        <f t="shared" si="141"/>
        <v>520008.05932184902</v>
      </c>
      <c r="P919" s="21">
        <f t="shared" si="142"/>
        <v>529631.54154831904</v>
      </c>
      <c r="Q919" s="21">
        <f t="shared" si="143"/>
        <v>5806044.0339616574</v>
      </c>
      <c r="R919" s="21">
        <f t="shared" si="144"/>
        <v>8473022.0191560518</v>
      </c>
      <c r="S919" s="21">
        <f t="shared" si="145"/>
        <v>2666977.9851943944</v>
      </c>
      <c r="T919" s="14">
        <f>IFERROR(INDEX(Cost_Components!$R$2:$R$27,MATCH(E919,Cost_Components!$A$2:$A$27,0)),"")</f>
        <v>1</v>
      </c>
      <c r="U919" s="24">
        <f>IFERROR(INDEX(Cost_Components!$Q$2:$Q$27,MATCH(E919,Cost_Components!$A$2:$A$27,0)),"")</f>
        <v>2023</v>
      </c>
      <c r="V919" s="28">
        <f>1/(1+Calculation_Assumptions!$B$5)^(B919-Calculation_Assumptions!$B$2)</f>
        <v>0.81309151134335378</v>
      </c>
      <c r="W919" s="21">
        <f t="shared" si="146"/>
        <v>4720845.1184999468</v>
      </c>
      <c r="X919" s="21">
        <f t="shared" si="147"/>
        <v>6889342.279201109</v>
      </c>
      <c r="Y919" s="21">
        <f t="shared" si="148"/>
        <v>2168497.1607011626</v>
      </c>
      <c r="Z919" s="15">
        <f>IFERROR(INDEX(Cost_Components!$T$2:$T$27,MATCH(E919,Cost_Components!$A$2:$A$27,0)),"")</f>
        <v>0.8</v>
      </c>
      <c r="AA919" s="24">
        <f>IFERROR(INDEX(Cost_Components!$U$2:$U$27,MATCH(E919,Cost_Components!$A$2:$A$27,0)),"")</f>
        <v>2025</v>
      </c>
      <c r="AB919" s="24">
        <f>IFERROR(INDEX(Cost_Components!$V$2:$V$27,MATCH(E919,Cost_Components!$A$2:$A$27,0)),"")</f>
        <v>2050</v>
      </c>
      <c r="AC919" s="24">
        <f>IFERROR(INDEX(Cost_Components!$M$2:$M$27,MATCH(E919,Cost_Components!$A$2:$A$27,0)),"")</f>
        <v>30</v>
      </c>
      <c r="AD919" s="24">
        <f>IFERROR(INDEX(Cost_Components!$N$2:$N$27,MATCH(E919,Cost_Components!$A$2:$A$27,0)),"")</f>
        <v>95</v>
      </c>
      <c r="AE919" s="14" t="str">
        <f>IFERROR(INDEX(Cost_Components!$O$2:$O$27,MATCH(E919,Cost_Components!$A$2:$A$27,0)),"")</f>
        <v>Both</v>
      </c>
      <c r="AF919" s="11">
        <v>520008.05932184902</v>
      </c>
      <c r="AG919" s="11">
        <v>529631.54154831904</v>
      </c>
      <c r="AH919" s="21">
        <f t="shared" si="149"/>
        <v>1</v>
      </c>
    </row>
    <row r="920" spans="1:34" hidden="1">
      <c r="A920" t="s">
        <v>75</v>
      </c>
      <c r="B920" s="18">
        <v>2033</v>
      </c>
      <c r="C920" t="s">
        <v>197</v>
      </c>
      <c r="D920" t="s">
        <v>163</v>
      </c>
      <c r="E920" s="20" t="s">
        <v>280</v>
      </c>
      <c r="F920" s="20" t="s">
        <v>281</v>
      </c>
      <c r="G920" s="20" t="s">
        <v>200</v>
      </c>
      <c r="H920" s="20" t="s">
        <v>192</v>
      </c>
      <c r="I920" s="20" t="s">
        <v>264</v>
      </c>
      <c r="J920" s="15">
        <f>IFERROR(INDEX(Cost_Components!$K$2:$K$27,MATCH(E920,Cost_Components!$A$2:$A$27,0)),"")</f>
        <v>1</v>
      </c>
      <c r="K920" s="15">
        <f t="shared" si="140"/>
        <v>0.47961538461538467</v>
      </c>
      <c r="L920" s="15">
        <f>IFERROR(INDEX(Cost_Components!$S$2:$S$27,MATCH(E920,Cost_Components!$A$2:$A$27,0)),"")</f>
        <v>0.31</v>
      </c>
      <c r="M920" s="26">
        <f>IFERROR(INDEX(Cost_Components!$L$2:$L$27,MATCH(E920,Cost_Components!$A$2:$A$27,0)),"")</f>
        <v>1</v>
      </c>
      <c r="N920" s="27">
        <f>IFERROR(INDEX(Cost_Components!$P$2:$P$27,MATCH(E920,Cost_Components!$A$2:$A$27,0)),"")</f>
        <v>35.362648999999998</v>
      </c>
      <c r="O920" s="21">
        <f t="shared" si="141"/>
        <v>533156.310726383</v>
      </c>
      <c r="P920" s="21">
        <f t="shared" si="142"/>
        <v>544842.74626271694</v>
      </c>
      <c r="Q920" s="21">
        <f t="shared" si="143"/>
        <v>5972795.6668482013</v>
      </c>
      <c r="R920" s="21">
        <f t="shared" si="144"/>
        <v>9042581.8805788327</v>
      </c>
      <c r="S920" s="21">
        <f t="shared" si="145"/>
        <v>3069786.2137306314</v>
      </c>
      <c r="T920" s="14">
        <f>IFERROR(INDEX(Cost_Components!$R$2:$R$27,MATCH(E920,Cost_Components!$A$2:$A$27,0)),"")</f>
        <v>1</v>
      </c>
      <c r="U920" s="24">
        <f>IFERROR(INDEX(Cost_Components!$Q$2:$Q$27,MATCH(E920,Cost_Components!$A$2:$A$27,0)),"")</f>
        <v>2023</v>
      </c>
      <c r="V920" s="28">
        <f>1/(1+Calculation_Assumptions!$B$5)^(B920-Calculation_Assumptions!$B$2)</f>
        <v>0.78940923431393573</v>
      </c>
      <c r="W920" s="21">
        <f t="shared" si="146"/>
        <v>4714980.054080232</v>
      </c>
      <c r="X920" s="21">
        <f t="shared" si="147"/>
        <v>7138297.6385688055</v>
      </c>
      <c r="Y920" s="21">
        <f t="shared" si="148"/>
        <v>2423317.5844885735</v>
      </c>
      <c r="Z920" s="15">
        <f>IFERROR(INDEX(Cost_Components!$T$2:$T$27,MATCH(E920,Cost_Components!$A$2:$A$27,0)),"")</f>
        <v>0.8</v>
      </c>
      <c r="AA920" s="24">
        <f>IFERROR(INDEX(Cost_Components!$U$2:$U$27,MATCH(E920,Cost_Components!$A$2:$A$27,0)),"")</f>
        <v>2025</v>
      </c>
      <c r="AB920" s="24">
        <f>IFERROR(INDEX(Cost_Components!$V$2:$V$27,MATCH(E920,Cost_Components!$A$2:$A$27,0)),"")</f>
        <v>2050</v>
      </c>
      <c r="AC920" s="24">
        <f>IFERROR(INDEX(Cost_Components!$M$2:$M$27,MATCH(E920,Cost_Components!$A$2:$A$27,0)),"")</f>
        <v>30</v>
      </c>
      <c r="AD920" s="24">
        <f>IFERROR(INDEX(Cost_Components!$N$2:$N$27,MATCH(E920,Cost_Components!$A$2:$A$27,0)),"")</f>
        <v>95</v>
      </c>
      <c r="AE920" s="14" t="str">
        <f>IFERROR(INDEX(Cost_Components!$O$2:$O$27,MATCH(E920,Cost_Components!$A$2:$A$27,0)),"")</f>
        <v>Both</v>
      </c>
      <c r="AF920" s="11">
        <v>533156.310726383</v>
      </c>
      <c r="AG920" s="11">
        <v>544842.74626271694</v>
      </c>
      <c r="AH920" s="21">
        <f t="shared" si="149"/>
        <v>1</v>
      </c>
    </row>
    <row r="921" spans="1:34" hidden="1">
      <c r="A921" t="s">
        <v>75</v>
      </c>
      <c r="B921" s="18">
        <v>2034</v>
      </c>
      <c r="C921" t="s">
        <v>197</v>
      </c>
      <c r="D921" t="s">
        <v>163</v>
      </c>
      <c r="E921" s="20" t="s">
        <v>280</v>
      </c>
      <c r="F921" s="20" t="s">
        <v>281</v>
      </c>
      <c r="G921" s="20" t="s">
        <v>200</v>
      </c>
      <c r="H921" s="20" t="s">
        <v>192</v>
      </c>
      <c r="I921" s="20" t="s">
        <v>264</v>
      </c>
      <c r="J921" s="15">
        <f>IFERROR(INDEX(Cost_Components!$K$2:$K$27,MATCH(E921,Cost_Components!$A$2:$A$27,0)),"")</f>
        <v>1</v>
      </c>
      <c r="K921" s="15">
        <f t="shared" si="140"/>
        <v>0.49846153846153851</v>
      </c>
      <c r="L921" s="15">
        <f>IFERROR(INDEX(Cost_Components!$S$2:$S$27,MATCH(E921,Cost_Components!$A$2:$A$27,0)),"")</f>
        <v>0.31</v>
      </c>
      <c r="M921" s="26">
        <f>IFERROR(INDEX(Cost_Components!$L$2:$L$27,MATCH(E921,Cost_Components!$A$2:$A$27,0)),"")</f>
        <v>1</v>
      </c>
      <c r="N921" s="27">
        <f>IFERROR(INDEX(Cost_Components!$P$2:$P$27,MATCH(E921,Cost_Components!$A$2:$A$27,0)),"")</f>
        <v>35.362648999999998</v>
      </c>
      <c r="O921" s="21">
        <f t="shared" si="141"/>
        <v>546195.11378686898</v>
      </c>
      <c r="P921" s="21">
        <f t="shared" si="142"/>
        <v>560079.98664797004</v>
      </c>
      <c r="Q921" s="21">
        <f t="shared" si="143"/>
        <v>6139832.7137246234</v>
      </c>
      <c r="R921" s="21">
        <f t="shared" si="144"/>
        <v>9627737.8070348855</v>
      </c>
      <c r="S921" s="21">
        <f t="shared" si="145"/>
        <v>3487905.0933102621</v>
      </c>
      <c r="T921" s="14">
        <f>IFERROR(INDEX(Cost_Components!$R$2:$R$27,MATCH(E921,Cost_Components!$A$2:$A$27,0)),"")</f>
        <v>1</v>
      </c>
      <c r="U921" s="24">
        <f>IFERROR(INDEX(Cost_Components!$Q$2:$Q$27,MATCH(E921,Cost_Components!$A$2:$A$27,0)),"")</f>
        <v>2023</v>
      </c>
      <c r="V921" s="28">
        <f>1/(1+Calculation_Assumptions!$B$5)^(B921-Calculation_Assumptions!$B$2)</f>
        <v>0.76641673234362695</v>
      </c>
      <c r="W921" s="21">
        <f t="shared" si="146"/>
        <v>4705670.5255893292</v>
      </c>
      <c r="X921" s="21">
        <f t="shared" si="147"/>
        <v>7378859.3499288736</v>
      </c>
      <c r="Y921" s="21">
        <f t="shared" si="148"/>
        <v>2673188.8243395444</v>
      </c>
      <c r="Z921" s="15">
        <f>IFERROR(INDEX(Cost_Components!$T$2:$T$27,MATCH(E921,Cost_Components!$A$2:$A$27,0)),"")</f>
        <v>0.8</v>
      </c>
      <c r="AA921" s="24">
        <f>IFERROR(INDEX(Cost_Components!$U$2:$U$27,MATCH(E921,Cost_Components!$A$2:$A$27,0)),"")</f>
        <v>2025</v>
      </c>
      <c r="AB921" s="24">
        <f>IFERROR(INDEX(Cost_Components!$V$2:$V$27,MATCH(E921,Cost_Components!$A$2:$A$27,0)),"")</f>
        <v>2050</v>
      </c>
      <c r="AC921" s="24">
        <f>IFERROR(INDEX(Cost_Components!$M$2:$M$27,MATCH(E921,Cost_Components!$A$2:$A$27,0)),"")</f>
        <v>30</v>
      </c>
      <c r="AD921" s="24">
        <f>IFERROR(INDEX(Cost_Components!$N$2:$N$27,MATCH(E921,Cost_Components!$A$2:$A$27,0)),"")</f>
        <v>95</v>
      </c>
      <c r="AE921" s="14" t="str">
        <f>IFERROR(INDEX(Cost_Components!$O$2:$O$27,MATCH(E921,Cost_Components!$A$2:$A$27,0)),"")</f>
        <v>Both</v>
      </c>
      <c r="AF921" s="11">
        <v>546195.11378686898</v>
      </c>
      <c r="AG921" s="11">
        <v>560079.98664797004</v>
      </c>
      <c r="AH921" s="21">
        <f t="shared" si="149"/>
        <v>1</v>
      </c>
    </row>
    <row r="922" spans="1:34" hidden="1">
      <c r="A922" t="s">
        <v>75</v>
      </c>
      <c r="B922" s="18">
        <v>2035</v>
      </c>
      <c r="C922" t="s">
        <v>197</v>
      </c>
      <c r="D922" t="s">
        <v>163</v>
      </c>
      <c r="E922" s="20" t="s">
        <v>280</v>
      </c>
      <c r="F922" s="20" t="s">
        <v>281</v>
      </c>
      <c r="G922" s="20" t="s">
        <v>200</v>
      </c>
      <c r="H922" s="20" t="s">
        <v>192</v>
      </c>
      <c r="I922" s="20" t="s">
        <v>264</v>
      </c>
      <c r="J922" s="15">
        <f>IFERROR(INDEX(Cost_Components!$K$2:$K$27,MATCH(E922,Cost_Components!$A$2:$A$27,0)),"")</f>
        <v>1</v>
      </c>
      <c r="K922" s="15">
        <f t="shared" si="140"/>
        <v>0.51730769230769236</v>
      </c>
      <c r="L922" s="15">
        <f>IFERROR(INDEX(Cost_Components!$S$2:$S$27,MATCH(E922,Cost_Components!$A$2:$A$27,0)),"")</f>
        <v>0.31</v>
      </c>
      <c r="M922" s="26">
        <f>IFERROR(INDEX(Cost_Components!$L$2:$L$27,MATCH(E922,Cost_Components!$A$2:$A$27,0)),"")</f>
        <v>1</v>
      </c>
      <c r="N922" s="27">
        <f>IFERROR(INDEX(Cost_Components!$P$2:$P$27,MATCH(E922,Cost_Components!$A$2:$A$27,0)),"")</f>
        <v>35.362648999999998</v>
      </c>
      <c r="O922" s="21">
        <f t="shared" si="141"/>
        <v>559095.09705151897</v>
      </c>
      <c r="P922" s="21">
        <f t="shared" si="142"/>
        <v>575299.57749410998</v>
      </c>
      <c r="Q922" s="21">
        <f t="shared" si="143"/>
        <v>6306676.2789194779</v>
      </c>
      <c r="R922" s="21">
        <f t="shared" si="144"/>
        <v>10227733.670157446</v>
      </c>
      <c r="S922" s="21">
        <f t="shared" si="145"/>
        <v>3921057.3912379676</v>
      </c>
      <c r="T922" s="14">
        <f>IFERROR(INDEX(Cost_Components!$R$2:$R$27,MATCH(E922,Cost_Components!$A$2:$A$27,0)),"")</f>
        <v>1</v>
      </c>
      <c r="U922" s="24">
        <f>IFERROR(INDEX(Cost_Components!$Q$2:$Q$27,MATCH(E922,Cost_Components!$A$2:$A$27,0)),"")</f>
        <v>2023</v>
      </c>
      <c r="V922" s="28">
        <f>1/(1+Calculation_Assumptions!$B$5)^(B922-Calculation_Assumptions!$B$2)</f>
        <v>0.74409391489672516</v>
      </c>
      <c r="W922" s="21">
        <f t="shared" si="146"/>
        <v>4692759.4423675053</v>
      </c>
      <c r="X922" s="21">
        <f t="shared" si="147"/>
        <v>7610394.3871485051</v>
      </c>
      <c r="Y922" s="21">
        <f t="shared" si="148"/>
        <v>2917634.9447809993</v>
      </c>
      <c r="Z922" s="15">
        <f>IFERROR(INDEX(Cost_Components!$T$2:$T$27,MATCH(E922,Cost_Components!$A$2:$A$27,0)),"")</f>
        <v>0.8</v>
      </c>
      <c r="AA922" s="24">
        <f>IFERROR(INDEX(Cost_Components!$U$2:$U$27,MATCH(E922,Cost_Components!$A$2:$A$27,0)),"")</f>
        <v>2025</v>
      </c>
      <c r="AB922" s="24">
        <f>IFERROR(INDEX(Cost_Components!$V$2:$V$27,MATCH(E922,Cost_Components!$A$2:$A$27,0)),"")</f>
        <v>2050</v>
      </c>
      <c r="AC922" s="24">
        <f>IFERROR(INDEX(Cost_Components!$M$2:$M$27,MATCH(E922,Cost_Components!$A$2:$A$27,0)),"")</f>
        <v>30</v>
      </c>
      <c r="AD922" s="24">
        <f>IFERROR(INDEX(Cost_Components!$N$2:$N$27,MATCH(E922,Cost_Components!$A$2:$A$27,0)),"")</f>
        <v>95</v>
      </c>
      <c r="AE922" s="14" t="str">
        <f>IFERROR(INDEX(Cost_Components!$O$2:$O$27,MATCH(E922,Cost_Components!$A$2:$A$27,0)),"")</f>
        <v>Both</v>
      </c>
      <c r="AF922" s="11">
        <v>559095.09705151897</v>
      </c>
      <c r="AG922" s="11">
        <v>575299.57749410998</v>
      </c>
      <c r="AH922" s="21">
        <f t="shared" si="149"/>
        <v>1</v>
      </c>
    </row>
    <row r="923" spans="1:34" hidden="1">
      <c r="A923" t="s">
        <v>75</v>
      </c>
      <c r="B923" s="18">
        <v>2036</v>
      </c>
      <c r="C923" t="s">
        <v>197</v>
      </c>
      <c r="D923" t="s">
        <v>163</v>
      </c>
      <c r="E923" s="20" t="s">
        <v>280</v>
      </c>
      <c r="F923" s="20" t="s">
        <v>281</v>
      </c>
      <c r="G923" s="20" t="s">
        <v>200</v>
      </c>
      <c r="H923" s="20" t="s">
        <v>192</v>
      </c>
      <c r="I923" s="20" t="s">
        <v>264</v>
      </c>
      <c r="J923" s="15">
        <f>IFERROR(INDEX(Cost_Components!$K$2:$K$27,MATCH(E923,Cost_Components!$A$2:$A$27,0)),"")</f>
        <v>1</v>
      </c>
      <c r="K923" s="15">
        <f t="shared" si="140"/>
        <v>0.5361538461538462</v>
      </c>
      <c r="L923" s="15">
        <f>IFERROR(INDEX(Cost_Components!$S$2:$S$27,MATCH(E923,Cost_Components!$A$2:$A$27,0)),"")</f>
        <v>0.31</v>
      </c>
      <c r="M923" s="26">
        <f>IFERROR(INDEX(Cost_Components!$L$2:$L$27,MATCH(E923,Cost_Components!$A$2:$A$27,0)),"")</f>
        <v>1</v>
      </c>
      <c r="N923" s="27">
        <f>IFERROR(INDEX(Cost_Components!$P$2:$P$27,MATCH(E923,Cost_Components!$A$2:$A$27,0)),"")</f>
        <v>35.362648999999998</v>
      </c>
      <c r="O923" s="21">
        <f t="shared" si="141"/>
        <v>571858.858034704</v>
      </c>
      <c r="P923" s="21">
        <f t="shared" si="142"/>
        <v>590491.081081404</v>
      </c>
      <c r="Q923" s="21">
        <f t="shared" si="143"/>
        <v>6473211.9397527911</v>
      </c>
      <c r="R923" s="21">
        <f t="shared" si="144"/>
        <v>10842341.169025216</v>
      </c>
      <c r="S923" s="21">
        <f t="shared" si="145"/>
        <v>4369129.2292724252</v>
      </c>
      <c r="T923" s="14">
        <f>IFERROR(INDEX(Cost_Components!$R$2:$R$27,MATCH(E923,Cost_Components!$A$2:$A$27,0)),"")</f>
        <v>1</v>
      </c>
      <c r="U923" s="24">
        <f>IFERROR(INDEX(Cost_Components!$Q$2:$Q$27,MATCH(E923,Cost_Components!$A$2:$A$27,0)),"")</f>
        <v>2023</v>
      </c>
      <c r="V923" s="28">
        <f>1/(1+Calculation_Assumptions!$B$5)^(B923-Calculation_Assumptions!$B$2)</f>
        <v>0.72242127659876232</v>
      </c>
      <c r="W923" s="21">
        <f t="shared" si="146"/>
        <v>4676386.0332105616</v>
      </c>
      <c r="X923" s="21">
        <f t="shared" si="147"/>
        <v>7832737.9486465137</v>
      </c>
      <c r="Y923" s="21">
        <f t="shared" si="148"/>
        <v>3156351.9154359517</v>
      </c>
      <c r="Z923" s="15">
        <f>IFERROR(INDEX(Cost_Components!$T$2:$T$27,MATCH(E923,Cost_Components!$A$2:$A$27,0)),"")</f>
        <v>0.8</v>
      </c>
      <c r="AA923" s="24">
        <f>IFERROR(INDEX(Cost_Components!$U$2:$U$27,MATCH(E923,Cost_Components!$A$2:$A$27,0)),"")</f>
        <v>2025</v>
      </c>
      <c r="AB923" s="24">
        <f>IFERROR(INDEX(Cost_Components!$V$2:$V$27,MATCH(E923,Cost_Components!$A$2:$A$27,0)),"")</f>
        <v>2050</v>
      </c>
      <c r="AC923" s="24">
        <f>IFERROR(INDEX(Cost_Components!$M$2:$M$27,MATCH(E923,Cost_Components!$A$2:$A$27,0)),"")</f>
        <v>30</v>
      </c>
      <c r="AD923" s="24">
        <f>IFERROR(INDEX(Cost_Components!$N$2:$N$27,MATCH(E923,Cost_Components!$A$2:$A$27,0)),"")</f>
        <v>95</v>
      </c>
      <c r="AE923" s="14" t="str">
        <f>IFERROR(INDEX(Cost_Components!$O$2:$O$27,MATCH(E923,Cost_Components!$A$2:$A$27,0)),"")</f>
        <v>Both</v>
      </c>
      <c r="AF923" s="11">
        <v>571858.858034704</v>
      </c>
      <c r="AG923" s="11">
        <v>590491.081081404</v>
      </c>
      <c r="AH923" s="21">
        <f t="shared" si="149"/>
        <v>1</v>
      </c>
    </row>
    <row r="924" spans="1:34" hidden="1">
      <c r="A924" t="s">
        <v>75</v>
      </c>
      <c r="B924" s="18">
        <v>2037</v>
      </c>
      <c r="C924" t="s">
        <v>197</v>
      </c>
      <c r="D924" t="s">
        <v>163</v>
      </c>
      <c r="E924" s="20" t="s">
        <v>280</v>
      </c>
      <c r="F924" s="20" t="s">
        <v>281</v>
      </c>
      <c r="G924" s="20" t="s">
        <v>200</v>
      </c>
      <c r="H924" s="20" t="s">
        <v>192</v>
      </c>
      <c r="I924" s="20" t="s">
        <v>264</v>
      </c>
      <c r="J924" s="15">
        <f>IFERROR(INDEX(Cost_Components!$K$2:$K$27,MATCH(E924,Cost_Components!$A$2:$A$27,0)),"")</f>
        <v>1</v>
      </c>
      <c r="K924" s="15">
        <f t="shared" si="140"/>
        <v>0.55500000000000005</v>
      </c>
      <c r="L924" s="15">
        <f>IFERROR(INDEX(Cost_Components!$S$2:$S$27,MATCH(E924,Cost_Components!$A$2:$A$27,0)),"")</f>
        <v>0.31</v>
      </c>
      <c r="M924" s="26">
        <f>IFERROR(INDEX(Cost_Components!$L$2:$L$27,MATCH(E924,Cost_Components!$A$2:$A$27,0)),"")</f>
        <v>1</v>
      </c>
      <c r="N924" s="27">
        <f>IFERROR(INDEX(Cost_Components!$P$2:$P$27,MATCH(E924,Cost_Components!$A$2:$A$27,0)),"")</f>
        <v>35.362648999999998</v>
      </c>
      <c r="O924" s="21">
        <f t="shared" si="141"/>
        <v>584510.91963179898</v>
      </c>
      <c r="P924" s="21">
        <f t="shared" si="142"/>
        <v>605668.09724968101</v>
      </c>
      <c r="Q924" s="21">
        <f t="shared" si="143"/>
        <v>6639588.7833968829</v>
      </c>
      <c r="R924" s="21">
        <f t="shared" si="144"/>
        <v>11471769.240621617</v>
      </c>
      <c r="S924" s="21">
        <f t="shared" si="145"/>
        <v>4832180.4572247341</v>
      </c>
      <c r="T924" s="14">
        <f>IFERROR(INDEX(Cost_Components!$R$2:$R$27,MATCH(E924,Cost_Components!$A$2:$A$27,0)),"")</f>
        <v>1</v>
      </c>
      <c r="U924" s="24">
        <f>IFERROR(INDEX(Cost_Components!$Q$2:$Q$27,MATCH(E924,Cost_Components!$A$2:$A$27,0)),"")</f>
        <v>2023</v>
      </c>
      <c r="V924" s="28">
        <f>1/(1+Calculation_Assumptions!$B$5)^(B924-Calculation_Assumptions!$B$2)</f>
        <v>0.70137988019297326</v>
      </c>
      <c r="W924" s="21">
        <f t="shared" si="146"/>
        <v>4656873.9854295151</v>
      </c>
      <c r="X924" s="21">
        <f t="shared" si="147"/>
        <v>8046068.1355886254</v>
      </c>
      <c r="Y924" s="21">
        <f t="shared" si="148"/>
        <v>3389194.1501591108</v>
      </c>
      <c r="Z924" s="15">
        <f>IFERROR(INDEX(Cost_Components!$T$2:$T$27,MATCH(E924,Cost_Components!$A$2:$A$27,0)),"")</f>
        <v>0.8</v>
      </c>
      <c r="AA924" s="24">
        <f>IFERROR(INDEX(Cost_Components!$U$2:$U$27,MATCH(E924,Cost_Components!$A$2:$A$27,0)),"")</f>
        <v>2025</v>
      </c>
      <c r="AB924" s="24">
        <f>IFERROR(INDEX(Cost_Components!$V$2:$V$27,MATCH(E924,Cost_Components!$A$2:$A$27,0)),"")</f>
        <v>2050</v>
      </c>
      <c r="AC924" s="24">
        <f>IFERROR(INDEX(Cost_Components!$M$2:$M$27,MATCH(E924,Cost_Components!$A$2:$A$27,0)),"")</f>
        <v>30</v>
      </c>
      <c r="AD924" s="24">
        <f>IFERROR(INDEX(Cost_Components!$N$2:$N$27,MATCH(E924,Cost_Components!$A$2:$A$27,0)),"")</f>
        <v>95</v>
      </c>
      <c r="AE924" s="14" t="str">
        <f>IFERROR(INDEX(Cost_Components!$O$2:$O$27,MATCH(E924,Cost_Components!$A$2:$A$27,0)),"")</f>
        <v>Both</v>
      </c>
      <c r="AF924" s="11">
        <v>584510.91963179898</v>
      </c>
      <c r="AG924" s="11">
        <v>605668.09724968101</v>
      </c>
      <c r="AH924" s="21">
        <f t="shared" si="149"/>
        <v>1</v>
      </c>
    </row>
    <row r="925" spans="1:34" hidden="1">
      <c r="A925" t="s">
        <v>75</v>
      </c>
      <c r="B925" s="18">
        <v>2038</v>
      </c>
      <c r="C925" t="s">
        <v>197</v>
      </c>
      <c r="D925" t="s">
        <v>163</v>
      </c>
      <c r="E925" s="20" t="s">
        <v>280</v>
      </c>
      <c r="F925" s="20" t="s">
        <v>281</v>
      </c>
      <c r="G925" s="20" t="s">
        <v>200</v>
      </c>
      <c r="H925" s="20" t="s">
        <v>192</v>
      </c>
      <c r="I925" s="20" t="s">
        <v>264</v>
      </c>
      <c r="J925" s="15">
        <f>IFERROR(INDEX(Cost_Components!$K$2:$K$27,MATCH(E925,Cost_Components!$A$2:$A$27,0)),"")</f>
        <v>1</v>
      </c>
      <c r="K925" s="15">
        <f t="shared" si="140"/>
        <v>0.57384615384615389</v>
      </c>
      <c r="L925" s="15">
        <f>IFERROR(INDEX(Cost_Components!$S$2:$S$27,MATCH(E925,Cost_Components!$A$2:$A$27,0)),"")</f>
        <v>0.31</v>
      </c>
      <c r="M925" s="26">
        <f>IFERROR(INDEX(Cost_Components!$L$2:$L$27,MATCH(E925,Cost_Components!$A$2:$A$27,0)),"")</f>
        <v>1</v>
      </c>
      <c r="N925" s="27">
        <f>IFERROR(INDEX(Cost_Components!$P$2:$P$27,MATCH(E925,Cost_Components!$A$2:$A$27,0)),"")</f>
        <v>35.362648999999998</v>
      </c>
      <c r="O925" s="21">
        <f t="shared" si="141"/>
        <v>597058.73395917902</v>
      </c>
      <c r="P925" s="21">
        <f t="shared" si="142"/>
        <v>620827.87243751495</v>
      </c>
      <c r="Q925" s="21">
        <f t="shared" si="143"/>
        <v>6805776.6241516294</v>
      </c>
      <c r="R925" s="21">
        <f t="shared" si="144"/>
        <v>12115945.782516608</v>
      </c>
      <c r="S925" s="21">
        <f t="shared" si="145"/>
        <v>5310169.1583649786</v>
      </c>
      <c r="T925" s="14">
        <f>IFERROR(INDEX(Cost_Components!$R$2:$R$27,MATCH(E925,Cost_Components!$A$2:$A$27,0)),"")</f>
        <v>1</v>
      </c>
      <c r="U925" s="24">
        <f>IFERROR(INDEX(Cost_Components!$Q$2:$Q$27,MATCH(E925,Cost_Components!$A$2:$A$27,0)),"")</f>
        <v>2023</v>
      </c>
      <c r="V925" s="28">
        <f>1/(1+Calculation_Assumptions!$B$5)^(B925-Calculation_Assumptions!$B$2)</f>
        <v>0.68095133999317792</v>
      </c>
      <c r="W925" s="21">
        <f t="shared" si="146"/>
        <v>4634402.711910299</v>
      </c>
      <c r="X925" s="21">
        <f t="shared" si="147"/>
        <v>8250369.5158893764</v>
      </c>
      <c r="Y925" s="21">
        <f t="shared" si="148"/>
        <v>3615966.8039790778</v>
      </c>
      <c r="Z925" s="15">
        <f>IFERROR(INDEX(Cost_Components!$T$2:$T$27,MATCH(E925,Cost_Components!$A$2:$A$27,0)),"")</f>
        <v>0.8</v>
      </c>
      <c r="AA925" s="24">
        <f>IFERROR(INDEX(Cost_Components!$U$2:$U$27,MATCH(E925,Cost_Components!$A$2:$A$27,0)),"")</f>
        <v>2025</v>
      </c>
      <c r="AB925" s="24">
        <f>IFERROR(INDEX(Cost_Components!$V$2:$V$27,MATCH(E925,Cost_Components!$A$2:$A$27,0)),"")</f>
        <v>2050</v>
      </c>
      <c r="AC925" s="24">
        <f>IFERROR(INDEX(Cost_Components!$M$2:$M$27,MATCH(E925,Cost_Components!$A$2:$A$27,0)),"")</f>
        <v>30</v>
      </c>
      <c r="AD925" s="24">
        <f>IFERROR(INDEX(Cost_Components!$N$2:$N$27,MATCH(E925,Cost_Components!$A$2:$A$27,0)),"")</f>
        <v>95</v>
      </c>
      <c r="AE925" s="14" t="str">
        <f>IFERROR(INDEX(Cost_Components!$O$2:$O$27,MATCH(E925,Cost_Components!$A$2:$A$27,0)),"")</f>
        <v>Both</v>
      </c>
      <c r="AF925" s="11">
        <v>597058.73395917902</v>
      </c>
      <c r="AG925" s="11">
        <v>620827.87243751495</v>
      </c>
      <c r="AH925" s="21">
        <f t="shared" si="149"/>
        <v>1</v>
      </c>
    </row>
    <row r="926" spans="1:34" hidden="1">
      <c r="A926" t="s">
        <v>75</v>
      </c>
      <c r="B926" s="18">
        <v>2039</v>
      </c>
      <c r="C926" t="s">
        <v>197</v>
      </c>
      <c r="D926" t="s">
        <v>163</v>
      </c>
      <c r="E926" s="20" t="s">
        <v>280</v>
      </c>
      <c r="F926" s="20" t="s">
        <v>281</v>
      </c>
      <c r="G926" s="20" t="s">
        <v>200</v>
      </c>
      <c r="H926" s="20" t="s">
        <v>192</v>
      </c>
      <c r="I926" s="20" t="s">
        <v>264</v>
      </c>
      <c r="J926" s="15">
        <f>IFERROR(INDEX(Cost_Components!$K$2:$K$27,MATCH(E926,Cost_Components!$A$2:$A$27,0)),"")</f>
        <v>1</v>
      </c>
      <c r="K926" s="15">
        <f t="shared" si="140"/>
        <v>0.59269230769230763</v>
      </c>
      <c r="L926" s="15">
        <f>IFERROR(INDEX(Cost_Components!$S$2:$S$27,MATCH(E926,Cost_Components!$A$2:$A$27,0)),"")</f>
        <v>0.31</v>
      </c>
      <c r="M926" s="26">
        <f>IFERROR(INDEX(Cost_Components!$L$2:$L$27,MATCH(E926,Cost_Components!$A$2:$A$27,0)),"")</f>
        <v>1</v>
      </c>
      <c r="N926" s="27">
        <f>IFERROR(INDEX(Cost_Components!$P$2:$P$27,MATCH(E926,Cost_Components!$A$2:$A$27,0)),"")</f>
        <v>35.362648999999998</v>
      </c>
      <c r="O926" s="21">
        <f t="shared" si="141"/>
        <v>609486.650281301</v>
      </c>
      <c r="P926" s="21">
        <f t="shared" si="142"/>
        <v>635942.43695767794</v>
      </c>
      <c r="Q926" s="21">
        <f t="shared" si="143"/>
        <v>6971468.846525087</v>
      </c>
      <c r="R926" s="21">
        <f t="shared" si="144"/>
        <v>12774334.34152789</v>
      </c>
      <c r="S926" s="21">
        <f t="shared" si="145"/>
        <v>5802865.4950028034</v>
      </c>
      <c r="T926" s="14">
        <f>IFERROR(INDEX(Cost_Components!$R$2:$R$27,MATCH(E926,Cost_Components!$A$2:$A$27,0)),"")</f>
        <v>1</v>
      </c>
      <c r="U926" s="24">
        <f>IFERROR(INDEX(Cost_Components!$Q$2:$Q$27,MATCH(E926,Cost_Components!$A$2:$A$27,0)),"")</f>
        <v>2023</v>
      </c>
      <c r="V926" s="28">
        <f>1/(1+Calculation_Assumptions!$B$5)^(B926-Calculation_Assumptions!$B$2)</f>
        <v>0.66111780581861923</v>
      </c>
      <c r="W926" s="21">
        <f t="shared" si="146"/>
        <v>4608962.1871475261</v>
      </c>
      <c r="X926" s="21">
        <f t="shared" si="147"/>
        <v>8445339.8906643558</v>
      </c>
      <c r="Y926" s="21">
        <f t="shared" si="148"/>
        <v>3836377.7035168293</v>
      </c>
      <c r="Z926" s="15">
        <f>IFERROR(INDEX(Cost_Components!$T$2:$T$27,MATCH(E926,Cost_Components!$A$2:$A$27,0)),"")</f>
        <v>0.8</v>
      </c>
      <c r="AA926" s="24">
        <f>IFERROR(INDEX(Cost_Components!$U$2:$U$27,MATCH(E926,Cost_Components!$A$2:$A$27,0)),"")</f>
        <v>2025</v>
      </c>
      <c r="AB926" s="24">
        <f>IFERROR(INDEX(Cost_Components!$V$2:$V$27,MATCH(E926,Cost_Components!$A$2:$A$27,0)),"")</f>
        <v>2050</v>
      </c>
      <c r="AC926" s="24">
        <f>IFERROR(INDEX(Cost_Components!$M$2:$M$27,MATCH(E926,Cost_Components!$A$2:$A$27,0)),"")</f>
        <v>30</v>
      </c>
      <c r="AD926" s="24">
        <f>IFERROR(INDEX(Cost_Components!$N$2:$N$27,MATCH(E926,Cost_Components!$A$2:$A$27,0)),"")</f>
        <v>95</v>
      </c>
      <c r="AE926" s="14" t="str">
        <f>IFERROR(INDEX(Cost_Components!$O$2:$O$27,MATCH(E926,Cost_Components!$A$2:$A$27,0)),"")</f>
        <v>Both</v>
      </c>
      <c r="AF926" s="11">
        <v>609486.650281301</v>
      </c>
      <c r="AG926" s="11">
        <v>635942.43695767794</v>
      </c>
      <c r="AH926" s="21">
        <f t="shared" si="149"/>
        <v>1</v>
      </c>
    </row>
    <row r="927" spans="1:34" hidden="1">
      <c r="A927" t="s">
        <v>75</v>
      </c>
      <c r="B927" s="18">
        <v>2040</v>
      </c>
      <c r="C927" t="s">
        <v>197</v>
      </c>
      <c r="D927" t="s">
        <v>163</v>
      </c>
      <c r="E927" s="20" t="s">
        <v>280</v>
      </c>
      <c r="F927" s="20" t="s">
        <v>281</v>
      </c>
      <c r="G927" s="20" t="s">
        <v>200</v>
      </c>
      <c r="H927" s="20" t="s">
        <v>192</v>
      </c>
      <c r="I927" s="20" t="s">
        <v>264</v>
      </c>
      <c r="J927" s="15">
        <f>IFERROR(INDEX(Cost_Components!$K$2:$K$27,MATCH(E927,Cost_Components!$A$2:$A$27,0)),"")</f>
        <v>1</v>
      </c>
      <c r="K927" s="15">
        <f t="shared" si="140"/>
        <v>0.61153846153846159</v>
      </c>
      <c r="L927" s="15">
        <f>IFERROR(INDEX(Cost_Components!$S$2:$S$27,MATCH(E927,Cost_Components!$A$2:$A$27,0)),"")</f>
        <v>0.31</v>
      </c>
      <c r="M927" s="26">
        <f>IFERROR(INDEX(Cost_Components!$L$2:$L$27,MATCH(E927,Cost_Components!$A$2:$A$27,0)),"")</f>
        <v>1</v>
      </c>
      <c r="N927" s="27">
        <f>IFERROR(INDEX(Cost_Components!$P$2:$P$27,MATCH(E927,Cost_Components!$A$2:$A$27,0)),"")</f>
        <v>35.362648999999998</v>
      </c>
      <c r="O927" s="21">
        <f t="shared" si="141"/>
        <v>621791.22319448995</v>
      </c>
      <c r="P927" s="21">
        <f t="shared" si="142"/>
        <v>650996.15624901897</v>
      </c>
      <c r="Q927" s="21">
        <f t="shared" si="143"/>
        <v>7136494.0578727955</v>
      </c>
      <c r="R927" s="21">
        <f t="shared" si="144"/>
        <v>13446620.690615684</v>
      </c>
      <c r="S927" s="21">
        <f t="shared" si="145"/>
        <v>6310126.6327428883</v>
      </c>
      <c r="T927" s="14">
        <f>IFERROR(INDEX(Cost_Components!$R$2:$R$27,MATCH(E927,Cost_Components!$A$2:$A$27,0)),"")</f>
        <v>1</v>
      </c>
      <c r="U927" s="24">
        <f>IFERROR(INDEX(Cost_Components!$Q$2:$Q$27,MATCH(E927,Cost_Components!$A$2:$A$27,0)),"")</f>
        <v>2023</v>
      </c>
      <c r="V927" s="28">
        <f>1/(1+Calculation_Assumptions!$B$5)^(B927-Calculation_Assumptions!$B$2)</f>
        <v>0.64186194739671765</v>
      </c>
      <c r="W927" s="21">
        <f t="shared" si="146"/>
        <v>4580643.9735713359</v>
      </c>
      <c r="X927" s="21">
        <f t="shared" si="147"/>
        <v>8630874.1423835792</v>
      </c>
      <c r="Y927" s="21">
        <f t="shared" si="148"/>
        <v>4050230.1688122428</v>
      </c>
      <c r="Z927" s="15">
        <f>IFERROR(INDEX(Cost_Components!$T$2:$T$27,MATCH(E927,Cost_Components!$A$2:$A$27,0)),"")</f>
        <v>0.8</v>
      </c>
      <c r="AA927" s="24">
        <f>IFERROR(INDEX(Cost_Components!$U$2:$U$27,MATCH(E927,Cost_Components!$A$2:$A$27,0)),"")</f>
        <v>2025</v>
      </c>
      <c r="AB927" s="24">
        <f>IFERROR(INDEX(Cost_Components!$V$2:$V$27,MATCH(E927,Cost_Components!$A$2:$A$27,0)),"")</f>
        <v>2050</v>
      </c>
      <c r="AC927" s="24">
        <f>IFERROR(INDEX(Cost_Components!$M$2:$M$27,MATCH(E927,Cost_Components!$A$2:$A$27,0)),"")</f>
        <v>30</v>
      </c>
      <c r="AD927" s="24">
        <f>IFERROR(INDEX(Cost_Components!$N$2:$N$27,MATCH(E927,Cost_Components!$A$2:$A$27,0)),"")</f>
        <v>95</v>
      </c>
      <c r="AE927" s="14" t="str">
        <f>IFERROR(INDEX(Cost_Components!$O$2:$O$27,MATCH(E927,Cost_Components!$A$2:$A$27,0)),"")</f>
        <v>Both</v>
      </c>
      <c r="AF927" s="11">
        <v>621791.22319448995</v>
      </c>
      <c r="AG927" s="11">
        <v>650996.15624901897</v>
      </c>
      <c r="AH927" s="21">
        <f t="shared" si="149"/>
        <v>1</v>
      </c>
    </row>
    <row r="928" spans="1:34" hidden="1">
      <c r="A928" t="s">
        <v>75</v>
      </c>
      <c r="B928" s="18">
        <v>2041</v>
      </c>
      <c r="C928" t="s">
        <v>197</v>
      </c>
      <c r="D928" t="s">
        <v>163</v>
      </c>
      <c r="E928" s="20" t="s">
        <v>280</v>
      </c>
      <c r="F928" s="20" t="s">
        <v>281</v>
      </c>
      <c r="G928" s="20" t="s">
        <v>200</v>
      </c>
      <c r="H928" s="20" t="s">
        <v>192</v>
      </c>
      <c r="I928" s="20" t="s">
        <v>264</v>
      </c>
      <c r="J928" s="15">
        <f>IFERROR(INDEX(Cost_Components!$K$2:$K$27,MATCH(E928,Cost_Components!$A$2:$A$27,0)),"")</f>
        <v>1</v>
      </c>
      <c r="K928" s="15">
        <f t="shared" si="140"/>
        <v>0.63038461538461543</v>
      </c>
      <c r="L928" s="15">
        <f>IFERROR(INDEX(Cost_Components!$S$2:$S$27,MATCH(E928,Cost_Components!$A$2:$A$27,0)),"")</f>
        <v>0.31</v>
      </c>
      <c r="M928" s="26">
        <f>IFERROR(INDEX(Cost_Components!$L$2:$L$27,MATCH(E928,Cost_Components!$A$2:$A$27,0)),"")</f>
        <v>1</v>
      </c>
      <c r="N928" s="27">
        <f>IFERROR(INDEX(Cost_Components!$P$2:$P$27,MATCH(E928,Cost_Components!$A$2:$A$27,0)),"")</f>
        <v>35.362648999999998</v>
      </c>
      <c r="O928" s="21">
        <f t="shared" si="141"/>
        <v>633981.56787891896</v>
      </c>
      <c r="P928" s="21">
        <f t="shared" si="142"/>
        <v>665986.22254572494</v>
      </c>
      <c r="Q928" s="21">
        <f t="shared" si="143"/>
        <v>7300821.4782833103</v>
      </c>
      <c r="R928" s="21">
        <f t="shared" si="144"/>
        <v>14132761.419397123</v>
      </c>
      <c r="S928" s="21">
        <f t="shared" si="145"/>
        <v>6831939.9411138128</v>
      </c>
      <c r="T928" s="14">
        <f>IFERROR(INDEX(Cost_Components!$R$2:$R$27,MATCH(E928,Cost_Components!$A$2:$A$27,0)),"")</f>
        <v>1</v>
      </c>
      <c r="U928" s="24">
        <f>IFERROR(INDEX(Cost_Components!$Q$2:$Q$27,MATCH(E928,Cost_Components!$A$2:$A$27,0)),"")</f>
        <v>2023</v>
      </c>
      <c r="V928" s="28">
        <f>1/(1+Calculation_Assumptions!$B$5)^(B928-Calculation_Assumptions!$B$2)</f>
        <v>0.62316693922011435</v>
      </c>
      <c r="W928" s="21">
        <f t="shared" si="146"/>
        <v>4549630.5744142812</v>
      </c>
      <c r="X928" s="21">
        <f t="shared" si="147"/>
        <v>8807069.6764538232</v>
      </c>
      <c r="Y928" s="21">
        <f t="shared" si="148"/>
        <v>4257439.102039543</v>
      </c>
      <c r="Z928" s="15">
        <f>IFERROR(INDEX(Cost_Components!$T$2:$T$27,MATCH(E928,Cost_Components!$A$2:$A$27,0)),"")</f>
        <v>0.8</v>
      </c>
      <c r="AA928" s="24">
        <f>IFERROR(INDEX(Cost_Components!$U$2:$U$27,MATCH(E928,Cost_Components!$A$2:$A$27,0)),"")</f>
        <v>2025</v>
      </c>
      <c r="AB928" s="24">
        <f>IFERROR(INDEX(Cost_Components!$V$2:$V$27,MATCH(E928,Cost_Components!$A$2:$A$27,0)),"")</f>
        <v>2050</v>
      </c>
      <c r="AC928" s="24">
        <f>IFERROR(INDEX(Cost_Components!$M$2:$M$27,MATCH(E928,Cost_Components!$A$2:$A$27,0)),"")</f>
        <v>30</v>
      </c>
      <c r="AD928" s="24">
        <f>IFERROR(INDEX(Cost_Components!$N$2:$N$27,MATCH(E928,Cost_Components!$A$2:$A$27,0)),"")</f>
        <v>95</v>
      </c>
      <c r="AE928" s="14" t="str">
        <f>IFERROR(INDEX(Cost_Components!$O$2:$O$27,MATCH(E928,Cost_Components!$A$2:$A$27,0)),"")</f>
        <v>Both</v>
      </c>
      <c r="AF928" s="11">
        <v>633981.56787891896</v>
      </c>
      <c r="AG928" s="11">
        <v>665986.22254572494</v>
      </c>
      <c r="AH928" s="21">
        <f t="shared" si="149"/>
        <v>1</v>
      </c>
    </row>
    <row r="929" spans="1:34" hidden="1">
      <c r="A929" t="s">
        <v>75</v>
      </c>
      <c r="B929" s="18">
        <v>2042</v>
      </c>
      <c r="C929" t="s">
        <v>197</v>
      </c>
      <c r="D929" t="s">
        <v>163</v>
      </c>
      <c r="E929" s="20" t="s">
        <v>280</v>
      </c>
      <c r="F929" s="20" t="s">
        <v>281</v>
      </c>
      <c r="G929" s="20" t="s">
        <v>200</v>
      </c>
      <c r="H929" s="20" t="s">
        <v>192</v>
      </c>
      <c r="I929" s="20" t="s">
        <v>264</v>
      </c>
      <c r="J929" s="15">
        <f>IFERROR(INDEX(Cost_Components!$K$2:$K$27,MATCH(E929,Cost_Components!$A$2:$A$27,0)),"")</f>
        <v>1</v>
      </c>
      <c r="K929" s="15">
        <f t="shared" si="140"/>
        <v>0.64923076923076928</v>
      </c>
      <c r="L929" s="15">
        <f>IFERROR(INDEX(Cost_Components!$S$2:$S$27,MATCH(E929,Cost_Components!$A$2:$A$27,0)),"")</f>
        <v>0.31</v>
      </c>
      <c r="M929" s="26">
        <f>IFERROR(INDEX(Cost_Components!$L$2:$L$27,MATCH(E929,Cost_Components!$A$2:$A$27,0)),"")</f>
        <v>1</v>
      </c>
      <c r="N929" s="27">
        <f>IFERROR(INDEX(Cost_Components!$P$2:$P$27,MATCH(E929,Cost_Components!$A$2:$A$27,0)),"")</f>
        <v>35.362648999999998</v>
      </c>
      <c r="O929" s="21">
        <f t="shared" si="141"/>
        <v>646055.53425876505</v>
      </c>
      <c r="P929" s="21">
        <f t="shared" si="142"/>
        <v>680896.42979972903</v>
      </c>
      <c r="Q929" s="21">
        <f t="shared" si="143"/>
        <v>7464273.4502318967</v>
      </c>
      <c r="R929" s="21">
        <f t="shared" si="144"/>
        <v>14832478.78313089</v>
      </c>
      <c r="S929" s="21">
        <f t="shared" si="145"/>
        <v>7368205.332898993</v>
      </c>
      <c r="T929" s="14">
        <f>IFERROR(INDEX(Cost_Components!$R$2:$R$27,MATCH(E929,Cost_Components!$A$2:$A$27,0)),"")</f>
        <v>1</v>
      </c>
      <c r="U929" s="24">
        <f>IFERROR(INDEX(Cost_Components!$Q$2:$Q$27,MATCH(E929,Cost_Components!$A$2:$A$27,0)),"")</f>
        <v>2023</v>
      </c>
      <c r="V929" s="28">
        <f>1/(1+Calculation_Assumptions!$B$5)^(B929-Calculation_Assumptions!$B$2)</f>
        <v>0.60501644584477121</v>
      </c>
      <c r="W929" s="21">
        <f t="shared" si="146"/>
        <v>4516008.1936727902</v>
      </c>
      <c r="X929" s="21">
        <f t="shared" si="147"/>
        <v>8973893.5964378286</v>
      </c>
      <c r="Y929" s="21">
        <f t="shared" si="148"/>
        <v>4457885.4027650384</v>
      </c>
      <c r="Z929" s="15">
        <f>IFERROR(INDEX(Cost_Components!$T$2:$T$27,MATCH(E929,Cost_Components!$A$2:$A$27,0)),"")</f>
        <v>0.8</v>
      </c>
      <c r="AA929" s="24">
        <f>IFERROR(INDEX(Cost_Components!$U$2:$U$27,MATCH(E929,Cost_Components!$A$2:$A$27,0)),"")</f>
        <v>2025</v>
      </c>
      <c r="AB929" s="24">
        <f>IFERROR(INDEX(Cost_Components!$V$2:$V$27,MATCH(E929,Cost_Components!$A$2:$A$27,0)),"")</f>
        <v>2050</v>
      </c>
      <c r="AC929" s="24">
        <f>IFERROR(INDEX(Cost_Components!$M$2:$M$27,MATCH(E929,Cost_Components!$A$2:$A$27,0)),"")</f>
        <v>30</v>
      </c>
      <c r="AD929" s="24">
        <f>IFERROR(INDEX(Cost_Components!$N$2:$N$27,MATCH(E929,Cost_Components!$A$2:$A$27,0)),"")</f>
        <v>95</v>
      </c>
      <c r="AE929" s="14" t="str">
        <f>IFERROR(INDEX(Cost_Components!$O$2:$O$27,MATCH(E929,Cost_Components!$A$2:$A$27,0)),"")</f>
        <v>Both</v>
      </c>
      <c r="AF929" s="11">
        <v>646055.53425876505</v>
      </c>
      <c r="AG929" s="11">
        <v>680896.42979972903</v>
      </c>
      <c r="AH929" s="21">
        <f t="shared" si="149"/>
        <v>1</v>
      </c>
    </row>
    <row r="930" spans="1:34" hidden="1">
      <c r="A930" t="s">
        <v>75</v>
      </c>
      <c r="B930" s="18">
        <v>2043</v>
      </c>
      <c r="C930" t="s">
        <v>197</v>
      </c>
      <c r="D930" t="s">
        <v>163</v>
      </c>
      <c r="E930" s="20" t="s">
        <v>280</v>
      </c>
      <c r="F930" s="20" t="s">
        <v>281</v>
      </c>
      <c r="G930" s="20" t="s">
        <v>200</v>
      </c>
      <c r="H930" s="20" t="s">
        <v>192</v>
      </c>
      <c r="I930" s="20" t="s">
        <v>264</v>
      </c>
      <c r="J930" s="15">
        <f>IFERROR(INDEX(Cost_Components!$K$2:$K$27,MATCH(E930,Cost_Components!$A$2:$A$27,0)),"")</f>
        <v>1</v>
      </c>
      <c r="K930" s="15">
        <f t="shared" si="140"/>
        <v>0.66807692307692301</v>
      </c>
      <c r="L930" s="15">
        <f>IFERROR(INDEX(Cost_Components!$S$2:$S$27,MATCH(E930,Cost_Components!$A$2:$A$27,0)),"")</f>
        <v>0.31</v>
      </c>
      <c r="M930" s="26">
        <f>IFERROR(INDEX(Cost_Components!$L$2:$L$27,MATCH(E930,Cost_Components!$A$2:$A$27,0)),"")</f>
        <v>1</v>
      </c>
      <c r="N930" s="27">
        <f>IFERROR(INDEX(Cost_Components!$P$2:$P$27,MATCH(E930,Cost_Components!$A$2:$A$27,0)),"")</f>
        <v>35.362648999999998</v>
      </c>
      <c r="O930" s="21">
        <f t="shared" si="141"/>
        <v>657978.73371763399</v>
      </c>
      <c r="P930" s="21">
        <f t="shared" si="142"/>
        <v>695680.28053418302</v>
      </c>
      <c r="Q930" s="21">
        <f t="shared" si="143"/>
        <v>7626340.2487930721</v>
      </c>
      <c r="R930" s="21">
        <f t="shared" si="144"/>
        <v>15544727.670858862</v>
      </c>
      <c r="S930" s="21">
        <f t="shared" si="145"/>
        <v>7918387.4220657898</v>
      </c>
      <c r="T930" s="14">
        <f>IFERROR(INDEX(Cost_Components!$R$2:$R$27,MATCH(E930,Cost_Components!$A$2:$A$27,0)),"")</f>
        <v>1</v>
      </c>
      <c r="U930" s="24">
        <f>IFERROR(INDEX(Cost_Components!$Q$2:$Q$27,MATCH(E930,Cost_Components!$A$2:$A$27,0)),"")</f>
        <v>2023</v>
      </c>
      <c r="V930" s="28">
        <f>1/(1+Calculation_Assumptions!$B$5)^(B930-Calculation_Assumptions!$B$2)</f>
        <v>0.5873946076162827</v>
      </c>
      <c r="W930" s="21">
        <f t="shared" si="146"/>
        <v>4479671.13798807</v>
      </c>
      <c r="X930" s="21">
        <f t="shared" si="147"/>
        <v>9130889.210726114</v>
      </c>
      <c r="Y930" s="21">
        <f t="shared" si="148"/>
        <v>4651218.072738043</v>
      </c>
      <c r="Z930" s="15">
        <f>IFERROR(INDEX(Cost_Components!$T$2:$T$27,MATCH(E930,Cost_Components!$A$2:$A$27,0)),"")</f>
        <v>0.8</v>
      </c>
      <c r="AA930" s="24">
        <f>IFERROR(INDEX(Cost_Components!$U$2:$U$27,MATCH(E930,Cost_Components!$A$2:$A$27,0)),"")</f>
        <v>2025</v>
      </c>
      <c r="AB930" s="24">
        <f>IFERROR(INDEX(Cost_Components!$V$2:$V$27,MATCH(E930,Cost_Components!$A$2:$A$27,0)),"")</f>
        <v>2050</v>
      </c>
      <c r="AC930" s="24">
        <f>IFERROR(INDEX(Cost_Components!$M$2:$M$27,MATCH(E930,Cost_Components!$A$2:$A$27,0)),"")</f>
        <v>30</v>
      </c>
      <c r="AD930" s="24">
        <f>IFERROR(INDEX(Cost_Components!$N$2:$N$27,MATCH(E930,Cost_Components!$A$2:$A$27,0)),"")</f>
        <v>95</v>
      </c>
      <c r="AE930" s="14" t="str">
        <f>IFERROR(INDEX(Cost_Components!$O$2:$O$27,MATCH(E930,Cost_Components!$A$2:$A$27,0)),"")</f>
        <v>Both</v>
      </c>
      <c r="AF930" s="11">
        <v>657978.73371763399</v>
      </c>
      <c r="AG930" s="11">
        <v>695680.28053418302</v>
      </c>
      <c r="AH930" s="21">
        <f t="shared" si="149"/>
        <v>1</v>
      </c>
    </row>
    <row r="931" spans="1:34" hidden="1">
      <c r="A931" t="s">
        <v>75</v>
      </c>
      <c r="B931" s="18">
        <v>2044</v>
      </c>
      <c r="C931" t="s">
        <v>197</v>
      </c>
      <c r="D931" t="s">
        <v>163</v>
      </c>
      <c r="E931" s="20" t="s">
        <v>280</v>
      </c>
      <c r="F931" s="20" t="s">
        <v>281</v>
      </c>
      <c r="G931" s="20" t="s">
        <v>200</v>
      </c>
      <c r="H931" s="20" t="s">
        <v>192</v>
      </c>
      <c r="I931" s="20" t="s">
        <v>264</v>
      </c>
      <c r="J931" s="15">
        <f>IFERROR(INDEX(Cost_Components!$K$2:$K$27,MATCH(E931,Cost_Components!$A$2:$A$27,0)),"")</f>
        <v>1</v>
      </c>
      <c r="K931" s="15">
        <f t="shared" si="140"/>
        <v>0.68692307692307697</v>
      </c>
      <c r="L931" s="15">
        <f>IFERROR(INDEX(Cost_Components!$S$2:$S$27,MATCH(E931,Cost_Components!$A$2:$A$27,0)),"")</f>
        <v>0.31</v>
      </c>
      <c r="M931" s="26">
        <f>IFERROR(INDEX(Cost_Components!$L$2:$L$27,MATCH(E931,Cost_Components!$A$2:$A$27,0)),"")</f>
        <v>1</v>
      </c>
      <c r="N931" s="27">
        <f>IFERROR(INDEX(Cost_Components!$P$2:$P$27,MATCH(E931,Cost_Components!$A$2:$A$27,0)),"")</f>
        <v>35.362648999999998</v>
      </c>
      <c r="O931" s="21">
        <f t="shared" si="141"/>
        <v>669716.08604152105</v>
      </c>
      <c r="P931" s="21">
        <f t="shared" si="142"/>
        <v>710291.427788042</v>
      </c>
      <c r="Q931" s="21">
        <f t="shared" si="143"/>
        <v>7786513.7990589859</v>
      </c>
      <c r="R931" s="21">
        <f t="shared" si="144"/>
        <v>16268354.498572089</v>
      </c>
      <c r="S931" s="21">
        <f t="shared" si="145"/>
        <v>8481840.6995131038</v>
      </c>
      <c r="T931" s="14">
        <f>IFERROR(INDEX(Cost_Components!$R$2:$R$27,MATCH(E931,Cost_Components!$A$2:$A$27,0)),"")</f>
        <v>1</v>
      </c>
      <c r="U931" s="24">
        <f>IFERROR(INDEX(Cost_Components!$Q$2:$Q$27,MATCH(E931,Cost_Components!$A$2:$A$27,0)),"")</f>
        <v>2023</v>
      </c>
      <c r="V931" s="28">
        <f>1/(1+Calculation_Assumptions!$B$5)^(B931-Calculation_Assumptions!$B$2)</f>
        <v>0.57028602681192497</v>
      </c>
      <c r="W931" s="21">
        <f t="shared" si="146"/>
        <v>4440540.0171815762</v>
      </c>
      <c r="X931" s="21">
        <f t="shared" si="147"/>
        <v>9277615.2497585826</v>
      </c>
      <c r="Y931" s="21">
        <f t="shared" si="148"/>
        <v>4837075.2325770063</v>
      </c>
      <c r="Z931" s="15">
        <f>IFERROR(INDEX(Cost_Components!$T$2:$T$27,MATCH(E931,Cost_Components!$A$2:$A$27,0)),"")</f>
        <v>0.8</v>
      </c>
      <c r="AA931" s="24">
        <f>IFERROR(INDEX(Cost_Components!$U$2:$U$27,MATCH(E931,Cost_Components!$A$2:$A$27,0)),"")</f>
        <v>2025</v>
      </c>
      <c r="AB931" s="24">
        <f>IFERROR(INDEX(Cost_Components!$V$2:$V$27,MATCH(E931,Cost_Components!$A$2:$A$27,0)),"")</f>
        <v>2050</v>
      </c>
      <c r="AC931" s="24">
        <f>IFERROR(INDEX(Cost_Components!$M$2:$M$27,MATCH(E931,Cost_Components!$A$2:$A$27,0)),"")</f>
        <v>30</v>
      </c>
      <c r="AD931" s="24">
        <f>IFERROR(INDEX(Cost_Components!$N$2:$N$27,MATCH(E931,Cost_Components!$A$2:$A$27,0)),"")</f>
        <v>95</v>
      </c>
      <c r="AE931" s="14" t="str">
        <f>IFERROR(INDEX(Cost_Components!$O$2:$O$27,MATCH(E931,Cost_Components!$A$2:$A$27,0)),"")</f>
        <v>Both</v>
      </c>
      <c r="AF931" s="11">
        <v>669716.08604152105</v>
      </c>
      <c r="AG931" s="11">
        <v>710291.427788042</v>
      </c>
      <c r="AH931" s="21">
        <f t="shared" si="149"/>
        <v>1</v>
      </c>
    </row>
    <row r="932" spans="1:34" hidden="1">
      <c r="A932" t="s">
        <v>75</v>
      </c>
      <c r="B932" s="18">
        <v>2045</v>
      </c>
      <c r="C932" t="s">
        <v>197</v>
      </c>
      <c r="D932" t="s">
        <v>163</v>
      </c>
      <c r="E932" s="20" t="s">
        <v>280</v>
      </c>
      <c r="F932" s="20" t="s">
        <v>281</v>
      </c>
      <c r="G932" s="20" t="s">
        <v>200</v>
      </c>
      <c r="H932" s="20" t="s">
        <v>192</v>
      </c>
      <c r="I932" s="20" t="s">
        <v>264</v>
      </c>
      <c r="J932" s="15">
        <f>IFERROR(INDEX(Cost_Components!$K$2:$K$27,MATCH(E932,Cost_Components!$A$2:$A$27,0)),"")</f>
        <v>1</v>
      </c>
      <c r="K932" s="15">
        <f t="shared" si="140"/>
        <v>0.70576923076923082</v>
      </c>
      <c r="L932" s="15">
        <f>IFERROR(INDEX(Cost_Components!$S$2:$S$27,MATCH(E932,Cost_Components!$A$2:$A$27,0)),"")</f>
        <v>0.31</v>
      </c>
      <c r="M932" s="26">
        <f>IFERROR(INDEX(Cost_Components!$L$2:$L$27,MATCH(E932,Cost_Components!$A$2:$A$27,0)),"")</f>
        <v>1</v>
      </c>
      <c r="N932" s="27">
        <f>IFERROR(INDEX(Cost_Components!$P$2:$P$27,MATCH(E932,Cost_Components!$A$2:$A$27,0)),"")</f>
        <v>35.362648999999998</v>
      </c>
      <c r="O932" s="21">
        <f t="shared" si="141"/>
        <v>681214.53037879895</v>
      </c>
      <c r="P932" s="21">
        <f t="shared" si="142"/>
        <v>724661.40483491705</v>
      </c>
      <c r="Q932" s="21">
        <f t="shared" si="143"/>
        <v>7944043.5399374627</v>
      </c>
      <c r="R932" s="21">
        <f t="shared" si="144"/>
        <v>17001663.407029051</v>
      </c>
      <c r="S932" s="21">
        <f t="shared" si="145"/>
        <v>9057619.8670915887</v>
      </c>
      <c r="T932" s="14">
        <f>IFERROR(INDEX(Cost_Components!$R$2:$R$27,MATCH(E932,Cost_Components!$A$2:$A$27,0)),"")</f>
        <v>1</v>
      </c>
      <c r="U932" s="24">
        <f>IFERROR(INDEX(Cost_Components!$Q$2:$Q$27,MATCH(E932,Cost_Components!$A$2:$A$27,0)),"")</f>
        <v>2023</v>
      </c>
      <c r="V932" s="28">
        <f>1/(1+Calculation_Assumptions!$B$5)^(B932-Calculation_Assumptions!$B$2)</f>
        <v>0.55367575418633497</v>
      </c>
      <c r="W932" s="21">
        <f t="shared" si="146"/>
        <v>4398424.2982639568</v>
      </c>
      <c r="X932" s="21">
        <f t="shared" si="147"/>
        <v>9413408.8093090225</v>
      </c>
      <c r="Y932" s="21">
        <f t="shared" si="148"/>
        <v>5014984.5110450666</v>
      </c>
      <c r="Z932" s="15">
        <f>IFERROR(INDEX(Cost_Components!$T$2:$T$27,MATCH(E932,Cost_Components!$A$2:$A$27,0)),"")</f>
        <v>0.8</v>
      </c>
      <c r="AA932" s="24">
        <f>IFERROR(INDEX(Cost_Components!$U$2:$U$27,MATCH(E932,Cost_Components!$A$2:$A$27,0)),"")</f>
        <v>2025</v>
      </c>
      <c r="AB932" s="24">
        <f>IFERROR(INDEX(Cost_Components!$V$2:$V$27,MATCH(E932,Cost_Components!$A$2:$A$27,0)),"")</f>
        <v>2050</v>
      </c>
      <c r="AC932" s="24">
        <f>IFERROR(INDEX(Cost_Components!$M$2:$M$27,MATCH(E932,Cost_Components!$A$2:$A$27,0)),"")</f>
        <v>30</v>
      </c>
      <c r="AD932" s="24">
        <f>IFERROR(INDEX(Cost_Components!$N$2:$N$27,MATCH(E932,Cost_Components!$A$2:$A$27,0)),"")</f>
        <v>95</v>
      </c>
      <c r="AE932" s="14" t="str">
        <f>IFERROR(INDEX(Cost_Components!$O$2:$O$27,MATCH(E932,Cost_Components!$A$2:$A$27,0)),"")</f>
        <v>Both</v>
      </c>
      <c r="AF932" s="11">
        <v>681214.53037879895</v>
      </c>
      <c r="AG932" s="11">
        <v>724661.40483491705</v>
      </c>
      <c r="AH932" s="21">
        <f t="shared" si="149"/>
        <v>1</v>
      </c>
    </row>
    <row r="933" spans="1:34" hidden="1">
      <c r="A933" t="s">
        <v>75</v>
      </c>
      <c r="B933" s="18">
        <v>2046</v>
      </c>
      <c r="C933" t="s">
        <v>197</v>
      </c>
      <c r="D933" t="s">
        <v>163</v>
      </c>
      <c r="E933" s="20" t="s">
        <v>280</v>
      </c>
      <c r="F933" s="20" t="s">
        <v>281</v>
      </c>
      <c r="G933" s="20" t="s">
        <v>200</v>
      </c>
      <c r="H933" s="20" t="s">
        <v>192</v>
      </c>
      <c r="I933" s="20" t="s">
        <v>264</v>
      </c>
      <c r="J933" s="15">
        <f>IFERROR(INDEX(Cost_Components!$K$2:$K$27,MATCH(E933,Cost_Components!$A$2:$A$27,0)),"")</f>
        <v>1</v>
      </c>
      <c r="K933" s="15">
        <f t="shared" si="140"/>
        <v>0.72461538461538466</v>
      </c>
      <c r="L933" s="15">
        <f>IFERROR(INDEX(Cost_Components!$S$2:$S$27,MATCH(E933,Cost_Components!$A$2:$A$27,0)),"")</f>
        <v>0.31</v>
      </c>
      <c r="M933" s="26">
        <f>IFERROR(INDEX(Cost_Components!$L$2:$L$27,MATCH(E933,Cost_Components!$A$2:$A$27,0)),"")</f>
        <v>1</v>
      </c>
      <c r="N933" s="27">
        <f>IFERROR(INDEX(Cost_Components!$P$2:$P$27,MATCH(E933,Cost_Components!$A$2:$A$27,0)),"")</f>
        <v>35.362648999999998</v>
      </c>
      <c r="O933" s="21">
        <f t="shared" si="141"/>
        <v>692421.51523390797</v>
      </c>
      <c r="P933" s="21">
        <f t="shared" si="142"/>
        <v>738726.66611743101</v>
      </c>
      <c r="Q933" s="21">
        <f t="shared" si="143"/>
        <v>8098232.8582637804</v>
      </c>
      <c r="R933" s="21">
        <f t="shared" si="144"/>
        <v>17742830.139288832</v>
      </c>
      <c r="S933" s="21">
        <f t="shared" si="145"/>
        <v>9644597.2810250521</v>
      </c>
      <c r="T933" s="14">
        <f>IFERROR(INDEX(Cost_Components!$R$2:$R$27,MATCH(E933,Cost_Components!$A$2:$A$27,0)),"")</f>
        <v>1</v>
      </c>
      <c r="U933" s="24">
        <f>IFERROR(INDEX(Cost_Components!$Q$2:$Q$27,MATCH(E933,Cost_Components!$A$2:$A$27,0)),"")</f>
        <v>2023</v>
      </c>
      <c r="V933" s="28">
        <f>1/(1+Calculation_Assumptions!$B$5)^(B933-Calculation_Assumptions!$B$2)</f>
        <v>0.5375492759090631</v>
      </c>
      <c r="W933" s="21">
        <f t="shared" si="146"/>
        <v>4353199.2091026772</v>
      </c>
      <c r="X933" s="21">
        <f t="shared" si="147"/>
        <v>9537645.4939522129</v>
      </c>
      <c r="Y933" s="21">
        <f t="shared" si="148"/>
        <v>5184446.2848495357</v>
      </c>
      <c r="Z933" s="15">
        <f>IFERROR(INDEX(Cost_Components!$T$2:$T$27,MATCH(E933,Cost_Components!$A$2:$A$27,0)),"")</f>
        <v>0.8</v>
      </c>
      <c r="AA933" s="24">
        <f>IFERROR(INDEX(Cost_Components!$U$2:$U$27,MATCH(E933,Cost_Components!$A$2:$A$27,0)),"")</f>
        <v>2025</v>
      </c>
      <c r="AB933" s="24">
        <f>IFERROR(INDEX(Cost_Components!$V$2:$V$27,MATCH(E933,Cost_Components!$A$2:$A$27,0)),"")</f>
        <v>2050</v>
      </c>
      <c r="AC933" s="24">
        <f>IFERROR(INDEX(Cost_Components!$M$2:$M$27,MATCH(E933,Cost_Components!$A$2:$A$27,0)),"")</f>
        <v>30</v>
      </c>
      <c r="AD933" s="24">
        <f>IFERROR(INDEX(Cost_Components!$N$2:$N$27,MATCH(E933,Cost_Components!$A$2:$A$27,0)),"")</f>
        <v>95</v>
      </c>
      <c r="AE933" s="14" t="str">
        <f>IFERROR(INDEX(Cost_Components!$O$2:$O$27,MATCH(E933,Cost_Components!$A$2:$A$27,0)),"")</f>
        <v>Both</v>
      </c>
      <c r="AF933" s="11">
        <v>692421.51523390797</v>
      </c>
      <c r="AG933" s="11">
        <v>738726.66611743101</v>
      </c>
      <c r="AH933" s="21">
        <f t="shared" si="149"/>
        <v>1</v>
      </c>
    </row>
    <row r="934" spans="1:34" hidden="1">
      <c r="A934" t="s">
        <v>75</v>
      </c>
      <c r="B934" s="18">
        <v>2047</v>
      </c>
      <c r="C934" t="s">
        <v>197</v>
      </c>
      <c r="D934" t="s">
        <v>163</v>
      </c>
      <c r="E934" s="20" t="s">
        <v>280</v>
      </c>
      <c r="F934" s="20" t="s">
        <v>281</v>
      </c>
      <c r="G934" s="20" t="s">
        <v>200</v>
      </c>
      <c r="H934" s="20" t="s">
        <v>192</v>
      </c>
      <c r="I934" s="20" t="s">
        <v>264</v>
      </c>
      <c r="J934" s="15">
        <f>IFERROR(INDEX(Cost_Components!$K$2:$K$27,MATCH(E934,Cost_Components!$A$2:$A$27,0)),"")</f>
        <v>1</v>
      </c>
      <c r="K934" s="15">
        <f t="shared" si="140"/>
        <v>0.74346153846153851</v>
      </c>
      <c r="L934" s="15">
        <f>IFERROR(INDEX(Cost_Components!$S$2:$S$27,MATCH(E934,Cost_Components!$A$2:$A$27,0)),"")</f>
        <v>0.31</v>
      </c>
      <c r="M934" s="26">
        <f>IFERROR(INDEX(Cost_Components!$L$2:$L$27,MATCH(E934,Cost_Components!$A$2:$A$27,0)),"")</f>
        <v>1</v>
      </c>
      <c r="N934" s="27">
        <f>IFERROR(INDEX(Cost_Components!$P$2:$P$27,MATCH(E934,Cost_Components!$A$2:$A$27,0)),"")</f>
        <v>35.362648999999998</v>
      </c>
      <c r="O934" s="21">
        <f t="shared" si="141"/>
        <v>703263.53056133504</v>
      </c>
      <c r="P934" s="21">
        <f t="shared" si="142"/>
        <v>752406.55841867696</v>
      </c>
      <c r="Q934" s="21">
        <f t="shared" si="143"/>
        <v>8248197.5995038766</v>
      </c>
      <c r="R934" s="21">
        <f t="shared" si="144"/>
        <v>18489339.330245331</v>
      </c>
      <c r="S934" s="21">
        <f t="shared" si="145"/>
        <v>10241141.730741454</v>
      </c>
      <c r="T934" s="14">
        <f>IFERROR(INDEX(Cost_Components!$R$2:$R$27,MATCH(E934,Cost_Components!$A$2:$A$27,0)),"")</f>
        <v>1</v>
      </c>
      <c r="U934" s="24">
        <f>IFERROR(INDEX(Cost_Components!$Q$2:$Q$27,MATCH(E934,Cost_Components!$A$2:$A$27,0)),"")</f>
        <v>2023</v>
      </c>
      <c r="V934" s="28">
        <f>1/(1+Calculation_Assumptions!$B$5)^(B934-Calculation_Assumptions!$B$2)</f>
        <v>0.52189250088258554</v>
      </c>
      <c r="W934" s="21">
        <f t="shared" si="146"/>
        <v>4304672.4729788173</v>
      </c>
      <c r="X934" s="21">
        <f t="shared" si="147"/>
        <v>9649447.5427284855</v>
      </c>
      <c r="Y934" s="21">
        <f t="shared" si="148"/>
        <v>5344775.0697496682</v>
      </c>
      <c r="Z934" s="15">
        <f>IFERROR(INDEX(Cost_Components!$T$2:$T$27,MATCH(E934,Cost_Components!$A$2:$A$27,0)),"")</f>
        <v>0.8</v>
      </c>
      <c r="AA934" s="24">
        <f>IFERROR(INDEX(Cost_Components!$U$2:$U$27,MATCH(E934,Cost_Components!$A$2:$A$27,0)),"")</f>
        <v>2025</v>
      </c>
      <c r="AB934" s="24">
        <f>IFERROR(INDEX(Cost_Components!$V$2:$V$27,MATCH(E934,Cost_Components!$A$2:$A$27,0)),"")</f>
        <v>2050</v>
      </c>
      <c r="AC934" s="24">
        <f>IFERROR(INDEX(Cost_Components!$M$2:$M$27,MATCH(E934,Cost_Components!$A$2:$A$27,0)),"")</f>
        <v>30</v>
      </c>
      <c r="AD934" s="24">
        <f>IFERROR(INDEX(Cost_Components!$N$2:$N$27,MATCH(E934,Cost_Components!$A$2:$A$27,0)),"")</f>
        <v>95</v>
      </c>
      <c r="AE934" s="14" t="str">
        <f>IFERROR(INDEX(Cost_Components!$O$2:$O$27,MATCH(E934,Cost_Components!$A$2:$A$27,0)),"")</f>
        <v>Both</v>
      </c>
      <c r="AF934" s="11">
        <v>703263.53056133504</v>
      </c>
      <c r="AG934" s="11">
        <v>752406.55841867696</v>
      </c>
      <c r="AH934" s="21">
        <f t="shared" si="149"/>
        <v>1</v>
      </c>
    </row>
    <row r="935" spans="1:34" hidden="1">
      <c r="A935" t="s">
        <v>75</v>
      </c>
      <c r="B935" s="18">
        <v>2048</v>
      </c>
      <c r="C935" t="s">
        <v>197</v>
      </c>
      <c r="D935" t="s">
        <v>163</v>
      </c>
      <c r="E935" s="20" t="s">
        <v>280</v>
      </c>
      <c r="F935" s="20" t="s">
        <v>281</v>
      </c>
      <c r="G935" s="20" t="s">
        <v>200</v>
      </c>
      <c r="H935" s="20" t="s">
        <v>192</v>
      </c>
      <c r="I935" s="20" t="s">
        <v>264</v>
      </c>
      <c r="J935" s="15">
        <f>IFERROR(INDEX(Cost_Components!$K$2:$K$27,MATCH(E935,Cost_Components!$A$2:$A$27,0)),"")</f>
        <v>1</v>
      </c>
      <c r="K935" s="15">
        <f t="shared" si="140"/>
        <v>0.76230769230769235</v>
      </c>
      <c r="L935" s="15">
        <f>IFERROR(INDEX(Cost_Components!$S$2:$S$27,MATCH(E935,Cost_Components!$A$2:$A$27,0)),"")</f>
        <v>0.31</v>
      </c>
      <c r="M935" s="26">
        <f>IFERROR(INDEX(Cost_Components!$L$2:$L$27,MATCH(E935,Cost_Components!$A$2:$A$27,0)),"")</f>
        <v>1</v>
      </c>
      <c r="N935" s="27">
        <f>IFERROR(INDEX(Cost_Components!$P$2:$P$27,MATCH(E935,Cost_Components!$A$2:$A$27,0)),"")</f>
        <v>35.362648999999998</v>
      </c>
      <c r="O935" s="21">
        <f t="shared" si="141"/>
        <v>713726.39222436701</v>
      </c>
      <c r="P935" s="21">
        <f t="shared" si="142"/>
        <v>765676.29220509005</v>
      </c>
      <c r="Q935" s="21">
        <f t="shared" si="143"/>
        <v>8393666.0103497114</v>
      </c>
      <c r="R935" s="21">
        <f t="shared" si="144"/>
        <v>19240078.913272474</v>
      </c>
      <c r="S935" s="21">
        <f t="shared" si="145"/>
        <v>10846412.902922763</v>
      </c>
      <c r="T935" s="14">
        <f>IFERROR(INDEX(Cost_Components!$R$2:$R$27,MATCH(E935,Cost_Components!$A$2:$A$27,0)),"")</f>
        <v>1</v>
      </c>
      <c r="U935" s="24">
        <f>IFERROR(INDEX(Cost_Components!$Q$2:$Q$27,MATCH(E935,Cost_Components!$A$2:$A$27,0)),"")</f>
        <v>2023</v>
      </c>
      <c r="V935" s="28">
        <f>1/(1+Calculation_Assumptions!$B$5)^(B935-Calculation_Assumptions!$B$2)</f>
        <v>0.50669174842969467</v>
      </c>
      <c r="W935" s="21">
        <f t="shared" si="146"/>
        <v>4253001.3065189952</v>
      </c>
      <c r="X935" s="21">
        <f t="shared" si="147"/>
        <v>9748789.2244913299</v>
      </c>
      <c r="Y935" s="21">
        <f t="shared" si="148"/>
        <v>5495787.9179723347</v>
      </c>
      <c r="Z935" s="15">
        <f>IFERROR(INDEX(Cost_Components!$T$2:$T$27,MATCH(E935,Cost_Components!$A$2:$A$27,0)),"")</f>
        <v>0.8</v>
      </c>
      <c r="AA935" s="24">
        <f>IFERROR(INDEX(Cost_Components!$U$2:$U$27,MATCH(E935,Cost_Components!$A$2:$A$27,0)),"")</f>
        <v>2025</v>
      </c>
      <c r="AB935" s="24">
        <f>IFERROR(INDEX(Cost_Components!$V$2:$V$27,MATCH(E935,Cost_Components!$A$2:$A$27,0)),"")</f>
        <v>2050</v>
      </c>
      <c r="AC935" s="24">
        <f>IFERROR(INDEX(Cost_Components!$M$2:$M$27,MATCH(E935,Cost_Components!$A$2:$A$27,0)),"")</f>
        <v>30</v>
      </c>
      <c r="AD935" s="24">
        <f>IFERROR(INDEX(Cost_Components!$N$2:$N$27,MATCH(E935,Cost_Components!$A$2:$A$27,0)),"")</f>
        <v>95</v>
      </c>
      <c r="AE935" s="14" t="str">
        <f>IFERROR(INDEX(Cost_Components!$O$2:$O$27,MATCH(E935,Cost_Components!$A$2:$A$27,0)),"")</f>
        <v>Both</v>
      </c>
      <c r="AF935" s="11">
        <v>713726.39222436701</v>
      </c>
      <c r="AG935" s="11">
        <v>765676.29220509005</v>
      </c>
      <c r="AH935" s="21">
        <f t="shared" si="149"/>
        <v>1</v>
      </c>
    </row>
    <row r="936" spans="1:34" hidden="1">
      <c r="A936" t="s">
        <v>75</v>
      </c>
      <c r="B936" s="18">
        <v>2049</v>
      </c>
      <c r="C936" t="s">
        <v>197</v>
      </c>
      <c r="D936" t="s">
        <v>163</v>
      </c>
      <c r="E936" s="20" t="s">
        <v>280</v>
      </c>
      <c r="F936" s="20" t="s">
        <v>281</v>
      </c>
      <c r="G936" s="20" t="s">
        <v>200</v>
      </c>
      <c r="H936" s="20" t="s">
        <v>192</v>
      </c>
      <c r="I936" s="20" t="s">
        <v>264</v>
      </c>
      <c r="J936" s="15">
        <f>IFERROR(INDEX(Cost_Components!$K$2:$K$27,MATCH(E936,Cost_Components!$A$2:$A$27,0)),"")</f>
        <v>1</v>
      </c>
      <c r="K936" s="15">
        <f t="shared" si="140"/>
        <v>0.7811538461538462</v>
      </c>
      <c r="L936" s="15">
        <f>IFERROR(INDEX(Cost_Components!$S$2:$S$27,MATCH(E936,Cost_Components!$A$2:$A$27,0)),"")</f>
        <v>0.31</v>
      </c>
      <c r="M936" s="26">
        <f>IFERROR(INDEX(Cost_Components!$L$2:$L$27,MATCH(E936,Cost_Components!$A$2:$A$27,0)),"")</f>
        <v>1</v>
      </c>
      <c r="N936" s="27">
        <f>IFERROR(INDEX(Cost_Components!$P$2:$P$27,MATCH(E936,Cost_Components!$A$2:$A$27,0)),"")</f>
        <v>35.362648999999998</v>
      </c>
      <c r="O936" s="21">
        <f t="shared" si="141"/>
        <v>723778.35827482305</v>
      </c>
      <c r="P936" s="21">
        <f t="shared" si="142"/>
        <v>778495.54813628597</v>
      </c>
      <c r="Q936" s="21">
        <f t="shared" si="143"/>
        <v>8534196.0932098851</v>
      </c>
      <c r="R936" s="21">
        <f t="shared" si="144"/>
        <v>19993413.998499677</v>
      </c>
      <c r="S936" s="21">
        <f t="shared" si="145"/>
        <v>11459217.905289792</v>
      </c>
      <c r="T936" s="14">
        <f>IFERROR(INDEX(Cost_Components!$R$2:$R$27,MATCH(E936,Cost_Components!$A$2:$A$27,0)),"")</f>
        <v>1</v>
      </c>
      <c r="U936" s="24">
        <f>IFERROR(INDEX(Cost_Components!$Q$2:$Q$27,MATCH(E936,Cost_Components!$A$2:$A$27,0)),"")</f>
        <v>2023</v>
      </c>
      <c r="V936" s="28">
        <f>1/(1+Calculation_Assumptions!$B$5)^(B936-Calculation_Assumptions!$B$2)</f>
        <v>0.49193373633950943</v>
      </c>
      <c r="W936" s="21">
        <f t="shared" si="146"/>
        <v>4198258.9707867829</v>
      </c>
      <c r="X936" s="21">
        <f t="shared" si="147"/>
        <v>9835434.8504645973</v>
      </c>
      <c r="Y936" s="21">
        <f t="shared" si="148"/>
        <v>5637175.8796778135</v>
      </c>
      <c r="Z936" s="15">
        <f>IFERROR(INDEX(Cost_Components!$T$2:$T$27,MATCH(E936,Cost_Components!$A$2:$A$27,0)),"")</f>
        <v>0.8</v>
      </c>
      <c r="AA936" s="24">
        <f>IFERROR(INDEX(Cost_Components!$U$2:$U$27,MATCH(E936,Cost_Components!$A$2:$A$27,0)),"")</f>
        <v>2025</v>
      </c>
      <c r="AB936" s="24">
        <f>IFERROR(INDEX(Cost_Components!$V$2:$V$27,MATCH(E936,Cost_Components!$A$2:$A$27,0)),"")</f>
        <v>2050</v>
      </c>
      <c r="AC936" s="24">
        <f>IFERROR(INDEX(Cost_Components!$M$2:$M$27,MATCH(E936,Cost_Components!$A$2:$A$27,0)),"")</f>
        <v>30</v>
      </c>
      <c r="AD936" s="24">
        <f>IFERROR(INDEX(Cost_Components!$N$2:$N$27,MATCH(E936,Cost_Components!$A$2:$A$27,0)),"")</f>
        <v>95</v>
      </c>
      <c r="AE936" s="14" t="str">
        <f>IFERROR(INDEX(Cost_Components!$O$2:$O$27,MATCH(E936,Cost_Components!$A$2:$A$27,0)),"")</f>
        <v>Both</v>
      </c>
      <c r="AF936" s="11">
        <v>723778.35827482305</v>
      </c>
      <c r="AG936" s="11">
        <v>778495.54813628597</v>
      </c>
      <c r="AH936" s="21">
        <f t="shared" si="149"/>
        <v>1</v>
      </c>
    </row>
    <row r="937" spans="1:34" hidden="1">
      <c r="A937" t="s">
        <v>75</v>
      </c>
      <c r="B937" s="18">
        <v>2050</v>
      </c>
      <c r="C937" t="s">
        <v>197</v>
      </c>
      <c r="D937" t="s">
        <v>163</v>
      </c>
      <c r="E937" s="20" t="s">
        <v>280</v>
      </c>
      <c r="F937" s="20" t="s">
        <v>281</v>
      </c>
      <c r="G937" s="20" t="s">
        <v>200</v>
      </c>
      <c r="H937" s="20" t="s">
        <v>192</v>
      </c>
      <c r="I937" s="20" t="s">
        <v>264</v>
      </c>
      <c r="J937" s="15">
        <f>IFERROR(INDEX(Cost_Components!$K$2:$K$27,MATCH(E937,Cost_Components!$A$2:$A$27,0)),"")</f>
        <v>1</v>
      </c>
      <c r="K937" s="15">
        <f t="shared" si="140"/>
        <v>0.8</v>
      </c>
      <c r="L937" s="15">
        <f>IFERROR(INDEX(Cost_Components!$S$2:$S$27,MATCH(E937,Cost_Components!$A$2:$A$27,0)),"")</f>
        <v>0.31</v>
      </c>
      <c r="M937" s="26">
        <f>IFERROR(INDEX(Cost_Components!$L$2:$L$27,MATCH(E937,Cost_Components!$A$2:$A$27,0)),"")</f>
        <v>1</v>
      </c>
      <c r="N937" s="27">
        <f>IFERROR(INDEX(Cost_Components!$P$2:$P$27,MATCH(E937,Cost_Components!$A$2:$A$27,0)),"")</f>
        <v>35.362648999999998</v>
      </c>
      <c r="O937" s="21">
        <f t="shared" si="141"/>
        <v>733417.10395426</v>
      </c>
      <c r="P937" s="21">
        <f t="shared" si="142"/>
        <v>790865.55624404305</v>
      </c>
      <c r="Q937" s="21">
        <f t="shared" si="143"/>
        <v>8669801.3322108332</v>
      </c>
      <c r="R937" s="21">
        <f t="shared" si="144"/>
        <v>20748457.294184808</v>
      </c>
      <c r="S937" s="21">
        <f t="shared" si="145"/>
        <v>12078655.961973974</v>
      </c>
      <c r="T937" s="14">
        <f>IFERROR(INDEX(Cost_Components!$R$2:$R$27,MATCH(E937,Cost_Components!$A$2:$A$27,0)),"")</f>
        <v>1</v>
      </c>
      <c r="U937" s="24">
        <f>IFERROR(INDEX(Cost_Components!$Q$2:$Q$27,MATCH(E937,Cost_Components!$A$2:$A$27,0)),"")</f>
        <v>2023</v>
      </c>
      <c r="V937" s="28">
        <f>1/(1+Calculation_Assumptions!$B$5)^(B937-Calculation_Assumptions!$B$2)</f>
        <v>0.47760556926165965</v>
      </c>
      <c r="W937" s="21">
        <f t="shared" si="146"/>
        <v>4140745.4006560501</v>
      </c>
      <c r="X937" s="21">
        <f t="shared" si="147"/>
        <v>9909578.7572903689</v>
      </c>
      <c r="Y937" s="21">
        <f t="shared" si="148"/>
        <v>5768833.3566343188</v>
      </c>
      <c r="Z937" s="15">
        <f>IFERROR(INDEX(Cost_Components!$T$2:$T$27,MATCH(E937,Cost_Components!$A$2:$A$27,0)),"")</f>
        <v>0.8</v>
      </c>
      <c r="AA937" s="24">
        <f>IFERROR(INDEX(Cost_Components!$U$2:$U$27,MATCH(E937,Cost_Components!$A$2:$A$27,0)),"")</f>
        <v>2025</v>
      </c>
      <c r="AB937" s="24">
        <f>IFERROR(INDEX(Cost_Components!$V$2:$V$27,MATCH(E937,Cost_Components!$A$2:$A$27,0)),"")</f>
        <v>2050</v>
      </c>
      <c r="AC937" s="24">
        <f>IFERROR(INDEX(Cost_Components!$M$2:$M$27,MATCH(E937,Cost_Components!$A$2:$A$27,0)),"")</f>
        <v>30</v>
      </c>
      <c r="AD937" s="24">
        <f>IFERROR(INDEX(Cost_Components!$N$2:$N$27,MATCH(E937,Cost_Components!$A$2:$A$27,0)),"")</f>
        <v>95</v>
      </c>
      <c r="AE937" s="14" t="str">
        <f>IFERROR(INDEX(Cost_Components!$O$2:$O$27,MATCH(E937,Cost_Components!$A$2:$A$27,0)),"")</f>
        <v>Both</v>
      </c>
      <c r="AF937" s="11">
        <v>733417.10395426</v>
      </c>
      <c r="AG937" s="11">
        <v>790865.55624404305</v>
      </c>
      <c r="AH937" s="21">
        <f t="shared" si="149"/>
        <v>1</v>
      </c>
    </row>
    <row r="938" spans="1:34" hidden="1">
      <c r="A938" t="s">
        <v>75</v>
      </c>
      <c r="B938" s="18">
        <v>2025</v>
      </c>
      <c r="C938" t="s">
        <v>197</v>
      </c>
      <c r="D938" t="s">
        <v>163</v>
      </c>
      <c r="E938" s="20" t="s">
        <v>282</v>
      </c>
      <c r="F938" s="20" t="s">
        <v>283</v>
      </c>
      <c r="G938" s="20" t="s">
        <v>200</v>
      </c>
      <c r="H938" s="20" t="s">
        <v>192</v>
      </c>
      <c r="I938" s="20" t="s">
        <v>264</v>
      </c>
      <c r="J938" s="15">
        <f>IFERROR(INDEX(Cost_Components!$K$2:$K$27,MATCH(E938,Cost_Components!$A$2:$A$27,0)),"")</f>
        <v>1</v>
      </c>
      <c r="K938" s="15">
        <f t="shared" si="140"/>
        <v>0.32884615384615384</v>
      </c>
      <c r="L938" s="15">
        <f>IFERROR(INDEX(Cost_Components!$S$2:$S$27,MATCH(E938,Cost_Components!$A$2:$A$27,0)),"")</f>
        <v>0.31</v>
      </c>
      <c r="M938" s="26">
        <f>IFERROR(INDEX(Cost_Components!$L$2:$L$27,MATCH(E938,Cost_Components!$A$2:$A$27,0)),"")</f>
        <v>1</v>
      </c>
      <c r="N938" s="27">
        <f>IFERROR(INDEX(Cost_Components!$P$2:$P$27,MATCH(E938,Cost_Components!$A$2:$A$27,0)),"")</f>
        <v>115.10623099999999</v>
      </c>
      <c r="O938" s="21">
        <f t="shared" si="141"/>
        <v>434080.744377314</v>
      </c>
      <c r="P938" s="21">
        <f t="shared" si="142"/>
        <v>434420.35264510999</v>
      </c>
      <c r="Q938" s="21">
        <f t="shared" si="143"/>
        <v>15501391.733427543</v>
      </c>
      <c r="R938" s="21">
        <f t="shared" si="144"/>
        <v>16430929.100722972</v>
      </c>
      <c r="S938" s="21">
        <f t="shared" si="145"/>
        <v>929537.36729542911</v>
      </c>
      <c r="T938" s="14">
        <f>IFERROR(INDEX(Cost_Components!$R$2:$R$27,MATCH(E938,Cost_Components!$A$2:$A$27,0)),"")</f>
        <v>1</v>
      </c>
      <c r="U938" s="24">
        <f>IFERROR(INDEX(Cost_Components!$Q$2:$Q$27,MATCH(E938,Cost_Components!$A$2:$A$27,0)),"")</f>
        <v>2023</v>
      </c>
      <c r="V938" s="28">
        <f>1/(1+Calculation_Assumptions!$B$5)^(B938-Calculation_Assumptions!$B$2)</f>
        <v>1</v>
      </c>
      <c r="W938" s="21">
        <f t="shared" si="146"/>
        <v>15501391.733427543</v>
      </c>
      <c r="X938" s="21">
        <f t="shared" si="147"/>
        <v>16430929.100722972</v>
      </c>
      <c r="Y938" s="21">
        <f t="shared" si="148"/>
        <v>929537.36729542911</v>
      </c>
      <c r="Z938" s="15">
        <f>IFERROR(INDEX(Cost_Components!$T$2:$T$27,MATCH(E938,Cost_Components!$A$2:$A$27,0)),"")</f>
        <v>0.8</v>
      </c>
      <c r="AA938" s="24">
        <f>IFERROR(INDEX(Cost_Components!$U$2:$U$27,MATCH(E938,Cost_Components!$A$2:$A$27,0)),"")</f>
        <v>2025</v>
      </c>
      <c r="AB938" s="24">
        <f>IFERROR(INDEX(Cost_Components!$V$2:$V$27,MATCH(E938,Cost_Components!$A$2:$A$27,0)),"")</f>
        <v>2050</v>
      </c>
      <c r="AC938" s="24">
        <f>IFERROR(INDEX(Cost_Components!$M$2:$M$27,MATCH(E938,Cost_Components!$A$2:$A$27,0)),"")</f>
        <v>0</v>
      </c>
      <c r="AD938" s="24">
        <f>IFERROR(INDEX(Cost_Components!$N$2:$N$27,MATCH(E938,Cost_Components!$A$2:$A$27,0)),"")</f>
        <v>95</v>
      </c>
      <c r="AE938" s="14" t="str">
        <f>IFERROR(INDEX(Cost_Components!$O$2:$O$27,MATCH(E938,Cost_Components!$A$2:$A$27,0)),"")</f>
        <v>Both</v>
      </c>
      <c r="AF938" s="11">
        <v>434080.744377314</v>
      </c>
      <c r="AG938" s="11">
        <v>434420.35264510999</v>
      </c>
      <c r="AH938" s="21">
        <f t="shared" si="149"/>
        <v>1</v>
      </c>
    </row>
    <row r="939" spans="1:34" hidden="1">
      <c r="A939" t="s">
        <v>75</v>
      </c>
      <c r="B939" s="18">
        <v>2026</v>
      </c>
      <c r="C939" t="s">
        <v>197</v>
      </c>
      <c r="D939" t="s">
        <v>163</v>
      </c>
      <c r="E939" s="20" t="s">
        <v>282</v>
      </c>
      <c r="F939" s="20" t="s">
        <v>283</v>
      </c>
      <c r="G939" s="20" t="s">
        <v>200</v>
      </c>
      <c r="H939" s="20" t="s">
        <v>192</v>
      </c>
      <c r="I939" s="20" t="s">
        <v>264</v>
      </c>
      <c r="J939" s="15">
        <f>IFERROR(INDEX(Cost_Components!$K$2:$K$27,MATCH(E939,Cost_Components!$A$2:$A$27,0)),"")</f>
        <v>1</v>
      </c>
      <c r="K939" s="15">
        <f t="shared" si="140"/>
        <v>0.34769230769230769</v>
      </c>
      <c r="L939" s="15">
        <f>IFERROR(INDEX(Cost_Components!$S$2:$S$27,MATCH(E939,Cost_Components!$A$2:$A$27,0)),"")</f>
        <v>0.31</v>
      </c>
      <c r="M939" s="26">
        <f>IFERROR(INDEX(Cost_Components!$L$2:$L$27,MATCH(E939,Cost_Components!$A$2:$A$27,0)),"")</f>
        <v>1</v>
      </c>
      <c r="N939" s="27">
        <f>IFERROR(INDEX(Cost_Components!$P$2:$P$27,MATCH(E939,Cost_Components!$A$2:$A$27,0)),"")</f>
        <v>115.10623099999999</v>
      </c>
      <c r="O939" s="21">
        <f t="shared" si="141"/>
        <v>446386.18441507302</v>
      </c>
      <c r="P939" s="21">
        <f t="shared" si="142"/>
        <v>447365.23312030802</v>
      </c>
      <c r="Q939" s="21">
        <f t="shared" si="143"/>
        <v>15963303.018123658</v>
      </c>
      <c r="R939" s="21">
        <f t="shared" si="144"/>
        <v>17865067.483721133</v>
      </c>
      <c r="S939" s="21">
        <f t="shared" si="145"/>
        <v>1901764.4655974749</v>
      </c>
      <c r="T939" s="14">
        <f>IFERROR(INDEX(Cost_Components!$R$2:$R$27,MATCH(E939,Cost_Components!$A$2:$A$27,0)),"")</f>
        <v>1</v>
      </c>
      <c r="U939" s="24">
        <f>IFERROR(INDEX(Cost_Components!$Q$2:$Q$27,MATCH(E939,Cost_Components!$A$2:$A$27,0)),"")</f>
        <v>2023</v>
      </c>
      <c r="V939" s="28">
        <f>1/(1+Calculation_Assumptions!$B$5)^(B939-Calculation_Assumptions!$B$2)</f>
        <v>0.970873786407767</v>
      </c>
      <c r="W939" s="21">
        <f t="shared" si="146"/>
        <v>15498352.444780251</v>
      </c>
      <c r="X939" s="21">
        <f t="shared" si="147"/>
        <v>17344725.712350614</v>
      </c>
      <c r="Y939" s="21">
        <f t="shared" si="148"/>
        <v>1846373.2675703641</v>
      </c>
      <c r="Z939" s="15">
        <f>IFERROR(INDEX(Cost_Components!$T$2:$T$27,MATCH(E939,Cost_Components!$A$2:$A$27,0)),"")</f>
        <v>0.8</v>
      </c>
      <c r="AA939" s="24">
        <f>IFERROR(INDEX(Cost_Components!$U$2:$U$27,MATCH(E939,Cost_Components!$A$2:$A$27,0)),"")</f>
        <v>2025</v>
      </c>
      <c r="AB939" s="24">
        <f>IFERROR(INDEX(Cost_Components!$V$2:$V$27,MATCH(E939,Cost_Components!$A$2:$A$27,0)),"")</f>
        <v>2050</v>
      </c>
      <c r="AC939" s="24">
        <f>IFERROR(INDEX(Cost_Components!$M$2:$M$27,MATCH(E939,Cost_Components!$A$2:$A$27,0)),"")</f>
        <v>0</v>
      </c>
      <c r="AD939" s="24">
        <f>IFERROR(INDEX(Cost_Components!$N$2:$N$27,MATCH(E939,Cost_Components!$A$2:$A$27,0)),"")</f>
        <v>95</v>
      </c>
      <c r="AE939" s="14" t="str">
        <f>IFERROR(INDEX(Cost_Components!$O$2:$O$27,MATCH(E939,Cost_Components!$A$2:$A$27,0)),"")</f>
        <v>Both</v>
      </c>
      <c r="AF939" s="11">
        <v>446386.18441507302</v>
      </c>
      <c r="AG939" s="11">
        <v>447365.23312030802</v>
      </c>
      <c r="AH939" s="21">
        <f t="shared" si="149"/>
        <v>1</v>
      </c>
    </row>
    <row r="940" spans="1:34" hidden="1">
      <c r="A940" t="s">
        <v>75</v>
      </c>
      <c r="B940" s="18">
        <v>2027</v>
      </c>
      <c r="C940" t="s">
        <v>197</v>
      </c>
      <c r="D940" t="s">
        <v>163</v>
      </c>
      <c r="E940" s="20" t="s">
        <v>282</v>
      </c>
      <c r="F940" s="20" t="s">
        <v>283</v>
      </c>
      <c r="G940" s="20" t="s">
        <v>200</v>
      </c>
      <c r="H940" s="20" t="s">
        <v>192</v>
      </c>
      <c r="I940" s="20" t="s">
        <v>264</v>
      </c>
      <c r="J940" s="15">
        <f>IFERROR(INDEX(Cost_Components!$K$2:$K$27,MATCH(E940,Cost_Components!$A$2:$A$27,0)),"")</f>
        <v>1</v>
      </c>
      <c r="K940" s="15">
        <f t="shared" si="140"/>
        <v>0.36653846153846154</v>
      </c>
      <c r="L940" s="15">
        <f>IFERROR(INDEX(Cost_Components!$S$2:$S$27,MATCH(E940,Cost_Components!$A$2:$A$27,0)),"")</f>
        <v>0.31</v>
      </c>
      <c r="M940" s="26">
        <f>IFERROR(INDEX(Cost_Components!$L$2:$L$27,MATCH(E940,Cost_Components!$A$2:$A$27,0)),"")</f>
        <v>1</v>
      </c>
      <c r="N940" s="27">
        <f>IFERROR(INDEX(Cost_Components!$P$2:$P$27,MATCH(E940,Cost_Components!$A$2:$A$27,0)),"")</f>
        <v>115.10623099999999</v>
      </c>
      <c r="O940" s="21">
        <f t="shared" si="141"/>
        <v>459074.33408271102</v>
      </c>
      <c r="P940" s="21">
        <f t="shared" si="142"/>
        <v>460960.706051827</v>
      </c>
      <c r="Q940" s="21">
        <f t="shared" si="143"/>
        <v>16448429.348944655</v>
      </c>
      <c r="R940" s="21">
        <f t="shared" si="144"/>
        <v>19368741.337260079</v>
      </c>
      <c r="S940" s="21">
        <f t="shared" si="145"/>
        <v>2920311.988315424</v>
      </c>
      <c r="T940" s="14">
        <f>IFERROR(INDEX(Cost_Components!$R$2:$R$27,MATCH(E940,Cost_Components!$A$2:$A$27,0)),"")</f>
        <v>1</v>
      </c>
      <c r="U940" s="24">
        <f>IFERROR(INDEX(Cost_Components!$Q$2:$Q$27,MATCH(E940,Cost_Components!$A$2:$A$27,0)),"")</f>
        <v>2023</v>
      </c>
      <c r="V940" s="28">
        <f>1/(1+Calculation_Assumptions!$B$5)^(B940-Calculation_Assumptions!$B$2)</f>
        <v>0.94259590913375435</v>
      </c>
      <c r="W940" s="21">
        <f t="shared" si="146"/>
        <v>15504222.215990813</v>
      </c>
      <c r="X940" s="21">
        <f t="shared" si="147"/>
        <v>18256896.349571194</v>
      </c>
      <c r="Y940" s="21">
        <f t="shared" si="148"/>
        <v>2752674.1335803787</v>
      </c>
      <c r="Z940" s="15">
        <f>IFERROR(INDEX(Cost_Components!$T$2:$T$27,MATCH(E940,Cost_Components!$A$2:$A$27,0)),"")</f>
        <v>0.8</v>
      </c>
      <c r="AA940" s="24">
        <f>IFERROR(INDEX(Cost_Components!$U$2:$U$27,MATCH(E940,Cost_Components!$A$2:$A$27,0)),"")</f>
        <v>2025</v>
      </c>
      <c r="AB940" s="24">
        <f>IFERROR(INDEX(Cost_Components!$V$2:$V$27,MATCH(E940,Cost_Components!$A$2:$A$27,0)),"")</f>
        <v>2050</v>
      </c>
      <c r="AC940" s="24">
        <f>IFERROR(INDEX(Cost_Components!$M$2:$M$27,MATCH(E940,Cost_Components!$A$2:$A$27,0)),"")</f>
        <v>0</v>
      </c>
      <c r="AD940" s="24">
        <f>IFERROR(INDEX(Cost_Components!$N$2:$N$27,MATCH(E940,Cost_Components!$A$2:$A$27,0)),"")</f>
        <v>95</v>
      </c>
      <c r="AE940" s="14" t="str">
        <f>IFERROR(INDEX(Cost_Components!$O$2:$O$27,MATCH(E940,Cost_Components!$A$2:$A$27,0)),"")</f>
        <v>Both</v>
      </c>
      <c r="AF940" s="11">
        <v>459074.33408271102</v>
      </c>
      <c r="AG940" s="11">
        <v>460960.706051827</v>
      </c>
      <c r="AH940" s="21">
        <f t="shared" si="149"/>
        <v>1</v>
      </c>
    </row>
    <row r="941" spans="1:34" hidden="1">
      <c r="A941" t="s">
        <v>75</v>
      </c>
      <c r="B941" s="18">
        <v>2028</v>
      </c>
      <c r="C941" t="s">
        <v>197</v>
      </c>
      <c r="D941" t="s">
        <v>163</v>
      </c>
      <c r="E941" s="20" t="s">
        <v>282</v>
      </c>
      <c r="F941" s="20" t="s">
        <v>283</v>
      </c>
      <c r="G941" s="20" t="s">
        <v>200</v>
      </c>
      <c r="H941" s="20" t="s">
        <v>192</v>
      </c>
      <c r="I941" s="20" t="s">
        <v>264</v>
      </c>
      <c r="J941" s="15">
        <f>IFERROR(INDEX(Cost_Components!$K$2:$K$27,MATCH(E941,Cost_Components!$A$2:$A$27,0)),"")</f>
        <v>1</v>
      </c>
      <c r="K941" s="15">
        <f t="shared" si="140"/>
        <v>0.38538461538461538</v>
      </c>
      <c r="L941" s="15">
        <f>IFERROR(INDEX(Cost_Components!$S$2:$S$27,MATCH(E941,Cost_Components!$A$2:$A$27,0)),"")</f>
        <v>0.31</v>
      </c>
      <c r="M941" s="26">
        <f>IFERROR(INDEX(Cost_Components!$L$2:$L$27,MATCH(E941,Cost_Components!$A$2:$A$27,0)),"")</f>
        <v>1</v>
      </c>
      <c r="N941" s="27">
        <f>IFERROR(INDEX(Cost_Components!$P$2:$P$27,MATCH(E941,Cost_Components!$A$2:$A$27,0)),"")</f>
        <v>115.10623099999999</v>
      </c>
      <c r="O941" s="21">
        <f t="shared" si="141"/>
        <v>472061.27746316802</v>
      </c>
      <c r="P941" s="21">
        <f t="shared" si="142"/>
        <v>475096.378068825</v>
      </c>
      <c r="Q941" s="21">
        <f t="shared" si="143"/>
        <v>16952831.566788584</v>
      </c>
      <c r="R941" s="21">
        <f t="shared" si="144"/>
        <v>20940718.78412699</v>
      </c>
      <c r="S941" s="21">
        <f t="shared" si="145"/>
        <v>3987887.2173384055</v>
      </c>
      <c r="T941" s="14">
        <f>IFERROR(INDEX(Cost_Components!$R$2:$R$27,MATCH(E941,Cost_Components!$A$2:$A$27,0)),"")</f>
        <v>1</v>
      </c>
      <c r="U941" s="24">
        <f>IFERROR(INDEX(Cost_Components!$Q$2:$Q$27,MATCH(E941,Cost_Components!$A$2:$A$27,0)),"")</f>
        <v>2023</v>
      </c>
      <c r="V941" s="28">
        <f>1/(1+Calculation_Assumptions!$B$5)^(B941-Calculation_Assumptions!$B$2)</f>
        <v>0.91514165935315961</v>
      </c>
      <c r="W941" s="21">
        <f t="shared" si="146"/>
        <v>15514242.410765529</v>
      </c>
      <c r="X941" s="21">
        <f t="shared" si="147"/>
        <v>19163724.136153851</v>
      </c>
      <c r="Y941" s="21">
        <f t="shared" si="148"/>
        <v>3649481.7253883225</v>
      </c>
      <c r="Z941" s="15">
        <f>IFERROR(INDEX(Cost_Components!$T$2:$T$27,MATCH(E941,Cost_Components!$A$2:$A$27,0)),"")</f>
        <v>0.8</v>
      </c>
      <c r="AA941" s="24">
        <f>IFERROR(INDEX(Cost_Components!$U$2:$U$27,MATCH(E941,Cost_Components!$A$2:$A$27,0)),"")</f>
        <v>2025</v>
      </c>
      <c r="AB941" s="24">
        <f>IFERROR(INDEX(Cost_Components!$V$2:$V$27,MATCH(E941,Cost_Components!$A$2:$A$27,0)),"")</f>
        <v>2050</v>
      </c>
      <c r="AC941" s="24">
        <f>IFERROR(INDEX(Cost_Components!$M$2:$M$27,MATCH(E941,Cost_Components!$A$2:$A$27,0)),"")</f>
        <v>0</v>
      </c>
      <c r="AD941" s="24">
        <f>IFERROR(INDEX(Cost_Components!$N$2:$N$27,MATCH(E941,Cost_Components!$A$2:$A$27,0)),"")</f>
        <v>95</v>
      </c>
      <c r="AE941" s="14" t="str">
        <f>IFERROR(INDEX(Cost_Components!$O$2:$O$27,MATCH(E941,Cost_Components!$A$2:$A$27,0)),"")</f>
        <v>Both</v>
      </c>
      <c r="AF941" s="11">
        <v>472061.27746316802</v>
      </c>
      <c r="AG941" s="11">
        <v>475096.378068825</v>
      </c>
      <c r="AH941" s="21">
        <f t="shared" si="149"/>
        <v>1</v>
      </c>
    </row>
    <row r="942" spans="1:34" hidden="1">
      <c r="A942" t="s">
        <v>75</v>
      </c>
      <c r="B942" s="18">
        <v>2029</v>
      </c>
      <c r="C942" t="s">
        <v>197</v>
      </c>
      <c r="D942" t="s">
        <v>163</v>
      </c>
      <c r="E942" s="20" t="s">
        <v>282</v>
      </c>
      <c r="F942" s="20" t="s">
        <v>283</v>
      </c>
      <c r="G942" s="20" t="s">
        <v>200</v>
      </c>
      <c r="H942" s="20" t="s">
        <v>192</v>
      </c>
      <c r="I942" s="20" t="s">
        <v>264</v>
      </c>
      <c r="J942" s="15">
        <f>IFERROR(INDEX(Cost_Components!$K$2:$K$27,MATCH(E942,Cost_Components!$A$2:$A$27,0)),"")</f>
        <v>1</v>
      </c>
      <c r="K942" s="15">
        <f t="shared" si="140"/>
        <v>0.40423076923076923</v>
      </c>
      <c r="L942" s="15">
        <f>IFERROR(INDEX(Cost_Components!$S$2:$S$27,MATCH(E942,Cost_Components!$A$2:$A$27,0)),"")</f>
        <v>0.31</v>
      </c>
      <c r="M942" s="26">
        <f>IFERROR(INDEX(Cost_Components!$L$2:$L$27,MATCH(E942,Cost_Components!$A$2:$A$27,0)),"")</f>
        <v>1</v>
      </c>
      <c r="N942" s="27">
        <f>IFERROR(INDEX(Cost_Components!$P$2:$P$27,MATCH(E942,Cost_Components!$A$2:$A$27,0)),"")</f>
        <v>115.10623099999999</v>
      </c>
      <c r="O942" s="21">
        <f t="shared" si="141"/>
        <v>485235.76291830599</v>
      </c>
      <c r="P942" s="21">
        <f t="shared" si="142"/>
        <v>489637.48381828202</v>
      </c>
      <c r="Q942" s="21">
        <f t="shared" si="143"/>
        <v>17471700.848780237</v>
      </c>
      <c r="R942" s="21">
        <f t="shared" si="144"/>
        <v>22577767.871749416</v>
      </c>
      <c r="S942" s="21">
        <f t="shared" si="145"/>
        <v>5106067.0229691789</v>
      </c>
      <c r="T942" s="14">
        <f>IFERROR(INDEX(Cost_Components!$R$2:$R$27,MATCH(E942,Cost_Components!$A$2:$A$27,0)),"")</f>
        <v>1</v>
      </c>
      <c r="U942" s="24">
        <f>IFERROR(INDEX(Cost_Components!$Q$2:$Q$27,MATCH(E942,Cost_Components!$A$2:$A$27,0)),"")</f>
        <v>2023</v>
      </c>
      <c r="V942" s="28">
        <f>1/(1+Calculation_Assumptions!$B$5)^(B942-Calculation_Assumptions!$B$2)</f>
        <v>0.888487047915689</v>
      </c>
      <c r="W942" s="21">
        <f t="shared" si="146"/>
        <v>15523379.909198791</v>
      </c>
      <c r="X942" s="21">
        <f t="shared" si="147"/>
        <v>20060054.324896328</v>
      </c>
      <c r="Y942" s="21">
        <f t="shared" si="148"/>
        <v>4536674.4156975364</v>
      </c>
      <c r="Z942" s="15">
        <f>IFERROR(INDEX(Cost_Components!$T$2:$T$27,MATCH(E942,Cost_Components!$A$2:$A$27,0)),"")</f>
        <v>0.8</v>
      </c>
      <c r="AA942" s="24">
        <f>IFERROR(INDEX(Cost_Components!$U$2:$U$27,MATCH(E942,Cost_Components!$A$2:$A$27,0)),"")</f>
        <v>2025</v>
      </c>
      <c r="AB942" s="24">
        <f>IFERROR(INDEX(Cost_Components!$V$2:$V$27,MATCH(E942,Cost_Components!$A$2:$A$27,0)),"")</f>
        <v>2050</v>
      </c>
      <c r="AC942" s="24">
        <f>IFERROR(INDEX(Cost_Components!$M$2:$M$27,MATCH(E942,Cost_Components!$A$2:$A$27,0)),"")</f>
        <v>0</v>
      </c>
      <c r="AD942" s="24">
        <f>IFERROR(INDEX(Cost_Components!$N$2:$N$27,MATCH(E942,Cost_Components!$A$2:$A$27,0)),"")</f>
        <v>95</v>
      </c>
      <c r="AE942" s="14" t="str">
        <f>IFERROR(INDEX(Cost_Components!$O$2:$O$27,MATCH(E942,Cost_Components!$A$2:$A$27,0)),"")</f>
        <v>Both</v>
      </c>
      <c r="AF942" s="11">
        <v>485235.76291830599</v>
      </c>
      <c r="AG942" s="11">
        <v>489637.48381828202</v>
      </c>
      <c r="AH942" s="21">
        <f t="shared" si="149"/>
        <v>1</v>
      </c>
    </row>
    <row r="943" spans="1:34" hidden="1">
      <c r="A943" t="s">
        <v>75</v>
      </c>
      <c r="B943" s="18">
        <v>2030</v>
      </c>
      <c r="C943" t="s">
        <v>197</v>
      </c>
      <c r="D943" t="s">
        <v>163</v>
      </c>
      <c r="E943" s="20" t="s">
        <v>282</v>
      </c>
      <c r="F943" s="20" t="s">
        <v>283</v>
      </c>
      <c r="G943" s="20" t="s">
        <v>200</v>
      </c>
      <c r="H943" s="20" t="s">
        <v>192</v>
      </c>
      <c r="I943" s="20" t="s">
        <v>264</v>
      </c>
      <c r="J943" s="15">
        <f>IFERROR(INDEX(Cost_Components!$K$2:$K$27,MATCH(E943,Cost_Components!$A$2:$A$27,0)),"")</f>
        <v>1</v>
      </c>
      <c r="K943" s="15">
        <f t="shared" si="140"/>
        <v>0.42307692307692307</v>
      </c>
      <c r="L943" s="15">
        <f>IFERROR(INDEX(Cost_Components!$S$2:$S$27,MATCH(E943,Cost_Components!$A$2:$A$27,0)),"")</f>
        <v>0.31</v>
      </c>
      <c r="M943" s="26">
        <f>IFERROR(INDEX(Cost_Components!$L$2:$L$27,MATCH(E943,Cost_Components!$A$2:$A$27,0)),"")</f>
        <v>1</v>
      </c>
      <c r="N943" s="27">
        <f>IFERROR(INDEX(Cost_Components!$P$2:$P$27,MATCH(E943,Cost_Components!$A$2:$A$27,0)),"")</f>
        <v>115.10623099999999</v>
      </c>
      <c r="O943" s="21">
        <f t="shared" si="141"/>
        <v>498498.75684407202</v>
      </c>
      <c r="P943" s="21">
        <f t="shared" si="142"/>
        <v>504464.39473080903</v>
      </c>
      <c r="Q943" s="21">
        <f t="shared" si="143"/>
        <v>18000768.496859502</v>
      </c>
      <c r="R943" s="21">
        <f t="shared" si="144"/>
        <v>24276286.293983556</v>
      </c>
      <c r="S943" s="21">
        <f t="shared" si="145"/>
        <v>6275517.7971240543</v>
      </c>
      <c r="T943" s="14">
        <f>IFERROR(INDEX(Cost_Components!$R$2:$R$27,MATCH(E943,Cost_Components!$A$2:$A$27,0)),"")</f>
        <v>1</v>
      </c>
      <c r="U943" s="24">
        <f>IFERROR(INDEX(Cost_Components!$Q$2:$Q$27,MATCH(E943,Cost_Components!$A$2:$A$27,0)),"")</f>
        <v>2023</v>
      </c>
      <c r="V943" s="28">
        <f>1/(1+Calculation_Assumptions!$B$5)^(B943-Calculation_Assumptions!$B$2)</f>
        <v>0.86260878438416411</v>
      </c>
      <c r="W943" s="21">
        <f t="shared" si="146"/>
        <v>15527621.031056732</v>
      </c>
      <c r="X943" s="21">
        <f t="shared" si="147"/>
        <v>20940937.809415098</v>
      </c>
      <c r="Y943" s="21">
        <f t="shared" si="148"/>
        <v>5413316.7783583682</v>
      </c>
      <c r="Z943" s="15">
        <f>IFERROR(INDEX(Cost_Components!$T$2:$T$27,MATCH(E943,Cost_Components!$A$2:$A$27,0)),"")</f>
        <v>0.8</v>
      </c>
      <c r="AA943" s="24">
        <f>IFERROR(INDEX(Cost_Components!$U$2:$U$27,MATCH(E943,Cost_Components!$A$2:$A$27,0)),"")</f>
        <v>2025</v>
      </c>
      <c r="AB943" s="24">
        <f>IFERROR(INDEX(Cost_Components!$V$2:$V$27,MATCH(E943,Cost_Components!$A$2:$A$27,0)),"")</f>
        <v>2050</v>
      </c>
      <c r="AC943" s="24">
        <f>IFERROR(INDEX(Cost_Components!$M$2:$M$27,MATCH(E943,Cost_Components!$A$2:$A$27,0)),"")</f>
        <v>0</v>
      </c>
      <c r="AD943" s="24">
        <f>IFERROR(INDEX(Cost_Components!$N$2:$N$27,MATCH(E943,Cost_Components!$A$2:$A$27,0)),"")</f>
        <v>95</v>
      </c>
      <c r="AE943" s="14" t="str">
        <f>IFERROR(INDEX(Cost_Components!$O$2:$O$27,MATCH(E943,Cost_Components!$A$2:$A$27,0)),"")</f>
        <v>Both</v>
      </c>
      <c r="AF943" s="11">
        <v>498498.75684407202</v>
      </c>
      <c r="AG943" s="11">
        <v>504464.39473080903</v>
      </c>
      <c r="AH943" s="21">
        <f t="shared" si="149"/>
        <v>1</v>
      </c>
    </row>
    <row r="944" spans="1:34" hidden="1">
      <c r="A944" t="s">
        <v>75</v>
      </c>
      <c r="B944" s="18">
        <v>2031</v>
      </c>
      <c r="C944" t="s">
        <v>197</v>
      </c>
      <c r="D944" t="s">
        <v>163</v>
      </c>
      <c r="E944" s="20" t="s">
        <v>282</v>
      </c>
      <c r="F944" s="20" t="s">
        <v>283</v>
      </c>
      <c r="G944" s="20" t="s">
        <v>200</v>
      </c>
      <c r="H944" s="20" t="s">
        <v>192</v>
      </c>
      <c r="I944" s="20" t="s">
        <v>264</v>
      </c>
      <c r="J944" s="15">
        <f>IFERROR(INDEX(Cost_Components!$K$2:$K$27,MATCH(E944,Cost_Components!$A$2:$A$27,0)),"")</f>
        <v>1</v>
      </c>
      <c r="K944" s="15">
        <f t="shared" si="140"/>
        <v>0.44192307692307692</v>
      </c>
      <c r="L944" s="15">
        <f>IFERROR(INDEX(Cost_Components!$S$2:$S$27,MATCH(E944,Cost_Components!$A$2:$A$27,0)),"")</f>
        <v>0.31</v>
      </c>
      <c r="M944" s="26">
        <f>IFERROR(INDEX(Cost_Components!$L$2:$L$27,MATCH(E944,Cost_Components!$A$2:$A$27,0)),"")</f>
        <v>1</v>
      </c>
      <c r="N944" s="27">
        <f>IFERROR(INDEX(Cost_Components!$P$2:$P$27,MATCH(E944,Cost_Components!$A$2:$A$27,0)),"")</f>
        <v>115.10623099999999</v>
      </c>
      <c r="O944" s="21">
        <f t="shared" si="141"/>
        <v>511776.20324017102</v>
      </c>
      <c r="P944" s="21">
        <f t="shared" si="142"/>
        <v>519487.28069878498</v>
      </c>
      <c r="Q944" s="21">
        <f t="shared" si="143"/>
        <v>18536829.109439619</v>
      </c>
      <c r="R944" s="21">
        <f t="shared" si="144"/>
        <v>26033082.969679046</v>
      </c>
      <c r="S944" s="21">
        <f t="shared" si="145"/>
        <v>7496253.8602394275</v>
      </c>
      <c r="T944" s="14">
        <f>IFERROR(INDEX(Cost_Components!$R$2:$R$27,MATCH(E944,Cost_Components!$A$2:$A$27,0)),"")</f>
        <v>1</v>
      </c>
      <c r="U944" s="24">
        <f>IFERROR(INDEX(Cost_Components!$Q$2:$Q$27,MATCH(E944,Cost_Components!$A$2:$A$27,0)),"")</f>
        <v>2023</v>
      </c>
      <c r="V944" s="28">
        <f>1/(1+Calculation_Assumptions!$B$5)^(B944-Calculation_Assumptions!$B$2)</f>
        <v>0.83748425668365445</v>
      </c>
      <c r="W944" s="21">
        <f t="shared" si="146"/>
        <v>15524302.547990967</v>
      </c>
      <c r="X944" s="21">
        <f t="shared" si="147"/>
        <v>21802297.140045561</v>
      </c>
      <c r="Y944" s="21">
        <f t="shared" si="148"/>
        <v>6277994.5920545924</v>
      </c>
      <c r="Z944" s="15">
        <f>IFERROR(INDEX(Cost_Components!$T$2:$T$27,MATCH(E944,Cost_Components!$A$2:$A$27,0)),"")</f>
        <v>0.8</v>
      </c>
      <c r="AA944" s="24">
        <f>IFERROR(INDEX(Cost_Components!$U$2:$U$27,MATCH(E944,Cost_Components!$A$2:$A$27,0)),"")</f>
        <v>2025</v>
      </c>
      <c r="AB944" s="24">
        <f>IFERROR(INDEX(Cost_Components!$V$2:$V$27,MATCH(E944,Cost_Components!$A$2:$A$27,0)),"")</f>
        <v>2050</v>
      </c>
      <c r="AC944" s="24">
        <f>IFERROR(INDEX(Cost_Components!$M$2:$M$27,MATCH(E944,Cost_Components!$A$2:$A$27,0)),"")</f>
        <v>0</v>
      </c>
      <c r="AD944" s="24">
        <f>IFERROR(INDEX(Cost_Components!$N$2:$N$27,MATCH(E944,Cost_Components!$A$2:$A$27,0)),"")</f>
        <v>95</v>
      </c>
      <c r="AE944" s="14" t="str">
        <f>IFERROR(INDEX(Cost_Components!$O$2:$O$27,MATCH(E944,Cost_Components!$A$2:$A$27,0)),"")</f>
        <v>Both</v>
      </c>
      <c r="AF944" s="11">
        <v>511776.20324017102</v>
      </c>
      <c r="AG944" s="11">
        <v>519487.28069878498</v>
      </c>
      <c r="AH944" s="21">
        <f t="shared" si="149"/>
        <v>1</v>
      </c>
    </row>
    <row r="945" spans="1:34" hidden="1">
      <c r="A945" t="s">
        <v>75</v>
      </c>
      <c r="B945" s="18">
        <v>2032</v>
      </c>
      <c r="C945" t="s">
        <v>197</v>
      </c>
      <c r="D945" t="s">
        <v>163</v>
      </c>
      <c r="E945" s="20" t="s">
        <v>282</v>
      </c>
      <c r="F945" s="20" t="s">
        <v>283</v>
      </c>
      <c r="G945" s="20" t="s">
        <v>200</v>
      </c>
      <c r="H945" s="20" t="s">
        <v>192</v>
      </c>
      <c r="I945" s="20" t="s">
        <v>264</v>
      </c>
      <c r="J945" s="15">
        <f>IFERROR(INDEX(Cost_Components!$K$2:$K$27,MATCH(E945,Cost_Components!$A$2:$A$27,0)),"")</f>
        <v>1</v>
      </c>
      <c r="K945" s="15">
        <f t="shared" si="140"/>
        <v>0.46076923076923082</v>
      </c>
      <c r="L945" s="15">
        <f>IFERROR(INDEX(Cost_Components!$S$2:$S$27,MATCH(E945,Cost_Components!$A$2:$A$27,0)),"")</f>
        <v>0.31</v>
      </c>
      <c r="M945" s="26">
        <f>IFERROR(INDEX(Cost_Components!$L$2:$L$27,MATCH(E945,Cost_Components!$A$2:$A$27,0)),"")</f>
        <v>1</v>
      </c>
      <c r="N945" s="27">
        <f>IFERROR(INDEX(Cost_Components!$P$2:$P$27,MATCH(E945,Cost_Components!$A$2:$A$27,0)),"")</f>
        <v>115.10623099999999</v>
      </c>
      <c r="O945" s="21">
        <f t="shared" si="141"/>
        <v>525018.45338326099</v>
      </c>
      <c r="P945" s="21">
        <f t="shared" si="142"/>
        <v>534641.91244595998</v>
      </c>
      <c r="Q945" s="21">
        <f t="shared" si="143"/>
        <v>19077590.797648799</v>
      </c>
      <c r="R945" s="21">
        <f t="shared" si="144"/>
        <v>27845618.714818019</v>
      </c>
      <c r="S945" s="21">
        <f t="shared" si="145"/>
        <v>8768027.9171692207</v>
      </c>
      <c r="T945" s="14">
        <f>IFERROR(INDEX(Cost_Components!$R$2:$R$27,MATCH(E945,Cost_Components!$A$2:$A$27,0)),"")</f>
        <v>1</v>
      </c>
      <c r="U945" s="24">
        <f>IFERROR(INDEX(Cost_Components!$Q$2:$Q$27,MATCH(E945,Cost_Components!$A$2:$A$27,0)),"")</f>
        <v>2023</v>
      </c>
      <c r="V945" s="28">
        <f>1/(1+Calculation_Assumptions!$B$5)^(B945-Calculation_Assumptions!$B$2)</f>
        <v>0.81309151134335378</v>
      </c>
      <c r="W945" s="21">
        <f t="shared" si="146"/>
        <v>15511827.13445032</v>
      </c>
      <c r="X945" s="21">
        <f t="shared" si="147"/>
        <v>22641036.205122162</v>
      </c>
      <c r="Y945" s="21">
        <f t="shared" si="148"/>
        <v>7129209.0706718396</v>
      </c>
      <c r="Z945" s="15">
        <f>IFERROR(INDEX(Cost_Components!$T$2:$T$27,MATCH(E945,Cost_Components!$A$2:$A$27,0)),"")</f>
        <v>0.8</v>
      </c>
      <c r="AA945" s="24">
        <f>IFERROR(INDEX(Cost_Components!$U$2:$U$27,MATCH(E945,Cost_Components!$A$2:$A$27,0)),"")</f>
        <v>2025</v>
      </c>
      <c r="AB945" s="24">
        <f>IFERROR(INDEX(Cost_Components!$V$2:$V$27,MATCH(E945,Cost_Components!$A$2:$A$27,0)),"")</f>
        <v>2050</v>
      </c>
      <c r="AC945" s="24">
        <f>IFERROR(INDEX(Cost_Components!$M$2:$M$27,MATCH(E945,Cost_Components!$A$2:$A$27,0)),"")</f>
        <v>0</v>
      </c>
      <c r="AD945" s="24">
        <f>IFERROR(INDEX(Cost_Components!$N$2:$N$27,MATCH(E945,Cost_Components!$A$2:$A$27,0)),"")</f>
        <v>95</v>
      </c>
      <c r="AE945" s="14" t="str">
        <f>IFERROR(INDEX(Cost_Components!$O$2:$O$27,MATCH(E945,Cost_Components!$A$2:$A$27,0)),"")</f>
        <v>Both</v>
      </c>
      <c r="AF945" s="11">
        <v>525018.45338326099</v>
      </c>
      <c r="AG945" s="11">
        <v>534641.91244595998</v>
      </c>
      <c r="AH945" s="21">
        <f t="shared" si="149"/>
        <v>1</v>
      </c>
    </row>
    <row r="946" spans="1:34" hidden="1">
      <c r="A946" t="s">
        <v>75</v>
      </c>
      <c r="B946" s="18">
        <v>2033</v>
      </c>
      <c r="C946" t="s">
        <v>197</v>
      </c>
      <c r="D946" t="s">
        <v>163</v>
      </c>
      <c r="E946" s="20" t="s">
        <v>282</v>
      </c>
      <c r="F946" s="20" t="s">
        <v>283</v>
      </c>
      <c r="G946" s="20" t="s">
        <v>200</v>
      </c>
      <c r="H946" s="20" t="s">
        <v>192</v>
      </c>
      <c r="I946" s="20" t="s">
        <v>264</v>
      </c>
      <c r="J946" s="15">
        <f>IFERROR(INDEX(Cost_Components!$K$2:$K$27,MATCH(E946,Cost_Components!$A$2:$A$27,0)),"")</f>
        <v>1</v>
      </c>
      <c r="K946" s="15">
        <f t="shared" si="140"/>
        <v>0.47961538461538467</v>
      </c>
      <c r="L946" s="15">
        <f>IFERROR(INDEX(Cost_Components!$S$2:$S$27,MATCH(E946,Cost_Components!$A$2:$A$27,0)),"")</f>
        <v>0.31</v>
      </c>
      <c r="M946" s="26">
        <f>IFERROR(INDEX(Cost_Components!$L$2:$L$27,MATCH(E946,Cost_Components!$A$2:$A$27,0)),"")</f>
        <v>1</v>
      </c>
      <c r="N946" s="27">
        <f>IFERROR(INDEX(Cost_Components!$P$2:$P$27,MATCH(E946,Cost_Components!$A$2:$A$27,0)),"")</f>
        <v>115.10623099999999</v>
      </c>
      <c r="O946" s="21">
        <f t="shared" si="141"/>
        <v>538189.03408905095</v>
      </c>
      <c r="P946" s="21">
        <f t="shared" si="142"/>
        <v>549875.43830405804</v>
      </c>
      <c r="Q946" s="21">
        <f t="shared" si="143"/>
        <v>19621167.659022477</v>
      </c>
      <c r="R946" s="21">
        <f t="shared" si="144"/>
        <v>29711650.909831889</v>
      </c>
      <c r="S946" s="21">
        <f t="shared" si="145"/>
        <v>10090483.250809412</v>
      </c>
      <c r="T946" s="14">
        <f>IFERROR(INDEX(Cost_Components!$R$2:$R$27,MATCH(E946,Cost_Components!$A$2:$A$27,0)),"")</f>
        <v>1</v>
      </c>
      <c r="U946" s="24">
        <f>IFERROR(INDEX(Cost_Components!$Q$2:$Q$27,MATCH(E946,Cost_Components!$A$2:$A$27,0)),"")</f>
        <v>2023</v>
      </c>
      <c r="V946" s="28">
        <f>1/(1+Calculation_Assumptions!$B$5)^(B946-Calculation_Assumptions!$B$2)</f>
        <v>0.78940923431393573</v>
      </c>
      <c r="W946" s="21">
        <f t="shared" si="146"/>
        <v>15489130.938054292</v>
      </c>
      <c r="X946" s="21">
        <f t="shared" si="147"/>
        <v>23454651.594933342</v>
      </c>
      <c r="Y946" s="21">
        <f t="shared" si="148"/>
        <v>7965520.6568790516</v>
      </c>
      <c r="Z946" s="15">
        <f>IFERROR(INDEX(Cost_Components!$T$2:$T$27,MATCH(E946,Cost_Components!$A$2:$A$27,0)),"")</f>
        <v>0.8</v>
      </c>
      <c r="AA946" s="24">
        <f>IFERROR(INDEX(Cost_Components!$U$2:$U$27,MATCH(E946,Cost_Components!$A$2:$A$27,0)),"")</f>
        <v>2025</v>
      </c>
      <c r="AB946" s="24">
        <f>IFERROR(INDEX(Cost_Components!$V$2:$V$27,MATCH(E946,Cost_Components!$A$2:$A$27,0)),"")</f>
        <v>2050</v>
      </c>
      <c r="AC946" s="24">
        <f>IFERROR(INDEX(Cost_Components!$M$2:$M$27,MATCH(E946,Cost_Components!$A$2:$A$27,0)),"")</f>
        <v>0</v>
      </c>
      <c r="AD946" s="24">
        <f>IFERROR(INDEX(Cost_Components!$N$2:$N$27,MATCH(E946,Cost_Components!$A$2:$A$27,0)),"")</f>
        <v>95</v>
      </c>
      <c r="AE946" s="14" t="str">
        <f>IFERROR(INDEX(Cost_Components!$O$2:$O$27,MATCH(E946,Cost_Components!$A$2:$A$27,0)),"")</f>
        <v>Both</v>
      </c>
      <c r="AF946" s="11">
        <v>538189.03408905095</v>
      </c>
      <c r="AG946" s="11">
        <v>549875.43830405804</v>
      </c>
      <c r="AH946" s="21">
        <f t="shared" si="149"/>
        <v>1</v>
      </c>
    </row>
    <row r="947" spans="1:34" hidden="1">
      <c r="A947" t="s">
        <v>75</v>
      </c>
      <c r="B947" s="18">
        <v>2034</v>
      </c>
      <c r="C947" t="s">
        <v>197</v>
      </c>
      <c r="D947" t="s">
        <v>163</v>
      </c>
      <c r="E947" s="20" t="s">
        <v>282</v>
      </c>
      <c r="F947" s="20" t="s">
        <v>283</v>
      </c>
      <c r="G947" s="20" t="s">
        <v>200</v>
      </c>
      <c r="H947" s="20" t="s">
        <v>192</v>
      </c>
      <c r="I947" s="20" t="s">
        <v>264</v>
      </c>
      <c r="J947" s="15">
        <f>IFERROR(INDEX(Cost_Components!$K$2:$K$27,MATCH(E947,Cost_Components!$A$2:$A$27,0)),"")</f>
        <v>1</v>
      </c>
      <c r="K947" s="15">
        <f t="shared" si="140"/>
        <v>0.49846153846153851</v>
      </c>
      <c r="L947" s="15">
        <f>IFERROR(INDEX(Cost_Components!$S$2:$S$27,MATCH(E947,Cost_Components!$A$2:$A$27,0)),"")</f>
        <v>0.31</v>
      </c>
      <c r="M947" s="26">
        <f>IFERROR(INDEX(Cost_Components!$L$2:$L$27,MATCH(E947,Cost_Components!$A$2:$A$27,0)),"")</f>
        <v>1</v>
      </c>
      <c r="N947" s="27">
        <f>IFERROR(INDEX(Cost_Components!$P$2:$P$27,MATCH(E947,Cost_Components!$A$2:$A$27,0)),"")</f>
        <v>115.10623099999999</v>
      </c>
      <c r="O947" s="21">
        <f t="shared" si="141"/>
        <v>551254.01976097398</v>
      </c>
      <c r="P947" s="21">
        <f t="shared" si="142"/>
        <v>565138.85185603704</v>
      </c>
      <c r="Q947" s="21">
        <f t="shared" si="143"/>
        <v>20165811.000932891</v>
      </c>
      <c r="R947" s="21">
        <f t="shared" si="144"/>
        <v>31628766.619083717</v>
      </c>
      <c r="S947" s="21">
        <f t="shared" si="145"/>
        <v>11462955.618150827</v>
      </c>
      <c r="T947" s="14">
        <f>IFERROR(INDEX(Cost_Components!$R$2:$R$27,MATCH(E947,Cost_Components!$A$2:$A$27,0)),"")</f>
        <v>1</v>
      </c>
      <c r="U947" s="24">
        <f>IFERROR(INDEX(Cost_Components!$Q$2:$Q$27,MATCH(E947,Cost_Components!$A$2:$A$27,0)),"")</f>
        <v>2023</v>
      </c>
      <c r="V947" s="28">
        <f>1/(1+Calculation_Assumptions!$B$5)^(B947-Calculation_Assumptions!$B$2)</f>
        <v>0.76641673234362695</v>
      </c>
      <c r="W947" s="21">
        <f t="shared" si="146"/>
        <v>15455414.972394152</v>
      </c>
      <c r="X947" s="21">
        <f t="shared" si="147"/>
        <v>24240815.960257329</v>
      </c>
      <c r="Y947" s="21">
        <f t="shared" si="148"/>
        <v>8785400.9878631774</v>
      </c>
      <c r="Z947" s="15">
        <f>IFERROR(INDEX(Cost_Components!$T$2:$T$27,MATCH(E947,Cost_Components!$A$2:$A$27,0)),"")</f>
        <v>0.8</v>
      </c>
      <c r="AA947" s="24">
        <f>IFERROR(INDEX(Cost_Components!$U$2:$U$27,MATCH(E947,Cost_Components!$A$2:$A$27,0)),"")</f>
        <v>2025</v>
      </c>
      <c r="AB947" s="24">
        <f>IFERROR(INDEX(Cost_Components!$V$2:$V$27,MATCH(E947,Cost_Components!$A$2:$A$27,0)),"")</f>
        <v>2050</v>
      </c>
      <c r="AC947" s="24">
        <f>IFERROR(INDEX(Cost_Components!$M$2:$M$27,MATCH(E947,Cost_Components!$A$2:$A$27,0)),"")</f>
        <v>0</v>
      </c>
      <c r="AD947" s="24">
        <f>IFERROR(INDEX(Cost_Components!$N$2:$N$27,MATCH(E947,Cost_Components!$A$2:$A$27,0)),"")</f>
        <v>95</v>
      </c>
      <c r="AE947" s="14" t="str">
        <f>IFERROR(INDEX(Cost_Components!$O$2:$O$27,MATCH(E947,Cost_Components!$A$2:$A$27,0)),"")</f>
        <v>Both</v>
      </c>
      <c r="AF947" s="11">
        <v>551254.01976097398</v>
      </c>
      <c r="AG947" s="11">
        <v>565138.85185603704</v>
      </c>
      <c r="AH947" s="21">
        <f t="shared" si="149"/>
        <v>1</v>
      </c>
    </row>
    <row r="948" spans="1:34" hidden="1">
      <c r="A948" t="s">
        <v>75</v>
      </c>
      <c r="B948" s="18">
        <v>2035</v>
      </c>
      <c r="C948" t="s">
        <v>197</v>
      </c>
      <c r="D948" t="s">
        <v>163</v>
      </c>
      <c r="E948" s="20" t="s">
        <v>282</v>
      </c>
      <c r="F948" s="20" t="s">
        <v>283</v>
      </c>
      <c r="G948" s="20" t="s">
        <v>200</v>
      </c>
      <c r="H948" s="20" t="s">
        <v>192</v>
      </c>
      <c r="I948" s="20" t="s">
        <v>264</v>
      </c>
      <c r="J948" s="15">
        <f>IFERROR(INDEX(Cost_Components!$K$2:$K$27,MATCH(E948,Cost_Components!$A$2:$A$27,0)),"")</f>
        <v>1</v>
      </c>
      <c r="K948" s="15">
        <f t="shared" si="140"/>
        <v>0.51730769230769236</v>
      </c>
      <c r="L948" s="15">
        <f>IFERROR(INDEX(Cost_Components!$S$2:$S$27,MATCH(E948,Cost_Components!$A$2:$A$27,0)),"")</f>
        <v>0.31</v>
      </c>
      <c r="M948" s="26">
        <f>IFERROR(INDEX(Cost_Components!$L$2:$L$27,MATCH(E948,Cost_Components!$A$2:$A$27,0)),"")</f>
        <v>1</v>
      </c>
      <c r="N948" s="27">
        <f>IFERROR(INDEX(Cost_Components!$P$2:$P$27,MATCH(E948,Cost_Components!$A$2:$A$27,0)),"")</f>
        <v>115.10623099999999</v>
      </c>
      <c r="O948" s="21">
        <f t="shared" si="141"/>
        <v>564175.90601958695</v>
      </c>
      <c r="P948" s="21">
        <f t="shared" si="142"/>
        <v>580380.33511538198</v>
      </c>
      <c r="Q948" s="21">
        <f t="shared" si="143"/>
        <v>20709671.805711053</v>
      </c>
      <c r="R948" s="21">
        <f t="shared" si="144"/>
        <v>33594045.426589981</v>
      </c>
      <c r="S948" s="21">
        <f t="shared" si="145"/>
        <v>12884373.620878927</v>
      </c>
      <c r="T948" s="14">
        <f>IFERROR(INDEX(Cost_Components!$R$2:$R$27,MATCH(E948,Cost_Components!$A$2:$A$27,0)),"")</f>
        <v>1</v>
      </c>
      <c r="U948" s="24">
        <f>IFERROR(INDEX(Cost_Components!$Q$2:$Q$27,MATCH(E948,Cost_Components!$A$2:$A$27,0)),"")</f>
        <v>2023</v>
      </c>
      <c r="V948" s="28">
        <f>1/(1+Calculation_Assumptions!$B$5)^(B948-Calculation_Assumptions!$B$2)</f>
        <v>0.74409391489672516</v>
      </c>
      <c r="W948" s="21">
        <f t="shared" si="146"/>
        <v>15409940.770137869</v>
      </c>
      <c r="X948" s="21">
        <f t="shared" si="147"/>
        <v>24997124.778689764</v>
      </c>
      <c r="Y948" s="21">
        <f t="shared" si="148"/>
        <v>9587184.0085518956</v>
      </c>
      <c r="Z948" s="15">
        <f>IFERROR(INDEX(Cost_Components!$T$2:$T$27,MATCH(E948,Cost_Components!$A$2:$A$27,0)),"")</f>
        <v>0.8</v>
      </c>
      <c r="AA948" s="24">
        <f>IFERROR(INDEX(Cost_Components!$U$2:$U$27,MATCH(E948,Cost_Components!$A$2:$A$27,0)),"")</f>
        <v>2025</v>
      </c>
      <c r="AB948" s="24">
        <f>IFERROR(INDEX(Cost_Components!$V$2:$V$27,MATCH(E948,Cost_Components!$A$2:$A$27,0)),"")</f>
        <v>2050</v>
      </c>
      <c r="AC948" s="24">
        <f>IFERROR(INDEX(Cost_Components!$M$2:$M$27,MATCH(E948,Cost_Components!$A$2:$A$27,0)),"")</f>
        <v>0</v>
      </c>
      <c r="AD948" s="24">
        <f>IFERROR(INDEX(Cost_Components!$N$2:$N$27,MATCH(E948,Cost_Components!$A$2:$A$27,0)),"")</f>
        <v>95</v>
      </c>
      <c r="AE948" s="14" t="str">
        <f>IFERROR(INDEX(Cost_Components!$O$2:$O$27,MATCH(E948,Cost_Components!$A$2:$A$27,0)),"")</f>
        <v>Both</v>
      </c>
      <c r="AF948" s="11">
        <v>564175.90601958695</v>
      </c>
      <c r="AG948" s="11">
        <v>580380.33511538198</v>
      </c>
      <c r="AH948" s="21">
        <f t="shared" si="149"/>
        <v>1</v>
      </c>
    </row>
    <row r="949" spans="1:34" hidden="1">
      <c r="A949" t="s">
        <v>75</v>
      </c>
      <c r="B949" s="18">
        <v>2036</v>
      </c>
      <c r="C949" t="s">
        <v>197</v>
      </c>
      <c r="D949" t="s">
        <v>163</v>
      </c>
      <c r="E949" s="20" t="s">
        <v>282</v>
      </c>
      <c r="F949" s="20" t="s">
        <v>283</v>
      </c>
      <c r="G949" s="20" t="s">
        <v>200</v>
      </c>
      <c r="H949" s="20" t="s">
        <v>192</v>
      </c>
      <c r="I949" s="20" t="s">
        <v>264</v>
      </c>
      <c r="J949" s="15">
        <f>IFERROR(INDEX(Cost_Components!$K$2:$K$27,MATCH(E949,Cost_Components!$A$2:$A$27,0)),"")</f>
        <v>1</v>
      </c>
      <c r="K949" s="15">
        <f t="shared" si="140"/>
        <v>0.5361538461538462</v>
      </c>
      <c r="L949" s="15">
        <f>IFERROR(INDEX(Cost_Components!$S$2:$S$27,MATCH(E949,Cost_Components!$A$2:$A$27,0)),"")</f>
        <v>0.31</v>
      </c>
      <c r="M949" s="26">
        <f>IFERROR(INDEX(Cost_Components!$L$2:$L$27,MATCH(E949,Cost_Components!$A$2:$A$27,0)),"")</f>
        <v>1</v>
      </c>
      <c r="N949" s="27">
        <f>IFERROR(INDEX(Cost_Components!$P$2:$P$27,MATCH(E949,Cost_Components!$A$2:$A$27,0)),"")</f>
        <v>115.10623099999999</v>
      </c>
      <c r="O949" s="21">
        <f t="shared" si="141"/>
        <v>576945.93371352297</v>
      </c>
      <c r="P949" s="21">
        <f t="shared" si="142"/>
        <v>595578.09413784102</v>
      </c>
      <c r="Q949" s="21">
        <f t="shared" si="143"/>
        <v>21251972.401534721</v>
      </c>
      <c r="R949" s="21">
        <f t="shared" si="144"/>
        <v>35606015.483550772</v>
      </c>
      <c r="S949" s="21">
        <f t="shared" si="145"/>
        <v>14354043.082016051</v>
      </c>
      <c r="T949" s="14">
        <f>IFERROR(INDEX(Cost_Components!$R$2:$R$27,MATCH(E949,Cost_Components!$A$2:$A$27,0)),"")</f>
        <v>1</v>
      </c>
      <c r="U949" s="24">
        <f>IFERROR(INDEX(Cost_Components!$Q$2:$Q$27,MATCH(E949,Cost_Components!$A$2:$A$27,0)),"")</f>
        <v>2023</v>
      </c>
      <c r="V949" s="28">
        <f>1/(1+Calculation_Assumptions!$B$5)^(B949-Calculation_Assumptions!$B$2)</f>
        <v>0.72242127659876232</v>
      </c>
      <c r="W949" s="21">
        <f t="shared" si="146"/>
        <v>15352877.032558378</v>
      </c>
      <c r="X949" s="21">
        <f t="shared" si="147"/>
        <v>25722543.160222046</v>
      </c>
      <c r="Y949" s="21">
        <f t="shared" si="148"/>
        <v>10369666.127663668</v>
      </c>
      <c r="Z949" s="15">
        <f>IFERROR(INDEX(Cost_Components!$T$2:$T$27,MATCH(E949,Cost_Components!$A$2:$A$27,0)),"")</f>
        <v>0.8</v>
      </c>
      <c r="AA949" s="24">
        <f>IFERROR(INDEX(Cost_Components!$U$2:$U$27,MATCH(E949,Cost_Components!$A$2:$A$27,0)),"")</f>
        <v>2025</v>
      </c>
      <c r="AB949" s="24">
        <f>IFERROR(INDEX(Cost_Components!$V$2:$V$27,MATCH(E949,Cost_Components!$A$2:$A$27,0)),"")</f>
        <v>2050</v>
      </c>
      <c r="AC949" s="24">
        <f>IFERROR(INDEX(Cost_Components!$M$2:$M$27,MATCH(E949,Cost_Components!$A$2:$A$27,0)),"")</f>
        <v>0</v>
      </c>
      <c r="AD949" s="24">
        <f>IFERROR(INDEX(Cost_Components!$N$2:$N$27,MATCH(E949,Cost_Components!$A$2:$A$27,0)),"")</f>
        <v>95</v>
      </c>
      <c r="AE949" s="14" t="str">
        <f>IFERROR(INDEX(Cost_Components!$O$2:$O$27,MATCH(E949,Cost_Components!$A$2:$A$27,0)),"")</f>
        <v>Both</v>
      </c>
      <c r="AF949" s="11">
        <v>576945.93371352297</v>
      </c>
      <c r="AG949" s="11">
        <v>595578.09413784102</v>
      </c>
      <c r="AH949" s="21">
        <f t="shared" si="149"/>
        <v>1</v>
      </c>
    </row>
    <row r="950" spans="1:34" hidden="1">
      <c r="A950" t="s">
        <v>75</v>
      </c>
      <c r="B950" s="18">
        <v>2037</v>
      </c>
      <c r="C950" t="s">
        <v>197</v>
      </c>
      <c r="D950" t="s">
        <v>163</v>
      </c>
      <c r="E950" s="20" t="s">
        <v>282</v>
      </c>
      <c r="F950" s="20" t="s">
        <v>283</v>
      </c>
      <c r="G950" s="20" t="s">
        <v>200</v>
      </c>
      <c r="H950" s="20" t="s">
        <v>192</v>
      </c>
      <c r="I950" s="20" t="s">
        <v>264</v>
      </c>
      <c r="J950" s="15">
        <f>IFERROR(INDEX(Cost_Components!$K$2:$K$27,MATCH(E950,Cost_Components!$A$2:$A$27,0)),"")</f>
        <v>1</v>
      </c>
      <c r="K950" s="15">
        <f t="shared" si="140"/>
        <v>0.55500000000000005</v>
      </c>
      <c r="L950" s="15">
        <f>IFERROR(INDEX(Cost_Components!$S$2:$S$27,MATCH(E950,Cost_Components!$A$2:$A$27,0)),"")</f>
        <v>0.31</v>
      </c>
      <c r="M950" s="26">
        <f>IFERROR(INDEX(Cost_Components!$L$2:$L$27,MATCH(E950,Cost_Components!$A$2:$A$27,0)),"")</f>
        <v>1</v>
      </c>
      <c r="N950" s="27">
        <f>IFERROR(INDEX(Cost_Components!$P$2:$P$27,MATCH(E950,Cost_Components!$A$2:$A$27,0)),"")</f>
        <v>115.10623099999999</v>
      </c>
      <c r="O950" s="21">
        <f t="shared" si="141"/>
        <v>589590.80206224602</v>
      </c>
      <c r="P950" s="21">
        <f t="shared" si="142"/>
        <v>610747.90542846499</v>
      </c>
      <c r="Q950" s="21">
        <f t="shared" si="143"/>
        <v>21793275.740354665</v>
      </c>
      <c r="R950" s="21">
        <f t="shared" si="144"/>
        <v>37665394.156996958</v>
      </c>
      <c r="S950" s="21">
        <f t="shared" si="145"/>
        <v>15872118.416642293</v>
      </c>
      <c r="T950" s="14">
        <f>IFERROR(INDEX(Cost_Components!$R$2:$R$27,MATCH(E950,Cost_Components!$A$2:$A$27,0)),"")</f>
        <v>1</v>
      </c>
      <c r="U950" s="24">
        <f>IFERROR(INDEX(Cost_Components!$Q$2:$Q$27,MATCH(E950,Cost_Components!$A$2:$A$27,0)),"")</f>
        <v>2023</v>
      </c>
      <c r="V950" s="28">
        <f>1/(1+Calculation_Assumptions!$B$5)^(B950-Calculation_Assumptions!$B$2)</f>
        <v>0.70137988019297326</v>
      </c>
      <c r="W950" s="21">
        <f t="shared" si="146"/>
        <v>15285365.127782386</v>
      </c>
      <c r="X950" s="21">
        <f t="shared" si="147"/>
        <v>26417749.641255643</v>
      </c>
      <c r="Y950" s="21">
        <f t="shared" si="148"/>
        <v>11132384.513473256</v>
      </c>
      <c r="Z950" s="15">
        <f>IFERROR(INDEX(Cost_Components!$T$2:$T$27,MATCH(E950,Cost_Components!$A$2:$A$27,0)),"")</f>
        <v>0.8</v>
      </c>
      <c r="AA950" s="24">
        <f>IFERROR(INDEX(Cost_Components!$U$2:$U$27,MATCH(E950,Cost_Components!$A$2:$A$27,0)),"")</f>
        <v>2025</v>
      </c>
      <c r="AB950" s="24">
        <f>IFERROR(INDEX(Cost_Components!$V$2:$V$27,MATCH(E950,Cost_Components!$A$2:$A$27,0)),"")</f>
        <v>2050</v>
      </c>
      <c r="AC950" s="24">
        <f>IFERROR(INDEX(Cost_Components!$M$2:$M$27,MATCH(E950,Cost_Components!$A$2:$A$27,0)),"")</f>
        <v>0</v>
      </c>
      <c r="AD950" s="24">
        <f>IFERROR(INDEX(Cost_Components!$N$2:$N$27,MATCH(E950,Cost_Components!$A$2:$A$27,0)),"")</f>
        <v>95</v>
      </c>
      <c r="AE950" s="14" t="str">
        <f>IFERROR(INDEX(Cost_Components!$O$2:$O$27,MATCH(E950,Cost_Components!$A$2:$A$27,0)),"")</f>
        <v>Both</v>
      </c>
      <c r="AF950" s="11">
        <v>589590.80206224602</v>
      </c>
      <c r="AG950" s="11">
        <v>610747.90542846499</v>
      </c>
      <c r="AH950" s="21">
        <f t="shared" si="149"/>
        <v>1</v>
      </c>
    </row>
    <row r="951" spans="1:34" hidden="1">
      <c r="A951" t="s">
        <v>75</v>
      </c>
      <c r="B951" s="18">
        <v>2038</v>
      </c>
      <c r="C951" t="s">
        <v>197</v>
      </c>
      <c r="D951" t="s">
        <v>163</v>
      </c>
      <c r="E951" s="20" t="s">
        <v>282</v>
      </c>
      <c r="F951" s="20" t="s">
        <v>283</v>
      </c>
      <c r="G951" s="20" t="s">
        <v>200</v>
      </c>
      <c r="H951" s="20" t="s">
        <v>192</v>
      </c>
      <c r="I951" s="20" t="s">
        <v>264</v>
      </c>
      <c r="J951" s="15">
        <f>IFERROR(INDEX(Cost_Components!$K$2:$K$27,MATCH(E951,Cost_Components!$A$2:$A$27,0)),"")</f>
        <v>1</v>
      </c>
      <c r="K951" s="15">
        <f t="shared" si="140"/>
        <v>0.57384615384615389</v>
      </c>
      <c r="L951" s="15">
        <f>IFERROR(INDEX(Cost_Components!$S$2:$S$27,MATCH(E951,Cost_Components!$A$2:$A$27,0)),"")</f>
        <v>0.31</v>
      </c>
      <c r="M951" s="26">
        <f>IFERROR(INDEX(Cost_Components!$L$2:$L$27,MATCH(E951,Cost_Components!$A$2:$A$27,0)),"")</f>
        <v>1</v>
      </c>
      <c r="N951" s="27">
        <f>IFERROR(INDEX(Cost_Components!$P$2:$P$27,MATCH(E951,Cost_Components!$A$2:$A$27,0)),"")</f>
        <v>115.10623099999999</v>
      </c>
      <c r="O951" s="21">
        <f t="shared" si="141"/>
        <v>602123.19032113196</v>
      </c>
      <c r="P951" s="21">
        <f t="shared" si="142"/>
        <v>625892.24274303101</v>
      </c>
      <c r="Q951" s="21">
        <f t="shared" si="143"/>
        <v>22333670.093029093</v>
      </c>
      <c r="R951" s="21">
        <f t="shared" si="144"/>
        <v>39772204.425022036</v>
      </c>
      <c r="S951" s="21">
        <f t="shared" si="145"/>
        <v>17438534.331992943</v>
      </c>
      <c r="T951" s="14">
        <f>IFERROR(INDEX(Cost_Components!$R$2:$R$27,MATCH(E951,Cost_Components!$A$2:$A$27,0)),"")</f>
        <v>1</v>
      </c>
      <c r="U951" s="24">
        <f>IFERROR(INDEX(Cost_Components!$Q$2:$Q$27,MATCH(E951,Cost_Components!$A$2:$A$27,0)),"")</f>
        <v>2023</v>
      </c>
      <c r="V951" s="28">
        <f>1/(1+Calculation_Assumptions!$B$5)^(B951-Calculation_Assumptions!$B$2)</f>
        <v>0.68095133999317792</v>
      </c>
      <c r="W951" s="21">
        <f t="shared" si="146"/>
        <v>15208142.576813724</v>
      </c>
      <c r="X951" s="21">
        <f t="shared" si="147"/>
        <v>27082935.897701357</v>
      </c>
      <c r="Y951" s="21">
        <f t="shared" si="148"/>
        <v>11874793.320887633</v>
      </c>
      <c r="Z951" s="15">
        <f>IFERROR(INDEX(Cost_Components!$T$2:$T$27,MATCH(E951,Cost_Components!$A$2:$A$27,0)),"")</f>
        <v>0.8</v>
      </c>
      <c r="AA951" s="24">
        <f>IFERROR(INDEX(Cost_Components!$U$2:$U$27,MATCH(E951,Cost_Components!$A$2:$A$27,0)),"")</f>
        <v>2025</v>
      </c>
      <c r="AB951" s="24">
        <f>IFERROR(INDEX(Cost_Components!$V$2:$V$27,MATCH(E951,Cost_Components!$A$2:$A$27,0)),"")</f>
        <v>2050</v>
      </c>
      <c r="AC951" s="24">
        <f>IFERROR(INDEX(Cost_Components!$M$2:$M$27,MATCH(E951,Cost_Components!$A$2:$A$27,0)),"")</f>
        <v>0</v>
      </c>
      <c r="AD951" s="24">
        <f>IFERROR(INDEX(Cost_Components!$N$2:$N$27,MATCH(E951,Cost_Components!$A$2:$A$27,0)),"")</f>
        <v>95</v>
      </c>
      <c r="AE951" s="14" t="str">
        <f>IFERROR(INDEX(Cost_Components!$O$2:$O$27,MATCH(E951,Cost_Components!$A$2:$A$27,0)),"")</f>
        <v>Both</v>
      </c>
      <c r="AF951" s="11">
        <v>602123.19032113196</v>
      </c>
      <c r="AG951" s="11">
        <v>625892.24274303101</v>
      </c>
      <c r="AH951" s="21">
        <f t="shared" si="149"/>
        <v>1</v>
      </c>
    </row>
    <row r="952" spans="1:34" hidden="1">
      <c r="A952" t="s">
        <v>75</v>
      </c>
      <c r="B952" s="18">
        <v>2039</v>
      </c>
      <c r="C952" t="s">
        <v>197</v>
      </c>
      <c r="D952" t="s">
        <v>163</v>
      </c>
      <c r="E952" s="20" t="s">
        <v>282</v>
      </c>
      <c r="F952" s="20" t="s">
        <v>283</v>
      </c>
      <c r="G952" s="20" t="s">
        <v>200</v>
      </c>
      <c r="H952" s="20" t="s">
        <v>192</v>
      </c>
      <c r="I952" s="20" t="s">
        <v>264</v>
      </c>
      <c r="J952" s="15">
        <f>IFERROR(INDEX(Cost_Components!$K$2:$K$27,MATCH(E952,Cost_Components!$A$2:$A$27,0)),"")</f>
        <v>1</v>
      </c>
      <c r="K952" s="15">
        <f t="shared" si="140"/>
        <v>0.59269230769230763</v>
      </c>
      <c r="L952" s="15">
        <f>IFERROR(INDEX(Cost_Components!$S$2:$S$27,MATCH(E952,Cost_Components!$A$2:$A$27,0)),"")</f>
        <v>0.31</v>
      </c>
      <c r="M952" s="26">
        <f>IFERROR(INDEX(Cost_Components!$L$2:$L$27,MATCH(E952,Cost_Components!$A$2:$A$27,0)),"")</f>
        <v>1</v>
      </c>
      <c r="N952" s="27">
        <f>IFERROR(INDEX(Cost_Components!$P$2:$P$27,MATCH(E952,Cost_Components!$A$2:$A$27,0)),"")</f>
        <v>115.10623099999999</v>
      </c>
      <c r="O952" s="21">
        <f t="shared" si="141"/>
        <v>614530.57650649198</v>
      </c>
      <c r="P952" s="21">
        <f t="shared" si="142"/>
        <v>640986.26530763402</v>
      </c>
      <c r="Q952" s="21">
        <f t="shared" si="143"/>
        <v>22872269.067921616</v>
      </c>
      <c r="R952" s="21">
        <f t="shared" si="144"/>
        <v>41924859.9931584</v>
      </c>
      <c r="S952" s="21">
        <f t="shared" si="145"/>
        <v>19052590.925236784</v>
      </c>
      <c r="T952" s="14">
        <f>IFERROR(INDEX(Cost_Components!$R$2:$R$27,MATCH(E952,Cost_Components!$A$2:$A$27,0)),"")</f>
        <v>1</v>
      </c>
      <c r="U952" s="24">
        <f>IFERROR(INDEX(Cost_Components!$Q$2:$Q$27,MATCH(E952,Cost_Components!$A$2:$A$27,0)),"")</f>
        <v>2023</v>
      </c>
      <c r="V952" s="28">
        <f>1/(1+Calculation_Assumptions!$B$5)^(B952-Calculation_Assumptions!$B$2)</f>
        <v>0.66111780581861923</v>
      </c>
      <c r="W952" s="21">
        <f t="shared" si="146"/>
        <v>15121264.340277415</v>
      </c>
      <c r="X952" s="21">
        <f t="shared" si="147"/>
        <v>27717271.447929692</v>
      </c>
      <c r="Y952" s="21">
        <f t="shared" si="148"/>
        <v>12596007.107652279</v>
      </c>
      <c r="Z952" s="15">
        <f>IFERROR(INDEX(Cost_Components!$T$2:$T$27,MATCH(E952,Cost_Components!$A$2:$A$27,0)),"")</f>
        <v>0.8</v>
      </c>
      <c r="AA952" s="24">
        <f>IFERROR(INDEX(Cost_Components!$U$2:$U$27,MATCH(E952,Cost_Components!$A$2:$A$27,0)),"")</f>
        <v>2025</v>
      </c>
      <c r="AB952" s="24">
        <f>IFERROR(INDEX(Cost_Components!$V$2:$V$27,MATCH(E952,Cost_Components!$A$2:$A$27,0)),"")</f>
        <v>2050</v>
      </c>
      <c r="AC952" s="24">
        <f>IFERROR(INDEX(Cost_Components!$M$2:$M$27,MATCH(E952,Cost_Components!$A$2:$A$27,0)),"")</f>
        <v>0</v>
      </c>
      <c r="AD952" s="24">
        <f>IFERROR(INDEX(Cost_Components!$N$2:$N$27,MATCH(E952,Cost_Components!$A$2:$A$27,0)),"")</f>
        <v>95</v>
      </c>
      <c r="AE952" s="14" t="str">
        <f>IFERROR(INDEX(Cost_Components!$O$2:$O$27,MATCH(E952,Cost_Components!$A$2:$A$27,0)),"")</f>
        <v>Both</v>
      </c>
      <c r="AF952" s="11">
        <v>614530.57650649198</v>
      </c>
      <c r="AG952" s="11">
        <v>640986.26530763402</v>
      </c>
      <c r="AH952" s="21">
        <f t="shared" si="149"/>
        <v>1</v>
      </c>
    </row>
    <row r="953" spans="1:34" hidden="1">
      <c r="A953" t="s">
        <v>75</v>
      </c>
      <c r="B953" s="18">
        <v>2040</v>
      </c>
      <c r="C953" t="s">
        <v>197</v>
      </c>
      <c r="D953" t="s">
        <v>163</v>
      </c>
      <c r="E953" s="20" t="s">
        <v>282</v>
      </c>
      <c r="F953" s="20" t="s">
        <v>283</v>
      </c>
      <c r="G953" s="20" t="s">
        <v>200</v>
      </c>
      <c r="H953" s="20" t="s">
        <v>192</v>
      </c>
      <c r="I953" s="20" t="s">
        <v>264</v>
      </c>
      <c r="J953" s="15">
        <f>IFERROR(INDEX(Cost_Components!$K$2:$K$27,MATCH(E953,Cost_Components!$A$2:$A$27,0)),"")</f>
        <v>1</v>
      </c>
      <c r="K953" s="15">
        <f t="shared" si="140"/>
        <v>0.61153846153846159</v>
      </c>
      <c r="L953" s="15">
        <f>IFERROR(INDEX(Cost_Components!$S$2:$S$27,MATCH(E953,Cost_Components!$A$2:$A$27,0)),"")</f>
        <v>0.31</v>
      </c>
      <c r="M953" s="26">
        <f>IFERROR(INDEX(Cost_Components!$L$2:$L$27,MATCH(E953,Cost_Components!$A$2:$A$27,0)),"")</f>
        <v>1</v>
      </c>
      <c r="N953" s="27">
        <f>IFERROR(INDEX(Cost_Components!$P$2:$P$27,MATCH(E953,Cost_Components!$A$2:$A$27,0)),"")</f>
        <v>115.10623099999999</v>
      </c>
      <c r="O953" s="21">
        <f t="shared" si="141"/>
        <v>626801.30910495401</v>
      </c>
      <c r="P953" s="21">
        <f t="shared" si="142"/>
        <v>656006.13279816904</v>
      </c>
      <c r="Q953" s="21">
        <f t="shared" si="143"/>
        <v>23408221.972377643</v>
      </c>
      <c r="R953" s="21">
        <f t="shared" si="144"/>
        <v>44121727.184742384</v>
      </c>
      <c r="S953" s="21">
        <f t="shared" si="145"/>
        <v>20713505.212364741</v>
      </c>
      <c r="T953" s="14">
        <f>IFERROR(INDEX(Cost_Components!$R$2:$R$27,MATCH(E953,Cost_Components!$A$2:$A$27,0)),"")</f>
        <v>1</v>
      </c>
      <c r="U953" s="24">
        <f>IFERROR(INDEX(Cost_Components!$Q$2:$Q$27,MATCH(E953,Cost_Components!$A$2:$A$27,0)),"")</f>
        <v>2023</v>
      </c>
      <c r="V953" s="28">
        <f>1/(1+Calculation_Assumptions!$B$5)^(B953-Calculation_Assumptions!$B$2)</f>
        <v>0.64186194739671765</v>
      </c>
      <c r="W953" s="21">
        <f t="shared" si="146"/>
        <v>15024846.940284949</v>
      </c>
      <c r="X953" s="21">
        <f t="shared" si="147"/>
        <v>28320057.733305443</v>
      </c>
      <c r="Y953" s="21">
        <f t="shared" si="148"/>
        <v>13295210.793020494</v>
      </c>
      <c r="Z953" s="15">
        <f>IFERROR(INDEX(Cost_Components!$T$2:$T$27,MATCH(E953,Cost_Components!$A$2:$A$27,0)),"")</f>
        <v>0.8</v>
      </c>
      <c r="AA953" s="24">
        <f>IFERROR(INDEX(Cost_Components!$U$2:$U$27,MATCH(E953,Cost_Components!$A$2:$A$27,0)),"")</f>
        <v>2025</v>
      </c>
      <c r="AB953" s="24">
        <f>IFERROR(INDEX(Cost_Components!$V$2:$V$27,MATCH(E953,Cost_Components!$A$2:$A$27,0)),"")</f>
        <v>2050</v>
      </c>
      <c r="AC953" s="24">
        <f>IFERROR(INDEX(Cost_Components!$M$2:$M$27,MATCH(E953,Cost_Components!$A$2:$A$27,0)),"")</f>
        <v>0</v>
      </c>
      <c r="AD953" s="24">
        <f>IFERROR(INDEX(Cost_Components!$N$2:$N$27,MATCH(E953,Cost_Components!$A$2:$A$27,0)),"")</f>
        <v>95</v>
      </c>
      <c r="AE953" s="14" t="str">
        <f>IFERROR(INDEX(Cost_Components!$O$2:$O$27,MATCH(E953,Cost_Components!$A$2:$A$27,0)),"")</f>
        <v>Both</v>
      </c>
      <c r="AF953" s="11">
        <v>626801.30910495401</v>
      </c>
      <c r="AG953" s="11">
        <v>656006.13279816904</v>
      </c>
      <c r="AH953" s="21">
        <f t="shared" si="149"/>
        <v>1</v>
      </c>
    </row>
    <row r="954" spans="1:34" hidden="1">
      <c r="A954" t="s">
        <v>75</v>
      </c>
      <c r="B954" s="18">
        <v>2041</v>
      </c>
      <c r="C954" t="s">
        <v>197</v>
      </c>
      <c r="D954" t="s">
        <v>163</v>
      </c>
      <c r="E954" s="20" t="s">
        <v>282</v>
      </c>
      <c r="F954" s="20" t="s">
        <v>283</v>
      </c>
      <c r="G954" s="20" t="s">
        <v>200</v>
      </c>
      <c r="H954" s="20" t="s">
        <v>192</v>
      </c>
      <c r="I954" s="20" t="s">
        <v>264</v>
      </c>
      <c r="J954" s="15">
        <f>IFERROR(INDEX(Cost_Components!$K$2:$K$27,MATCH(E954,Cost_Components!$A$2:$A$27,0)),"")</f>
        <v>1</v>
      </c>
      <c r="K954" s="15">
        <f t="shared" si="140"/>
        <v>0.63038461538461543</v>
      </c>
      <c r="L954" s="15">
        <f>IFERROR(INDEX(Cost_Components!$S$2:$S$27,MATCH(E954,Cost_Components!$A$2:$A$27,0)),"")</f>
        <v>0.31</v>
      </c>
      <c r="M954" s="26">
        <f>IFERROR(INDEX(Cost_Components!$L$2:$L$27,MATCH(E954,Cost_Components!$A$2:$A$27,0)),"")</f>
        <v>1</v>
      </c>
      <c r="N954" s="27">
        <f>IFERROR(INDEX(Cost_Components!$P$2:$P$27,MATCH(E954,Cost_Components!$A$2:$A$27,0)),"")</f>
        <v>115.10623099999999</v>
      </c>
      <c r="O954" s="21">
        <f t="shared" si="141"/>
        <v>638936.09260834497</v>
      </c>
      <c r="P954" s="21">
        <f t="shared" si="142"/>
        <v>670940.62730635505</v>
      </c>
      <c r="Q954" s="21">
        <f t="shared" si="143"/>
        <v>23941128.518543161</v>
      </c>
      <c r="R954" s="21">
        <f t="shared" si="144"/>
        <v>46361967.786673926</v>
      </c>
      <c r="S954" s="21">
        <f t="shared" si="145"/>
        <v>22420839.268130764</v>
      </c>
      <c r="T954" s="14">
        <f>IFERROR(INDEX(Cost_Components!$R$2:$R$27,MATCH(E954,Cost_Components!$A$2:$A$27,0)),"")</f>
        <v>1</v>
      </c>
      <c r="U954" s="24">
        <f>IFERROR(INDEX(Cost_Components!$Q$2:$Q$27,MATCH(E954,Cost_Components!$A$2:$A$27,0)),"")</f>
        <v>2023</v>
      </c>
      <c r="V954" s="28">
        <f>1/(1+Calculation_Assumptions!$B$5)^(B954-Calculation_Assumptions!$B$2)</f>
        <v>0.62316693922011435</v>
      </c>
      <c r="W954" s="21">
        <f t="shared" si="146"/>
        <v>14919319.780375933</v>
      </c>
      <c r="X954" s="21">
        <f t="shared" si="147"/>
        <v>28891245.561843131</v>
      </c>
      <c r="Y954" s="21">
        <f t="shared" si="148"/>
        <v>13971925.781467197</v>
      </c>
      <c r="Z954" s="15">
        <f>IFERROR(INDEX(Cost_Components!$T$2:$T$27,MATCH(E954,Cost_Components!$A$2:$A$27,0)),"")</f>
        <v>0.8</v>
      </c>
      <c r="AA954" s="24">
        <f>IFERROR(INDEX(Cost_Components!$U$2:$U$27,MATCH(E954,Cost_Components!$A$2:$A$27,0)),"")</f>
        <v>2025</v>
      </c>
      <c r="AB954" s="24">
        <f>IFERROR(INDEX(Cost_Components!$V$2:$V$27,MATCH(E954,Cost_Components!$A$2:$A$27,0)),"")</f>
        <v>2050</v>
      </c>
      <c r="AC954" s="24">
        <f>IFERROR(INDEX(Cost_Components!$M$2:$M$27,MATCH(E954,Cost_Components!$A$2:$A$27,0)),"")</f>
        <v>0</v>
      </c>
      <c r="AD954" s="24">
        <f>IFERROR(INDEX(Cost_Components!$N$2:$N$27,MATCH(E954,Cost_Components!$A$2:$A$27,0)),"")</f>
        <v>95</v>
      </c>
      <c r="AE954" s="14" t="str">
        <f>IFERROR(INDEX(Cost_Components!$O$2:$O$27,MATCH(E954,Cost_Components!$A$2:$A$27,0)),"")</f>
        <v>Both</v>
      </c>
      <c r="AF954" s="11">
        <v>638936.09260834497</v>
      </c>
      <c r="AG954" s="11">
        <v>670940.62730635505</v>
      </c>
      <c r="AH954" s="21">
        <f t="shared" si="149"/>
        <v>1</v>
      </c>
    </row>
    <row r="955" spans="1:34" hidden="1">
      <c r="A955" t="s">
        <v>75</v>
      </c>
      <c r="B955" s="18">
        <v>2042</v>
      </c>
      <c r="C955" t="s">
        <v>197</v>
      </c>
      <c r="D955" t="s">
        <v>163</v>
      </c>
      <c r="E955" s="20" t="s">
        <v>282</v>
      </c>
      <c r="F955" s="20" t="s">
        <v>283</v>
      </c>
      <c r="G955" s="20" t="s">
        <v>200</v>
      </c>
      <c r="H955" s="20" t="s">
        <v>192</v>
      </c>
      <c r="I955" s="20" t="s">
        <v>264</v>
      </c>
      <c r="J955" s="15">
        <f>IFERROR(INDEX(Cost_Components!$K$2:$K$27,MATCH(E955,Cost_Components!$A$2:$A$27,0)),"")</f>
        <v>1</v>
      </c>
      <c r="K955" s="15">
        <f t="shared" si="140"/>
        <v>0.64923076923076928</v>
      </c>
      <c r="L955" s="15">
        <f>IFERROR(INDEX(Cost_Components!$S$2:$S$27,MATCH(E955,Cost_Components!$A$2:$A$27,0)),"")</f>
        <v>0.31</v>
      </c>
      <c r="M955" s="26">
        <f>IFERROR(INDEX(Cost_Components!$L$2:$L$27,MATCH(E955,Cost_Components!$A$2:$A$27,0)),"")</f>
        <v>1</v>
      </c>
      <c r="N955" s="27">
        <f>IFERROR(INDEX(Cost_Components!$P$2:$P$27,MATCH(E955,Cost_Components!$A$2:$A$27,0)),"")</f>
        <v>115.10623099999999</v>
      </c>
      <c r="O955" s="21">
        <f t="shared" si="141"/>
        <v>650934.67548617197</v>
      </c>
      <c r="P955" s="21">
        <f t="shared" si="142"/>
        <v>685775.44163478399</v>
      </c>
      <c r="Q955" s="21">
        <f t="shared" si="143"/>
        <v>24470478.183671542</v>
      </c>
      <c r="R955" s="21">
        <f t="shared" si="144"/>
        <v>48644678.25486432</v>
      </c>
      <c r="S955" s="21">
        <f t="shared" si="145"/>
        <v>24174200.071192779</v>
      </c>
      <c r="T955" s="14">
        <f>IFERROR(INDEX(Cost_Components!$R$2:$R$27,MATCH(E955,Cost_Components!$A$2:$A$27,0)),"")</f>
        <v>1</v>
      </c>
      <c r="U955" s="24">
        <f>IFERROR(INDEX(Cost_Components!$Q$2:$Q$27,MATCH(E955,Cost_Components!$A$2:$A$27,0)),"")</f>
        <v>2023</v>
      </c>
      <c r="V955" s="28">
        <f>1/(1+Calculation_Assumptions!$B$5)^(B955-Calculation_Assumptions!$B$2)</f>
        <v>0.60501644584477121</v>
      </c>
      <c r="W955" s="21">
        <f t="shared" si="146"/>
        <v>14805041.738806969</v>
      </c>
      <c r="X955" s="21">
        <f t="shared" si="147"/>
        <v>29430830.34702044</v>
      </c>
      <c r="Y955" s="21">
        <f t="shared" si="148"/>
        <v>14625788.608213469</v>
      </c>
      <c r="Z955" s="15">
        <f>IFERROR(INDEX(Cost_Components!$T$2:$T$27,MATCH(E955,Cost_Components!$A$2:$A$27,0)),"")</f>
        <v>0.8</v>
      </c>
      <c r="AA955" s="24">
        <f>IFERROR(INDEX(Cost_Components!$U$2:$U$27,MATCH(E955,Cost_Components!$A$2:$A$27,0)),"")</f>
        <v>2025</v>
      </c>
      <c r="AB955" s="24">
        <f>IFERROR(INDEX(Cost_Components!$V$2:$V$27,MATCH(E955,Cost_Components!$A$2:$A$27,0)),"")</f>
        <v>2050</v>
      </c>
      <c r="AC955" s="24">
        <f>IFERROR(INDEX(Cost_Components!$M$2:$M$27,MATCH(E955,Cost_Components!$A$2:$A$27,0)),"")</f>
        <v>0</v>
      </c>
      <c r="AD955" s="24">
        <f>IFERROR(INDEX(Cost_Components!$N$2:$N$27,MATCH(E955,Cost_Components!$A$2:$A$27,0)),"")</f>
        <v>95</v>
      </c>
      <c r="AE955" s="14" t="str">
        <f>IFERROR(INDEX(Cost_Components!$O$2:$O$27,MATCH(E955,Cost_Components!$A$2:$A$27,0)),"")</f>
        <v>Both</v>
      </c>
      <c r="AF955" s="11">
        <v>650934.67548617197</v>
      </c>
      <c r="AG955" s="11">
        <v>685775.44163478399</v>
      </c>
      <c r="AH955" s="21">
        <f t="shared" si="149"/>
        <v>1</v>
      </c>
    </row>
    <row r="956" spans="1:34" hidden="1">
      <c r="A956" t="s">
        <v>75</v>
      </c>
      <c r="B956" s="18">
        <v>2043</v>
      </c>
      <c r="C956" t="s">
        <v>197</v>
      </c>
      <c r="D956" t="s">
        <v>163</v>
      </c>
      <c r="E956" s="20" t="s">
        <v>282</v>
      </c>
      <c r="F956" s="20" t="s">
        <v>283</v>
      </c>
      <c r="G956" s="20" t="s">
        <v>200</v>
      </c>
      <c r="H956" s="20" t="s">
        <v>192</v>
      </c>
      <c r="I956" s="20" t="s">
        <v>264</v>
      </c>
      <c r="J956" s="15">
        <f>IFERROR(INDEX(Cost_Components!$K$2:$K$27,MATCH(E956,Cost_Components!$A$2:$A$27,0)),"")</f>
        <v>1</v>
      </c>
      <c r="K956" s="15">
        <f t="shared" si="140"/>
        <v>0.66807692307692301</v>
      </c>
      <c r="L956" s="15">
        <f>IFERROR(INDEX(Cost_Components!$S$2:$S$27,MATCH(E956,Cost_Components!$A$2:$A$27,0)),"")</f>
        <v>0.31</v>
      </c>
      <c r="M956" s="26">
        <f>IFERROR(INDEX(Cost_Components!$L$2:$L$27,MATCH(E956,Cost_Components!$A$2:$A$27,0)),"")</f>
        <v>1</v>
      </c>
      <c r="N956" s="27">
        <f>IFERROR(INDEX(Cost_Components!$P$2:$P$27,MATCH(E956,Cost_Components!$A$2:$A$27,0)),"")</f>
        <v>115.10623099999999</v>
      </c>
      <c r="O956" s="21">
        <f t="shared" si="141"/>
        <v>662783.08513157105</v>
      </c>
      <c r="P956" s="21">
        <f t="shared" si="142"/>
        <v>700484.49366674304</v>
      </c>
      <c r="Q956" s="21">
        <f t="shared" si="143"/>
        <v>24995340.28137587</v>
      </c>
      <c r="R956" s="21">
        <f t="shared" si="144"/>
        <v>50967897.714377731</v>
      </c>
      <c r="S956" s="21">
        <f t="shared" si="145"/>
        <v>25972557.433001861</v>
      </c>
      <c r="T956" s="14">
        <f>IFERROR(INDEX(Cost_Components!$R$2:$R$27,MATCH(E956,Cost_Components!$A$2:$A$27,0)),"")</f>
        <v>1</v>
      </c>
      <c r="U956" s="24">
        <f>IFERROR(INDEX(Cost_Components!$Q$2:$Q$27,MATCH(E956,Cost_Components!$A$2:$A$27,0)),"")</f>
        <v>2023</v>
      </c>
      <c r="V956" s="28">
        <f>1/(1+Calculation_Assumptions!$B$5)^(B956-Calculation_Assumptions!$B$2)</f>
        <v>0.5873946076162827</v>
      </c>
      <c r="W956" s="21">
        <f t="shared" si="146"/>
        <v>14682128.096814245</v>
      </c>
      <c r="X956" s="21">
        <f t="shared" si="147"/>
        <v>29938268.278963741</v>
      </c>
      <c r="Y956" s="21">
        <f t="shared" si="148"/>
        <v>15256140.182149494</v>
      </c>
      <c r="Z956" s="15">
        <f>IFERROR(INDEX(Cost_Components!$T$2:$T$27,MATCH(E956,Cost_Components!$A$2:$A$27,0)),"")</f>
        <v>0.8</v>
      </c>
      <c r="AA956" s="24">
        <f>IFERROR(INDEX(Cost_Components!$U$2:$U$27,MATCH(E956,Cost_Components!$A$2:$A$27,0)),"")</f>
        <v>2025</v>
      </c>
      <c r="AB956" s="24">
        <f>IFERROR(INDEX(Cost_Components!$V$2:$V$27,MATCH(E956,Cost_Components!$A$2:$A$27,0)),"")</f>
        <v>2050</v>
      </c>
      <c r="AC956" s="24">
        <f>IFERROR(INDEX(Cost_Components!$M$2:$M$27,MATCH(E956,Cost_Components!$A$2:$A$27,0)),"")</f>
        <v>0</v>
      </c>
      <c r="AD956" s="24">
        <f>IFERROR(INDEX(Cost_Components!$N$2:$N$27,MATCH(E956,Cost_Components!$A$2:$A$27,0)),"")</f>
        <v>95</v>
      </c>
      <c r="AE956" s="14" t="str">
        <f>IFERROR(INDEX(Cost_Components!$O$2:$O$27,MATCH(E956,Cost_Components!$A$2:$A$27,0)),"")</f>
        <v>Both</v>
      </c>
      <c r="AF956" s="11">
        <v>662783.08513157105</v>
      </c>
      <c r="AG956" s="11">
        <v>700484.49366674304</v>
      </c>
      <c r="AH956" s="21">
        <f t="shared" si="149"/>
        <v>1</v>
      </c>
    </row>
    <row r="957" spans="1:34" hidden="1">
      <c r="A957" t="s">
        <v>75</v>
      </c>
      <c r="B957" s="18">
        <v>2044</v>
      </c>
      <c r="C957" t="s">
        <v>197</v>
      </c>
      <c r="D957" t="s">
        <v>163</v>
      </c>
      <c r="E957" s="20" t="s">
        <v>282</v>
      </c>
      <c r="F957" s="20" t="s">
        <v>283</v>
      </c>
      <c r="G957" s="20" t="s">
        <v>200</v>
      </c>
      <c r="H957" s="20" t="s">
        <v>192</v>
      </c>
      <c r="I957" s="20" t="s">
        <v>264</v>
      </c>
      <c r="J957" s="15">
        <f>IFERROR(INDEX(Cost_Components!$K$2:$K$27,MATCH(E957,Cost_Components!$A$2:$A$27,0)),"")</f>
        <v>1</v>
      </c>
      <c r="K957" s="15">
        <f t="shared" si="140"/>
        <v>0.68692307692307697</v>
      </c>
      <c r="L957" s="15">
        <f>IFERROR(INDEX(Cost_Components!$S$2:$S$27,MATCH(E957,Cost_Components!$A$2:$A$27,0)),"")</f>
        <v>0.31</v>
      </c>
      <c r="M957" s="26">
        <f>IFERROR(INDEX(Cost_Components!$L$2:$L$27,MATCH(E957,Cost_Components!$A$2:$A$27,0)),"")</f>
        <v>1</v>
      </c>
      <c r="N957" s="27">
        <f>IFERROR(INDEX(Cost_Components!$P$2:$P$27,MATCH(E957,Cost_Components!$A$2:$A$27,0)),"")</f>
        <v>115.10623099999999</v>
      </c>
      <c r="O957" s="21">
        <f t="shared" si="141"/>
        <v>674455.06062588003</v>
      </c>
      <c r="P957" s="21">
        <f t="shared" si="142"/>
        <v>715030.25532085204</v>
      </c>
      <c r="Q957" s="21">
        <f t="shared" si="143"/>
        <v>25514375.699694801</v>
      </c>
      <c r="R957" s="21">
        <f t="shared" si="144"/>
        <v>53328572.420551345</v>
      </c>
      <c r="S957" s="21">
        <f t="shared" si="145"/>
        <v>27814196.720856544</v>
      </c>
      <c r="T957" s="14">
        <f>IFERROR(INDEX(Cost_Components!$R$2:$R$27,MATCH(E957,Cost_Components!$A$2:$A$27,0)),"")</f>
        <v>1</v>
      </c>
      <c r="U957" s="24">
        <f>IFERROR(INDEX(Cost_Components!$Q$2:$Q$27,MATCH(E957,Cost_Components!$A$2:$A$27,0)),"")</f>
        <v>2023</v>
      </c>
      <c r="V957" s="28">
        <f>1/(1+Calculation_Assumptions!$B$5)^(B957-Calculation_Assumptions!$B$2)</f>
        <v>0.57028602681192497</v>
      </c>
      <c r="W957" s="21">
        <f t="shared" si="146"/>
        <v>14550491.944365676</v>
      </c>
      <c r="X957" s="21">
        <f t="shared" si="147"/>
        <v>30412539.681268226</v>
      </c>
      <c r="Y957" s="21">
        <f t="shared" si="148"/>
        <v>15862047.73690255</v>
      </c>
      <c r="Z957" s="15">
        <f>IFERROR(INDEX(Cost_Components!$T$2:$T$27,MATCH(E957,Cost_Components!$A$2:$A$27,0)),"")</f>
        <v>0.8</v>
      </c>
      <c r="AA957" s="24">
        <f>IFERROR(INDEX(Cost_Components!$U$2:$U$27,MATCH(E957,Cost_Components!$A$2:$A$27,0)),"")</f>
        <v>2025</v>
      </c>
      <c r="AB957" s="24">
        <f>IFERROR(INDEX(Cost_Components!$V$2:$V$27,MATCH(E957,Cost_Components!$A$2:$A$27,0)),"")</f>
        <v>2050</v>
      </c>
      <c r="AC957" s="24">
        <f>IFERROR(INDEX(Cost_Components!$M$2:$M$27,MATCH(E957,Cost_Components!$A$2:$A$27,0)),"")</f>
        <v>0</v>
      </c>
      <c r="AD957" s="24">
        <f>IFERROR(INDEX(Cost_Components!$N$2:$N$27,MATCH(E957,Cost_Components!$A$2:$A$27,0)),"")</f>
        <v>95</v>
      </c>
      <c r="AE957" s="14" t="str">
        <f>IFERROR(INDEX(Cost_Components!$O$2:$O$27,MATCH(E957,Cost_Components!$A$2:$A$27,0)),"")</f>
        <v>Both</v>
      </c>
      <c r="AF957" s="11">
        <v>674455.06062588003</v>
      </c>
      <c r="AG957" s="11">
        <v>715030.25532085204</v>
      </c>
      <c r="AH957" s="21">
        <f t="shared" si="149"/>
        <v>1</v>
      </c>
    </row>
    <row r="958" spans="1:34" hidden="1">
      <c r="A958" t="s">
        <v>75</v>
      </c>
      <c r="B958" s="18">
        <v>2045</v>
      </c>
      <c r="C958" t="s">
        <v>197</v>
      </c>
      <c r="D958" t="s">
        <v>163</v>
      </c>
      <c r="E958" s="20" t="s">
        <v>282</v>
      </c>
      <c r="F958" s="20" t="s">
        <v>283</v>
      </c>
      <c r="G958" s="20" t="s">
        <v>200</v>
      </c>
      <c r="H958" s="20" t="s">
        <v>192</v>
      </c>
      <c r="I958" s="20" t="s">
        <v>264</v>
      </c>
      <c r="J958" s="15">
        <f>IFERROR(INDEX(Cost_Components!$K$2:$K$27,MATCH(E958,Cost_Components!$A$2:$A$27,0)),"")</f>
        <v>1</v>
      </c>
      <c r="K958" s="15">
        <f t="shared" si="140"/>
        <v>0.70576923076923082</v>
      </c>
      <c r="L958" s="15">
        <f>IFERROR(INDEX(Cost_Components!$S$2:$S$27,MATCH(E958,Cost_Components!$A$2:$A$27,0)),"")</f>
        <v>0.31</v>
      </c>
      <c r="M958" s="26">
        <f>IFERROR(INDEX(Cost_Components!$L$2:$L$27,MATCH(E958,Cost_Components!$A$2:$A$27,0)),"")</f>
        <v>1</v>
      </c>
      <c r="N958" s="27">
        <f>IFERROR(INDEX(Cost_Components!$P$2:$P$27,MATCH(E958,Cost_Components!$A$2:$A$27,0)),"")</f>
        <v>115.10623099999999</v>
      </c>
      <c r="O958" s="21">
        <f t="shared" si="141"/>
        <v>685895.39029276802</v>
      </c>
      <c r="P958" s="21">
        <f t="shared" si="142"/>
        <v>729342.10914457298</v>
      </c>
      <c r="Q958" s="21">
        <f t="shared" si="143"/>
        <v>26025064.600898951</v>
      </c>
      <c r="R958" s="21">
        <f t="shared" si="144"/>
        <v>55721068.842178747</v>
      </c>
      <c r="S958" s="21">
        <f t="shared" si="145"/>
        <v>29696004.241279796</v>
      </c>
      <c r="T958" s="14">
        <f>IFERROR(INDEX(Cost_Components!$R$2:$R$27,MATCH(E958,Cost_Components!$A$2:$A$27,0)),"")</f>
        <v>1</v>
      </c>
      <c r="U958" s="24">
        <f>IFERROR(INDEX(Cost_Components!$Q$2:$Q$27,MATCH(E958,Cost_Components!$A$2:$A$27,0)),"")</f>
        <v>2023</v>
      </c>
      <c r="V958" s="28">
        <f>1/(1+Calculation_Assumptions!$B$5)^(B958-Calculation_Assumptions!$B$2)</f>
        <v>0.55367575418633497</v>
      </c>
      <c r="W958" s="21">
        <f t="shared" si="146"/>
        <v>14409447.270650815</v>
      </c>
      <c r="X958" s="21">
        <f t="shared" si="147"/>
        <v>30851404.815262008</v>
      </c>
      <c r="Y958" s="21">
        <f t="shared" si="148"/>
        <v>16441957.544611193</v>
      </c>
      <c r="Z958" s="15">
        <f>IFERROR(INDEX(Cost_Components!$T$2:$T$27,MATCH(E958,Cost_Components!$A$2:$A$27,0)),"")</f>
        <v>0.8</v>
      </c>
      <c r="AA958" s="24">
        <f>IFERROR(INDEX(Cost_Components!$U$2:$U$27,MATCH(E958,Cost_Components!$A$2:$A$27,0)),"")</f>
        <v>2025</v>
      </c>
      <c r="AB958" s="24">
        <f>IFERROR(INDEX(Cost_Components!$V$2:$V$27,MATCH(E958,Cost_Components!$A$2:$A$27,0)),"")</f>
        <v>2050</v>
      </c>
      <c r="AC958" s="24">
        <f>IFERROR(INDEX(Cost_Components!$M$2:$M$27,MATCH(E958,Cost_Components!$A$2:$A$27,0)),"")</f>
        <v>0</v>
      </c>
      <c r="AD958" s="24">
        <f>IFERROR(INDEX(Cost_Components!$N$2:$N$27,MATCH(E958,Cost_Components!$A$2:$A$27,0)),"")</f>
        <v>95</v>
      </c>
      <c r="AE958" s="14" t="str">
        <f>IFERROR(INDEX(Cost_Components!$O$2:$O$27,MATCH(E958,Cost_Components!$A$2:$A$27,0)),"")</f>
        <v>Both</v>
      </c>
      <c r="AF958" s="11">
        <v>685895.39029276802</v>
      </c>
      <c r="AG958" s="11">
        <v>729342.10914457298</v>
      </c>
      <c r="AH958" s="21">
        <f t="shared" si="149"/>
        <v>1</v>
      </c>
    </row>
    <row r="959" spans="1:34" hidden="1">
      <c r="A959" t="s">
        <v>75</v>
      </c>
      <c r="B959" s="18">
        <v>2046</v>
      </c>
      <c r="C959" t="s">
        <v>197</v>
      </c>
      <c r="D959" t="s">
        <v>163</v>
      </c>
      <c r="E959" s="20" t="s">
        <v>282</v>
      </c>
      <c r="F959" s="20" t="s">
        <v>283</v>
      </c>
      <c r="G959" s="20" t="s">
        <v>200</v>
      </c>
      <c r="H959" s="20" t="s">
        <v>192</v>
      </c>
      <c r="I959" s="20" t="s">
        <v>264</v>
      </c>
      <c r="J959" s="15">
        <f>IFERROR(INDEX(Cost_Components!$K$2:$K$27,MATCH(E959,Cost_Components!$A$2:$A$27,0)),"")</f>
        <v>1</v>
      </c>
      <c r="K959" s="15">
        <f t="shared" si="140"/>
        <v>0.72461538461538466</v>
      </c>
      <c r="L959" s="15">
        <f>IFERROR(INDEX(Cost_Components!$S$2:$S$27,MATCH(E959,Cost_Components!$A$2:$A$27,0)),"")</f>
        <v>0.31</v>
      </c>
      <c r="M959" s="26">
        <f>IFERROR(INDEX(Cost_Components!$L$2:$L$27,MATCH(E959,Cost_Components!$A$2:$A$27,0)),"")</f>
        <v>1</v>
      </c>
      <c r="N959" s="27">
        <f>IFERROR(INDEX(Cost_Components!$P$2:$P$27,MATCH(E959,Cost_Components!$A$2:$A$27,0)),"")</f>
        <v>115.10623099999999</v>
      </c>
      <c r="O959" s="21">
        <f t="shared" si="141"/>
        <v>697050.39326392696</v>
      </c>
      <c r="P959" s="21">
        <f t="shared" si="142"/>
        <v>743355.38018249802</v>
      </c>
      <c r="Q959" s="21">
        <f t="shared" si="143"/>
        <v>26525099.192977622</v>
      </c>
      <c r="R959" s="21">
        <f t="shared" si="144"/>
        <v>58139402.044391595</v>
      </c>
      <c r="S959" s="21">
        <f t="shared" si="145"/>
        <v>31614302.851413973</v>
      </c>
      <c r="T959" s="14">
        <f>IFERROR(INDEX(Cost_Components!$R$2:$R$27,MATCH(E959,Cost_Components!$A$2:$A$27,0)),"")</f>
        <v>1</v>
      </c>
      <c r="U959" s="24">
        <f>IFERROR(INDEX(Cost_Components!$Q$2:$Q$27,MATCH(E959,Cost_Components!$A$2:$A$27,0)),"")</f>
        <v>2023</v>
      </c>
      <c r="V959" s="28">
        <f>1/(1+Calculation_Assumptions!$B$5)^(B959-Calculation_Assumptions!$B$2)</f>
        <v>0.5375492759090631</v>
      </c>
      <c r="W959" s="21">
        <f t="shared" si="146"/>
        <v>14258547.864601195</v>
      </c>
      <c r="X959" s="21">
        <f t="shared" si="147"/>
        <v>31252793.470748603</v>
      </c>
      <c r="Y959" s="21">
        <f t="shared" si="148"/>
        <v>16994245.606147408</v>
      </c>
      <c r="Z959" s="15">
        <f>IFERROR(INDEX(Cost_Components!$T$2:$T$27,MATCH(E959,Cost_Components!$A$2:$A$27,0)),"")</f>
        <v>0.8</v>
      </c>
      <c r="AA959" s="24">
        <f>IFERROR(INDEX(Cost_Components!$U$2:$U$27,MATCH(E959,Cost_Components!$A$2:$A$27,0)),"")</f>
        <v>2025</v>
      </c>
      <c r="AB959" s="24">
        <f>IFERROR(INDEX(Cost_Components!$V$2:$V$27,MATCH(E959,Cost_Components!$A$2:$A$27,0)),"")</f>
        <v>2050</v>
      </c>
      <c r="AC959" s="24">
        <f>IFERROR(INDEX(Cost_Components!$M$2:$M$27,MATCH(E959,Cost_Components!$A$2:$A$27,0)),"")</f>
        <v>0</v>
      </c>
      <c r="AD959" s="24">
        <f>IFERROR(INDEX(Cost_Components!$N$2:$N$27,MATCH(E959,Cost_Components!$A$2:$A$27,0)),"")</f>
        <v>95</v>
      </c>
      <c r="AE959" s="14" t="str">
        <f>IFERROR(INDEX(Cost_Components!$O$2:$O$27,MATCH(E959,Cost_Components!$A$2:$A$27,0)),"")</f>
        <v>Both</v>
      </c>
      <c r="AF959" s="11">
        <v>697050.39326392696</v>
      </c>
      <c r="AG959" s="11">
        <v>743355.38018249802</v>
      </c>
      <c r="AH959" s="21">
        <f t="shared" si="149"/>
        <v>1</v>
      </c>
    </row>
    <row r="960" spans="1:34" hidden="1">
      <c r="A960" t="s">
        <v>75</v>
      </c>
      <c r="B960" s="18">
        <v>2047</v>
      </c>
      <c r="C960" t="s">
        <v>197</v>
      </c>
      <c r="D960" t="s">
        <v>163</v>
      </c>
      <c r="E960" s="20" t="s">
        <v>282</v>
      </c>
      <c r="F960" s="20" t="s">
        <v>283</v>
      </c>
      <c r="G960" s="20" t="s">
        <v>200</v>
      </c>
      <c r="H960" s="20" t="s">
        <v>192</v>
      </c>
      <c r="I960" s="20" t="s">
        <v>264</v>
      </c>
      <c r="J960" s="15">
        <f>IFERROR(INDEX(Cost_Components!$K$2:$K$27,MATCH(E960,Cost_Components!$A$2:$A$27,0)),"")</f>
        <v>1</v>
      </c>
      <c r="K960" s="15">
        <f t="shared" si="140"/>
        <v>0.74346153846153851</v>
      </c>
      <c r="L960" s="15">
        <f>IFERROR(INDEX(Cost_Components!$S$2:$S$27,MATCH(E960,Cost_Components!$A$2:$A$27,0)),"")</f>
        <v>0.31</v>
      </c>
      <c r="M960" s="26">
        <f>IFERROR(INDEX(Cost_Components!$L$2:$L$27,MATCH(E960,Cost_Components!$A$2:$A$27,0)),"")</f>
        <v>1</v>
      </c>
      <c r="N960" s="27">
        <f>IFERROR(INDEX(Cost_Components!$P$2:$P$27,MATCH(E960,Cost_Components!$A$2:$A$27,0)),"")</f>
        <v>115.10623099999999</v>
      </c>
      <c r="O960" s="21">
        <f t="shared" si="141"/>
        <v>707877.00673589006</v>
      </c>
      <c r="P960" s="21">
        <f t="shared" si="142"/>
        <v>757019.86084513098</v>
      </c>
      <c r="Q960" s="21">
        <f t="shared" si="143"/>
        <v>27012687.921948522</v>
      </c>
      <c r="R960" s="21">
        <f t="shared" si="144"/>
        <v>60578029.953325205</v>
      </c>
      <c r="S960" s="21">
        <f t="shared" si="145"/>
        <v>33565342.031376682</v>
      </c>
      <c r="T960" s="14">
        <f>IFERROR(INDEX(Cost_Components!$R$2:$R$27,MATCH(E960,Cost_Components!$A$2:$A$27,0)),"")</f>
        <v>1</v>
      </c>
      <c r="U960" s="24">
        <f>IFERROR(INDEX(Cost_Components!$Q$2:$Q$27,MATCH(E960,Cost_Components!$A$2:$A$27,0)),"")</f>
        <v>2023</v>
      </c>
      <c r="V960" s="28">
        <f>1/(1+Calculation_Assumptions!$B$5)^(B960-Calculation_Assumptions!$B$2)</f>
        <v>0.52189250088258554</v>
      </c>
      <c r="W960" s="21">
        <f t="shared" si="146"/>
        <v>14097719.255146528</v>
      </c>
      <c r="X960" s="21">
        <f t="shared" si="147"/>
        <v>31615219.550881069</v>
      </c>
      <c r="Y960" s="21">
        <f t="shared" si="148"/>
        <v>17517500.29573454</v>
      </c>
      <c r="Z960" s="15">
        <f>IFERROR(INDEX(Cost_Components!$T$2:$T$27,MATCH(E960,Cost_Components!$A$2:$A$27,0)),"")</f>
        <v>0.8</v>
      </c>
      <c r="AA960" s="24">
        <f>IFERROR(INDEX(Cost_Components!$U$2:$U$27,MATCH(E960,Cost_Components!$A$2:$A$27,0)),"")</f>
        <v>2025</v>
      </c>
      <c r="AB960" s="24">
        <f>IFERROR(INDEX(Cost_Components!$V$2:$V$27,MATCH(E960,Cost_Components!$A$2:$A$27,0)),"")</f>
        <v>2050</v>
      </c>
      <c r="AC960" s="24">
        <f>IFERROR(INDEX(Cost_Components!$M$2:$M$27,MATCH(E960,Cost_Components!$A$2:$A$27,0)),"")</f>
        <v>0</v>
      </c>
      <c r="AD960" s="24">
        <f>IFERROR(INDEX(Cost_Components!$N$2:$N$27,MATCH(E960,Cost_Components!$A$2:$A$27,0)),"")</f>
        <v>95</v>
      </c>
      <c r="AE960" s="14" t="str">
        <f>IFERROR(INDEX(Cost_Components!$O$2:$O$27,MATCH(E960,Cost_Components!$A$2:$A$27,0)),"")</f>
        <v>Both</v>
      </c>
      <c r="AF960" s="11">
        <v>707877.00673589006</v>
      </c>
      <c r="AG960" s="11">
        <v>757019.86084513098</v>
      </c>
      <c r="AH960" s="21">
        <f t="shared" si="149"/>
        <v>1</v>
      </c>
    </row>
    <row r="961" spans="1:34" hidden="1">
      <c r="A961" t="s">
        <v>75</v>
      </c>
      <c r="B961" s="18">
        <v>2048</v>
      </c>
      <c r="C961" t="s">
        <v>197</v>
      </c>
      <c r="D961" t="s">
        <v>163</v>
      </c>
      <c r="E961" s="20" t="s">
        <v>282</v>
      </c>
      <c r="F961" s="20" t="s">
        <v>283</v>
      </c>
      <c r="G961" s="20" t="s">
        <v>200</v>
      </c>
      <c r="H961" s="20" t="s">
        <v>192</v>
      </c>
      <c r="I961" s="20" t="s">
        <v>264</v>
      </c>
      <c r="J961" s="15">
        <f>IFERROR(INDEX(Cost_Components!$K$2:$K$27,MATCH(E961,Cost_Components!$A$2:$A$27,0)),"")</f>
        <v>1</v>
      </c>
      <c r="K961" s="15">
        <f t="shared" si="140"/>
        <v>0.76230769230769235</v>
      </c>
      <c r="L961" s="15">
        <f>IFERROR(INDEX(Cost_Components!$S$2:$S$27,MATCH(E961,Cost_Components!$A$2:$A$27,0)),"")</f>
        <v>0.31</v>
      </c>
      <c r="M961" s="26">
        <f>IFERROR(INDEX(Cost_Components!$L$2:$L$27,MATCH(E961,Cost_Components!$A$2:$A$27,0)),"")</f>
        <v>1</v>
      </c>
      <c r="N961" s="27">
        <f>IFERROR(INDEX(Cost_Components!$P$2:$P$27,MATCH(E961,Cost_Components!$A$2:$A$27,0)),"")</f>
        <v>115.10623099999999</v>
      </c>
      <c r="O961" s="21">
        <f t="shared" si="141"/>
        <v>718335.481909808</v>
      </c>
      <c r="P961" s="21">
        <f t="shared" si="142"/>
        <v>770285.19810741395</v>
      </c>
      <c r="Q961" s="21">
        <f t="shared" si="143"/>
        <v>27486034.044262148</v>
      </c>
      <c r="R961" s="21">
        <f t="shared" si="144"/>
        <v>63031327.620739095</v>
      </c>
      <c r="S961" s="21">
        <f t="shared" si="145"/>
        <v>35545293.576476946</v>
      </c>
      <c r="T961" s="14">
        <f>IFERROR(INDEX(Cost_Components!$R$2:$R$27,MATCH(E961,Cost_Components!$A$2:$A$27,0)),"")</f>
        <v>1</v>
      </c>
      <c r="U961" s="24">
        <f>IFERROR(INDEX(Cost_Components!$Q$2:$Q$27,MATCH(E961,Cost_Components!$A$2:$A$27,0)),"")</f>
        <v>2023</v>
      </c>
      <c r="V961" s="28">
        <f>1/(1+Calculation_Assumptions!$B$5)^(B961-Calculation_Assumptions!$B$2)</f>
        <v>0.50669174842969467</v>
      </c>
      <c r="W961" s="21">
        <f t="shared" si="146"/>
        <v>13926946.647285299</v>
      </c>
      <c r="X961" s="21">
        <f t="shared" si="147"/>
        <v>31937453.5979972</v>
      </c>
      <c r="Y961" s="21">
        <f t="shared" si="148"/>
        <v>18010506.950711899</v>
      </c>
      <c r="Z961" s="15">
        <f>IFERROR(INDEX(Cost_Components!$T$2:$T$27,MATCH(E961,Cost_Components!$A$2:$A$27,0)),"")</f>
        <v>0.8</v>
      </c>
      <c r="AA961" s="24">
        <f>IFERROR(INDEX(Cost_Components!$U$2:$U$27,MATCH(E961,Cost_Components!$A$2:$A$27,0)),"")</f>
        <v>2025</v>
      </c>
      <c r="AB961" s="24">
        <f>IFERROR(INDEX(Cost_Components!$V$2:$V$27,MATCH(E961,Cost_Components!$A$2:$A$27,0)),"")</f>
        <v>2050</v>
      </c>
      <c r="AC961" s="24">
        <f>IFERROR(INDEX(Cost_Components!$M$2:$M$27,MATCH(E961,Cost_Components!$A$2:$A$27,0)),"")</f>
        <v>0</v>
      </c>
      <c r="AD961" s="24">
        <f>IFERROR(INDEX(Cost_Components!$N$2:$N$27,MATCH(E961,Cost_Components!$A$2:$A$27,0)),"")</f>
        <v>95</v>
      </c>
      <c r="AE961" s="14" t="str">
        <f>IFERROR(INDEX(Cost_Components!$O$2:$O$27,MATCH(E961,Cost_Components!$A$2:$A$27,0)),"")</f>
        <v>Both</v>
      </c>
      <c r="AF961" s="11">
        <v>718335.481909808</v>
      </c>
      <c r="AG961" s="11">
        <v>770285.19810741395</v>
      </c>
      <c r="AH961" s="21">
        <f t="shared" si="149"/>
        <v>1</v>
      </c>
    </row>
    <row r="962" spans="1:34" hidden="1">
      <c r="A962" t="s">
        <v>75</v>
      </c>
      <c r="B962" s="18">
        <v>2049</v>
      </c>
      <c r="C962" t="s">
        <v>197</v>
      </c>
      <c r="D962" t="s">
        <v>163</v>
      </c>
      <c r="E962" s="20" t="s">
        <v>282</v>
      </c>
      <c r="F962" s="20" t="s">
        <v>283</v>
      </c>
      <c r="G962" s="20" t="s">
        <v>200</v>
      </c>
      <c r="H962" s="20" t="s">
        <v>192</v>
      </c>
      <c r="I962" s="20" t="s">
        <v>264</v>
      </c>
      <c r="J962" s="15">
        <f>IFERROR(INDEX(Cost_Components!$K$2:$K$27,MATCH(E962,Cost_Components!$A$2:$A$27,0)),"")</f>
        <v>1</v>
      </c>
      <c r="K962" s="15">
        <f t="shared" ref="K962:K1025" si="150">IF(OR(L962="",Z962="",AA962="",AB962=""),"",IF(B962&lt;AA962,L962,IF(B962&gt;AB962,Z962,L962+(Z962-L962)*MIN(MAX((B962-AA962+1)/MAX(AB962-AA962+1,1),0),1))))</f>
        <v>0.7811538461538462</v>
      </c>
      <c r="L962" s="15">
        <f>IFERROR(INDEX(Cost_Components!$S$2:$S$27,MATCH(E962,Cost_Components!$A$2:$A$27,0)),"")</f>
        <v>0.31</v>
      </c>
      <c r="M962" s="26">
        <f>IFERROR(INDEX(Cost_Components!$L$2:$L$27,MATCH(E962,Cost_Components!$A$2:$A$27,0)),"")</f>
        <v>1</v>
      </c>
      <c r="N962" s="27">
        <f>IFERROR(INDEX(Cost_Components!$P$2:$P$27,MATCH(E962,Cost_Components!$A$2:$A$27,0)),"")</f>
        <v>115.10623099999999</v>
      </c>
      <c r="O962" s="21">
        <f t="shared" ref="O962:O1025" si="151">AF962*J962</f>
        <v>728390.16904363898</v>
      </c>
      <c r="P962" s="21">
        <f t="shared" ref="P962:P1025" si="152">AG962*J962</f>
        <v>783107.16490218102</v>
      </c>
      <c r="Q962" s="21">
        <f t="shared" ref="Q962:Q1025" si="153">P962*L962*M962*N962</f>
        <v>27943559.408505514</v>
      </c>
      <c r="R962" s="21">
        <f t="shared" ref="R962:R1025" si="154">O962*K962*M962*N962</f>
        <v>65493693.758027062</v>
      </c>
      <c r="S962" s="21">
        <f t="shared" ref="S962:S1025" si="155">R962-Q962</f>
        <v>37550134.349521548</v>
      </c>
      <c r="T962" s="14">
        <f>IFERROR(INDEX(Cost_Components!$R$2:$R$27,MATCH(E962,Cost_Components!$A$2:$A$27,0)),"")</f>
        <v>1</v>
      </c>
      <c r="U962" s="24">
        <f>IFERROR(INDEX(Cost_Components!$Q$2:$Q$27,MATCH(E962,Cost_Components!$A$2:$A$27,0)),"")</f>
        <v>2023</v>
      </c>
      <c r="V962" s="28">
        <f>1/(1+Calculation_Assumptions!$B$5)^(B962-Calculation_Assumptions!$B$2)</f>
        <v>0.49193373633950943</v>
      </c>
      <c r="W962" s="21">
        <f t="shared" ref="W962:W1025" si="156">Q962*V962</f>
        <v>13746379.586451169</v>
      </c>
      <c r="X962" s="21">
        <f t="shared" ref="X962:X1025" si="157">R962*V962</f>
        <v>32218557.47706186</v>
      </c>
      <c r="Y962" s="21">
        <f t="shared" ref="Y962:Y1025" si="158">S962*V962</f>
        <v>18472177.890610691</v>
      </c>
      <c r="Z962" s="15">
        <f>IFERROR(INDEX(Cost_Components!$T$2:$T$27,MATCH(E962,Cost_Components!$A$2:$A$27,0)),"")</f>
        <v>0.8</v>
      </c>
      <c r="AA962" s="24">
        <f>IFERROR(INDEX(Cost_Components!$U$2:$U$27,MATCH(E962,Cost_Components!$A$2:$A$27,0)),"")</f>
        <v>2025</v>
      </c>
      <c r="AB962" s="24">
        <f>IFERROR(INDEX(Cost_Components!$V$2:$V$27,MATCH(E962,Cost_Components!$A$2:$A$27,0)),"")</f>
        <v>2050</v>
      </c>
      <c r="AC962" s="24">
        <f>IFERROR(INDEX(Cost_Components!$M$2:$M$27,MATCH(E962,Cost_Components!$A$2:$A$27,0)),"")</f>
        <v>0</v>
      </c>
      <c r="AD962" s="24">
        <f>IFERROR(INDEX(Cost_Components!$N$2:$N$27,MATCH(E962,Cost_Components!$A$2:$A$27,0)),"")</f>
        <v>95</v>
      </c>
      <c r="AE962" s="14" t="str">
        <f>IFERROR(INDEX(Cost_Components!$O$2:$O$27,MATCH(E962,Cost_Components!$A$2:$A$27,0)),"")</f>
        <v>Both</v>
      </c>
      <c r="AF962" s="11">
        <v>728390.16904363898</v>
      </c>
      <c r="AG962" s="11">
        <v>783107.16490218102</v>
      </c>
      <c r="AH962" s="21">
        <f t="shared" ref="AH962:AH1025" si="159">IF(H962="shared-count-once",COUNTIFS($A$2:$A$1353,A962,$B$2:$B$1353,B962,$E$2:$E$1353,E962),1)</f>
        <v>1</v>
      </c>
    </row>
    <row r="963" spans="1:34" hidden="1">
      <c r="A963" t="s">
        <v>75</v>
      </c>
      <c r="B963" s="18">
        <v>2050</v>
      </c>
      <c r="C963" t="s">
        <v>197</v>
      </c>
      <c r="D963" t="s">
        <v>163</v>
      </c>
      <c r="E963" s="20" t="s">
        <v>282</v>
      </c>
      <c r="F963" s="20" t="s">
        <v>283</v>
      </c>
      <c r="G963" s="20" t="s">
        <v>200</v>
      </c>
      <c r="H963" s="20" t="s">
        <v>192</v>
      </c>
      <c r="I963" s="20" t="s">
        <v>264</v>
      </c>
      <c r="J963" s="15">
        <f>IFERROR(INDEX(Cost_Components!$K$2:$K$27,MATCH(E963,Cost_Components!$A$2:$A$27,0)),"")</f>
        <v>1</v>
      </c>
      <c r="K963" s="15">
        <f t="shared" si="150"/>
        <v>0.8</v>
      </c>
      <c r="L963" s="15">
        <f>IFERROR(INDEX(Cost_Components!$S$2:$S$27,MATCH(E963,Cost_Components!$A$2:$A$27,0)),"")</f>
        <v>0.31</v>
      </c>
      <c r="M963" s="26">
        <f>IFERROR(INDEX(Cost_Components!$L$2:$L$27,MATCH(E963,Cost_Components!$A$2:$A$27,0)),"")</f>
        <v>1</v>
      </c>
      <c r="N963" s="27">
        <f>IFERROR(INDEX(Cost_Components!$P$2:$P$27,MATCH(E963,Cost_Components!$A$2:$A$27,0)),"")</f>
        <v>115.10623099999999</v>
      </c>
      <c r="O963" s="21">
        <f t="shared" si="151"/>
        <v>738031.53586331406</v>
      </c>
      <c r="P963" s="21">
        <f t="shared" si="152"/>
        <v>795479.78410570498</v>
      </c>
      <c r="Q963" s="21">
        <f t="shared" si="153"/>
        <v>28385050.733381435</v>
      </c>
      <c r="R963" s="21">
        <f t="shared" si="154"/>
        <v>67961622.761893928</v>
      </c>
      <c r="S963" s="21">
        <f t="shared" si="155"/>
        <v>39576572.028512493</v>
      </c>
      <c r="T963" s="14">
        <f>IFERROR(INDEX(Cost_Components!$R$2:$R$27,MATCH(E963,Cost_Components!$A$2:$A$27,0)),"")</f>
        <v>1</v>
      </c>
      <c r="U963" s="24">
        <f>IFERROR(INDEX(Cost_Components!$Q$2:$Q$27,MATCH(E963,Cost_Components!$A$2:$A$27,0)),"")</f>
        <v>2023</v>
      </c>
      <c r="V963" s="28">
        <f>1/(1+Calculation_Assumptions!$B$5)^(B963-Calculation_Assumptions!$B$2)</f>
        <v>0.47760556926165965</v>
      </c>
      <c r="W963" s="21">
        <f t="shared" si="156"/>
        <v>13556858.314037731</v>
      </c>
      <c r="X963" s="21">
        <f t="shared" si="157"/>
        <v>32458849.527140517</v>
      </c>
      <c r="Y963" s="21">
        <f t="shared" si="158"/>
        <v>18901991.213102784</v>
      </c>
      <c r="Z963" s="15">
        <f>IFERROR(INDEX(Cost_Components!$T$2:$T$27,MATCH(E963,Cost_Components!$A$2:$A$27,0)),"")</f>
        <v>0.8</v>
      </c>
      <c r="AA963" s="24">
        <f>IFERROR(INDEX(Cost_Components!$U$2:$U$27,MATCH(E963,Cost_Components!$A$2:$A$27,0)),"")</f>
        <v>2025</v>
      </c>
      <c r="AB963" s="24">
        <f>IFERROR(INDEX(Cost_Components!$V$2:$V$27,MATCH(E963,Cost_Components!$A$2:$A$27,0)),"")</f>
        <v>2050</v>
      </c>
      <c r="AC963" s="24">
        <f>IFERROR(INDEX(Cost_Components!$M$2:$M$27,MATCH(E963,Cost_Components!$A$2:$A$27,0)),"")</f>
        <v>0</v>
      </c>
      <c r="AD963" s="24">
        <f>IFERROR(INDEX(Cost_Components!$N$2:$N$27,MATCH(E963,Cost_Components!$A$2:$A$27,0)),"")</f>
        <v>95</v>
      </c>
      <c r="AE963" s="14" t="str">
        <f>IFERROR(INDEX(Cost_Components!$O$2:$O$27,MATCH(E963,Cost_Components!$A$2:$A$27,0)),"")</f>
        <v>Both</v>
      </c>
      <c r="AF963" s="11">
        <v>738031.53586331406</v>
      </c>
      <c r="AG963" s="11">
        <v>795479.78410570498</v>
      </c>
      <c r="AH963" s="21">
        <f t="shared" si="159"/>
        <v>1</v>
      </c>
    </row>
    <row r="964" spans="1:34" hidden="1">
      <c r="A964" t="s">
        <v>75</v>
      </c>
      <c r="B964" s="18">
        <v>2025</v>
      </c>
      <c r="C964" t="s">
        <v>197</v>
      </c>
      <c r="D964" t="s">
        <v>177</v>
      </c>
      <c r="E964" s="20" t="s">
        <v>284</v>
      </c>
      <c r="F964" s="20" t="s">
        <v>285</v>
      </c>
      <c r="G964" s="20" t="s">
        <v>201</v>
      </c>
      <c r="H964" s="20" t="s">
        <v>192</v>
      </c>
      <c r="I964" s="20" t="s">
        <v>264</v>
      </c>
      <c r="J964" s="15">
        <f>IFERROR(INDEX(Cost_Components!$K$2:$K$27,MATCH(E964,Cost_Components!$A$2:$A$27,0)),"")</f>
        <v>0.2</v>
      </c>
      <c r="K964" s="15">
        <f t="shared" si="150"/>
        <v>0.32884615384615384</v>
      </c>
      <c r="L964" s="15">
        <f>IFERROR(INDEX(Cost_Components!$S$2:$S$27,MATCH(E964,Cost_Components!$A$2:$A$27,0)),"")</f>
        <v>0.31</v>
      </c>
      <c r="M964" s="26">
        <f>IFERROR(INDEX(Cost_Components!$L$2:$L$27,MATCH(E964,Cost_Components!$A$2:$A$27,0)),"")</f>
        <v>1</v>
      </c>
      <c r="N964" s="27">
        <f>IFERROR(INDEX(Cost_Components!$P$2:$P$27,MATCH(E964,Cost_Components!$A$2:$A$27,0)),"")</f>
        <v>5.133311</v>
      </c>
      <c r="O964" s="21">
        <f t="shared" si="151"/>
        <v>1040539.52810735</v>
      </c>
      <c r="P964" s="21">
        <f t="shared" si="152"/>
        <v>1041375.033644954</v>
      </c>
      <c r="Q964" s="21">
        <f t="shared" si="153"/>
        <v>1657167.5937538536</v>
      </c>
      <c r="R964" s="21">
        <f t="shared" si="154"/>
        <v>1756503.12298495</v>
      </c>
      <c r="S964" s="21">
        <f t="shared" si="155"/>
        <v>99335.529231096385</v>
      </c>
      <c r="T964" s="14">
        <f>IFERROR(INDEX(Cost_Components!$R$2:$R$27,MATCH(E964,Cost_Components!$A$2:$A$27,0)),"")</f>
        <v>1</v>
      </c>
      <c r="U964" s="24">
        <f>IFERROR(INDEX(Cost_Components!$Q$2:$Q$27,MATCH(E964,Cost_Components!$A$2:$A$27,0)),"")</f>
        <v>2023</v>
      </c>
      <c r="V964" s="28">
        <f>1/(1+Calculation_Assumptions!$B$5)^(B964-Calculation_Assumptions!$B$2)</f>
        <v>1</v>
      </c>
      <c r="W964" s="21">
        <f t="shared" si="156"/>
        <v>1657167.5937538536</v>
      </c>
      <c r="X964" s="21">
        <f t="shared" si="157"/>
        <v>1756503.12298495</v>
      </c>
      <c r="Y964" s="21">
        <f t="shared" si="158"/>
        <v>99335.529231096385</v>
      </c>
      <c r="Z964" s="15">
        <f>IFERROR(INDEX(Cost_Components!$T$2:$T$27,MATCH(E964,Cost_Components!$A$2:$A$27,0)),"")</f>
        <v>0.8</v>
      </c>
      <c r="AA964" s="24">
        <f>IFERROR(INDEX(Cost_Components!$U$2:$U$27,MATCH(E964,Cost_Components!$A$2:$A$27,0)),"")</f>
        <v>2025</v>
      </c>
      <c r="AB964" s="24">
        <f>IFERROR(INDEX(Cost_Components!$V$2:$V$27,MATCH(E964,Cost_Components!$A$2:$A$27,0)),"")</f>
        <v>2050</v>
      </c>
      <c r="AC964" s="24">
        <f>IFERROR(INDEX(Cost_Components!$M$2:$M$27,MATCH(E964,Cost_Components!$A$2:$A$27,0)),"")</f>
        <v>30</v>
      </c>
      <c r="AD964" s="24">
        <f>IFERROR(INDEX(Cost_Components!$N$2:$N$27,MATCH(E964,Cost_Components!$A$2:$A$27,0)),"")</f>
        <v>95</v>
      </c>
      <c r="AE964" s="14" t="str">
        <f>IFERROR(INDEX(Cost_Components!$O$2:$O$27,MATCH(E964,Cost_Components!$A$2:$A$27,0)),"")</f>
        <v>Both</v>
      </c>
      <c r="AF964" s="11">
        <v>5202697.6405367497</v>
      </c>
      <c r="AG964" s="11">
        <v>5206875.1682247696</v>
      </c>
      <c r="AH964" s="21">
        <f t="shared" si="159"/>
        <v>1</v>
      </c>
    </row>
    <row r="965" spans="1:34" hidden="1">
      <c r="A965" t="s">
        <v>75</v>
      </c>
      <c r="B965" s="18">
        <v>2026</v>
      </c>
      <c r="C965" t="s">
        <v>197</v>
      </c>
      <c r="D965" t="s">
        <v>177</v>
      </c>
      <c r="E965" s="20" t="s">
        <v>284</v>
      </c>
      <c r="F965" s="20" t="s">
        <v>285</v>
      </c>
      <c r="G965" s="20" t="s">
        <v>201</v>
      </c>
      <c r="H965" s="20" t="s">
        <v>192</v>
      </c>
      <c r="I965" s="20" t="s">
        <v>264</v>
      </c>
      <c r="J965" s="15">
        <f>IFERROR(INDEX(Cost_Components!$K$2:$K$27,MATCH(E965,Cost_Components!$A$2:$A$27,0)),"")</f>
        <v>0.2</v>
      </c>
      <c r="K965" s="15">
        <f t="shared" si="150"/>
        <v>0.34769230769230769</v>
      </c>
      <c r="L965" s="15">
        <f>IFERROR(INDEX(Cost_Components!$S$2:$S$27,MATCH(E965,Cost_Components!$A$2:$A$27,0)),"")</f>
        <v>0.31</v>
      </c>
      <c r="M965" s="26">
        <f>IFERROR(INDEX(Cost_Components!$L$2:$L$27,MATCH(E965,Cost_Components!$A$2:$A$27,0)),"")</f>
        <v>1</v>
      </c>
      <c r="N965" s="27">
        <f>IFERROR(INDEX(Cost_Components!$P$2:$P$27,MATCH(E965,Cost_Components!$A$2:$A$27,0)),"")</f>
        <v>5.133311</v>
      </c>
      <c r="O965" s="21">
        <f t="shared" si="151"/>
        <v>1064395.9117995661</v>
      </c>
      <c r="P965" s="21">
        <f t="shared" si="152"/>
        <v>1066871.057007208</v>
      </c>
      <c r="Q965" s="21">
        <f t="shared" si="153"/>
        <v>1697740.0890801856</v>
      </c>
      <c r="R965" s="21">
        <f t="shared" si="154"/>
        <v>1899747.3919714428</v>
      </c>
      <c r="S965" s="21">
        <f t="shared" si="155"/>
        <v>202007.30289125722</v>
      </c>
      <c r="T965" s="14">
        <f>IFERROR(INDEX(Cost_Components!$R$2:$R$27,MATCH(E965,Cost_Components!$A$2:$A$27,0)),"")</f>
        <v>1</v>
      </c>
      <c r="U965" s="24">
        <f>IFERROR(INDEX(Cost_Components!$Q$2:$Q$27,MATCH(E965,Cost_Components!$A$2:$A$27,0)),"")</f>
        <v>2023</v>
      </c>
      <c r="V965" s="28">
        <f>1/(1+Calculation_Assumptions!$B$5)^(B965-Calculation_Assumptions!$B$2)</f>
        <v>0.970873786407767</v>
      </c>
      <c r="W965" s="21">
        <f t="shared" si="156"/>
        <v>1648291.3486215395</v>
      </c>
      <c r="X965" s="21">
        <f t="shared" si="157"/>
        <v>1844414.943661595</v>
      </c>
      <c r="Y965" s="21">
        <f t="shared" si="158"/>
        <v>196123.59504005554</v>
      </c>
      <c r="Z965" s="15">
        <f>IFERROR(INDEX(Cost_Components!$T$2:$T$27,MATCH(E965,Cost_Components!$A$2:$A$27,0)),"")</f>
        <v>0.8</v>
      </c>
      <c r="AA965" s="24">
        <f>IFERROR(INDEX(Cost_Components!$U$2:$U$27,MATCH(E965,Cost_Components!$A$2:$A$27,0)),"")</f>
        <v>2025</v>
      </c>
      <c r="AB965" s="24">
        <f>IFERROR(INDEX(Cost_Components!$V$2:$V$27,MATCH(E965,Cost_Components!$A$2:$A$27,0)),"")</f>
        <v>2050</v>
      </c>
      <c r="AC965" s="24">
        <f>IFERROR(INDEX(Cost_Components!$M$2:$M$27,MATCH(E965,Cost_Components!$A$2:$A$27,0)),"")</f>
        <v>30</v>
      </c>
      <c r="AD965" s="24">
        <f>IFERROR(INDEX(Cost_Components!$N$2:$N$27,MATCH(E965,Cost_Components!$A$2:$A$27,0)),"")</f>
        <v>95</v>
      </c>
      <c r="AE965" s="14" t="str">
        <f>IFERROR(INDEX(Cost_Components!$O$2:$O$27,MATCH(E965,Cost_Components!$A$2:$A$27,0)),"")</f>
        <v>Both</v>
      </c>
      <c r="AF965" s="11">
        <v>5321979.5589978304</v>
      </c>
      <c r="AG965" s="11">
        <v>5334355.2850360395</v>
      </c>
      <c r="AH965" s="21">
        <f t="shared" si="159"/>
        <v>1</v>
      </c>
    </row>
    <row r="966" spans="1:34" hidden="1">
      <c r="A966" t="s">
        <v>75</v>
      </c>
      <c r="B966" s="18">
        <v>2027</v>
      </c>
      <c r="C966" t="s">
        <v>197</v>
      </c>
      <c r="D966" t="s">
        <v>177</v>
      </c>
      <c r="E966" s="20" t="s">
        <v>284</v>
      </c>
      <c r="F966" s="20" t="s">
        <v>285</v>
      </c>
      <c r="G966" s="20" t="s">
        <v>201</v>
      </c>
      <c r="H966" s="20" t="s">
        <v>192</v>
      </c>
      <c r="I966" s="20" t="s">
        <v>264</v>
      </c>
      <c r="J966" s="15">
        <f>IFERROR(INDEX(Cost_Components!$K$2:$K$27,MATCH(E966,Cost_Components!$A$2:$A$27,0)),"")</f>
        <v>0.2</v>
      </c>
      <c r="K966" s="15">
        <f t="shared" si="150"/>
        <v>0.36653846153846154</v>
      </c>
      <c r="L966" s="15">
        <f>IFERROR(INDEX(Cost_Components!$S$2:$S$27,MATCH(E966,Cost_Components!$A$2:$A$27,0)),"")</f>
        <v>0.31</v>
      </c>
      <c r="M966" s="26">
        <f>IFERROR(INDEX(Cost_Components!$L$2:$L$27,MATCH(E966,Cost_Components!$A$2:$A$27,0)),"")</f>
        <v>1</v>
      </c>
      <c r="N966" s="27">
        <f>IFERROR(INDEX(Cost_Components!$P$2:$P$27,MATCH(E966,Cost_Components!$A$2:$A$27,0)),"")</f>
        <v>5.133311</v>
      </c>
      <c r="O966" s="21">
        <f t="shared" si="151"/>
        <v>1087390.2956353261</v>
      </c>
      <c r="P966" s="21">
        <f t="shared" si="152"/>
        <v>1092276.4661504922</v>
      </c>
      <c r="Q966" s="21">
        <f t="shared" si="153"/>
        <v>1738168.3876067493</v>
      </c>
      <c r="R966" s="21">
        <f t="shared" si="154"/>
        <v>2045985.6443391547</v>
      </c>
      <c r="S966" s="21">
        <f t="shared" si="155"/>
        <v>307817.2567324054</v>
      </c>
      <c r="T966" s="14">
        <f>IFERROR(INDEX(Cost_Components!$R$2:$R$27,MATCH(E966,Cost_Components!$A$2:$A$27,0)),"")</f>
        <v>1</v>
      </c>
      <c r="U966" s="24">
        <f>IFERROR(INDEX(Cost_Components!$Q$2:$Q$27,MATCH(E966,Cost_Components!$A$2:$A$27,0)),"")</f>
        <v>2023</v>
      </c>
      <c r="V966" s="28">
        <f>1/(1+Calculation_Assumptions!$B$5)^(B966-Calculation_Assumptions!$B$2)</f>
        <v>0.94259590913375435</v>
      </c>
      <c r="W966" s="21">
        <f t="shared" si="156"/>
        <v>1638390.4115437358</v>
      </c>
      <c r="X966" s="21">
        <f t="shared" si="157"/>
        <v>1928537.6985004756</v>
      </c>
      <c r="Y966" s="21">
        <f t="shared" si="158"/>
        <v>290147.2869567399</v>
      </c>
      <c r="Z966" s="15">
        <f>IFERROR(INDEX(Cost_Components!$T$2:$T$27,MATCH(E966,Cost_Components!$A$2:$A$27,0)),"")</f>
        <v>0.8</v>
      </c>
      <c r="AA966" s="24">
        <f>IFERROR(INDEX(Cost_Components!$U$2:$U$27,MATCH(E966,Cost_Components!$A$2:$A$27,0)),"")</f>
        <v>2025</v>
      </c>
      <c r="AB966" s="24">
        <f>IFERROR(INDEX(Cost_Components!$V$2:$V$27,MATCH(E966,Cost_Components!$A$2:$A$27,0)),"")</f>
        <v>2050</v>
      </c>
      <c r="AC966" s="24">
        <f>IFERROR(INDEX(Cost_Components!$M$2:$M$27,MATCH(E966,Cost_Components!$A$2:$A$27,0)),"")</f>
        <v>30</v>
      </c>
      <c r="AD966" s="24">
        <f>IFERROR(INDEX(Cost_Components!$N$2:$N$27,MATCH(E966,Cost_Components!$A$2:$A$27,0)),"")</f>
        <v>95</v>
      </c>
      <c r="AE966" s="14" t="str">
        <f>IFERROR(INDEX(Cost_Components!$O$2:$O$27,MATCH(E966,Cost_Components!$A$2:$A$27,0)),"")</f>
        <v>Both</v>
      </c>
      <c r="AF966" s="11">
        <v>5436951.4781766301</v>
      </c>
      <c r="AG966" s="11">
        <v>5461382.3307524603</v>
      </c>
      <c r="AH966" s="21">
        <f t="shared" si="159"/>
        <v>1</v>
      </c>
    </row>
    <row r="967" spans="1:34" hidden="1">
      <c r="A967" t="s">
        <v>75</v>
      </c>
      <c r="B967" s="18">
        <v>2028</v>
      </c>
      <c r="C967" t="s">
        <v>197</v>
      </c>
      <c r="D967" t="s">
        <v>177</v>
      </c>
      <c r="E967" s="20" t="s">
        <v>284</v>
      </c>
      <c r="F967" s="20" t="s">
        <v>285</v>
      </c>
      <c r="G967" s="20" t="s">
        <v>201</v>
      </c>
      <c r="H967" s="20" t="s">
        <v>192</v>
      </c>
      <c r="I967" s="20" t="s">
        <v>264</v>
      </c>
      <c r="J967" s="15">
        <f>IFERROR(INDEX(Cost_Components!$K$2:$K$27,MATCH(E967,Cost_Components!$A$2:$A$27,0)),"")</f>
        <v>0.2</v>
      </c>
      <c r="K967" s="15">
        <f t="shared" si="150"/>
        <v>0.38538461538461538</v>
      </c>
      <c r="L967" s="15">
        <f>IFERROR(INDEX(Cost_Components!$S$2:$S$27,MATCH(E967,Cost_Components!$A$2:$A$27,0)),"")</f>
        <v>0.31</v>
      </c>
      <c r="M967" s="26">
        <f>IFERROR(INDEX(Cost_Components!$L$2:$L$27,MATCH(E967,Cost_Components!$A$2:$A$27,0)),"")</f>
        <v>1</v>
      </c>
      <c r="N967" s="27">
        <f>IFERROR(INDEX(Cost_Components!$P$2:$P$27,MATCH(E967,Cost_Components!$A$2:$A$27,0)),"")</f>
        <v>5.133311</v>
      </c>
      <c r="O967" s="21">
        <f t="shared" si="151"/>
        <v>1109354.467887264</v>
      </c>
      <c r="P967" s="21">
        <f t="shared" si="152"/>
        <v>1117389.9460450362</v>
      </c>
      <c r="Q967" s="21">
        <f t="shared" si="153"/>
        <v>1778132.131409941</v>
      </c>
      <c r="R967" s="21">
        <f t="shared" si="154"/>
        <v>2194634.9291887106</v>
      </c>
      <c r="S967" s="21">
        <f t="shared" si="155"/>
        <v>416502.79777876963</v>
      </c>
      <c r="T967" s="14">
        <f>IFERROR(INDEX(Cost_Components!$R$2:$R$27,MATCH(E967,Cost_Components!$A$2:$A$27,0)),"")</f>
        <v>1</v>
      </c>
      <c r="U967" s="24">
        <f>IFERROR(INDEX(Cost_Components!$Q$2:$Q$27,MATCH(E967,Cost_Components!$A$2:$A$27,0)),"")</f>
        <v>2023</v>
      </c>
      <c r="V967" s="28">
        <f>1/(1+Calculation_Assumptions!$B$5)^(B967-Calculation_Assumptions!$B$2)</f>
        <v>0.91514165935315961</v>
      </c>
      <c r="W967" s="21">
        <f t="shared" si="156"/>
        <v>1627242.7892876638</v>
      </c>
      <c r="X967" s="21">
        <f t="shared" si="157"/>
        <v>2008401.8507721606</v>
      </c>
      <c r="Y967" s="21">
        <f t="shared" si="158"/>
        <v>381159.06148449669</v>
      </c>
      <c r="Z967" s="15">
        <f>IFERROR(INDEX(Cost_Components!$T$2:$T$27,MATCH(E967,Cost_Components!$A$2:$A$27,0)),"")</f>
        <v>0.8</v>
      </c>
      <c r="AA967" s="24">
        <f>IFERROR(INDEX(Cost_Components!$U$2:$U$27,MATCH(E967,Cost_Components!$A$2:$A$27,0)),"")</f>
        <v>2025</v>
      </c>
      <c r="AB967" s="24">
        <f>IFERROR(INDEX(Cost_Components!$V$2:$V$27,MATCH(E967,Cost_Components!$A$2:$A$27,0)),"")</f>
        <v>2050</v>
      </c>
      <c r="AC967" s="24">
        <f>IFERROR(INDEX(Cost_Components!$M$2:$M$27,MATCH(E967,Cost_Components!$A$2:$A$27,0)),"")</f>
        <v>30</v>
      </c>
      <c r="AD967" s="24">
        <f>IFERROR(INDEX(Cost_Components!$N$2:$N$27,MATCH(E967,Cost_Components!$A$2:$A$27,0)),"")</f>
        <v>95</v>
      </c>
      <c r="AE967" s="14" t="str">
        <f>IFERROR(INDEX(Cost_Components!$O$2:$O$27,MATCH(E967,Cost_Components!$A$2:$A$27,0)),"")</f>
        <v>Both</v>
      </c>
      <c r="AF967" s="11">
        <v>5546772.3394363197</v>
      </c>
      <c r="AG967" s="11">
        <v>5586949.7302251803</v>
      </c>
      <c r="AH967" s="21">
        <f t="shared" si="159"/>
        <v>1</v>
      </c>
    </row>
    <row r="968" spans="1:34" hidden="1">
      <c r="A968" t="s">
        <v>75</v>
      </c>
      <c r="B968" s="18">
        <v>2029</v>
      </c>
      <c r="C968" t="s">
        <v>197</v>
      </c>
      <c r="D968" t="s">
        <v>177</v>
      </c>
      <c r="E968" s="20" t="s">
        <v>284</v>
      </c>
      <c r="F968" s="20" t="s">
        <v>285</v>
      </c>
      <c r="G968" s="20" t="s">
        <v>201</v>
      </c>
      <c r="H968" s="20" t="s">
        <v>192</v>
      </c>
      <c r="I968" s="20" t="s">
        <v>264</v>
      </c>
      <c r="J968" s="15">
        <f>IFERROR(INDEX(Cost_Components!$K$2:$K$27,MATCH(E968,Cost_Components!$A$2:$A$27,0)),"")</f>
        <v>0.2</v>
      </c>
      <c r="K968" s="15">
        <f t="shared" si="150"/>
        <v>0.40423076923076923</v>
      </c>
      <c r="L968" s="15">
        <f>IFERROR(INDEX(Cost_Components!$S$2:$S$27,MATCH(E968,Cost_Components!$A$2:$A$27,0)),"")</f>
        <v>0.31</v>
      </c>
      <c r="M968" s="26">
        <f>IFERROR(INDEX(Cost_Components!$L$2:$L$27,MATCH(E968,Cost_Components!$A$2:$A$27,0)),"")</f>
        <v>1</v>
      </c>
      <c r="N968" s="27">
        <f>IFERROR(INDEX(Cost_Components!$P$2:$P$27,MATCH(E968,Cost_Components!$A$2:$A$27,0)),"")</f>
        <v>5.133311</v>
      </c>
      <c r="O968" s="21">
        <f t="shared" si="151"/>
        <v>1130217.8324675721</v>
      </c>
      <c r="P968" s="21">
        <f t="shared" si="152"/>
        <v>1142107.993713924</v>
      </c>
      <c r="Q968" s="21">
        <f t="shared" si="153"/>
        <v>1817466.613469081</v>
      </c>
      <c r="R968" s="21">
        <f t="shared" si="154"/>
        <v>2345249.7588553247</v>
      </c>
      <c r="S968" s="21">
        <f t="shared" si="155"/>
        <v>527783.1453862437</v>
      </c>
      <c r="T968" s="14">
        <f>IFERROR(INDEX(Cost_Components!$R$2:$R$27,MATCH(E968,Cost_Components!$A$2:$A$27,0)),"")</f>
        <v>1</v>
      </c>
      <c r="U968" s="24">
        <f>IFERROR(INDEX(Cost_Components!$Q$2:$Q$27,MATCH(E968,Cost_Components!$A$2:$A$27,0)),"")</f>
        <v>2023</v>
      </c>
      <c r="V968" s="28">
        <f>1/(1+Calculation_Assumptions!$B$5)^(B968-Calculation_Assumptions!$B$2)</f>
        <v>0.888487047915689</v>
      </c>
      <c r="W968" s="21">
        <f t="shared" si="156"/>
        <v>1614795.5460864685</v>
      </c>
      <c r="X968" s="21">
        <f t="shared" si="157"/>
        <v>2083724.0348703489</v>
      </c>
      <c r="Y968" s="21">
        <f t="shared" si="158"/>
        <v>468928.48878388054</v>
      </c>
      <c r="Z968" s="15">
        <f>IFERROR(INDEX(Cost_Components!$T$2:$T$27,MATCH(E968,Cost_Components!$A$2:$A$27,0)),"")</f>
        <v>0.8</v>
      </c>
      <c r="AA968" s="24">
        <f>IFERROR(INDEX(Cost_Components!$U$2:$U$27,MATCH(E968,Cost_Components!$A$2:$A$27,0)),"")</f>
        <v>2025</v>
      </c>
      <c r="AB968" s="24">
        <f>IFERROR(INDEX(Cost_Components!$V$2:$V$27,MATCH(E968,Cost_Components!$A$2:$A$27,0)),"")</f>
        <v>2050</v>
      </c>
      <c r="AC968" s="24">
        <f>IFERROR(INDEX(Cost_Components!$M$2:$M$27,MATCH(E968,Cost_Components!$A$2:$A$27,0)),"")</f>
        <v>30</v>
      </c>
      <c r="AD968" s="24">
        <f>IFERROR(INDEX(Cost_Components!$N$2:$N$27,MATCH(E968,Cost_Components!$A$2:$A$27,0)),"")</f>
        <v>95</v>
      </c>
      <c r="AE968" s="14" t="str">
        <f>IFERROR(INDEX(Cost_Components!$O$2:$O$27,MATCH(E968,Cost_Components!$A$2:$A$27,0)),"")</f>
        <v>Both</v>
      </c>
      <c r="AF968" s="11">
        <v>5651089.1623378601</v>
      </c>
      <c r="AG968" s="11">
        <v>5710539.9685696196</v>
      </c>
      <c r="AH968" s="21">
        <f t="shared" si="159"/>
        <v>1</v>
      </c>
    </row>
    <row r="969" spans="1:34" hidden="1">
      <c r="A969" t="s">
        <v>75</v>
      </c>
      <c r="B969" s="18">
        <v>2030</v>
      </c>
      <c r="C969" t="s">
        <v>197</v>
      </c>
      <c r="D969" t="s">
        <v>177</v>
      </c>
      <c r="E969" s="20" t="s">
        <v>284</v>
      </c>
      <c r="F969" s="20" t="s">
        <v>285</v>
      </c>
      <c r="G969" s="20" t="s">
        <v>201</v>
      </c>
      <c r="H969" s="20" t="s">
        <v>192</v>
      </c>
      <c r="I969" s="20" t="s">
        <v>264</v>
      </c>
      <c r="J969" s="15">
        <f>IFERROR(INDEX(Cost_Components!$K$2:$K$27,MATCH(E969,Cost_Components!$A$2:$A$27,0)),"")</f>
        <v>0.2</v>
      </c>
      <c r="K969" s="15">
        <f t="shared" si="150"/>
        <v>0.42307692307692307</v>
      </c>
      <c r="L969" s="15">
        <f>IFERROR(INDEX(Cost_Components!$S$2:$S$27,MATCH(E969,Cost_Components!$A$2:$A$27,0)),"")</f>
        <v>0.31</v>
      </c>
      <c r="M969" s="26">
        <f>IFERROR(INDEX(Cost_Components!$L$2:$L$27,MATCH(E969,Cost_Components!$A$2:$A$27,0)),"")</f>
        <v>1</v>
      </c>
      <c r="N969" s="27">
        <f>IFERROR(INDEX(Cost_Components!$P$2:$P$27,MATCH(E969,Cost_Components!$A$2:$A$27,0)),"")</f>
        <v>5.133311</v>
      </c>
      <c r="O969" s="21">
        <f t="shared" si="151"/>
        <v>1149974.768314762</v>
      </c>
      <c r="P969" s="21">
        <f t="shared" si="152"/>
        <v>1166393.197493982</v>
      </c>
      <c r="Q969" s="21">
        <f t="shared" si="153"/>
        <v>1856112.2996165194</v>
      </c>
      <c r="R969" s="21">
        <f t="shared" si="154"/>
        <v>2497498.4387322618</v>
      </c>
      <c r="S969" s="21">
        <f t="shared" si="155"/>
        <v>641386.13911574241</v>
      </c>
      <c r="T969" s="14">
        <f>IFERROR(INDEX(Cost_Components!$R$2:$R$27,MATCH(E969,Cost_Components!$A$2:$A$27,0)),"")</f>
        <v>1</v>
      </c>
      <c r="U969" s="24">
        <f>IFERROR(INDEX(Cost_Components!$Q$2:$Q$27,MATCH(E969,Cost_Components!$A$2:$A$27,0)),"")</f>
        <v>2023</v>
      </c>
      <c r="V969" s="28">
        <f>1/(1+Calculation_Assumptions!$B$5)^(B969-Calculation_Assumptions!$B$2)</f>
        <v>0.86260878438416411</v>
      </c>
      <c r="W969" s="21">
        <f t="shared" si="156"/>
        <v>1601098.7744527012</v>
      </c>
      <c r="X969" s="21">
        <f t="shared" si="157"/>
        <v>2154364.092236184</v>
      </c>
      <c r="Y969" s="21">
        <f t="shared" si="158"/>
        <v>553265.31778348295</v>
      </c>
      <c r="Z969" s="15">
        <f>IFERROR(INDEX(Cost_Components!$T$2:$T$27,MATCH(E969,Cost_Components!$A$2:$A$27,0)),"")</f>
        <v>0.8</v>
      </c>
      <c r="AA969" s="24">
        <f>IFERROR(INDEX(Cost_Components!$U$2:$U$27,MATCH(E969,Cost_Components!$A$2:$A$27,0)),"")</f>
        <v>2025</v>
      </c>
      <c r="AB969" s="24">
        <f>IFERROR(INDEX(Cost_Components!$V$2:$V$27,MATCH(E969,Cost_Components!$A$2:$A$27,0)),"")</f>
        <v>2050</v>
      </c>
      <c r="AC969" s="24">
        <f>IFERROR(INDEX(Cost_Components!$M$2:$M$27,MATCH(E969,Cost_Components!$A$2:$A$27,0)),"")</f>
        <v>30</v>
      </c>
      <c r="AD969" s="24">
        <f>IFERROR(INDEX(Cost_Components!$N$2:$N$27,MATCH(E969,Cost_Components!$A$2:$A$27,0)),"")</f>
        <v>95</v>
      </c>
      <c r="AE969" s="14" t="str">
        <f>IFERROR(INDEX(Cost_Components!$O$2:$O$27,MATCH(E969,Cost_Components!$A$2:$A$27,0)),"")</f>
        <v>Both</v>
      </c>
      <c r="AF969" s="11">
        <v>5749873.8415738102</v>
      </c>
      <c r="AG969" s="11">
        <v>5831965.9874699097</v>
      </c>
      <c r="AH969" s="21">
        <f t="shared" si="159"/>
        <v>1</v>
      </c>
    </row>
    <row r="970" spans="1:34" hidden="1">
      <c r="A970" t="s">
        <v>75</v>
      </c>
      <c r="B970" s="18">
        <v>2031</v>
      </c>
      <c r="C970" t="s">
        <v>197</v>
      </c>
      <c r="D970" t="s">
        <v>177</v>
      </c>
      <c r="E970" s="20" t="s">
        <v>284</v>
      </c>
      <c r="F970" s="20" t="s">
        <v>285</v>
      </c>
      <c r="G970" s="20" t="s">
        <v>201</v>
      </c>
      <c r="H970" s="20" t="s">
        <v>192</v>
      </c>
      <c r="I970" s="20" t="s">
        <v>264</v>
      </c>
      <c r="J970" s="15">
        <f>IFERROR(INDEX(Cost_Components!$K$2:$K$27,MATCH(E970,Cost_Components!$A$2:$A$27,0)),"")</f>
        <v>0.2</v>
      </c>
      <c r="K970" s="15">
        <f t="shared" si="150"/>
        <v>0.44192307692307692</v>
      </c>
      <c r="L970" s="15">
        <f>IFERROR(INDEX(Cost_Components!$S$2:$S$27,MATCH(E970,Cost_Components!$A$2:$A$27,0)),"")</f>
        <v>0.31</v>
      </c>
      <c r="M970" s="26">
        <f>IFERROR(INDEX(Cost_Components!$L$2:$L$27,MATCH(E970,Cost_Components!$A$2:$A$27,0)),"")</f>
        <v>1</v>
      </c>
      <c r="N970" s="27">
        <f>IFERROR(INDEX(Cost_Components!$P$2:$P$27,MATCH(E970,Cost_Components!$A$2:$A$27,0)),"")</f>
        <v>5.133311</v>
      </c>
      <c r="O970" s="21">
        <f t="shared" si="151"/>
        <v>1168703.359516154</v>
      </c>
      <c r="P970" s="21">
        <f t="shared" si="152"/>
        <v>1190292.3125829461</v>
      </c>
      <c r="Q970" s="21">
        <f t="shared" si="153"/>
        <v>1894143.5926332176</v>
      </c>
      <c r="R970" s="21">
        <f t="shared" si="154"/>
        <v>2651236.9865389504</v>
      </c>
      <c r="S970" s="21">
        <f t="shared" si="155"/>
        <v>757093.39390573278</v>
      </c>
      <c r="T970" s="14">
        <f>IFERROR(INDEX(Cost_Components!$R$2:$R$27,MATCH(E970,Cost_Components!$A$2:$A$27,0)),"")</f>
        <v>1</v>
      </c>
      <c r="U970" s="24">
        <f>IFERROR(INDEX(Cost_Components!$Q$2:$Q$27,MATCH(E970,Cost_Components!$A$2:$A$27,0)),"")</f>
        <v>2023</v>
      </c>
      <c r="V970" s="28">
        <f>1/(1+Calculation_Assumptions!$B$5)^(B970-Calculation_Assumptions!$B$2)</f>
        <v>0.83748425668365445</v>
      </c>
      <c r="W970" s="21">
        <f t="shared" si="156"/>
        <v>1586315.4387285369</v>
      </c>
      <c r="X970" s="21">
        <f t="shared" si="157"/>
        <v>2220369.2369637848</v>
      </c>
      <c r="Y970" s="21">
        <f t="shared" si="158"/>
        <v>634053.79823524784</v>
      </c>
      <c r="Z970" s="15">
        <f>IFERROR(INDEX(Cost_Components!$T$2:$T$27,MATCH(E970,Cost_Components!$A$2:$A$27,0)),"")</f>
        <v>0.8</v>
      </c>
      <c r="AA970" s="24">
        <f>IFERROR(INDEX(Cost_Components!$U$2:$U$27,MATCH(E970,Cost_Components!$A$2:$A$27,0)),"")</f>
        <v>2025</v>
      </c>
      <c r="AB970" s="24">
        <f>IFERROR(INDEX(Cost_Components!$V$2:$V$27,MATCH(E970,Cost_Components!$A$2:$A$27,0)),"")</f>
        <v>2050</v>
      </c>
      <c r="AC970" s="24">
        <f>IFERROR(INDEX(Cost_Components!$M$2:$M$27,MATCH(E970,Cost_Components!$A$2:$A$27,0)),"")</f>
        <v>30</v>
      </c>
      <c r="AD970" s="24">
        <f>IFERROR(INDEX(Cost_Components!$N$2:$N$27,MATCH(E970,Cost_Components!$A$2:$A$27,0)),"")</f>
        <v>95</v>
      </c>
      <c r="AE970" s="14" t="str">
        <f>IFERROR(INDEX(Cost_Components!$O$2:$O$27,MATCH(E970,Cost_Components!$A$2:$A$27,0)),"")</f>
        <v>Both</v>
      </c>
      <c r="AF970" s="11">
        <v>5843516.7975807702</v>
      </c>
      <c r="AG970" s="11">
        <v>5951461.56291473</v>
      </c>
      <c r="AH970" s="21">
        <f t="shared" si="159"/>
        <v>1</v>
      </c>
    </row>
    <row r="971" spans="1:34" hidden="1">
      <c r="A971" t="s">
        <v>75</v>
      </c>
      <c r="B971" s="18">
        <v>2032</v>
      </c>
      <c r="C971" t="s">
        <v>197</v>
      </c>
      <c r="D971" t="s">
        <v>177</v>
      </c>
      <c r="E971" s="20" t="s">
        <v>284</v>
      </c>
      <c r="F971" s="20" t="s">
        <v>285</v>
      </c>
      <c r="G971" s="20" t="s">
        <v>201</v>
      </c>
      <c r="H971" s="20" t="s">
        <v>192</v>
      </c>
      <c r="I971" s="20" t="s">
        <v>264</v>
      </c>
      <c r="J971" s="15">
        <f>IFERROR(INDEX(Cost_Components!$K$2:$K$27,MATCH(E971,Cost_Components!$A$2:$A$27,0)),"")</f>
        <v>0.2</v>
      </c>
      <c r="K971" s="15">
        <f t="shared" si="150"/>
        <v>0.46076923076923082</v>
      </c>
      <c r="L971" s="15">
        <f>IFERROR(INDEX(Cost_Components!$S$2:$S$27,MATCH(E971,Cost_Components!$A$2:$A$27,0)),"")</f>
        <v>0.31</v>
      </c>
      <c r="M971" s="26">
        <f>IFERROR(INDEX(Cost_Components!$L$2:$L$27,MATCH(E971,Cost_Components!$A$2:$A$27,0)),"")</f>
        <v>1</v>
      </c>
      <c r="N971" s="27">
        <f>IFERROR(INDEX(Cost_Components!$P$2:$P$27,MATCH(E971,Cost_Components!$A$2:$A$27,0)),"")</f>
        <v>5.133311</v>
      </c>
      <c r="O971" s="21">
        <f t="shared" si="151"/>
        <v>1186408.3540079261</v>
      </c>
      <c r="P971" s="21">
        <f t="shared" si="152"/>
        <v>1213778.436165842</v>
      </c>
      <c r="Q971" s="21">
        <f t="shared" si="153"/>
        <v>1931517.6813592035</v>
      </c>
      <c r="R971" s="21">
        <f t="shared" si="154"/>
        <v>2806178.1764756525</v>
      </c>
      <c r="S971" s="21">
        <f t="shared" si="155"/>
        <v>874660.49511644896</v>
      </c>
      <c r="T971" s="14">
        <f>IFERROR(INDEX(Cost_Components!$R$2:$R$27,MATCH(E971,Cost_Components!$A$2:$A$27,0)),"")</f>
        <v>1</v>
      </c>
      <c r="U971" s="24">
        <f>IFERROR(INDEX(Cost_Components!$Q$2:$Q$27,MATCH(E971,Cost_Components!$A$2:$A$27,0)),"")</f>
        <v>2023</v>
      </c>
      <c r="V971" s="28">
        <f>1/(1+Calculation_Assumptions!$B$5)^(B971-Calculation_Assumptions!$B$2)</f>
        <v>0.81309151134335378</v>
      </c>
      <c r="W971" s="21">
        <f t="shared" si="156"/>
        <v>1570500.6307227653</v>
      </c>
      <c r="X971" s="21">
        <f t="shared" si="157"/>
        <v>2281679.6546093249</v>
      </c>
      <c r="Y971" s="21">
        <f t="shared" si="158"/>
        <v>711179.02388655965</v>
      </c>
      <c r="Z971" s="15">
        <f>IFERROR(INDEX(Cost_Components!$T$2:$T$27,MATCH(E971,Cost_Components!$A$2:$A$27,0)),"")</f>
        <v>0.8</v>
      </c>
      <c r="AA971" s="24">
        <f>IFERROR(INDEX(Cost_Components!$U$2:$U$27,MATCH(E971,Cost_Components!$A$2:$A$27,0)),"")</f>
        <v>2025</v>
      </c>
      <c r="AB971" s="24">
        <f>IFERROR(INDEX(Cost_Components!$V$2:$V$27,MATCH(E971,Cost_Components!$A$2:$A$27,0)),"")</f>
        <v>2050</v>
      </c>
      <c r="AC971" s="24">
        <f>IFERROR(INDEX(Cost_Components!$M$2:$M$27,MATCH(E971,Cost_Components!$A$2:$A$27,0)),"")</f>
        <v>30</v>
      </c>
      <c r="AD971" s="24">
        <f>IFERROR(INDEX(Cost_Components!$N$2:$N$27,MATCH(E971,Cost_Components!$A$2:$A$27,0)),"")</f>
        <v>95</v>
      </c>
      <c r="AE971" s="14" t="str">
        <f>IFERROR(INDEX(Cost_Components!$O$2:$O$27,MATCH(E971,Cost_Components!$A$2:$A$27,0)),"")</f>
        <v>Both</v>
      </c>
      <c r="AF971" s="11">
        <v>5932041.7700396301</v>
      </c>
      <c r="AG971" s="11">
        <v>6068892.1808292102</v>
      </c>
      <c r="AH971" s="21">
        <f t="shared" si="159"/>
        <v>1</v>
      </c>
    </row>
    <row r="972" spans="1:34" hidden="1">
      <c r="A972" t="s">
        <v>75</v>
      </c>
      <c r="B972" s="18">
        <v>2033</v>
      </c>
      <c r="C972" t="s">
        <v>197</v>
      </c>
      <c r="D972" t="s">
        <v>177</v>
      </c>
      <c r="E972" s="20" t="s">
        <v>284</v>
      </c>
      <c r="F972" s="20" t="s">
        <v>285</v>
      </c>
      <c r="G972" s="20" t="s">
        <v>201</v>
      </c>
      <c r="H972" s="20" t="s">
        <v>192</v>
      </c>
      <c r="I972" s="20" t="s">
        <v>264</v>
      </c>
      <c r="J972" s="15">
        <f>IFERROR(INDEX(Cost_Components!$K$2:$K$27,MATCH(E972,Cost_Components!$A$2:$A$27,0)),"")</f>
        <v>0.2</v>
      </c>
      <c r="K972" s="15">
        <f t="shared" si="150"/>
        <v>0.47961538461538467</v>
      </c>
      <c r="L972" s="15">
        <f>IFERROR(INDEX(Cost_Components!$S$2:$S$27,MATCH(E972,Cost_Components!$A$2:$A$27,0)),"")</f>
        <v>0.31</v>
      </c>
      <c r="M972" s="26">
        <f>IFERROR(INDEX(Cost_Components!$L$2:$L$27,MATCH(E972,Cost_Components!$A$2:$A$27,0)),"")</f>
        <v>1</v>
      </c>
      <c r="N972" s="27">
        <f>IFERROR(INDEX(Cost_Components!$P$2:$P$27,MATCH(E972,Cost_Components!$A$2:$A$27,0)),"")</f>
        <v>5.133311</v>
      </c>
      <c r="O972" s="21">
        <f t="shared" si="151"/>
        <v>1203061.147119374</v>
      </c>
      <c r="P972" s="21">
        <f t="shared" si="152"/>
        <v>1236789.2477787901</v>
      </c>
      <c r="Q972" s="21">
        <f t="shared" si="153"/>
        <v>1968135.3935944226</v>
      </c>
      <c r="R972" s="21">
        <f t="shared" si="154"/>
        <v>2961954.5054481099</v>
      </c>
      <c r="S972" s="21">
        <f t="shared" si="155"/>
        <v>993819.11185368733</v>
      </c>
      <c r="T972" s="14">
        <f>IFERROR(INDEX(Cost_Components!$R$2:$R$27,MATCH(E972,Cost_Components!$A$2:$A$27,0)),"")</f>
        <v>1</v>
      </c>
      <c r="U972" s="24">
        <f>IFERROR(INDEX(Cost_Components!$Q$2:$Q$27,MATCH(E972,Cost_Components!$A$2:$A$27,0)),"")</f>
        <v>2023</v>
      </c>
      <c r="V972" s="28">
        <f>1/(1+Calculation_Assumptions!$B$5)^(B972-Calculation_Assumptions!$B$2)</f>
        <v>0.78940923431393573</v>
      </c>
      <c r="W972" s="21">
        <f t="shared" si="156"/>
        <v>1553664.2540835296</v>
      </c>
      <c r="X972" s="21">
        <f t="shared" si="157"/>
        <v>2338194.2382185045</v>
      </c>
      <c r="Y972" s="21">
        <f t="shared" si="158"/>
        <v>784529.98413497501</v>
      </c>
      <c r="Z972" s="15">
        <f>IFERROR(INDEX(Cost_Components!$T$2:$T$27,MATCH(E972,Cost_Components!$A$2:$A$27,0)),"")</f>
        <v>0.8</v>
      </c>
      <c r="AA972" s="24">
        <f>IFERROR(INDEX(Cost_Components!$U$2:$U$27,MATCH(E972,Cost_Components!$A$2:$A$27,0)),"")</f>
        <v>2025</v>
      </c>
      <c r="AB972" s="24">
        <f>IFERROR(INDEX(Cost_Components!$V$2:$V$27,MATCH(E972,Cost_Components!$A$2:$A$27,0)),"")</f>
        <v>2050</v>
      </c>
      <c r="AC972" s="24">
        <f>IFERROR(INDEX(Cost_Components!$M$2:$M$27,MATCH(E972,Cost_Components!$A$2:$A$27,0)),"")</f>
        <v>30</v>
      </c>
      <c r="AD972" s="24">
        <f>IFERROR(INDEX(Cost_Components!$N$2:$N$27,MATCH(E972,Cost_Components!$A$2:$A$27,0)),"")</f>
        <v>95</v>
      </c>
      <c r="AE972" s="14" t="str">
        <f>IFERROR(INDEX(Cost_Components!$O$2:$O$27,MATCH(E972,Cost_Components!$A$2:$A$27,0)),"")</f>
        <v>Both</v>
      </c>
      <c r="AF972" s="11">
        <v>6015305.7355968701</v>
      </c>
      <c r="AG972" s="11">
        <v>6183946.2388939504</v>
      </c>
      <c r="AH972" s="21">
        <f t="shared" si="159"/>
        <v>1</v>
      </c>
    </row>
    <row r="973" spans="1:34" hidden="1">
      <c r="A973" t="s">
        <v>75</v>
      </c>
      <c r="B973" s="18">
        <v>2034</v>
      </c>
      <c r="C973" t="s">
        <v>197</v>
      </c>
      <c r="D973" t="s">
        <v>177</v>
      </c>
      <c r="E973" s="20" t="s">
        <v>284</v>
      </c>
      <c r="F973" s="20" t="s">
        <v>285</v>
      </c>
      <c r="G973" s="20" t="s">
        <v>201</v>
      </c>
      <c r="H973" s="20" t="s">
        <v>192</v>
      </c>
      <c r="I973" s="20" t="s">
        <v>264</v>
      </c>
      <c r="J973" s="15">
        <f>IFERROR(INDEX(Cost_Components!$K$2:$K$27,MATCH(E973,Cost_Components!$A$2:$A$27,0)),"")</f>
        <v>0.2</v>
      </c>
      <c r="K973" s="15">
        <f t="shared" si="150"/>
        <v>0.49846153846153851</v>
      </c>
      <c r="L973" s="15">
        <f>IFERROR(INDEX(Cost_Components!$S$2:$S$27,MATCH(E973,Cost_Components!$A$2:$A$27,0)),"")</f>
        <v>0.31</v>
      </c>
      <c r="M973" s="26">
        <f>IFERROR(INDEX(Cost_Components!$L$2:$L$27,MATCH(E973,Cost_Components!$A$2:$A$27,0)),"")</f>
        <v>1</v>
      </c>
      <c r="N973" s="27">
        <f>IFERROR(INDEX(Cost_Components!$P$2:$P$27,MATCH(E973,Cost_Components!$A$2:$A$27,0)),"")</f>
        <v>5.133311</v>
      </c>
      <c r="O973" s="21">
        <f t="shared" si="151"/>
        <v>1218658.47606695</v>
      </c>
      <c r="P973" s="21">
        <f t="shared" si="152"/>
        <v>1259286.2600290061</v>
      </c>
      <c r="Q973" s="21">
        <f t="shared" si="153"/>
        <v>2003935.4833342847</v>
      </c>
      <c r="R973" s="21">
        <f t="shared" si="154"/>
        <v>3118252.2448951053</v>
      </c>
      <c r="S973" s="21">
        <f t="shared" si="155"/>
        <v>1114316.7615608205</v>
      </c>
      <c r="T973" s="14">
        <f>IFERROR(INDEX(Cost_Components!$R$2:$R$27,MATCH(E973,Cost_Components!$A$2:$A$27,0)),"")</f>
        <v>1</v>
      </c>
      <c r="U973" s="24">
        <f>IFERROR(INDEX(Cost_Components!$Q$2:$Q$27,MATCH(E973,Cost_Components!$A$2:$A$27,0)),"")</f>
        <v>2023</v>
      </c>
      <c r="V973" s="28">
        <f>1/(1+Calculation_Assumptions!$B$5)^(B973-Calculation_Assumptions!$B$2)</f>
        <v>0.76641673234362695</v>
      </c>
      <c r="W973" s="21">
        <f t="shared" si="156"/>
        <v>1535849.6849645092</v>
      </c>
      <c r="X973" s="21">
        <f t="shared" si="157"/>
        <v>2389880.6961556859</v>
      </c>
      <c r="Y973" s="21">
        <f t="shared" si="158"/>
        <v>854031.0111911766</v>
      </c>
      <c r="Z973" s="15">
        <f>IFERROR(INDEX(Cost_Components!$T$2:$T$27,MATCH(E973,Cost_Components!$A$2:$A$27,0)),"")</f>
        <v>0.8</v>
      </c>
      <c r="AA973" s="24">
        <f>IFERROR(INDEX(Cost_Components!$U$2:$U$27,MATCH(E973,Cost_Components!$A$2:$A$27,0)),"")</f>
        <v>2025</v>
      </c>
      <c r="AB973" s="24">
        <f>IFERROR(INDEX(Cost_Components!$V$2:$V$27,MATCH(E973,Cost_Components!$A$2:$A$27,0)),"")</f>
        <v>2050</v>
      </c>
      <c r="AC973" s="24">
        <f>IFERROR(INDEX(Cost_Components!$M$2:$M$27,MATCH(E973,Cost_Components!$A$2:$A$27,0)),"")</f>
        <v>30</v>
      </c>
      <c r="AD973" s="24">
        <f>IFERROR(INDEX(Cost_Components!$N$2:$N$27,MATCH(E973,Cost_Components!$A$2:$A$27,0)),"")</f>
        <v>95</v>
      </c>
      <c r="AE973" s="14" t="str">
        <f>IFERROR(INDEX(Cost_Components!$O$2:$O$27,MATCH(E973,Cost_Components!$A$2:$A$27,0)),"")</f>
        <v>Both</v>
      </c>
      <c r="AF973" s="11">
        <v>6093292.3803347498</v>
      </c>
      <c r="AG973" s="11">
        <v>6296431.30014503</v>
      </c>
      <c r="AH973" s="21">
        <f t="shared" si="159"/>
        <v>1</v>
      </c>
    </row>
    <row r="974" spans="1:34" hidden="1">
      <c r="A974" t="s">
        <v>75</v>
      </c>
      <c r="B974" s="18">
        <v>2035</v>
      </c>
      <c r="C974" t="s">
        <v>197</v>
      </c>
      <c r="D974" t="s">
        <v>177</v>
      </c>
      <c r="E974" s="20" t="s">
        <v>284</v>
      </c>
      <c r="F974" s="20" t="s">
        <v>285</v>
      </c>
      <c r="G974" s="20" t="s">
        <v>201</v>
      </c>
      <c r="H974" s="20" t="s">
        <v>192</v>
      </c>
      <c r="I974" s="20" t="s">
        <v>264</v>
      </c>
      <c r="J974" s="15">
        <f>IFERROR(INDEX(Cost_Components!$K$2:$K$27,MATCH(E974,Cost_Components!$A$2:$A$27,0)),"")</f>
        <v>0.2</v>
      </c>
      <c r="K974" s="15">
        <f t="shared" si="150"/>
        <v>0.51730769230769236</v>
      </c>
      <c r="L974" s="15">
        <f>IFERROR(INDEX(Cost_Components!$S$2:$S$27,MATCH(E974,Cost_Components!$A$2:$A$27,0)),"")</f>
        <v>0.31</v>
      </c>
      <c r="M974" s="26">
        <f>IFERROR(INDEX(Cost_Components!$L$2:$L$27,MATCH(E974,Cost_Components!$A$2:$A$27,0)),"")</f>
        <v>1</v>
      </c>
      <c r="N974" s="27">
        <f>IFERROR(INDEX(Cost_Components!$P$2:$P$27,MATCH(E974,Cost_Components!$A$2:$A$27,0)),"")</f>
        <v>5.133311</v>
      </c>
      <c r="O974" s="21">
        <f t="shared" si="151"/>
        <v>1233236.080440694</v>
      </c>
      <c r="P974" s="21">
        <f t="shared" si="152"/>
        <v>1281269.6540089762</v>
      </c>
      <c r="Q974" s="21">
        <f t="shared" si="153"/>
        <v>2038918.2387560462</v>
      </c>
      <c r="R974" s="21">
        <f t="shared" si="154"/>
        <v>3274859.9744998342</v>
      </c>
      <c r="S974" s="21">
        <f t="shared" si="155"/>
        <v>1235941.7357437881</v>
      </c>
      <c r="T974" s="14">
        <f>IFERROR(INDEX(Cost_Components!$R$2:$R$27,MATCH(E974,Cost_Components!$A$2:$A$27,0)),"")</f>
        <v>1</v>
      </c>
      <c r="U974" s="24">
        <f>IFERROR(INDEX(Cost_Components!$Q$2:$Q$27,MATCH(E974,Cost_Components!$A$2:$A$27,0)),"")</f>
        <v>2023</v>
      </c>
      <c r="V974" s="28">
        <f>1/(1+Calculation_Assumptions!$B$5)^(B974-Calculation_Assumptions!$B$2)</f>
        <v>0.74409391489672516</v>
      </c>
      <c r="W974" s="21">
        <f t="shared" si="156"/>
        <v>1517146.6544303221</v>
      </c>
      <c r="X974" s="21">
        <f t="shared" si="157"/>
        <v>2436803.3791641714</v>
      </c>
      <c r="Y974" s="21">
        <f t="shared" si="158"/>
        <v>919656.72473384906</v>
      </c>
      <c r="Z974" s="15">
        <f>IFERROR(INDEX(Cost_Components!$T$2:$T$27,MATCH(E974,Cost_Components!$A$2:$A$27,0)),"")</f>
        <v>0.8</v>
      </c>
      <c r="AA974" s="24">
        <f>IFERROR(INDEX(Cost_Components!$U$2:$U$27,MATCH(E974,Cost_Components!$A$2:$A$27,0)),"")</f>
        <v>2025</v>
      </c>
      <c r="AB974" s="24">
        <f>IFERROR(INDEX(Cost_Components!$V$2:$V$27,MATCH(E974,Cost_Components!$A$2:$A$27,0)),"")</f>
        <v>2050</v>
      </c>
      <c r="AC974" s="24">
        <f>IFERROR(INDEX(Cost_Components!$M$2:$M$27,MATCH(E974,Cost_Components!$A$2:$A$27,0)),"")</f>
        <v>30</v>
      </c>
      <c r="AD974" s="24">
        <f>IFERROR(INDEX(Cost_Components!$N$2:$N$27,MATCH(E974,Cost_Components!$A$2:$A$27,0)),"")</f>
        <v>95</v>
      </c>
      <c r="AE974" s="14" t="str">
        <f>IFERROR(INDEX(Cost_Components!$O$2:$O$27,MATCH(E974,Cost_Components!$A$2:$A$27,0)),"")</f>
        <v>Both</v>
      </c>
      <c r="AF974" s="11">
        <v>6166180.4022034695</v>
      </c>
      <c r="AG974" s="11">
        <v>6406348.27004488</v>
      </c>
      <c r="AH974" s="21">
        <f t="shared" si="159"/>
        <v>1</v>
      </c>
    </row>
    <row r="975" spans="1:34" hidden="1">
      <c r="A975" t="s">
        <v>75</v>
      </c>
      <c r="B975" s="18">
        <v>2036</v>
      </c>
      <c r="C975" t="s">
        <v>197</v>
      </c>
      <c r="D975" t="s">
        <v>177</v>
      </c>
      <c r="E975" s="20" t="s">
        <v>284</v>
      </c>
      <c r="F975" s="20" t="s">
        <v>285</v>
      </c>
      <c r="G975" s="20" t="s">
        <v>201</v>
      </c>
      <c r="H975" s="20" t="s">
        <v>192</v>
      </c>
      <c r="I975" s="20" t="s">
        <v>264</v>
      </c>
      <c r="J975" s="15">
        <f>IFERROR(INDEX(Cost_Components!$K$2:$K$27,MATCH(E975,Cost_Components!$A$2:$A$27,0)),"")</f>
        <v>0.2</v>
      </c>
      <c r="K975" s="15">
        <f t="shared" si="150"/>
        <v>0.5361538461538462</v>
      </c>
      <c r="L975" s="15">
        <f>IFERROR(INDEX(Cost_Components!$S$2:$S$27,MATCH(E975,Cost_Components!$A$2:$A$27,0)),"")</f>
        <v>0.31</v>
      </c>
      <c r="M975" s="26">
        <f>IFERROR(INDEX(Cost_Components!$L$2:$L$27,MATCH(E975,Cost_Components!$A$2:$A$27,0)),"")</f>
        <v>1</v>
      </c>
      <c r="N975" s="27">
        <f>IFERROR(INDEX(Cost_Components!$P$2:$P$27,MATCH(E975,Cost_Components!$A$2:$A$27,0)),"")</f>
        <v>5.133311</v>
      </c>
      <c r="O975" s="21">
        <f t="shared" si="151"/>
        <v>1246870.8018026161</v>
      </c>
      <c r="P975" s="21">
        <f t="shared" si="152"/>
        <v>1302779.9398582922</v>
      </c>
      <c r="Q975" s="21">
        <f t="shared" si="153"/>
        <v>2073148.1247147121</v>
      </c>
      <c r="R975" s="21">
        <f t="shared" si="154"/>
        <v>3431693.2268639351</v>
      </c>
      <c r="S975" s="21">
        <f t="shared" si="155"/>
        <v>1358545.102149223</v>
      </c>
      <c r="T975" s="14">
        <f>IFERROR(INDEX(Cost_Components!$R$2:$R$27,MATCH(E975,Cost_Components!$A$2:$A$27,0)),"")</f>
        <v>1</v>
      </c>
      <c r="U975" s="24">
        <f>IFERROR(INDEX(Cost_Components!$Q$2:$Q$27,MATCH(E975,Cost_Components!$A$2:$A$27,0)),"")</f>
        <v>2023</v>
      </c>
      <c r="V975" s="28">
        <f>1/(1+Calculation_Assumptions!$B$5)^(B975-Calculation_Assumptions!$B$2)</f>
        <v>0.72242127659876232</v>
      </c>
      <c r="W975" s="21">
        <f t="shared" si="156"/>
        <v>1497686.3148347326</v>
      </c>
      <c r="X975" s="21">
        <f t="shared" si="157"/>
        <v>2479128.20184637</v>
      </c>
      <c r="Y975" s="21">
        <f t="shared" si="158"/>
        <v>981441.88701163768</v>
      </c>
      <c r="Z975" s="15">
        <f>IFERROR(INDEX(Cost_Components!$T$2:$T$27,MATCH(E975,Cost_Components!$A$2:$A$27,0)),"")</f>
        <v>0.8</v>
      </c>
      <c r="AA975" s="24">
        <f>IFERROR(INDEX(Cost_Components!$U$2:$U$27,MATCH(E975,Cost_Components!$A$2:$A$27,0)),"")</f>
        <v>2025</v>
      </c>
      <c r="AB975" s="24">
        <f>IFERROR(INDEX(Cost_Components!$V$2:$V$27,MATCH(E975,Cost_Components!$A$2:$A$27,0)),"")</f>
        <v>2050</v>
      </c>
      <c r="AC975" s="24">
        <f>IFERROR(INDEX(Cost_Components!$M$2:$M$27,MATCH(E975,Cost_Components!$A$2:$A$27,0)),"")</f>
        <v>30</v>
      </c>
      <c r="AD975" s="24">
        <f>IFERROR(INDEX(Cost_Components!$N$2:$N$27,MATCH(E975,Cost_Components!$A$2:$A$27,0)),"")</f>
        <v>95</v>
      </c>
      <c r="AE975" s="14" t="str">
        <f>IFERROR(INDEX(Cost_Components!$O$2:$O$27,MATCH(E975,Cost_Components!$A$2:$A$27,0)),"")</f>
        <v>Both</v>
      </c>
      <c r="AF975" s="11">
        <v>6234354.00901308</v>
      </c>
      <c r="AG975" s="11">
        <v>6513899.6992914602</v>
      </c>
      <c r="AH975" s="21">
        <f t="shared" si="159"/>
        <v>1</v>
      </c>
    </row>
    <row r="976" spans="1:34" hidden="1">
      <c r="A976" t="s">
        <v>75</v>
      </c>
      <c r="B976" s="18">
        <v>2037</v>
      </c>
      <c r="C976" t="s">
        <v>197</v>
      </c>
      <c r="D976" t="s">
        <v>177</v>
      </c>
      <c r="E976" s="20" t="s">
        <v>284</v>
      </c>
      <c r="F976" s="20" t="s">
        <v>285</v>
      </c>
      <c r="G976" s="20" t="s">
        <v>201</v>
      </c>
      <c r="H976" s="20" t="s">
        <v>192</v>
      </c>
      <c r="I976" s="20" t="s">
        <v>264</v>
      </c>
      <c r="J976" s="15">
        <f>IFERROR(INDEX(Cost_Components!$K$2:$K$27,MATCH(E976,Cost_Components!$A$2:$A$27,0)),"")</f>
        <v>0.2</v>
      </c>
      <c r="K976" s="15">
        <f t="shared" si="150"/>
        <v>0.55500000000000005</v>
      </c>
      <c r="L976" s="15">
        <f>IFERROR(INDEX(Cost_Components!$S$2:$S$27,MATCH(E976,Cost_Components!$A$2:$A$27,0)),"")</f>
        <v>0.31</v>
      </c>
      <c r="M976" s="26">
        <f>IFERROR(INDEX(Cost_Components!$L$2:$L$27,MATCH(E976,Cost_Components!$A$2:$A$27,0)),"")</f>
        <v>1</v>
      </c>
      <c r="N976" s="27">
        <f>IFERROR(INDEX(Cost_Components!$P$2:$P$27,MATCH(E976,Cost_Components!$A$2:$A$27,0)),"")</f>
        <v>5.133311</v>
      </c>
      <c r="O976" s="21">
        <f t="shared" si="151"/>
        <v>1259561.6708776362</v>
      </c>
      <c r="P976" s="21">
        <f t="shared" si="152"/>
        <v>1323777.749244608</v>
      </c>
      <c r="Q976" s="21">
        <f t="shared" si="153"/>
        <v>2106562.493343302</v>
      </c>
      <c r="R976" s="21">
        <f t="shared" si="154"/>
        <v>3588475.5880634747</v>
      </c>
      <c r="S976" s="21">
        <f t="shared" si="155"/>
        <v>1481913.0947201727</v>
      </c>
      <c r="T976" s="14">
        <f>IFERROR(INDEX(Cost_Components!$R$2:$R$27,MATCH(E976,Cost_Components!$A$2:$A$27,0)),"")</f>
        <v>1</v>
      </c>
      <c r="U976" s="24">
        <f>IFERROR(INDEX(Cost_Components!$Q$2:$Q$27,MATCH(E976,Cost_Components!$A$2:$A$27,0)),"")</f>
        <v>2023</v>
      </c>
      <c r="V976" s="28">
        <f>1/(1+Calculation_Assumptions!$B$5)^(B976-Calculation_Assumptions!$B$2)</f>
        <v>0.70137988019297326</v>
      </c>
      <c r="W976" s="21">
        <f t="shared" si="156"/>
        <v>1477500.5492001362</v>
      </c>
      <c r="X976" s="21">
        <f t="shared" si="157"/>
        <v>2516884.578031369</v>
      </c>
      <c r="Y976" s="21">
        <f t="shared" si="158"/>
        <v>1039384.0288312329</v>
      </c>
      <c r="Z976" s="15">
        <f>IFERROR(INDEX(Cost_Components!$T$2:$T$27,MATCH(E976,Cost_Components!$A$2:$A$27,0)),"")</f>
        <v>0.8</v>
      </c>
      <c r="AA976" s="24">
        <f>IFERROR(INDEX(Cost_Components!$U$2:$U$27,MATCH(E976,Cost_Components!$A$2:$A$27,0)),"")</f>
        <v>2025</v>
      </c>
      <c r="AB976" s="24">
        <f>IFERROR(INDEX(Cost_Components!$V$2:$V$27,MATCH(E976,Cost_Components!$A$2:$A$27,0)),"")</f>
        <v>2050</v>
      </c>
      <c r="AC976" s="24">
        <f>IFERROR(INDEX(Cost_Components!$M$2:$M$27,MATCH(E976,Cost_Components!$A$2:$A$27,0)),"")</f>
        <v>30</v>
      </c>
      <c r="AD976" s="24">
        <f>IFERROR(INDEX(Cost_Components!$N$2:$N$27,MATCH(E976,Cost_Components!$A$2:$A$27,0)),"")</f>
        <v>95</v>
      </c>
      <c r="AE976" s="14" t="str">
        <f>IFERROR(INDEX(Cost_Components!$O$2:$O$27,MATCH(E976,Cost_Components!$A$2:$A$27,0)),"")</f>
        <v>Both</v>
      </c>
      <c r="AF976" s="11">
        <v>6297808.3543881802</v>
      </c>
      <c r="AG976" s="11">
        <v>6618888.7462230399</v>
      </c>
      <c r="AH976" s="21">
        <f t="shared" si="159"/>
        <v>1</v>
      </c>
    </row>
    <row r="977" spans="1:34" hidden="1">
      <c r="A977" t="s">
        <v>75</v>
      </c>
      <c r="B977" s="18">
        <v>2038</v>
      </c>
      <c r="C977" t="s">
        <v>197</v>
      </c>
      <c r="D977" t="s">
        <v>177</v>
      </c>
      <c r="E977" s="20" t="s">
        <v>284</v>
      </c>
      <c r="F977" s="20" t="s">
        <v>285</v>
      </c>
      <c r="G977" s="20" t="s">
        <v>201</v>
      </c>
      <c r="H977" s="20" t="s">
        <v>192</v>
      </c>
      <c r="I977" s="20" t="s">
        <v>264</v>
      </c>
      <c r="J977" s="15">
        <f>IFERROR(INDEX(Cost_Components!$K$2:$K$27,MATCH(E977,Cost_Components!$A$2:$A$27,0)),"")</f>
        <v>0.2</v>
      </c>
      <c r="K977" s="15">
        <f t="shared" si="150"/>
        <v>0.57384615384615389</v>
      </c>
      <c r="L977" s="15">
        <f>IFERROR(INDEX(Cost_Components!$S$2:$S$27,MATCH(E977,Cost_Components!$A$2:$A$27,0)),"")</f>
        <v>0.31</v>
      </c>
      <c r="M977" s="26">
        <f>IFERROR(INDEX(Cost_Components!$L$2:$L$27,MATCH(E977,Cost_Components!$A$2:$A$27,0)),"")</f>
        <v>1</v>
      </c>
      <c r="N977" s="27">
        <f>IFERROR(INDEX(Cost_Components!$P$2:$P$27,MATCH(E977,Cost_Components!$A$2:$A$27,0)),"")</f>
        <v>5.133311</v>
      </c>
      <c r="O977" s="21">
        <f t="shared" si="151"/>
        <v>1271290.2622029502</v>
      </c>
      <c r="P977" s="21">
        <f t="shared" si="152"/>
        <v>1344208.9517388882</v>
      </c>
      <c r="Q977" s="21">
        <f t="shared" si="153"/>
        <v>2139075.2054605079</v>
      </c>
      <c r="R977" s="21">
        <f t="shared" si="154"/>
        <v>3744878.8478621766</v>
      </c>
      <c r="S977" s="21">
        <f t="shared" si="155"/>
        <v>1605803.6424016687</v>
      </c>
      <c r="T977" s="14">
        <f>IFERROR(INDEX(Cost_Components!$R$2:$R$27,MATCH(E977,Cost_Components!$A$2:$A$27,0)),"")</f>
        <v>1</v>
      </c>
      <c r="U977" s="24">
        <f>IFERROR(INDEX(Cost_Components!$Q$2:$Q$27,MATCH(E977,Cost_Components!$A$2:$A$27,0)),"")</f>
        <v>2023</v>
      </c>
      <c r="V977" s="28">
        <f>1/(1+Calculation_Assumptions!$B$5)^(B977-Calculation_Assumptions!$B$2)</f>
        <v>0.68095133999317792</v>
      </c>
      <c r="W977" s="21">
        <f t="shared" si="156"/>
        <v>1456606.1275045152</v>
      </c>
      <c r="X977" s="21">
        <f t="shared" si="157"/>
        <v>2550080.2695638575</v>
      </c>
      <c r="Y977" s="21">
        <f t="shared" si="158"/>
        <v>1093474.1420593422</v>
      </c>
      <c r="Z977" s="15">
        <f>IFERROR(INDEX(Cost_Components!$T$2:$T$27,MATCH(E977,Cost_Components!$A$2:$A$27,0)),"")</f>
        <v>0.8</v>
      </c>
      <c r="AA977" s="24">
        <f>IFERROR(INDEX(Cost_Components!$U$2:$U$27,MATCH(E977,Cost_Components!$A$2:$A$27,0)),"")</f>
        <v>2025</v>
      </c>
      <c r="AB977" s="24">
        <f>IFERROR(INDEX(Cost_Components!$V$2:$V$27,MATCH(E977,Cost_Components!$A$2:$A$27,0)),"")</f>
        <v>2050</v>
      </c>
      <c r="AC977" s="24">
        <f>IFERROR(INDEX(Cost_Components!$M$2:$M$27,MATCH(E977,Cost_Components!$A$2:$A$27,0)),"")</f>
        <v>30</v>
      </c>
      <c r="AD977" s="24">
        <f>IFERROR(INDEX(Cost_Components!$N$2:$N$27,MATCH(E977,Cost_Components!$A$2:$A$27,0)),"")</f>
        <v>95</v>
      </c>
      <c r="AE977" s="14" t="str">
        <f>IFERROR(INDEX(Cost_Components!$O$2:$O$27,MATCH(E977,Cost_Components!$A$2:$A$27,0)),"")</f>
        <v>Both</v>
      </c>
      <c r="AF977" s="11">
        <v>6356451.31101475</v>
      </c>
      <c r="AG977" s="11">
        <v>6721044.7586944401</v>
      </c>
      <c r="AH977" s="21">
        <f t="shared" si="159"/>
        <v>1</v>
      </c>
    </row>
    <row r="978" spans="1:34" hidden="1">
      <c r="A978" t="s">
        <v>75</v>
      </c>
      <c r="B978" s="18">
        <v>2039</v>
      </c>
      <c r="C978" t="s">
        <v>197</v>
      </c>
      <c r="D978" t="s">
        <v>177</v>
      </c>
      <c r="E978" s="20" t="s">
        <v>284</v>
      </c>
      <c r="F978" s="20" t="s">
        <v>285</v>
      </c>
      <c r="G978" s="20" t="s">
        <v>201</v>
      </c>
      <c r="H978" s="20" t="s">
        <v>192</v>
      </c>
      <c r="I978" s="20" t="s">
        <v>264</v>
      </c>
      <c r="J978" s="15">
        <f>IFERROR(INDEX(Cost_Components!$K$2:$K$27,MATCH(E978,Cost_Components!$A$2:$A$27,0)),"")</f>
        <v>0.2</v>
      </c>
      <c r="K978" s="15">
        <f t="shared" si="150"/>
        <v>0.59269230769230763</v>
      </c>
      <c r="L978" s="15">
        <f>IFERROR(INDEX(Cost_Components!$S$2:$S$27,MATCH(E978,Cost_Components!$A$2:$A$27,0)),"")</f>
        <v>0.31</v>
      </c>
      <c r="M978" s="26">
        <f>IFERROR(INDEX(Cost_Components!$L$2:$L$27,MATCH(E978,Cost_Components!$A$2:$A$27,0)),"")</f>
        <v>1</v>
      </c>
      <c r="N978" s="27">
        <f>IFERROR(INDEX(Cost_Components!$P$2:$P$27,MATCH(E978,Cost_Components!$A$2:$A$27,0)),"")</f>
        <v>5.133311</v>
      </c>
      <c r="O978" s="21">
        <f t="shared" si="151"/>
        <v>1282062.72598862</v>
      </c>
      <c r="P978" s="21">
        <f t="shared" si="152"/>
        <v>1364046.9820496221</v>
      </c>
      <c r="Q978" s="21">
        <f t="shared" si="153"/>
        <v>2170643.9870163593</v>
      </c>
      <c r="R978" s="21">
        <f t="shared" si="154"/>
        <v>3900642.4367174441</v>
      </c>
      <c r="S978" s="21">
        <f t="shared" si="155"/>
        <v>1729998.4497010848</v>
      </c>
      <c r="T978" s="14">
        <f>IFERROR(INDEX(Cost_Components!$R$2:$R$27,MATCH(E978,Cost_Components!$A$2:$A$27,0)),"")</f>
        <v>1</v>
      </c>
      <c r="U978" s="24">
        <f>IFERROR(INDEX(Cost_Components!$Q$2:$Q$27,MATCH(E978,Cost_Components!$A$2:$A$27,0)),"")</f>
        <v>2023</v>
      </c>
      <c r="V978" s="28">
        <f>1/(1+Calculation_Assumptions!$B$5)^(B978-Calculation_Assumptions!$B$2)</f>
        <v>0.66111780581861923</v>
      </c>
      <c r="W978" s="21">
        <f t="shared" si="156"/>
        <v>1435051.3899096348</v>
      </c>
      <c r="X978" s="21">
        <f t="shared" si="157"/>
        <v>2578784.169045629</v>
      </c>
      <c r="Y978" s="21">
        <f t="shared" si="158"/>
        <v>1143732.7791359941</v>
      </c>
      <c r="Z978" s="15">
        <f>IFERROR(INDEX(Cost_Components!$T$2:$T$27,MATCH(E978,Cost_Components!$A$2:$A$27,0)),"")</f>
        <v>0.8</v>
      </c>
      <c r="AA978" s="24">
        <f>IFERROR(INDEX(Cost_Components!$U$2:$U$27,MATCH(E978,Cost_Components!$A$2:$A$27,0)),"")</f>
        <v>2025</v>
      </c>
      <c r="AB978" s="24">
        <f>IFERROR(INDEX(Cost_Components!$V$2:$V$27,MATCH(E978,Cost_Components!$A$2:$A$27,0)),"")</f>
        <v>2050</v>
      </c>
      <c r="AC978" s="24">
        <f>IFERROR(INDEX(Cost_Components!$M$2:$M$27,MATCH(E978,Cost_Components!$A$2:$A$27,0)),"")</f>
        <v>30</v>
      </c>
      <c r="AD978" s="24">
        <f>IFERROR(INDEX(Cost_Components!$N$2:$N$27,MATCH(E978,Cost_Components!$A$2:$A$27,0)),"")</f>
        <v>95</v>
      </c>
      <c r="AE978" s="14" t="str">
        <f>IFERROR(INDEX(Cost_Components!$O$2:$O$27,MATCH(E978,Cost_Components!$A$2:$A$27,0)),"")</f>
        <v>Both</v>
      </c>
      <c r="AF978" s="11">
        <v>6410313.6299430998</v>
      </c>
      <c r="AG978" s="11">
        <v>6820234.9102481101</v>
      </c>
      <c r="AH978" s="21">
        <f t="shared" si="159"/>
        <v>1</v>
      </c>
    </row>
    <row r="979" spans="1:34" hidden="1">
      <c r="A979" t="s">
        <v>75</v>
      </c>
      <c r="B979" s="18">
        <v>2040</v>
      </c>
      <c r="C979" t="s">
        <v>197</v>
      </c>
      <c r="D979" t="s">
        <v>177</v>
      </c>
      <c r="E979" s="20" t="s">
        <v>284</v>
      </c>
      <c r="F979" s="20" t="s">
        <v>285</v>
      </c>
      <c r="G979" s="20" t="s">
        <v>201</v>
      </c>
      <c r="H979" s="20" t="s">
        <v>192</v>
      </c>
      <c r="I979" s="20" t="s">
        <v>264</v>
      </c>
      <c r="J979" s="15">
        <f>IFERROR(INDEX(Cost_Components!$K$2:$K$27,MATCH(E979,Cost_Components!$A$2:$A$27,0)),"")</f>
        <v>0.2</v>
      </c>
      <c r="K979" s="15">
        <f t="shared" si="150"/>
        <v>0.61153846153846159</v>
      </c>
      <c r="L979" s="15">
        <f>IFERROR(INDEX(Cost_Components!$S$2:$S$27,MATCH(E979,Cost_Components!$A$2:$A$27,0)),"")</f>
        <v>0.31</v>
      </c>
      <c r="M979" s="26">
        <f>IFERROR(INDEX(Cost_Components!$L$2:$L$27,MATCH(E979,Cost_Components!$A$2:$A$27,0)),"")</f>
        <v>1</v>
      </c>
      <c r="N979" s="27">
        <f>IFERROR(INDEX(Cost_Components!$P$2:$P$27,MATCH(E979,Cost_Components!$A$2:$A$27,0)),"")</f>
        <v>5.133311</v>
      </c>
      <c r="O979" s="21">
        <f t="shared" si="151"/>
        <v>1291940.7188670242</v>
      </c>
      <c r="P979" s="21">
        <f t="shared" si="152"/>
        <v>1383317.9406127601</v>
      </c>
      <c r="Q979" s="21">
        <f t="shared" si="153"/>
        <v>2201310.3723238967</v>
      </c>
      <c r="R979" s="21">
        <f t="shared" si="154"/>
        <v>4055682.4117606631</v>
      </c>
      <c r="S979" s="21">
        <f t="shared" si="155"/>
        <v>1854372.0394367664</v>
      </c>
      <c r="T979" s="14">
        <f>IFERROR(INDEX(Cost_Components!$R$2:$R$27,MATCH(E979,Cost_Components!$A$2:$A$27,0)),"")</f>
        <v>1</v>
      </c>
      <c r="U979" s="24">
        <f>IFERROR(INDEX(Cost_Components!$Q$2:$Q$27,MATCH(E979,Cost_Components!$A$2:$A$27,0)),"")</f>
        <v>2023</v>
      </c>
      <c r="V979" s="28">
        <f>1/(1+Calculation_Assumptions!$B$5)^(B979-Calculation_Assumptions!$B$2)</f>
        <v>0.64186194739671765</v>
      </c>
      <c r="W979" s="21">
        <f t="shared" si="156"/>
        <v>1412937.36240441</v>
      </c>
      <c r="X979" s="21">
        <f t="shared" si="157"/>
        <v>2603188.2108353158</v>
      </c>
      <c r="Y979" s="21">
        <f t="shared" si="158"/>
        <v>1190250.8484309057</v>
      </c>
      <c r="Z979" s="15">
        <f>IFERROR(INDEX(Cost_Components!$T$2:$T$27,MATCH(E979,Cost_Components!$A$2:$A$27,0)),"")</f>
        <v>0.8</v>
      </c>
      <c r="AA979" s="24">
        <f>IFERROR(INDEX(Cost_Components!$U$2:$U$27,MATCH(E979,Cost_Components!$A$2:$A$27,0)),"")</f>
        <v>2025</v>
      </c>
      <c r="AB979" s="24">
        <f>IFERROR(INDEX(Cost_Components!$V$2:$V$27,MATCH(E979,Cost_Components!$A$2:$A$27,0)),"")</f>
        <v>2050</v>
      </c>
      <c r="AC979" s="24">
        <f>IFERROR(INDEX(Cost_Components!$M$2:$M$27,MATCH(E979,Cost_Components!$A$2:$A$27,0)),"")</f>
        <v>30</v>
      </c>
      <c r="AD979" s="24">
        <f>IFERROR(INDEX(Cost_Components!$N$2:$N$27,MATCH(E979,Cost_Components!$A$2:$A$27,0)),"")</f>
        <v>95</v>
      </c>
      <c r="AE979" s="14" t="str">
        <f>IFERROR(INDEX(Cost_Components!$O$2:$O$27,MATCH(E979,Cost_Components!$A$2:$A$27,0)),"")</f>
        <v>Both</v>
      </c>
      <c r="AF979" s="11">
        <v>6459703.5943351202</v>
      </c>
      <c r="AG979" s="11">
        <v>6916589.7030638</v>
      </c>
      <c r="AH979" s="21">
        <f t="shared" si="159"/>
        <v>1</v>
      </c>
    </row>
    <row r="980" spans="1:34" hidden="1">
      <c r="A980" t="s">
        <v>75</v>
      </c>
      <c r="B980" s="18">
        <v>2041</v>
      </c>
      <c r="C980" t="s">
        <v>197</v>
      </c>
      <c r="D980" t="s">
        <v>177</v>
      </c>
      <c r="E980" s="20" t="s">
        <v>284</v>
      </c>
      <c r="F980" s="20" t="s">
        <v>285</v>
      </c>
      <c r="G980" s="20" t="s">
        <v>201</v>
      </c>
      <c r="H980" s="20" t="s">
        <v>192</v>
      </c>
      <c r="I980" s="20" t="s">
        <v>264</v>
      </c>
      <c r="J980" s="15">
        <f>IFERROR(INDEX(Cost_Components!$K$2:$K$27,MATCH(E980,Cost_Components!$A$2:$A$27,0)),"")</f>
        <v>0.2</v>
      </c>
      <c r="K980" s="15">
        <f t="shared" si="150"/>
        <v>0.63038461538461543</v>
      </c>
      <c r="L980" s="15">
        <f>IFERROR(INDEX(Cost_Components!$S$2:$S$27,MATCH(E980,Cost_Components!$A$2:$A$27,0)),"")</f>
        <v>0.31</v>
      </c>
      <c r="M980" s="26">
        <f>IFERROR(INDEX(Cost_Components!$L$2:$L$27,MATCH(E980,Cost_Components!$A$2:$A$27,0)),"")</f>
        <v>1</v>
      </c>
      <c r="N980" s="27">
        <f>IFERROR(INDEX(Cost_Components!$P$2:$P$27,MATCH(E980,Cost_Components!$A$2:$A$27,0)),"")</f>
        <v>5.133311</v>
      </c>
      <c r="O980" s="21">
        <f t="shared" si="151"/>
        <v>1300988.615980316</v>
      </c>
      <c r="P980" s="21">
        <f t="shared" si="152"/>
        <v>1402050.6689237403</v>
      </c>
      <c r="Q980" s="21">
        <f t="shared" si="153"/>
        <v>2231120.2576165143</v>
      </c>
      <c r="R980" s="21">
        <f t="shared" si="154"/>
        <v>4209947.4865448559</v>
      </c>
      <c r="S980" s="21">
        <f t="shared" si="155"/>
        <v>1978827.2289283415</v>
      </c>
      <c r="T980" s="14">
        <f>IFERROR(INDEX(Cost_Components!$R$2:$R$27,MATCH(E980,Cost_Components!$A$2:$A$27,0)),"")</f>
        <v>1</v>
      </c>
      <c r="U980" s="24">
        <f>IFERROR(INDEX(Cost_Components!$Q$2:$Q$27,MATCH(E980,Cost_Components!$A$2:$A$27,0)),"")</f>
        <v>2023</v>
      </c>
      <c r="V980" s="28">
        <f>1/(1+Calculation_Assumptions!$B$5)^(B980-Calculation_Assumptions!$B$2)</f>
        <v>0.62316693922011435</v>
      </c>
      <c r="W980" s="21">
        <f t="shared" si="156"/>
        <v>1390360.3819708764</v>
      </c>
      <c r="X980" s="21">
        <f t="shared" si="157"/>
        <v>2623500.0894675716</v>
      </c>
      <c r="Y980" s="21">
        <f t="shared" si="158"/>
        <v>1233139.7074966952</v>
      </c>
      <c r="Z980" s="15">
        <f>IFERROR(INDEX(Cost_Components!$T$2:$T$27,MATCH(E980,Cost_Components!$A$2:$A$27,0)),"")</f>
        <v>0.8</v>
      </c>
      <c r="AA980" s="24">
        <f>IFERROR(INDEX(Cost_Components!$U$2:$U$27,MATCH(E980,Cost_Components!$A$2:$A$27,0)),"")</f>
        <v>2025</v>
      </c>
      <c r="AB980" s="24">
        <f>IFERROR(INDEX(Cost_Components!$V$2:$V$27,MATCH(E980,Cost_Components!$A$2:$A$27,0)),"")</f>
        <v>2050</v>
      </c>
      <c r="AC980" s="24">
        <f>IFERROR(INDEX(Cost_Components!$M$2:$M$27,MATCH(E980,Cost_Components!$A$2:$A$27,0)),"")</f>
        <v>30</v>
      </c>
      <c r="AD980" s="24">
        <f>IFERROR(INDEX(Cost_Components!$N$2:$N$27,MATCH(E980,Cost_Components!$A$2:$A$27,0)),"")</f>
        <v>95</v>
      </c>
      <c r="AE980" s="14" t="str">
        <f>IFERROR(INDEX(Cost_Components!$O$2:$O$27,MATCH(E980,Cost_Components!$A$2:$A$27,0)),"")</f>
        <v>Both</v>
      </c>
      <c r="AF980" s="11">
        <v>6504943.0799015798</v>
      </c>
      <c r="AG980" s="11">
        <v>7010253.3446187004</v>
      </c>
      <c r="AH980" s="21">
        <f t="shared" si="159"/>
        <v>1</v>
      </c>
    </row>
    <row r="981" spans="1:34" hidden="1">
      <c r="A981" t="s">
        <v>75</v>
      </c>
      <c r="B981" s="18">
        <v>2042</v>
      </c>
      <c r="C981" t="s">
        <v>197</v>
      </c>
      <c r="D981" t="s">
        <v>177</v>
      </c>
      <c r="E981" s="20" t="s">
        <v>284</v>
      </c>
      <c r="F981" s="20" t="s">
        <v>285</v>
      </c>
      <c r="G981" s="20" t="s">
        <v>201</v>
      </c>
      <c r="H981" s="20" t="s">
        <v>192</v>
      </c>
      <c r="I981" s="20" t="s">
        <v>264</v>
      </c>
      <c r="J981" s="15">
        <f>IFERROR(INDEX(Cost_Components!$K$2:$K$27,MATCH(E981,Cost_Components!$A$2:$A$27,0)),"")</f>
        <v>0.2</v>
      </c>
      <c r="K981" s="15">
        <f t="shared" si="150"/>
        <v>0.64923076923076928</v>
      </c>
      <c r="L981" s="15">
        <f>IFERROR(INDEX(Cost_Components!$S$2:$S$27,MATCH(E981,Cost_Components!$A$2:$A$27,0)),"")</f>
        <v>0.31</v>
      </c>
      <c r="M981" s="26">
        <f>IFERROR(INDEX(Cost_Components!$L$2:$L$27,MATCH(E981,Cost_Components!$A$2:$A$27,0)),"")</f>
        <v>1</v>
      </c>
      <c r="N981" s="27">
        <f>IFERROR(INDEX(Cost_Components!$P$2:$P$27,MATCH(E981,Cost_Components!$A$2:$A$27,0)),"")</f>
        <v>5.133311</v>
      </c>
      <c r="O981" s="21">
        <f t="shared" si="151"/>
        <v>1309213.1132123861</v>
      </c>
      <c r="P981" s="21">
        <f t="shared" si="152"/>
        <v>1420218.8079404521</v>
      </c>
      <c r="Q981" s="21">
        <f t="shared" si="153"/>
        <v>2260031.6970543591</v>
      </c>
      <c r="R981" s="21">
        <f t="shared" si="154"/>
        <v>4363219.0581810735</v>
      </c>
      <c r="S981" s="21">
        <f t="shared" si="155"/>
        <v>2103187.3611267144</v>
      </c>
      <c r="T981" s="14">
        <f>IFERROR(INDEX(Cost_Components!$R$2:$R$27,MATCH(E981,Cost_Components!$A$2:$A$27,0)),"")</f>
        <v>1</v>
      </c>
      <c r="U981" s="24">
        <f>IFERROR(INDEX(Cost_Components!$Q$2:$Q$27,MATCH(E981,Cost_Components!$A$2:$A$27,0)),"")</f>
        <v>2023</v>
      </c>
      <c r="V981" s="28">
        <f>1/(1+Calculation_Assumptions!$B$5)^(B981-Calculation_Assumptions!$B$2)</f>
        <v>0.60501644584477121</v>
      </c>
      <c r="W981" s="21">
        <f t="shared" si="156"/>
        <v>1367356.344848355</v>
      </c>
      <c r="X981" s="21">
        <f t="shared" si="157"/>
        <v>2639819.2870228831</v>
      </c>
      <c r="Y981" s="21">
        <f t="shared" si="158"/>
        <v>1272462.942174528</v>
      </c>
      <c r="Z981" s="15">
        <f>IFERROR(INDEX(Cost_Components!$T$2:$T$27,MATCH(E981,Cost_Components!$A$2:$A$27,0)),"")</f>
        <v>0.8</v>
      </c>
      <c r="AA981" s="24">
        <f>IFERROR(INDEX(Cost_Components!$U$2:$U$27,MATCH(E981,Cost_Components!$A$2:$A$27,0)),"")</f>
        <v>2025</v>
      </c>
      <c r="AB981" s="24">
        <f>IFERROR(INDEX(Cost_Components!$V$2:$V$27,MATCH(E981,Cost_Components!$A$2:$A$27,0)),"")</f>
        <v>2050</v>
      </c>
      <c r="AC981" s="24">
        <f>IFERROR(INDEX(Cost_Components!$M$2:$M$27,MATCH(E981,Cost_Components!$A$2:$A$27,0)),"")</f>
        <v>30</v>
      </c>
      <c r="AD981" s="24">
        <f>IFERROR(INDEX(Cost_Components!$N$2:$N$27,MATCH(E981,Cost_Components!$A$2:$A$27,0)),"")</f>
        <v>95</v>
      </c>
      <c r="AE981" s="14" t="str">
        <f>IFERROR(INDEX(Cost_Components!$O$2:$O$27,MATCH(E981,Cost_Components!$A$2:$A$27,0)),"")</f>
        <v>Both</v>
      </c>
      <c r="AF981" s="11">
        <v>6546065.5660619298</v>
      </c>
      <c r="AG981" s="11">
        <v>7101094.0397022599</v>
      </c>
      <c r="AH981" s="21">
        <f t="shared" si="159"/>
        <v>1</v>
      </c>
    </row>
    <row r="982" spans="1:34" hidden="1">
      <c r="A982" t="s">
        <v>75</v>
      </c>
      <c r="B982" s="18">
        <v>2043</v>
      </c>
      <c r="C982" t="s">
        <v>197</v>
      </c>
      <c r="D982" t="s">
        <v>177</v>
      </c>
      <c r="E982" s="20" t="s">
        <v>284</v>
      </c>
      <c r="F982" s="20" t="s">
        <v>285</v>
      </c>
      <c r="G982" s="20" t="s">
        <v>201</v>
      </c>
      <c r="H982" s="20" t="s">
        <v>192</v>
      </c>
      <c r="I982" s="20" t="s">
        <v>264</v>
      </c>
      <c r="J982" s="15">
        <f>IFERROR(INDEX(Cost_Components!$K$2:$K$27,MATCH(E982,Cost_Components!$A$2:$A$27,0)),"")</f>
        <v>0.2</v>
      </c>
      <c r="K982" s="15">
        <f t="shared" si="150"/>
        <v>0.66807692307692301</v>
      </c>
      <c r="L982" s="15">
        <f>IFERROR(INDEX(Cost_Components!$S$2:$S$27,MATCH(E982,Cost_Components!$A$2:$A$27,0)),"")</f>
        <v>0.31</v>
      </c>
      <c r="M982" s="26">
        <f>IFERROR(INDEX(Cost_Components!$L$2:$L$27,MATCH(E982,Cost_Components!$A$2:$A$27,0)),"")</f>
        <v>1</v>
      </c>
      <c r="N982" s="27">
        <f>IFERROR(INDEX(Cost_Components!$P$2:$P$27,MATCH(E982,Cost_Components!$A$2:$A$27,0)),"")</f>
        <v>5.133311</v>
      </c>
      <c r="O982" s="21">
        <f t="shared" si="151"/>
        <v>1316511.00272539</v>
      </c>
      <c r="P982" s="21">
        <f t="shared" si="152"/>
        <v>1437690.5460530601</v>
      </c>
      <c r="Q982" s="21">
        <f t="shared" si="153"/>
        <v>2287834.9353415556</v>
      </c>
      <c r="R982" s="21">
        <f t="shared" si="154"/>
        <v>4514904.2059576474</v>
      </c>
      <c r="S982" s="21">
        <f t="shared" si="155"/>
        <v>2227069.2706160918</v>
      </c>
      <c r="T982" s="14">
        <f>IFERROR(INDEX(Cost_Components!$R$2:$R$27,MATCH(E982,Cost_Components!$A$2:$A$27,0)),"")</f>
        <v>1</v>
      </c>
      <c r="U982" s="24">
        <f>IFERROR(INDEX(Cost_Components!$Q$2:$Q$27,MATCH(E982,Cost_Components!$A$2:$A$27,0)),"")</f>
        <v>2023</v>
      </c>
      <c r="V982" s="28">
        <f>1/(1+Calculation_Assumptions!$B$5)^(B982-Calculation_Assumptions!$B$2)</f>
        <v>0.5873946076162827</v>
      </c>
      <c r="W982" s="21">
        <f t="shared" si="156"/>
        <v>1343861.9041357767</v>
      </c>
      <c r="X982" s="21">
        <f t="shared" si="157"/>
        <v>2652030.3844835968</v>
      </c>
      <c r="Y982" s="21">
        <f t="shared" si="158"/>
        <v>1308168.4803478201</v>
      </c>
      <c r="Z982" s="15">
        <f>IFERROR(INDEX(Cost_Components!$T$2:$T$27,MATCH(E982,Cost_Components!$A$2:$A$27,0)),"")</f>
        <v>0.8</v>
      </c>
      <c r="AA982" s="24">
        <f>IFERROR(INDEX(Cost_Components!$U$2:$U$27,MATCH(E982,Cost_Components!$A$2:$A$27,0)),"")</f>
        <v>2025</v>
      </c>
      <c r="AB982" s="24">
        <f>IFERROR(INDEX(Cost_Components!$V$2:$V$27,MATCH(E982,Cost_Components!$A$2:$A$27,0)),"")</f>
        <v>2050</v>
      </c>
      <c r="AC982" s="24">
        <f>IFERROR(INDEX(Cost_Components!$M$2:$M$27,MATCH(E982,Cost_Components!$A$2:$A$27,0)),"")</f>
        <v>30</v>
      </c>
      <c r="AD982" s="24">
        <f>IFERROR(INDEX(Cost_Components!$N$2:$N$27,MATCH(E982,Cost_Components!$A$2:$A$27,0)),"")</f>
        <v>95</v>
      </c>
      <c r="AE982" s="14" t="str">
        <f>IFERROR(INDEX(Cost_Components!$O$2:$O$27,MATCH(E982,Cost_Components!$A$2:$A$27,0)),"")</f>
        <v>Both</v>
      </c>
      <c r="AF982" s="11">
        <v>6582555.0136269499</v>
      </c>
      <c r="AG982" s="11">
        <v>7188452.7302652998</v>
      </c>
      <c r="AH982" s="21">
        <f t="shared" si="159"/>
        <v>1</v>
      </c>
    </row>
    <row r="983" spans="1:34" hidden="1">
      <c r="A983" t="s">
        <v>75</v>
      </c>
      <c r="B983" s="18">
        <v>2044</v>
      </c>
      <c r="C983" t="s">
        <v>197</v>
      </c>
      <c r="D983" t="s">
        <v>177</v>
      </c>
      <c r="E983" s="20" t="s">
        <v>284</v>
      </c>
      <c r="F983" s="20" t="s">
        <v>285</v>
      </c>
      <c r="G983" s="20" t="s">
        <v>201</v>
      </c>
      <c r="H983" s="20" t="s">
        <v>192</v>
      </c>
      <c r="I983" s="20" t="s">
        <v>264</v>
      </c>
      <c r="J983" s="15">
        <f>IFERROR(INDEX(Cost_Components!$K$2:$K$27,MATCH(E983,Cost_Components!$A$2:$A$27,0)),"")</f>
        <v>0.2</v>
      </c>
      <c r="K983" s="15">
        <f t="shared" si="150"/>
        <v>0.68692307692307697</v>
      </c>
      <c r="L983" s="15">
        <f>IFERROR(INDEX(Cost_Components!$S$2:$S$27,MATCH(E983,Cost_Components!$A$2:$A$27,0)),"")</f>
        <v>0.31</v>
      </c>
      <c r="M983" s="26">
        <f>IFERROR(INDEX(Cost_Components!$L$2:$L$27,MATCH(E983,Cost_Components!$A$2:$A$27,0)),"")</f>
        <v>1</v>
      </c>
      <c r="N983" s="27">
        <f>IFERROR(INDEX(Cost_Components!$P$2:$P$27,MATCH(E983,Cost_Components!$A$2:$A$27,0)),"")</f>
        <v>5.133311</v>
      </c>
      <c r="O983" s="21">
        <f t="shared" si="151"/>
        <v>1322876.1279836821</v>
      </c>
      <c r="P983" s="21">
        <f t="shared" si="152"/>
        <v>1454435.2716829921</v>
      </c>
      <c r="Q983" s="21">
        <f t="shared" si="153"/>
        <v>2314481.2594646704</v>
      </c>
      <c r="R983" s="21">
        <f t="shared" si="154"/>
        <v>4664712.2918604054</v>
      </c>
      <c r="S983" s="21">
        <f t="shared" si="155"/>
        <v>2350231.0323957349</v>
      </c>
      <c r="T983" s="14">
        <f>IFERROR(INDEX(Cost_Components!$R$2:$R$27,MATCH(E983,Cost_Components!$A$2:$A$27,0)),"")</f>
        <v>1</v>
      </c>
      <c r="U983" s="24">
        <f>IFERROR(INDEX(Cost_Components!$Q$2:$Q$27,MATCH(E983,Cost_Components!$A$2:$A$27,0)),"")</f>
        <v>2023</v>
      </c>
      <c r="V983" s="28">
        <f>1/(1+Calculation_Assumptions!$B$5)^(B983-Calculation_Assumptions!$B$2)</f>
        <v>0.57028602681192497</v>
      </c>
      <c r="W983" s="21">
        <f t="shared" si="156"/>
        <v>1319916.321590767</v>
      </c>
      <c r="X983" s="21">
        <f t="shared" si="157"/>
        <v>2660220.2391458191</v>
      </c>
      <c r="Y983" s="21">
        <f t="shared" si="158"/>
        <v>1340303.9175550521</v>
      </c>
      <c r="Z983" s="15">
        <f>IFERROR(INDEX(Cost_Components!$T$2:$T$27,MATCH(E983,Cost_Components!$A$2:$A$27,0)),"")</f>
        <v>0.8</v>
      </c>
      <c r="AA983" s="24">
        <f>IFERROR(INDEX(Cost_Components!$U$2:$U$27,MATCH(E983,Cost_Components!$A$2:$A$27,0)),"")</f>
        <v>2025</v>
      </c>
      <c r="AB983" s="24">
        <f>IFERROR(INDEX(Cost_Components!$V$2:$V$27,MATCH(E983,Cost_Components!$A$2:$A$27,0)),"")</f>
        <v>2050</v>
      </c>
      <c r="AC983" s="24">
        <f>IFERROR(INDEX(Cost_Components!$M$2:$M$27,MATCH(E983,Cost_Components!$A$2:$A$27,0)),"")</f>
        <v>30</v>
      </c>
      <c r="AD983" s="24">
        <f>IFERROR(INDEX(Cost_Components!$N$2:$N$27,MATCH(E983,Cost_Components!$A$2:$A$27,0)),"")</f>
        <v>95</v>
      </c>
      <c r="AE983" s="14" t="str">
        <f>IFERROR(INDEX(Cost_Components!$O$2:$O$27,MATCH(E983,Cost_Components!$A$2:$A$27,0)),"")</f>
        <v>Both</v>
      </c>
      <c r="AF983" s="11">
        <v>6614380.6399184102</v>
      </c>
      <c r="AG983" s="11">
        <v>7272176.3584149601</v>
      </c>
      <c r="AH983" s="21">
        <f t="shared" si="159"/>
        <v>1</v>
      </c>
    </row>
    <row r="984" spans="1:34" hidden="1">
      <c r="A984" t="s">
        <v>75</v>
      </c>
      <c r="B984" s="18">
        <v>2045</v>
      </c>
      <c r="C984" t="s">
        <v>197</v>
      </c>
      <c r="D984" t="s">
        <v>177</v>
      </c>
      <c r="E984" s="20" t="s">
        <v>284</v>
      </c>
      <c r="F984" s="20" t="s">
        <v>285</v>
      </c>
      <c r="G984" s="20" t="s">
        <v>201</v>
      </c>
      <c r="H984" s="20" t="s">
        <v>192</v>
      </c>
      <c r="I984" s="20" t="s">
        <v>264</v>
      </c>
      <c r="J984" s="15">
        <f>IFERROR(INDEX(Cost_Components!$K$2:$K$27,MATCH(E984,Cost_Components!$A$2:$A$27,0)),"")</f>
        <v>0.2</v>
      </c>
      <c r="K984" s="15">
        <f t="shared" si="150"/>
        <v>0.70576923076923082</v>
      </c>
      <c r="L984" s="15">
        <f>IFERROR(INDEX(Cost_Components!$S$2:$S$27,MATCH(E984,Cost_Components!$A$2:$A$27,0)),"")</f>
        <v>0.31</v>
      </c>
      <c r="M984" s="26">
        <f>IFERROR(INDEX(Cost_Components!$L$2:$L$27,MATCH(E984,Cost_Components!$A$2:$A$27,0)),"")</f>
        <v>1</v>
      </c>
      <c r="N984" s="27">
        <f>IFERROR(INDEX(Cost_Components!$P$2:$P$27,MATCH(E984,Cost_Components!$A$2:$A$27,0)),"")</f>
        <v>5.133311</v>
      </c>
      <c r="O984" s="21">
        <f t="shared" si="151"/>
        <v>1328384.4569700062</v>
      </c>
      <c r="P984" s="21">
        <f t="shared" si="152"/>
        <v>1470508.2374509983</v>
      </c>
      <c r="Q984" s="21">
        <f t="shared" si="153"/>
        <v>2340058.5943783247</v>
      </c>
      <c r="R984" s="21">
        <f t="shared" si="154"/>
        <v>4812647.8270882489</v>
      </c>
      <c r="S984" s="21">
        <f t="shared" si="155"/>
        <v>2472589.2327099242</v>
      </c>
      <c r="T984" s="14">
        <f>IFERROR(INDEX(Cost_Components!$R$2:$R$27,MATCH(E984,Cost_Components!$A$2:$A$27,0)),"")</f>
        <v>1</v>
      </c>
      <c r="U984" s="24">
        <f>IFERROR(INDEX(Cost_Components!$Q$2:$Q$27,MATCH(E984,Cost_Components!$A$2:$A$27,0)),"")</f>
        <v>2023</v>
      </c>
      <c r="V984" s="28">
        <f>1/(1+Calculation_Assumptions!$B$5)^(B984-Calculation_Assumptions!$B$2)</f>
        <v>0.55367575418633497</v>
      </c>
      <c r="W984" s="21">
        <f t="shared" si="156"/>
        <v>1295633.7070826339</v>
      </c>
      <c r="X984" s="21">
        <f t="shared" si="157"/>
        <v>2664646.4152963124</v>
      </c>
      <c r="Y984" s="21">
        <f t="shared" si="158"/>
        <v>1369012.7082136786</v>
      </c>
      <c r="Z984" s="15">
        <f>IFERROR(INDEX(Cost_Components!$T$2:$T$27,MATCH(E984,Cost_Components!$A$2:$A$27,0)),"")</f>
        <v>0.8</v>
      </c>
      <c r="AA984" s="24">
        <f>IFERROR(INDEX(Cost_Components!$U$2:$U$27,MATCH(E984,Cost_Components!$A$2:$A$27,0)),"")</f>
        <v>2025</v>
      </c>
      <c r="AB984" s="24">
        <f>IFERROR(INDEX(Cost_Components!$V$2:$V$27,MATCH(E984,Cost_Components!$A$2:$A$27,0)),"")</f>
        <v>2050</v>
      </c>
      <c r="AC984" s="24">
        <f>IFERROR(INDEX(Cost_Components!$M$2:$M$27,MATCH(E984,Cost_Components!$A$2:$A$27,0)),"")</f>
        <v>30</v>
      </c>
      <c r="AD984" s="24">
        <f>IFERROR(INDEX(Cost_Components!$N$2:$N$27,MATCH(E984,Cost_Components!$A$2:$A$27,0)),"")</f>
        <v>95</v>
      </c>
      <c r="AE984" s="14" t="str">
        <f>IFERROR(INDEX(Cost_Components!$O$2:$O$27,MATCH(E984,Cost_Components!$A$2:$A$27,0)),"")</f>
        <v>Both</v>
      </c>
      <c r="AF984" s="11">
        <v>6641922.2848500302</v>
      </c>
      <c r="AG984" s="11">
        <v>7352541.1872549905</v>
      </c>
      <c r="AH984" s="21">
        <f t="shared" si="159"/>
        <v>1</v>
      </c>
    </row>
    <row r="985" spans="1:34" hidden="1">
      <c r="A985" t="s">
        <v>75</v>
      </c>
      <c r="B985" s="18">
        <v>2046</v>
      </c>
      <c r="C985" t="s">
        <v>197</v>
      </c>
      <c r="D985" t="s">
        <v>177</v>
      </c>
      <c r="E985" s="20" t="s">
        <v>284</v>
      </c>
      <c r="F985" s="20" t="s">
        <v>285</v>
      </c>
      <c r="G985" s="20" t="s">
        <v>201</v>
      </c>
      <c r="H985" s="20" t="s">
        <v>192</v>
      </c>
      <c r="I985" s="20" t="s">
        <v>264</v>
      </c>
      <c r="J985" s="15">
        <f>IFERROR(INDEX(Cost_Components!$K$2:$K$27,MATCH(E985,Cost_Components!$A$2:$A$27,0)),"")</f>
        <v>0.2</v>
      </c>
      <c r="K985" s="15">
        <f t="shared" si="150"/>
        <v>0.72461538461538466</v>
      </c>
      <c r="L985" s="15">
        <f>IFERROR(INDEX(Cost_Components!$S$2:$S$27,MATCH(E985,Cost_Components!$A$2:$A$27,0)),"")</f>
        <v>0.31</v>
      </c>
      <c r="M985" s="26">
        <f>IFERROR(INDEX(Cost_Components!$L$2:$L$27,MATCH(E985,Cost_Components!$A$2:$A$27,0)),"")</f>
        <v>1</v>
      </c>
      <c r="N985" s="27">
        <f>IFERROR(INDEX(Cost_Components!$P$2:$P$27,MATCH(E985,Cost_Components!$A$2:$A$27,0)),"")</f>
        <v>5.133311</v>
      </c>
      <c r="O985" s="21">
        <f t="shared" si="151"/>
        <v>1333043.1474216841</v>
      </c>
      <c r="P985" s="21">
        <f t="shared" si="152"/>
        <v>1485893.6984560781</v>
      </c>
      <c r="Q985" s="21">
        <f t="shared" si="153"/>
        <v>2364541.8848057333</v>
      </c>
      <c r="R985" s="21">
        <f t="shared" si="154"/>
        <v>4958488.768546585</v>
      </c>
      <c r="S985" s="21">
        <f t="shared" si="155"/>
        <v>2593946.8837408517</v>
      </c>
      <c r="T985" s="14">
        <f>IFERROR(INDEX(Cost_Components!$R$2:$R$27,MATCH(E985,Cost_Components!$A$2:$A$27,0)),"")</f>
        <v>1</v>
      </c>
      <c r="U985" s="24">
        <f>IFERROR(INDEX(Cost_Components!$Q$2:$Q$27,MATCH(E985,Cost_Components!$A$2:$A$27,0)),"")</f>
        <v>2023</v>
      </c>
      <c r="V985" s="28">
        <f>1/(1+Calculation_Assumptions!$B$5)^(B985-Calculation_Assumptions!$B$2)</f>
        <v>0.5375492759090631</v>
      </c>
      <c r="W985" s="21">
        <f t="shared" si="156"/>
        <v>1271057.7780339732</v>
      </c>
      <c r="X985" s="21">
        <f t="shared" si="157"/>
        <v>2665432.0471354388</v>
      </c>
      <c r="Y985" s="21">
        <f t="shared" si="158"/>
        <v>1394374.2691014656</v>
      </c>
      <c r="Z985" s="15">
        <f>IFERROR(INDEX(Cost_Components!$T$2:$T$27,MATCH(E985,Cost_Components!$A$2:$A$27,0)),"")</f>
        <v>0.8</v>
      </c>
      <c r="AA985" s="24">
        <f>IFERROR(INDEX(Cost_Components!$U$2:$U$27,MATCH(E985,Cost_Components!$A$2:$A$27,0)),"")</f>
        <v>2025</v>
      </c>
      <c r="AB985" s="24">
        <f>IFERROR(INDEX(Cost_Components!$V$2:$V$27,MATCH(E985,Cost_Components!$A$2:$A$27,0)),"")</f>
        <v>2050</v>
      </c>
      <c r="AC985" s="24">
        <f>IFERROR(INDEX(Cost_Components!$M$2:$M$27,MATCH(E985,Cost_Components!$A$2:$A$27,0)),"")</f>
        <v>30</v>
      </c>
      <c r="AD985" s="24">
        <f>IFERROR(INDEX(Cost_Components!$N$2:$N$27,MATCH(E985,Cost_Components!$A$2:$A$27,0)),"")</f>
        <v>95</v>
      </c>
      <c r="AE985" s="14" t="str">
        <f>IFERROR(INDEX(Cost_Components!$O$2:$O$27,MATCH(E985,Cost_Components!$A$2:$A$27,0)),"")</f>
        <v>Both</v>
      </c>
      <c r="AF985" s="11">
        <v>6665215.7371084196</v>
      </c>
      <c r="AG985" s="11">
        <v>7429468.4922803901</v>
      </c>
      <c r="AH985" s="21">
        <f t="shared" si="159"/>
        <v>1</v>
      </c>
    </row>
    <row r="986" spans="1:34" hidden="1">
      <c r="A986" t="s">
        <v>75</v>
      </c>
      <c r="B986" s="18">
        <v>2047</v>
      </c>
      <c r="C986" t="s">
        <v>197</v>
      </c>
      <c r="D986" t="s">
        <v>177</v>
      </c>
      <c r="E986" s="20" t="s">
        <v>284</v>
      </c>
      <c r="F986" s="20" t="s">
        <v>285</v>
      </c>
      <c r="G986" s="20" t="s">
        <v>201</v>
      </c>
      <c r="H986" s="20" t="s">
        <v>192</v>
      </c>
      <c r="I986" s="20" t="s">
        <v>264</v>
      </c>
      <c r="J986" s="15">
        <f>IFERROR(INDEX(Cost_Components!$K$2:$K$27,MATCH(E986,Cost_Components!$A$2:$A$27,0)),"")</f>
        <v>0.2</v>
      </c>
      <c r="K986" s="15">
        <f t="shared" si="150"/>
        <v>0.74346153846153851</v>
      </c>
      <c r="L986" s="15">
        <f>IFERROR(INDEX(Cost_Components!$S$2:$S$27,MATCH(E986,Cost_Components!$A$2:$A$27,0)),"")</f>
        <v>0.31</v>
      </c>
      <c r="M986" s="26">
        <f>IFERROR(INDEX(Cost_Components!$L$2:$L$27,MATCH(E986,Cost_Components!$A$2:$A$27,0)),"")</f>
        <v>1</v>
      </c>
      <c r="N986" s="27">
        <f>IFERROR(INDEX(Cost_Components!$P$2:$P$27,MATCH(E986,Cost_Components!$A$2:$A$27,0)),"")</f>
        <v>5.133311</v>
      </c>
      <c r="O986" s="21">
        <f t="shared" si="151"/>
        <v>1336634.7253933442</v>
      </c>
      <c r="P986" s="21">
        <f t="shared" si="152"/>
        <v>1500352.9263124783</v>
      </c>
      <c r="Q986" s="21">
        <f t="shared" si="153"/>
        <v>2387551.2359618307</v>
      </c>
      <c r="R986" s="21">
        <f t="shared" si="154"/>
        <v>5101158.5543018244</v>
      </c>
      <c r="S986" s="21">
        <f t="shared" si="155"/>
        <v>2713607.3183399937</v>
      </c>
      <c r="T986" s="14">
        <f>IFERROR(INDEX(Cost_Components!$R$2:$R$27,MATCH(E986,Cost_Components!$A$2:$A$27,0)),"")</f>
        <v>1</v>
      </c>
      <c r="U986" s="24">
        <f>IFERROR(INDEX(Cost_Components!$Q$2:$Q$27,MATCH(E986,Cost_Components!$A$2:$A$27,0)),"")</f>
        <v>2023</v>
      </c>
      <c r="V986" s="28">
        <f>1/(1+Calculation_Assumptions!$B$5)^(B986-Calculation_Assumptions!$B$2)</f>
        <v>0.52189250088258554</v>
      </c>
      <c r="W986" s="21">
        <f t="shared" si="156"/>
        <v>1246045.0855214279</v>
      </c>
      <c r="X986" s="21">
        <f t="shared" si="157"/>
        <v>2662256.3953031735</v>
      </c>
      <c r="Y986" s="21">
        <f t="shared" si="158"/>
        <v>1416211.3097817458</v>
      </c>
      <c r="Z986" s="15">
        <f>IFERROR(INDEX(Cost_Components!$T$2:$T$27,MATCH(E986,Cost_Components!$A$2:$A$27,0)),"")</f>
        <v>0.8</v>
      </c>
      <c r="AA986" s="24">
        <f>IFERROR(INDEX(Cost_Components!$U$2:$U$27,MATCH(E986,Cost_Components!$A$2:$A$27,0)),"")</f>
        <v>2025</v>
      </c>
      <c r="AB986" s="24">
        <f>IFERROR(INDEX(Cost_Components!$V$2:$V$27,MATCH(E986,Cost_Components!$A$2:$A$27,0)),"")</f>
        <v>2050</v>
      </c>
      <c r="AC986" s="24">
        <f>IFERROR(INDEX(Cost_Components!$M$2:$M$27,MATCH(E986,Cost_Components!$A$2:$A$27,0)),"")</f>
        <v>30</v>
      </c>
      <c r="AD986" s="24">
        <f>IFERROR(INDEX(Cost_Components!$N$2:$N$27,MATCH(E986,Cost_Components!$A$2:$A$27,0)),"")</f>
        <v>95</v>
      </c>
      <c r="AE986" s="14" t="str">
        <f>IFERROR(INDEX(Cost_Components!$O$2:$O$27,MATCH(E986,Cost_Components!$A$2:$A$27,0)),"")</f>
        <v>Both</v>
      </c>
      <c r="AF986" s="11">
        <v>6683173.6269667204</v>
      </c>
      <c r="AG986" s="11">
        <v>7501764.6315623904</v>
      </c>
      <c r="AH986" s="21">
        <f t="shared" si="159"/>
        <v>1</v>
      </c>
    </row>
    <row r="987" spans="1:34" hidden="1">
      <c r="A987" t="s">
        <v>75</v>
      </c>
      <c r="B987" s="18">
        <v>2048</v>
      </c>
      <c r="C987" t="s">
        <v>197</v>
      </c>
      <c r="D987" t="s">
        <v>177</v>
      </c>
      <c r="E987" s="20" t="s">
        <v>284</v>
      </c>
      <c r="F987" s="20" t="s">
        <v>285</v>
      </c>
      <c r="G987" s="20" t="s">
        <v>201</v>
      </c>
      <c r="H987" s="20" t="s">
        <v>192</v>
      </c>
      <c r="I987" s="20" t="s">
        <v>264</v>
      </c>
      <c r="J987" s="15">
        <f>IFERROR(INDEX(Cost_Components!$K$2:$K$27,MATCH(E987,Cost_Components!$A$2:$A$27,0)),"")</f>
        <v>0.2</v>
      </c>
      <c r="K987" s="15">
        <f t="shared" si="150"/>
        <v>0.76230769230769235</v>
      </c>
      <c r="L987" s="15">
        <f>IFERROR(INDEX(Cost_Components!$S$2:$S$27,MATCH(E987,Cost_Components!$A$2:$A$27,0)),"")</f>
        <v>0.31</v>
      </c>
      <c r="M987" s="26">
        <f>IFERROR(INDEX(Cost_Components!$L$2:$L$27,MATCH(E987,Cost_Components!$A$2:$A$27,0)),"")</f>
        <v>1</v>
      </c>
      <c r="N987" s="27">
        <f>IFERROR(INDEX(Cost_Components!$P$2:$P$27,MATCH(E987,Cost_Components!$A$2:$A$27,0)),"")</f>
        <v>5.133311</v>
      </c>
      <c r="O987" s="21">
        <f t="shared" si="151"/>
        <v>1339337.4835716682</v>
      </c>
      <c r="P987" s="21">
        <f t="shared" si="152"/>
        <v>1514038.8829286881</v>
      </c>
      <c r="Q987" s="21">
        <f t="shared" si="153"/>
        <v>2409330.0601713196</v>
      </c>
      <c r="R987" s="21">
        <f t="shared" si="154"/>
        <v>5241045.1650742982</v>
      </c>
      <c r="S987" s="21">
        <f t="shared" si="155"/>
        <v>2831715.1049029785</v>
      </c>
      <c r="T987" s="14">
        <f>IFERROR(INDEX(Cost_Components!$R$2:$R$27,MATCH(E987,Cost_Components!$A$2:$A$27,0)),"")</f>
        <v>1</v>
      </c>
      <c r="U987" s="24">
        <f>IFERROR(INDEX(Cost_Components!$Q$2:$Q$27,MATCH(E987,Cost_Components!$A$2:$A$27,0)),"")</f>
        <v>2023</v>
      </c>
      <c r="V987" s="28">
        <f>1/(1+Calculation_Assumptions!$B$5)^(B987-Calculation_Assumptions!$B$2)</f>
        <v>0.50669174842969467</v>
      </c>
      <c r="W987" s="21">
        <f t="shared" si="156"/>
        <v>1220787.6607324274</v>
      </c>
      <c r="X987" s="21">
        <f t="shared" si="157"/>
        <v>2655594.3382904939</v>
      </c>
      <c r="Y987" s="21">
        <f t="shared" si="158"/>
        <v>1434806.6775580663</v>
      </c>
      <c r="Z987" s="15">
        <f>IFERROR(INDEX(Cost_Components!$T$2:$T$27,MATCH(E987,Cost_Components!$A$2:$A$27,0)),"")</f>
        <v>0.8</v>
      </c>
      <c r="AA987" s="24">
        <f>IFERROR(INDEX(Cost_Components!$U$2:$U$27,MATCH(E987,Cost_Components!$A$2:$A$27,0)),"")</f>
        <v>2025</v>
      </c>
      <c r="AB987" s="24">
        <f>IFERROR(INDEX(Cost_Components!$V$2:$V$27,MATCH(E987,Cost_Components!$A$2:$A$27,0)),"")</f>
        <v>2050</v>
      </c>
      <c r="AC987" s="24">
        <f>IFERROR(INDEX(Cost_Components!$M$2:$M$27,MATCH(E987,Cost_Components!$A$2:$A$27,0)),"")</f>
        <v>30</v>
      </c>
      <c r="AD987" s="24">
        <f>IFERROR(INDEX(Cost_Components!$N$2:$N$27,MATCH(E987,Cost_Components!$A$2:$A$27,0)),"")</f>
        <v>95</v>
      </c>
      <c r="AE987" s="14" t="str">
        <f>IFERROR(INDEX(Cost_Components!$O$2:$O$27,MATCH(E987,Cost_Components!$A$2:$A$27,0)),"")</f>
        <v>Both</v>
      </c>
      <c r="AF987" s="11">
        <v>6696687.4178583398</v>
      </c>
      <c r="AG987" s="11">
        <v>7570194.4146434404</v>
      </c>
      <c r="AH987" s="21">
        <f t="shared" si="159"/>
        <v>1</v>
      </c>
    </row>
    <row r="988" spans="1:34" hidden="1">
      <c r="A988" t="s">
        <v>75</v>
      </c>
      <c r="B988" s="18">
        <v>2049</v>
      </c>
      <c r="C988" t="s">
        <v>197</v>
      </c>
      <c r="D988" t="s">
        <v>177</v>
      </c>
      <c r="E988" s="20" t="s">
        <v>284</v>
      </c>
      <c r="F988" s="20" t="s">
        <v>285</v>
      </c>
      <c r="G988" s="20" t="s">
        <v>201</v>
      </c>
      <c r="H988" s="20" t="s">
        <v>192</v>
      </c>
      <c r="I988" s="20" t="s">
        <v>264</v>
      </c>
      <c r="J988" s="15">
        <f>IFERROR(INDEX(Cost_Components!$K$2:$K$27,MATCH(E988,Cost_Components!$A$2:$A$27,0)),"")</f>
        <v>0.2</v>
      </c>
      <c r="K988" s="15">
        <f t="shared" si="150"/>
        <v>0.7811538461538462</v>
      </c>
      <c r="L988" s="15">
        <f>IFERROR(INDEX(Cost_Components!$S$2:$S$27,MATCH(E988,Cost_Components!$A$2:$A$27,0)),"")</f>
        <v>0.31</v>
      </c>
      <c r="M988" s="26">
        <f>IFERROR(INDEX(Cost_Components!$L$2:$L$27,MATCH(E988,Cost_Components!$A$2:$A$27,0)),"")</f>
        <v>1</v>
      </c>
      <c r="N988" s="27">
        <f>IFERROR(INDEX(Cost_Components!$P$2:$P$27,MATCH(E988,Cost_Components!$A$2:$A$27,0)),"")</f>
        <v>5.133311</v>
      </c>
      <c r="O988" s="21">
        <f t="shared" si="151"/>
        <v>1341176.3372297641</v>
      </c>
      <c r="P988" s="21">
        <f t="shared" si="152"/>
        <v>1526950.0790214061</v>
      </c>
      <c r="Q988" s="21">
        <f t="shared" si="153"/>
        <v>2429875.9874983504</v>
      </c>
      <c r="R988" s="21">
        <f t="shared" si="154"/>
        <v>5377990.5470279213</v>
      </c>
      <c r="S988" s="21">
        <f t="shared" si="155"/>
        <v>2948114.5595295709</v>
      </c>
      <c r="T988" s="14">
        <f>IFERROR(INDEX(Cost_Components!$R$2:$R$27,MATCH(E988,Cost_Components!$A$2:$A$27,0)),"")</f>
        <v>1</v>
      </c>
      <c r="U988" s="24">
        <f>IFERROR(INDEX(Cost_Components!$Q$2:$Q$27,MATCH(E988,Cost_Components!$A$2:$A$27,0)),"")</f>
        <v>2023</v>
      </c>
      <c r="V988" s="28">
        <f>1/(1+Calculation_Assumptions!$B$5)^(B988-Calculation_Assumptions!$B$2)</f>
        <v>0.49193373633950943</v>
      </c>
      <c r="W988" s="21">
        <f t="shared" si="156"/>
        <v>1195337.9733717185</v>
      </c>
      <c r="X988" s="21">
        <f t="shared" si="157"/>
        <v>2645614.9837980075</v>
      </c>
      <c r="Y988" s="21">
        <f t="shared" si="158"/>
        <v>1450277.0104262889</v>
      </c>
      <c r="Z988" s="15">
        <f>IFERROR(INDEX(Cost_Components!$T$2:$T$27,MATCH(E988,Cost_Components!$A$2:$A$27,0)),"")</f>
        <v>0.8</v>
      </c>
      <c r="AA988" s="24">
        <f>IFERROR(INDEX(Cost_Components!$U$2:$U$27,MATCH(E988,Cost_Components!$A$2:$A$27,0)),"")</f>
        <v>2025</v>
      </c>
      <c r="AB988" s="24">
        <f>IFERROR(INDEX(Cost_Components!$V$2:$V$27,MATCH(E988,Cost_Components!$A$2:$A$27,0)),"")</f>
        <v>2050</v>
      </c>
      <c r="AC988" s="24">
        <f>IFERROR(INDEX(Cost_Components!$M$2:$M$27,MATCH(E988,Cost_Components!$A$2:$A$27,0)),"")</f>
        <v>30</v>
      </c>
      <c r="AD988" s="24">
        <f>IFERROR(INDEX(Cost_Components!$N$2:$N$27,MATCH(E988,Cost_Components!$A$2:$A$27,0)),"")</f>
        <v>95</v>
      </c>
      <c r="AE988" s="14" t="str">
        <f>IFERROR(INDEX(Cost_Components!$O$2:$O$27,MATCH(E988,Cost_Components!$A$2:$A$27,0)),"")</f>
        <v>Both</v>
      </c>
      <c r="AF988" s="11">
        <v>6705881.6861488204</v>
      </c>
      <c r="AG988" s="11">
        <v>7634750.3951070299</v>
      </c>
      <c r="AH988" s="21">
        <f t="shared" si="159"/>
        <v>1</v>
      </c>
    </row>
    <row r="989" spans="1:34" hidden="1">
      <c r="A989" t="s">
        <v>75</v>
      </c>
      <c r="B989" s="18">
        <v>2050</v>
      </c>
      <c r="C989" t="s">
        <v>197</v>
      </c>
      <c r="D989" t="s">
        <v>177</v>
      </c>
      <c r="E989" s="20" t="s">
        <v>284</v>
      </c>
      <c r="F989" s="20" t="s">
        <v>285</v>
      </c>
      <c r="G989" s="20" t="s">
        <v>201</v>
      </c>
      <c r="H989" s="20" t="s">
        <v>192</v>
      </c>
      <c r="I989" s="20" t="s">
        <v>264</v>
      </c>
      <c r="J989" s="15">
        <f>IFERROR(INDEX(Cost_Components!$K$2:$K$27,MATCH(E989,Cost_Components!$A$2:$A$27,0)),"")</f>
        <v>0.2</v>
      </c>
      <c r="K989" s="15">
        <f t="shared" si="150"/>
        <v>0.8</v>
      </c>
      <c r="L989" s="15">
        <f>IFERROR(INDEX(Cost_Components!$S$2:$S$27,MATCH(E989,Cost_Components!$A$2:$A$27,0)),"")</f>
        <v>0.31</v>
      </c>
      <c r="M989" s="26">
        <f>IFERROR(INDEX(Cost_Components!$L$2:$L$27,MATCH(E989,Cost_Components!$A$2:$A$27,0)),"")</f>
        <v>1</v>
      </c>
      <c r="N989" s="27">
        <f>IFERROR(INDEX(Cost_Components!$P$2:$P$27,MATCH(E989,Cost_Components!$A$2:$A$27,0)),"")</f>
        <v>5.133311</v>
      </c>
      <c r="O989" s="21">
        <f t="shared" si="151"/>
        <v>1342188.979796988</v>
      </c>
      <c r="P989" s="21">
        <f t="shared" si="152"/>
        <v>1539098.6433192221</v>
      </c>
      <c r="Q989" s="21">
        <f t="shared" si="153"/>
        <v>2449208.3187090484</v>
      </c>
      <c r="R989" s="21">
        <f t="shared" si="154"/>
        <v>5511898.7632565256</v>
      </c>
      <c r="S989" s="21">
        <f t="shared" si="155"/>
        <v>3062690.4445474772</v>
      </c>
      <c r="T989" s="14">
        <f>IFERROR(INDEX(Cost_Components!$R$2:$R$27,MATCH(E989,Cost_Components!$A$2:$A$27,0)),"")</f>
        <v>1</v>
      </c>
      <c r="U989" s="24">
        <f>IFERROR(INDEX(Cost_Components!$Q$2:$Q$27,MATCH(E989,Cost_Components!$A$2:$A$27,0)),"")</f>
        <v>2023</v>
      </c>
      <c r="V989" s="28">
        <f>1/(1+Calculation_Assumptions!$B$5)^(B989-Calculation_Assumptions!$B$2)</f>
        <v>0.47760556926165965</v>
      </c>
      <c r="W989" s="21">
        <f t="shared" si="156"/>
        <v>1169755.5332974275</v>
      </c>
      <c r="X989" s="21">
        <f t="shared" si="157"/>
        <v>2632513.5465377709</v>
      </c>
      <c r="Y989" s="21">
        <f t="shared" si="158"/>
        <v>1462758.0132403432</v>
      </c>
      <c r="Z989" s="15">
        <f>IFERROR(INDEX(Cost_Components!$T$2:$T$27,MATCH(E989,Cost_Components!$A$2:$A$27,0)),"")</f>
        <v>0.8</v>
      </c>
      <c r="AA989" s="24">
        <f>IFERROR(INDEX(Cost_Components!$U$2:$U$27,MATCH(E989,Cost_Components!$A$2:$A$27,0)),"")</f>
        <v>2025</v>
      </c>
      <c r="AB989" s="24">
        <f>IFERROR(INDEX(Cost_Components!$V$2:$V$27,MATCH(E989,Cost_Components!$A$2:$A$27,0)),"")</f>
        <v>2050</v>
      </c>
      <c r="AC989" s="24">
        <f>IFERROR(INDEX(Cost_Components!$M$2:$M$27,MATCH(E989,Cost_Components!$A$2:$A$27,0)),"")</f>
        <v>30</v>
      </c>
      <c r="AD989" s="24">
        <f>IFERROR(INDEX(Cost_Components!$N$2:$N$27,MATCH(E989,Cost_Components!$A$2:$A$27,0)),"")</f>
        <v>95</v>
      </c>
      <c r="AE989" s="14" t="str">
        <f>IFERROR(INDEX(Cost_Components!$O$2:$O$27,MATCH(E989,Cost_Components!$A$2:$A$27,0)),"")</f>
        <v>Both</v>
      </c>
      <c r="AF989" s="11">
        <v>6710944.8989849398</v>
      </c>
      <c r="AG989" s="11">
        <v>7695493.2165961098</v>
      </c>
      <c r="AH989" s="21">
        <f t="shared" si="159"/>
        <v>1</v>
      </c>
    </row>
    <row r="990" spans="1:34" hidden="1">
      <c r="A990" t="s">
        <v>75</v>
      </c>
      <c r="B990" s="18">
        <v>2025</v>
      </c>
      <c r="C990" t="s">
        <v>197</v>
      </c>
      <c r="D990" t="s">
        <v>177</v>
      </c>
      <c r="E990" s="20" t="s">
        <v>286</v>
      </c>
      <c r="F990" s="20" t="s">
        <v>287</v>
      </c>
      <c r="G990" s="20" t="s">
        <v>201</v>
      </c>
      <c r="H990" s="20" t="s">
        <v>192</v>
      </c>
      <c r="I990" s="20" t="s">
        <v>264</v>
      </c>
      <c r="J990" s="15">
        <f>IFERROR(INDEX(Cost_Components!$K$2:$K$27,MATCH(E990,Cost_Components!$A$2:$A$27,0)),"")</f>
        <v>0.2</v>
      </c>
      <c r="K990" s="15">
        <f t="shared" si="150"/>
        <v>0.32884615384615384</v>
      </c>
      <c r="L990" s="15">
        <f>IFERROR(INDEX(Cost_Components!$S$2:$S$27,MATCH(E990,Cost_Components!$A$2:$A$27,0)),"")</f>
        <v>0.31</v>
      </c>
      <c r="M990" s="26">
        <f>IFERROR(INDEX(Cost_Components!$L$2:$L$27,MATCH(E990,Cost_Components!$A$2:$A$27,0)),"")</f>
        <v>1</v>
      </c>
      <c r="N990" s="27">
        <f>IFERROR(INDEX(Cost_Components!$P$2:$P$27,MATCH(E990,Cost_Components!$A$2:$A$27,0)),"")</f>
        <v>7</v>
      </c>
      <c r="O990" s="21">
        <f t="shared" si="151"/>
        <v>1040539.52810735</v>
      </c>
      <c r="P990" s="21">
        <f t="shared" si="152"/>
        <v>1041375.033644954</v>
      </c>
      <c r="Q990" s="21">
        <f t="shared" si="153"/>
        <v>2259783.8230095501</v>
      </c>
      <c r="R990" s="21">
        <f t="shared" si="154"/>
        <v>2395241.9522009576</v>
      </c>
      <c r="S990" s="21">
        <f t="shared" si="155"/>
        <v>135458.12919140747</v>
      </c>
      <c r="T990" s="14">
        <f>IFERROR(INDEX(Cost_Components!$R$2:$R$27,MATCH(E990,Cost_Components!$A$2:$A$27,0)),"")</f>
        <v>1</v>
      </c>
      <c r="U990" s="24">
        <f>IFERROR(INDEX(Cost_Components!$Q$2:$Q$27,MATCH(E990,Cost_Components!$A$2:$A$27,0)),"")</f>
        <v>2023</v>
      </c>
      <c r="V990" s="28">
        <f>1/(1+Calculation_Assumptions!$B$5)^(B990-Calculation_Assumptions!$B$2)</f>
        <v>1</v>
      </c>
      <c r="W990" s="21">
        <f t="shared" si="156"/>
        <v>2259783.8230095501</v>
      </c>
      <c r="X990" s="21">
        <f t="shared" si="157"/>
        <v>2395241.9522009576</v>
      </c>
      <c r="Y990" s="21">
        <f t="shared" si="158"/>
        <v>135458.12919140747</v>
      </c>
      <c r="Z990" s="15">
        <f>IFERROR(INDEX(Cost_Components!$T$2:$T$27,MATCH(E990,Cost_Components!$A$2:$A$27,0)),"")</f>
        <v>0.8</v>
      </c>
      <c r="AA990" s="24">
        <f>IFERROR(INDEX(Cost_Components!$U$2:$U$27,MATCH(E990,Cost_Components!$A$2:$A$27,0)),"")</f>
        <v>2025</v>
      </c>
      <c r="AB990" s="24">
        <f>IFERROR(INDEX(Cost_Components!$V$2:$V$27,MATCH(E990,Cost_Components!$A$2:$A$27,0)),"")</f>
        <v>2050</v>
      </c>
      <c r="AC990" s="24">
        <f>IFERROR(INDEX(Cost_Components!$M$2:$M$27,MATCH(E990,Cost_Components!$A$2:$A$27,0)),"")</f>
        <v>30</v>
      </c>
      <c r="AD990" s="24">
        <f>IFERROR(INDEX(Cost_Components!$N$2:$N$27,MATCH(E990,Cost_Components!$A$2:$A$27,0)),"")</f>
        <v>95</v>
      </c>
      <c r="AE990" s="14" t="str">
        <f>IFERROR(INDEX(Cost_Components!$O$2:$O$27,MATCH(E990,Cost_Components!$A$2:$A$27,0)),"")</f>
        <v>Both</v>
      </c>
      <c r="AF990" s="11">
        <v>5202697.6405367497</v>
      </c>
      <c r="AG990" s="11">
        <v>5206875.1682247696</v>
      </c>
      <c r="AH990" s="21">
        <f t="shared" si="159"/>
        <v>1</v>
      </c>
    </row>
    <row r="991" spans="1:34" hidden="1">
      <c r="A991" t="s">
        <v>75</v>
      </c>
      <c r="B991" s="18">
        <v>2026</v>
      </c>
      <c r="C991" t="s">
        <v>197</v>
      </c>
      <c r="D991" t="s">
        <v>177</v>
      </c>
      <c r="E991" s="20" t="s">
        <v>286</v>
      </c>
      <c r="F991" s="20" t="s">
        <v>287</v>
      </c>
      <c r="G991" s="20" t="s">
        <v>201</v>
      </c>
      <c r="H991" s="20" t="s">
        <v>192</v>
      </c>
      <c r="I991" s="20" t="s">
        <v>264</v>
      </c>
      <c r="J991" s="15">
        <f>IFERROR(INDEX(Cost_Components!$K$2:$K$27,MATCH(E991,Cost_Components!$A$2:$A$27,0)),"")</f>
        <v>0.2</v>
      </c>
      <c r="K991" s="15">
        <f t="shared" si="150"/>
        <v>0.34769230769230769</v>
      </c>
      <c r="L991" s="15">
        <f>IFERROR(INDEX(Cost_Components!$S$2:$S$27,MATCH(E991,Cost_Components!$A$2:$A$27,0)),"")</f>
        <v>0.31</v>
      </c>
      <c r="M991" s="26">
        <f>IFERROR(INDEX(Cost_Components!$L$2:$L$27,MATCH(E991,Cost_Components!$A$2:$A$27,0)),"")</f>
        <v>1</v>
      </c>
      <c r="N991" s="27">
        <f>IFERROR(INDEX(Cost_Components!$P$2:$P$27,MATCH(E991,Cost_Components!$A$2:$A$27,0)),"")</f>
        <v>7</v>
      </c>
      <c r="O991" s="21">
        <f t="shared" si="151"/>
        <v>1064395.9117995661</v>
      </c>
      <c r="P991" s="21">
        <f t="shared" si="152"/>
        <v>1066871.057007208</v>
      </c>
      <c r="Q991" s="21">
        <f t="shared" si="153"/>
        <v>2315110.1937056412</v>
      </c>
      <c r="R991" s="21">
        <f t="shared" si="154"/>
        <v>2590575.8961029439</v>
      </c>
      <c r="S991" s="21">
        <f t="shared" si="155"/>
        <v>275465.70239730272</v>
      </c>
      <c r="T991" s="14">
        <f>IFERROR(INDEX(Cost_Components!$R$2:$R$27,MATCH(E991,Cost_Components!$A$2:$A$27,0)),"")</f>
        <v>1</v>
      </c>
      <c r="U991" s="24">
        <f>IFERROR(INDEX(Cost_Components!$Q$2:$Q$27,MATCH(E991,Cost_Components!$A$2:$A$27,0)),"")</f>
        <v>2023</v>
      </c>
      <c r="V991" s="28">
        <f>1/(1+Calculation_Assumptions!$B$5)^(B991-Calculation_Assumptions!$B$2)</f>
        <v>0.970873786407767</v>
      </c>
      <c r="W991" s="21">
        <f t="shared" si="156"/>
        <v>2247679.7997142146</v>
      </c>
      <c r="X991" s="21">
        <f t="shared" si="157"/>
        <v>2515122.2292261594</v>
      </c>
      <c r="Y991" s="21">
        <f t="shared" si="158"/>
        <v>267442.42951194441</v>
      </c>
      <c r="Z991" s="15">
        <f>IFERROR(INDEX(Cost_Components!$T$2:$T$27,MATCH(E991,Cost_Components!$A$2:$A$27,0)),"")</f>
        <v>0.8</v>
      </c>
      <c r="AA991" s="24">
        <f>IFERROR(INDEX(Cost_Components!$U$2:$U$27,MATCH(E991,Cost_Components!$A$2:$A$27,0)),"")</f>
        <v>2025</v>
      </c>
      <c r="AB991" s="24">
        <f>IFERROR(INDEX(Cost_Components!$V$2:$V$27,MATCH(E991,Cost_Components!$A$2:$A$27,0)),"")</f>
        <v>2050</v>
      </c>
      <c r="AC991" s="24">
        <f>IFERROR(INDEX(Cost_Components!$M$2:$M$27,MATCH(E991,Cost_Components!$A$2:$A$27,0)),"")</f>
        <v>30</v>
      </c>
      <c r="AD991" s="24">
        <f>IFERROR(INDEX(Cost_Components!$N$2:$N$27,MATCH(E991,Cost_Components!$A$2:$A$27,0)),"")</f>
        <v>95</v>
      </c>
      <c r="AE991" s="14" t="str">
        <f>IFERROR(INDEX(Cost_Components!$O$2:$O$27,MATCH(E991,Cost_Components!$A$2:$A$27,0)),"")</f>
        <v>Both</v>
      </c>
      <c r="AF991" s="11">
        <v>5321979.5589978304</v>
      </c>
      <c r="AG991" s="11">
        <v>5334355.2850360395</v>
      </c>
      <c r="AH991" s="21">
        <f t="shared" si="159"/>
        <v>1</v>
      </c>
    </row>
    <row r="992" spans="1:34" hidden="1">
      <c r="A992" t="s">
        <v>75</v>
      </c>
      <c r="B992" s="18">
        <v>2027</v>
      </c>
      <c r="C992" t="s">
        <v>197</v>
      </c>
      <c r="D992" t="s">
        <v>177</v>
      </c>
      <c r="E992" s="20" t="s">
        <v>286</v>
      </c>
      <c r="F992" s="20" t="s">
        <v>287</v>
      </c>
      <c r="G992" s="20" t="s">
        <v>201</v>
      </c>
      <c r="H992" s="20" t="s">
        <v>192</v>
      </c>
      <c r="I992" s="20" t="s">
        <v>264</v>
      </c>
      <c r="J992" s="15">
        <f>IFERROR(INDEX(Cost_Components!$K$2:$K$27,MATCH(E992,Cost_Components!$A$2:$A$27,0)),"")</f>
        <v>0.2</v>
      </c>
      <c r="K992" s="15">
        <f t="shared" si="150"/>
        <v>0.36653846153846154</v>
      </c>
      <c r="L992" s="15">
        <f>IFERROR(INDEX(Cost_Components!$S$2:$S$27,MATCH(E992,Cost_Components!$A$2:$A$27,0)),"")</f>
        <v>0.31</v>
      </c>
      <c r="M992" s="26">
        <f>IFERROR(INDEX(Cost_Components!$L$2:$L$27,MATCH(E992,Cost_Components!$A$2:$A$27,0)),"")</f>
        <v>1</v>
      </c>
      <c r="N992" s="27">
        <f>IFERROR(INDEX(Cost_Components!$P$2:$P$27,MATCH(E992,Cost_Components!$A$2:$A$27,0)),"")</f>
        <v>7</v>
      </c>
      <c r="O992" s="21">
        <f t="shared" si="151"/>
        <v>1087390.2956353261</v>
      </c>
      <c r="P992" s="21">
        <f t="shared" si="152"/>
        <v>1092276.4661504922</v>
      </c>
      <c r="Q992" s="21">
        <f t="shared" si="153"/>
        <v>2370239.9315465684</v>
      </c>
      <c r="R992" s="21">
        <f t="shared" si="154"/>
        <v>2789992.562378177</v>
      </c>
      <c r="S992" s="21">
        <f t="shared" si="155"/>
        <v>419752.63083160855</v>
      </c>
      <c r="T992" s="14">
        <f>IFERROR(INDEX(Cost_Components!$R$2:$R$27,MATCH(E992,Cost_Components!$A$2:$A$27,0)),"")</f>
        <v>1</v>
      </c>
      <c r="U992" s="24">
        <f>IFERROR(INDEX(Cost_Components!$Q$2:$Q$27,MATCH(E992,Cost_Components!$A$2:$A$27,0)),"")</f>
        <v>2023</v>
      </c>
      <c r="V992" s="28">
        <f>1/(1+Calculation_Assumptions!$B$5)^(B992-Calculation_Assumptions!$B$2)</f>
        <v>0.94259590913375435</v>
      </c>
      <c r="W992" s="21">
        <f t="shared" si="156"/>
        <v>2234178.4631412653</v>
      </c>
      <c r="X992" s="21">
        <f t="shared" si="157"/>
        <v>2629835.5758112706</v>
      </c>
      <c r="Y992" s="21">
        <f t="shared" si="158"/>
        <v>395657.11267000524</v>
      </c>
      <c r="Z992" s="15">
        <f>IFERROR(INDEX(Cost_Components!$T$2:$T$27,MATCH(E992,Cost_Components!$A$2:$A$27,0)),"")</f>
        <v>0.8</v>
      </c>
      <c r="AA992" s="24">
        <f>IFERROR(INDEX(Cost_Components!$U$2:$U$27,MATCH(E992,Cost_Components!$A$2:$A$27,0)),"")</f>
        <v>2025</v>
      </c>
      <c r="AB992" s="24">
        <f>IFERROR(INDEX(Cost_Components!$V$2:$V$27,MATCH(E992,Cost_Components!$A$2:$A$27,0)),"")</f>
        <v>2050</v>
      </c>
      <c r="AC992" s="24">
        <f>IFERROR(INDEX(Cost_Components!$M$2:$M$27,MATCH(E992,Cost_Components!$A$2:$A$27,0)),"")</f>
        <v>30</v>
      </c>
      <c r="AD992" s="24">
        <f>IFERROR(INDEX(Cost_Components!$N$2:$N$27,MATCH(E992,Cost_Components!$A$2:$A$27,0)),"")</f>
        <v>95</v>
      </c>
      <c r="AE992" s="14" t="str">
        <f>IFERROR(INDEX(Cost_Components!$O$2:$O$27,MATCH(E992,Cost_Components!$A$2:$A$27,0)),"")</f>
        <v>Both</v>
      </c>
      <c r="AF992" s="11">
        <v>5436951.4781766301</v>
      </c>
      <c r="AG992" s="11">
        <v>5461382.3307524603</v>
      </c>
      <c r="AH992" s="21">
        <f t="shared" si="159"/>
        <v>1</v>
      </c>
    </row>
    <row r="993" spans="1:34" hidden="1">
      <c r="A993" t="s">
        <v>75</v>
      </c>
      <c r="B993" s="18">
        <v>2028</v>
      </c>
      <c r="C993" t="s">
        <v>197</v>
      </c>
      <c r="D993" t="s">
        <v>177</v>
      </c>
      <c r="E993" s="20" t="s">
        <v>286</v>
      </c>
      <c r="F993" s="20" t="s">
        <v>287</v>
      </c>
      <c r="G993" s="20" t="s">
        <v>201</v>
      </c>
      <c r="H993" s="20" t="s">
        <v>192</v>
      </c>
      <c r="I993" s="20" t="s">
        <v>264</v>
      </c>
      <c r="J993" s="15">
        <f>IFERROR(INDEX(Cost_Components!$K$2:$K$27,MATCH(E993,Cost_Components!$A$2:$A$27,0)),"")</f>
        <v>0.2</v>
      </c>
      <c r="K993" s="15">
        <f t="shared" si="150"/>
        <v>0.38538461538461538</v>
      </c>
      <c r="L993" s="15">
        <f>IFERROR(INDEX(Cost_Components!$S$2:$S$27,MATCH(E993,Cost_Components!$A$2:$A$27,0)),"")</f>
        <v>0.31</v>
      </c>
      <c r="M993" s="26">
        <f>IFERROR(INDEX(Cost_Components!$L$2:$L$27,MATCH(E993,Cost_Components!$A$2:$A$27,0)),"")</f>
        <v>1</v>
      </c>
      <c r="N993" s="27">
        <f>IFERROR(INDEX(Cost_Components!$P$2:$P$27,MATCH(E993,Cost_Components!$A$2:$A$27,0)),"")</f>
        <v>7</v>
      </c>
      <c r="O993" s="21">
        <f t="shared" si="151"/>
        <v>1109354.467887264</v>
      </c>
      <c r="P993" s="21">
        <f t="shared" si="152"/>
        <v>1117389.9460450362</v>
      </c>
      <c r="Q993" s="21">
        <f t="shared" si="153"/>
        <v>2424736.1829177286</v>
      </c>
      <c r="R993" s="21">
        <f t="shared" si="154"/>
        <v>2992697.0145235648</v>
      </c>
      <c r="S993" s="21">
        <f t="shared" si="155"/>
        <v>567960.83160583628</v>
      </c>
      <c r="T993" s="14">
        <f>IFERROR(INDEX(Cost_Components!$R$2:$R$27,MATCH(E993,Cost_Components!$A$2:$A$27,0)),"")</f>
        <v>1</v>
      </c>
      <c r="U993" s="24">
        <f>IFERROR(INDEX(Cost_Components!$Q$2:$Q$27,MATCH(E993,Cost_Components!$A$2:$A$27,0)),"")</f>
        <v>2023</v>
      </c>
      <c r="V993" s="28">
        <f>1/(1+Calculation_Assumptions!$B$5)^(B993-Calculation_Assumptions!$B$2)</f>
        <v>0.91514165935315961</v>
      </c>
      <c r="W993" s="21">
        <f t="shared" si="156"/>
        <v>2218977.0939289765</v>
      </c>
      <c r="X993" s="21">
        <f t="shared" si="157"/>
        <v>2738741.7118123421</v>
      </c>
      <c r="Y993" s="21">
        <f t="shared" si="158"/>
        <v>519764.61788336548</v>
      </c>
      <c r="Z993" s="15">
        <f>IFERROR(INDEX(Cost_Components!$T$2:$T$27,MATCH(E993,Cost_Components!$A$2:$A$27,0)),"")</f>
        <v>0.8</v>
      </c>
      <c r="AA993" s="24">
        <f>IFERROR(INDEX(Cost_Components!$U$2:$U$27,MATCH(E993,Cost_Components!$A$2:$A$27,0)),"")</f>
        <v>2025</v>
      </c>
      <c r="AB993" s="24">
        <f>IFERROR(INDEX(Cost_Components!$V$2:$V$27,MATCH(E993,Cost_Components!$A$2:$A$27,0)),"")</f>
        <v>2050</v>
      </c>
      <c r="AC993" s="24">
        <f>IFERROR(INDEX(Cost_Components!$M$2:$M$27,MATCH(E993,Cost_Components!$A$2:$A$27,0)),"")</f>
        <v>30</v>
      </c>
      <c r="AD993" s="24">
        <f>IFERROR(INDEX(Cost_Components!$N$2:$N$27,MATCH(E993,Cost_Components!$A$2:$A$27,0)),"")</f>
        <v>95</v>
      </c>
      <c r="AE993" s="14" t="str">
        <f>IFERROR(INDEX(Cost_Components!$O$2:$O$27,MATCH(E993,Cost_Components!$A$2:$A$27,0)),"")</f>
        <v>Both</v>
      </c>
      <c r="AF993" s="11">
        <v>5546772.3394363197</v>
      </c>
      <c r="AG993" s="11">
        <v>5586949.7302251803</v>
      </c>
      <c r="AH993" s="21">
        <f t="shared" si="159"/>
        <v>1</v>
      </c>
    </row>
    <row r="994" spans="1:34" hidden="1">
      <c r="A994" t="s">
        <v>75</v>
      </c>
      <c r="B994" s="18">
        <v>2029</v>
      </c>
      <c r="C994" t="s">
        <v>197</v>
      </c>
      <c r="D994" t="s">
        <v>177</v>
      </c>
      <c r="E994" s="20" t="s">
        <v>286</v>
      </c>
      <c r="F994" s="20" t="s">
        <v>287</v>
      </c>
      <c r="G994" s="20" t="s">
        <v>201</v>
      </c>
      <c r="H994" s="20" t="s">
        <v>192</v>
      </c>
      <c r="I994" s="20" t="s">
        <v>264</v>
      </c>
      <c r="J994" s="15">
        <f>IFERROR(INDEX(Cost_Components!$K$2:$K$27,MATCH(E994,Cost_Components!$A$2:$A$27,0)),"")</f>
        <v>0.2</v>
      </c>
      <c r="K994" s="15">
        <f t="shared" si="150"/>
        <v>0.40423076923076923</v>
      </c>
      <c r="L994" s="15">
        <f>IFERROR(INDEX(Cost_Components!$S$2:$S$27,MATCH(E994,Cost_Components!$A$2:$A$27,0)),"")</f>
        <v>0.31</v>
      </c>
      <c r="M994" s="26">
        <f>IFERROR(INDEX(Cost_Components!$L$2:$L$27,MATCH(E994,Cost_Components!$A$2:$A$27,0)),"")</f>
        <v>1</v>
      </c>
      <c r="N994" s="27">
        <f>IFERROR(INDEX(Cost_Components!$P$2:$P$27,MATCH(E994,Cost_Components!$A$2:$A$27,0)),"")</f>
        <v>7</v>
      </c>
      <c r="O994" s="21">
        <f t="shared" si="151"/>
        <v>1130217.8324675721</v>
      </c>
      <c r="P994" s="21">
        <f t="shared" si="152"/>
        <v>1142107.993713924</v>
      </c>
      <c r="Q994" s="21">
        <f t="shared" si="153"/>
        <v>2478374.3463592147</v>
      </c>
      <c r="R994" s="21">
        <f t="shared" si="154"/>
        <v>3198081.7667168952</v>
      </c>
      <c r="S994" s="21">
        <f t="shared" si="155"/>
        <v>719707.42035768041</v>
      </c>
      <c r="T994" s="14">
        <f>IFERROR(INDEX(Cost_Components!$R$2:$R$27,MATCH(E994,Cost_Components!$A$2:$A$27,0)),"")</f>
        <v>1</v>
      </c>
      <c r="U994" s="24">
        <f>IFERROR(INDEX(Cost_Components!$Q$2:$Q$27,MATCH(E994,Cost_Components!$A$2:$A$27,0)),"")</f>
        <v>2023</v>
      </c>
      <c r="V994" s="28">
        <f>1/(1+Calculation_Assumptions!$B$5)^(B994-Calculation_Assumptions!$B$2)</f>
        <v>0.888487047915689</v>
      </c>
      <c r="W994" s="21">
        <f t="shared" si="156"/>
        <v>2202003.506626674</v>
      </c>
      <c r="X994" s="21">
        <f t="shared" si="157"/>
        <v>2841454.2279032855</v>
      </c>
      <c r="Y994" s="21">
        <f t="shared" si="158"/>
        <v>639450.72127661132</v>
      </c>
      <c r="Z994" s="15">
        <f>IFERROR(INDEX(Cost_Components!$T$2:$T$27,MATCH(E994,Cost_Components!$A$2:$A$27,0)),"")</f>
        <v>0.8</v>
      </c>
      <c r="AA994" s="24">
        <f>IFERROR(INDEX(Cost_Components!$U$2:$U$27,MATCH(E994,Cost_Components!$A$2:$A$27,0)),"")</f>
        <v>2025</v>
      </c>
      <c r="AB994" s="24">
        <f>IFERROR(INDEX(Cost_Components!$V$2:$V$27,MATCH(E994,Cost_Components!$A$2:$A$27,0)),"")</f>
        <v>2050</v>
      </c>
      <c r="AC994" s="24">
        <f>IFERROR(INDEX(Cost_Components!$M$2:$M$27,MATCH(E994,Cost_Components!$A$2:$A$27,0)),"")</f>
        <v>30</v>
      </c>
      <c r="AD994" s="24">
        <f>IFERROR(INDEX(Cost_Components!$N$2:$N$27,MATCH(E994,Cost_Components!$A$2:$A$27,0)),"")</f>
        <v>95</v>
      </c>
      <c r="AE994" s="14" t="str">
        <f>IFERROR(INDEX(Cost_Components!$O$2:$O$27,MATCH(E994,Cost_Components!$A$2:$A$27,0)),"")</f>
        <v>Both</v>
      </c>
      <c r="AF994" s="11">
        <v>5651089.1623378601</v>
      </c>
      <c r="AG994" s="11">
        <v>5710539.9685696196</v>
      </c>
      <c r="AH994" s="21">
        <f t="shared" si="159"/>
        <v>1</v>
      </c>
    </row>
    <row r="995" spans="1:34" hidden="1">
      <c r="A995" t="s">
        <v>75</v>
      </c>
      <c r="B995" s="18">
        <v>2030</v>
      </c>
      <c r="C995" t="s">
        <v>197</v>
      </c>
      <c r="D995" t="s">
        <v>177</v>
      </c>
      <c r="E995" s="20" t="s">
        <v>286</v>
      </c>
      <c r="F995" s="20" t="s">
        <v>287</v>
      </c>
      <c r="G995" s="20" t="s">
        <v>201</v>
      </c>
      <c r="H995" s="20" t="s">
        <v>192</v>
      </c>
      <c r="I995" s="20" t="s">
        <v>264</v>
      </c>
      <c r="J995" s="15">
        <f>IFERROR(INDEX(Cost_Components!$K$2:$K$27,MATCH(E995,Cost_Components!$A$2:$A$27,0)),"")</f>
        <v>0.2</v>
      </c>
      <c r="K995" s="15">
        <f t="shared" si="150"/>
        <v>0.42307692307692307</v>
      </c>
      <c r="L995" s="15">
        <f>IFERROR(INDEX(Cost_Components!$S$2:$S$27,MATCH(E995,Cost_Components!$A$2:$A$27,0)),"")</f>
        <v>0.31</v>
      </c>
      <c r="M995" s="26">
        <f>IFERROR(INDEX(Cost_Components!$L$2:$L$27,MATCH(E995,Cost_Components!$A$2:$A$27,0)),"")</f>
        <v>1</v>
      </c>
      <c r="N995" s="27">
        <f>IFERROR(INDEX(Cost_Components!$P$2:$P$27,MATCH(E995,Cost_Components!$A$2:$A$27,0)),"")</f>
        <v>7</v>
      </c>
      <c r="O995" s="21">
        <f t="shared" si="151"/>
        <v>1149974.768314762</v>
      </c>
      <c r="P995" s="21">
        <f t="shared" si="152"/>
        <v>1166393.197493982</v>
      </c>
      <c r="Q995" s="21">
        <f t="shared" si="153"/>
        <v>2531073.2385619408</v>
      </c>
      <c r="R995" s="21">
        <f t="shared" si="154"/>
        <v>3405694.5061629489</v>
      </c>
      <c r="S995" s="21">
        <f t="shared" si="155"/>
        <v>874621.26760100806</v>
      </c>
      <c r="T995" s="14">
        <f>IFERROR(INDEX(Cost_Components!$R$2:$R$27,MATCH(E995,Cost_Components!$A$2:$A$27,0)),"")</f>
        <v>1</v>
      </c>
      <c r="U995" s="24">
        <f>IFERROR(INDEX(Cost_Components!$Q$2:$Q$27,MATCH(E995,Cost_Components!$A$2:$A$27,0)),"")</f>
        <v>2023</v>
      </c>
      <c r="V995" s="28">
        <f>1/(1+Calculation_Assumptions!$B$5)^(B995-Calculation_Assumptions!$B$2)</f>
        <v>0.86260878438416411</v>
      </c>
      <c r="W995" s="21">
        <f t="shared" si="156"/>
        <v>2183326.0095032053</v>
      </c>
      <c r="X995" s="21">
        <f t="shared" si="157"/>
        <v>2937781.9979450474</v>
      </c>
      <c r="Y995" s="21">
        <f t="shared" si="158"/>
        <v>754455.98844184226</v>
      </c>
      <c r="Z995" s="15">
        <f>IFERROR(INDEX(Cost_Components!$T$2:$T$27,MATCH(E995,Cost_Components!$A$2:$A$27,0)),"")</f>
        <v>0.8</v>
      </c>
      <c r="AA995" s="24">
        <f>IFERROR(INDEX(Cost_Components!$U$2:$U$27,MATCH(E995,Cost_Components!$A$2:$A$27,0)),"")</f>
        <v>2025</v>
      </c>
      <c r="AB995" s="24">
        <f>IFERROR(INDEX(Cost_Components!$V$2:$V$27,MATCH(E995,Cost_Components!$A$2:$A$27,0)),"")</f>
        <v>2050</v>
      </c>
      <c r="AC995" s="24">
        <f>IFERROR(INDEX(Cost_Components!$M$2:$M$27,MATCH(E995,Cost_Components!$A$2:$A$27,0)),"")</f>
        <v>30</v>
      </c>
      <c r="AD995" s="24">
        <f>IFERROR(INDEX(Cost_Components!$N$2:$N$27,MATCH(E995,Cost_Components!$A$2:$A$27,0)),"")</f>
        <v>95</v>
      </c>
      <c r="AE995" s="14" t="str">
        <f>IFERROR(INDEX(Cost_Components!$O$2:$O$27,MATCH(E995,Cost_Components!$A$2:$A$27,0)),"")</f>
        <v>Both</v>
      </c>
      <c r="AF995" s="11">
        <v>5749873.8415738102</v>
      </c>
      <c r="AG995" s="11">
        <v>5831965.9874699097</v>
      </c>
      <c r="AH995" s="21">
        <f t="shared" si="159"/>
        <v>1</v>
      </c>
    </row>
    <row r="996" spans="1:34" hidden="1">
      <c r="A996" t="s">
        <v>75</v>
      </c>
      <c r="B996" s="18">
        <v>2031</v>
      </c>
      <c r="C996" t="s">
        <v>197</v>
      </c>
      <c r="D996" t="s">
        <v>177</v>
      </c>
      <c r="E996" s="20" t="s">
        <v>286</v>
      </c>
      <c r="F996" s="20" t="s">
        <v>287</v>
      </c>
      <c r="G996" s="20" t="s">
        <v>201</v>
      </c>
      <c r="H996" s="20" t="s">
        <v>192</v>
      </c>
      <c r="I996" s="20" t="s">
        <v>264</v>
      </c>
      <c r="J996" s="15">
        <f>IFERROR(INDEX(Cost_Components!$K$2:$K$27,MATCH(E996,Cost_Components!$A$2:$A$27,0)),"")</f>
        <v>0.2</v>
      </c>
      <c r="K996" s="15">
        <f t="shared" si="150"/>
        <v>0.44192307692307692</v>
      </c>
      <c r="L996" s="15">
        <f>IFERROR(INDEX(Cost_Components!$S$2:$S$27,MATCH(E996,Cost_Components!$A$2:$A$27,0)),"")</f>
        <v>0.31</v>
      </c>
      <c r="M996" s="26">
        <f>IFERROR(INDEX(Cost_Components!$L$2:$L$27,MATCH(E996,Cost_Components!$A$2:$A$27,0)),"")</f>
        <v>1</v>
      </c>
      <c r="N996" s="27">
        <f>IFERROR(INDEX(Cost_Components!$P$2:$P$27,MATCH(E996,Cost_Components!$A$2:$A$27,0)),"")</f>
        <v>7</v>
      </c>
      <c r="O996" s="21">
        <f t="shared" si="151"/>
        <v>1168703.359516154</v>
      </c>
      <c r="P996" s="21">
        <f t="shared" si="152"/>
        <v>1190292.3125829461</v>
      </c>
      <c r="Q996" s="21">
        <f t="shared" si="153"/>
        <v>2582934.3183049932</v>
      </c>
      <c r="R996" s="21">
        <f t="shared" si="154"/>
        <v>3615338.8925340101</v>
      </c>
      <c r="S996" s="21">
        <f t="shared" si="155"/>
        <v>1032404.5742290169</v>
      </c>
      <c r="T996" s="14">
        <f>IFERROR(INDEX(Cost_Components!$R$2:$R$27,MATCH(E996,Cost_Components!$A$2:$A$27,0)),"")</f>
        <v>1</v>
      </c>
      <c r="U996" s="24">
        <f>IFERROR(INDEX(Cost_Components!$Q$2:$Q$27,MATCH(E996,Cost_Components!$A$2:$A$27,0)),"")</f>
        <v>2023</v>
      </c>
      <c r="V996" s="28">
        <f>1/(1+Calculation_Assumptions!$B$5)^(B996-Calculation_Assumptions!$B$2)</f>
        <v>0.83748425668365445</v>
      </c>
      <c r="W996" s="21">
        <f t="shared" si="156"/>
        <v>2163166.8276283587</v>
      </c>
      <c r="X996" s="21">
        <f t="shared" si="157"/>
        <v>3027789.4050733522</v>
      </c>
      <c r="Y996" s="21">
        <f t="shared" si="158"/>
        <v>864622.57744499296</v>
      </c>
      <c r="Z996" s="15">
        <f>IFERROR(INDEX(Cost_Components!$T$2:$T$27,MATCH(E996,Cost_Components!$A$2:$A$27,0)),"")</f>
        <v>0.8</v>
      </c>
      <c r="AA996" s="24">
        <f>IFERROR(INDEX(Cost_Components!$U$2:$U$27,MATCH(E996,Cost_Components!$A$2:$A$27,0)),"")</f>
        <v>2025</v>
      </c>
      <c r="AB996" s="24">
        <f>IFERROR(INDEX(Cost_Components!$V$2:$V$27,MATCH(E996,Cost_Components!$A$2:$A$27,0)),"")</f>
        <v>2050</v>
      </c>
      <c r="AC996" s="24">
        <f>IFERROR(INDEX(Cost_Components!$M$2:$M$27,MATCH(E996,Cost_Components!$A$2:$A$27,0)),"")</f>
        <v>30</v>
      </c>
      <c r="AD996" s="24">
        <f>IFERROR(INDEX(Cost_Components!$N$2:$N$27,MATCH(E996,Cost_Components!$A$2:$A$27,0)),"")</f>
        <v>95</v>
      </c>
      <c r="AE996" s="14" t="str">
        <f>IFERROR(INDEX(Cost_Components!$O$2:$O$27,MATCH(E996,Cost_Components!$A$2:$A$27,0)),"")</f>
        <v>Both</v>
      </c>
      <c r="AF996" s="11">
        <v>5843516.7975807702</v>
      </c>
      <c r="AG996" s="11">
        <v>5951461.56291473</v>
      </c>
      <c r="AH996" s="21">
        <f t="shared" si="159"/>
        <v>1</v>
      </c>
    </row>
    <row r="997" spans="1:34" hidden="1">
      <c r="A997" t="s">
        <v>75</v>
      </c>
      <c r="B997" s="18">
        <v>2032</v>
      </c>
      <c r="C997" t="s">
        <v>197</v>
      </c>
      <c r="D997" t="s">
        <v>177</v>
      </c>
      <c r="E997" s="20" t="s">
        <v>286</v>
      </c>
      <c r="F997" s="20" t="s">
        <v>287</v>
      </c>
      <c r="G997" s="20" t="s">
        <v>201</v>
      </c>
      <c r="H997" s="20" t="s">
        <v>192</v>
      </c>
      <c r="I997" s="20" t="s">
        <v>264</v>
      </c>
      <c r="J997" s="15">
        <f>IFERROR(INDEX(Cost_Components!$K$2:$K$27,MATCH(E997,Cost_Components!$A$2:$A$27,0)),"")</f>
        <v>0.2</v>
      </c>
      <c r="K997" s="15">
        <f t="shared" si="150"/>
        <v>0.46076923076923082</v>
      </c>
      <c r="L997" s="15">
        <f>IFERROR(INDEX(Cost_Components!$S$2:$S$27,MATCH(E997,Cost_Components!$A$2:$A$27,0)),"")</f>
        <v>0.31</v>
      </c>
      <c r="M997" s="26">
        <f>IFERROR(INDEX(Cost_Components!$L$2:$L$27,MATCH(E997,Cost_Components!$A$2:$A$27,0)),"")</f>
        <v>1</v>
      </c>
      <c r="N997" s="27">
        <f>IFERROR(INDEX(Cost_Components!$P$2:$P$27,MATCH(E997,Cost_Components!$A$2:$A$27,0)),"")</f>
        <v>7</v>
      </c>
      <c r="O997" s="21">
        <f t="shared" si="151"/>
        <v>1186408.3540079261</v>
      </c>
      <c r="P997" s="21">
        <f t="shared" si="152"/>
        <v>1213778.436165842</v>
      </c>
      <c r="Q997" s="21">
        <f t="shared" si="153"/>
        <v>2633899.2064798772</v>
      </c>
      <c r="R997" s="21">
        <f t="shared" si="154"/>
        <v>3826623.25258095</v>
      </c>
      <c r="S997" s="21">
        <f t="shared" si="155"/>
        <v>1192724.0461010728</v>
      </c>
      <c r="T997" s="14">
        <f>IFERROR(INDEX(Cost_Components!$R$2:$R$27,MATCH(E997,Cost_Components!$A$2:$A$27,0)),"")</f>
        <v>1</v>
      </c>
      <c r="U997" s="24">
        <f>IFERROR(INDEX(Cost_Components!$Q$2:$Q$27,MATCH(E997,Cost_Components!$A$2:$A$27,0)),"")</f>
        <v>2023</v>
      </c>
      <c r="V997" s="28">
        <f>1/(1+Calculation_Assumptions!$B$5)^(B997-Calculation_Assumptions!$B$2)</f>
        <v>0.81309151134335378</v>
      </c>
      <c r="W997" s="21">
        <f t="shared" si="156"/>
        <v>2141601.0865227836</v>
      </c>
      <c r="X997" s="21">
        <f t="shared" si="157"/>
        <v>3111394.8837826648</v>
      </c>
      <c r="Y997" s="21">
        <f t="shared" si="158"/>
        <v>969793.79725988128</v>
      </c>
      <c r="Z997" s="15">
        <f>IFERROR(INDEX(Cost_Components!$T$2:$T$27,MATCH(E997,Cost_Components!$A$2:$A$27,0)),"")</f>
        <v>0.8</v>
      </c>
      <c r="AA997" s="24">
        <f>IFERROR(INDEX(Cost_Components!$U$2:$U$27,MATCH(E997,Cost_Components!$A$2:$A$27,0)),"")</f>
        <v>2025</v>
      </c>
      <c r="AB997" s="24">
        <f>IFERROR(INDEX(Cost_Components!$V$2:$V$27,MATCH(E997,Cost_Components!$A$2:$A$27,0)),"")</f>
        <v>2050</v>
      </c>
      <c r="AC997" s="24">
        <f>IFERROR(INDEX(Cost_Components!$M$2:$M$27,MATCH(E997,Cost_Components!$A$2:$A$27,0)),"")</f>
        <v>30</v>
      </c>
      <c r="AD997" s="24">
        <f>IFERROR(INDEX(Cost_Components!$N$2:$N$27,MATCH(E997,Cost_Components!$A$2:$A$27,0)),"")</f>
        <v>95</v>
      </c>
      <c r="AE997" s="14" t="str">
        <f>IFERROR(INDEX(Cost_Components!$O$2:$O$27,MATCH(E997,Cost_Components!$A$2:$A$27,0)),"")</f>
        <v>Both</v>
      </c>
      <c r="AF997" s="11">
        <v>5932041.7700396301</v>
      </c>
      <c r="AG997" s="11">
        <v>6068892.1808292102</v>
      </c>
      <c r="AH997" s="21">
        <f t="shared" si="159"/>
        <v>1</v>
      </c>
    </row>
    <row r="998" spans="1:34" hidden="1">
      <c r="A998" t="s">
        <v>75</v>
      </c>
      <c r="B998" s="18">
        <v>2033</v>
      </c>
      <c r="C998" t="s">
        <v>197</v>
      </c>
      <c r="D998" t="s">
        <v>177</v>
      </c>
      <c r="E998" s="20" t="s">
        <v>286</v>
      </c>
      <c r="F998" s="20" t="s">
        <v>287</v>
      </c>
      <c r="G998" s="20" t="s">
        <v>201</v>
      </c>
      <c r="H998" s="20" t="s">
        <v>192</v>
      </c>
      <c r="I998" s="20" t="s">
        <v>264</v>
      </c>
      <c r="J998" s="15">
        <f>IFERROR(INDEX(Cost_Components!$K$2:$K$27,MATCH(E998,Cost_Components!$A$2:$A$27,0)),"")</f>
        <v>0.2</v>
      </c>
      <c r="K998" s="15">
        <f t="shared" si="150"/>
        <v>0.47961538461538467</v>
      </c>
      <c r="L998" s="15">
        <f>IFERROR(INDEX(Cost_Components!$S$2:$S$27,MATCH(E998,Cost_Components!$A$2:$A$27,0)),"")</f>
        <v>0.31</v>
      </c>
      <c r="M998" s="26">
        <f>IFERROR(INDEX(Cost_Components!$L$2:$L$27,MATCH(E998,Cost_Components!$A$2:$A$27,0)),"")</f>
        <v>1</v>
      </c>
      <c r="N998" s="27">
        <f>IFERROR(INDEX(Cost_Components!$P$2:$P$27,MATCH(E998,Cost_Components!$A$2:$A$27,0)),"")</f>
        <v>7</v>
      </c>
      <c r="O998" s="21">
        <f t="shared" si="151"/>
        <v>1203061.147119374</v>
      </c>
      <c r="P998" s="21">
        <f t="shared" si="152"/>
        <v>1236789.2477787901</v>
      </c>
      <c r="Q998" s="21">
        <f t="shared" si="153"/>
        <v>2683832.6676799748</v>
      </c>
      <c r="R998" s="21">
        <f t="shared" si="154"/>
        <v>4039046.443540391</v>
      </c>
      <c r="S998" s="21">
        <f t="shared" si="155"/>
        <v>1355213.7758604162</v>
      </c>
      <c r="T998" s="14">
        <f>IFERROR(INDEX(Cost_Components!$R$2:$R$27,MATCH(E998,Cost_Components!$A$2:$A$27,0)),"")</f>
        <v>1</v>
      </c>
      <c r="U998" s="24">
        <f>IFERROR(INDEX(Cost_Components!$Q$2:$Q$27,MATCH(E998,Cost_Components!$A$2:$A$27,0)),"")</f>
        <v>2023</v>
      </c>
      <c r="V998" s="28">
        <f>1/(1+Calculation_Assumptions!$B$5)^(B998-Calculation_Assumptions!$B$2)</f>
        <v>0.78940923431393573</v>
      </c>
      <c r="W998" s="21">
        <f t="shared" si="156"/>
        <v>2118642.2912199763</v>
      </c>
      <c r="X998" s="21">
        <f t="shared" si="157"/>
        <v>3188460.5603536451</v>
      </c>
      <c r="Y998" s="21">
        <f t="shared" si="158"/>
        <v>1069818.2691336689</v>
      </c>
      <c r="Z998" s="15">
        <f>IFERROR(INDEX(Cost_Components!$T$2:$T$27,MATCH(E998,Cost_Components!$A$2:$A$27,0)),"")</f>
        <v>0.8</v>
      </c>
      <c r="AA998" s="24">
        <f>IFERROR(INDEX(Cost_Components!$U$2:$U$27,MATCH(E998,Cost_Components!$A$2:$A$27,0)),"")</f>
        <v>2025</v>
      </c>
      <c r="AB998" s="24">
        <f>IFERROR(INDEX(Cost_Components!$V$2:$V$27,MATCH(E998,Cost_Components!$A$2:$A$27,0)),"")</f>
        <v>2050</v>
      </c>
      <c r="AC998" s="24">
        <f>IFERROR(INDEX(Cost_Components!$M$2:$M$27,MATCH(E998,Cost_Components!$A$2:$A$27,0)),"")</f>
        <v>30</v>
      </c>
      <c r="AD998" s="24">
        <f>IFERROR(INDEX(Cost_Components!$N$2:$N$27,MATCH(E998,Cost_Components!$A$2:$A$27,0)),"")</f>
        <v>95</v>
      </c>
      <c r="AE998" s="14" t="str">
        <f>IFERROR(INDEX(Cost_Components!$O$2:$O$27,MATCH(E998,Cost_Components!$A$2:$A$27,0)),"")</f>
        <v>Both</v>
      </c>
      <c r="AF998" s="11">
        <v>6015305.7355968701</v>
      </c>
      <c r="AG998" s="11">
        <v>6183946.2388939504</v>
      </c>
      <c r="AH998" s="21">
        <f t="shared" si="159"/>
        <v>1</v>
      </c>
    </row>
    <row r="999" spans="1:34" hidden="1">
      <c r="A999" t="s">
        <v>75</v>
      </c>
      <c r="B999" s="18">
        <v>2034</v>
      </c>
      <c r="C999" t="s">
        <v>197</v>
      </c>
      <c r="D999" t="s">
        <v>177</v>
      </c>
      <c r="E999" s="20" t="s">
        <v>286</v>
      </c>
      <c r="F999" s="20" t="s">
        <v>287</v>
      </c>
      <c r="G999" s="20" t="s">
        <v>201</v>
      </c>
      <c r="H999" s="20" t="s">
        <v>192</v>
      </c>
      <c r="I999" s="20" t="s">
        <v>264</v>
      </c>
      <c r="J999" s="15">
        <f>IFERROR(INDEX(Cost_Components!$K$2:$K$27,MATCH(E999,Cost_Components!$A$2:$A$27,0)),"")</f>
        <v>0.2</v>
      </c>
      <c r="K999" s="15">
        <f t="shared" si="150"/>
        <v>0.49846153846153851</v>
      </c>
      <c r="L999" s="15">
        <f>IFERROR(INDEX(Cost_Components!$S$2:$S$27,MATCH(E999,Cost_Components!$A$2:$A$27,0)),"")</f>
        <v>0.31</v>
      </c>
      <c r="M999" s="26">
        <f>IFERROR(INDEX(Cost_Components!$L$2:$L$27,MATCH(E999,Cost_Components!$A$2:$A$27,0)),"")</f>
        <v>1</v>
      </c>
      <c r="N999" s="27">
        <f>IFERROR(INDEX(Cost_Components!$P$2:$P$27,MATCH(E999,Cost_Components!$A$2:$A$27,0)),"")</f>
        <v>7</v>
      </c>
      <c r="O999" s="21">
        <f t="shared" si="151"/>
        <v>1218658.47606695</v>
      </c>
      <c r="P999" s="21">
        <f t="shared" si="152"/>
        <v>1259286.2600290061</v>
      </c>
      <c r="Q999" s="21">
        <f t="shared" si="153"/>
        <v>2732651.184262943</v>
      </c>
      <c r="R999" s="21">
        <f t="shared" si="154"/>
        <v>4252180.6518766806</v>
      </c>
      <c r="S999" s="21">
        <f t="shared" si="155"/>
        <v>1519529.4676137376</v>
      </c>
      <c r="T999" s="14">
        <f>IFERROR(INDEX(Cost_Components!$R$2:$R$27,MATCH(E999,Cost_Components!$A$2:$A$27,0)),"")</f>
        <v>1</v>
      </c>
      <c r="U999" s="24">
        <f>IFERROR(INDEX(Cost_Components!$Q$2:$Q$27,MATCH(E999,Cost_Components!$A$2:$A$27,0)),"")</f>
        <v>2023</v>
      </c>
      <c r="V999" s="28">
        <f>1/(1+Calculation_Assumptions!$B$5)^(B999-Calculation_Assumptions!$B$2)</f>
        <v>0.76641673234362695</v>
      </c>
      <c r="W999" s="21">
        <f t="shared" si="156"/>
        <v>2094349.5912777472</v>
      </c>
      <c r="X999" s="21">
        <f t="shared" si="157"/>
        <v>3258942.4005461191</v>
      </c>
      <c r="Y999" s="21">
        <f t="shared" si="158"/>
        <v>1164592.8092683719</v>
      </c>
      <c r="Z999" s="15">
        <f>IFERROR(INDEX(Cost_Components!$T$2:$T$27,MATCH(E999,Cost_Components!$A$2:$A$27,0)),"")</f>
        <v>0.8</v>
      </c>
      <c r="AA999" s="24">
        <f>IFERROR(INDEX(Cost_Components!$U$2:$U$27,MATCH(E999,Cost_Components!$A$2:$A$27,0)),"")</f>
        <v>2025</v>
      </c>
      <c r="AB999" s="24">
        <f>IFERROR(INDEX(Cost_Components!$V$2:$V$27,MATCH(E999,Cost_Components!$A$2:$A$27,0)),"")</f>
        <v>2050</v>
      </c>
      <c r="AC999" s="24">
        <f>IFERROR(INDEX(Cost_Components!$M$2:$M$27,MATCH(E999,Cost_Components!$A$2:$A$27,0)),"")</f>
        <v>30</v>
      </c>
      <c r="AD999" s="24">
        <f>IFERROR(INDEX(Cost_Components!$N$2:$N$27,MATCH(E999,Cost_Components!$A$2:$A$27,0)),"")</f>
        <v>95</v>
      </c>
      <c r="AE999" s="14" t="str">
        <f>IFERROR(INDEX(Cost_Components!$O$2:$O$27,MATCH(E999,Cost_Components!$A$2:$A$27,0)),"")</f>
        <v>Both</v>
      </c>
      <c r="AF999" s="11">
        <v>6093292.3803347498</v>
      </c>
      <c r="AG999" s="11">
        <v>6296431.30014503</v>
      </c>
      <c r="AH999" s="21">
        <f t="shared" si="159"/>
        <v>1</v>
      </c>
    </row>
    <row r="1000" spans="1:34" hidden="1">
      <c r="A1000" t="s">
        <v>75</v>
      </c>
      <c r="B1000" s="18">
        <v>2035</v>
      </c>
      <c r="C1000" t="s">
        <v>197</v>
      </c>
      <c r="D1000" t="s">
        <v>177</v>
      </c>
      <c r="E1000" s="20" t="s">
        <v>286</v>
      </c>
      <c r="F1000" s="20" t="s">
        <v>287</v>
      </c>
      <c r="G1000" s="20" t="s">
        <v>201</v>
      </c>
      <c r="H1000" s="20" t="s">
        <v>192</v>
      </c>
      <c r="I1000" s="20" t="s">
        <v>264</v>
      </c>
      <c r="J1000" s="15">
        <f>IFERROR(INDEX(Cost_Components!$K$2:$K$27,MATCH(E1000,Cost_Components!$A$2:$A$27,0)),"")</f>
        <v>0.2</v>
      </c>
      <c r="K1000" s="15">
        <f t="shared" si="150"/>
        <v>0.51730769230769236</v>
      </c>
      <c r="L1000" s="15">
        <f>IFERROR(INDEX(Cost_Components!$S$2:$S$27,MATCH(E1000,Cost_Components!$A$2:$A$27,0)),"")</f>
        <v>0.31</v>
      </c>
      <c r="M1000" s="26">
        <f>IFERROR(INDEX(Cost_Components!$L$2:$L$27,MATCH(E1000,Cost_Components!$A$2:$A$27,0)),"")</f>
        <v>1</v>
      </c>
      <c r="N1000" s="27">
        <f>IFERROR(INDEX(Cost_Components!$P$2:$P$27,MATCH(E1000,Cost_Components!$A$2:$A$27,0)),"")</f>
        <v>7</v>
      </c>
      <c r="O1000" s="21">
        <f t="shared" si="151"/>
        <v>1233236.080440694</v>
      </c>
      <c r="P1000" s="21">
        <f t="shared" si="152"/>
        <v>1281269.6540089762</v>
      </c>
      <c r="Q1000" s="21">
        <f t="shared" si="153"/>
        <v>2780355.1491994783</v>
      </c>
      <c r="R1000" s="21">
        <f t="shared" si="154"/>
        <v>4465737.5759035135</v>
      </c>
      <c r="S1000" s="21">
        <f t="shared" si="155"/>
        <v>1685382.4267040351</v>
      </c>
      <c r="T1000" s="14">
        <f>IFERROR(INDEX(Cost_Components!$R$2:$R$27,MATCH(E1000,Cost_Components!$A$2:$A$27,0)),"")</f>
        <v>1</v>
      </c>
      <c r="U1000" s="24">
        <f>IFERROR(INDEX(Cost_Components!$Q$2:$Q$27,MATCH(E1000,Cost_Components!$A$2:$A$27,0)),"")</f>
        <v>2023</v>
      </c>
      <c r="V1000" s="28">
        <f>1/(1+Calculation_Assumptions!$B$5)^(B1000-Calculation_Assumptions!$B$2)</f>
        <v>0.74409391489672516</v>
      </c>
      <c r="W1000" s="21">
        <f t="shared" si="156"/>
        <v>2068845.3477711082</v>
      </c>
      <c r="X1000" s="21">
        <f t="shared" si="157"/>
        <v>3322928.1557554565</v>
      </c>
      <c r="Y1000" s="21">
        <f t="shared" si="158"/>
        <v>1254082.8079843484</v>
      </c>
      <c r="Z1000" s="15">
        <f>IFERROR(INDEX(Cost_Components!$T$2:$T$27,MATCH(E1000,Cost_Components!$A$2:$A$27,0)),"")</f>
        <v>0.8</v>
      </c>
      <c r="AA1000" s="24">
        <f>IFERROR(INDEX(Cost_Components!$U$2:$U$27,MATCH(E1000,Cost_Components!$A$2:$A$27,0)),"")</f>
        <v>2025</v>
      </c>
      <c r="AB1000" s="24">
        <f>IFERROR(INDEX(Cost_Components!$V$2:$V$27,MATCH(E1000,Cost_Components!$A$2:$A$27,0)),"")</f>
        <v>2050</v>
      </c>
      <c r="AC1000" s="24">
        <f>IFERROR(INDEX(Cost_Components!$M$2:$M$27,MATCH(E1000,Cost_Components!$A$2:$A$27,0)),"")</f>
        <v>30</v>
      </c>
      <c r="AD1000" s="24">
        <f>IFERROR(INDEX(Cost_Components!$N$2:$N$27,MATCH(E1000,Cost_Components!$A$2:$A$27,0)),"")</f>
        <v>95</v>
      </c>
      <c r="AE1000" s="14" t="str">
        <f>IFERROR(INDEX(Cost_Components!$O$2:$O$27,MATCH(E1000,Cost_Components!$A$2:$A$27,0)),"")</f>
        <v>Both</v>
      </c>
      <c r="AF1000" s="11">
        <v>6166180.4022034695</v>
      </c>
      <c r="AG1000" s="11">
        <v>6406348.27004488</v>
      </c>
      <c r="AH1000" s="21">
        <f t="shared" si="159"/>
        <v>1</v>
      </c>
    </row>
    <row r="1001" spans="1:34" hidden="1">
      <c r="A1001" t="s">
        <v>75</v>
      </c>
      <c r="B1001" s="18">
        <v>2036</v>
      </c>
      <c r="C1001" t="s">
        <v>197</v>
      </c>
      <c r="D1001" t="s">
        <v>177</v>
      </c>
      <c r="E1001" s="20" t="s">
        <v>286</v>
      </c>
      <c r="F1001" s="20" t="s">
        <v>287</v>
      </c>
      <c r="G1001" s="20" t="s">
        <v>201</v>
      </c>
      <c r="H1001" s="20" t="s">
        <v>192</v>
      </c>
      <c r="I1001" s="20" t="s">
        <v>264</v>
      </c>
      <c r="J1001" s="15">
        <f>IFERROR(INDEX(Cost_Components!$K$2:$K$27,MATCH(E1001,Cost_Components!$A$2:$A$27,0)),"")</f>
        <v>0.2</v>
      </c>
      <c r="K1001" s="15">
        <f t="shared" si="150"/>
        <v>0.5361538461538462</v>
      </c>
      <c r="L1001" s="15">
        <f>IFERROR(INDEX(Cost_Components!$S$2:$S$27,MATCH(E1001,Cost_Components!$A$2:$A$27,0)),"")</f>
        <v>0.31</v>
      </c>
      <c r="M1001" s="26">
        <f>IFERROR(INDEX(Cost_Components!$L$2:$L$27,MATCH(E1001,Cost_Components!$A$2:$A$27,0)),"")</f>
        <v>1</v>
      </c>
      <c r="N1001" s="27">
        <f>IFERROR(INDEX(Cost_Components!$P$2:$P$27,MATCH(E1001,Cost_Components!$A$2:$A$27,0)),"")</f>
        <v>7</v>
      </c>
      <c r="O1001" s="21">
        <f t="shared" si="151"/>
        <v>1246870.8018026161</v>
      </c>
      <c r="P1001" s="21">
        <f t="shared" si="152"/>
        <v>1302779.9398582922</v>
      </c>
      <c r="Q1001" s="21">
        <f t="shared" si="153"/>
        <v>2827032.4694924941</v>
      </c>
      <c r="R1001" s="21">
        <f t="shared" si="154"/>
        <v>4679602.0323038185</v>
      </c>
      <c r="S1001" s="21">
        <f t="shared" si="155"/>
        <v>1852569.5628113244</v>
      </c>
      <c r="T1001" s="14">
        <f>IFERROR(INDEX(Cost_Components!$R$2:$R$27,MATCH(E1001,Cost_Components!$A$2:$A$27,0)),"")</f>
        <v>1</v>
      </c>
      <c r="U1001" s="24">
        <f>IFERROR(INDEX(Cost_Components!$Q$2:$Q$27,MATCH(E1001,Cost_Components!$A$2:$A$27,0)),"")</f>
        <v>2023</v>
      </c>
      <c r="V1001" s="28">
        <f>1/(1+Calculation_Assumptions!$B$5)^(B1001-Calculation_Assumptions!$B$2)</f>
        <v>0.72242127659876232</v>
      </c>
      <c r="W1001" s="21">
        <f t="shared" si="156"/>
        <v>2042308.4055969191</v>
      </c>
      <c r="X1001" s="21">
        <f t="shared" si="157"/>
        <v>3380644.0741510871</v>
      </c>
      <c r="Y1001" s="21">
        <f t="shared" si="158"/>
        <v>1338335.668554168</v>
      </c>
      <c r="Z1001" s="15">
        <f>IFERROR(INDEX(Cost_Components!$T$2:$T$27,MATCH(E1001,Cost_Components!$A$2:$A$27,0)),"")</f>
        <v>0.8</v>
      </c>
      <c r="AA1001" s="24">
        <f>IFERROR(INDEX(Cost_Components!$U$2:$U$27,MATCH(E1001,Cost_Components!$A$2:$A$27,0)),"")</f>
        <v>2025</v>
      </c>
      <c r="AB1001" s="24">
        <f>IFERROR(INDEX(Cost_Components!$V$2:$V$27,MATCH(E1001,Cost_Components!$A$2:$A$27,0)),"")</f>
        <v>2050</v>
      </c>
      <c r="AC1001" s="24">
        <f>IFERROR(INDEX(Cost_Components!$M$2:$M$27,MATCH(E1001,Cost_Components!$A$2:$A$27,0)),"")</f>
        <v>30</v>
      </c>
      <c r="AD1001" s="24">
        <f>IFERROR(INDEX(Cost_Components!$N$2:$N$27,MATCH(E1001,Cost_Components!$A$2:$A$27,0)),"")</f>
        <v>95</v>
      </c>
      <c r="AE1001" s="14" t="str">
        <f>IFERROR(INDEX(Cost_Components!$O$2:$O$27,MATCH(E1001,Cost_Components!$A$2:$A$27,0)),"")</f>
        <v>Both</v>
      </c>
      <c r="AF1001" s="11">
        <v>6234354.00901308</v>
      </c>
      <c r="AG1001" s="11">
        <v>6513899.6992914602</v>
      </c>
      <c r="AH1001" s="21">
        <f t="shared" si="159"/>
        <v>1</v>
      </c>
    </row>
    <row r="1002" spans="1:34" hidden="1">
      <c r="A1002" t="s">
        <v>75</v>
      </c>
      <c r="B1002" s="18">
        <v>2037</v>
      </c>
      <c r="C1002" t="s">
        <v>197</v>
      </c>
      <c r="D1002" t="s">
        <v>177</v>
      </c>
      <c r="E1002" s="20" t="s">
        <v>286</v>
      </c>
      <c r="F1002" s="20" t="s">
        <v>287</v>
      </c>
      <c r="G1002" s="20" t="s">
        <v>201</v>
      </c>
      <c r="H1002" s="20" t="s">
        <v>192</v>
      </c>
      <c r="I1002" s="20" t="s">
        <v>264</v>
      </c>
      <c r="J1002" s="15">
        <f>IFERROR(INDEX(Cost_Components!$K$2:$K$27,MATCH(E1002,Cost_Components!$A$2:$A$27,0)),"")</f>
        <v>0.2</v>
      </c>
      <c r="K1002" s="15">
        <f t="shared" si="150"/>
        <v>0.55500000000000005</v>
      </c>
      <c r="L1002" s="15">
        <f>IFERROR(INDEX(Cost_Components!$S$2:$S$27,MATCH(E1002,Cost_Components!$A$2:$A$27,0)),"")</f>
        <v>0.31</v>
      </c>
      <c r="M1002" s="26">
        <f>IFERROR(INDEX(Cost_Components!$L$2:$L$27,MATCH(E1002,Cost_Components!$A$2:$A$27,0)),"")</f>
        <v>1</v>
      </c>
      <c r="N1002" s="27">
        <f>IFERROR(INDEX(Cost_Components!$P$2:$P$27,MATCH(E1002,Cost_Components!$A$2:$A$27,0)),"")</f>
        <v>7</v>
      </c>
      <c r="O1002" s="21">
        <f t="shared" si="151"/>
        <v>1259561.6708776362</v>
      </c>
      <c r="P1002" s="21">
        <f t="shared" si="152"/>
        <v>1323777.749244608</v>
      </c>
      <c r="Q1002" s="21">
        <f t="shared" si="153"/>
        <v>2872597.7158607994</v>
      </c>
      <c r="R1002" s="21">
        <f t="shared" si="154"/>
        <v>4893397.0913596163</v>
      </c>
      <c r="S1002" s="21">
        <f t="shared" si="155"/>
        <v>2020799.3754988168</v>
      </c>
      <c r="T1002" s="14">
        <f>IFERROR(INDEX(Cost_Components!$R$2:$R$27,MATCH(E1002,Cost_Components!$A$2:$A$27,0)),"")</f>
        <v>1</v>
      </c>
      <c r="U1002" s="24">
        <f>IFERROR(INDEX(Cost_Components!$Q$2:$Q$27,MATCH(E1002,Cost_Components!$A$2:$A$27,0)),"")</f>
        <v>2023</v>
      </c>
      <c r="V1002" s="28">
        <f>1/(1+Calculation_Assumptions!$B$5)^(B1002-Calculation_Assumptions!$B$2)</f>
        <v>0.70137988019297326</v>
      </c>
      <c r="W1002" s="21">
        <f t="shared" si="156"/>
        <v>2014782.2417930563</v>
      </c>
      <c r="X1002" s="21">
        <f t="shared" si="157"/>
        <v>3432130.2656744514</v>
      </c>
      <c r="Y1002" s="21">
        <f t="shared" si="158"/>
        <v>1417348.0238813953</v>
      </c>
      <c r="Z1002" s="15">
        <f>IFERROR(INDEX(Cost_Components!$T$2:$T$27,MATCH(E1002,Cost_Components!$A$2:$A$27,0)),"")</f>
        <v>0.8</v>
      </c>
      <c r="AA1002" s="24">
        <f>IFERROR(INDEX(Cost_Components!$U$2:$U$27,MATCH(E1002,Cost_Components!$A$2:$A$27,0)),"")</f>
        <v>2025</v>
      </c>
      <c r="AB1002" s="24">
        <f>IFERROR(INDEX(Cost_Components!$V$2:$V$27,MATCH(E1002,Cost_Components!$A$2:$A$27,0)),"")</f>
        <v>2050</v>
      </c>
      <c r="AC1002" s="24">
        <f>IFERROR(INDEX(Cost_Components!$M$2:$M$27,MATCH(E1002,Cost_Components!$A$2:$A$27,0)),"")</f>
        <v>30</v>
      </c>
      <c r="AD1002" s="24">
        <f>IFERROR(INDEX(Cost_Components!$N$2:$N$27,MATCH(E1002,Cost_Components!$A$2:$A$27,0)),"")</f>
        <v>95</v>
      </c>
      <c r="AE1002" s="14" t="str">
        <f>IFERROR(INDEX(Cost_Components!$O$2:$O$27,MATCH(E1002,Cost_Components!$A$2:$A$27,0)),"")</f>
        <v>Both</v>
      </c>
      <c r="AF1002" s="11">
        <v>6297808.3543881802</v>
      </c>
      <c r="AG1002" s="11">
        <v>6618888.7462230399</v>
      </c>
      <c r="AH1002" s="21">
        <f t="shared" si="159"/>
        <v>1</v>
      </c>
    </row>
    <row r="1003" spans="1:34" hidden="1">
      <c r="A1003" t="s">
        <v>75</v>
      </c>
      <c r="B1003" s="18">
        <v>2038</v>
      </c>
      <c r="C1003" t="s">
        <v>197</v>
      </c>
      <c r="D1003" t="s">
        <v>177</v>
      </c>
      <c r="E1003" s="20" t="s">
        <v>286</v>
      </c>
      <c r="F1003" s="20" t="s">
        <v>287</v>
      </c>
      <c r="G1003" s="20" t="s">
        <v>201</v>
      </c>
      <c r="H1003" s="20" t="s">
        <v>192</v>
      </c>
      <c r="I1003" s="20" t="s">
        <v>264</v>
      </c>
      <c r="J1003" s="15">
        <f>IFERROR(INDEX(Cost_Components!$K$2:$K$27,MATCH(E1003,Cost_Components!$A$2:$A$27,0)),"")</f>
        <v>0.2</v>
      </c>
      <c r="K1003" s="15">
        <f t="shared" si="150"/>
        <v>0.57384615384615389</v>
      </c>
      <c r="L1003" s="15">
        <f>IFERROR(INDEX(Cost_Components!$S$2:$S$27,MATCH(E1003,Cost_Components!$A$2:$A$27,0)),"")</f>
        <v>0.31</v>
      </c>
      <c r="M1003" s="26">
        <f>IFERROR(INDEX(Cost_Components!$L$2:$L$27,MATCH(E1003,Cost_Components!$A$2:$A$27,0)),"")</f>
        <v>1</v>
      </c>
      <c r="N1003" s="27">
        <f>IFERROR(INDEX(Cost_Components!$P$2:$P$27,MATCH(E1003,Cost_Components!$A$2:$A$27,0)),"")</f>
        <v>7</v>
      </c>
      <c r="O1003" s="21">
        <f t="shared" si="151"/>
        <v>1271290.2622029502</v>
      </c>
      <c r="P1003" s="21">
        <f t="shared" si="152"/>
        <v>1344208.9517388882</v>
      </c>
      <c r="Q1003" s="21">
        <f t="shared" si="153"/>
        <v>2916933.4252733872</v>
      </c>
      <c r="R1003" s="21">
        <f t="shared" si="154"/>
        <v>5106675.1917106202</v>
      </c>
      <c r="S1003" s="21">
        <f t="shared" si="155"/>
        <v>2189741.766437233</v>
      </c>
      <c r="T1003" s="14">
        <f>IFERROR(INDEX(Cost_Components!$R$2:$R$27,MATCH(E1003,Cost_Components!$A$2:$A$27,0)),"")</f>
        <v>1</v>
      </c>
      <c r="U1003" s="24">
        <f>IFERROR(INDEX(Cost_Components!$Q$2:$Q$27,MATCH(E1003,Cost_Components!$A$2:$A$27,0)),"")</f>
        <v>2023</v>
      </c>
      <c r="V1003" s="28">
        <f>1/(1+Calculation_Assumptions!$B$5)^(B1003-Calculation_Assumptions!$B$2)</f>
        <v>0.68095133999317792</v>
      </c>
      <c r="W1003" s="21">
        <f t="shared" si="156"/>
        <v>1986289.7246108034</v>
      </c>
      <c r="X1003" s="21">
        <f t="shared" si="157"/>
        <v>3477397.3147052657</v>
      </c>
      <c r="Y1003" s="21">
        <f t="shared" si="158"/>
        <v>1491107.5900944623</v>
      </c>
      <c r="Z1003" s="15">
        <f>IFERROR(INDEX(Cost_Components!$T$2:$T$27,MATCH(E1003,Cost_Components!$A$2:$A$27,0)),"")</f>
        <v>0.8</v>
      </c>
      <c r="AA1003" s="24">
        <f>IFERROR(INDEX(Cost_Components!$U$2:$U$27,MATCH(E1003,Cost_Components!$A$2:$A$27,0)),"")</f>
        <v>2025</v>
      </c>
      <c r="AB1003" s="24">
        <f>IFERROR(INDEX(Cost_Components!$V$2:$V$27,MATCH(E1003,Cost_Components!$A$2:$A$27,0)),"")</f>
        <v>2050</v>
      </c>
      <c r="AC1003" s="24">
        <f>IFERROR(INDEX(Cost_Components!$M$2:$M$27,MATCH(E1003,Cost_Components!$A$2:$A$27,0)),"")</f>
        <v>30</v>
      </c>
      <c r="AD1003" s="24">
        <f>IFERROR(INDEX(Cost_Components!$N$2:$N$27,MATCH(E1003,Cost_Components!$A$2:$A$27,0)),"")</f>
        <v>95</v>
      </c>
      <c r="AE1003" s="14" t="str">
        <f>IFERROR(INDEX(Cost_Components!$O$2:$O$27,MATCH(E1003,Cost_Components!$A$2:$A$27,0)),"")</f>
        <v>Both</v>
      </c>
      <c r="AF1003" s="11">
        <v>6356451.31101475</v>
      </c>
      <c r="AG1003" s="11">
        <v>6721044.7586944401</v>
      </c>
      <c r="AH1003" s="21">
        <f t="shared" si="159"/>
        <v>1</v>
      </c>
    </row>
    <row r="1004" spans="1:34" hidden="1">
      <c r="A1004" t="s">
        <v>75</v>
      </c>
      <c r="B1004" s="18">
        <v>2039</v>
      </c>
      <c r="C1004" t="s">
        <v>197</v>
      </c>
      <c r="D1004" t="s">
        <v>177</v>
      </c>
      <c r="E1004" s="20" t="s">
        <v>286</v>
      </c>
      <c r="F1004" s="20" t="s">
        <v>287</v>
      </c>
      <c r="G1004" s="20" t="s">
        <v>201</v>
      </c>
      <c r="H1004" s="20" t="s">
        <v>192</v>
      </c>
      <c r="I1004" s="20" t="s">
        <v>264</v>
      </c>
      <c r="J1004" s="15">
        <f>IFERROR(INDEX(Cost_Components!$K$2:$K$27,MATCH(E1004,Cost_Components!$A$2:$A$27,0)),"")</f>
        <v>0.2</v>
      </c>
      <c r="K1004" s="15">
        <f t="shared" si="150"/>
        <v>0.59269230769230763</v>
      </c>
      <c r="L1004" s="15">
        <f>IFERROR(INDEX(Cost_Components!$S$2:$S$27,MATCH(E1004,Cost_Components!$A$2:$A$27,0)),"")</f>
        <v>0.31</v>
      </c>
      <c r="M1004" s="26">
        <f>IFERROR(INDEX(Cost_Components!$L$2:$L$27,MATCH(E1004,Cost_Components!$A$2:$A$27,0)),"")</f>
        <v>1</v>
      </c>
      <c r="N1004" s="27">
        <f>IFERROR(INDEX(Cost_Components!$P$2:$P$27,MATCH(E1004,Cost_Components!$A$2:$A$27,0)),"")</f>
        <v>7</v>
      </c>
      <c r="O1004" s="21">
        <f t="shared" si="151"/>
        <v>1282062.72598862</v>
      </c>
      <c r="P1004" s="21">
        <f t="shared" si="152"/>
        <v>1364046.9820496221</v>
      </c>
      <c r="Q1004" s="21">
        <f t="shared" si="153"/>
        <v>2959981.9510476799</v>
      </c>
      <c r="R1004" s="21">
        <f t="shared" si="154"/>
        <v>5319081.0097074015</v>
      </c>
      <c r="S1004" s="21">
        <f t="shared" si="155"/>
        <v>2359099.0586597216</v>
      </c>
      <c r="T1004" s="14">
        <f>IFERROR(INDEX(Cost_Components!$R$2:$R$27,MATCH(E1004,Cost_Components!$A$2:$A$27,0)),"")</f>
        <v>1</v>
      </c>
      <c r="U1004" s="24">
        <f>IFERROR(INDEX(Cost_Components!$Q$2:$Q$27,MATCH(E1004,Cost_Components!$A$2:$A$27,0)),"")</f>
        <v>2023</v>
      </c>
      <c r="V1004" s="28">
        <f>1/(1+Calculation_Assumptions!$B$5)^(B1004-Calculation_Assumptions!$B$2)</f>
        <v>0.66111780581861923</v>
      </c>
      <c r="W1004" s="21">
        <f t="shared" si="156"/>
        <v>1956896.7727393578</v>
      </c>
      <c r="X1004" s="21">
        <f t="shared" si="157"/>
        <v>3516539.1661092429</v>
      </c>
      <c r="Y1004" s="21">
        <f t="shared" si="158"/>
        <v>1559642.3933698852</v>
      </c>
      <c r="Z1004" s="15">
        <f>IFERROR(INDEX(Cost_Components!$T$2:$T$27,MATCH(E1004,Cost_Components!$A$2:$A$27,0)),"")</f>
        <v>0.8</v>
      </c>
      <c r="AA1004" s="24">
        <f>IFERROR(INDEX(Cost_Components!$U$2:$U$27,MATCH(E1004,Cost_Components!$A$2:$A$27,0)),"")</f>
        <v>2025</v>
      </c>
      <c r="AB1004" s="24">
        <f>IFERROR(INDEX(Cost_Components!$V$2:$V$27,MATCH(E1004,Cost_Components!$A$2:$A$27,0)),"")</f>
        <v>2050</v>
      </c>
      <c r="AC1004" s="24">
        <f>IFERROR(INDEX(Cost_Components!$M$2:$M$27,MATCH(E1004,Cost_Components!$A$2:$A$27,0)),"")</f>
        <v>30</v>
      </c>
      <c r="AD1004" s="24">
        <f>IFERROR(INDEX(Cost_Components!$N$2:$N$27,MATCH(E1004,Cost_Components!$A$2:$A$27,0)),"")</f>
        <v>95</v>
      </c>
      <c r="AE1004" s="14" t="str">
        <f>IFERROR(INDEX(Cost_Components!$O$2:$O$27,MATCH(E1004,Cost_Components!$A$2:$A$27,0)),"")</f>
        <v>Both</v>
      </c>
      <c r="AF1004" s="11">
        <v>6410313.6299430998</v>
      </c>
      <c r="AG1004" s="11">
        <v>6820234.9102481101</v>
      </c>
      <c r="AH1004" s="21">
        <f t="shared" si="159"/>
        <v>1</v>
      </c>
    </row>
    <row r="1005" spans="1:34" hidden="1">
      <c r="A1005" t="s">
        <v>75</v>
      </c>
      <c r="B1005" s="18">
        <v>2040</v>
      </c>
      <c r="C1005" t="s">
        <v>197</v>
      </c>
      <c r="D1005" t="s">
        <v>177</v>
      </c>
      <c r="E1005" s="20" t="s">
        <v>286</v>
      </c>
      <c r="F1005" s="20" t="s">
        <v>287</v>
      </c>
      <c r="G1005" s="20" t="s">
        <v>201</v>
      </c>
      <c r="H1005" s="20" t="s">
        <v>192</v>
      </c>
      <c r="I1005" s="20" t="s">
        <v>264</v>
      </c>
      <c r="J1005" s="15">
        <f>IFERROR(INDEX(Cost_Components!$K$2:$K$27,MATCH(E1005,Cost_Components!$A$2:$A$27,0)),"")</f>
        <v>0.2</v>
      </c>
      <c r="K1005" s="15">
        <f t="shared" si="150"/>
        <v>0.61153846153846159</v>
      </c>
      <c r="L1005" s="15">
        <f>IFERROR(INDEX(Cost_Components!$S$2:$S$27,MATCH(E1005,Cost_Components!$A$2:$A$27,0)),"")</f>
        <v>0.31</v>
      </c>
      <c r="M1005" s="26">
        <f>IFERROR(INDEX(Cost_Components!$L$2:$L$27,MATCH(E1005,Cost_Components!$A$2:$A$27,0)),"")</f>
        <v>1</v>
      </c>
      <c r="N1005" s="27">
        <f>IFERROR(INDEX(Cost_Components!$P$2:$P$27,MATCH(E1005,Cost_Components!$A$2:$A$27,0)),"")</f>
        <v>7</v>
      </c>
      <c r="O1005" s="21">
        <f t="shared" si="151"/>
        <v>1291940.7188670242</v>
      </c>
      <c r="P1005" s="21">
        <f t="shared" si="152"/>
        <v>1383317.9406127601</v>
      </c>
      <c r="Q1005" s="21">
        <f t="shared" si="153"/>
        <v>3001799.9311296893</v>
      </c>
      <c r="R1005" s="21">
        <f t="shared" si="154"/>
        <v>5530500.077303838</v>
      </c>
      <c r="S1005" s="21">
        <f t="shared" si="155"/>
        <v>2528700.1461741487</v>
      </c>
      <c r="T1005" s="14">
        <f>IFERROR(INDEX(Cost_Components!$R$2:$R$27,MATCH(E1005,Cost_Components!$A$2:$A$27,0)),"")</f>
        <v>1</v>
      </c>
      <c r="U1005" s="24">
        <f>IFERROR(INDEX(Cost_Components!$Q$2:$Q$27,MATCH(E1005,Cost_Components!$A$2:$A$27,0)),"")</f>
        <v>2023</v>
      </c>
      <c r="V1005" s="28">
        <f>1/(1+Calculation_Assumptions!$B$5)^(B1005-Calculation_Assumptions!$B$2)</f>
        <v>0.64186194739671765</v>
      </c>
      <c r="W1005" s="21">
        <f t="shared" si="156"/>
        <v>1926741.1494902354</v>
      </c>
      <c r="X1005" s="21">
        <f t="shared" si="157"/>
        <v>3549817.5496959388</v>
      </c>
      <c r="Y1005" s="21">
        <f t="shared" si="158"/>
        <v>1623076.4002057037</v>
      </c>
      <c r="Z1005" s="15">
        <f>IFERROR(INDEX(Cost_Components!$T$2:$T$27,MATCH(E1005,Cost_Components!$A$2:$A$27,0)),"")</f>
        <v>0.8</v>
      </c>
      <c r="AA1005" s="24">
        <f>IFERROR(INDEX(Cost_Components!$U$2:$U$27,MATCH(E1005,Cost_Components!$A$2:$A$27,0)),"")</f>
        <v>2025</v>
      </c>
      <c r="AB1005" s="24">
        <f>IFERROR(INDEX(Cost_Components!$V$2:$V$27,MATCH(E1005,Cost_Components!$A$2:$A$27,0)),"")</f>
        <v>2050</v>
      </c>
      <c r="AC1005" s="24">
        <f>IFERROR(INDEX(Cost_Components!$M$2:$M$27,MATCH(E1005,Cost_Components!$A$2:$A$27,0)),"")</f>
        <v>30</v>
      </c>
      <c r="AD1005" s="24">
        <f>IFERROR(INDEX(Cost_Components!$N$2:$N$27,MATCH(E1005,Cost_Components!$A$2:$A$27,0)),"")</f>
        <v>95</v>
      </c>
      <c r="AE1005" s="14" t="str">
        <f>IFERROR(INDEX(Cost_Components!$O$2:$O$27,MATCH(E1005,Cost_Components!$A$2:$A$27,0)),"")</f>
        <v>Both</v>
      </c>
      <c r="AF1005" s="11">
        <v>6459703.5943351202</v>
      </c>
      <c r="AG1005" s="11">
        <v>6916589.7030638</v>
      </c>
      <c r="AH1005" s="21">
        <f t="shared" si="159"/>
        <v>1</v>
      </c>
    </row>
    <row r="1006" spans="1:34" hidden="1">
      <c r="A1006" t="s">
        <v>75</v>
      </c>
      <c r="B1006" s="18">
        <v>2041</v>
      </c>
      <c r="C1006" t="s">
        <v>197</v>
      </c>
      <c r="D1006" t="s">
        <v>177</v>
      </c>
      <c r="E1006" s="20" t="s">
        <v>286</v>
      </c>
      <c r="F1006" s="20" t="s">
        <v>287</v>
      </c>
      <c r="G1006" s="20" t="s">
        <v>201</v>
      </c>
      <c r="H1006" s="20" t="s">
        <v>192</v>
      </c>
      <c r="I1006" s="20" t="s">
        <v>264</v>
      </c>
      <c r="J1006" s="15">
        <f>IFERROR(INDEX(Cost_Components!$K$2:$K$27,MATCH(E1006,Cost_Components!$A$2:$A$27,0)),"")</f>
        <v>0.2</v>
      </c>
      <c r="K1006" s="15">
        <f t="shared" si="150"/>
        <v>0.63038461538461543</v>
      </c>
      <c r="L1006" s="15">
        <f>IFERROR(INDEX(Cost_Components!$S$2:$S$27,MATCH(E1006,Cost_Components!$A$2:$A$27,0)),"")</f>
        <v>0.31</v>
      </c>
      <c r="M1006" s="26">
        <f>IFERROR(INDEX(Cost_Components!$L$2:$L$27,MATCH(E1006,Cost_Components!$A$2:$A$27,0)),"")</f>
        <v>1</v>
      </c>
      <c r="N1006" s="27">
        <f>IFERROR(INDEX(Cost_Components!$P$2:$P$27,MATCH(E1006,Cost_Components!$A$2:$A$27,0)),"")</f>
        <v>7</v>
      </c>
      <c r="O1006" s="21">
        <f t="shared" si="151"/>
        <v>1300988.615980316</v>
      </c>
      <c r="P1006" s="21">
        <f t="shared" si="152"/>
        <v>1402050.6689237403</v>
      </c>
      <c r="Q1006" s="21">
        <f t="shared" si="153"/>
        <v>3042449.9515645164</v>
      </c>
      <c r="R1006" s="21">
        <f t="shared" si="154"/>
        <v>5740862.458131602</v>
      </c>
      <c r="S1006" s="21">
        <f t="shared" si="155"/>
        <v>2698412.5065670856</v>
      </c>
      <c r="T1006" s="14">
        <f>IFERROR(INDEX(Cost_Components!$R$2:$R$27,MATCH(E1006,Cost_Components!$A$2:$A$27,0)),"")</f>
        <v>1</v>
      </c>
      <c r="U1006" s="24">
        <f>IFERROR(INDEX(Cost_Components!$Q$2:$Q$27,MATCH(E1006,Cost_Components!$A$2:$A$27,0)),"")</f>
        <v>2023</v>
      </c>
      <c r="V1006" s="28">
        <f>1/(1+Calculation_Assumptions!$B$5)^(B1006-Calculation_Assumptions!$B$2)</f>
        <v>0.62316693922011435</v>
      </c>
      <c r="W1006" s="21">
        <f t="shared" si="156"/>
        <v>1895954.2240468448</v>
      </c>
      <c r="X1006" s="21">
        <f t="shared" si="157"/>
        <v>3577515.6865175324</v>
      </c>
      <c r="Y1006" s="21">
        <f t="shared" si="158"/>
        <v>1681561.4624706875</v>
      </c>
      <c r="Z1006" s="15">
        <f>IFERROR(INDEX(Cost_Components!$T$2:$T$27,MATCH(E1006,Cost_Components!$A$2:$A$27,0)),"")</f>
        <v>0.8</v>
      </c>
      <c r="AA1006" s="24">
        <f>IFERROR(INDEX(Cost_Components!$U$2:$U$27,MATCH(E1006,Cost_Components!$A$2:$A$27,0)),"")</f>
        <v>2025</v>
      </c>
      <c r="AB1006" s="24">
        <f>IFERROR(INDEX(Cost_Components!$V$2:$V$27,MATCH(E1006,Cost_Components!$A$2:$A$27,0)),"")</f>
        <v>2050</v>
      </c>
      <c r="AC1006" s="24">
        <f>IFERROR(INDEX(Cost_Components!$M$2:$M$27,MATCH(E1006,Cost_Components!$A$2:$A$27,0)),"")</f>
        <v>30</v>
      </c>
      <c r="AD1006" s="24">
        <f>IFERROR(INDEX(Cost_Components!$N$2:$N$27,MATCH(E1006,Cost_Components!$A$2:$A$27,0)),"")</f>
        <v>95</v>
      </c>
      <c r="AE1006" s="14" t="str">
        <f>IFERROR(INDEX(Cost_Components!$O$2:$O$27,MATCH(E1006,Cost_Components!$A$2:$A$27,0)),"")</f>
        <v>Both</v>
      </c>
      <c r="AF1006" s="11">
        <v>6504943.0799015798</v>
      </c>
      <c r="AG1006" s="11">
        <v>7010253.3446187004</v>
      </c>
      <c r="AH1006" s="21">
        <f t="shared" si="159"/>
        <v>1</v>
      </c>
    </row>
    <row r="1007" spans="1:34" hidden="1">
      <c r="A1007" t="s">
        <v>75</v>
      </c>
      <c r="B1007" s="18">
        <v>2042</v>
      </c>
      <c r="C1007" t="s">
        <v>197</v>
      </c>
      <c r="D1007" t="s">
        <v>177</v>
      </c>
      <c r="E1007" s="20" t="s">
        <v>286</v>
      </c>
      <c r="F1007" s="20" t="s">
        <v>287</v>
      </c>
      <c r="G1007" s="20" t="s">
        <v>201</v>
      </c>
      <c r="H1007" s="20" t="s">
        <v>192</v>
      </c>
      <c r="I1007" s="20" t="s">
        <v>264</v>
      </c>
      <c r="J1007" s="15">
        <f>IFERROR(INDEX(Cost_Components!$K$2:$K$27,MATCH(E1007,Cost_Components!$A$2:$A$27,0)),"")</f>
        <v>0.2</v>
      </c>
      <c r="K1007" s="15">
        <f t="shared" si="150"/>
        <v>0.64923076923076928</v>
      </c>
      <c r="L1007" s="15">
        <f>IFERROR(INDEX(Cost_Components!$S$2:$S$27,MATCH(E1007,Cost_Components!$A$2:$A$27,0)),"")</f>
        <v>0.31</v>
      </c>
      <c r="M1007" s="26">
        <f>IFERROR(INDEX(Cost_Components!$L$2:$L$27,MATCH(E1007,Cost_Components!$A$2:$A$27,0)),"")</f>
        <v>1</v>
      </c>
      <c r="N1007" s="27">
        <f>IFERROR(INDEX(Cost_Components!$P$2:$P$27,MATCH(E1007,Cost_Components!$A$2:$A$27,0)),"")</f>
        <v>7</v>
      </c>
      <c r="O1007" s="21">
        <f t="shared" si="151"/>
        <v>1309213.1132123861</v>
      </c>
      <c r="P1007" s="21">
        <f t="shared" si="152"/>
        <v>1420218.8079404521</v>
      </c>
      <c r="Q1007" s="21">
        <f t="shared" si="153"/>
        <v>3081874.8132307809</v>
      </c>
      <c r="R1007" s="21">
        <f t="shared" si="154"/>
        <v>5949870.0560452137</v>
      </c>
      <c r="S1007" s="21">
        <f t="shared" si="155"/>
        <v>2867995.2428144328</v>
      </c>
      <c r="T1007" s="14">
        <f>IFERROR(INDEX(Cost_Components!$R$2:$R$27,MATCH(E1007,Cost_Components!$A$2:$A$27,0)),"")</f>
        <v>1</v>
      </c>
      <c r="U1007" s="24">
        <f>IFERROR(INDEX(Cost_Components!$Q$2:$Q$27,MATCH(E1007,Cost_Components!$A$2:$A$27,0)),"")</f>
        <v>2023</v>
      </c>
      <c r="V1007" s="28">
        <f>1/(1+Calculation_Assumptions!$B$5)^(B1007-Calculation_Assumptions!$B$2)</f>
        <v>0.60501644584477121</v>
      </c>
      <c r="W1007" s="21">
        <f t="shared" si="156"/>
        <v>1864584.9460394052</v>
      </c>
      <c r="X1007" s="21">
        <f t="shared" si="157"/>
        <v>3599769.2345467047</v>
      </c>
      <c r="Y1007" s="21">
        <f t="shared" si="158"/>
        <v>1735184.2885072997</v>
      </c>
      <c r="Z1007" s="15">
        <f>IFERROR(INDEX(Cost_Components!$T$2:$T$27,MATCH(E1007,Cost_Components!$A$2:$A$27,0)),"")</f>
        <v>0.8</v>
      </c>
      <c r="AA1007" s="24">
        <f>IFERROR(INDEX(Cost_Components!$U$2:$U$27,MATCH(E1007,Cost_Components!$A$2:$A$27,0)),"")</f>
        <v>2025</v>
      </c>
      <c r="AB1007" s="24">
        <f>IFERROR(INDEX(Cost_Components!$V$2:$V$27,MATCH(E1007,Cost_Components!$A$2:$A$27,0)),"")</f>
        <v>2050</v>
      </c>
      <c r="AC1007" s="24">
        <f>IFERROR(INDEX(Cost_Components!$M$2:$M$27,MATCH(E1007,Cost_Components!$A$2:$A$27,0)),"")</f>
        <v>30</v>
      </c>
      <c r="AD1007" s="24">
        <f>IFERROR(INDEX(Cost_Components!$N$2:$N$27,MATCH(E1007,Cost_Components!$A$2:$A$27,0)),"")</f>
        <v>95</v>
      </c>
      <c r="AE1007" s="14" t="str">
        <f>IFERROR(INDEX(Cost_Components!$O$2:$O$27,MATCH(E1007,Cost_Components!$A$2:$A$27,0)),"")</f>
        <v>Both</v>
      </c>
      <c r="AF1007" s="11">
        <v>6546065.5660619298</v>
      </c>
      <c r="AG1007" s="11">
        <v>7101094.0397022599</v>
      </c>
      <c r="AH1007" s="21">
        <f t="shared" si="159"/>
        <v>1</v>
      </c>
    </row>
    <row r="1008" spans="1:34" hidden="1">
      <c r="A1008" t="s">
        <v>75</v>
      </c>
      <c r="B1008" s="18">
        <v>2043</v>
      </c>
      <c r="C1008" t="s">
        <v>197</v>
      </c>
      <c r="D1008" t="s">
        <v>177</v>
      </c>
      <c r="E1008" s="20" t="s">
        <v>286</v>
      </c>
      <c r="F1008" s="20" t="s">
        <v>287</v>
      </c>
      <c r="G1008" s="20" t="s">
        <v>201</v>
      </c>
      <c r="H1008" s="20" t="s">
        <v>192</v>
      </c>
      <c r="I1008" s="20" t="s">
        <v>264</v>
      </c>
      <c r="J1008" s="15">
        <f>IFERROR(INDEX(Cost_Components!$K$2:$K$27,MATCH(E1008,Cost_Components!$A$2:$A$27,0)),"")</f>
        <v>0.2</v>
      </c>
      <c r="K1008" s="15">
        <f t="shared" si="150"/>
        <v>0.66807692307692301</v>
      </c>
      <c r="L1008" s="15">
        <f>IFERROR(INDEX(Cost_Components!$S$2:$S$27,MATCH(E1008,Cost_Components!$A$2:$A$27,0)),"")</f>
        <v>0.31</v>
      </c>
      <c r="M1008" s="26">
        <f>IFERROR(INDEX(Cost_Components!$L$2:$L$27,MATCH(E1008,Cost_Components!$A$2:$A$27,0)),"")</f>
        <v>1</v>
      </c>
      <c r="N1008" s="27">
        <f>IFERROR(INDEX(Cost_Components!$P$2:$P$27,MATCH(E1008,Cost_Components!$A$2:$A$27,0)),"")</f>
        <v>7</v>
      </c>
      <c r="O1008" s="21">
        <f t="shared" si="151"/>
        <v>1316511.00272539</v>
      </c>
      <c r="P1008" s="21">
        <f t="shared" si="152"/>
        <v>1437690.5460530601</v>
      </c>
      <c r="Q1008" s="21">
        <f t="shared" si="153"/>
        <v>3119788.4849351402</v>
      </c>
      <c r="R1008" s="21">
        <f t="shared" si="154"/>
        <v>6156714.3392838519</v>
      </c>
      <c r="S1008" s="21">
        <f t="shared" si="155"/>
        <v>3036925.8543487117</v>
      </c>
      <c r="T1008" s="14">
        <f>IFERROR(INDEX(Cost_Components!$R$2:$R$27,MATCH(E1008,Cost_Components!$A$2:$A$27,0)),"")</f>
        <v>1</v>
      </c>
      <c r="U1008" s="24">
        <f>IFERROR(INDEX(Cost_Components!$Q$2:$Q$27,MATCH(E1008,Cost_Components!$A$2:$A$27,0)),"")</f>
        <v>2023</v>
      </c>
      <c r="V1008" s="28">
        <f>1/(1+Calculation_Assumptions!$B$5)^(B1008-Calculation_Assumptions!$B$2)</f>
        <v>0.5873946076162827</v>
      </c>
      <c r="W1008" s="21">
        <f t="shared" si="156"/>
        <v>1832546.9329542739</v>
      </c>
      <c r="X1008" s="21">
        <f t="shared" si="157"/>
        <v>3616420.8035291792</v>
      </c>
      <c r="Y1008" s="21">
        <f t="shared" si="158"/>
        <v>1783873.8705749055</v>
      </c>
      <c r="Z1008" s="15">
        <f>IFERROR(INDEX(Cost_Components!$T$2:$T$27,MATCH(E1008,Cost_Components!$A$2:$A$27,0)),"")</f>
        <v>0.8</v>
      </c>
      <c r="AA1008" s="24">
        <f>IFERROR(INDEX(Cost_Components!$U$2:$U$27,MATCH(E1008,Cost_Components!$A$2:$A$27,0)),"")</f>
        <v>2025</v>
      </c>
      <c r="AB1008" s="24">
        <f>IFERROR(INDEX(Cost_Components!$V$2:$V$27,MATCH(E1008,Cost_Components!$A$2:$A$27,0)),"")</f>
        <v>2050</v>
      </c>
      <c r="AC1008" s="24">
        <f>IFERROR(INDEX(Cost_Components!$M$2:$M$27,MATCH(E1008,Cost_Components!$A$2:$A$27,0)),"")</f>
        <v>30</v>
      </c>
      <c r="AD1008" s="24">
        <f>IFERROR(INDEX(Cost_Components!$N$2:$N$27,MATCH(E1008,Cost_Components!$A$2:$A$27,0)),"")</f>
        <v>95</v>
      </c>
      <c r="AE1008" s="14" t="str">
        <f>IFERROR(INDEX(Cost_Components!$O$2:$O$27,MATCH(E1008,Cost_Components!$A$2:$A$27,0)),"")</f>
        <v>Both</v>
      </c>
      <c r="AF1008" s="11">
        <v>6582555.0136269499</v>
      </c>
      <c r="AG1008" s="11">
        <v>7188452.7302652998</v>
      </c>
      <c r="AH1008" s="21">
        <f t="shared" si="159"/>
        <v>1</v>
      </c>
    </row>
    <row r="1009" spans="1:34" hidden="1">
      <c r="A1009" t="s">
        <v>75</v>
      </c>
      <c r="B1009" s="18">
        <v>2044</v>
      </c>
      <c r="C1009" t="s">
        <v>197</v>
      </c>
      <c r="D1009" t="s">
        <v>177</v>
      </c>
      <c r="E1009" s="20" t="s">
        <v>286</v>
      </c>
      <c r="F1009" s="20" t="s">
        <v>287</v>
      </c>
      <c r="G1009" s="20" t="s">
        <v>201</v>
      </c>
      <c r="H1009" s="20" t="s">
        <v>192</v>
      </c>
      <c r="I1009" s="20" t="s">
        <v>264</v>
      </c>
      <c r="J1009" s="15">
        <f>IFERROR(INDEX(Cost_Components!$K$2:$K$27,MATCH(E1009,Cost_Components!$A$2:$A$27,0)),"")</f>
        <v>0.2</v>
      </c>
      <c r="K1009" s="15">
        <f t="shared" si="150"/>
        <v>0.68692307692307697</v>
      </c>
      <c r="L1009" s="15">
        <f>IFERROR(INDEX(Cost_Components!$S$2:$S$27,MATCH(E1009,Cost_Components!$A$2:$A$27,0)),"")</f>
        <v>0.31</v>
      </c>
      <c r="M1009" s="26">
        <f>IFERROR(INDEX(Cost_Components!$L$2:$L$27,MATCH(E1009,Cost_Components!$A$2:$A$27,0)),"")</f>
        <v>1</v>
      </c>
      <c r="N1009" s="27">
        <f>IFERROR(INDEX(Cost_Components!$P$2:$P$27,MATCH(E1009,Cost_Components!$A$2:$A$27,0)),"")</f>
        <v>7</v>
      </c>
      <c r="O1009" s="21">
        <f t="shared" si="151"/>
        <v>1322876.1279836821</v>
      </c>
      <c r="P1009" s="21">
        <f t="shared" si="152"/>
        <v>1454435.2716829921</v>
      </c>
      <c r="Q1009" s="21">
        <f t="shared" si="153"/>
        <v>3156124.5395520926</v>
      </c>
      <c r="R1009" s="21">
        <f t="shared" si="154"/>
        <v>6360998.9815584598</v>
      </c>
      <c r="S1009" s="21">
        <f t="shared" si="155"/>
        <v>3204874.4420063673</v>
      </c>
      <c r="T1009" s="14">
        <f>IFERROR(INDEX(Cost_Components!$R$2:$R$27,MATCH(E1009,Cost_Components!$A$2:$A$27,0)),"")</f>
        <v>1</v>
      </c>
      <c r="U1009" s="24">
        <f>IFERROR(INDEX(Cost_Components!$Q$2:$Q$27,MATCH(E1009,Cost_Components!$A$2:$A$27,0)),"")</f>
        <v>2023</v>
      </c>
      <c r="V1009" s="28">
        <f>1/(1+Calculation_Assumptions!$B$5)^(B1009-Calculation_Assumptions!$B$2)</f>
        <v>0.57028602681192497</v>
      </c>
      <c r="W1009" s="21">
        <f t="shared" si="156"/>
        <v>1799893.723784779</v>
      </c>
      <c r="X1009" s="21">
        <f t="shared" si="157"/>
        <v>3627588.835747675</v>
      </c>
      <c r="Y1009" s="21">
        <f t="shared" si="158"/>
        <v>1827695.1119628963</v>
      </c>
      <c r="Z1009" s="15">
        <f>IFERROR(INDEX(Cost_Components!$T$2:$T$27,MATCH(E1009,Cost_Components!$A$2:$A$27,0)),"")</f>
        <v>0.8</v>
      </c>
      <c r="AA1009" s="24">
        <f>IFERROR(INDEX(Cost_Components!$U$2:$U$27,MATCH(E1009,Cost_Components!$A$2:$A$27,0)),"")</f>
        <v>2025</v>
      </c>
      <c r="AB1009" s="24">
        <f>IFERROR(INDEX(Cost_Components!$V$2:$V$27,MATCH(E1009,Cost_Components!$A$2:$A$27,0)),"")</f>
        <v>2050</v>
      </c>
      <c r="AC1009" s="24">
        <f>IFERROR(INDEX(Cost_Components!$M$2:$M$27,MATCH(E1009,Cost_Components!$A$2:$A$27,0)),"")</f>
        <v>30</v>
      </c>
      <c r="AD1009" s="24">
        <f>IFERROR(INDEX(Cost_Components!$N$2:$N$27,MATCH(E1009,Cost_Components!$A$2:$A$27,0)),"")</f>
        <v>95</v>
      </c>
      <c r="AE1009" s="14" t="str">
        <f>IFERROR(INDEX(Cost_Components!$O$2:$O$27,MATCH(E1009,Cost_Components!$A$2:$A$27,0)),"")</f>
        <v>Both</v>
      </c>
      <c r="AF1009" s="11">
        <v>6614380.6399184102</v>
      </c>
      <c r="AG1009" s="11">
        <v>7272176.3584149601</v>
      </c>
      <c r="AH1009" s="21">
        <f t="shared" si="159"/>
        <v>1</v>
      </c>
    </row>
    <row r="1010" spans="1:34" hidden="1">
      <c r="A1010" t="s">
        <v>75</v>
      </c>
      <c r="B1010" s="18">
        <v>2045</v>
      </c>
      <c r="C1010" t="s">
        <v>197</v>
      </c>
      <c r="D1010" t="s">
        <v>177</v>
      </c>
      <c r="E1010" s="20" t="s">
        <v>286</v>
      </c>
      <c r="F1010" s="20" t="s">
        <v>287</v>
      </c>
      <c r="G1010" s="20" t="s">
        <v>201</v>
      </c>
      <c r="H1010" s="20" t="s">
        <v>192</v>
      </c>
      <c r="I1010" s="20" t="s">
        <v>264</v>
      </c>
      <c r="J1010" s="15">
        <f>IFERROR(INDEX(Cost_Components!$K$2:$K$27,MATCH(E1010,Cost_Components!$A$2:$A$27,0)),"")</f>
        <v>0.2</v>
      </c>
      <c r="K1010" s="15">
        <f t="shared" si="150"/>
        <v>0.70576923076923082</v>
      </c>
      <c r="L1010" s="15">
        <f>IFERROR(INDEX(Cost_Components!$S$2:$S$27,MATCH(E1010,Cost_Components!$A$2:$A$27,0)),"")</f>
        <v>0.31</v>
      </c>
      <c r="M1010" s="26">
        <f>IFERROR(INDEX(Cost_Components!$L$2:$L$27,MATCH(E1010,Cost_Components!$A$2:$A$27,0)),"")</f>
        <v>1</v>
      </c>
      <c r="N1010" s="27">
        <f>IFERROR(INDEX(Cost_Components!$P$2:$P$27,MATCH(E1010,Cost_Components!$A$2:$A$27,0)),"")</f>
        <v>7</v>
      </c>
      <c r="O1010" s="21">
        <f t="shared" si="151"/>
        <v>1328384.4569700062</v>
      </c>
      <c r="P1010" s="21">
        <f t="shared" si="152"/>
        <v>1470508.2374509983</v>
      </c>
      <c r="Q1010" s="21">
        <f t="shared" si="153"/>
        <v>3191002.8752686665</v>
      </c>
      <c r="R1010" s="21">
        <f t="shared" si="154"/>
        <v>6562730.1345306654</v>
      </c>
      <c r="S1010" s="21">
        <f t="shared" si="155"/>
        <v>3371727.2592619988</v>
      </c>
      <c r="T1010" s="14">
        <f>IFERROR(INDEX(Cost_Components!$R$2:$R$27,MATCH(E1010,Cost_Components!$A$2:$A$27,0)),"")</f>
        <v>1</v>
      </c>
      <c r="U1010" s="24">
        <f>IFERROR(INDEX(Cost_Components!$Q$2:$Q$27,MATCH(E1010,Cost_Components!$A$2:$A$27,0)),"")</f>
        <v>2023</v>
      </c>
      <c r="V1010" s="28">
        <f>1/(1+Calculation_Assumptions!$B$5)^(B1010-Calculation_Assumptions!$B$2)</f>
        <v>0.55367575418633497</v>
      </c>
      <c r="W1010" s="21">
        <f t="shared" si="156"/>
        <v>1766780.9235751424</v>
      </c>
      <c r="X1010" s="21">
        <f t="shared" si="157"/>
        <v>3633624.5567576536</v>
      </c>
      <c r="Y1010" s="21">
        <f t="shared" si="158"/>
        <v>1866843.6331825114</v>
      </c>
      <c r="Z1010" s="15">
        <f>IFERROR(INDEX(Cost_Components!$T$2:$T$27,MATCH(E1010,Cost_Components!$A$2:$A$27,0)),"")</f>
        <v>0.8</v>
      </c>
      <c r="AA1010" s="24">
        <f>IFERROR(INDEX(Cost_Components!$U$2:$U$27,MATCH(E1010,Cost_Components!$A$2:$A$27,0)),"")</f>
        <v>2025</v>
      </c>
      <c r="AB1010" s="24">
        <f>IFERROR(INDEX(Cost_Components!$V$2:$V$27,MATCH(E1010,Cost_Components!$A$2:$A$27,0)),"")</f>
        <v>2050</v>
      </c>
      <c r="AC1010" s="24">
        <f>IFERROR(INDEX(Cost_Components!$M$2:$M$27,MATCH(E1010,Cost_Components!$A$2:$A$27,0)),"")</f>
        <v>30</v>
      </c>
      <c r="AD1010" s="24">
        <f>IFERROR(INDEX(Cost_Components!$N$2:$N$27,MATCH(E1010,Cost_Components!$A$2:$A$27,0)),"")</f>
        <v>95</v>
      </c>
      <c r="AE1010" s="14" t="str">
        <f>IFERROR(INDEX(Cost_Components!$O$2:$O$27,MATCH(E1010,Cost_Components!$A$2:$A$27,0)),"")</f>
        <v>Both</v>
      </c>
      <c r="AF1010" s="11">
        <v>6641922.2848500302</v>
      </c>
      <c r="AG1010" s="11">
        <v>7352541.1872549905</v>
      </c>
      <c r="AH1010" s="21">
        <f t="shared" si="159"/>
        <v>1</v>
      </c>
    </row>
    <row r="1011" spans="1:34" hidden="1">
      <c r="A1011" t="s">
        <v>75</v>
      </c>
      <c r="B1011" s="18">
        <v>2046</v>
      </c>
      <c r="C1011" t="s">
        <v>197</v>
      </c>
      <c r="D1011" t="s">
        <v>177</v>
      </c>
      <c r="E1011" s="20" t="s">
        <v>286</v>
      </c>
      <c r="F1011" s="20" t="s">
        <v>287</v>
      </c>
      <c r="G1011" s="20" t="s">
        <v>201</v>
      </c>
      <c r="H1011" s="20" t="s">
        <v>192</v>
      </c>
      <c r="I1011" s="20" t="s">
        <v>264</v>
      </c>
      <c r="J1011" s="15">
        <f>IFERROR(INDEX(Cost_Components!$K$2:$K$27,MATCH(E1011,Cost_Components!$A$2:$A$27,0)),"")</f>
        <v>0.2</v>
      </c>
      <c r="K1011" s="15">
        <f t="shared" si="150"/>
        <v>0.72461538461538466</v>
      </c>
      <c r="L1011" s="15">
        <f>IFERROR(INDEX(Cost_Components!$S$2:$S$27,MATCH(E1011,Cost_Components!$A$2:$A$27,0)),"")</f>
        <v>0.31</v>
      </c>
      <c r="M1011" s="26">
        <f>IFERROR(INDEX(Cost_Components!$L$2:$L$27,MATCH(E1011,Cost_Components!$A$2:$A$27,0)),"")</f>
        <v>1</v>
      </c>
      <c r="N1011" s="27">
        <f>IFERROR(INDEX(Cost_Components!$P$2:$P$27,MATCH(E1011,Cost_Components!$A$2:$A$27,0)),"")</f>
        <v>7</v>
      </c>
      <c r="O1011" s="21">
        <f t="shared" si="151"/>
        <v>1333043.1474216841</v>
      </c>
      <c r="P1011" s="21">
        <f t="shared" si="152"/>
        <v>1485893.6984560781</v>
      </c>
      <c r="Q1011" s="21">
        <f t="shared" si="153"/>
        <v>3224389.3256496894</v>
      </c>
      <c r="R1011" s="21">
        <f t="shared" si="154"/>
        <v>6761605.0108450651</v>
      </c>
      <c r="S1011" s="21">
        <f t="shared" si="155"/>
        <v>3537215.6851953757</v>
      </c>
      <c r="T1011" s="14">
        <f>IFERROR(INDEX(Cost_Components!$R$2:$R$27,MATCH(E1011,Cost_Components!$A$2:$A$27,0)),"")</f>
        <v>1</v>
      </c>
      <c r="U1011" s="24">
        <f>IFERROR(INDEX(Cost_Components!$Q$2:$Q$27,MATCH(E1011,Cost_Components!$A$2:$A$27,0)),"")</f>
        <v>2023</v>
      </c>
      <c r="V1011" s="28">
        <f>1/(1+Calculation_Assumptions!$B$5)^(B1011-Calculation_Assumptions!$B$2)</f>
        <v>0.5375492759090631</v>
      </c>
      <c r="W1011" s="21">
        <f t="shared" si="156"/>
        <v>1733268.1472519028</v>
      </c>
      <c r="X1011" s="21">
        <f t="shared" si="157"/>
        <v>3634695.8775628577</v>
      </c>
      <c r="Y1011" s="21">
        <f t="shared" si="158"/>
        <v>1901427.7303109546</v>
      </c>
      <c r="Z1011" s="15">
        <f>IFERROR(INDEX(Cost_Components!$T$2:$T$27,MATCH(E1011,Cost_Components!$A$2:$A$27,0)),"")</f>
        <v>0.8</v>
      </c>
      <c r="AA1011" s="24">
        <f>IFERROR(INDEX(Cost_Components!$U$2:$U$27,MATCH(E1011,Cost_Components!$A$2:$A$27,0)),"")</f>
        <v>2025</v>
      </c>
      <c r="AB1011" s="24">
        <f>IFERROR(INDEX(Cost_Components!$V$2:$V$27,MATCH(E1011,Cost_Components!$A$2:$A$27,0)),"")</f>
        <v>2050</v>
      </c>
      <c r="AC1011" s="24">
        <f>IFERROR(INDEX(Cost_Components!$M$2:$M$27,MATCH(E1011,Cost_Components!$A$2:$A$27,0)),"")</f>
        <v>30</v>
      </c>
      <c r="AD1011" s="24">
        <f>IFERROR(INDEX(Cost_Components!$N$2:$N$27,MATCH(E1011,Cost_Components!$A$2:$A$27,0)),"")</f>
        <v>95</v>
      </c>
      <c r="AE1011" s="14" t="str">
        <f>IFERROR(INDEX(Cost_Components!$O$2:$O$27,MATCH(E1011,Cost_Components!$A$2:$A$27,0)),"")</f>
        <v>Both</v>
      </c>
      <c r="AF1011" s="11">
        <v>6665215.7371084196</v>
      </c>
      <c r="AG1011" s="11">
        <v>7429468.4922803901</v>
      </c>
      <c r="AH1011" s="21">
        <f t="shared" si="159"/>
        <v>1</v>
      </c>
    </row>
    <row r="1012" spans="1:34" hidden="1">
      <c r="A1012" t="s">
        <v>75</v>
      </c>
      <c r="B1012" s="18">
        <v>2047</v>
      </c>
      <c r="C1012" t="s">
        <v>197</v>
      </c>
      <c r="D1012" t="s">
        <v>177</v>
      </c>
      <c r="E1012" s="20" t="s">
        <v>286</v>
      </c>
      <c r="F1012" s="20" t="s">
        <v>287</v>
      </c>
      <c r="G1012" s="20" t="s">
        <v>201</v>
      </c>
      <c r="H1012" s="20" t="s">
        <v>192</v>
      </c>
      <c r="I1012" s="20" t="s">
        <v>264</v>
      </c>
      <c r="J1012" s="15">
        <f>IFERROR(INDEX(Cost_Components!$K$2:$K$27,MATCH(E1012,Cost_Components!$A$2:$A$27,0)),"")</f>
        <v>0.2</v>
      </c>
      <c r="K1012" s="15">
        <f t="shared" si="150"/>
        <v>0.74346153846153851</v>
      </c>
      <c r="L1012" s="15">
        <f>IFERROR(INDEX(Cost_Components!$S$2:$S$27,MATCH(E1012,Cost_Components!$A$2:$A$27,0)),"")</f>
        <v>0.31</v>
      </c>
      <c r="M1012" s="26">
        <f>IFERROR(INDEX(Cost_Components!$L$2:$L$27,MATCH(E1012,Cost_Components!$A$2:$A$27,0)),"")</f>
        <v>1</v>
      </c>
      <c r="N1012" s="27">
        <f>IFERROR(INDEX(Cost_Components!$P$2:$P$27,MATCH(E1012,Cost_Components!$A$2:$A$27,0)),"")</f>
        <v>7</v>
      </c>
      <c r="O1012" s="21">
        <f t="shared" si="151"/>
        <v>1336634.7253933442</v>
      </c>
      <c r="P1012" s="21">
        <f t="shared" si="152"/>
        <v>1500352.9263124783</v>
      </c>
      <c r="Q1012" s="21">
        <f t="shared" si="153"/>
        <v>3255765.8500980777</v>
      </c>
      <c r="R1012" s="21">
        <f t="shared" si="154"/>
        <v>6956155.5651143622</v>
      </c>
      <c r="S1012" s="21">
        <f t="shared" si="155"/>
        <v>3700389.7150162845</v>
      </c>
      <c r="T1012" s="14">
        <f>IFERROR(INDEX(Cost_Components!$R$2:$R$27,MATCH(E1012,Cost_Components!$A$2:$A$27,0)),"")</f>
        <v>1</v>
      </c>
      <c r="U1012" s="24">
        <f>IFERROR(INDEX(Cost_Components!$Q$2:$Q$27,MATCH(E1012,Cost_Components!$A$2:$A$27,0)),"")</f>
        <v>2023</v>
      </c>
      <c r="V1012" s="28">
        <f>1/(1+Calculation_Assumptions!$B$5)^(B1012-Calculation_Assumptions!$B$2)</f>
        <v>0.52189250088258554</v>
      </c>
      <c r="W1012" s="21">
        <f t="shared" si="156"/>
        <v>1699159.7817958028</v>
      </c>
      <c r="X1012" s="21">
        <f t="shared" si="157"/>
        <v>3630365.4244058495</v>
      </c>
      <c r="Y1012" s="21">
        <f t="shared" si="158"/>
        <v>1931205.6426100468</v>
      </c>
      <c r="Z1012" s="15">
        <f>IFERROR(INDEX(Cost_Components!$T$2:$T$27,MATCH(E1012,Cost_Components!$A$2:$A$27,0)),"")</f>
        <v>0.8</v>
      </c>
      <c r="AA1012" s="24">
        <f>IFERROR(INDEX(Cost_Components!$U$2:$U$27,MATCH(E1012,Cost_Components!$A$2:$A$27,0)),"")</f>
        <v>2025</v>
      </c>
      <c r="AB1012" s="24">
        <f>IFERROR(INDEX(Cost_Components!$V$2:$V$27,MATCH(E1012,Cost_Components!$A$2:$A$27,0)),"")</f>
        <v>2050</v>
      </c>
      <c r="AC1012" s="24">
        <f>IFERROR(INDEX(Cost_Components!$M$2:$M$27,MATCH(E1012,Cost_Components!$A$2:$A$27,0)),"")</f>
        <v>30</v>
      </c>
      <c r="AD1012" s="24">
        <f>IFERROR(INDEX(Cost_Components!$N$2:$N$27,MATCH(E1012,Cost_Components!$A$2:$A$27,0)),"")</f>
        <v>95</v>
      </c>
      <c r="AE1012" s="14" t="str">
        <f>IFERROR(INDEX(Cost_Components!$O$2:$O$27,MATCH(E1012,Cost_Components!$A$2:$A$27,0)),"")</f>
        <v>Both</v>
      </c>
      <c r="AF1012" s="11">
        <v>6683173.6269667204</v>
      </c>
      <c r="AG1012" s="11">
        <v>7501764.6315623904</v>
      </c>
      <c r="AH1012" s="21">
        <f t="shared" si="159"/>
        <v>1</v>
      </c>
    </row>
    <row r="1013" spans="1:34" hidden="1">
      <c r="A1013" t="s">
        <v>75</v>
      </c>
      <c r="B1013" s="18">
        <v>2048</v>
      </c>
      <c r="C1013" t="s">
        <v>197</v>
      </c>
      <c r="D1013" t="s">
        <v>177</v>
      </c>
      <c r="E1013" s="20" t="s">
        <v>286</v>
      </c>
      <c r="F1013" s="20" t="s">
        <v>287</v>
      </c>
      <c r="G1013" s="20" t="s">
        <v>201</v>
      </c>
      <c r="H1013" s="20" t="s">
        <v>192</v>
      </c>
      <c r="I1013" s="20" t="s">
        <v>264</v>
      </c>
      <c r="J1013" s="15">
        <f>IFERROR(INDEX(Cost_Components!$K$2:$K$27,MATCH(E1013,Cost_Components!$A$2:$A$27,0)),"")</f>
        <v>0.2</v>
      </c>
      <c r="K1013" s="15">
        <f t="shared" si="150"/>
        <v>0.76230769230769235</v>
      </c>
      <c r="L1013" s="15">
        <f>IFERROR(INDEX(Cost_Components!$S$2:$S$27,MATCH(E1013,Cost_Components!$A$2:$A$27,0)),"")</f>
        <v>0.31</v>
      </c>
      <c r="M1013" s="26">
        <f>IFERROR(INDEX(Cost_Components!$L$2:$L$27,MATCH(E1013,Cost_Components!$A$2:$A$27,0)),"")</f>
        <v>1</v>
      </c>
      <c r="N1013" s="27">
        <f>IFERROR(INDEX(Cost_Components!$P$2:$P$27,MATCH(E1013,Cost_Components!$A$2:$A$27,0)),"")</f>
        <v>7</v>
      </c>
      <c r="O1013" s="21">
        <f t="shared" si="151"/>
        <v>1339337.4835716682</v>
      </c>
      <c r="P1013" s="21">
        <f t="shared" si="152"/>
        <v>1514038.8829286881</v>
      </c>
      <c r="Q1013" s="21">
        <f t="shared" si="153"/>
        <v>3285464.3759552529</v>
      </c>
      <c r="R1013" s="21">
        <f t="shared" si="154"/>
        <v>7146910.8642589711</v>
      </c>
      <c r="S1013" s="21">
        <f t="shared" si="155"/>
        <v>3861446.4883037182</v>
      </c>
      <c r="T1013" s="14">
        <f>IFERROR(INDEX(Cost_Components!$R$2:$R$27,MATCH(E1013,Cost_Components!$A$2:$A$27,0)),"")</f>
        <v>1</v>
      </c>
      <c r="U1013" s="24">
        <f>IFERROR(INDEX(Cost_Components!$Q$2:$Q$27,MATCH(E1013,Cost_Components!$A$2:$A$27,0)),"")</f>
        <v>2023</v>
      </c>
      <c r="V1013" s="28">
        <f>1/(1+Calculation_Assumptions!$B$5)^(B1013-Calculation_Assumptions!$B$2)</f>
        <v>0.50669174842969467</v>
      </c>
      <c r="W1013" s="21">
        <f t="shared" si="156"/>
        <v>1664717.6890562428</v>
      </c>
      <c r="X1013" s="21">
        <f t="shared" si="157"/>
        <v>3621280.7616825583</v>
      </c>
      <c r="Y1013" s="21">
        <f t="shared" si="158"/>
        <v>1956563.0726263155</v>
      </c>
      <c r="Z1013" s="15">
        <f>IFERROR(INDEX(Cost_Components!$T$2:$T$27,MATCH(E1013,Cost_Components!$A$2:$A$27,0)),"")</f>
        <v>0.8</v>
      </c>
      <c r="AA1013" s="24">
        <f>IFERROR(INDEX(Cost_Components!$U$2:$U$27,MATCH(E1013,Cost_Components!$A$2:$A$27,0)),"")</f>
        <v>2025</v>
      </c>
      <c r="AB1013" s="24">
        <f>IFERROR(INDEX(Cost_Components!$V$2:$V$27,MATCH(E1013,Cost_Components!$A$2:$A$27,0)),"")</f>
        <v>2050</v>
      </c>
      <c r="AC1013" s="24">
        <f>IFERROR(INDEX(Cost_Components!$M$2:$M$27,MATCH(E1013,Cost_Components!$A$2:$A$27,0)),"")</f>
        <v>30</v>
      </c>
      <c r="AD1013" s="24">
        <f>IFERROR(INDEX(Cost_Components!$N$2:$N$27,MATCH(E1013,Cost_Components!$A$2:$A$27,0)),"")</f>
        <v>95</v>
      </c>
      <c r="AE1013" s="14" t="str">
        <f>IFERROR(INDEX(Cost_Components!$O$2:$O$27,MATCH(E1013,Cost_Components!$A$2:$A$27,0)),"")</f>
        <v>Both</v>
      </c>
      <c r="AF1013" s="11">
        <v>6696687.4178583398</v>
      </c>
      <c r="AG1013" s="11">
        <v>7570194.4146434404</v>
      </c>
      <c r="AH1013" s="21">
        <f t="shared" si="159"/>
        <v>1</v>
      </c>
    </row>
    <row r="1014" spans="1:34" hidden="1">
      <c r="A1014" t="s">
        <v>75</v>
      </c>
      <c r="B1014" s="18">
        <v>2049</v>
      </c>
      <c r="C1014" t="s">
        <v>197</v>
      </c>
      <c r="D1014" t="s">
        <v>177</v>
      </c>
      <c r="E1014" s="20" t="s">
        <v>286</v>
      </c>
      <c r="F1014" s="20" t="s">
        <v>287</v>
      </c>
      <c r="G1014" s="20" t="s">
        <v>201</v>
      </c>
      <c r="H1014" s="20" t="s">
        <v>192</v>
      </c>
      <c r="I1014" s="20" t="s">
        <v>264</v>
      </c>
      <c r="J1014" s="15">
        <f>IFERROR(INDEX(Cost_Components!$K$2:$K$27,MATCH(E1014,Cost_Components!$A$2:$A$27,0)),"")</f>
        <v>0.2</v>
      </c>
      <c r="K1014" s="15">
        <f t="shared" si="150"/>
        <v>0.7811538461538462</v>
      </c>
      <c r="L1014" s="15">
        <f>IFERROR(INDEX(Cost_Components!$S$2:$S$27,MATCH(E1014,Cost_Components!$A$2:$A$27,0)),"")</f>
        <v>0.31</v>
      </c>
      <c r="M1014" s="26">
        <f>IFERROR(INDEX(Cost_Components!$L$2:$L$27,MATCH(E1014,Cost_Components!$A$2:$A$27,0)),"")</f>
        <v>1</v>
      </c>
      <c r="N1014" s="27">
        <f>IFERROR(INDEX(Cost_Components!$P$2:$P$27,MATCH(E1014,Cost_Components!$A$2:$A$27,0)),"")</f>
        <v>7</v>
      </c>
      <c r="O1014" s="21">
        <f t="shared" si="151"/>
        <v>1341176.3372297641</v>
      </c>
      <c r="P1014" s="21">
        <f t="shared" si="152"/>
        <v>1526950.0790214061</v>
      </c>
      <c r="Q1014" s="21">
        <f t="shared" si="153"/>
        <v>3313481.6714764512</v>
      </c>
      <c r="R1014" s="21">
        <f t="shared" si="154"/>
        <v>7333655.3793829065</v>
      </c>
      <c r="S1014" s="21">
        <f t="shared" si="155"/>
        <v>4020173.7079064553</v>
      </c>
      <c r="T1014" s="14">
        <f>IFERROR(INDEX(Cost_Components!$R$2:$R$27,MATCH(E1014,Cost_Components!$A$2:$A$27,0)),"")</f>
        <v>1</v>
      </c>
      <c r="U1014" s="24">
        <f>IFERROR(INDEX(Cost_Components!$Q$2:$Q$27,MATCH(E1014,Cost_Components!$A$2:$A$27,0)),"")</f>
        <v>2023</v>
      </c>
      <c r="V1014" s="28">
        <f>1/(1+Calculation_Assumptions!$B$5)^(B1014-Calculation_Assumptions!$B$2)</f>
        <v>0.49193373633950943</v>
      </c>
      <c r="W1014" s="21">
        <f t="shared" si="156"/>
        <v>1630013.4189418936</v>
      </c>
      <c r="X1014" s="21">
        <f t="shared" si="157"/>
        <v>3607672.4918061756</v>
      </c>
      <c r="Y1014" s="21">
        <f t="shared" si="158"/>
        <v>1977659.0728642822</v>
      </c>
      <c r="Z1014" s="15">
        <f>IFERROR(INDEX(Cost_Components!$T$2:$T$27,MATCH(E1014,Cost_Components!$A$2:$A$27,0)),"")</f>
        <v>0.8</v>
      </c>
      <c r="AA1014" s="24">
        <f>IFERROR(INDEX(Cost_Components!$U$2:$U$27,MATCH(E1014,Cost_Components!$A$2:$A$27,0)),"")</f>
        <v>2025</v>
      </c>
      <c r="AB1014" s="24">
        <f>IFERROR(INDEX(Cost_Components!$V$2:$V$27,MATCH(E1014,Cost_Components!$A$2:$A$27,0)),"")</f>
        <v>2050</v>
      </c>
      <c r="AC1014" s="24">
        <f>IFERROR(INDEX(Cost_Components!$M$2:$M$27,MATCH(E1014,Cost_Components!$A$2:$A$27,0)),"")</f>
        <v>30</v>
      </c>
      <c r="AD1014" s="24">
        <f>IFERROR(INDEX(Cost_Components!$N$2:$N$27,MATCH(E1014,Cost_Components!$A$2:$A$27,0)),"")</f>
        <v>95</v>
      </c>
      <c r="AE1014" s="14" t="str">
        <f>IFERROR(INDEX(Cost_Components!$O$2:$O$27,MATCH(E1014,Cost_Components!$A$2:$A$27,0)),"")</f>
        <v>Both</v>
      </c>
      <c r="AF1014" s="11">
        <v>6705881.6861488204</v>
      </c>
      <c r="AG1014" s="11">
        <v>7634750.3951070299</v>
      </c>
      <c r="AH1014" s="21">
        <f t="shared" si="159"/>
        <v>1</v>
      </c>
    </row>
    <row r="1015" spans="1:34" hidden="1">
      <c r="A1015" t="s">
        <v>75</v>
      </c>
      <c r="B1015" s="18">
        <v>2050</v>
      </c>
      <c r="C1015" t="s">
        <v>197</v>
      </c>
      <c r="D1015" t="s">
        <v>177</v>
      </c>
      <c r="E1015" s="20" t="s">
        <v>286</v>
      </c>
      <c r="F1015" s="20" t="s">
        <v>287</v>
      </c>
      <c r="G1015" s="20" t="s">
        <v>201</v>
      </c>
      <c r="H1015" s="20" t="s">
        <v>192</v>
      </c>
      <c r="I1015" s="20" t="s">
        <v>264</v>
      </c>
      <c r="J1015" s="15">
        <f>IFERROR(INDEX(Cost_Components!$K$2:$K$27,MATCH(E1015,Cost_Components!$A$2:$A$27,0)),"")</f>
        <v>0.2</v>
      </c>
      <c r="K1015" s="15">
        <f t="shared" si="150"/>
        <v>0.8</v>
      </c>
      <c r="L1015" s="15">
        <f>IFERROR(INDEX(Cost_Components!$S$2:$S$27,MATCH(E1015,Cost_Components!$A$2:$A$27,0)),"")</f>
        <v>0.31</v>
      </c>
      <c r="M1015" s="26">
        <f>IFERROR(INDEX(Cost_Components!$L$2:$L$27,MATCH(E1015,Cost_Components!$A$2:$A$27,0)),"")</f>
        <v>1</v>
      </c>
      <c r="N1015" s="27">
        <f>IFERROR(INDEX(Cost_Components!$P$2:$P$27,MATCH(E1015,Cost_Components!$A$2:$A$27,0)),"")</f>
        <v>7</v>
      </c>
      <c r="O1015" s="21">
        <f t="shared" si="151"/>
        <v>1342188.979796988</v>
      </c>
      <c r="P1015" s="21">
        <f t="shared" si="152"/>
        <v>1539098.6433192221</v>
      </c>
      <c r="Q1015" s="21">
        <f t="shared" si="153"/>
        <v>3339844.0560027123</v>
      </c>
      <c r="R1015" s="21">
        <f t="shared" si="154"/>
        <v>7516258.2868631333</v>
      </c>
      <c r="S1015" s="21">
        <f t="shared" si="155"/>
        <v>4176414.230860421</v>
      </c>
      <c r="T1015" s="14">
        <f>IFERROR(INDEX(Cost_Components!$R$2:$R$27,MATCH(E1015,Cost_Components!$A$2:$A$27,0)),"")</f>
        <v>1</v>
      </c>
      <c r="U1015" s="24">
        <f>IFERROR(INDEX(Cost_Components!$Q$2:$Q$27,MATCH(E1015,Cost_Components!$A$2:$A$27,0)),"")</f>
        <v>2023</v>
      </c>
      <c r="V1015" s="28">
        <f>1/(1+Calculation_Assumptions!$B$5)^(B1015-Calculation_Assumptions!$B$2)</f>
        <v>0.47760556926165965</v>
      </c>
      <c r="W1015" s="21">
        <f t="shared" si="156"/>
        <v>1595128.1216123458</v>
      </c>
      <c r="X1015" s="21">
        <f t="shared" si="157"/>
        <v>3589806.8178149336</v>
      </c>
      <c r="Y1015" s="21">
        <f t="shared" si="158"/>
        <v>1994678.6962025878</v>
      </c>
      <c r="Z1015" s="15">
        <f>IFERROR(INDEX(Cost_Components!$T$2:$T$27,MATCH(E1015,Cost_Components!$A$2:$A$27,0)),"")</f>
        <v>0.8</v>
      </c>
      <c r="AA1015" s="24">
        <f>IFERROR(INDEX(Cost_Components!$U$2:$U$27,MATCH(E1015,Cost_Components!$A$2:$A$27,0)),"")</f>
        <v>2025</v>
      </c>
      <c r="AB1015" s="24">
        <f>IFERROR(INDEX(Cost_Components!$V$2:$V$27,MATCH(E1015,Cost_Components!$A$2:$A$27,0)),"")</f>
        <v>2050</v>
      </c>
      <c r="AC1015" s="24">
        <f>IFERROR(INDEX(Cost_Components!$M$2:$M$27,MATCH(E1015,Cost_Components!$A$2:$A$27,0)),"")</f>
        <v>30</v>
      </c>
      <c r="AD1015" s="24">
        <f>IFERROR(INDEX(Cost_Components!$N$2:$N$27,MATCH(E1015,Cost_Components!$A$2:$A$27,0)),"")</f>
        <v>95</v>
      </c>
      <c r="AE1015" s="14" t="str">
        <f>IFERROR(INDEX(Cost_Components!$O$2:$O$27,MATCH(E1015,Cost_Components!$A$2:$A$27,0)),"")</f>
        <v>Both</v>
      </c>
      <c r="AF1015" s="11">
        <v>6710944.8989849398</v>
      </c>
      <c r="AG1015" s="11">
        <v>7695493.2165961098</v>
      </c>
      <c r="AH1015" s="21">
        <f t="shared" si="159"/>
        <v>1</v>
      </c>
    </row>
    <row r="1016" spans="1:34" hidden="1">
      <c r="A1016" t="s">
        <v>75</v>
      </c>
      <c r="B1016" s="18">
        <v>2025</v>
      </c>
      <c r="C1016" t="s">
        <v>197</v>
      </c>
      <c r="D1016" t="s">
        <v>177</v>
      </c>
      <c r="E1016" s="20" t="s">
        <v>289</v>
      </c>
      <c r="F1016" s="20" t="s">
        <v>290</v>
      </c>
      <c r="G1016" s="20" t="s">
        <v>201</v>
      </c>
      <c r="H1016" s="20" t="s">
        <v>192</v>
      </c>
      <c r="I1016" s="20" t="s">
        <v>264</v>
      </c>
      <c r="J1016" s="15">
        <f>IFERROR(INDEX(Cost_Components!$K$2:$K$27,MATCH(E1016,Cost_Components!$A$2:$A$27,0)),"")</f>
        <v>0.2</v>
      </c>
      <c r="K1016" s="15">
        <f t="shared" si="150"/>
        <v>0.32884615384615384</v>
      </c>
      <c r="L1016" s="15">
        <f>IFERROR(INDEX(Cost_Components!$S$2:$S$27,MATCH(E1016,Cost_Components!$A$2:$A$27,0)),"")</f>
        <v>0.31</v>
      </c>
      <c r="M1016" s="26">
        <f>IFERROR(INDEX(Cost_Components!$L$2:$L$27,MATCH(E1016,Cost_Components!$A$2:$A$27,0)),"")</f>
        <v>1</v>
      </c>
      <c r="N1016" s="27">
        <f>IFERROR(INDEX(Cost_Components!$P$2:$P$27,MATCH(E1016,Cost_Components!$A$2:$A$27,0)),"")</f>
        <v>29.216218999999999</v>
      </c>
      <c r="O1016" s="21">
        <f t="shared" si="151"/>
        <v>1040539.52810735</v>
      </c>
      <c r="P1016" s="21">
        <f t="shared" si="152"/>
        <v>1041375.033644954</v>
      </c>
      <c r="Q1016" s="21">
        <f t="shared" si="153"/>
        <v>9431762.7236720361</v>
      </c>
      <c r="R1016" s="21">
        <f t="shared" si="154"/>
        <v>9997130.4904986713</v>
      </c>
      <c r="S1016" s="21">
        <f t="shared" si="155"/>
        <v>565367.76682663523</v>
      </c>
      <c r="T1016" s="14">
        <f>IFERROR(INDEX(Cost_Components!$R$2:$R$27,MATCH(E1016,Cost_Components!$A$2:$A$27,0)),"")</f>
        <v>1</v>
      </c>
      <c r="U1016" s="24">
        <f>IFERROR(INDEX(Cost_Components!$Q$2:$Q$27,MATCH(E1016,Cost_Components!$A$2:$A$27,0)),"")</f>
        <v>2023</v>
      </c>
      <c r="V1016" s="28">
        <f>1/(1+Calculation_Assumptions!$B$5)^(B1016-Calculation_Assumptions!$B$2)</f>
        <v>1</v>
      </c>
      <c r="W1016" s="21">
        <f t="shared" si="156"/>
        <v>9431762.7236720361</v>
      </c>
      <c r="X1016" s="21">
        <f t="shared" si="157"/>
        <v>9997130.4904986713</v>
      </c>
      <c r="Y1016" s="21">
        <f t="shared" si="158"/>
        <v>565367.76682663523</v>
      </c>
      <c r="Z1016" s="15">
        <f>IFERROR(INDEX(Cost_Components!$T$2:$T$27,MATCH(E1016,Cost_Components!$A$2:$A$27,0)),"")</f>
        <v>0.8</v>
      </c>
      <c r="AA1016" s="24">
        <f>IFERROR(INDEX(Cost_Components!$U$2:$U$27,MATCH(E1016,Cost_Components!$A$2:$A$27,0)),"")</f>
        <v>2025</v>
      </c>
      <c r="AB1016" s="24">
        <f>IFERROR(INDEX(Cost_Components!$V$2:$V$27,MATCH(E1016,Cost_Components!$A$2:$A$27,0)),"")</f>
        <v>2050</v>
      </c>
      <c r="AC1016" s="24">
        <f>IFERROR(INDEX(Cost_Components!$M$2:$M$27,MATCH(E1016,Cost_Components!$A$2:$A$27,0)),"")</f>
        <v>30</v>
      </c>
      <c r="AD1016" s="24">
        <f>IFERROR(INDEX(Cost_Components!$N$2:$N$27,MATCH(E1016,Cost_Components!$A$2:$A$27,0)),"")</f>
        <v>95</v>
      </c>
      <c r="AE1016" s="14" t="str">
        <f>IFERROR(INDEX(Cost_Components!$O$2:$O$27,MATCH(E1016,Cost_Components!$A$2:$A$27,0)),"")</f>
        <v>Both</v>
      </c>
      <c r="AF1016" s="11">
        <v>5202697.6405367497</v>
      </c>
      <c r="AG1016" s="11">
        <v>5206875.1682247696</v>
      </c>
      <c r="AH1016" s="21">
        <f t="shared" si="159"/>
        <v>1</v>
      </c>
    </row>
    <row r="1017" spans="1:34" hidden="1">
      <c r="A1017" t="s">
        <v>75</v>
      </c>
      <c r="B1017" s="18">
        <v>2026</v>
      </c>
      <c r="C1017" t="s">
        <v>197</v>
      </c>
      <c r="D1017" t="s">
        <v>177</v>
      </c>
      <c r="E1017" s="20" t="s">
        <v>289</v>
      </c>
      <c r="F1017" s="20" t="s">
        <v>290</v>
      </c>
      <c r="G1017" s="20" t="s">
        <v>201</v>
      </c>
      <c r="H1017" s="20" t="s">
        <v>192</v>
      </c>
      <c r="I1017" s="20" t="s">
        <v>264</v>
      </c>
      <c r="J1017" s="15">
        <f>IFERROR(INDEX(Cost_Components!$K$2:$K$27,MATCH(E1017,Cost_Components!$A$2:$A$27,0)),"")</f>
        <v>0.2</v>
      </c>
      <c r="K1017" s="15">
        <f t="shared" si="150"/>
        <v>0.34769230769230769</v>
      </c>
      <c r="L1017" s="15">
        <f>IFERROR(INDEX(Cost_Components!$S$2:$S$27,MATCH(E1017,Cost_Components!$A$2:$A$27,0)),"")</f>
        <v>0.31</v>
      </c>
      <c r="M1017" s="26">
        <f>IFERROR(INDEX(Cost_Components!$L$2:$L$27,MATCH(E1017,Cost_Components!$A$2:$A$27,0)),"")</f>
        <v>1</v>
      </c>
      <c r="N1017" s="27">
        <f>IFERROR(INDEX(Cost_Components!$P$2:$P$27,MATCH(E1017,Cost_Components!$A$2:$A$27,0)),"")</f>
        <v>29.216218999999999</v>
      </c>
      <c r="O1017" s="21">
        <f t="shared" si="151"/>
        <v>1064395.9117995661</v>
      </c>
      <c r="P1017" s="21">
        <f t="shared" si="152"/>
        <v>1066871.057007208</v>
      </c>
      <c r="Q1017" s="21">
        <f t="shared" si="153"/>
        <v>9662680.9183480609</v>
      </c>
      <c r="R1017" s="21">
        <f t="shared" si="154"/>
        <v>10812404.673809266</v>
      </c>
      <c r="S1017" s="21">
        <f t="shared" si="155"/>
        <v>1149723.7554612048</v>
      </c>
      <c r="T1017" s="14">
        <f>IFERROR(INDEX(Cost_Components!$R$2:$R$27,MATCH(E1017,Cost_Components!$A$2:$A$27,0)),"")</f>
        <v>1</v>
      </c>
      <c r="U1017" s="24">
        <f>IFERROR(INDEX(Cost_Components!$Q$2:$Q$27,MATCH(E1017,Cost_Components!$A$2:$A$27,0)),"")</f>
        <v>2023</v>
      </c>
      <c r="V1017" s="28">
        <f>1/(1+Calculation_Assumptions!$B$5)^(B1017-Calculation_Assumptions!$B$2)</f>
        <v>0.970873786407767</v>
      </c>
      <c r="W1017" s="21">
        <f t="shared" si="156"/>
        <v>9381243.6100466605</v>
      </c>
      <c r="X1017" s="21">
        <f t="shared" si="157"/>
        <v>10497480.265834238</v>
      </c>
      <c r="Y1017" s="21">
        <f t="shared" si="158"/>
        <v>1116236.6557875774</v>
      </c>
      <c r="Z1017" s="15">
        <f>IFERROR(INDEX(Cost_Components!$T$2:$T$27,MATCH(E1017,Cost_Components!$A$2:$A$27,0)),"")</f>
        <v>0.8</v>
      </c>
      <c r="AA1017" s="24">
        <f>IFERROR(INDEX(Cost_Components!$U$2:$U$27,MATCH(E1017,Cost_Components!$A$2:$A$27,0)),"")</f>
        <v>2025</v>
      </c>
      <c r="AB1017" s="24">
        <f>IFERROR(INDEX(Cost_Components!$V$2:$V$27,MATCH(E1017,Cost_Components!$A$2:$A$27,0)),"")</f>
        <v>2050</v>
      </c>
      <c r="AC1017" s="24">
        <f>IFERROR(INDEX(Cost_Components!$M$2:$M$27,MATCH(E1017,Cost_Components!$A$2:$A$27,0)),"")</f>
        <v>30</v>
      </c>
      <c r="AD1017" s="24">
        <f>IFERROR(INDEX(Cost_Components!$N$2:$N$27,MATCH(E1017,Cost_Components!$A$2:$A$27,0)),"")</f>
        <v>95</v>
      </c>
      <c r="AE1017" s="14" t="str">
        <f>IFERROR(INDEX(Cost_Components!$O$2:$O$27,MATCH(E1017,Cost_Components!$A$2:$A$27,0)),"")</f>
        <v>Both</v>
      </c>
      <c r="AF1017" s="11">
        <v>5321979.5589978304</v>
      </c>
      <c r="AG1017" s="11">
        <v>5334355.2850360395</v>
      </c>
      <c r="AH1017" s="21">
        <f t="shared" si="159"/>
        <v>1</v>
      </c>
    </row>
    <row r="1018" spans="1:34" hidden="1">
      <c r="A1018" t="s">
        <v>75</v>
      </c>
      <c r="B1018" s="18">
        <v>2027</v>
      </c>
      <c r="C1018" t="s">
        <v>197</v>
      </c>
      <c r="D1018" t="s">
        <v>177</v>
      </c>
      <c r="E1018" s="20" t="s">
        <v>289</v>
      </c>
      <c r="F1018" s="20" t="s">
        <v>290</v>
      </c>
      <c r="G1018" s="20" t="s">
        <v>201</v>
      </c>
      <c r="H1018" s="20" t="s">
        <v>192</v>
      </c>
      <c r="I1018" s="20" t="s">
        <v>264</v>
      </c>
      <c r="J1018" s="15">
        <f>IFERROR(INDEX(Cost_Components!$K$2:$K$27,MATCH(E1018,Cost_Components!$A$2:$A$27,0)),"")</f>
        <v>0.2</v>
      </c>
      <c r="K1018" s="15">
        <f t="shared" si="150"/>
        <v>0.36653846153846154</v>
      </c>
      <c r="L1018" s="15">
        <f>IFERROR(INDEX(Cost_Components!$S$2:$S$27,MATCH(E1018,Cost_Components!$A$2:$A$27,0)),"")</f>
        <v>0.31</v>
      </c>
      <c r="M1018" s="26">
        <f>IFERROR(INDEX(Cost_Components!$L$2:$L$27,MATCH(E1018,Cost_Components!$A$2:$A$27,0)),"")</f>
        <v>1</v>
      </c>
      <c r="N1018" s="27">
        <f>IFERROR(INDEX(Cost_Components!$P$2:$P$27,MATCH(E1018,Cost_Components!$A$2:$A$27,0)),"")</f>
        <v>29.216218999999999</v>
      </c>
      <c r="O1018" s="21">
        <f t="shared" si="151"/>
        <v>1087390.2956353261</v>
      </c>
      <c r="P1018" s="21">
        <f t="shared" si="152"/>
        <v>1092276.4661504922</v>
      </c>
      <c r="Q1018" s="21">
        <f t="shared" si="153"/>
        <v>9892778.4175156485</v>
      </c>
      <c r="R1018" s="21">
        <f t="shared" si="154"/>
        <v>11644719.101544568</v>
      </c>
      <c r="S1018" s="21">
        <f t="shared" si="155"/>
        <v>1751940.6840289198</v>
      </c>
      <c r="T1018" s="14">
        <f>IFERROR(INDEX(Cost_Components!$R$2:$R$27,MATCH(E1018,Cost_Components!$A$2:$A$27,0)),"")</f>
        <v>1</v>
      </c>
      <c r="U1018" s="24">
        <f>IFERROR(INDEX(Cost_Components!$Q$2:$Q$27,MATCH(E1018,Cost_Components!$A$2:$A$27,0)),"")</f>
        <v>2023</v>
      </c>
      <c r="V1018" s="28">
        <f>1/(1+Calculation_Assumptions!$B$5)^(B1018-Calculation_Assumptions!$B$2)</f>
        <v>0.94259590913375435</v>
      </c>
      <c r="W1018" s="21">
        <f t="shared" si="156"/>
        <v>9324892.4663169459</v>
      </c>
      <c r="X1018" s="21">
        <f t="shared" si="157"/>
        <v>10976264.588127598</v>
      </c>
      <c r="Y1018" s="21">
        <f t="shared" si="158"/>
        <v>1651372.1218106512</v>
      </c>
      <c r="Z1018" s="15">
        <f>IFERROR(INDEX(Cost_Components!$T$2:$T$27,MATCH(E1018,Cost_Components!$A$2:$A$27,0)),"")</f>
        <v>0.8</v>
      </c>
      <c r="AA1018" s="24">
        <f>IFERROR(INDEX(Cost_Components!$U$2:$U$27,MATCH(E1018,Cost_Components!$A$2:$A$27,0)),"")</f>
        <v>2025</v>
      </c>
      <c r="AB1018" s="24">
        <f>IFERROR(INDEX(Cost_Components!$V$2:$V$27,MATCH(E1018,Cost_Components!$A$2:$A$27,0)),"")</f>
        <v>2050</v>
      </c>
      <c r="AC1018" s="24">
        <f>IFERROR(INDEX(Cost_Components!$M$2:$M$27,MATCH(E1018,Cost_Components!$A$2:$A$27,0)),"")</f>
        <v>30</v>
      </c>
      <c r="AD1018" s="24">
        <f>IFERROR(INDEX(Cost_Components!$N$2:$N$27,MATCH(E1018,Cost_Components!$A$2:$A$27,0)),"")</f>
        <v>95</v>
      </c>
      <c r="AE1018" s="14" t="str">
        <f>IFERROR(INDEX(Cost_Components!$O$2:$O$27,MATCH(E1018,Cost_Components!$A$2:$A$27,0)),"")</f>
        <v>Both</v>
      </c>
      <c r="AF1018" s="11">
        <v>5436951.4781766301</v>
      </c>
      <c r="AG1018" s="11">
        <v>5461382.3307524603</v>
      </c>
      <c r="AH1018" s="21">
        <f t="shared" si="159"/>
        <v>1</v>
      </c>
    </row>
    <row r="1019" spans="1:34" hidden="1">
      <c r="A1019" t="s">
        <v>75</v>
      </c>
      <c r="B1019" s="18">
        <v>2028</v>
      </c>
      <c r="C1019" t="s">
        <v>197</v>
      </c>
      <c r="D1019" t="s">
        <v>177</v>
      </c>
      <c r="E1019" s="20" t="s">
        <v>289</v>
      </c>
      <c r="F1019" s="20" t="s">
        <v>290</v>
      </c>
      <c r="G1019" s="20" t="s">
        <v>201</v>
      </c>
      <c r="H1019" s="20" t="s">
        <v>192</v>
      </c>
      <c r="I1019" s="20" t="s">
        <v>264</v>
      </c>
      <c r="J1019" s="15">
        <f>IFERROR(INDEX(Cost_Components!$K$2:$K$27,MATCH(E1019,Cost_Components!$A$2:$A$27,0)),"")</f>
        <v>0.2</v>
      </c>
      <c r="K1019" s="15">
        <f t="shared" si="150"/>
        <v>0.38538461538461538</v>
      </c>
      <c r="L1019" s="15">
        <f>IFERROR(INDEX(Cost_Components!$S$2:$S$27,MATCH(E1019,Cost_Components!$A$2:$A$27,0)),"")</f>
        <v>0.31</v>
      </c>
      <c r="M1019" s="26">
        <f>IFERROR(INDEX(Cost_Components!$L$2:$L$27,MATCH(E1019,Cost_Components!$A$2:$A$27,0)),"")</f>
        <v>1</v>
      </c>
      <c r="N1019" s="27">
        <f>IFERROR(INDEX(Cost_Components!$P$2:$P$27,MATCH(E1019,Cost_Components!$A$2:$A$27,0)),"")</f>
        <v>29.216218999999999</v>
      </c>
      <c r="O1019" s="21">
        <f t="shared" si="151"/>
        <v>1109354.467887264</v>
      </c>
      <c r="P1019" s="21">
        <f t="shared" si="152"/>
        <v>1117389.9460450362</v>
      </c>
      <c r="Q1019" s="21">
        <f t="shared" si="153"/>
        <v>10120231.905335488</v>
      </c>
      <c r="R1019" s="21">
        <f t="shared" si="154"/>
        <v>12490755.910995236</v>
      </c>
      <c r="S1019" s="21">
        <f t="shared" si="155"/>
        <v>2370524.0056597479</v>
      </c>
      <c r="T1019" s="14">
        <f>IFERROR(INDEX(Cost_Components!$R$2:$R$27,MATCH(E1019,Cost_Components!$A$2:$A$27,0)),"")</f>
        <v>1</v>
      </c>
      <c r="U1019" s="24">
        <f>IFERROR(INDEX(Cost_Components!$Q$2:$Q$27,MATCH(E1019,Cost_Components!$A$2:$A$27,0)),"")</f>
        <v>2023</v>
      </c>
      <c r="V1019" s="28">
        <f>1/(1+Calculation_Assumptions!$B$5)^(B1019-Calculation_Assumptions!$B$2)</f>
        <v>0.91514165935315961</v>
      </c>
      <c r="W1019" s="21">
        <f t="shared" si="156"/>
        <v>9261445.8188875057</v>
      </c>
      <c r="X1019" s="21">
        <f t="shared" si="157"/>
        <v>11430811.090963466</v>
      </c>
      <c r="Y1019" s="21">
        <f t="shared" si="158"/>
        <v>2169365.2720759604</v>
      </c>
      <c r="Z1019" s="15">
        <f>IFERROR(INDEX(Cost_Components!$T$2:$T$27,MATCH(E1019,Cost_Components!$A$2:$A$27,0)),"")</f>
        <v>0.8</v>
      </c>
      <c r="AA1019" s="24">
        <f>IFERROR(INDEX(Cost_Components!$U$2:$U$27,MATCH(E1019,Cost_Components!$A$2:$A$27,0)),"")</f>
        <v>2025</v>
      </c>
      <c r="AB1019" s="24">
        <f>IFERROR(INDEX(Cost_Components!$V$2:$V$27,MATCH(E1019,Cost_Components!$A$2:$A$27,0)),"")</f>
        <v>2050</v>
      </c>
      <c r="AC1019" s="24">
        <f>IFERROR(INDEX(Cost_Components!$M$2:$M$27,MATCH(E1019,Cost_Components!$A$2:$A$27,0)),"")</f>
        <v>30</v>
      </c>
      <c r="AD1019" s="24">
        <f>IFERROR(INDEX(Cost_Components!$N$2:$N$27,MATCH(E1019,Cost_Components!$A$2:$A$27,0)),"")</f>
        <v>95</v>
      </c>
      <c r="AE1019" s="14" t="str">
        <f>IFERROR(INDEX(Cost_Components!$O$2:$O$27,MATCH(E1019,Cost_Components!$A$2:$A$27,0)),"")</f>
        <v>Both</v>
      </c>
      <c r="AF1019" s="11">
        <v>5546772.3394363197</v>
      </c>
      <c r="AG1019" s="11">
        <v>5586949.7302251803</v>
      </c>
      <c r="AH1019" s="21">
        <f t="shared" si="159"/>
        <v>1</v>
      </c>
    </row>
    <row r="1020" spans="1:34" hidden="1">
      <c r="A1020" t="s">
        <v>75</v>
      </c>
      <c r="B1020" s="18">
        <v>2029</v>
      </c>
      <c r="C1020" t="s">
        <v>197</v>
      </c>
      <c r="D1020" t="s">
        <v>177</v>
      </c>
      <c r="E1020" s="20" t="s">
        <v>289</v>
      </c>
      <c r="F1020" s="20" t="s">
        <v>290</v>
      </c>
      <c r="G1020" s="20" t="s">
        <v>201</v>
      </c>
      <c r="H1020" s="20" t="s">
        <v>192</v>
      </c>
      <c r="I1020" s="20" t="s">
        <v>264</v>
      </c>
      <c r="J1020" s="15">
        <f>IFERROR(INDEX(Cost_Components!$K$2:$K$27,MATCH(E1020,Cost_Components!$A$2:$A$27,0)),"")</f>
        <v>0.2</v>
      </c>
      <c r="K1020" s="15">
        <f t="shared" si="150"/>
        <v>0.40423076923076923</v>
      </c>
      <c r="L1020" s="15">
        <f>IFERROR(INDEX(Cost_Components!$S$2:$S$27,MATCH(E1020,Cost_Components!$A$2:$A$27,0)),"")</f>
        <v>0.31</v>
      </c>
      <c r="M1020" s="26">
        <f>IFERROR(INDEX(Cost_Components!$L$2:$L$27,MATCH(E1020,Cost_Components!$A$2:$A$27,0)),"")</f>
        <v>1</v>
      </c>
      <c r="N1020" s="27">
        <f>IFERROR(INDEX(Cost_Components!$P$2:$P$27,MATCH(E1020,Cost_Components!$A$2:$A$27,0)),"")</f>
        <v>29.216218999999999</v>
      </c>
      <c r="O1020" s="21">
        <f t="shared" si="151"/>
        <v>1130217.8324675721</v>
      </c>
      <c r="P1020" s="21">
        <f t="shared" si="152"/>
        <v>1142107.993713924</v>
      </c>
      <c r="Q1020" s="21">
        <f t="shared" si="153"/>
        <v>10344103.952458953</v>
      </c>
      <c r="R1020" s="21">
        <f t="shared" si="154"/>
        <v>13347979.610901102</v>
      </c>
      <c r="S1020" s="21">
        <f t="shared" si="155"/>
        <v>3003875.6584421489</v>
      </c>
      <c r="T1020" s="14">
        <f>IFERROR(INDEX(Cost_Components!$R$2:$R$27,MATCH(E1020,Cost_Components!$A$2:$A$27,0)),"")</f>
        <v>1</v>
      </c>
      <c r="U1020" s="24">
        <f>IFERROR(INDEX(Cost_Components!$Q$2:$Q$27,MATCH(E1020,Cost_Components!$A$2:$A$27,0)),"")</f>
        <v>2023</v>
      </c>
      <c r="V1020" s="28">
        <f>1/(1+Calculation_Assumptions!$B$5)^(B1020-Calculation_Assumptions!$B$2)</f>
        <v>0.888487047915689</v>
      </c>
      <c r="W1020" s="21">
        <f t="shared" si="156"/>
        <v>9190602.3840532657</v>
      </c>
      <c r="X1020" s="21">
        <f t="shared" si="157"/>
        <v>11859507.000128327</v>
      </c>
      <c r="Y1020" s="21">
        <f t="shared" si="158"/>
        <v>2668904.6160750613</v>
      </c>
      <c r="Z1020" s="15">
        <f>IFERROR(INDEX(Cost_Components!$T$2:$T$27,MATCH(E1020,Cost_Components!$A$2:$A$27,0)),"")</f>
        <v>0.8</v>
      </c>
      <c r="AA1020" s="24">
        <f>IFERROR(INDEX(Cost_Components!$U$2:$U$27,MATCH(E1020,Cost_Components!$A$2:$A$27,0)),"")</f>
        <v>2025</v>
      </c>
      <c r="AB1020" s="24">
        <f>IFERROR(INDEX(Cost_Components!$V$2:$V$27,MATCH(E1020,Cost_Components!$A$2:$A$27,0)),"")</f>
        <v>2050</v>
      </c>
      <c r="AC1020" s="24">
        <f>IFERROR(INDEX(Cost_Components!$M$2:$M$27,MATCH(E1020,Cost_Components!$A$2:$A$27,0)),"")</f>
        <v>30</v>
      </c>
      <c r="AD1020" s="24">
        <f>IFERROR(INDEX(Cost_Components!$N$2:$N$27,MATCH(E1020,Cost_Components!$A$2:$A$27,0)),"")</f>
        <v>95</v>
      </c>
      <c r="AE1020" s="14" t="str">
        <f>IFERROR(INDEX(Cost_Components!$O$2:$O$27,MATCH(E1020,Cost_Components!$A$2:$A$27,0)),"")</f>
        <v>Both</v>
      </c>
      <c r="AF1020" s="11">
        <v>5651089.1623378601</v>
      </c>
      <c r="AG1020" s="11">
        <v>5710539.9685696196</v>
      </c>
      <c r="AH1020" s="21">
        <f t="shared" si="159"/>
        <v>1</v>
      </c>
    </row>
    <row r="1021" spans="1:34" hidden="1">
      <c r="A1021" t="s">
        <v>75</v>
      </c>
      <c r="B1021" s="18">
        <v>2030</v>
      </c>
      <c r="C1021" t="s">
        <v>197</v>
      </c>
      <c r="D1021" t="s">
        <v>177</v>
      </c>
      <c r="E1021" s="20" t="s">
        <v>289</v>
      </c>
      <c r="F1021" s="20" t="s">
        <v>290</v>
      </c>
      <c r="G1021" s="20" t="s">
        <v>201</v>
      </c>
      <c r="H1021" s="20" t="s">
        <v>192</v>
      </c>
      <c r="I1021" s="20" t="s">
        <v>264</v>
      </c>
      <c r="J1021" s="15">
        <f>IFERROR(INDEX(Cost_Components!$K$2:$K$27,MATCH(E1021,Cost_Components!$A$2:$A$27,0)),"")</f>
        <v>0.2</v>
      </c>
      <c r="K1021" s="15">
        <f t="shared" si="150"/>
        <v>0.42307692307692307</v>
      </c>
      <c r="L1021" s="15">
        <f>IFERROR(INDEX(Cost_Components!$S$2:$S$27,MATCH(E1021,Cost_Components!$A$2:$A$27,0)),"")</f>
        <v>0.31</v>
      </c>
      <c r="M1021" s="26">
        <f>IFERROR(INDEX(Cost_Components!$L$2:$L$27,MATCH(E1021,Cost_Components!$A$2:$A$27,0)),"")</f>
        <v>1</v>
      </c>
      <c r="N1021" s="27">
        <f>IFERROR(INDEX(Cost_Components!$P$2:$P$27,MATCH(E1021,Cost_Components!$A$2:$A$27,0)),"")</f>
        <v>29.216218999999999</v>
      </c>
      <c r="O1021" s="21">
        <f t="shared" si="151"/>
        <v>1149974.768314762</v>
      </c>
      <c r="P1021" s="21">
        <f t="shared" si="152"/>
        <v>1166393.197493982</v>
      </c>
      <c r="Q1021" s="21">
        <f t="shared" si="153"/>
        <v>10564055.720409272</v>
      </c>
      <c r="R1021" s="21">
        <f t="shared" si="154"/>
        <v>14214502.362736223</v>
      </c>
      <c r="S1021" s="21">
        <f t="shared" si="155"/>
        <v>3650446.642326951</v>
      </c>
      <c r="T1021" s="14">
        <f>IFERROR(INDEX(Cost_Components!$R$2:$R$27,MATCH(E1021,Cost_Components!$A$2:$A$27,0)),"")</f>
        <v>1</v>
      </c>
      <c r="U1021" s="24">
        <f>IFERROR(INDEX(Cost_Components!$Q$2:$Q$27,MATCH(E1021,Cost_Components!$A$2:$A$27,0)),"")</f>
        <v>2023</v>
      </c>
      <c r="V1021" s="28">
        <f>1/(1+Calculation_Assumptions!$B$5)^(B1021-Calculation_Assumptions!$B$2)</f>
        <v>0.86260878438416411</v>
      </c>
      <c r="W1021" s="21">
        <f t="shared" si="156"/>
        <v>9112647.2631488182</v>
      </c>
      <c r="X1021" s="21">
        <f t="shared" si="157"/>
        <v>12261554.603745721</v>
      </c>
      <c r="Y1021" s="21">
        <f t="shared" si="158"/>
        <v>3148907.3405969045</v>
      </c>
      <c r="Z1021" s="15">
        <f>IFERROR(INDEX(Cost_Components!$T$2:$T$27,MATCH(E1021,Cost_Components!$A$2:$A$27,0)),"")</f>
        <v>0.8</v>
      </c>
      <c r="AA1021" s="24">
        <f>IFERROR(INDEX(Cost_Components!$U$2:$U$27,MATCH(E1021,Cost_Components!$A$2:$A$27,0)),"")</f>
        <v>2025</v>
      </c>
      <c r="AB1021" s="24">
        <f>IFERROR(INDEX(Cost_Components!$V$2:$V$27,MATCH(E1021,Cost_Components!$A$2:$A$27,0)),"")</f>
        <v>2050</v>
      </c>
      <c r="AC1021" s="24">
        <f>IFERROR(INDEX(Cost_Components!$M$2:$M$27,MATCH(E1021,Cost_Components!$A$2:$A$27,0)),"")</f>
        <v>30</v>
      </c>
      <c r="AD1021" s="24">
        <f>IFERROR(INDEX(Cost_Components!$N$2:$N$27,MATCH(E1021,Cost_Components!$A$2:$A$27,0)),"")</f>
        <v>95</v>
      </c>
      <c r="AE1021" s="14" t="str">
        <f>IFERROR(INDEX(Cost_Components!$O$2:$O$27,MATCH(E1021,Cost_Components!$A$2:$A$27,0)),"")</f>
        <v>Both</v>
      </c>
      <c r="AF1021" s="11">
        <v>5749873.8415738102</v>
      </c>
      <c r="AG1021" s="11">
        <v>5831965.9874699097</v>
      </c>
      <c r="AH1021" s="21">
        <f t="shared" si="159"/>
        <v>1</v>
      </c>
    </row>
    <row r="1022" spans="1:34" hidden="1">
      <c r="A1022" t="s">
        <v>75</v>
      </c>
      <c r="B1022" s="18">
        <v>2031</v>
      </c>
      <c r="C1022" t="s">
        <v>197</v>
      </c>
      <c r="D1022" t="s">
        <v>177</v>
      </c>
      <c r="E1022" s="20" t="s">
        <v>289</v>
      </c>
      <c r="F1022" s="20" t="s">
        <v>290</v>
      </c>
      <c r="G1022" s="20" t="s">
        <v>201</v>
      </c>
      <c r="H1022" s="20" t="s">
        <v>192</v>
      </c>
      <c r="I1022" s="20" t="s">
        <v>264</v>
      </c>
      <c r="J1022" s="15">
        <f>IFERROR(INDEX(Cost_Components!$K$2:$K$27,MATCH(E1022,Cost_Components!$A$2:$A$27,0)),"")</f>
        <v>0.2</v>
      </c>
      <c r="K1022" s="15">
        <f t="shared" si="150"/>
        <v>0.44192307692307692</v>
      </c>
      <c r="L1022" s="15">
        <f>IFERROR(INDEX(Cost_Components!$S$2:$S$27,MATCH(E1022,Cost_Components!$A$2:$A$27,0)),"")</f>
        <v>0.31</v>
      </c>
      <c r="M1022" s="26">
        <f>IFERROR(INDEX(Cost_Components!$L$2:$L$27,MATCH(E1022,Cost_Components!$A$2:$A$27,0)),"")</f>
        <v>1</v>
      </c>
      <c r="N1022" s="27">
        <f>IFERROR(INDEX(Cost_Components!$P$2:$P$27,MATCH(E1022,Cost_Components!$A$2:$A$27,0)),"")</f>
        <v>29.216218999999999</v>
      </c>
      <c r="O1022" s="21">
        <f t="shared" si="151"/>
        <v>1168703.359516154</v>
      </c>
      <c r="P1022" s="21">
        <f t="shared" si="152"/>
        <v>1190292.3125829461</v>
      </c>
      <c r="Q1022" s="21">
        <f t="shared" si="153"/>
        <v>10780510.672316341</v>
      </c>
      <c r="R1022" s="21">
        <f t="shared" si="154"/>
        <v>15089504.691927301</v>
      </c>
      <c r="S1022" s="21">
        <f t="shared" si="155"/>
        <v>4308994.01961096</v>
      </c>
      <c r="T1022" s="14">
        <f>IFERROR(INDEX(Cost_Components!$R$2:$R$27,MATCH(E1022,Cost_Components!$A$2:$A$27,0)),"")</f>
        <v>1</v>
      </c>
      <c r="U1022" s="24">
        <f>IFERROR(INDEX(Cost_Components!$Q$2:$Q$27,MATCH(E1022,Cost_Components!$A$2:$A$27,0)),"")</f>
        <v>2023</v>
      </c>
      <c r="V1022" s="28">
        <f>1/(1+Calculation_Assumptions!$B$5)^(B1022-Calculation_Assumptions!$B$2)</f>
        <v>0.83748425668365445</v>
      </c>
      <c r="W1022" s="21">
        <f t="shared" si="156"/>
        <v>9028507.9670750536</v>
      </c>
      <c r="X1022" s="21">
        <f t="shared" si="157"/>
        <v>12637222.620643253</v>
      </c>
      <c r="Y1022" s="21">
        <f t="shared" si="158"/>
        <v>3608714.653568197</v>
      </c>
      <c r="Z1022" s="15">
        <f>IFERROR(INDEX(Cost_Components!$T$2:$T$27,MATCH(E1022,Cost_Components!$A$2:$A$27,0)),"")</f>
        <v>0.8</v>
      </c>
      <c r="AA1022" s="24">
        <f>IFERROR(INDEX(Cost_Components!$U$2:$U$27,MATCH(E1022,Cost_Components!$A$2:$A$27,0)),"")</f>
        <v>2025</v>
      </c>
      <c r="AB1022" s="24">
        <f>IFERROR(INDEX(Cost_Components!$V$2:$V$27,MATCH(E1022,Cost_Components!$A$2:$A$27,0)),"")</f>
        <v>2050</v>
      </c>
      <c r="AC1022" s="24">
        <f>IFERROR(INDEX(Cost_Components!$M$2:$M$27,MATCH(E1022,Cost_Components!$A$2:$A$27,0)),"")</f>
        <v>30</v>
      </c>
      <c r="AD1022" s="24">
        <f>IFERROR(INDEX(Cost_Components!$N$2:$N$27,MATCH(E1022,Cost_Components!$A$2:$A$27,0)),"")</f>
        <v>95</v>
      </c>
      <c r="AE1022" s="14" t="str">
        <f>IFERROR(INDEX(Cost_Components!$O$2:$O$27,MATCH(E1022,Cost_Components!$A$2:$A$27,0)),"")</f>
        <v>Both</v>
      </c>
      <c r="AF1022" s="11">
        <v>5843516.7975807702</v>
      </c>
      <c r="AG1022" s="11">
        <v>5951461.56291473</v>
      </c>
      <c r="AH1022" s="21">
        <f t="shared" si="159"/>
        <v>1</v>
      </c>
    </row>
    <row r="1023" spans="1:34" hidden="1">
      <c r="A1023" t="s">
        <v>75</v>
      </c>
      <c r="B1023" s="18">
        <v>2032</v>
      </c>
      <c r="C1023" t="s">
        <v>197</v>
      </c>
      <c r="D1023" t="s">
        <v>177</v>
      </c>
      <c r="E1023" s="20" t="s">
        <v>289</v>
      </c>
      <c r="F1023" s="20" t="s">
        <v>290</v>
      </c>
      <c r="G1023" s="20" t="s">
        <v>201</v>
      </c>
      <c r="H1023" s="20" t="s">
        <v>192</v>
      </c>
      <c r="I1023" s="20" t="s">
        <v>264</v>
      </c>
      <c r="J1023" s="15">
        <f>IFERROR(INDEX(Cost_Components!$K$2:$K$27,MATCH(E1023,Cost_Components!$A$2:$A$27,0)),"")</f>
        <v>0.2</v>
      </c>
      <c r="K1023" s="15">
        <f t="shared" si="150"/>
        <v>0.46076923076923082</v>
      </c>
      <c r="L1023" s="15">
        <f>IFERROR(INDEX(Cost_Components!$S$2:$S$27,MATCH(E1023,Cost_Components!$A$2:$A$27,0)),"")</f>
        <v>0.31</v>
      </c>
      <c r="M1023" s="26">
        <f>IFERROR(INDEX(Cost_Components!$L$2:$L$27,MATCH(E1023,Cost_Components!$A$2:$A$27,0)),"")</f>
        <v>1</v>
      </c>
      <c r="N1023" s="27">
        <f>IFERROR(INDEX(Cost_Components!$P$2:$P$27,MATCH(E1023,Cost_Components!$A$2:$A$27,0)),"")</f>
        <v>29.216218999999999</v>
      </c>
      <c r="O1023" s="21">
        <f t="shared" si="151"/>
        <v>1186408.3540079261</v>
      </c>
      <c r="P1023" s="21">
        <f t="shared" si="152"/>
        <v>1213778.436165842</v>
      </c>
      <c r="Q1023" s="21">
        <f t="shared" si="153"/>
        <v>10993225.148634616</v>
      </c>
      <c r="R1023" s="21">
        <f t="shared" si="154"/>
        <v>15971351.853985336</v>
      </c>
      <c r="S1023" s="21">
        <f t="shared" si="155"/>
        <v>4978126.7053507194</v>
      </c>
      <c r="T1023" s="14">
        <f>IFERROR(INDEX(Cost_Components!$R$2:$R$27,MATCH(E1023,Cost_Components!$A$2:$A$27,0)),"")</f>
        <v>1</v>
      </c>
      <c r="U1023" s="24">
        <f>IFERROR(INDEX(Cost_Components!$Q$2:$Q$27,MATCH(E1023,Cost_Components!$A$2:$A$27,0)),"")</f>
        <v>2023</v>
      </c>
      <c r="V1023" s="28">
        <f>1/(1+Calculation_Assumptions!$B$5)^(B1023-Calculation_Assumptions!$B$2)</f>
        <v>0.81309151134335378</v>
      </c>
      <c r="W1023" s="21">
        <f t="shared" si="156"/>
        <v>8938498.050641086</v>
      </c>
      <c r="X1023" s="21">
        <f t="shared" si="157"/>
        <v>12986170.617153412</v>
      </c>
      <c r="Y1023" s="21">
        <f t="shared" si="158"/>
        <v>4047672.5665123267</v>
      </c>
      <c r="Z1023" s="15">
        <f>IFERROR(INDEX(Cost_Components!$T$2:$T$27,MATCH(E1023,Cost_Components!$A$2:$A$27,0)),"")</f>
        <v>0.8</v>
      </c>
      <c r="AA1023" s="24">
        <f>IFERROR(INDEX(Cost_Components!$U$2:$U$27,MATCH(E1023,Cost_Components!$A$2:$A$27,0)),"")</f>
        <v>2025</v>
      </c>
      <c r="AB1023" s="24">
        <f>IFERROR(INDEX(Cost_Components!$V$2:$V$27,MATCH(E1023,Cost_Components!$A$2:$A$27,0)),"")</f>
        <v>2050</v>
      </c>
      <c r="AC1023" s="24">
        <f>IFERROR(INDEX(Cost_Components!$M$2:$M$27,MATCH(E1023,Cost_Components!$A$2:$A$27,0)),"")</f>
        <v>30</v>
      </c>
      <c r="AD1023" s="24">
        <f>IFERROR(INDEX(Cost_Components!$N$2:$N$27,MATCH(E1023,Cost_Components!$A$2:$A$27,0)),"")</f>
        <v>95</v>
      </c>
      <c r="AE1023" s="14" t="str">
        <f>IFERROR(INDEX(Cost_Components!$O$2:$O$27,MATCH(E1023,Cost_Components!$A$2:$A$27,0)),"")</f>
        <v>Both</v>
      </c>
      <c r="AF1023" s="11">
        <v>5932041.7700396301</v>
      </c>
      <c r="AG1023" s="11">
        <v>6068892.1808292102</v>
      </c>
      <c r="AH1023" s="21">
        <f t="shared" si="159"/>
        <v>1</v>
      </c>
    </row>
    <row r="1024" spans="1:34" hidden="1">
      <c r="A1024" t="s">
        <v>75</v>
      </c>
      <c r="B1024" s="18">
        <v>2033</v>
      </c>
      <c r="C1024" t="s">
        <v>197</v>
      </c>
      <c r="D1024" t="s">
        <v>177</v>
      </c>
      <c r="E1024" s="20" t="s">
        <v>289</v>
      </c>
      <c r="F1024" s="20" t="s">
        <v>290</v>
      </c>
      <c r="G1024" s="20" t="s">
        <v>201</v>
      </c>
      <c r="H1024" s="20" t="s">
        <v>192</v>
      </c>
      <c r="I1024" s="20" t="s">
        <v>264</v>
      </c>
      <c r="J1024" s="15">
        <f>IFERROR(INDEX(Cost_Components!$K$2:$K$27,MATCH(E1024,Cost_Components!$A$2:$A$27,0)),"")</f>
        <v>0.2</v>
      </c>
      <c r="K1024" s="15">
        <f t="shared" si="150"/>
        <v>0.47961538461538467</v>
      </c>
      <c r="L1024" s="15">
        <f>IFERROR(INDEX(Cost_Components!$S$2:$S$27,MATCH(E1024,Cost_Components!$A$2:$A$27,0)),"")</f>
        <v>0.31</v>
      </c>
      <c r="M1024" s="26">
        <f>IFERROR(INDEX(Cost_Components!$L$2:$L$27,MATCH(E1024,Cost_Components!$A$2:$A$27,0)),"")</f>
        <v>1</v>
      </c>
      <c r="N1024" s="27">
        <f>IFERROR(INDEX(Cost_Components!$P$2:$P$27,MATCH(E1024,Cost_Components!$A$2:$A$27,0)),"")</f>
        <v>29.216218999999999</v>
      </c>
      <c r="O1024" s="21">
        <f t="shared" si="151"/>
        <v>1203061.147119374</v>
      </c>
      <c r="P1024" s="21">
        <f t="shared" si="152"/>
        <v>1236789.2477787901</v>
      </c>
      <c r="Q1024" s="21">
        <f t="shared" si="153"/>
        <v>11201634.711184623</v>
      </c>
      <c r="R1024" s="21">
        <f t="shared" si="154"/>
        <v>16857952.206521027</v>
      </c>
      <c r="S1024" s="21">
        <f t="shared" si="155"/>
        <v>5656317.4953364041</v>
      </c>
      <c r="T1024" s="14">
        <f>IFERROR(INDEX(Cost_Components!$R$2:$R$27,MATCH(E1024,Cost_Components!$A$2:$A$27,0)),"")</f>
        <v>1</v>
      </c>
      <c r="U1024" s="24">
        <f>IFERROR(INDEX(Cost_Components!$Q$2:$Q$27,MATCH(E1024,Cost_Components!$A$2:$A$27,0)),"")</f>
        <v>2023</v>
      </c>
      <c r="V1024" s="28">
        <f>1/(1+Calculation_Assumptions!$B$5)^(B1024-Calculation_Assumptions!$B$2)</f>
        <v>0.78940923431393573</v>
      </c>
      <c r="W1024" s="21">
        <f t="shared" si="156"/>
        <v>8842673.8804206569</v>
      </c>
      <c r="X1024" s="21">
        <f t="shared" si="157"/>
        <v>13307823.143450687</v>
      </c>
      <c r="Y1024" s="21">
        <f t="shared" si="158"/>
        <v>4465149.2630300298</v>
      </c>
      <c r="Z1024" s="15">
        <f>IFERROR(INDEX(Cost_Components!$T$2:$T$27,MATCH(E1024,Cost_Components!$A$2:$A$27,0)),"")</f>
        <v>0.8</v>
      </c>
      <c r="AA1024" s="24">
        <f>IFERROR(INDEX(Cost_Components!$U$2:$U$27,MATCH(E1024,Cost_Components!$A$2:$A$27,0)),"")</f>
        <v>2025</v>
      </c>
      <c r="AB1024" s="24">
        <f>IFERROR(INDEX(Cost_Components!$V$2:$V$27,MATCH(E1024,Cost_Components!$A$2:$A$27,0)),"")</f>
        <v>2050</v>
      </c>
      <c r="AC1024" s="24">
        <f>IFERROR(INDEX(Cost_Components!$M$2:$M$27,MATCH(E1024,Cost_Components!$A$2:$A$27,0)),"")</f>
        <v>30</v>
      </c>
      <c r="AD1024" s="24">
        <f>IFERROR(INDEX(Cost_Components!$N$2:$N$27,MATCH(E1024,Cost_Components!$A$2:$A$27,0)),"")</f>
        <v>95</v>
      </c>
      <c r="AE1024" s="14" t="str">
        <f>IFERROR(INDEX(Cost_Components!$O$2:$O$27,MATCH(E1024,Cost_Components!$A$2:$A$27,0)),"")</f>
        <v>Both</v>
      </c>
      <c r="AF1024" s="11">
        <v>6015305.7355968701</v>
      </c>
      <c r="AG1024" s="11">
        <v>6183946.2388939504</v>
      </c>
      <c r="AH1024" s="21">
        <f t="shared" si="159"/>
        <v>1</v>
      </c>
    </row>
    <row r="1025" spans="1:34" hidden="1">
      <c r="A1025" t="s">
        <v>75</v>
      </c>
      <c r="B1025" s="18">
        <v>2034</v>
      </c>
      <c r="C1025" t="s">
        <v>197</v>
      </c>
      <c r="D1025" t="s">
        <v>177</v>
      </c>
      <c r="E1025" s="20" t="s">
        <v>289</v>
      </c>
      <c r="F1025" s="20" t="s">
        <v>290</v>
      </c>
      <c r="G1025" s="20" t="s">
        <v>201</v>
      </c>
      <c r="H1025" s="20" t="s">
        <v>192</v>
      </c>
      <c r="I1025" s="20" t="s">
        <v>264</v>
      </c>
      <c r="J1025" s="15">
        <f>IFERROR(INDEX(Cost_Components!$K$2:$K$27,MATCH(E1025,Cost_Components!$A$2:$A$27,0)),"")</f>
        <v>0.2</v>
      </c>
      <c r="K1025" s="15">
        <f t="shared" si="150"/>
        <v>0.49846153846153851</v>
      </c>
      <c r="L1025" s="15">
        <f>IFERROR(INDEX(Cost_Components!$S$2:$S$27,MATCH(E1025,Cost_Components!$A$2:$A$27,0)),"")</f>
        <v>0.31</v>
      </c>
      <c r="M1025" s="26">
        <f>IFERROR(INDEX(Cost_Components!$L$2:$L$27,MATCH(E1025,Cost_Components!$A$2:$A$27,0)),"")</f>
        <v>1</v>
      </c>
      <c r="N1025" s="27">
        <f>IFERROR(INDEX(Cost_Components!$P$2:$P$27,MATCH(E1025,Cost_Components!$A$2:$A$27,0)),"")</f>
        <v>29.216218999999999</v>
      </c>
      <c r="O1025" s="21">
        <f t="shared" si="151"/>
        <v>1218658.47606695</v>
      </c>
      <c r="P1025" s="21">
        <f t="shared" si="152"/>
        <v>1259286.2600290061</v>
      </c>
      <c r="Q1025" s="21">
        <f t="shared" si="153"/>
        <v>11405390.778576499</v>
      </c>
      <c r="R1025" s="21">
        <f t="shared" si="154"/>
        <v>17747520.164684553</v>
      </c>
      <c r="S1025" s="21">
        <f t="shared" si="155"/>
        <v>6342129.3861080538</v>
      </c>
      <c r="T1025" s="14">
        <f>IFERROR(INDEX(Cost_Components!$R$2:$R$27,MATCH(E1025,Cost_Components!$A$2:$A$27,0)),"")</f>
        <v>1</v>
      </c>
      <c r="U1025" s="24">
        <f>IFERROR(INDEX(Cost_Components!$Q$2:$Q$27,MATCH(E1025,Cost_Components!$A$2:$A$27,0)),"")</f>
        <v>2023</v>
      </c>
      <c r="V1025" s="28">
        <f>1/(1+Calculation_Assumptions!$B$5)^(B1025-Calculation_Assumptions!$B$2)</f>
        <v>0.76641673234362695</v>
      </c>
      <c r="W1025" s="21">
        <f t="shared" si="156"/>
        <v>8741282.3316187356</v>
      </c>
      <c r="X1025" s="21">
        <f t="shared" si="157"/>
        <v>13601996.411820162</v>
      </c>
      <c r="Y1025" s="21">
        <f t="shared" si="158"/>
        <v>4860714.0802014275</v>
      </c>
      <c r="Z1025" s="15">
        <f>IFERROR(INDEX(Cost_Components!$T$2:$T$27,MATCH(E1025,Cost_Components!$A$2:$A$27,0)),"")</f>
        <v>0.8</v>
      </c>
      <c r="AA1025" s="24">
        <f>IFERROR(INDEX(Cost_Components!$U$2:$U$27,MATCH(E1025,Cost_Components!$A$2:$A$27,0)),"")</f>
        <v>2025</v>
      </c>
      <c r="AB1025" s="24">
        <f>IFERROR(INDEX(Cost_Components!$V$2:$V$27,MATCH(E1025,Cost_Components!$A$2:$A$27,0)),"")</f>
        <v>2050</v>
      </c>
      <c r="AC1025" s="24">
        <f>IFERROR(INDEX(Cost_Components!$M$2:$M$27,MATCH(E1025,Cost_Components!$A$2:$A$27,0)),"")</f>
        <v>30</v>
      </c>
      <c r="AD1025" s="24">
        <f>IFERROR(INDEX(Cost_Components!$N$2:$N$27,MATCH(E1025,Cost_Components!$A$2:$A$27,0)),"")</f>
        <v>95</v>
      </c>
      <c r="AE1025" s="14" t="str">
        <f>IFERROR(INDEX(Cost_Components!$O$2:$O$27,MATCH(E1025,Cost_Components!$A$2:$A$27,0)),"")</f>
        <v>Both</v>
      </c>
      <c r="AF1025" s="11">
        <v>6093292.3803347498</v>
      </c>
      <c r="AG1025" s="11">
        <v>6296431.30014503</v>
      </c>
      <c r="AH1025" s="21">
        <f t="shared" si="159"/>
        <v>1</v>
      </c>
    </row>
    <row r="1026" spans="1:34" hidden="1">
      <c r="A1026" t="s">
        <v>75</v>
      </c>
      <c r="B1026" s="18">
        <v>2035</v>
      </c>
      <c r="C1026" t="s">
        <v>197</v>
      </c>
      <c r="D1026" t="s">
        <v>177</v>
      </c>
      <c r="E1026" s="20" t="s">
        <v>289</v>
      </c>
      <c r="F1026" s="20" t="s">
        <v>290</v>
      </c>
      <c r="G1026" s="20" t="s">
        <v>201</v>
      </c>
      <c r="H1026" s="20" t="s">
        <v>192</v>
      </c>
      <c r="I1026" s="20" t="s">
        <v>264</v>
      </c>
      <c r="J1026" s="15">
        <f>IFERROR(INDEX(Cost_Components!$K$2:$K$27,MATCH(E1026,Cost_Components!$A$2:$A$27,0)),"")</f>
        <v>0.2</v>
      </c>
      <c r="K1026" s="15">
        <f t="shared" ref="K1026:K1089" si="160">IF(OR(L1026="",Z1026="",AA1026="",AB1026=""),"",IF(B1026&lt;AA1026,L1026,IF(B1026&gt;AB1026,Z1026,L1026+(Z1026-L1026)*MIN(MAX((B1026-AA1026+1)/MAX(AB1026-AA1026+1,1),0),1))))</f>
        <v>0.51730769230769236</v>
      </c>
      <c r="L1026" s="15">
        <f>IFERROR(INDEX(Cost_Components!$S$2:$S$27,MATCH(E1026,Cost_Components!$A$2:$A$27,0)),"")</f>
        <v>0.31</v>
      </c>
      <c r="M1026" s="26">
        <f>IFERROR(INDEX(Cost_Components!$L$2:$L$27,MATCH(E1026,Cost_Components!$A$2:$A$27,0)),"")</f>
        <v>1</v>
      </c>
      <c r="N1026" s="27">
        <f>IFERROR(INDEX(Cost_Components!$P$2:$P$27,MATCH(E1026,Cost_Components!$A$2:$A$27,0)),"")</f>
        <v>29.216218999999999</v>
      </c>
      <c r="O1026" s="21">
        <f t="shared" ref="O1026:O1089" si="161">AF1026*J1026</f>
        <v>1233236.080440694</v>
      </c>
      <c r="P1026" s="21">
        <f t="shared" ref="P1026:P1089" si="162">AG1026*J1026</f>
        <v>1281269.6540089762</v>
      </c>
      <c r="Q1026" s="21">
        <f t="shared" ref="Q1026:Q1089" si="163">P1026*L1026*M1026*N1026</f>
        <v>11604494.990969947</v>
      </c>
      <c r="R1026" s="21">
        <f t="shared" ref="R1026:R1089" si="164">O1026*K1026*M1026*N1026</f>
        <v>18638852.430589452</v>
      </c>
      <c r="S1026" s="21">
        <f t="shared" ref="S1026:S1089" si="165">R1026-Q1026</f>
        <v>7034357.4396195058</v>
      </c>
      <c r="T1026" s="14">
        <f>IFERROR(INDEX(Cost_Components!$R$2:$R$27,MATCH(E1026,Cost_Components!$A$2:$A$27,0)),"")</f>
        <v>1</v>
      </c>
      <c r="U1026" s="24">
        <f>IFERROR(INDEX(Cost_Components!$Q$2:$Q$27,MATCH(E1026,Cost_Components!$A$2:$A$27,0)),"")</f>
        <v>2023</v>
      </c>
      <c r="V1026" s="28">
        <f>1/(1+Calculation_Assumptions!$B$5)^(B1026-Calculation_Assumptions!$B$2)</f>
        <v>0.74409391489672516</v>
      </c>
      <c r="W1026" s="21">
        <f t="shared" ref="W1026:W1089" si="166">Q1026*V1026</f>
        <v>8634834.1082302649</v>
      </c>
      <c r="X1026" s="21">
        <f t="shared" ref="X1026:X1089" si="167">R1026*V1026</f>
        <v>13869056.674259648</v>
      </c>
      <c r="Y1026" s="21">
        <f t="shared" ref="Y1026:Y1089" si="168">S1026*V1026</f>
        <v>5234222.5660293819</v>
      </c>
      <c r="Z1026" s="15">
        <f>IFERROR(INDEX(Cost_Components!$T$2:$T$27,MATCH(E1026,Cost_Components!$A$2:$A$27,0)),"")</f>
        <v>0.8</v>
      </c>
      <c r="AA1026" s="24">
        <f>IFERROR(INDEX(Cost_Components!$U$2:$U$27,MATCH(E1026,Cost_Components!$A$2:$A$27,0)),"")</f>
        <v>2025</v>
      </c>
      <c r="AB1026" s="24">
        <f>IFERROR(INDEX(Cost_Components!$V$2:$V$27,MATCH(E1026,Cost_Components!$A$2:$A$27,0)),"")</f>
        <v>2050</v>
      </c>
      <c r="AC1026" s="24">
        <f>IFERROR(INDEX(Cost_Components!$M$2:$M$27,MATCH(E1026,Cost_Components!$A$2:$A$27,0)),"")</f>
        <v>30</v>
      </c>
      <c r="AD1026" s="24">
        <f>IFERROR(INDEX(Cost_Components!$N$2:$N$27,MATCH(E1026,Cost_Components!$A$2:$A$27,0)),"")</f>
        <v>95</v>
      </c>
      <c r="AE1026" s="14" t="str">
        <f>IFERROR(INDEX(Cost_Components!$O$2:$O$27,MATCH(E1026,Cost_Components!$A$2:$A$27,0)),"")</f>
        <v>Both</v>
      </c>
      <c r="AF1026" s="11">
        <v>6166180.4022034695</v>
      </c>
      <c r="AG1026" s="11">
        <v>6406348.27004488</v>
      </c>
      <c r="AH1026" s="21">
        <f t="shared" ref="AH1026:AH1089" si="169">IF(H1026="shared-count-once",COUNTIFS($A$2:$A$1353,A1026,$B$2:$B$1353,B1026,$E$2:$E$1353,E1026),1)</f>
        <v>1</v>
      </c>
    </row>
    <row r="1027" spans="1:34" hidden="1">
      <c r="A1027" t="s">
        <v>75</v>
      </c>
      <c r="B1027" s="18">
        <v>2036</v>
      </c>
      <c r="C1027" t="s">
        <v>197</v>
      </c>
      <c r="D1027" t="s">
        <v>177</v>
      </c>
      <c r="E1027" s="20" t="s">
        <v>289</v>
      </c>
      <c r="F1027" s="20" t="s">
        <v>290</v>
      </c>
      <c r="G1027" s="20" t="s">
        <v>201</v>
      </c>
      <c r="H1027" s="20" t="s">
        <v>192</v>
      </c>
      <c r="I1027" s="20" t="s">
        <v>264</v>
      </c>
      <c r="J1027" s="15">
        <f>IFERROR(INDEX(Cost_Components!$K$2:$K$27,MATCH(E1027,Cost_Components!$A$2:$A$27,0)),"")</f>
        <v>0.2</v>
      </c>
      <c r="K1027" s="15">
        <f t="shared" si="160"/>
        <v>0.5361538461538462</v>
      </c>
      <c r="L1027" s="15">
        <f>IFERROR(INDEX(Cost_Components!$S$2:$S$27,MATCH(E1027,Cost_Components!$A$2:$A$27,0)),"")</f>
        <v>0.31</v>
      </c>
      <c r="M1027" s="26">
        <f>IFERROR(INDEX(Cost_Components!$L$2:$L$27,MATCH(E1027,Cost_Components!$A$2:$A$27,0)),"")</f>
        <v>1</v>
      </c>
      <c r="N1027" s="27">
        <f>IFERROR(INDEX(Cost_Components!$P$2:$P$27,MATCH(E1027,Cost_Components!$A$2:$A$27,0)),"")</f>
        <v>29.216218999999999</v>
      </c>
      <c r="O1027" s="21">
        <f t="shared" si="161"/>
        <v>1246870.8018026161</v>
      </c>
      <c r="P1027" s="21">
        <f t="shared" si="162"/>
        <v>1302779.9398582922</v>
      </c>
      <c r="Q1027" s="21">
        <f t="shared" si="163"/>
        <v>11799314.249829074</v>
      </c>
      <c r="R1027" s="21">
        <f t="shared" si="164"/>
        <v>19531468.258376203</v>
      </c>
      <c r="S1027" s="21">
        <f t="shared" si="165"/>
        <v>7732154.0085471291</v>
      </c>
      <c r="T1027" s="14">
        <f>IFERROR(INDEX(Cost_Components!$R$2:$R$27,MATCH(E1027,Cost_Components!$A$2:$A$27,0)),"")</f>
        <v>1</v>
      </c>
      <c r="U1027" s="24">
        <f>IFERROR(INDEX(Cost_Components!$Q$2:$Q$27,MATCH(E1027,Cost_Components!$A$2:$A$27,0)),"")</f>
        <v>2023</v>
      </c>
      <c r="V1027" s="28">
        <f>1/(1+Calculation_Assumptions!$B$5)^(B1027-Calculation_Assumptions!$B$2)</f>
        <v>0.72242127659876232</v>
      </c>
      <c r="W1027" s="21">
        <f t="shared" si="166"/>
        <v>8524075.6633514874</v>
      </c>
      <c r="X1027" s="21">
        <f t="shared" si="167"/>
        <v>14109948.233064342</v>
      </c>
      <c r="Y1027" s="21">
        <f t="shared" si="168"/>
        <v>5585872.569712854</v>
      </c>
      <c r="Z1027" s="15">
        <f>IFERROR(INDEX(Cost_Components!$T$2:$T$27,MATCH(E1027,Cost_Components!$A$2:$A$27,0)),"")</f>
        <v>0.8</v>
      </c>
      <c r="AA1027" s="24">
        <f>IFERROR(INDEX(Cost_Components!$U$2:$U$27,MATCH(E1027,Cost_Components!$A$2:$A$27,0)),"")</f>
        <v>2025</v>
      </c>
      <c r="AB1027" s="24">
        <f>IFERROR(INDEX(Cost_Components!$V$2:$V$27,MATCH(E1027,Cost_Components!$A$2:$A$27,0)),"")</f>
        <v>2050</v>
      </c>
      <c r="AC1027" s="24">
        <f>IFERROR(INDEX(Cost_Components!$M$2:$M$27,MATCH(E1027,Cost_Components!$A$2:$A$27,0)),"")</f>
        <v>30</v>
      </c>
      <c r="AD1027" s="24">
        <f>IFERROR(INDEX(Cost_Components!$N$2:$N$27,MATCH(E1027,Cost_Components!$A$2:$A$27,0)),"")</f>
        <v>95</v>
      </c>
      <c r="AE1027" s="14" t="str">
        <f>IFERROR(INDEX(Cost_Components!$O$2:$O$27,MATCH(E1027,Cost_Components!$A$2:$A$27,0)),"")</f>
        <v>Both</v>
      </c>
      <c r="AF1027" s="11">
        <v>6234354.00901308</v>
      </c>
      <c r="AG1027" s="11">
        <v>6513899.6992914602</v>
      </c>
      <c r="AH1027" s="21">
        <f t="shared" si="169"/>
        <v>1</v>
      </c>
    </row>
    <row r="1028" spans="1:34" hidden="1">
      <c r="A1028" t="s">
        <v>75</v>
      </c>
      <c r="B1028" s="18">
        <v>2037</v>
      </c>
      <c r="C1028" t="s">
        <v>197</v>
      </c>
      <c r="D1028" t="s">
        <v>177</v>
      </c>
      <c r="E1028" s="20" t="s">
        <v>289</v>
      </c>
      <c r="F1028" s="20" t="s">
        <v>290</v>
      </c>
      <c r="G1028" s="20" t="s">
        <v>201</v>
      </c>
      <c r="H1028" s="20" t="s">
        <v>192</v>
      </c>
      <c r="I1028" s="20" t="s">
        <v>264</v>
      </c>
      <c r="J1028" s="15">
        <f>IFERROR(INDEX(Cost_Components!$K$2:$K$27,MATCH(E1028,Cost_Components!$A$2:$A$27,0)),"")</f>
        <v>0.2</v>
      </c>
      <c r="K1028" s="15">
        <f t="shared" si="160"/>
        <v>0.55500000000000005</v>
      </c>
      <c r="L1028" s="15">
        <f>IFERROR(INDEX(Cost_Components!$S$2:$S$27,MATCH(E1028,Cost_Components!$A$2:$A$27,0)),"")</f>
        <v>0.31</v>
      </c>
      <c r="M1028" s="26">
        <f>IFERROR(INDEX(Cost_Components!$L$2:$L$27,MATCH(E1028,Cost_Components!$A$2:$A$27,0)),"")</f>
        <v>1</v>
      </c>
      <c r="N1028" s="27">
        <f>IFERROR(INDEX(Cost_Components!$P$2:$P$27,MATCH(E1028,Cost_Components!$A$2:$A$27,0)),"")</f>
        <v>29.216218999999999</v>
      </c>
      <c r="O1028" s="21">
        <f t="shared" si="161"/>
        <v>1259561.6708776362</v>
      </c>
      <c r="P1028" s="21">
        <f t="shared" si="162"/>
        <v>1323777.749244608</v>
      </c>
      <c r="Q1028" s="21">
        <f t="shared" si="163"/>
        <v>11989491.995069841</v>
      </c>
      <c r="R1028" s="21">
        <f t="shared" si="164"/>
        <v>20423794.439303651</v>
      </c>
      <c r="S1028" s="21">
        <f t="shared" si="165"/>
        <v>8434302.4442338105</v>
      </c>
      <c r="T1028" s="14">
        <f>IFERROR(INDEX(Cost_Components!$R$2:$R$27,MATCH(E1028,Cost_Components!$A$2:$A$27,0)),"")</f>
        <v>1</v>
      </c>
      <c r="U1028" s="24">
        <f>IFERROR(INDEX(Cost_Components!$Q$2:$Q$27,MATCH(E1028,Cost_Components!$A$2:$A$27,0)),"")</f>
        <v>2023</v>
      </c>
      <c r="V1028" s="28">
        <f>1/(1+Calculation_Assumptions!$B$5)^(B1028-Calculation_Assumptions!$B$2)</f>
        <v>0.70137988019297326</v>
      </c>
      <c r="W1028" s="21">
        <f t="shared" si="166"/>
        <v>8409188.459076697</v>
      </c>
      <c r="X1028" s="21">
        <f t="shared" si="167"/>
        <v>14324838.496924708</v>
      </c>
      <c r="Y1028" s="21">
        <f t="shared" si="168"/>
        <v>5915650.0378480116</v>
      </c>
      <c r="Z1028" s="15">
        <f>IFERROR(INDEX(Cost_Components!$T$2:$T$27,MATCH(E1028,Cost_Components!$A$2:$A$27,0)),"")</f>
        <v>0.8</v>
      </c>
      <c r="AA1028" s="24">
        <f>IFERROR(INDEX(Cost_Components!$U$2:$U$27,MATCH(E1028,Cost_Components!$A$2:$A$27,0)),"")</f>
        <v>2025</v>
      </c>
      <c r="AB1028" s="24">
        <f>IFERROR(INDEX(Cost_Components!$V$2:$V$27,MATCH(E1028,Cost_Components!$A$2:$A$27,0)),"")</f>
        <v>2050</v>
      </c>
      <c r="AC1028" s="24">
        <f>IFERROR(INDEX(Cost_Components!$M$2:$M$27,MATCH(E1028,Cost_Components!$A$2:$A$27,0)),"")</f>
        <v>30</v>
      </c>
      <c r="AD1028" s="24">
        <f>IFERROR(INDEX(Cost_Components!$N$2:$N$27,MATCH(E1028,Cost_Components!$A$2:$A$27,0)),"")</f>
        <v>95</v>
      </c>
      <c r="AE1028" s="14" t="str">
        <f>IFERROR(INDEX(Cost_Components!$O$2:$O$27,MATCH(E1028,Cost_Components!$A$2:$A$27,0)),"")</f>
        <v>Both</v>
      </c>
      <c r="AF1028" s="11">
        <v>6297808.3543881802</v>
      </c>
      <c r="AG1028" s="11">
        <v>6618888.7462230399</v>
      </c>
      <c r="AH1028" s="21">
        <f t="shared" si="169"/>
        <v>1</v>
      </c>
    </row>
    <row r="1029" spans="1:34" hidden="1">
      <c r="A1029" t="s">
        <v>75</v>
      </c>
      <c r="B1029" s="18">
        <v>2038</v>
      </c>
      <c r="C1029" t="s">
        <v>197</v>
      </c>
      <c r="D1029" t="s">
        <v>177</v>
      </c>
      <c r="E1029" s="20" t="s">
        <v>289</v>
      </c>
      <c r="F1029" s="20" t="s">
        <v>290</v>
      </c>
      <c r="G1029" s="20" t="s">
        <v>201</v>
      </c>
      <c r="H1029" s="20" t="s">
        <v>192</v>
      </c>
      <c r="I1029" s="20" t="s">
        <v>264</v>
      </c>
      <c r="J1029" s="15">
        <f>IFERROR(INDEX(Cost_Components!$K$2:$K$27,MATCH(E1029,Cost_Components!$A$2:$A$27,0)),"")</f>
        <v>0.2</v>
      </c>
      <c r="K1029" s="15">
        <f t="shared" si="160"/>
        <v>0.57384615384615389</v>
      </c>
      <c r="L1029" s="15">
        <f>IFERROR(INDEX(Cost_Components!$S$2:$S$27,MATCH(E1029,Cost_Components!$A$2:$A$27,0)),"")</f>
        <v>0.31</v>
      </c>
      <c r="M1029" s="26">
        <f>IFERROR(INDEX(Cost_Components!$L$2:$L$27,MATCH(E1029,Cost_Components!$A$2:$A$27,0)),"")</f>
        <v>1</v>
      </c>
      <c r="N1029" s="27">
        <f>IFERROR(INDEX(Cost_Components!$P$2:$P$27,MATCH(E1029,Cost_Components!$A$2:$A$27,0)),"")</f>
        <v>29.216218999999999</v>
      </c>
      <c r="O1029" s="21">
        <f t="shared" si="161"/>
        <v>1271290.2622029502</v>
      </c>
      <c r="P1029" s="21">
        <f t="shared" si="162"/>
        <v>1344208.9517388882</v>
      </c>
      <c r="Q1029" s="21">
        <f t="shared" si="163"/>
        <v>12174537.965886774</v>
      </c>
      <c r="R1029" s="21">
        <f t="shared" si="164"/>
        <v>21313962.966126353</v>
      </c>
      <c r="S1029" s="21">
        <f t="shared" si="165"/>
        <v>9139425.000239579</v>
      </c>
      <c r="T1029" s="14">
        <f>IFERROR(INDEX(Cost_Components!$R$2:$R$27,MATCH(E1029,Cost_Components!$A$2:$A$27,0)),"")</f>
        <v>1</v>
      </c>
      <c r="U1029" s="24">
        <f>IFERROR(INDEX(Cost_Components!$Q$2:$Q$27,MATCH(E1029,Cost_Components!$A$2:$A$27,0)),"")</f>
        <v>2023</v>
      </c>
      <c r="V1029" s="28">
        <f>1/(1+Calculation_Assumptions!$B$5)^(B1029-Calculation_Assumptions!$B$2)</f>
        <v>0.68095133999317792</v>
      </c>
      <c r="W1029" s="21">
        <f t="shared" si="166"/>
        <v>8290267.9416684173</v>
      </c>
      <c r="X1029" s="21">
        <f t="shared" si="167"/>
        <v>14513771.642348709</v>
      </c>
      <c r="Y1029" s="21">
        <f t="shared" si="168"/>
        <v>6223503.7006802913</v>
      </c>
      <c r="Z1029" s="15">
        <f>IFERROR(INDEX(Cost_Components!$T$2:$T$27,MATCH(E1029,Cost_Components!$A$2:$A$27,0)),"")</f>
        <v>0.8</v>
      </c>
      <c r="AA1029" s="24">
        <f>IFERROR(INDEX(Cost_Components!$U$2:$U$27,MATCH(E1029,Cost_Components!$A$2:$A$27,0)),"")</f>
        <v>2025</v>
      </c>
      <c r="AB1029" s="24">
        <f>IFERROR(INDEX(Cost_Components!$V$2:$V$27,MATCH(E1029,Cost_Components!$A$2:$A$27,0)),"")</f>
        <v>2050</v>
      </c>
      <c r="AC1029" s="24">
        <f>IFERROR(INDEX(Cost_Components!$M$2:$M$27,MATCH(E1029,Cost_Components!$A$2:$A$27,0)),"")</f>
        <v>30</v>
      </c>
      <c r="AD1029" s="24">
        <f>IFERROR(INDEX(Cost_Components!$N$2:$N$27,MATCH(E1029,Cost_Components!$A$2:$A$27,0)),"")</f>
        <v>95</v>
      </c>
      <c r="AE1029" s="14" t="str">
        <f>IFERROR(INDEX(Cost_Components!$O$2:$O$27,MATCH(E1029,Cost_Components!$A$2:$A$27,0)),"")</f>
        <v>Both</v>
      </c>
      <c r="AF1029" s="11">
        <v>6356451.31101475</v>
      </c>
      <c r="AG1029" s="11">
        <v>6721044.7586944401</v>
      </c>
      <c r="AH1029" s="21">
        <f t="shared" si="169"/>
        <v>1</v>
      </c>
    </row>
    <row r="1030" spans="1:34" hidden="1">
      <c r="A1030" t="s">
        <v>75</v>
      </c>
      <c r="B1030" s="18">
        <v>2039</v>
      </c>
      <c r="C1030" t="s">
        <v>197</v>
      </c>
      <c r="D1030" t="s">
        <v>177</v>
      </c>
      <c r="E1030" s="20" t="s">
        <v>289</v>
      </c>
      <c r="F1030" s="20" t="s">
        <v>290</v>
      </c>
      <c r="G1030" s="20" t="s">
        <v>201</v>
      </c>
      <c r="H1030" s="20" t="s">
        <v>192</v>
      </c>
      <c r="I1030" s="20" t="s">
        <v>264</v>
      </c>
      <c r="J1030" s="15">
        <f>IFERROR(INDEX(Cost_Components!$K$2:$K$27,MATCH(E1030,Cost_Components!$A$2:$A$27,0)),"")</f>
        <v>0.2</v>
      </c>
      <c r="K1030" s="15">
        <f t="shared" si="160"/>
        <v>0.59269230769230763</v>
      </c>
      <c r="L1030" s="15">
        <f>IFERROR(INDEX(Cost_Components!$S$2:$S$27,MATCH(E1030,Cost_Components!$A$2:$A$27,0)),"")</f>
        <v>0.31</v>
      </c>
      <c r="M1030" s="26">
        <f>IFERROR(INDEX(Cost_Components!$L$2:$L$27,MATCH(E1030,Cost_Components!$A$2:$A$27,0)),"")</f>
        <v>1</v>
      </c>
      <c r="N1030" s="27">
        <f>IFERROR(INDEX(Cost_Components!$P$2:$P$27,MATCH(E1030,Cost_Components!$A$2:$A$27,0)),"")</f>
        <v>29.216218999999999</v>
      </c>
      <c r="O1030" s="21">
        <f t="shared" si="161"/>
        <v>1282062.72598862</v>
      </c>
      <c r="P1030" s="21">
        <f t="shared" si="162"/>
        <v>1364046.9820496221</v>
      </c>
      <c r="Q1030" s="21">
        <f t="shared" si="163"/>
        <v>12354211.559693756</v>
      </c>
      <c r="R1030" s="21">
        <f t="shared" si="164"/>
        <v>22200490.808336079</v>
      </c>
      <c r="S1030" s="21">
        <f t="shared" si="165"/>
        <v>9846279.2486423235</v>
      </c>
      <c r="T1030" s="14">
        <f>IFERROR(INDEX(Cost_Components!$R$2:$R$27,MATCH(E1030,Cost_Components!$A$2:$A$27,0)),"")</f>
        <v>1</v>
      </c>
      <c r="U1030" s="24">
        <f>IFERROR(INDEX(Cost_Components!$Q$2:$Q$27,MATCH(E1030,Cost_Components!$A$2:$A$27,0)),"")</f>
        <v>2023</v>
      </c>
      <c r="V1030" s="28">
        <f>1/(1+Calculation_Assumptions!$B$5)^(B1030-Calculation_Assumptions!$B$2)</f>
        <v>0.66111780581861923</v>
      </c>
      <c r="W1030" s="21">
        <f t="shared" si="166"/>
        <v>8167589.2389637576</v>
      </c>
      <c r="X1030" s="21">
        <f t="shared" si="167"/>
        <v>14677139.771303574</v>
      </c>
      <c r="Y1030" s="21">
        <f t="shared" si="168"/>
        <v>6509550.532339816</v>
      </c>
      <c r="Z1030" s="15">
        <f>IFERROR(INDEX(Cost_Components!$T$2:$T$27,MATCH(E1030,Cost_Components!$A$2:$A$27,0)),"")</f>
        <v>0.8</v>
      </c>
      <c r="AA1030" s="24">
        <f>IFERROR(INDEX(Cost_Components!$U$2:$U$27,MATCH(E1030,Cost_Components!$A$2:$A$27,0)),"")</f>
        <v>2025</v>
      </c>
      <c r="AB1030" s="24">
        <f>IFERROR(INDEX(Cost_Components!$V$2:$V$27,MATCH(E1030,Cost_Components!$A$2:$A$27,0)),"")</f>
        <v>2050</v>
      </c>
      <c r="AC1030" s="24">
        <f>IFERROR(INDEX(Cost_Components!$M$2:$M$27,MATCH(E1030,Cost_Components!$A$2:$A$27,0)),"")</f>
        <v>30</v>
      </c>
      <c r="AD1030" s="24">
        <f>IFERROR(INDEX(Cost_Components!$N$2:$N$27,MATCH(E1030,Cost_Components!$A$2:$A$27,0)),"")</f>
        <v>95</v>
      </c>
      <c r="AE1030" s="14" t="str">
        <f>IFERROR(INDEX(Cost_Components!$O$2:$O$27,MATCH(E1030,Cost_Components!$A$2:$A$27,0)),"")</f>
        <v>Both</v>
      </c>
      <c r="AF1030" s="11">
        <v>6410313.6299430998</v>
      </c>
      <c r="AG1030" s="11">
        <v>6820234.9102481101</v>
      </c>
      <c r="AH1030" s="21">
        <f t="shared" si="169"/>
        <v>1</v>
      </c>
    </row>
    <row r="1031" spans="1:34" hidden="1">
      <c r="A1031" t="s">
        <v>75</v>
      </c>
      <c r="B1031" s="18">
        <v>2040</v>
      </c>
      <c r="C1031" t="s">
        <v>197</v>
      </c>
      <c r="D1031" t="s">
        <v>177</v>
      </c>
      <c r="E1031" s="20" t="s">
        <v>289</v>
      </c>
      <c r="F1031" s="20" t="s">
        <v>290</v>
      </c>
      <c r="G1031" s="20" t="s">
        <v>201</v>
      </c>
      <c r="H1031" s="20" t="s">
        <v>192</v>
      </c>
      <c r="I1031" s="20" t="s">
        <v>264</v>
      </c>
      <c r="J1031" s="15">
        <f>IFERROR(INDEX(Cost_Components!$K$2:$K$27,MATCH(E1031,Cost_Components!$A$2:$A$27,0)),"")</f>
        <v>0.2</v>
      </c>
      <c r="K1031" s="15">
        <f t="shared" si="160"/>
        <v>0.61153846153846159</v>
      </c>
      <c r="L1031" s="15">
        <f>IFERROR(INDEX(Cost_Components!$S$2:$S$27,MATCH(E1031,Cost_Components!$A$2:$A$27,0)),"")</f>
        <v>0.31</v>
      </c>
      <c r="M1031" s="26">
        <f>IFERROR(INDEX(Cost_Components!$L$2:$L$27,MATCH(E1031,Cost_Components!$A$2:$A$27,0)),"")</f>
        <v>1</v>
      </c>
      <c r="N1031" s="27">
        <f>IFERROR(INDEX(Cost_Components!$P$2:$P$27,MATCH(E1031,Cost_Components!$A$2:$A$27,0)),"")</f>
        <v>29.216218999999999</v>
      </c>
      <c r="O1031" s="21">
        <f t="shared" si="161"/>
        <v>1291940.7188670242</v>
      </c>
      <c r="P1031" s="21">
        <f t="shared" si="162"/>
        <v>1383317.9406127601</v>
      </c>
      <c r="Q1031" s="21">
        <f t="shared" si="163"/>
        <v>12528749.168867132</v>
      </c>
      <c r="R1031" s="21">
        <f t="shared" si="164"/>
        <v>23082900.205432266</v>
      </c>
      <c r="S1031" s="21">
        <f t="shared" si="165"/>
        <v>10554151.036565134</v>
      </c>
      <c r="T1031" s="14">
        <f>IFERROR(INDEX(Cost_Components!$R$2:$R$27,MATCH(E1031,Cost_Components!$A$2:$A$27,0)),"")</f>
        <v>1</v>
      </c>
      <c r="U1031" s="24">
        <f>IFERROR(INDEX(Cost_Components!$Q$2:$Q$27,MATCH(E1031,Cost_Components!$A$2:$A$27,0)),"")</f>
        <v>2023</v>
      </c>
      <c r="V1031" s="28">
        <f>1/(1+Calculation_Assumptions!$B$5)^(B1031-Calculation_Assumptions!$B$2)</f>
        <v>0.64186194739671765</v>
      </c>
      <c r="W1031" s="21">
        <f t="shared" si="166"/>
        <v>8041727.3399740644</v>
      </c>
      <c r="X1031" s="21">
        <f t="shared" si="167"/>
        <v>14816035.277422847</v>
      </c>
      <c r="Y1031" s="21">
        <f t="shared" si="168"/>
        <v>6774307.9374487828</v>
      </c>
      <c r="Z1031" s="15">
        <f>IFERROR(INDEX(Cost_Components!$T$2:$T$27,MATCH(E1031,Cost_Components!$A$2:$A$27,0)),"")</f>
        <v>0.8</v>
      </c>
      <c r="AA1031" s="24">
        <f>IFERROR(INDEX(Cost_Components!$U$2:$U$27,MATCH(E1031,Cost_Components!$A$2:$A$27,0)),"")</f>
        <v>2025</v>
      </c>
      <c r="AB1031" s="24">
        <f>IFERROR(INDEX(Cost_Components!$V$2:$V$27,MATCH(E1031,Cost_Components!$A$2:$A$27,0)),"")</f>
        <v>2050</v>
      </c>
      <c r="AC1031" s="24">
        <f>IFERROR(INDEX(Cost_Components!$M$2:$M$27,MATCH(E1031,Cost_Components!$A$2:$A$27,0)),"")</f>
        <v>30</v>
      </c>
      <c r="AD1031" s="24">
        <f>IFERROR(INDEX(Cost_Components!$N$2:$N$27,MATCH(E1031,Cost_Components!$A$2:$A$27,0)),"")</f>
        <v>95</v>
      </c>
      <c r="AE1031" s="14" t="str">
        <f>IFERROR(INDEX(Cost_Components!$O$2:$O$27,MATCH(E1031,Cost_Components!$A$2:$A$27,0)),"")</f>
        <v>Both</v>
      </c>
      <c r="AF1031" s="11">
        <v>6459703.5943351202</v>
      </c>
      <c r="AG1031" s="11">
        <v>6916589.7030638</v>
      </c>
      <c r="AH1031" s="21">
        <f t="shared" si="169"/>
        <v>1</v>
      </c>
    </row>
    <row r="1032" spans="1:34" hidden="1">
      <c r="A1032" t="s">
        <v>75</v>
      </c>
      <c r="B1032" s="18">
        <v>2041</v>
      </c>
      <c r="C1032" t="s">
        <v>197</v>
      </c>
      <c r="D1032" t="s">
        <v>177</v>
      </c>
      <c r="E1032" s="20" t="s">
        <v>289</v>
      </c>
      <c r="F1032" s="20" t="s">
        <v>290</v>
      </c>
      <c r="G1032" s="20" t="s">
        <v>201</v>
      </c>
      <c r="H1032" s="20" t="s">
        <v>192</v>
      </c>
      <c r="I1032" s="20" t="s">
        <v>264</v>
      </c>
      <c r="J1032" s="15">
        <f>IFERROR(INDEX(Cost_Components!$K$2:$K$27,MATCH(E1032,Cost_Components!$A$2:$A$27,0)),"")</f>
        <v>0.2</v>
      </c>
      <c r="K1032" s="15">
        <f t="shared" si="160"/>
        <v>0.63038461538461543</v>
      </c>
      <c r="L1032" s="15">
        <f>IFERROR(INDEX(Cost_Components!$S$2:$S$27,MATCH(E1032,Cost_Components!$A$2:$A$27,0)),"")</f>
        <v>0.31</v>
      </c>
      <c r="M1032" s="26">
        <f>IFERROR(INDEX(Cost_Components!$L$2:$L$27,MATCH(E1032,Cost_Components!$A$2:$A$27,0)),"")</f>
        <v>1</v>
      </c>
      <c r="N1032" s="27">
        <f>IFERROR(INDEX(Cost_Components!$P$2:$P$27,MATCH(E1032,Cost_Components!$A$2:$A$27,0)),"")</f>
        <v>29.216218999999999</v>
      </c>
      <c r="O1032" s="21">
        <f t="shared" si="161"/>
        <v>1300988.615980316</v>
      </c>
      <c r="P1032" s="21">
        <f t="shared" si="162"/>
        <v>1402050.6689237403</v>
      </c>
      <c r="Q1032" s="21">
        <f t="shared" si="163"/>
        <v>12698412.011635471</v>
      </c>
      <c r="R1032" s="21">
        <f t="shared" si="164"/>
        <v>23960899.260807317</v>
      </c>
      <c r="S1032" s="21">
        <f t="shared" si="165"/>
        <v>11262487.249171846</v>
      </c>
      <c r="T1032" s="14">
        <f>IFERROR(INDEX(Cost_Components!$R$2:$R$27,MATCH(E1032,Cost_Components!$A$2:$A$27,0)),"")</f>
        <v>1</v>
      </c>
      <c r="U1032" s="24">
        <f>IFERROR(INDEX(Cost_Components!$Q$2:$Q$27,MATCH(E1032,Cost_Components!$A$2:$A$27,0)),"")</f>
        <v>2023</v>
      </c>
      <c r="V1032" s="28">
        <f>1/(1+Calculation_Assumptions!$B$5)^(B1032-Calculation_Assumptions!$B$2)</f>
        <v>0.62316693922011435</v>
      </c>
      <c r="W1032" s="21">
        <f t="shared" si="166"/>
        <v>7913230.5462468117</v>
      </c>
      <c r="X1032" s="21">
        <f t="shared" si="167"/>
        <v>14931640.253318796</v>
      </c>
      <c r="Y1032" s="21">
        <f t="shared" si="168"/>
        <v>7018409.7070719842</v>
      </c>
      <c r="Z1032" s="15">
        <f>IFERROR(INDEX(Cost_Components!$T$2:$T$27,MATCH(E1032,Cost_Components!$A$2:$A$27,0)),"")</f>
        <v>0.8</v>
      </c>
      <c r="AA1032" s="24">
        <f>IFERROR(INDEX(Cost_Components!$U$2:$U$27,MATCH(E1032,Cost_Components!$A$2:$A$27,0)),"")</f>
        <v>2025</v>
      </c>
      <c r="AB1032" s="24">
        <f>IFERROR(INDEX(Cost_Components!$V$2:$V$27,MATCH(E1032,Cost_Components!$A$2:$A$27,0)),"")</f>
        <v>2050</v>
      </c>
      <c r="AC1032" s="24">
        <f>IFERROR(INDEX(Cost_Components!$M$2:$M$27,MATCH(E1032,Cost_Components!$A$2:$A$27,0)),"")</f>
        <v>30</v>
      </c>
      <c r="AD1032" s="24">
        <f>IFERROR(INDEX(Cost_Components!$N$2:$N$27,MATCH(E1032,Cost_Components!$A$2:$A$27,0)),"")</f>
        <v>95</v>
      </c>
      <c r="AE1032" s="14" t="str">
        <f>IFERROR(INDEX(Cost_Components!$O$2:$O$27,MATCH(E1032,Cost_Components!$A$2:$A$27,0)),"")</f>
        <v>Both</v>
      </c>
      <c r="AF1032" s="11">
        <v>6504943.0799015798</v>
      </c>
      <c r="AG1032" s="11">
        <v>7010253.3446187004</v>
      </c>
      <c r="AH1032" s="21">
        <f t="shared" si="169"/>
        <v>1</v>
      </c>
    </row>
    <row r="1033" spans="1:34" hidden="1">
      <c r="A1033" t="s">
        <v>75</v>
      </c>
      <c r="B1033" s="18">
        <v>2042</v>
      </c>
      <c r="C1033" t="s">
        <v>197</v>
      </c>
      <c r="D1033" t="s">
        <v>177</v>
      </c>
      <c r="E1033" s="20" t="s">
        <v>289</v>
      </c>
      <c r="F1033" s="20" t="s">
        <v>290</v>
      </c>
      <c r="G1033" s="20" t="s">
        <v>201</v>
      </c>
      <c r="H1033" s="20" t="s">
        <v>192</v>
      </c>
      <c r="I1033" s="20" t="s">
        <v>264</v>
      </c>
      <c r="J1033" s="15">
        <f>IFERROR(INDEX(Cost_Components!$K$2:$K$27,MATCH(E1033,Cost_Components!$A$2:$A$27,0)),"")</f>
        <v>0.2</v>
      </c>
      <c r="K1033" s="15">
        <f t="shared" si="160"/>
        <v>0.64923076923076928</v>
      </c>
      <c r="L1033" s="15">
        <f>IFERROR(INDEX(Cost_Components!$S$2:$S$27,MATCH(E1033,Cost_Components!$A$2:$A$27,0)),"")</f>
        <v>0.31</v>
      </c>
      <c r="M1033" s="26">
        <f>IFERROR(INDEX(Cost_Components!$L$2:$L$27,MATCH(E1033,Cost_Components!$A$2:$A$27,0)),"")</f>
        <v>1</v>
      </c>
      <c r="N1033" s="27">
        <f>IFERROR(INDEX(Cost_Components!$P$2:$P$27,MATCH(E1033,Cost_Components!$A$2:$A$27,0)),"")</f>
        <v>29.216218999999999</v>
      </c>
      <c r="O1033" s="21">
        <f t="shared" si="161"/>
        <v>1309213.1132123861</v>
      </c>
      <c r="P1033" s="21">
        <f t="shared" si="162"/>
        <v>1420218.8079404521</v>
      </c>
      <c r="Q1033" s="21">
        <f t="shared" si="163"/>
        <v>12862961.353419228</v>
      </c>
      <c r="R1033" s="21">
        <f t="shared" si="164"/>
        <v>24833243.796994179</v>
      </c>
      <c r="S1033" s="21">
        <f t="shared" si="165"/>
        <v>11970282.443574952</v>
      </c>
      <c r="T1033" s="14">
        <f>IFERROR(INDEX(Cost_Components!$R$2:$R$27,MATCH(E1033,Cost_Components!$A$2:$A$27,0)),"")</f>
        <v>1</v>
      </c>
      <c r="U1033" s="24">
        <f>IFERROR(INDEX(Cost_Components!$Q$2:$Q$27,MATCH(E1033,Cost_Components!$A$2:$A$27,0)),"")</f>
        <v>2023</v>
      </c>
      <c r="V1033" s="28">
        <f>1/(1+Calculation_Assumptions!$B$5)^(B1033-Calculation_Assumptions!$B$2)</f>
        <v>0.60501644584477121</v>
      </c>
      <c r="W1033" s="21">
        <f t="shared" si="166"/>
        <v>7782303.1610843493</v>
      </c>
      <c r="X1033" s="21">
        <f t="shared" si="167"/>
        <v>15024520.900854129</v>
      </c>
      <c r="Y1033" s="21">
        <f t="shared" si="168"/>
        <v>7242217.7397697801</v>
      </c>
      <c r="Z1033" s="15">
        <f>IFERROR(INDEX(Cost_Components!$T$2:$T$27,MATCH(E1033,Cost_Components!$A$2:$A$27,0)),"")</f>
        <v>0.8</v>
      </c>
      <c r="AA1033" s="24">
        <f>IFERROR(INDEX(Cost_Components!$U$2:$U$27,MATCH(E1033,Cost_Components!$A$2:$A$27,0)),"")</f>
        <v>2025</v>
      </c>
      <c r="AB1033" s="24">
        <f>IFERROR(INDEX(Cost_Components!$V$2:$V$27,MATCH(E1033,Cost_Components!$A$2:$A$27,0)),"")</f>
        <v>2050</v>
      </c>
      <c r="AC1033" s="24">
        <f>IFERROR(INDEX(Cost_Components!$M$2:$M$27,MATCH(E1033,Cost_Components!$A$2:$A$27,0)),"")</f>
        <v>30</v>
      </c>
      <c r="AD1033" s="24">
        <f>IFERROR(INDEX(Cost_Components!$N$2:$N$27,MATCH(E1033,Cost_Components!$A$2:$A$27,0)),"")</f>
        <v>95</v>
      </c>
      <c r="AE1033" s="14" t="str">
        <f>IFERROR(INDEX(Cost_Components!$O$2:$O$27,MATCH(E1033,Cost_Components!$A$2:$A$27,0)),"")</f>
        <v>Both</v>
      </c>
      <c r="AF1033" s="11">
        <v>6546065.5660619298</v>
      </c>
      <c r="AG1033" s="11">
        <v>7101094.0397022599</v>
      </c>
      <c r="AH1033" s="21">
        <f t="shared" si="169"/>
        <v>1</v>
      </c>
    </row>
    <row r="1034" spans="1:34" hidden="1">
      <c r="A1034" t="s">
        <v>75</v>
      </c>
      <c r="B1034" s="18">
        <v>2043</v>
      </c>
      <c r="C1034" t="s">
        <v>197</v>
      </c>
      <c r="D1034" t="s">
        <v>177</v>
      </c>
      <c r="E1034" s="20" t="s">
        <v>289</v>
      </c>
      <c r="F1034" s="20" t="s">
        <v>290</v>
      </c>
      <c r="G1034" s="20" t="s">
        <v>201</v>
      </c>
      <c r="H1034" s="20" t="s">
        <v>192</v>
      </c>
      <c r="I1034" s="20" t="s">
        <v>264</v>
      </c>
      <c r="J1034" s="15">
        <f>IFERROR(INDEX(Cost_Components!$K$2:$K$27,MATCH(E1034,Cost_Components!$A$2:$A$27,0)),"")</f>
        <v>0.2</v>
      </c>
      <c r="K1034" s="15">
        <f t="shared" si="160"/>
        <v>0.66807692307692301</v>
      </c>
      <c r="L1034" s="15">
        <f>IFERROR(INDEX(Cost_Components!$S$2:$S$27,MATCH(E1034,Cost_Components!$A$2:$A$27,0)),"")</f>
        <v>0.31</v>
      </c>
      <c r="M1034" s="26">
        <f>IFERROR(INDEX(Cost_Components!$L$2:$L$27,MATCH(E1034,Cost_Components!$A$2:$A$27,0)),"")</f>
        <v>1</v>
      </c>
      <c r="N1034" s="27">
        <f>IFERROR(INDEX(Cost_Components!$P$2:$P$27,MATCH(E1034,Cost_Components!$A$2:$A$27,0)),"")</f>
        <v>29.216218999999999</v>
      </c>
      <c r="O1034" s="21">
        <f t="shared" si="161"/>
        <v>1316511.00272539</v>
      </c>
      <c r="P1034" s="21">
        <f t="shared" si="162"/>
        <v>1437690.5460530601</v>
      </c>
      <c r="Q1034" s="21">
        <f t="shared" si="163"/>
        <v>13021203.372791894</v>
      </c>
      <c r="R1034" s="21">
        <f t="shared" si="164"/>
        <v>25696559.20813676</v>
      </c>
      <c r="S1034" s="21">
        <f t="shared" si="165"/>
        <v>12675355.835344866</v>
      </c>
      <c r="T1034" s="14">
        <f>IFERROR(INDEX(Cost_Components!$R$2:$R$27,MATCH(E1034,Cost_Components!$A$2:$A$27,0)),"")</f>
        <v>1</v>
      </c>
      <c r="U1034" s="24">
        <f>IFERROR(INDEX(Cost_Components!$Q$2:$Q$27,MATCH(E1034,Cost_Components!$A$2:$A$27,0)),"")</f>
        <v>2023</v>
      </c>
      <c r="V1034" s="28">
        <f>1/(1+Calculation_Assumptions!$B$5)^(B1034-Calculation_Assumptions!$B$2)</f>
        <v>0.5873946076162827</v>
      </c>
      <c r="W1034" s="21">
        <f t="shared" si="166"/>
        <v>7648584.6458529113</v>
      </c>
      <c r="X1034" s="21">
        <f t="shared" si="167"/>
        <v>15094020.313152067</v>
      </c>
      <c r="Y1034" s="21">
        <f t="shared" si="168"/>
        <v>7445435.667299157</v>
      </c>
      <c r="Z1034" s="15">
        <f>IFERROR(INDEX(Cost_Components!$T$2:$T$27,MATCH(E1034,Cost_Components!$A$2:$A$27,0)),"")</f>
        <v>0.8</v>
      </c>
      <c r="AA1034" s="24">
        <f>IFERROR(INDEX(Cost_Components!$U$2:$U$27,MATCH(E1034,Cost_Components!$A$2:$A$27,0)),"")</f>
        <v>2025</v>
      </c>
      <c r="AB1034" s="24">
        <f>IFERROR(INDEX(Cost_Components!$V$2:$V$27,MATCH(E1034,Cost_Components!$A$2:$A$27,0)),"")</f>
        <v>2050</v>
      </c>
      <c r="AC1034" s="24">
        <f>IFERROR(INDEX(Cost_Components!$M$2:$M$27,MATCH(E1034,Cost_Components!$A$2:$A$27,0)),"")</f>
        <v>30</v>
      </c>
      <c r="AD1034" s="24">
        <f>IFERROR(INDEX(Cost_Components!$N$2:$N$27,MATCH(E1034,Cost_Components!$A$2:$A$27,0)),"")</f>
        <v>95</v>
      </c>
      <c r="AE1034" s="14" t="str">
        <f>IFERROR(INDEX(Cost_Components!$O$2:$O$27,MATCH(E1034,Cost_Components!$A$2:$A$27,0)),"")</f>
        <v>Both</v>
      </c>
      <c r="AF1034" s="11">
        <v>6582555.0136269499</v>
      </c>
      <c r="AG1034" s="11">
        <v>7188452.7302652998</v>
      </c>
      <c r="AH1034" s="21">
        <f t="shared" si="169"/>
        <v>1</v>
      </c>
    </row>
    <row r="1035" spans="1:34" hidden="1">
      <c r="A1035" t="s">
        <v>75</v>
      </c>
      <c r="B1035" s="18">
        <v>2044</v>
      </c>
      <c r="C1035" t="s">
        <v>197</v>
      </c>
      <c r="D1035" t="s">
        <v>177</v>
      </c>
      <c r="E1035" s="20" t="s">
        <v>289</v>
      </c>
      <c r="F1035" s="20" t="s">
        <v>290</v>
      </c>
      <c r="G1035" s="20" t="s">
        <v>201</v>
      </c>
      <c r="H1035" s="20" t="s">
        <v>192</v>
      </c>
      <c r="I1035" s="20" t="s">
        <v>264</v>
      </c>
      <c r="J1035" s="15">
        <f>IFERROR(INDEX(Cost_Components!$K$2:$K$27,MATCH(E1035,Cost_Components!$A$2:$A$27,0)),"")</f>
        <v>0.2</v>
      </c>
      <c r="K1035" s="15">
        <f t="shared" si="160"/>
        <v>0.68692307692307697</v>
      </c>
      <c r="L1035" s="15">
        <f>IFERROR(INDEX(Cost_Components!$S$2:$S$27,MATCH(E1035,Cost_Components!$A$2:$A$27,0)),"")</f>
        <v>0.31</v>
      </c>
      <c r="M1035" s="26">
        <f>IFERROR(INDEX(Cost_Components!$L$2:$L$27,MATCH(E1035,Cost_Components!$A$2:$A$27,0)),"")</f>
        <v>1</v>
      </c>
      <c r="N1035" s="27">
        <f>IFERROR(INDEX(Cost_Components!$P$2:$P$27,MATCH(E1035,Cost_Components!$A$2:$A$27,0)),"")</f>
        <v>29.216218999999999</v>
      </c>
      <c r="O1035" s="21">
        <f t="shared" si="161"/>
        <v>1322876.1279836821</v>
      </c>
      <c r="P1035" s="21">
        <f t="shared" si="162"/>
        <v>1454435.2716829921</v>
      </c>
      <c r="Q1035" s="21">
        <f t="shared" si="163"/>
        <v>13172860.819832586</v>
      </c>
      <c r="R1035" s="21">
        <f t="shared" si="164"/>
        <v>26549191.329141274</v>
      </c>
      <c r="S1035" s="21">
        <f t="shared" si="165"/>
        <v>13376330.509308688</v>
      </c>
      <c r="T1035" s="14">
        <f>IFERROR(INDEX(Cost_Components!$R$2:$R$27,MATCH(E1035,Cost_Components!$A$2:$A$27,0)),"")</f>
        <v>1</v>
      </c>
      <c r="U1035" s="24">
        <f>IFERROR(INDEX(Cost_Components!$Q$2:$Q$27,MATCH(E1035,Cost_Components!$A$2:$A$27,0)),"")</f>
        <v>2023</v>
      </c>
      <c r="V1035" s="28">
        <f>1/(1+Calculation_Assumptions!$B$5)^(B1035-Calculation_Assumptions!$B$2)</f>
        <v>0.57028602681192497</v>
      </c>
      <c r="W1035" s="21">
        <f t="shared" si="166"/>
        <v>7512298.4586888021</v>
      </c>
      <c r="X1035" s="21">
        <f t="shared" si="167"/>
        <v>15140632.838165587</v>
      </c>
      <c r="Y1035" s="21">
        <f t="shared" si="168"/>
        <v>7628334.3794767847</v>
      </c>
      <c r="Z1035" s="15">
        <f>IFERROR(INDEX(Cost_Components!$T$2:$T$27,MATCH(E1035,Cost_Components!$A$2:$A$27,0)),"")</f>
        <v>0.8</v>
      </c>
      <c r="AA1035" s="24">
        <f>IFERROR(INDEX(Cost_Components!$U$2:$U$27,MATCH(E1035,Cost_Components!$A$2:$A$27,0)),"")</f>
        <v>2025</v>
      </c>
      <c r="AB1035" s="24">
        <f>IFERROR(INDEX(Cost_Components!$V$2:$V$27,MATCH(E1035,Cost_Components!$A$2:$A$27,0)),"")</f>
        <v>2050</v>
      </c>
      <c r="AC1035" s="24">
        <f>IFERROR(INDEX(Cost_Components!$M$2:$M$27,MATCH(E1035,Cost_Components!$A$2:$A$27,0)),"")</f>
        <v>30</v>
      </c>
      <c r="AD1035" s="24">
        <f>IFERROR(INDEX(Cost_Components!$N$2:$N$27,MATCH(E1035,Cost_Components!$A$2:$A$27,0)),"")</f>
        <v>95</v>
      </c>
      <c r="AE1035" s="14" t="str">
        <f>IFERROR(INDEX(Cost_Components!$O$2:$O$27,MATCH(E1035,Cost_Components!$A$2:$A$27,0)),"")</f>
        <v>Both</v>
      </c>
      <c r="AF1035" s="11">
        <v>6614380.6399184102</v>
      </c>
      <c r="AG1035" s="11">
        <v>7272176.3584149601</v>
      </c>
      <c r="AH1035" s="21">
        <f t="shared" si="169"/>
        <v>1</v>
      </c>
    </row>
    <row r="1036" spans="1:34" hidden="1">
      <c r="A1036" t="s">
        <v>75</v>
      </c>
      <c r="B1036" s="18">
        <v>2045</v>
      </c>
      <c r="C1036" t="s">
        <v>197</v>
      </c>
      <c r="D1036" t="s">
        <v>177</v>
      </c>
      <c r="E1036" s="20" t="s">
        <v>289</v>
      </c>
      <c r="F1036" s="20" t="s">
        <v>290</v>
      </c>
      <c r="G1036" s="20" t="s">
        <v>201</v>
      </c>
      <c r="H1036" s="20" t="s">
        <v>192</v>
      </c>
      <c r="I1036" s="20" t="s">
        <v>264</v>
      </c>
      <c r="J1036" s="15">
        <f>IFERROR(INDEX(Cost_Components!$K$2:$K$27,MATCH(E1036,Cost_Components!$A$2:$A$27,0)),"")</f>
        <v>0.2</v>
      </c>
      <c r="K1036" s="15">
        <f t="shared" si="160"/>
        <v>0.70576923076923082</v>
      </c>
      <c r="L1036" s="15">
        <f>IFERROR(INDEX(Cost_Components!$S$2:$S$27,MATCH(E1036,Cost_Components!$A$2:$A$27,0)),"")</f>
        <v>0.31</v>
      </c>
      <c r="M1036" s="26">
        <f>IFERROR(INDEX(Cost_Components!$L$2:$L$27,MATCH(E1036,Cost_Components!$A$2:$A$27,0)),"")</f>
        <v>1</v>
      </c>
      <c r="N1036" s="27">
        <f>IFERROR(INDEX(Cost_Components!$P$2:$P$27,MATCH(E1036,Cost_Components!$A$2:$A$27,0)),"")</f>
        <v>29.216218999999999</v>
      </c>
      <c r="O1036" s="21">
        <f t="shared" si="161"/>
        <v>1328384.4569700062</v>
      </c>
      <c r="P1036" s="21">
        <f t="shared" si="162"/>
        <v>1470508.2374509983</v>
      </c>
      <c r="Q1036" s="21">
        <f t="shared" si="163"/>
        <v>13318434.119068434</v>
      </c>
      <c r="R1036" s="21">
        <f t="shared" si="164"/>
        <v>27391165.835478198</v>
      </c>
      <c r="S1036" s="21">
        <f t="shared" si="165"/>
        <v>14072731.716409763</v>
      </c>
      <c r="T1036" s="14">
        <f>IFERROR(INDEX(Cost_Components!$R$2:$R$27,MATCH(E1036,Cost_Components!$A$2:$A$27,0)),"")</f>
        <v>1</v>
      </c>
      <c r="U1036" s="24">
        <f>IFERROR(INDEX(Cost_Components!$Q$2:$Q$27,MATCH(E1036,Cost_Components!$A$2:$A$27,0)),"")</f>
        <v>2023</v>
      </c>
      <c r="V1036" s="28">
        <f>1/(1+Calculation_Assumptions!$B$5)^(B1036-Calculation_Assumptions!$B$2)</f>
        <v>0.55367575418633497</v>
      </c>
      <c r="W1036" s="21">
        <f t="shared" si="166"/>
        <v>7374094.0554562313</v>
      </c>
      <c r="X1036" s="21">
        <f t="shared" si="167"/>
        <v>15165824.402001362</v>
      </c>
      <c r="Y1036" s="21">
        <f t="shared" si="168"/>
        <v>7791730.3465451319</v>
      </c>
      <c r="Z1036" s="15">
        <f>IFERROR(INDEX(Cost_Components!$T$2:$T$27,MATCH(E1036,Cost_Components!$A$2:$A$27,0)),"")</f>
        <v>0.8</v>
      </c>
      <c r="AA1036" s="24">
        <f>IFERROR(INDEX(Cost_Components!$U$2:$U$27,MATCH(E1036,Cost_Components!$A$2:$A$27,0)),"")</f>
        <v>2025</v>
      </c>
      <c r="AB1036" s="24">
        <f>IFERROR(INDEX(Cost_Components!$V$2:$V$27,MATCH(E1036,Cost_Components!$A$2:$A$27,0)),"")</f>
        <v>2050</v>
      </c>
      <c r="AC1036" s="24">
        <f>IFERROR(INDEX(Cost_Components!$M$2:$M$27,MATCH(E1036,Cost_Components!$A$2:$A$27,0)),"")</f>
        <v>30</v>
      </c>
      <c r="AD1036" s="24">
        <f>IFERROR(INDEX(Cost_Components!$N$2:$N$27,MATCH(E1036,Cost_Components!$A$2:$A$27,0)),"")</f>
        <v>95</v>
      </c>
      <c r="AE1036" s="14" t="str">
        <f>IFERROR(INDEX(Cost_Components!$O$2:$O$27,MATCH(E1036,Cost_Components!$A$2:$A$27,0)),"")</f>
        <v>Both</v>
      </c>
      <c r="AF1036" s="11">
        <v>6641922.2848500302</v>
      </c>
      <c r="AG1036" s="11">
        <v>7352541.1872549905</v>
      </c>
      <c r="AH1036" s="21">
        <f t="shared" si="169"/>
        <v>1</v>
      </c>
    </row>
    <row r="1037" spans="1:34" hidden="1">
      <c r="A1037" t="s">
        <v>75</v>
      </c>
      <c r="B1037" s="18">
        <v>2046</v>
      </c>
      <c r="C1037" t="s">
        <v>197</v>
      </c>
      <c r="D1037" t="s">
        <v>177</v>
      </c>
      <c r="E1037" s="20" t="s">
        <v>289</v>
      </c>
      <c r="F1037" s="20" t="s">
        <v>290</v>
      </c>
      <c r="G1037" s="20" t="s">
        <v>201</v>
      </c>
      <c r="H1037" s="20" t="s">
        <v>192</v>
      </c>
      <c r="I1037" s="20" t="s">
        <v>264</v>
      </c>
      <c r="J1037" s="15">
        <f>IFERROR(INDEX(Cost_Components!$K$2:$K$27,MATCH(E1037,Cost_Components!$A$2:$A$27,0)),"")</f>
        <v>0.2</v>
      </c>
      <c r="K1037" s="15">
        <f t="shared" si="160"/>
        <v>0.72461538461538466</v>
      </c>
      <c r="L1037" s="15">
        <f>IFERROR(INDEX(Cost_Components!$S$2:$S$27,MATCH(E1037,Cost_Components!$A$2:$A$27,0)),"")</f>
        <v>0.31</v>
      </c>
      <c r="M1037" s="26">
        <f>IFERROR(INDEX(Cost_Components!$L$2:$L$27,MATCH(E1037,Cost_Components!$A$2:$A$27,0)),"")</f>
        <v>1</v>
      </c>
      <c r="N1037" s="27">
        <f>IFERROR(INDEX(Cost_Components!$P$2:$P$27,MATCH(E1037,Cost_Components!$A$2:$A$27,0)),"")</f>
        <v>29.216218999999999</v>
      </c>
      <c r="O1037" s="21">
        <f t="shared" si="161"/>
        <v>1333043.1474216841</v>
      </c>
      <c r="P1037" s="21">
        <f t="shared" si="162"/>
        <v>1485893.6984560781</v>
      </c>
      <c r="Q1037" s="21">
        <f t="shared" si="163"/>
        <v>13457780.668491948</v>
      </c>
      <c r="R1037" s="21">
        <f t="shared" si="164"/>
        <v>28221218.96976383</v>
      </c>
      <c r="S1037" s="21">
        <f t="shared" si="165"/>
        <v>14763438.301271882</v>
      </c>
      <c r="T1037" s="14">
        <f>IFERROR(INDEX(Cost_Components!$R$2:$R$27,MATCH(E1037,Cost_Components!$A$2:$A$27,0)),"")</f>
        <v>1</v>
      </c>
      <c r="U1037" s="24">
        <f>IFERROR(INDEX(Cost_Components!$Q$2:$Q$27,MATCH(E1037,Cost_Components!$A$2:$A$27,0)),"")</f>
        <v>2023</v>
      </c>
      <c r="V1037" s="28">
        <f>1/(1+Calculation_Assumptions!$B$5)^(B1037-Calculation_Assumptions!$B$2)</f>
        <v>0.5375492759090631</v>
      </c>
      <c r="W1037" s="21">
        <f t="shared" si="166"/>
        <v>7234220.2536908342</v>
      </c>
      <c r="X1037" s="21">
        <f t="shared" si="167"/>
        <v>15170295.822467662</v>
      </c>
      <c r="Y1037" s="21">
        <f t="shared" si="168"/>
        <v>7936075.5687768282</v>
      </c>
      <c r="Z1037" s="15">
        <f>IFERROR(INDEX(Cost_Components!$T$2:$T$27,MATCH(E1037,Cost_Components!$A$2:$A$27,0)),"")</f>
        <v>0.8</v>
      </c>
      <c r="AA1037" s="24">
        <f>IFERROR(INDEX(Cost_Components!$U$2:$U$27,MATCH(E1037,Cost_Components!$A$2:$A$27,0)),"")</f>
        <v>2025</v>
      </c>
      <c r="AB1037" s="24">
        <f>IFERROR(INDEX(Cost_Components!$V$2:$V$27,MATCH(E1037,Cost_Components!$A$2:$A$27,0)),"")</f>
        <v>2050</v>
      </c>
      <c r="AC1037" s="24">
        <f>IFERROR(INDEX(Cost_Components!$M$2:$M$27,MATCH(E1037,Cost_Components!$A$2:$A$27,0)),"")</f>
        <v>30</v>
      </c>
      <c r="AD1037" s="24">
        <f>IFERROR(INDEX(Cost_Components!$N$2:$N$27,MATCH(E1037,Cost_Components!$A$2:$A$27,0)),"")</f>
        <v>95</v>
      </c>
      <c r="AE1037" s="14" t="str">
        <f>IFERROR(INDEX(Cost_Components!$O$2:$O$27,MATCH(E1037,Cost_Components!$A$2:$A$27,0)),"")</f>
        <v>Both</v>
      </c>
      <c r="AF1037" s="11">
        <v>6665215.7371084196</v>
      </c>
      <c r="AG1037" s="11">
        <v>7429468.4922803901</v>
      </c>
      <c r="AH1037" s="21">
        <f t="shared" si="169"/>
        <v>1</v>
      </c>
    </row>
    <row r="1038" spans="1:34" hidden="1">
      <c r="A1038" t="s">
        <v>75</v>
      </c>
      <c r="B1038" s="18">
        <v>2047</v>
      </c>
      <c r="C1038" t="s">
        <v>197</v>
      </c>
      <c r="D1038" t="s">
        <v>177</v>
      </c>
      <c r="E1038" s="20" t="s">
        <v>289</v>
      </c>
      <c r="F1038" s="20" t="s">
        <v>290</v>
      </c>
      <c r="G1038" s="20" t="s">
        <v>201</v>
      </c>
      <c r="H1038" s="20" t="s">
        <v>192</v>
      </c>
      <c r="I1038" s="20" t="s">
        <v>264</v>
      </c>
      <c r="J1038" s="15">
        <f>IFERROR(INDEX(Cost_Components!$K$2:$K$27,MATCH(E1038,Cost_Components!$A$2:$A$27,0)),"")</f>
        <v>0.2</v>
      </c>
      <c r="K1038" s="15">
        <f t="shared" si="160"/>
        <v>0.74346153846153851</v>
      </c>
      <c r="L1038" s="15">
        <f>IFERROR(INDEX(Cost_Components!$S$2:$S$27,MATCH(E1038,Cost_Components!$A$2:$A$27,0)),"")</f>
        <v>0.31</v>
      </c>
      <c r="M1038" s="26">
        <f>IFERROR(INDEX(Cost_Components!$L$2:$L$27,MATCH(E1038,Cost_Components!$A$2:$A$27,0)),"")</f>
        <v>1</v>
      </c>
      <c r="N1038" s="27">
        <f>IFERROR(INDEX(Cost_Components!$P$2:$P$27,MATCH(E1038,Cost_Components!$A$2:$A$27,0)),"")</f>
        <v>29.216218999999999</v>
      </c>
      <c r="O1038" s="21">
        <f t="shared" si="161"/>
        <v>1336634.7253933442</v>
      </c>
      <c r="P1038" s="21">
        <f t="shared" si="162"/>
        <v>1500352.9263124783</v>
      </c>
      <c r="Q1038" s="21">
        <f t="shared" si="163"/>
        <v>13588738.298455229</v>
      </c>
      <c r="R1038" s="21">
        <f t="shared" si="164"/>
        <v>29033223.484064281</v>
      </c>
      <c r="S1038" s="21">
        <f t="shared" si="165"/>
        <v>15444485.185609052</v>
      </c>
      <c r="T1038" s="14">
        <f>IFERROR(INDEX(Cost_Components!$R$2:$R$27,MATCH(E1038,Cost_Components!$A$2:$A$27,0)),"")</f>
        <v>1</v>
      </c>
      <c r="U1038" s="24">
        <f>IFERROR(INDEX(Cost_Components!$Q$2:$Q$27,MATCH(E1038,Cost_Components!$A$2:$A$27,0)),"")</f>
        <v>2023</v>
      </c>
      <c r="V1038" s="28">
        <f>1/(1+Calculation_Assumptions!$B$5)^(B1038-Calculation_Assumptions!$B$2)</f>
        <v>0.52189250088258554</v>
      </c>
      <c r="W1038" s="21">
        <f t="shared" si="166"/>
        <v>7091860.6144197695</v>
      </c>
      <c r="X1038" s="21">
        <f t="shared" si="167"/>
        <v>15152221.612781322</v>
      </c>
      <c r="Y1038" s="21">
        <f t="shared" si="168"/>
        <v>8060360.9983615512</v>
      </c>
      <c r="Z1038" s="15">
        <f>IFERROR(INDEX(Cost_Components!$T$2:$T$27,MATCH(E1038,Cost_Components!$A$2:$A$27,0)),"")</f>
        <v>0.8</v>
      </c>
      <c r="AA1038" s="24">
        <f>IFERROR(INDEX(Cost_Components!$U$2:$U$27,MATCH(E1038,Cost_Components!$A$2:$A$27,0)),"")</f>
        <v>2025</v>
      </c>
      <c r="AB1038" s="24">
        <f>IFERROR(INDEX(Cost_Components!$V$2:$V$27,MATCH(E1038,Cost_Components!$A$2:$A$27,0)),"")</f>
        <v>2050</v>
      </c>
      <c r="AC1038" s="24">
        <f>IFERROR(INDEX(Cost_Components!$M$2:$M$27,MATCH(E1038,Cost_Components!$A$2:$A$27,0)),"")</f>
        <v>30</v>
      </c>
      <c r="AD1038" s="24">
        <f>IFERROR(INDEX(Cost_Components!$N$2:$N$27,MATCH(E1038,Cost_Components!$A$2:$A$27,0)),"")</f>
        <v>95</v>
      </c>
      <c r="AE1038" s="14" t="str">
        <f>IFERROR(INDEX(Cost_Components!$O$2:$O$27,MATCH(E1038,Cost_Components!$A$2:$A$27,0)),"")</f>
        <v>Both</v>
      </c>
      <c r="AF1038" s="11">
        <v>6683173.6269667204</v>
      </c>
      <c r="AG1038" s="11">
        <v>7501764.6315623904</v>
      </c>
      <c r="AH1038" s="21">
        <f t="shared" si="169"/>
        <v>1</v>
      </c>
    </row>
    <row r="1039" spans="1:34" hidden="1">
      <c r="A1039" t="s">
        <v>75</v>
      </c>
      <c r="B1039" s="18">
        <v>2048</v>
      </c>
      <c r="C1039" t="s">
        <v>197</v>
      </c>
      <c r="D1039" t="s">
        <v>177</v>
      </c>
      <c r="E1039" s="20" t="s">
        <v>289</v>
      </c>
      <c r="F1039" s="20" t="s">
        <v>290</v>
      </c>
      <c r="G1039" s="20" t="s">
        <v>201</v>
      </c>
      <c r="H1039" s="20" t="s">
        <v>192</v>
      </c>
      <c r="I1039" s="20" t="s">
        <v>264</v>
      </c>
      <c r="J1039" s="15">
        <f>IFERROR(INDEX(Cost_Components!$K$2:$K$27,MATCH(E1039,Cost_Components!$A$2:$A$27,0)),"")</f>
        <v>0.2</v>
      </c>
      <c r="K1039" s="15">
        <f t="shared" si="160"/>
        <v>0.76230769230769235</v>
      </c>
      <c r="L1039" s="15">
        <f>IFERROR(INDEX(Cost_Components!$S$2:$S$27,MATCH(E1039,Cost_Components!$A$2:$A$27,0)),"")</f>
        <v>0.31</v>
      </c>
      <c r="M1039" s="26">
        <f>IFERROR(INDEX(Cost_Components!$L$2:$L$27,MATCH(E1039,Cost_Components!$A$2:$A$27,0)),"")</f>
        <v>1</v>
      </c>
      <c r="N1039" s="27">
        <f>IFERROR(INDEX(Cost_Components!$P$2:$P$27,MATCH(E1039,Cost_Components!$A$2:$A$27,0)),"")</f>
        <v>29.216218999999999</v>
      </c>
      <c r="O1039" s="21">
        <f t="shared" si="161"/>
        <v>1339337.4835716682</v>
      </c>
      <c r="P1039" s="21">
        <f t="shared" si="162"/>
        <v>1514038.8829286881</v>
      </c>
      <c r="Q1039" s="21">
        <f t="shared" si="163"/>
        <v>13712692.389229571</v>
      </c>
      <c r="R1039" s="21">
        <f t="shared" si="164"/>
        <v>29829387.569095626</v>
      </c>
      <c r="S1039" s="21">
        <f t="shared" si="165"/>
        <v>16116695.179866055</v>
      </c>
      <c r="T1039" s="14">
        <f>IFERROR(INDEX(Cost_Components!$R$2:$R$27,MATCH(E1039,Cost_Components!$A$2:$A$27,0)),"")</f>
        <v>1</v>
      </c>
      <c r="U1039" s="24">
        <f>IFERROR(INDEX(Cost_Components!$Q$2:$Q$27,MATCH(E1039,Cost_Components!$A$2:$A$27,0)),"")</f>
        <v>2023</v>
      </c>
      <c r="V1039" s="28">
        <f>1/(1+Calculation_Assumptions!$B$5)^(B1039-Calculation_Assumptions!$B$2)</f>
        <v>0.50669174842969467</v>
      </c>
      <c r="W1039" s="21">
        <f t="shared" si="166"/>
        <v>6948108.0823772987</v>
      </c>
      <c r="X1039" s="21">
        <f t="shared" si="167"/>
        <v>15114304.541972062</v>
      </c>
      <c r="Y1039" s="21">
        <f t="shared" si="168"/>
        <v>8166196.4595947638</v>
      </c>
      <c r="Z1039" s="15">
        <f>IFERROR(INDEX(Cost_Components!$T$2:$T$27,MATCH(E1039,Cost_Components!$A$2:$A$27,0)),"")</f>
        <v>0.8</v>
      </c>
      <c r="AA1039" s="24">
        <f>IFERROR(INDEX(Cost_Components!$U$2:$U$27,MATCH(E1039,Cost_Components!$A$2:$A$27,0)),"")</f>
        <v>2025</v>
      </c>
      <c r="AB1039" s="24">
        <f>IFERROR(INDEX(Cost_Components!$V$2:$V$27,MATCH(E1039,Cost_Components!$A$2:$A$27,0)),"")</f>
        <v>2050</v>
      </c>
      <c r="AC1039" s="24">
        <f>IFERROR(INDEX(Cost_Components!$M$2:$M$27,MATCH(E1039,Cost_Components!$A$2:$A$27,0)),"")</f>
        <v>30</v>
      </c>
      <c r="AD1039" s="24">
        <f>IFERROR(INDEX(Cost_Components!$N$2:$N$27,MATCH(E1039,Cost_Components!$A$2:$A$27,0)),"")</f>
        <v>95</v>
      </c>
      <c r="AE1039" s="14" t="str">
        <f>IFERROR(INDEX(Cost_Components!$O$2:$O$27,MATCH(E1039,Cost_Components!$A$2:$A$27,0)),"")</f>
        <v>Both</v>
      </c>
      <c r="AF1039" s="11">
        <v>6696687.4178583398</v>
      </c>
      <c r="AG1039" s="11">
        <v>7570194.4146434404</v>
      </c>
      <c r="AH1039" s="21">
        <f t="shared" si="169"/>
        <v>1</v>
      </c>
    </row>
    <row r="1040" spans="1:34" hidden="1">
      <c r="A1040" t="s">
        <v>75</v>
      </c>
      <c r="B1040" s="18">
        <v>2049</v>
      </c>
      <c r="C1040" t="s">
        <v>197</v>
      </c>
      <c r="D1040" t="s">
        <v>177</v>
      </c>
      <c r="E1040" s="20" t="s">
        <v>289</v>
      </c>
      <c r="F1040" s="20" t="s">
        <v>290</v>
      </c>
      <c r="G1040" s="20" t="s">
        <v>201</v>
      </c>
      <c r="H1040" s="20" t="s">
        <v>192</v>
      </c>
      <c r="I1040" s="20" t="s">
        <v>264</v>
      </c>
      <c r="J1040" s="15">
        <f>IFERROR(INDEX(Cost_Components!$K$2:$K$27,MATCH(E1040,Cost_Components!$A$2:$A$27,0)),"")</f>
        <v>0.2</v>
      </c>
      <c r="K1040" s="15">
        <f t="shared" si="160"/>
        <v>0.7811538461538462</v>
      </c>
      <c r="L1040" s="15">
        <f>IFERROR(INDEX(Cost_Components!$S$2:$S$27,MATCH(E1040,Cost_Components!$A$2:$A$27,0)),"")</f>
        <v>0.31</v>
      </c>
      <c r="M1040" s="26">
        <f>IFERROR(INDEX(Cost_Components!$L$2:$L$27,MATCH(E1040,Cost_Components!$A$2:$A$27,0)),"")</f>
        <v>1</v>
      </c>
      <c r="N1040" s="27">
        <f>IFERROR(INDEX(Cost_Components!$P$2:$P$27,MATCH(E1040,Cost_Components!$A$2:$A$27,0)),"")</f>
        <v>29.216218999999999</v>
      </c>
      <c r="O1040" s="21">
        <f t="shared" si="161"/>
        <v>1341176.3372297641</v>
      </c>
      <c r="P1040" s="21">
        <f t="shared" si="162"/>
        <v>1526950.0790214061</v>
      </c>
      <c r="Q1040" s="21">
        <f t="shared" si="163"/>
        <v>13829629.452334579</v>
      </c>
      <c r="R1040" s="21">
        <f t="shared" si="164"/>
        <v>30608811.662082724</v>
      </c>
      <c r="S1040" s="21">
        <f t="shared" si="165"/>
        <v>16779182.209748145</v>
      </c>
      <c r="T1040" s="14">
        <f>IFERROR(INDEX(Cost_Components!$R$2:$R$27,MATCH(E1040,Cost_Components!$A$2:$A$27,0)),"")</f>
        <v>1</v>
      </c>
      <c r="U1040" s="24">
        <f>IFERROR(INDEX(Cost_Components!$Q$2:$Q$27,MATCH(E1040,Cost_Components!$A$2:$A$27,0)),"")</f>
        <v>2023</v>
      </c>
      <c r="V1040" s="28">
        <f>1/(1+Calculation_Assumptions!$B$5)^(B1040-Calculation_Assumptions!$B$2)</f>
        <v>0.49193373633950943</v>
      </c>
      <c r="W1040" s="21">
        <f t="shared" si="166"/>
        <v>6803261.2886778731</v>
      </c>
      <c r="X1040" s="21">
        <f t="shared" si="167"/>
        <v>15057507.085840704</v>
      </c>
      <c r="Y1040" s="21">
        <f t="shared" si="168"/>
        <v>8254245.7971628308</v>
      </c>
      <c r="Z1040" s="15">
        <f>IFERROR(INDEX(Cost_Components!$T$2:$T$27,MATCH(E1040,Cost_Components!$A$2:$A$27,0)),"")</f>
        <v>0.8</v>
      </c>
      <c r="AA1040" s="24">
        <f>IFERROR(INDEX(Cost_Components!$U$2:$U$27,MATCH(E1040,Cost_Components!$A$2:$A$27,0)),"")</f>
        <v>2025</v>
      </c>
      <c r="AB1040" s="24">
        <f>IFERROR(INDEX(Cost_Components!$V$2:$V$27,MATCH(E1040,Cost_Components!$A$2:$A$27,0)),"")</f>
        <v>2050</v>
      </c>
      <c r="AC1040" s="24">
        <f>IFERROR(INDEX(Cost_Components!$M$2:$M$27,MATCH(E1040,Cost_Components!$A$2:$A$27,0)),"")</f>
        <v>30</v>
      </c>
      <c r="AD1040" s="24">
        <f>IFERROR(INDEX(Cost_Components!$N$2:$N$27,MATCH(E1040,Cost_Components!$A$2:$A$27,0)),"")</f>
        <v>95</v>
      </c>
      <c r="AE1040" s="14" t="str">
        <f>IFERROR(INDEX(Cost_Components!$O$2:$O$27,MATCH(E1040,Cost_Components!$A$2:$A$27,0)),"")</f>
        <v>Both</v>
      </c>
      <c r="AF1040" s="11">
        <v>6705881.6861488204</v>
      </c>
      <c r="AG1040" s="11">
        <v>7634750.3951070299</v>
      </c>
      <c r="AH1040" s="21">
        <f t="shared" si="169"/>
        <v>1</v>
      </c>
    </row>
    <row r="1041" spans="1:34" hidden="1">
      <c r="A1041" t="s">
        <v>75</v>
      </c>
      <c r="B1041" s="18">
        <v>2050</v>
      </c>
      <c r="C1041" t="s">
        <v>197</v>
      </c>
      <c r="D1041" t="s">
        <v>177</v>
      </c>
      <c r="E1041" s="20" t="s">
        <v>289</v>
      </c>
      <c r="F1041" s="20" t="s">
        <v>290</v>
      </c>
      <c r="G1041" s="20" t="s">
        <v>201</v>
      </c>
      <c r="H1041" s="20" t="s">
        <v>192</v>
      </c>
      <c r="I1041" s="20" t="s">
        <v>264</v>
      </c>
      <c r="J1041" s="15">
        <f>IFERROR(INDEX(Cost_Components!$K$2:$K$27,MATCH(E1041,Cost_Components!$A$2:$A$27,0)),"")</f>
        <v>0.2</v>
      </c>
      <c r="K1041" s="15">
        <f t="shared" si="160"/>
        <v>0.8</v>
      </c>
      <c r="L1041" s="15">
        <f>IFERROR(INDEX(Cost_Components!$S$2:$S$27,MATCH(E1041,Cost_Components!$A$2:$A$27,0)),"")</f>
        <v>0.31</v>
      </c>
      <c r="M1041" s="26">
        <f>IFERROR(INDEX(Cost_Components!$L$2:$L$27,MATCH(E1041,Cost_Components!$A$2:$A$27,0)),"")</f>
        <v>1</v>
      </c>
      <c r="N1041" s="27">
        <f>IFERROR(INDEX(Cost_Components!$P$2:$P$27,MATCH(E1041,Cost_Components!$A$2:$A$27,0)),"")</f>
        <v>29.216218999999999</v>
      </c>
      <c r="O1041" s="21">
        <f t="shared" si="161"/>
        <v>1342188.979796988</v>
      </c>
      <c r="P1041" s="21">
        <f t="shared" si="162"/>
        <v>1539098.6433192221</v>
      </c>
      <c r="Q1041" s="21">
        <f t="shared" si="163"/>
        <v>13939659.338003358</v>
      </c>
      <c r="R1041" s="21">
        <f t="shared" si="164"/>
        <v>31370949.738508303</v>
      </c>
      <c r="S1041" s="21">
        <f t="shared" si="165"/>
        <v>17431290.400504947</v>
      </c>
      <c r="T1041" s="14">
        <f>IFERROR(INDEX(Cost_Components!$R$2:$R$27,MATCH(E1041,Cost_Components!$A$2:$A$27,0)),"")</f>
        <v>1</v>
      </c>
      <c r="U1041" s="24">
        <f>IFERROR(INDEX(Cost_Components!$Q$2:$Q$27,MATCH(E1041,Cost_Components!$A$2:$A$27,0)),"")</f>
        <v>2023</v>
      </c>
      <c r="V1041" s="28">
        <f>1/(1+Calculation_Assumptions!$B$5)^(B1041-Calculation_Assumptions!$B$2)</f>
        <v>0.47760556926165965</v>
      </c>
      <c r="W1041" s="21">
        <f t="shared" si="166"/>
        <v>6657658.933440703</v>
      </c>
      <c r="X1041" s="21">
        <f t="shared" si="167"/>
        <v>14982940.308139171</v>
      </c>
      <c r="Y1041" s="21">
        <f t="shared" si="168"/>
        <v>8325281.3746984685</v>
      </c>
      <c r="Z1041" s="15">
        <f>IFERROR(INDEX(Cost_Components!$T$2:$T$27,MATCH(E1041,Cost_Components!$A$2:$A$27,0)),"")</f>
        <v>0.8</v>
      </c>
      <c r="AA1041" s="24">
        <f>IFERROR(INDEX(Cost_Components!$U$2:$U$27,MATCH(E1041,Cost_Components!$A$2:$A$27,0)),"")</f>
        <v>2025</v>
      </c>
      <c r="AB1041" s="24">
        <f>IFERROR(INDEX(Cost_Components!$V$2:$V$27,MATCH(E1041,Cost_Components!$A$2:$A$27,0)),"")</f>
        <v>2050</v>
      </c>
      <c r="AC1041" s="24">
        <f>IFERROR(INDEX(Cost_Components!$M$2:$M$27,MATCH(E1041,Cost_Components!$A$2:$A$27,0)),"")</f>
        <v>30</v>
      </c>
      <c r="AD1041" s="24">
        <f>IFERROR(INDEX(Cost_Components!$N$2:$N$27,MATCH(E1041,Cost_Components!$A$2:$A$27,0)),"")</f>
        <v>95</v>
      </c>
      <c r="AE1041" s="14" t="str">
        <f>IFERROR(INDEX(Cost_Components!$O$2:$O$27,MATCH(E1041,Cost_Components!$A$2:$A$27,0)),"")</f>
        <v>Both</v>
      </c>
      <c r="AF1041" s="11">
        <v>6710944.8989849398</v>
      </c>
      <c r="AG1041" s="11">
        <v>7695493.2165961098</v>
      </c>
      <c r="AH1041" s="21">
        <f t="shared" si="169"/>
        <v>1</v>
      </c>
    </row>
    <row r="1042" spans="1:34" hidden="1">
      <c r="A1042" t="s">
        <v>75</v>
      </c>
      <c r="B1042" s="18">
        <v>2025</v>
      </c>
      <c r="C1042" t="s">
        <v>202</v>
      </c>
      <c r="D1042" t="s">
        <v>177</v>
      </c>
      <c r="E1042" s="20" t="s">
        <v>291</v>
      </c>
      <c r="F1042" s="20" t="s">
        <v>292</v>
      </c>
      <c r="G1042" s="20" t="s">
        <v>203</v>
      </c>
      <c r="H1042" s="20" t="s">
        <v>192</v>
      </c>
      <c r="I1042" s="20" t="s">
        <v>167</v>
      </c>
      <c r="J1042" s="15">
        <f>IFERROR(INDEX(Cost_Components!$K$2:$K$27,MATCH(E1042,Cost_Components!$A$2:$A$27,0)),"")</f>
        <v>0.52</v>
      </c>
      <c r="K1042" s="15">
        <f t="shared" si="160"/>
        <v>0.32884615384615384</v>
      </c>
      <c r="L1042" s="15">
        <f>IFERROR(INDEX(Cost_Components!$S$2:$S$27,MATCH(E1042,Cost_Components!$A$2:$A$27,0)),"")</f>
        <v>0.31</v>
      </c>
      <c r="M1042" s="26">
        <f>IFERROR(INDEX(Cost_Components!$L$2:$L$27,MATCH(E1042,Cost_Components!$A$2:$A$27,0)),"")</f>
        <v>1</v>
      </c>
      <c r="N1042" s="27">
        <f>IFERROR(INDEX(Cost_Components!$P$2:$P$27,MATCH(E1042,Cost_Components!$A$2:$A$27,0)),"")</f>
        <v>35.362648999999998</v>
      </c>
      <c r="O1042" s="21">
        <f t="shared" si="161"/>
        <v>290562.11360248382</v>
      </c>
      <c r="P1042" s="21">
        <f t="shared" si="162"/>
        <v>293261.34704300098</v>
      </c>
      <c r="Q1042" s="21">
        <f t="shared" si="163"/>
        <v>3214854.4050321379</v>
      </c>
      <c r="R1042" s="21">
        <f t="shared" si="164"/>
        <v>3378909.3695382536</v>
      </c>
      <c r="S1042" s="21">
        <f t="shared" si="165"/>
        <v>164054.96450611576</v>
      </c>
      <c r="T1042" s="14">
        <f>IFERROR(INDEX(Cost_Components!$R$2:$R$27,MATCH(E1042,Cost_Components!$A$2:$A$27,0)),"")</f>
        <v>1</v>
      </c>
      <c r="U1042" s="24">
        <f>IFERROR(INDEX(Cost_Components!$Q$2:$Q$27,MATCH(E1042,Cost_Components!$A$2:$A$27,0)),"")</f>
        <v>2023</v>
      </c>
      <c r="V1042" s="28">
        <f>1/(1+Calculation_Assumptions!$B$5)^(B1042-Calculation_Assumptions!$B$2)</f>
        <v>1</v>
      </c>
      <c r="W1042" s="21">
        <f t="shared" si="166"/>
        <v>3214854.4050321379</v>
      </c>
      <c r="X1042" s="21">
        <f t="shared" si="167"/>
        <v>3378909.3695382536</v>
      </c>
      <c r="Y1042" s="21">
        <f t="shared" si="168"/>
        <v>164054.96450611576</v>
      </c>
      <c r="Z1042" s="15">
        <f>IFERROR(INDEX(Cost_Components!$T$2:$T$27,MATCH(E1042,Cost_Components!$A$2:$A$27,0)),"")</f>
        <v>0.8</v>
      </c>
      <c r="AA1042" s="24">
        <f>IFERROR(INDEX(Cost_Components!$U$2:$U$27,MATCH(E1042,Cost_Components!$A$2:$A$27,0)),"")</f>
        <v>2025</v>
      </c>
      <c r="AB1042" s="24">
        <f>IFERROR(INDEX(Cost_Components!$V$2:$V$27,MATCH(E1042,Cost_Components!$A$2:$A$27,0)),"")</f>
        <v>2050</v>
      </c>
      <c r="AC1042" s="24">
        <f>IFERROR(INDEX(Cost_Components!$M$2:$M$27,MATCH(E1042,Cost_Components!$A$2:$A$27,0)),"")</f>
        <v>0</v>
      </c>
      <c r="AD1042" s="24">
        <f>IFERROR(INDEX(Cost_Components!$N$2:$N$27,MATCH(E1042,Cost_Components!$A$2:$A$27,0)),"")</f>
        <v>95</v>
      </c>
      <c r="AE1042" s="14" t="str">
        <f>IFERROR(INDEX(Cost_Components!$O$2:$O$27,MATCH(E1042,Cost_Components!$A$2:$A$27,0)),"")</f>
        <v>Both</v>
      </c>
      <c r="AF1042" s="11">
        <v>558773.29538939195</v>
      </c>
      <c r="AG1042" s="11">
        <v>563964.12892884796</v>
      </c>
      <c r="AH1042" s="21">
        <f t="shared" si="169"/>
        <v>1</v>
      </c>
    </row>
    <row r="1043" spans="1:34" hidden="1">
      <c r="A1043" t="s">
        <v>75</v>
      </c>
      <c r="B1043" s="18">
        <v>2026</v>
      </c>
      <c r="C1043" t="s">
        <v>202</v>
      </c>
      <c r="D1043" t="s">
        <v>177</v>
      </c>
      <c r="E1043" s="20" t="s">
        <v>291</v>
      </c>
      <c r="F1043" s="20" t="s">
        <v>292</v>
      </c>
      <c r="G1043" s="20" t="s">
        <v>203</v>
      </c>
      <c r="H1043" s="20" t="s">
        <v>192</v>
      </c>
      <c r="I1043" s="20" t="s">
        <v>167</v>
      </c>
      <c r="J1043" s="15">
        <f>IFERROR(INDEX(Cost_Components!$K$2:$K$27,MATCH(E1043,Cost_Components!$A$2:$A$27,0)),"")</f>
        <v>0.52</v>
      </c>
      <c r="K1043" s="15">
        <f t="shared" si="160"/>
        <v>0.34769230769230769</v>
      </c>
      <c r="L1043" s="15">
        <f>IFERROR(INDEX(Cost_Components!$S$2:$S$27,MATCH(E1043,Cost_Components!$A$2:$A$27,0)),"")</f>
        <v>0.31</v>
      </c>
      <c r="M1043" s="26">
        <f>IFERROR(INDEX(Cost_Components!$L$2:$L$27,MATCH(E1043,Cost_Components!$A$2:$A$27,0)),"")</f>
        <v>1</v>
      </c>
      <c r="N1043" s="27">
        <f>IFERROR(INDEX(Cost_Components!$P$2:$P$27,MATCH(E1043,Cost_Components!$A$2:$A$27,0)),"")</f>
        <v>35.362648999999998</v>
      </c>
      <c r="O1043" s="21">
        <f t="shared" si="161"/>
        <v>296148.03235247306</v>
      </c>
      <c r="P1043" s="21">
        <f t="shared" si="162"/>
        <v>301658.00181797752</v>
      </c>
      <c r="Q1043" s="21">
        <f t="shared" si="163"/>
        <v>3306902.0712624551</v>
      </c>
      <c r="R1043" s="21">
        <f t="shared" si="164"/>
        <v>3641235.1322267377</v>
      </c>
      <c r="S1043" s="21">
        <f t="shared" si="165"/>
        <v>334333.0609642826</v>
      </c>
      <c r="T1043" s="14">
        <f>IFERROR(INDEX(Cost_Components!$R$2:$R$27,MATCH(E1043,Cost_Components!$A$2:$A$27,0)),"")</f>
        <v>1</v>
      </c>
      <c r="U1043" s="24">
        <f>IFERROR(INDEX(Cost_Components!$Q$2:$Q$27,MATCH(E1043,Cost_Components!$A$2:$A$27,0)),"")</f>
        <v>2023</v>
      </c>
      <c r="V1043" s="28">
        <f>1/(1+Calculation_Assumptions!$B$5)^(B1043-Calculation_Assumptions!$B$2)</f>
        <v>0.970873786407767</v>
      </c>
      <c r="W1043" s="21">
        <f t="shared" si="166"/>
        <v>3210584.5352062671</v>
      </c>
      <c r="X1043" s="21">
        <f t="shared" si="167"/>
        <v>3535179.740025959</v>
      </c>
      <c r="Y1043" s="21">
        <f t="shared" si="168"/>
        <v>324595.20481969183</v>
      </c>
      <c r="Z1043" s="15">
        <f>IFERROR(INDEX(Cost_Components!$T$2:$T$27,MATCH(E1043,Cost_Components!$A$2:$A$27,0)),"")</f>
        <v>0.8</v>
      </c>
      <c r="AA1043" s="24">
        <f>IFERROR(INDEX(Cost_Components!$U$2:$U$27,MATCH(E1043,Cost_Components!$A$2:$A$27,0)),"")</f>
        <v>2025</v>
      </c>
      <c r="AB1043" s="24">
        <f>IFERROR(INDEX(Cost_Components!$V$2:$V$27,MATCH(E1043,Cost_Components!$A$2:$A$27,0)),"")</f>
        <v>2050</v>
      </c>
      <c r="AC1043" s="24">
        <f>IFERROR(INDEX(Cost_Components!$M$2:$M$27,MATCH(E1043,Cost_Components!$A$2:$A$27,0)),"")</f>
        <v>0</v>
      </c>
      <c r="AD1043" s="24">
        <f>IFERROR(INDEX(Cost_Components!$N$2:$N$27,MATCH(E1043,Cost_Components!$A$2:$A$27,0)),"")</f>
        <v>95</v>
      </c>
      <c r="AE1043" s="14" t="str">
        <f>IFERROR(INDEX(Cost_Components!$O$2:$O$27,MATCH(E1043,Cost_Components!$A$2:$A$27,0)),"")</f>
        <v>Both</v>
      </c>
      <c r="AF1043" s="11">
        <v>569515.44683167897</v>
      </c>
      <c r="AG1043" s="11">
        <v>580111.54195764905</v>
      </c>
      <c r="AH1043" s="21">
        <f t="shared" si="169"/>
        <v>1</v>
      </c>
    </row>
    <row r="1044" spans="1:34" hidden="1">
      <c r="A1044" t="s">
        <v>75</v>
      </c>
      <c r="B1044" s="18">
        <v>2027</v>
      </c>
      <c r="C1044" t="s">
        <v>202</v>
      </c>
      <c r="D1044" t="s">
        <v>177</v>
      </c>
      <c r="E1044" s="20" t="s">
        <v>291</v>
      </c>
      <c r="F1044" s="20" t="s">
        <v>292</v>
      </c>
      <c r="G1044" s="20" t="s">
        <v>203</v>
      </c>
      <c r="H1044" s="20" t="s">
        <v>192</v>
      </c>
      <c r="I1044" s="20" t="s">
        <v>167</v>
      </c>
      <c r="J1044" s="15">
        <f>IFERROR(INDEX(Cost_Components!$K$2:$K$27,MATCH(E1044,Cost_Components!$A$2:$A$27,0)),"")</f>
        <v>0.52</v>
      </c>
      <c r="K1044" s="15">
        <f t="shared" si="160"/>
        <v>0.36653846153846154</v>
      </c>
      <c r="L1044" s="15">
        <f>IFERROR(INDEX(Cost_Components!$S$2:$S$27,MATCH(E1044,Cost_Components!$A$2:$A$27,0)),"")</f>
        <v>0.31</v>
      </c>
      <c r="M1044" s="26">
        <f>IFERROR(INDEX(Cost_Components!$L$2:$L$27,MATCH(E1044,Cost_Components!$A$2:$A$27,0)),"")</f>
        <v>1</v>
      </c>
      <c r="N1044" s="27">
        <f>IFERROR(INDEX(Cost_Components!$P$2:$P$27,MATCH(E1044,Cost_Components!$A$2:$A$27,0)),"")</f>
        <v>35.362648999999998</v>
      </c>
      <c r="O1044" s="21">
        <f t="shared" si="161"/>
        <v>301571.80121871195</v>
      </c>
      <c r="P1044" s="21">
        <f t="shared" si="162"/>
        <v>309997.39281403151</v>
      </c>
      <c r="Q1044" s="21">
        <f t="shared" si="163"/>
        <v>3398321.9878292922</v>
      </c>
      <c r="R1044" s="21">
        <f t="shared" si="164"/>
        <v>3908904.6155075822</v>
      </c>
      <c r="S1044" s="21">
        <f t="shared" si="165"/>
        <v>510582.62767829001</v>
      </c>
      <c r="T1044" s="14">
        <f>IFERROR(INDEX(Cost_Components!$R$2:$R$27,MATCH(E1044,Cost_Components!$A$2:$A$27,0)),"")</f>
        <v>1</v>
      </c>
      <c r="U1044" s="24">
        <f>IFERROR(INDEX(Cost_Components!$Q$2:$Q$27,MATCH(E1044,Cost_Components!$A$2:$A$27,0)),"")</f>
        <v>2023</v>
      </c>
      <c r="V1044" s="28">
        <f>1/(1+Calculation_Assumptions!$B$5)^(B1044-Calculation_Assumptions!$B$2)</f>
        <v>0.94259590913375435</v>
      </c>
      <c r="W1044" s="21">
        <f t="shared" si="166"/>
        <v>3203244.4036471788</v>
      </c>
      <c r="X1044" s="21">
        <f t="shared" si="167"/>
        <v>3684517.4997714981</v>
      </c>
      <c r="Y1044" s="21">
        <f t="shared" si="168"/>
        <v>481273.09612431895</v>
      </c>
      <c r="Z1044" s="15">
        <f>IFERROR(INDEX(Cost_Components!$T$2:$T$27,MATCH(E1044,Cost_Components!$A$2:$A$27,0)),"")</f>
        <v>0.8</v>
      </c>
      <c r="AA1044" s="24">
        <f>IFERROR(INDEX(Cost_Components!$U$2:$U$27,MATCH(E1044,Cost_Components!$A$2:$A$27,0)),"")</f>
        <v>2025</v>
      </c>
      <c r="AB1044" s="24">
        <f>IFERROR(INDEX(Cost_Components!$V$2:$V$27,MATCH(E1044,Cost_Components!$A$2:$A$27,0)),"")</f>
        <v>2050</v>
      </c>
      <c r="AC1044" s="24">
        <f>IFERROR(INDEX(Cost_Components!$M$2:$M$27,MATCH(E1044,Cost_Components!$A$2:$A$27,0)),"")</f>
        <v>0</v>
      </c>
      <c r="AD1044" s="24">
        <f>IFERROR(INDEX(Cost_Components!$N$2:$N$27,MATCH(E1044,Cost_Components!$A$2:$A$27,0)),"")</f>
        <v>95</v>
      </c>
      <c r="AE1044" s="14" t="str">
        <f>IFERROR(INDEX(Cost_Components!$O$2:$O$27,MATCH(E1044,Cost_Components!$A$2:$A$27,0)),"")</f>
        <v>Both</v>
      </c>
      <c r="AF1044" s="11">
        <v>579945.771574446</v>
      </c>
      <c r="AG1044" s="11">
        <v>596148.83233467594</v>
      </c>
      <c r="AH1044" s="21">
        <f t="shared" si="169"/>
        <v>1</v>
      </c>
    </row>
    <row r="1045" spans="1:34" hidden="1">
      <c r="A1045" t="s">
        <v>75</v>
      </c>
      <c r="B1045" s="18">
        <v>2028</v>
      </c>
      <c r="C1045" t="s">
        <v>202</v>
      </c>
      <c r="D1045" t="s">
        <v>177</v>
      </c>
      <c r="E1045" s="20" t="s">
        <v>291</v>
      </c>
      <c r="F1045" s="20" t="s">
        <v>292</v>
      </c>
      <c r="G1045" s="20" t="s">
        <v>203</v>
      </c>
      <c r="H1045" s="20" t="s">
        <v>192</v>
      </c>
      <c r="I1045" s="20" t="s">
        <v>167</v>
      </c>
      <c r="J1045" s="15">
        <f>IFERROR(INDEX(Cost_Components!$K$2:$K$27,MATCH(E1045,Cost_Components!$A$2:$A$27,0)),"")</f>
        <v>0.52</v>
      </c>
      <c r="K1045" s="15">
        <f t="shared" si="160"/>
        <v>0.38538461538461538</v>
      </c>
      <c r="L1045" s="15">
        <f>IFERROR(INDEX(Cost_Components!$S$2:$S$27,MATCH(E1045,Cost_Components!$A$2:$A$27,0)),"")</f>
        <v>0.31</v>
      </c>
      <c r="M1045" s="26">
        <f>IFERROR(INDEX(Cost_Components!$L$2:$L$27,MATCH(E1045,Cost_Components!$A$2:$A$27,0)),"")</f>
        <v>1</v>
      </c>
      <c r="N1045" s="27">
        <f>IFERROR(INDEX(Cost_Components!$P$2:$P$27,MATCH(E1045,Cost_Components!$A$2:$A$27,0)),"")</f>
        <v>35.362648999999998</v>
      </c>
      <c r="O1045" s="21">
        <f t="shared" si="161"/>
        <v>306815.12981323671</v>
      </c>
      <c r="P1045" s="21">
        <f t="shared" si="162"/>
        <v>318256.4629112705</v>
      </c>
      <c r="Q1045" s="21">
        <f t="shared" si="163"/>
        <v>3488861.3928729608</v>
      </c>
      <c r="R1045" s="21">
        <f t="shared" si="164"/>
        <v>4181344.3596007209</v>
      </c>
      <c r="S1045" s="21">
        <f t="shared" si="165"/>
        <v>692482.96672776015</v>
      </c>
      <c r="T1045" s="14">
        <f>IFERROR(INDEX(Cost_Components!$R$2:$R$27,MATCH(E1045,Cost_Components!$A$2:$A$27,0)),"")</f>
        <v>1</v>
      </c>
      <c r="U1045" s="24">
        <f>IFERROR(INDEX(Cost_Components!$Q$2:$Q$27,MATCH(E1045,Cost_Components!$A$2:$A$27,0)),"")</f>
        <v>2023</v>
      </c>
      <c r="V1045" s="28">
        <f>1/(1+Calculation_Assumptions!$B$5)^(B1045-Calculation_Assumptions!$B$2)</f>
        <v>0.91514165935315961</v>
      </c>
      <c r="W1045" s="21">
        <f t="shared" si="166"/>
        <v>3192802.4043269372</v>
      </c>
      <c r="X1045" s="21">
        <f t="shared" si="167"/>
        <v>3826522.4155719783</v>
      </c>
      <c r="Y1045" s="21">
        <f t="shared" si="168"/>
        <v>633720.01124504127</v>
      </c>
      <c r="Z1045" s="15">
        <f>IFERROR(INDEX(Cost_Components!$T$2:$T$27,MATCH(E1045,Cost_Components!$A$2:$A$27,0)),"")</f>
        <v>0.8</v>
      </c>
      <c r="AA1045" s="24">
        <f>IFERROR(INDEX(Cost_Components!$U$2:$U$27,MATCH(E1045,Cost_Components!$A$2:$A$27,0)),"")</f>
        <v>2025</v>
      </c>
      <c r="AB1045" s="24">
        <f>IFERROR(INDEX(Cost_Components!$V$2:$V$27,MATCH(E1045,Cost_Components!$A$2:$A$27,0)),"")</f>
        <v>2050</v>
      </c>
      <c r="AC1045" s="24">
        <f>IFERROR(INDEX(Cost_Components!$M$2:$M$27,MATCH(E1045,Cost_Components!$A$2:$A$27,0)),"")</f>
        <v>0</v>
      </c>
      <c r="AD1045" s="24">
        <f>IFERROR(INDEX(Cost_Components!$N$2:$N$27,MATCH(E1045,Cost_Components!$A$2:$A$27,0)),"")</f>
        <v>95</v>
      </c>
      <c r="AE1045" s="14" t="str">
        <f>IFERROR(INDEX(Cost_Components!$O$2:$O$27,MATCH(E1045,Cost_Components!$A$2:$A$27,0)),"")</f>
        <v>Both</v>
      </c>
      <c r="AF1045" s="11">
        <v>590029.095794686</v>
      </c>
      <c r="AG1045" s="11">
        <v>612031.65944475099</v>
      </c>
      <c r="AH1045" s="21">
        <f t="shared" si="169"/>
        <v>1</v>
      </c>
    </row>
    <row r="1046" spans="1:34" hidden="1">
      <c r="A1046" t="s">
        <v>75</v>
      </c>
      <c r="B1046" s="18">
        <v>2029</v>
      </c>
      <c r="C1046" t="s">
        <v>202</v>
      </c>
      <c r="D1046" t="s">
        <v>177</v>
      </c>
      <c r="E1046" s="20" t="s">
        <v>291</v>
      </c>
      <c r="F1046" s="20" t="s">
        <v>292</v>
      </c>
      <c r="G1046" s="20" t="s">
        <v>203</v>
      </c>
      <c r="H1046" s="20" t="s">
        <v>192</v>
      </c>
      <c r="I1046" s="20" t="s">
        <v>167</v>
      </c>
      <c r="J1046" s="15">
        <f>IFERROR(INDEX(Cost_Components!$K$2:$K$27,MATCH(E1046,Cost_Components!$A$2:$A$27,0)),"")</f>
        <v>0.52</v>
      </c>
      <c r="K1046" s="15">
        <f t="shared" si="160"/>
        <v>0.40423076923076923</v>
      </c>
      <c r="L1046" s="15">
        <f>IFERROR(INDEX(Cost_Components!$S$2:$S$27,MATCH(E1046,Cost_Components!$A$2:$A$27,0)),"")</f>
        <v>0.31</v>
      </c>
      <c r="M1046" s="26">
        <f>IFERROR(INDEX(Cost_Components!$L$2:$L$27,MATCH(E1046,Cost_Components!$A$2:$A$27,0)),"")</f>
        <v>1</v>
      </c>
      <c r="N1046" s="27">
        <f>IFERROR(INDEX(Cost_Components!$P$2:$P$27,MATCH(E1046,Cost_Components!$A$2:$A$27,0)),"")</f>
        <v>35.362648999999998</v>
      </c>
      <c r="O1046" s="21">
        <f t="shared" si="161"/>
        <v>311864.33845521451</v>
      </c>
      <c r="P1046" s="21">
        <f t="shared" si="162"/>
        <v>326417.69518737338</v>
      </c>
      <c r="Q1046" s="21">
        <f t="shared" si="163"/>
        <v>3578328.2585130227</v>
      </c>
      <c r="R1046" s="21">
        <f t="shared" si="164"/>
        <v>4457998.0547560798</v>
      </c>
      <c r="S1046" s="21">
        <f t="shared" si="165"/>
        <v>879669.79624305712</v>
      </c>
      <c r="T1046" s="14">
        <f>IFERROR(INDEX(Cost_Components!$R$2:$R$27,MATCH(E1046,Cost_Components!$A$2:$A$27,0)),"")</f>
        <v>1</v>
      </c>
      <c r="U1046" s="24">
        <f>IFERROR(INDEX(Cost_Components!$Q$2:$Q$27,MATCH(E1046,Cost_Components!$A$2:$A$27,0)),"")</f>
        <v>2023</v>
      </c>
      <c r="V1046" s="28">
        <f>1/(1+Calculation_Assumptions!$B$5)^(B1046-Calculation_Assumptions!$B$2)</f>
        <v>0.888487047915689</v>
      </c>
      <c r="W1046" s="21">
        <f t="shared" si="166"/>
        <v>3179298.3108795239</v>
      </c>
      <c r="X1046" s="21">
        <f t="shared" si="167"/>
        <v>3960873.5312841134</v>
      </c>
      <c r="Y1046" s="21">
        <f t="shared" si="168"/>
        <v>781575.22040458943</v>
      </c>
      <c r="Z1046" s="15">
        <f>IFERROR(INDEX(Cost_Components!$T$2:$T$27,MATCH(E1046,Cost_Components!$A$2:$A$27,0)),"")</f>
        <v>0.8</v>
      </c>
      <c r="AA1046" s="24">
        <f>IFERROR(INDEX(Cost_Components!$U$2:$U$27,MATCH(E1046,Cost_Components!$A$2:$A$27,0)),"")</f>
        <v>2025</v>
      </c>
      <c r="AB1046" s="24">
        <f>IFERROR(INDEX(Cost_Components!$V$2:$V$27,MATCH(E1046,Cost_Components!$A$2:$A$27,0)),"")</f>
        <v>2050</v>
      </c>
      <c r="AC1046" s="24">
        <f>IFERROR(INDEX(Cost_Components!$M$2:$M$27,MATCH(E1046,Cost_Components!$A$2:$A$27,0)),"")</f>
        <v>0</v>
      </c>
      <c r="AD1046" s="24">
        <f>IFERROR(INDEX(Cost_Components!$N$2:$N$27,MATCH(E1046,Cost_Components!$A$2:$A$27,0)),"")</f>
        <v>95</v>
      </c>
      <c r="AE1046" s="14" t="str">
        <f>IFERROR(INDEX(Cost_Components!$O$2:$O$27,MATCH(E1046,Cost_Components!$A$2:$A$27,0)),"")</f>
        <v>Both</v>
      </c>
      <c r="AF1046" s="11">
        <v>599739.11241387401</v>
      </c>
      <c r="AG1046" s="11">
        <v>627726.33689879498</v>
      </c>
      <c r="AH1046" s="21">
        <f t="shared" si="169"/>
        <v>1</v>
      </c>
    </row>
    <row r="1047" spans="1:34" hidden="1">
      <c r="A1047" t="s">
        <v>75</v>
      </c>
      <c r="B1047" s="18">
        <v>2030</v>
      </c>
      <c r="C1047" t="s">
        <v>202</v>
      </c>
      <c r="D1047" t="s">
        <v>177</v>
      </c>
      <c r="E1047" s="20" t="s">
        <v>291</v>
      </c>
      <c r="F1047" s="20" t="s">
        <v>292</v>
      </c>
      <c r="G1047" s="20" t="s">
        <v>203</v>
      </c>
      <c r="H1047" s="20" t="s">
        <v>192</v>
      </c>
      <c r="I1047" s="20" t="s">
        <v>167</v>
      </c>
      <c r="J1047" s="15">
        <f>IFERROR(INDEX(Cost_Components!$K$2:$K$27,MATCH(E1047,Cost_Components!$A$2:$A$27,0)),"")</f>
        <v>0.52</v>
      </c>
      <c r="K1047" s="15">
        <f t="shared" si="160"/>
        <v>0.42307692307692307</v>
      </c>
      <c r="L1047" s="15">
        <f>IFERROR(INDEX(Cost_Components!$S$2:$S$27,MATCH(E1047,Cost_Components!$A$2:$A$27,0)),"")</f>
        <v>0.31</v>
      </c>
      <c r="M1047" s="26">
        <f>IFERROR(INDEX(Cost_Components!$L$2:$L$27,MATCH(E1047,Cost_Components!$A$2:$A$27,0)),"")</f>
        <v>1</v>
      </c>
      <c r="N1047" s="27">
        <f>IFERROR(INDEX(Cost_Components!$P$2:$P$27,MATCH(E1047,Cost_Components!$A$2:$A$27,0)),"")</f>
        <v>35.362648999999998</v>
      </c>
      <c r="O1047" s="21">
        <f t="shared" si="161"/>
        <v>316682.48036439507</v>
      </c>
      <c r="P1047" s="21">
        <f t="shared" si="162"/>
        <v>334440.18987892708</v>
      </c>
      <c r="Q1047" s="21">
        <f t="shared" si="163"/>
        <v>3666274.2243163735</v>
      </c>
      <c r="R1047" s="21">
        <f t="shared" si="164"/>
        <v>4737924.8220511703</v>
      </c>
      <c r="S1047" s="21">
        <f t="shared" si="165"/>
        <v>1071650.5977347968</v>
      </c>
      <c r="T1047" s="14">
        <f>IFERROR(INDEX(Cost_Components!$R$2:$R$27,MATCH(E1047,Cost_Components!$A$2:$A$27,0)),"")</f>
        <v>1</v>
      </c>
      <c r="U1047" s="24">
        <f>IFERROR(INDEX(Cost_Components!$Q$2:$Q$27,MATCH(E1047,Cost_Components!$A$2:$A$27,0)),"")</f>
        <v>2023</v>
      </c>
      <c r="V1047" s="28">
        <f>1/(1+Calculation_Assumptions!$B$5)^(B1047-Calculation_Assumptions!$B$2)</f>
        <v>0.86260878438416411</v>
      </c>
      <c r="W1047" s="21">
        <f t="shared" si="166"/>
        <v>3162560.3518565409</v>
      </c>
      <c r="X1047" s="21">
        <f t="shared" si="167"/>
        <v>4086975.5712531172</v>
      </c>
      <c r="Y1047" s="21">
        <f t="shared" si="168"/>
        <v>924415.21939657594</v>
      </c>
      <c r="Z1047" s="15">
        <f>IFERROR(INDEX(Cost_Components!$T$2:$T$27,MATCH(E1047,Cost_Components!$A$2:$A$27,0)),"")</f>
        <v>0.8</v>
      </c>
      <c r="AA1047" s="24">
        <f>IFERROR(INDEX(Cost_Components!$U$2:$U$27,MATCH(E1047,Cost_Components!$A$2:$A$27,0)),"")</f>
        <v>2025</v>
      </c>
      <c r="AB1047" s="24">
        <f>IFERROR(INDEX(Cost_Components!$V$2:$V$27,MATCH(E1047,Cost_Components!$A$2:$A$27,0)),"")</f>
        <v>2050</v>
      </c>
      <c r="AC1047" s="24">
        <f>IFERROR(INDEX(Cost_Components!$M$2:$M$27,MATCH(E1047,Cost_Components!$A$2:$A$27,0)),"")</f>
        <v>0</v>
      </c>
      <c r="AD1047" s="24">
        <f>IFERROR(INDEX(Cost_Components!$N$2:$N$27,MATCH(E1047,Cost_Components!$A$2:$A$27,0)),"")</f>
        <v>95</v>
      </c>
      <c r="AE1047" s="14" t="str">
        <f>IFERROR(INDEX(Cost_Components!$O$2:$O$27,MATCH(E1047,Cost_Components!$A$2:$A$27,0)),"")</f>
        <v>Both</v>
      </c>
      <c r="AF1047" s="11">
        <v>609004.76993152895</v>
      </c>
      <c r="AG1047" s="11">
        <v>643154.211305629</v>
      </c>
      <c r="AH1047" s="21">
        <f t="shared" si="169"/>
        <v>1</v>
      </c>
    </row>
    <row r="1048" spans="1:34" hidden="1">
      <c r="A1048" t="s">
        <v>75</v>
      </c>
      <c r="B1048" s="18">
        <v>2031</v>
      </c>
      <c r="C1048" t="s">
        <v>202</v>
      </c>
      <c r="D1048" t="s">
        <v>177</v>
      </c>
      <c r="E1048" s="20" t="s">
        <v>291</v>
      </c>
      <c r="F1048" s="20" t="s">
        <v>292</v>
      </c>
      <c r="G1048" s="20" t="s">
        <v>203</v>
      </c>
      <c r="H1048" s="20" t="s">
        <v>192</v>
      </c>
      <c r="I1048" s="20" t="s">
        <v>167</v>
      </c>
      <c r="J1048" s="15">
        <f>IFERROR(INDEX(Cost_Components!$K$2:$K$27,MATCH(E1048,Cost_Components!$A$2:$A$27,0)),"")</f>
        <v>0.52</v>
      </c>
      <c r="K1048" s="15">
        <f t="shared" si="160"/>
        <v>0.44192307692307692</v>
      </c>
      <c r="L1048" s="15">
        <f>IFERROR(INDEX(Cost_Components!$S$2:$S$27,MATCH(E1048,Cost_Components!$A$2:$A$27,0)),"")</f>
        <v>0.31</v>
      </c>
      <c r="M1048" s="26">
        <f>IFERROR(INDEX(Cost_Components!$L$2:$L$27,MATCH(E1048,Cost_Components!$A$2:$A$27,0)),"")</f>
        <v>1</v>
      </c>
      <c r="N1048" s="27">
        <f>IFERROR(INDEX(Cost_Components!$P$2:$P$27,MATCH(E1048,Cost_Components!$A$2:$A$27,0)),"")</f>
        <v>35.362648999999998</v>
      </c>
      <c r="O1048" s="21">
        <f t="shared" si="161"/>
        <v>321254.12676916673</v>
      </c>
      <c r="P1048" s="21">
        <f t="shared" si="162"/>
        <v>342306.7176197833</v>
      </c>
      <c r="Q1048" s="21">
        <f t="shared" si="163"/>
        <v>3752510.4147144584</v>
      </c>
      <c r="R1048" s="21">
        <f t="shared" si="164"/>
        <v>5020421.564048361</v>
      </c>
      <c r="S1048" s="21">
        <f t="shared" si="165"/>
        <v>1267911.1493339026</v>
      </c>
      <c r="T1048" s="14">
        <f>IFERROR(INDEX(Cost_Components!$R$2:$R$27,MATCH(E1048,Cost_Components!$A$2:$A$27,0)),"")</f>
        <v>1</v>
      </c>
      <c r="U1048" s="24">
        <f>IFERROR(INDEX(Cost_Components!$Q$2:$Q$27,MATCH(E1048,Cost_Components!$A$2:$A$27,0)),"")</f>
        <v>2023</v>
      </c>
      <c r="V1048" s="28">
        <f>1/(1+Calculation_Assumptions!$B$5)^(B1048-Calculation_Assumptions!$B$2)</f>
        <v>0.83748425668365445</v>
      </c>
      <c r="W1048" s="21">
        <f t="shared" si="166"/>
        <v>3142668.3953648102</v>
      </c>
      <c r="X1048" s="21">
        <f t="shared" si="167"/>
        <v>4204524.0218056319</v>
      </c>
      <c r="Y1048" s="21">
        <f t="shared" si="168"/>
        <v>1061855.6264408214</v>
      </c>
      <c r="Z1048" s="15">
        <f>IFERROR(INDEX(Cost_Components!$T$2:$T$27,MATCH(E1048,Cost_Components!$A$2:$A$27,0)),"")</f>
        <v>0.8</v>
      </c>
      <c r="AA1048" s="24">
        <f>IFERROR(INDEX(Cost_Components!$U$2:$U$27,MATCH(E1048,Cost_Components!$A$2:$A$27,0)),"")</f>
        <v>2025</v>
      </c>
      <c r="AB1048" s="24">
        <f>IFERROR(INDEX(Cost_Components!$V$2:$V$27,MATCH(E1048,Cost_Components!$A$2:$A$27,0)),"")</f>
        <v>2050</v>
      </c>
      <c r="AC1048" s="24">
        <f>IFERROR(INDEX(Cost_Components!$M$2:$M$27,MATCH(E1048,Cost_Components!$A$2:$A$27,0)),"")</f>
        <v>0</v>
      </c>
      <c r="AD1048" s="24">
        <f>IFERROR(INDEX(Cost_Components!$N$2:$N$27,MATCH(E1048,Cost_Components!$A$2:$A$27,0)),"")</f>
        <v>95</v>
      </c>
      <c r="AE1048" s="14" t="str">
        <f>IFERROR(INDEX(Cost_Components!$O$2:$O$27,MATCH(E1048,Cost_Components!$A$2:$A$27,0)),"")</f>
        <v>Both</v>
      </c>
      <c r="AF1048" s="11">
        <v>617796.39763301297</v>
      </c>
      <c r="AG1048" s="11">
        <v>658282.14926881401</v>
      </c>
      <c r="AH1048" s="21">
        <f t="shared" si="169"/>
        <v>1</v>
      </c>
    </row>
    <row r="1049" spans="1:34" hidden="1">
      <c r="A1049" t="s">
        <v>75</v>
      </c>
      <c r="B1049" s="18">
        <v>2032</v>
      </c>
      <c r="C1049" t="s">
        <v>202</v>
      </c>
      <c r="D1049" t="s">
        <v>177</v>
      </c>
      <c r="E1049" s="20" t="s">
        <v>291</v>
      </c>
      <c r="F1049" s="20" t="s">
        <v>292</v>
      </c>
      <c r="G1049" s="20" t="s">
        <v>203</v>
      </c>
      <c r="H1049" s="20" t="s">
        <v>192</v>
      </c>
      <c r="I1049" s="20" t="s">
        <v>167</v>
      </c>
      <c r="J1049" s="15">
        <f>IFERROR(INDEX(Cost_Components!$K$2:$K$27,MATCH(E1049,Cost_Components!$A$2:$A$27,0)),"")</f>
        <v>0.52</v>
      </c>
      <c r="K1049" s="15">
        <f t="shared" si="160"/>
        <v>0.46076923076923082</v>
      </c>
      <c r="L1049" s="15">
        <f>IFERROR(INDEX(Cost_Components!$S$2:$S$27,MATCH(E1049,Cost_Components!$A$2:$A$27,0)),"")</f>
        <v>0.31</v>
      </c>
      <c r="M1049" s="26">
        <f>IFERROR(INDEX(Cost_Components!$L$2:$L$27,MATCH(E1049,Cost_Components!$A$2:$A$27,0)),"")</f>
        <v>1</v>
      </c>
      <c r="N1049" s="27">
        <f>IFERROR(INDEX(Cost_Components!$P$2:$P$27,MATCH(E1049,Cost_Components!$A$2:$A$27,0)),"")</f>
        <v>35.362648999999998</v>
      </c>
      <c r="O1049" s="21">
        <f t="shared" si="161"/>
        <v>325597.21697087312</v>
      </c>
      <c r="P1049" s="21">
        <f t="shared" si="162"/>
        <v>350029.62190209836</v>
      </c>
      <c r="Q1049" s="21">
        <f t="shared" si="163"/>
        <v>3837172.1442672508</v>
      </c>
      <c r="R1049" s="21">
        <f t="shared" si="164"/>
        <v>5305287.7533627534</v>
      </c>
      <c r="S1049" s="21">
        <f t="shared" si="165"/>
        <v>1468115.6090955026</v>
      </c>
      <c r="T1049" s="14">
        <f>IFERROR(INDEX(Cost_Components!$R$2:$R$27,MATCH(E1049,Cost_Components!$A$2:$A$27,0)),"")</f>
        <v>1</v>
      </c>
      <c r="U1049" s="24">
        <f>IFERROR(INDEX(Cost_Components!$Q$2:$Q$27,MATCH(E1049,Cost_Components!$A$2:$A$27,0)),"")</f>
        <v>2023</v>
      </c>
      <c r="V1049" s="28">
        <f>1/(1+Calculation_Assumptions!$B$5)^(B1049-Calculation_Assumptions!$B$2)</f>
        <v>0.81309151134335378</v>
      </c>
      <c r="W1049" s="21">
        <f t="shared" si="166"/>
        <v>3119972.0980668766</v>
      </c>
      <c r="X1049" s="21">
        <f t="shared" si="167"/>
        <v>4313684.4374931073</v>
      </c>
      <c r="Y1049" s="21">
        <f t="shared" si="168"/>
        <v>1193712.3394262306</v>
      </c>
      <c r="Z1049" s="15">
        <f>IFERROR(INDEX(Cost_Components!$T$2:$T$27,MATCH(E1049,Cost_Components!$A$2:$A$27,0)),"")</f>
        <v>0.8</v>
      </c>
      <c r="AA1049" s="24">
        <f>IFERROR(INDEX(Cost_Components!$U$2:$U$27,MATCH(E1049,Cost_Components!$A$2:$A$27,0)),"")</f>
        <v>2025</v>
      </c>
      <c r="AB1049" s="24">
        <f>IFERROR(INDEX(Cost_Components!$V$2:$V$27,MATCH(E1049,Cost_Components!$A$2:$A$27,0)),"")</f>
        <v>2050</v>
      </c>
      <c r="AC1049" s="24">
        <f>IFERROR(INDEX(Cost_Components!$M$2:$M$27,MATCH(E1049,Cost_Components!$A$2:$A$27,0)),"")</f>
        <v>0</v>
      </c>
      <c r="AD1049" s="24">
        <f>IFERROR(INDEX(Cost_Components!$N$2:$N$27,MATCH(E1049,Cost_Components!$A$2:$A$27,0)),"")</f>
        <v>95</v>
      </c>
      <c r="AE1049" s="14" t="str">
        <f>IFERROR(INDEX(Cost_Components!$O$2:$O$27,MATCH(E1049,Cost_Components!$A$2:$A$27,0)),"")</f>
        <v>Both</v>
      </c>
      <c r="AF1049" s="11">
        <v>626148.49417475599</v>
      </c>
      <c r="AG1049" s="11">
        <v>673133.88827326603</v>
      </c>
      <c r="AH1049" s="21">
        <f t="shared" si="169"/>
        <v>1</v>
      </c>
    </row>
    <row r="1050" spans="1:34" hidden="1">
      <c r="A1050" t="s">
        <v>75</v>
      </c>
      <c r="B1050" s="18">
        <v>2033</v>
      </c>
      <c r="C1050" t="s">
        <v>202</v>
      </c>
      <c r="D1050" t="s">
        <v>177</v>
      </c>
      <c r="E1050" s="20" t="s">
        <v>291</v>
      </c>
      <c r="F1050" s="20" t="s">
        <v>292</v>
      </c>
      <c r="G1050" s="20" t="s">
        <v>203</v>
      </c>
      <c r="H1050" s="20" t="s">
        <v>192</v>
      </c>
      <c r="I1050" s="20" t="s">
        <v>167</v>
      </c>
      <c r="J1050" s="15">
        <f>IFERROR(INDEX(Cost_Components!$K$2:$K$27,MATCH(E1050,Cost_Components!$A$2:$A$27,0)),"")</f>
        <v>0.52</v>
      </c>
      <c r="K1050" s="15">
        <f t="shared" si="160"/>
        <v>0.47961538461538467</v>
      </c>
      <c r="L1050" s="15">
        <f>IFERROR(INDEX(Cost_Components!$S$2:$S$27,MATCH(E1050,Cost_Components!$A$2:$A$27,0)),"")</f>
        <v>0.31</v>
      </c>
      <c r="M1050" s="26">
        <f>IFERROR(INDEX(Cost_Components!$L$2:$L$27,MATCH(E1050,Cost_Components!$A$2:$A$27,0)),"")</f>
        <v>1</v>
      </c>
      <c r="N1050" s="27">
        <f>IFERROR(INDEX(Cost_Components!$P$2:$P$27,MATCH(E1050,Cost_Components!$A$2:$A$27,0)),"")</f>
        <v>35.362648999999998</v>
      </c>
      <c r="O1050" s="21">
        <f t="shared" si="161"/>
        <v>329686.39374902769</v>
      </c>
      <c r="P1050" s="21">
        <f t="shared" si="162"/>
        <v>357570.04376440152</v>
      </c>
      <c r="Q1050" s="21">
        <f t="shared" si="163"/>
        <v>3919833.4246721021</v>
      </c>
      <c r="R1050" s="21">
        <f t="shared" si="164"/>
        <v>5591636.3558121761</v>
      </c>
      <c r="S1050" s="21">
        <f t="shared" si="165"/>
        <v>1671802.931140074</v>
      </c>
      <c r="T1050" s="14">
        <f>IFERROR(INDEX(Cost_Components!$R$2:$R$27,MATCH(E1050,Cost_Components!$A$2:$A$27,0)),"")</f>
        <v>1</v>
      </c>
      <c r="U1050" s="24">
        <f>IFERROR(INDEX(Cost_Components!$Q$2:$Q$27,MATCH(E1050,Cost_Components!$A$2:$A$27,0)),"")</f>
        <v>2023</v>
      </c>
      <c r="V1050" s="28">
        <f>1/(1+Calculation_Assumptions!$B$5)^(B1050-Calculation_Assumptions!$B$2)</f>
        <v>0.78940923431393573</v>
      </c>
      <c r="W1050" s="21">
        <f t="shared" si="166"/>
        <v>3094352.7024085764</v>
      </c>
      <c r="X1050" s="21">
        <f t="shared" si="167"/>
        <v>4414089.3742036559</v>
      </c>
      <c r="Y1050" s="21">
        <f t="shared" si="168"/>
        <v>1319736.6717950793</v>
      </c>
      <c r="Z1050" s="15">
        <f>IFERROR(INDEX(Cost_Components!$T$2:$T$27,MATCH(E1050,Cost_Components!$A$2:$A$27,0)),"")</f>
        <v>0.8</v>
      </c>
      <c r="AA1050" s="24">
        <f>IFERROR(INDEX(Cost_Components!$U$2:$U$27,MATCH(E1050,Cost_Components!$A$2:$A$27,0)),"")</f>
        <v>2025</v>
      </c>
      <c r="AB1050" s="24">
        <f>IFERROR(INDEX(Cost_Components!$V$2:$V$27,MATCH(E1050,Cost_Components!$A$2:$A$27,0)),"")</f>
        <v>2050</v>
      </c>
      <c r="AC1050" s="24">
        <f>IFERROR(INDEX(Cost_Components!$M$2:$M$27,MATCH(E1050,Cost_Components!$A$2:$A$27,0)),"")</f>
        <v>0</v>
      </c>
      <c r="AD1050" s="24">
        <f>IFERROR(INDEX(Cost_Components!$N$2:$N$27,MATCH(E1050,Cost_Components!$A$2:$A$27,0)),"")</f>
        <v>95</v>
      </c>
      <c r="AE1050" s="14" t="str">
        <f>IFERROR(INDEX(Cost_Components!$O$2:$O$27,MATCH(E1050,Cost_Components!$A$2:$A$27,0)),"")</f>
        <v>Both</v>
      </c>
      <c r="AF1050" s="11">
        <v>634012.29567120702</v>
      </c>
      <c r="AG1050" s="11">
        <v>687634.69954692596</v>
      </c>
      <c r="AH1050" s="21">
        <f t="shared" si="169"/>
        <v>1</v>
      </c>
    </row>
    <row r="1051" spans="1:34" hidden="1">
      <c r="A1051" t="s">
        <v>75</v>
      </c>
      <c r="B1051" s="18">
        <v>2034</v>
      </c>
      <c r="C1051" t="s">
        <v>202</v>
      </c>
      <c r="D1051" t="s">
        <v>177</v>
      </c>
      <c r="E1051" s="20" t="s">
        <v>291</v>
      </c>
      <c r="F1051" s="20" t="s">
        <v>292</v>
      </c>
      <c r="G1051" s="20" t="s">
        <v>203</v>
      </c>
      <c r="H1051" s="20" t="s">
        <v>192</v>
      </c>
      <c r="I1051" s="20" t="s">
        <v>167</v>
      </c>
      <c r="J1051" s="15">
        <f>IFERROR(INDEX(Cost_Components!$K$2:$K$27,MATCH(E1051,Cost_Components!$A$2:$A$27,0)),"")</f>
        <v>0.52</v>
      </c>
      <c r="K1051" s="15">
        <f t="shared" si="160"/>
        <v>0.49846153846153851</v>
      </c>
      <c r="L1051" s="15">
        <f>IFERROR(INDEX(Cost_Components!$S$2:$S$27,MATCH(E1051,Cost_Components!$A$2:$A$27,0)),"")</f>
        <v>0.31</v>
      </c>
      <c r="M1051" s="26">
        <f>IFERROR(INDEX(Cost_Components!$L$2:$L$27,MATCH(E1051,Cost_Components!$A$2:$A$27,0)),"")</f>
        <v>1</v>
      </c>
      <c r="N1051" s="27">
        <f>IFERROR(INDEX(Cost_Components!$P$2:$P$27,MATCH(E1051,Cost_Components!$A$2:$A$27,0)),"")</f>
        <v>35.362648999999998</v>
      </c>
      <c r="O1051" s="21">
        <f t="shared" si="161"/>
        <v>333482.64168953296</v>
      </c>
      <c r="P1051" s="21">
        <f t="shared" si="162"/>
        <v>364879.67222655937</v>
      </c>
      <c r="Q1051" s="21">
        <f t="shared" si="163"/>
        <v>3999964.6506166887</v>
      </c>
      <c r="R1051" s="21">
        <f t="shared" si="164"/>
        <v>5878271.988051923</v>
      </c>
      <c r="S1051" s="21">
        <f t="shared" si="165"/>
        <v>1878307.3374352343</v>
      </c>
      <c r="T1051" s="14">
        <f>IFERROR(INDEX(Cost_Components!$R$2:$R$27,MATCH(E1051,Cost_Components!$A$2:$A$27,0)),"")</f>
        <v>1</v>
      </c>
      <c r="U1051" s="24">
        <f>IFERROR(INDEX(Cost_Components!$Q$2:$Q$27,MATCH(E1051,Cost_Components!$A$2:$A$27,0)),"")</f>
        <v>2023</v>
      </c>
      <c r="V1051" s="28">
        <f>1/(1+Calculation_Assumptions!$B$5)^(B1051-Calculation_Assumptions!$B$2)</f>
        <v>0.76641673234362695</v>
      </c>
      <c r="W1051" s="21">
        <f t="shared" si="166"/>
        <v>3065639.83701566</v>
      </c>
      <c r="X1051" s="21">
        <f t="shared" si="167"/>
        <v>4505206.0089098308</v>
      </c>
      <c r="Y1051" s="21">
        <f t="shared" si="168"/>
        <v>1439566.1718941706</v>
      </c>
      <c r="Z1051" s="15">
        <f>IFERROR(INDEX(Cost_Components!$T$2:$T$27,MATCH(E1051,Cost_Components!$A$2:$A$27,0)),"")</f>
        <v>0.8</v>
      </c>
      <c r="AA1051" s="24">
        <f>IFERROR(INDEX(Cost_Components!$U$2:$U$27,MATCH(E1051,Cost_Components!$A$2:$A$27,0)),"")</f>
        <v>2025</v>
      </c>
      <c r="AB1051" s="24">
        <f>IFERROR(INDEX(Cost_Components!$V$2:$V$27,MATCH(E1051,Cost_Components!$A$2:$A$27,0)),"")</f>
        <v>2050</v>
      </c>
      <c r="AC1051" s="24">
        <f>IFERROR(INDEX(Cost_Components!$M$2:$M$27,MATCH(E1051,Cost_Components!$A$2:$A$27,0)),"")</f>
        <v>0</v>
      </c>
      <c r="AD1051" s="24">
        <f>IFERROR(INDEX(Cost_Components!$N$2:$N$27,MATCH(E1051,Cost_Components!$A$2:$A$27,0)),"")</f>
        <v>95</v>
      </c>
      <c r="AE1051" s="14" t="str">
        <f>IFERROR(INDEX(Cost_Components!$O$2:$O$27,MATCH(E1051,Cost_Components!$A$2:$A$27,0)),"")</f>
        <v>Both</v>
      </c>
      <c r="AF1051" s="11">
        <v>641312.77247987106</v>
      </c>
      <c r="AG1051" s="11">
        <v>701691.67735876795</v>
      </c>
      <c r="AH1051" s="21">
        <f t="shared" si="169"/>
        <v>1</v>
      </c>
    </row>
    <row r="1052" spans="1:34" hidden="1">
      <c r="A1052" t="s">
        <v>75</v>
      </c>
      <c r="B1052" s="18">
        <v>2035</v>
      </c>
      <c r="C1052" t="s">
        <v>202</v>
      </c>
      <c r="D1052" t="s">
        <v>177</v>
      </c>
      <c r="E1052" s="20" t="s">
        <v>291</v>
      </c>
      <c r="F1052" s="20" t="s">
        <v>292</v>
      </c>
      <c r="G1052" s="20" t="s">
        <v>203</v>
      </c>
      <c r="H1052" s="20" t="s">
        <v>192</v>
      </c>
      <c r="I1052" s="20" t="s">
        <v>167</v>
      </c>
      <c r="J1052" s="15">
        <f>IFERROR(INDEX(Cost_Components!$K$2:$K$27,MATCH(E1052,Cost_Components!$A$2:$A$27,0)),"")</f>
        <v>0.52</v>
      </c>
      <c r="K1052" s="15">
        <f t="shared" si="160"/>
        <v>0.51730769230769236</v>
      </c>
      <c r="L1052" s="15">
        <f>IFERROR(INDEX(Cost_Components!$S$2:$S$27,MATCH(E1052,Cost_Components!$A$2:$A$27,0)),"")</f>
        <v>0.31</v>
      </c>
      <c r="M1052" s="26">
        <f>IFERROR(INDEX(Cost_Components!$L$2:$L$27,MATCH(E1052,Cost_Components!$A$2:$A$27,0)),"")</f>
        <v>1</v>
      </c>
      <c r="N1052" s="27">
        <f>IFERROR(INDEX(Cost_Components!$P$2:$P$27,MATCH(E1052,Cost_Components!$A$2:$A$27,0)),"")</f>
        <v>35.362648999999998</v>
      </c>
      <c r="O1052" s="21">
        <f t="shared" si="161"/>
        <v>337005.19109526154</v>
      </c>
      <c r="P1052" s="21">
        <f t="shared" si="162"/>
        <v>371972.53018749307</v>
      </c>
      <c r="Q1052" s="21">
        <f t="shared" si="163"/>
        <v>4077719.5470252885</v>
      </c>
      <c r="R1052" s="21">
        <f t="shared" si="164"/>
        <v>6164960.7699300544</v>
      </c>
      <c r="S1052" s="21">
        <f t="shared" si="165"/>
        <v>2087241.222904766</v>
      </c>
      <c r="T1052" s="14">
        <f>IFERROR(INDEX(Cost_Components!$R$2:$R$27,MATCH(E1052,Cost_Components!$A$2:$A$27,0)),"")</f>
        <v>1</v>
      </c>
      <c r="U1052" s="24">
        <f>IFERROR(INDEX(Cost_Components!$Q$2:$Q$27,MATCH(E1052,Cost_Components!$A$2:$A$27,0)),"")</f>
        <v>2023</v>
      </c>
      <c r="V1052" s="28">
        <f>1/(1+Calculation_Assumptions!$B$5)^(B1052-Calculation_Assumptions!$B$2)</f>
        <v>0.74409391489672516</v>
      </c>
      <c r="W1052" s="21">
        <f t="shared" si="166"/>
        <v>3034206.3015969475</v>
      </c>
      <c r="X1052" s="21">
        <f t="shared" si="167"/>
        <v>4587309.7944819834</v>
      </c>
      <c r="Y1052" s="21">
        <f t="shared" si="168"/>
        <v>1553103.4928850355</v>
      </c>
      <c r="Z1052" s="15">
        <f>IFERROR(INDEX(Cost_Components!$T$2:$T$27,MATCH(E1052,Cost_Components!$A$2:$A$27,0)),"")</f>
        <v>0.8</v>
      </c>
      <c r="AA1052" s="24">
        <f>IFERROR(INDEX(Cost_Components!$U$2:$U$27,MATCH(E1052,Cost_Components!$A$2:$A$27,0)),"")</f>
        <v>2025</v>
      </c>
      <c r="AB1052" s="24">
        <f>IFERROR(INDEX(Cost_Components!$V$2:$V$27,MATCH(E1052,Cost_Components!$A$2:$A$27,0)),"")</f>
        <v>2050</v>
      </c>
      <c r="AC1052" s="24">
        <f>IFERROR(INDEX(Cost_Components!$M$2:$M$27,MATCH(E1052,Cost_Components!$A$2:$A$27,0)),"")</f>
        <v>0</v>
      </c>
      <c r="AD1052" s="24">
        <f>IFERROR(INDEX(Cost_Components!$N$2:$N$27,MATCH(E1052,Cost_Components!$A$2:$A$27,0)),"")</f>
        <v>95</v>
      </c>
      <c r="AE1052" s="14" t="str">
        <f>IFERROR(INDEX(Cost_Components!$O$2:$O$27,MATCH(E1052,Cost_Components!$A$2:$A$27,0)),"")</f>
        <v>Both</v>
      </c>
      <c r="AF1052" s="11">
        <v>648086.90595242602</v>
      </c>
      <c r="AG1052" s="11">
        <v>715331.78882210201</v>
      </c>
      <c r="AH1052" s="21">
        <f t="shared" si="169"/>
        <v>1</v>
      </c>
    </row>
    <row r="1053" spans="1:34" hidden="1">
      <c r="A1053" t="s">
        <v>75</v>
      </c>
      <c r="B1053" s="18">
        <v>2036</v>
      </c>
      <c r="C1053" t="s">
        <v>202</v>
      </c>
      <c r="D1053" t="s">
        <v>177</v>
      </c>
      <c r="E1053" s="20" t="s">
        <v>291</v>
      </c>
      <c r="F1053" s="20" t="s">
        <v>292</v>
      </c>
      <c r="G1053" s="20" t="s">
        <v>203</v>
      </c>
      <c r="H1053" s="20" t="s">
        <v>192</v>
      </c>
      <c r="I1053" s="20" t="s">
        <v>167</v>
      </c>
      <c r="J1053" s="15">
        <f>IFERROR(INDEX(Cost_Components!$K$2:$K$27,MATCH(E1053,Cost_Components!$A$2:$A$27,0)),"")</f>
        <v>0.52</v>
      </c>
      <c r="K1053" s="15">
        <f t="shared" si="160"/>
        <v>0.5361538461538462</v>
      </c>
      <c r="L1053" s="15">
        <f>IFERROR(INDEX(Cost_Components!$S$2:$S$27,MATCH(E1053,Cost_Components!$A$2:$A$27,0)),"")</f>
        <v>0.31</v>
      </c>
      <c r="M1053" s="26">
        <f>IFERROR(INDEX(Cost_Components!$L$2:$L$27,MATCH(E1053,Cost_Components!$A$2:$A$27,0)),"")</f>
        <v>1</v>
      </c>
      <c r="N1053" s="27">
        <f>IFERROR(INDEX(Cost_Components!$P$2:$P$27,MATCH(E1053,Cost_Components!$A$2:$A$27,0)),"")</f>
        <v>35.362648999999998</v>
      </c>
      <c r="O1053" s="21">
        <f t="shared" si="161"/>
        <v>340251.67321595375</v>
      </c>
      <c r="P1053" s="21">
        <f t="shared" si="162"/>
        <v>378836.4372836384</v>
      </c>
      <c r="Q1053" s="21">
        <f t="shared" si="163"/>
        <v>4152964.5876222635</v>
      </c>
      <c r="R1053" s="21">
        <f t="shared" si="164"/>
        <v>6451110.5712647205</v>
      </c>
      <c r="S1053" s="21">
        <f t="shared" si="165"/>
        <v>2298145.9836424571</v>
      </c>
      <c r="T1053" s="14">
        <f>IFERROR(INDEX(Cost_Components!$R$2:$R$27,MATCH(E1053,Cost_Components!$A$2:$A$27,0)),"")</f>
        <v>1</v>
      </c>
      <c r="U1053" s="24">
        <f>IFERROR(INDEX(Cost_Components!$Q$2:$Q$27,MATCH(E1053,Cost_Components!$A$2:$A$27,0)),"")</f>
        <v>2023</v>
      </c>
      <c r="V1053" s="28">
        <f>1/(1+Calculation_Assumptions!$B$5)^(B1053-Calculation_Assumptions!$B$2)</f>
        <v>0.72242127659876232</v>
      </c>
      <c r="W1053" s="21">
        <f t="shared" si="166"/>
        <v>3000189.9790595281</v>
      </c>
      <c r="X1053" s="21">
        <f t="shared" si="167"/>
        <v>4660419.5343728298</v>
      </c>
      <c r="Y1053" s="21">
        <f t="shared" si="168"/>
        <v>1660229.5553133022</v>
      </c>
      <c r="Z1053" s="15">
        <f>IFERROR(INDEX(Cost_Components!$T$2:$T$27,MATCH(E1053,Cost_Components!$A$2:$A$27,0)),"")</f>
        <v>0.8</v>
      </c>
      <c r="AA1053" s="24">
        <f>IFERROR(INDEX(Cost_Components!$U$2:$U$27,MATCH(E1053,Cost_Components!$A$2:$A$27,0)),"")</f>
        <v>2025</v>
      </c>
      <c r="AB1053" s="24">
        <f>IFERROR(INDEX(Cost_Components!$V$2:$V$27,MATCH(E1053,Cost_Components!$A$2:$A$27,0)),"")</f>
        <v>2050</v>
      </c>
      <c r="AC1053" s="24">
        <f>IFERROR(INDEX(Cost_Components!$M$2:$M$27,MATCH(E1053,Cost_Components!$A$2:$A$27,0)),"")</f>
        <v>0</v>
      </c>
      <c r="AD1053" s="24">
        <f>IFERROR(INDEX(Cost_Components!$N$2:$N$27,MATCH(E1053,Cost_Components!$A$2:$A$27,0)),"")</f>
        <v>95</v>
      </c>
      <c r="AE1053" s="14" t="str">
        <f>IFERROR(INDEX(Cost_Components!$O$2:$O$27,MATCH(E1053,Cost_Components!$A$2:$A$27,0)),"")</f>
        <v>Both</v>
      </c>
      <c r="AF1053" s="11">
        <v>654330.14079991099</v>
      </c>
      <c r="AG1053" s="11">
        <v>728531.610160843</v>
      </c>
      <c r="AH1053" s="21">
        <f t="shared" si="169"/>
        <v>1</v>
      </c>
    </row>
    <row r="1054" spans="1:34" hidden="1">
      <c r="A1054" t="s">
        <v>75</v>
      </c>
      <c r="B1054" s="18">
        <v>2037</v>
      </c>
      <c r="C1054" t="s">
        <v>202</v>
      </c>
      <c r="D1054" t="s">
        <v>177</v>
      </c>
      <c r="E1054" s="20" t="s">
        <v>291</v>
      </c>
      <c r="F1054" s="20" t="s">
        <v>292</v>
      </c>
      <c r="G1054" s="20" t="s">
        <v>203</v>
      </c>
      <c r="H1054" s="20" t="s">
        <v>192</v>
      </c>
      <c r="I1054" s="20" t="s">
        <v>167</v>
      </c>
      <c r="J1054" s="15">
        <f>IFERROR(INDEX(Cost_Components!$K$2:$K$27,MATCH(E1054,Cost_Components!$A$2:$A$27,0)),"")</f>
        <v>0.52</v>
      </c>
      <c r="K1054" s="15">
        <f t="shared" si="160"/>
        <v>0.55500000000000005</v>
      </c>
      <c r="L1054" s="15">
        <f>IFERROR(INDEX(Cost_Components!$S$2:$S$27,MATCH(E1054,Cost_Components!$A$2:$A$27,0)),"")</f>
        <v>0.31</v>
      </c>
      <c r="M1054" s="26">
        <f>IFERROR(INDEX(Cost_Components!$L$2:$L$27,MATCH(E1054,Cost_Components!$A$2:$A$27,0)),"")</f>
        <v>1</v>
      </c>
      <c r="N1054" s="27">
        <f>IFERROR(INDEX(Cost_Components!$P$2:$P$27,MATCH(E1054,Cost_Components!$A$2:$A$27,0)),"")</f>
        <v>35.362648999999998</v>
      </c>
      <c r="O1054" s="21">
        <f t="shared" si="161"/>
        <v>343221.15967375133</v>
      </c>
      <c r="P1054" s="21">
        <f t="shared" si="162"/>
        <v>385455.94216219638</v>
      </c>
      <c r="Q1054" s="21">
        <f t="shared" si="163"/>
        <v>4225530.3881702758</v>
      </c>
      <c r="R1054" s="21">
        <f t="shared" si="164"/>
        <v>6736151.216398282</v>
      </c>
      <c r="S1054" s="21">
        <f t="shared" si="165"/>
        <v>2510620.8282280061</v>
      </c>
      <c r="T1054" s="14">
        <f>IFERROR(INDEX(Cost_Components!$R$2:$R$27,MATCH(E1054,Cost_Components!$A$2:$A$27,0)),"")</f>
        <v>1</v>
      </c>
      <c r="U1054" s="24">
        <f>IFERROR(INDEX(Cost_Components!$Q$2:$Q$27,MATCH(E1054,Cost_Components!$A$2:$A$27,0)),"")</f>
        <v>2023</v>
      </c>
      <c r="V1054" s="28">
        <f>1/(1+Calculation_Assumptions!$B$5)^(B1054-Calculation_Assumptions!$B$2)</f>
        <v>0.70137988019297326</v>
      </c>
      <c r="W1054" s="21">
        <f t="shared" si="166"/>
        <v>2963701.9974066359</v>
      </c>
      <c r="X1054" s="21">
        <f t="shared" si="167"/>
        <v>4724600.9331191778</v>
      </c>
      <c r="Y1054" s="21">
        <f t="shared" si="168"/>
        <v>1760898.9357125422</v>
      </c>
      <c r="Z1054" s="15">
        <f>IFERROR(INDEX(Cost_Components!$T$2:$T$27,MATCH(E1054,Cost_Components!$A$2:$A$27,0)),"")</f>
        <v>0.8</v>
      </c>
      <c r="AA1054" s="24">
        <f>IFERROR(INDEX(Cost_Components!$U$2:$U$27,MATCH(E1054,Cost_Components!$A$2:$A$27,0)),"")</f>
        <v>2025</v>
      </c>
      <c r="AB1054" s="24">
        <f>IFERROR(INDEX(Cost_Components!$V$2:$V$27,MATCH(E1054,Cost_Components!$A$2:$A$27,0)),"")</f>
        <v>2050</v>
      </c>
      <c r="AC1054" s="24">
        <f>IFERROR(INDEX(Cost_Components!$M$2:$M$27,MATCH(E1054,Cost_Components!$A$2:$A$27,0)),"")</f>
        <v>0</v>
      </c>
      <c r="AD1054" s="24">
        <f>IFERROR(INDEX(Cost_Components!$N$2:$N$27,MATCH(E1054,Cost_Components!$A$2:$A$27,0)),"")</f>
        <v>95</v>
      </c>
      <c r="AE1054" s="14" t="str">
        <f>IFERROR(INDEX(Cost_Components!$O$2:$O$27,MATCH(E1054,Cost_Components!$A$2:$A$27,0)),"")</f>
        <v>Both</v>
      </c>
      <c r="AF1054" s="11">
        <v>660040.69168029097</v>
      </c>
      <c r="AG1054" s="11">
        <v>741261.42723499297</v>
      </c>
      <c r="AH1054" s="21">
        <f t="shared" si="169"/>
        <v>1</v>
      </c>
    </row>
    <row r="1055" spans="1:34" hidden="1">
      <c r="A1055" t="s">
        <v>75</v>
      </c>
      <c r="B1055" s="18">
        <v>2038</v>
      </c>
      <c r="C1055" t="s">
        <v>202</v>
      </c>
      <c r="D1055" t="s">
        <v>177</v>
      </c>
      <c r="E1055" s="20" t="s">
        <v>291</v>
      </c>
      <c r="F1055" s="20" t="s">
        <v>292</v>
      </c>
      <c r="G1055" s="20" t="s">
        <v>203</v>
      </c>
      <c r="H1055" s="20" t="s">
        <v>192</v>
      </c>
      <c r="I1055" s="20" t="s">
        <v>167</v>
      </c>
      <c r="J1055" s="15">
        <f>IFERROR(INDEX(Cost_Components!$K$2:$K$27,MATCH(E1055,Cost_Components!$A$2:$A$27,0)),"")</f>
        <v>0.52</v>
      </c>
      <c r="K1055" s="15">
        <f t="shared" si="160"/>
        <v>0.57384615384615389</v>
      </c>
      <c r="L1055" s="15">
        <f>IFERROR(INDEX(Cost_Components!$S$2:$S$27,MATCH(E1055,Cost_Components!$A$2:$A$27,0)),"")</f>
        <v>0.31</v>
      </c>
      <c r="M1055" s="26">
        <f>IFERROR(INDEX(Cost_Components!$L$2:$L$27,MATCH(E1055,Cost_Components!$A$2:$A$27,0)),"")</f>
        <v>1</v>
      </c>
      <c r="N1055" s="27">
        <f>IFERROR(INDEX(Cost_Components!$P$2:$P$27,MATCH(E1055,Cost_Components!$A$2:$A$27,0)),"")</f>
        <v>35.362648999999998</v>
      </c>
      <c r="O1055" s="21">
        <f t="shared" si="161"/>
        <v>345937.70461693406</v>
      </c>
      <c r="P1055" s="21">
        <f t="shared" si="162"/>
        <v>391851.62751633237</v>
      </c>
      <c r="Q1055" s="21">
        <f t="shared" si="163"/>
        <v>4295642.5848210286</v>
      </c>
      <c r="R1055" s="21">
        <f t="shared" si="164"/>
        <v>7020017.0182144633</v>
      </c>
      <c r="S1055" s="21">
        <f t="shared" si="165"/>
        <v>2724374.4333934346</v>
      </c>
      <c r="T1055" s="14">
        <f>IFERROR(INDEX(Cost_Components!$R$2:$R$27,MATCH(E1055,Cost_Components!$A$2:$A$27,0)),"")</f>
        <v>1</v>
      </c>
      <c r="U1055" s="24">
        <f>IFERROR(INDEX(Cost_Components!$Q$2:$Q$27,MATCH(E1055,Cost_Components!$A$2:$A$27,0)),"")</f>
        <v>2023</v>
      </c>
      <c r="V1055" s="28">
        <f>1/(1+Calculation_Assumptions!$B$5)^(B1055-Calculation_Assumptions!$B$2)</f>
        <v>0.68095133999317792</v>
      </c>
      <c r="W1055" s="21">
        <f t="shared" si="166"/>
        <v>2925123.5742656379</v>
      </c>
      <c r="X1055" s="21">
        <f t="shared" si="167"/>
        <v>4780289.995328052</v>
      </c>
      <c r="Y1055" s="21">
        <f t="shared" si="168"/>
        <v>1855166.4210624141</v>
      </c>
      <c r="Z1055" s="15">
        <f>IFERROR(INDEX(Cost_Components!$T$2:$T$27,MATCH(E1055,Cost_Components!$A$2:$A$27,0)),"")</f>
        <v>0.8</v>
      </c>
      <c r="AA1055" s="24">
        <f>IFERROR(INDEX(Cost_Components!$U$2:$U$27,MATCH(E1055,Cost_Components!$A$2:$A$27,0)),"")</f>
        <v>2025</v>
      </c>
      <c r="AB1055" s="24">
        <f>IFERROR(INDEX(Cost_Components!$V$2:$V$27,MATCH(E1055,Cost_Components!$A$2:$A$27,0)),"")</f>
        <v>2050</v>
      </c>
      <c r="AC1055" s="24">
        <f>IFERROR(INDEX(Cost_Components!$M$2:$M$27,MATCH(E1055,Cost_Components!$A$2:$A$27,0)),"")</f>
        <v>0</v>
      </c>
      <c r="AD1055" s="24">
        <f>IFERROR(INDEX(Cost_Components!$N$2:$N$27,MATCH(E1055,Cost_Components!$A$2:$A$27,0)),"")</f>
        <v>95</v>
      </c>
      <c r="AE1055" s="14" t="str">
        <f>IFERROR(INDEX(Cost_Components!$O$2:$O$27,MATCH(E1055,Cost_Components!$A$2:$A$27,0)),"")</f>
        <v>Both</v>
      </c>
      <c r="AF1055" s="11">
        <v>665264.81657102704</v>
      </c>
      <c r="AG1055" s="11">
        <v>753560.82214679301</v>
      </c>
      <c r="AH1055" s="21">
        <f t="shared" si="169"/>
        <v>1</v>
      </c>
    </row>
    <row r="1056" spans="1:34" hidden="1">
      <c r="A1056" t="s">
        <v>75</v>
      </c>
      <c r="B1056" s="18">
        <v>2039</v>
      </c>
      <c r="C1056" t="s">
        <v>202</v>
      </c>
      <c r="D1056" t="s">
        <v>177</v>
      </c>
      <c r="E1056" s="20" t="s">
        <v>291</v>
      </c>
      <c r="F1056" s="20" t="s">
        <v>292</v>
      </c>
      <c r="G1056" s="20" t="s">
        <v>203</v>
      </c>
      <c r="H1056" s="20" t="s">
        <v>192</v>
      </c>
      <c r="I1056" s="20" t="s">
        <v>167</v>
      </c>
      <c r="J1056" s="15">
        <f>IFERROR(INDEX(Cost_Components!$K$2:$K$27,MATCH(E1056,Cost_Components!$A$2:$A$27,0)),"")</f>
        <v>0.52</v>
      </c>
      <c r="K1056" s="15">
        <f t="shared" si="160"/>
        <v>0.59269230769230763</v>
      </c>
      <c r="L1056" s="15">
        <f>IFERROR(INDEX(Cost_Components!$S$2:$S$27,MATCH(E1056,Cost_Components!$A$2:$A$27,0)),"")</f>
        <v>0.31</v>
      </c>
      <c r="M1056" s="26">
        <f>IFERROR(INDEX(Cost_Components!$L$2:$L$27,MATCH(E1056,Cost_Components!$A$2:$A$27,0)),"")</f>
        <v>1</v>
      </c>
      <c r="N1056" s="27">
        <f>IFERROR(INDEX(Cost_Components!$P$2:$P$27,MATCH(E1056,Cost_Components!$A$2:$A$27,0)),"")</f>
        <v>35.362648999999998</v>
      </c>
      <c r="O1056" s="21">
        <f t="shared" si="161"/>
        <v>348456.22351329657</v>
      </c>
      <c r="P1056" s="21">
        <f t="shared" si="162"/>
        <v>398074.80327620567</v>
      </c>
      <c r="Q1056" s="21">
        <f t="shared" si="163"/>
        <v>4363863.6586401574</v>
      </c>
      <c r="R1056" s="21">
        <f t="shared" si="164"/>
        <v>7303353.2407815354</v>
      </c>
      <c r="S1056" s="21">
        <f t="shared" si="165"/>
        <v>2939489.582141378</v>
      </c>
      <c r="T1056" s="14">
        <f>IFERROR(INDEX(Cost_Components!$R$2:$R$27,MATCH(E1056,Cost_Components!$A$2:$A$27,0)),"")</f>
        <v>1</v>
      </c>
      <c r="U1056" s="24">
        <f>IFERROR(INDEX(Cost_Components!$Q$2:$Q$27,MATCH(E1056,Cost_Components!$A$2:$A$27,0)),"")</f>
        <v>2023</v>
      </c>
      <c r="V1056" s="28">
        <f>1/(1+Calculation_Assumptions!$B$5)^(B1056-Calculation_Assumptions!$B$2)</f>
        <v>0.66111780581861923</v>
      </c>
      <c r="W1056" s="21">
        <f t="shared" si="166"/>
        <v>2885027.9668917931</v>
      </c>
      <c r="X1056" s="21">
        <f t="shared" si="167"/>
        <v>4828376.8696637908</v>
      </c>
      <c r="Y1056" s="21">
        <f t="shared" si="168"/>
        <v>1943348.9027719977</v>
      </c>
      <c r="Z1056" s="15">
        <f>IFERROR(INDEX(Cost_Components!$T$2:$T$27,MATCH(E1056,Cost_Components!$A$2:$A$27,0)),"")</f>
        <v>0.8</v>
      </c>
      <c r="AA1056" s="24">
        <f>IFERROR(INDEX(Cost_Components!$U$2:$U$27,MATCH(E1056,Cost_Components!$A$2:$A$27,0)),"")</f>
        <v>2025</v>
      </c>
      <c r="AB1056" s="24">
        <f>IFERROR(INDEX(Cost_Components!$V$2:$V$27,MATCH(E1056,Cost_Components!$A$2:$A$27,0)),"")</f>
        <v>2050</v>
      </c>
      <c r="AC1056" s="24">
        <f>IFERROR(INDEX(Cost_Components!$M$2:$M$27,MATCH(E1056,Cost_Components!$A$2:$A$27,0)),"")</f>
        <v>0</v>
      </c>
      <c r="AD1056" s="24">
        <f>IFERROR(INDEX(Cost_Components!$N$2:$N$27,MATCH(E1056,Cost_Components!$A$2:$A$27,0)),"")</f>
        <v>95</v>
      </c>
      <c r="AE1056" s="14" t="str">
        <f>IFERROR(INDEX(Cost_Components!$O$2:$O$27,MATCH(E1056,Cost_Components!$A$2:$A$27,0)),"")</f>
        <v>Both</v>
      </c>
      <c r="AF1056" s="11">
        <v>670108.12214095495</v>
      </c>
      <c r="AG1056" s="11">
        <v>765528.46783885697</v>
      </c>
      <c r="AH1056" s="21">
        <f t="shared" si="169"/>
        <v>1</v>
      </c>
    </row>
    <row r="1057" spans="1:34" hidden="1">
      <c r="A1057" t="s">
        <v>75</v>
      </c>
      <c r="B1057" s="18">
        <v>2040</v>
      </c>
      <c r="C1057" t="s">
        <v>202</v>
      </c>
      <c r="D1057" t="s">
        <v>177</v>
      </c>
      <c r="E1057" s="20" t="s">
        <v>291</v>
      </c>
      <c r="F1057" s="20" t="s">
        <v>292</v>
      </c>
      <c r="G1057" s="20" t="s">
        <v>203</v>
      </c>
      <c r="H1057" s="20" t="s">
        <v>192</v>
      </c>
      <c r="I1057" s="20" t="s">
        <v>167</v>
      </c>
      <c r="J1057" s="15">
        <f>IFERROR(INDEX(Cost_Components!$K$2:$K$27,MATCH(E1057,Cost_Components!$A$2:$A$27,0)),"")</f>
        <v>0.52</v>
      </c>
      <c r="K1057" s="15">
        <f t="shared" si="160"/>
        <v>0.61153846153846159</v>
      </c>
      <c r="L1057" s="15">
        <f>IFERROR(INDEX(Cost_Components!$S$2:$S$27,MATCH(E1057,Cost_Components!$A$2:$A$27,0)),"")</f>
        <v>0.31</v>
      </c>
      <c r="M1057" s="26">
        <f>IFERROR(INDEX(Cost_Components!$L$2:$L$27,MATCH(E1057,Cost_Components!$A$2:$A$27,0)),"")</f>
        <v>1</v>
      </c>
      <c r="N1057" s="27">
        <f>IFERROR(INDEX(Cost_Components!$P$2:$P$27,MATCH(E1057,Cost_Components!$A$2:$A$27,0)),"")</f>
        <v>35.362648999999998</v>
      </c>
      <c r="O1057" s="21">
        <f t="shared" si="161"/>
        <v>350755.22638230829</v>
      </c>
      <c r="P1057" s="21">
        <f t="shared" si="162"/>
        <v>404086.01828508731</v>
      </c>
      <c r="Q1057" s="21">
        <f t="shared" si="163"/>
        <v>4429761.1294311685</v>
      </c>
      <c r="R1057" s="21">
        <f t="shared" si="164"/>
        <v>7585299.2266162466</v>
      </c>
      <c r="S1057" s="21">
        <f t="shared" si="165"/>
        <v>3155538.0971850781</v>
      </c>
      <c r="T1057" s="14">
        <f>IFERROR(INDEX(Cost_Components!$R$2:$R$27,MATCH(E1057,Cost_Components!$A$2:$A$27,0)),"")</f>
        <v>1</v>
      </c>
      <c r="U1057" s="24">
        <f>IFERROR(INDEX(Cost_Components!$Q$2:$Q$27,MATCH(E1057,Cost_Components!$A$2:$A$27,0)),"")</f>
        <v>2023</v>
      </c>
      <c r="V1057" s="28">
        <f>1/(1+Calculation_Assumptions!$B$5)^(B1057-Calculation_Assumptions!$B$2)</f>
        <v>0.64186194739671765</v>
      </c>
      <c r="W1057" s="21">
        <f t="shared" si="166"/>
        <v>2843295.105038973</v>
      </c>
      <c r="X1057" s="21">
        <f t="shared" si="167"/>
        <v>4868714.9331827201</v>
      </c>
      <c r="Y1057" s="21">
        <f t="shared" si="168"/>
        <v>2025419.8281437471</v>
      </c>
      <c r="Z1057" s="15">
        <f>IFERROR(INDEX(Cost_Components!$T$2:$T$27,MATCH(E1057,Cost_Components!$A$2:$A$27,0)),"")</f>
        <v>0.8</v>
      </c>
      <c r="AA1057" s="24">
        <f>IFERROR(INDEX(Cost_Components!$U$2:$U$27,MATCH(E1057,Cost_Components!$A$2:$A$27,0)),"")</f>
        <v>2025</v>
      </c>
      <c r="AB1057" s="24">
        <f>IFERROR(INDEX(Cost_Components!$V$2:$V$27,MATCH(E1057,Cost_Components!$A$2:$A$27,0)),"")</f>
        <v>2050</v>
      </c>
      <c r="AC1057" s="24">
        <f>IFERROR(INDEX(Cost_Components!$M$2:$M$27,MATCH(E1057,Cost_Components!$A$2:$A$27,0)),"")</f>
        <v>0</v>
      </c>
      <c r="AD1057" s="24">
        <f>IFERROR(INDEX(Cost_Components!$N$2:$N$27,MATCH(E1057,Cost_Components!$A$2:$A$27,0)),"")</f>
        <v>95</v>
      </c>
      <c r="AE1057" s="14" t="str">
        <f>IFERROR(INDEX(Cost_Components!$O$2:$O$27,MATCH(E1057,Cost_Components!$A$2:$A$27,0)),"")</f>
        <v>Both</v>
      </c>
      <c r="AF1057" s="11">
        <v>674529.28150443896</v>
      </c>
      <c r="AG1057" s="11">
        <v>777088.49670209095</v>
      </c>
      <c r="AH1057" s="21">
        <f t="shared" si="169"/>
        <v>1</v>
      </c>
    </row>
    <row r="1058" spans="1:34" hidden="1">
      <c r="A1058" t="s">
        <v>75</v>
      </c>
      <c r="B1058" s="18">
        <v>2041</v>
      </c>
      <c r="C1058" t="s">
        <v>202</v>
      </c>
      <c r="D1058" t="s">
        <v>177</v>
      </c>
      <c r="E1058" s="20" t="s">
        <v>291</v>
      </c>
      <c r="F1058" s="20" t="s">
        <v>292</v>
      </c>
      <c r="G1058" s="20" t="s">
        <v>203</v>
      </c>
      <c r="H1058" s="20" t="s">
        <v>192</v>
      </c>
      <c r="I1058" s="20" t="s">
        <v>167</v>
      </c>
      <c r="J1058" s="15">
        <f>IFERROR(INDEX(Cost_Components!$K$2:$K$27,MATCH(E1058,Cost_Components!$A$2:$A$27,0)),"")</f>
        <v>0.52</v>
      </c>
      <c r="K1058" s="15">
        <f t="shared" si="160"/>
        <v>0.63038461538461543</v>
      </c>
      <c r="L1058" s="15">
        <f>IFERROR(INDEX(Cost_Components!$S$2:$S$27,MATCH(E1058,Cost_Components!$A$2:$A$27,0)),"")</f>
        <v>0.31</v>
      </c>
      <c r="M1058" s="26">
        <f>IFERROR(INDEX(Cost_Components!$L$2:$L$27,MATCH(E1058,Cost_Components!$A$2:$A$27,0)),"")</f>
        <v>1</v>
      </c>
      <c r="N1058" s="27">
        <f>IFERROR(INDEX(Cost_Components!$P$2:$P$27,MATCH(E1058,Cost_Components!$A$2:$A$27,0)),"")</f>
        <v>35.362648999999998</v>
      </c>
      <c r="O1058" s="21">
        <f t="shared" si="161"/>
        <v>352873.59904528729</v>
      </c>
      <c r="P1058" s="21">
        <f t="shared" si="162"/>
        <v>409912.4862334783</v>
      </c>
      <c r="Q1058" s="21">
        <f t="shared" si="163"/>
        <v>4493633.3251314657</v>
      </c>
      <c r="R1058" s="21">
        <f t="shared" si="164"/>
        <v>7866282.93184622</v>
      </c>
      <c r="S1058" s="21">
        <f t="shared" si="165"/>
        <v>3372649.6067147544</v>
      </c>
      <c r="T1058" s="14">
        <f>IFERROR(INDEX(Cost_Components!$R$2:$R$27,MATCH(E1058,Cost_Components!$A$2:$A$27,0)),"")</f>
        <v>1</v>
      </c>
      <c r="U1058" s="24">
        <f>IFERROR(INDEX(Cost_Components!$Q$2:$Q$27,MATCH(E1058,Cost_Components!$A$2:$A$27,0)),"")</f>
        <v>2023</v>
      </c>
      <c r="V1058" s="28">
        <f>1/(1+Calculation_Assumptions!$B$5)^(B1058-Calculation_Assumptions!$B$2)</f>
        <v>0.62316693922011435</v>
      </c>
      <c r="W1058" s="21">
        <f t="shared" si="166"/>
        <v>2800283.7251996803</v>
      </c>
      <c r="X1058" s="21">
        <f t="shared" si="167"/>
        <v>4902007.4576780358</v>
      </c>
      <c r="Y1058" s="21">
        <f t="shared" si="168"/>
        <v>2101723.732478356</v>
      </c>
      <c r="Z1058" s="15">
        <f>IFERROR(INDEX(Cost_Components!$T$2:$T$27,MATCH(E1058,Cost_Components!$A$2:$A$27,0)),"")</f>
        <v>0.8</v>
      </c>
      <c r="AA1058" s="24">
        <f>IFERROR(INDEX(Cost_Components!$U$2:$U$27,MATCH(E1058,Cost_Components!$A$2:$A$27,0)),"")</f>
        <v>2025</v>
      </c>
      <c r="AB1058" s="24">
        <f>IFERROR(INDEX(Cost_Components!$V$2:$V$27,MATCH(E1058,Cost_Components!$A$2:$A$27,0)),"")</f>
        <v>2050</v>
      </c>
      <c r="AC1058" s="24">
        <f>IFERROR(INDEX(Cost_Components!$M$2:$M$27,MATCH(E1058,Cost_Components!$A$2:$A$27,0)),"")</f>
        <v>0</v>
      </c>
      <c r="AD1058" s="24">
        <f>IFERROR(INDEX(Cost_Components!$N$2:$N$27,MATCH(E1058,Cost_Components!$A$2:$A$27,0)),"")</f>
        <v>95</v>
      </c>
      <c r="AE1058" s="14" t="str">
        <f>IFERROR(INDEX(Cost_Components!$O$2:$O$27,MATCH(E1058,Cost_Components!$A$2:$A$27,0)),"")</f>
        <v>Both</v>
      </c>
      <c r="AF1058" s="11">
        <v>678603.07508709095</v>
      </c>
      <c r="AG1058" s="11">
        <v>788293.24275668897</v>
      </c>
      <c r="AH1058" s="21">
        <f t="shared" si="169"/>
        <v>1</v>
      </c>
    </row>
    <row r="1059" spans="1:34" hidden="1">
      <c r="A1059" t="s">
        <v>75</v>
      </c>
      <c r="B1059" s="18">
        <v>2042</v>
      </c>
      <c r="C1059" t="s">
        <v>202</v>
      </c>
      <c r="D1059" t="s">
        <v>177</v>
      </c>
      <c r="E1059" s="20" t="s">
        <v>291</v>
      </c>
      <c r="F1059" s="20" t="s">
        <v>292</v>
      </c>
      <c r="G1059" s="20" t="s">
        <v>203</v>
      </c>
      <c r="H1059" s="20" t="s">
        <v>192</v>
      </c>
      <c r="I1059" s="20" t="s">
        <v>167</v>
      </c>
      <c r="J1059" s="15">
        <f>IFERROR(INDEX(Cost_Components!$K$2:$K$27,MATCH(E1059,Cost_Components!$A$2:$A$27,0)),"")</f>
        <v>0.52</v>
      </c>
      <c r="K1059" s="15">
        <f t="shared" si="160"/>
        <v>0.64923076923076928</v>
      </c>
      <c r="L1059" s="15">
        <f>IFERROR(INDEX(Cost_Components!$S$2:$S$27,MATCH(E1059,Cost_Components!$A$2:$A$27,0)),"")</f>
        <v>0.31</v>
      </c>
      <c r="M1059" s="26">
        <f>IFERROR(INDEX(Cost_Components!$L$2:$L$27,MATCH(E1059,Cost_Components!$A$2:$A$27,0)),"")</f>
        <v>1</v>
      </c>
      <c r="N1059" s="27">
        <f>IFERROR(INDEX(Cost_Components!$P$2:$P$27,MATCH(E1059,Cost_Components!$A$2:$A$27,0)),"")</f>
        <v>35.362648999999998</v>
      </c>
      <c r="O1059" s="21">
        <f t="shared" si="161"/>
        <v>354863.74523132679</v>
      </c>
      <c r="P1059" s="21">
        <f t="shared" si="162"/>
        <v>415597.25954325544</v>
      </c>
      <c r="Q1059" s="21">
        <f t="shared" si="163"/>
        <v>4555952.2045229133</v>
      </c>
      <c r="R1059" s="21">
        <f t="shared" si="164"/>
        <v>8147146.3255631253</v>
      </c>
      <c r="S1059" s="21">
        <f t="shared" si="165"/>
        <v>3591194.121040212</v>
      </c>
      <c r="T1059" s="14">
        <f>IFERROR(INDEX(Cost_Components!$R$2:$R$27,MATCH(E1059,Cost_Components!$A$2:$A$27,0)),"")</f>
        <v>1</v>
      </c>
      <c r="U1059" s="24">
        <f>IFERROR(INDEX(Cost_Components!$Q$2:$Q$27,MATCH(E1059,Cost_Components!$A$2:$A$27,0)),"")</f>
        <v>2023</v>
      </c>
      <c r="V1059" s="28">
        <f>1/(1+Calculation_Assumptions!$B$5)^(B1059-Calculation_Assumptions!$B$2)</f>
        <v>0.60501644584477121</v>
      </c>
      <c r="W1059" s="21">
        <f t="shared" si="166"/>
        <v>2756426.0102191032</v>
      </c>
      <c r="X1059" s="21">
        <f t="shared" si="167"/>
        <v>4929157.513669489</v>
      </c>
      <c r="Y1059" s="21">
        <f t="shared" si="168"/>
        <v>2172731.5034503862</v>
      </c>
      <c r="Z1059" s="15">
        <f>IFERROR(INDEX(Cost_Components!$T$2:$T$27,MATCH(E1059,Cost_Components!$A$2:$A$27,0)),"")</f>
        <v>0.8</v>
      </c>
      <c r="AA1059" s="24">
        <f>IFERROR(INDEX(Cost_Components!$U$2:$U$27,MATCH(E1059,Cost_Components!$A$2:$A$27,0)),"")</f>
        <v>2025</v>
      </c>
      <c r="AB1059" s="24">
        <f>IFERROR(INDEX(Cost_Components!$V$2:$V$27,MATCH(E1059,Cost_Components!$A$2:$A$27,0)),"")</f>
        <v>2050</v>
      </c>
      <c r="AC1059" s="24">
        <f>IFERROR(INDEX(Cost_Components!$M$2:$M$27,MATCH(E1059,Cost_Components!$A$2:$A$27,0)),"")</f>
        <v>0</v>
      </c>
      <c r="AD1059" s="24">
        <f>IFERROR(INDEX(Cost_Components!$N$2:$N$27,MATCH(E1059,Cost_Components!$A$2:$A$27,0)),"")</f>
        <v>95</v>
      </c>
      <c r="AE1059" s="14" t="str">
        <f>IFERROR(INDEX(Cost_Components!$O$2:$O$27,MATCH(E1059,Cost_Components!$A$2:$A$27,0)),"")</f>
        <v>Both</v>
      </c>
      <c r="AF1059" s="11">
        <v>682430.27929101302</v>
      </c>
      <c r="AG1059" s="11">
        <v>799225.499121645</v>
      </c>
      <c r="AH1059" s="21">
        <f t="shared" si="169"/>
        <v>1</v>
      </c>
    </row>
    <row r="1060" spans="1:34" hidden="1">
      <c r="A1060" t="s">
        <v>75</v>
      </c>
      <c r="B1060" s="18">
        <v>2043</v>
      </c>
      <c r="C1060" t="s">
        <v>202</v>
      </c>
      <c r="D1060" t="s">
        <v>177</v>
      </c>
      <c r="E1060" s="20" t="s">
        <v>291</v>
      </c>
      <c r="F1060" s="20" t="s">
        <v>292</v>
      </c>
      <c r="G1060" s="20" t="s">
        <v>203</v>
      </c>
      <c r="H1060" s="20" t="s">
        <v>192</v>
      </c>
      <c r="I1060" s="20" t="s">
        <v>167</v>
      </c>
      <c r="J1060" s="15">
        <f>IFERROR(INDEX(Cost_Components!$K$2:$K$27,MATCH(E1060,Cost_Components!$A$2:$A$27,0)),"")</f>
        <v>0.52</v>
      </c>
      <c r="K1060" s="15">
        <f t="shared" si="160"/>
        <v>0.66807692307692301</v>
      </c>
      <c r="L1060" s="15">
        <f>IFERROR(INDEX(Cost_Components!$S$2:$S$27,MATCH(E1060,Cost_Components!$A$2:$A$27,0)),"")</f>
        <v>0.31</v>
      </c>
      <c r="M1060" s="26">
        <f>IFERROR(INDEX(Cost_Components!$L$2:$L$27,MATCH(E1060,Cost_Components!$A$2:$A$27,0)),"")</f>
        <v>1</v>
      </c>
      <c r="N1060" s="27">
        <f>IFERROR(INDEX(Cost_Components!$P$2:$P$27,MATCH(E1060,Cost_Components!$A$2:$A$27,0)),"")</f>
        <v>35.362648999999998</v>
      </c>
      <c r="O1060" s="21">
        <f t="shared" si="161"/>
        <v>356791.45408417884</v>
      </c>
      <c r="P1060" s="21">
        <f t="shared" si="162"/>
        <v>421207.68187384593</v>
      </c>
      <c r="Q1060" s="21">
        <f t="shared" si="163"/>
        <v>4617456.0171646271</v>
      </c>
      <c r="R1060" s="21">
        <f t="shared" si="164"/>
        <v>8429187.3047198206</v>
      </c>
      <c r="S1060" s="21">
        <f t="shared" si="165"/>
        <v>3811731.2875551935</v>
      </c>
      <c r="T1060" s="14">
        <f>IFERROR(INDEX(Cost_Components!$R$2:$R$27,MATCH(E1060,Cost_Components!$A$2:$A$27,0)),"")</f>
        <v>1</v>
      </c>
      <c r="U1060" s="24">
        <f>IFERROR(INDEX(Cost_Components!$Q$2:$Q$27,MATCH(E1060,Cost_Components!$A$2:$A$27,0)),"")</f>
        <v>2023</v>
      </c>
      <c r="V1060" s="28">
        <f>1/(1+Calculation_Assumptions!$B$5)^(B1060-Calculation_Assumptions!$B$2)</f>
        <v>0.5873946076162827</v>
      </c>
      <c r="W1060" s="21">
        <f t="shared" si="166"/>
        <v>2712268.7653878597</v>
      </c>
      <c r="X1060" s="21">
        <f t="shared" si="167"/>
        <v>4951259.1693800511</v>
      </c>
      <c r="Y1060" s="21">
        <f t="shared" si="168"/>
        <v>2238990.403992191</v>
      </c>
      <c r="Z1060" s="15">
        <f>IFERROR(INDEX(Cost_Components!$T$2:$T$27,MATCH(E1060,Cost_Components!$A$2:$A$27,0)),"")</f>
        <v>0.8</v>
      </c>
      <c r="AA1060" s="24">
        <f>IFERROR(INDEX(Cost_Components!$U$2:$U$27,MATCH(E1060,Cost_Components!$A$2:$A$27,0)),"")</f>
        <v>2025</v>
      </c>
      <c r="AB1060" s="24">
        <f>IFERROR(INDEX(Cost_Components!$V$2:$V$27,MATCH(E1060,Cost_Components!$A$2:$A$27,0)),"")</f>
        <v>2050</v>
      </c>
      <c r="AC1060" s="24">
        <f>IFERROR(INDEX(Cost_Components!$M$2:$M$27,MATCH(E1060,Cost_Components!$A$2:$A$27,0)),"")</f>
        <v>0</v>
      </c>
      <c r="AD1060" s="24">
        <f>IFERROR(INDEX(Cost_Components!$N$2:$N$27,MATCH(E1060,Cost_Components!$A$2:$A$27,0)),"")</f>
        <v>95</v>
      </c>
      <c r="AE1060" s="14" t="str">
        <f>IFERROR(INDEX(Cost_Components!$O$2:$O$27,MATCH(E1060,Cost_Components!$A$2:$A$27,0)),"")</f>
        <v>Both</v>
      </c>
      <c r="AF1060" s="11">
        <v>686137.41170034395</v>
      </c>
      <c r="AG1060" s="11">
        <v>810014.77283431904</v>
      </c>
      <c r="AH1060" s="21">
        <f t="shared" si="169"/>
        <v>1</v>
      </c>
    </row>
    <row r="1061" spans="1:34" hidden="1">
      <c r="A1061" t="s">
        <v>75</v>
      </c>
      <c r="B1061" s="18">
        <v>2044</v>
      </c>
      <c r="C1061" t="s">
        <v>202</v>
      </c>
      <c r="D1061" t="s">
        <v>177</v>
      </c>
      <c r="E1061" s="20" t="s">
        <v>291</v>
      </c>
      <c r="F1061" s="20" t="s">
        <v>292</v>
      </c>
      <c r="G1061" s="20" t="s">
        <v>203</v>
      </c>
      <c r="H1061" s="20" t="s">
        <v>192</v>
      </c>
      <c r="I1061" s="20" t="s">
        <v>167</v>
      </c>
      <c r="J1061" s="15">
        <f>IFERROR(INDEX(Cost_Components!$K$2:$K$27,MATCH(E1061,Cost_Components!$A$2:$A$27,0)),"")</f>
        <v>0.52</v>
      </c>
      <c r="K1061" s="15">
        <f t="shared" si="160"/>
        <v>0.68692307692307697</v>
      </c>
      <c r="L1061" s="15">
        <f>IFERROR(INDEX(Cost_Components!$S$2:$S$27,MATCH(E1061,Cost_Components!$A$2:$A$27,0)),"")</f>
        <v>0.31</v>
      </c>
      <c r="M1061" s="26">
        <f>IFERROR(INDEX(Cost_Components!$L$2:$L$27,MATCH(E1061,Cost_Components!$A$2:$A$27,0)),"")</f>
        <v>1</v>
      </c>
      <c r="N1061" s="27">
        <f>IFERROR(INDEX(Cost_Components!$P$2:$P$27,MATCH(E1061,Cost_Components!$A$2:$A$27,0)),"")</f>
        <v>35.362648999999998</v>
      </c>
      <c r="O1061" s="21">
        <f t="shared" si="161"/>
        <v>358696.28288519796</v>
      </c>
      <c r="P1061" s="21">
        <f t="shared" si="162"/>
        <v>426786.03246340569</v>
      </c>
      <c r="Q1061" s="21">
        <f t="shared" si="163"/>
        <v>4678608.2458728664</v>
      </c>
      <c r="R1061" s="21">
        <f t="shared" si="164"/>
        <v>8713241.9377704989</v>
      </c>
      <c r="S1061" s="21">
        <f t="shared" si="165"/>
        <v>4034633.6918976326</v>
      </c>
      <c r="T1061" s="14">
        <f>IFERROR(INDEX(Cost_Components!$R$2:$R$27,MATCH(E1061,Cost_Components!$A$2:$A$27,0)),"")</f>
        <v>1</v>
      </c>
      <c r="U1061" s="24">
        <f>IFERROR(INDEX(Cost_Components!$Q$2:$Q$27,MATCH(E1061,Cost_Components!$A$2:$A$27,0)),"")</f>
        <v>2023</v>
      </c>
      <c r="V1061" s="28">
        <f>1/(1+Calculation_Assumptions!$B$5)^(B1061-Calculation_Assumptions!$B$2)</f>
        <v>0.57028602681192497</v>
      </c>
      <c r="W1061" s="21">
        <f t="shared" si="166"/>
        <v>2668144.9075483466</v>
      </c>
      <c r="X1061" s="21">
        <f t="shared" si="167"/>
        <v>4969040.1253421763</v>
      </c>
      <c r="Y1061" s="21">
        <f t="shared" si="168"/>
        <v>2300895.2177938293</v>
      </c>
      <c r="Z1061" s="15">
        <f>IFERROR(INDEX(Cost_Components!$T$2:$T$27,MATCH(E1061,Cost_Components!$A$2:$A$27,0)),"")</f>
        <v>0.8</v>
      </c>
      <c r="AA1061" s="24">
        <f>IFERROR(INDEX(Cost_Components!$U$2:$U$27,MATCH(E1061,Cost_Components!$A$2:$A$27,0)),"")</f>
        <v>2025</v>
      </c>
      <c r="AB1061" s="24">
        <f>IFERROR(INDEX(Cost_Components!$V$2:$V$27,MATCH(E1061,Cost_Components!$A$2:$A$27,0)),"")</f>
        <v>2050</v>
      </c>
      <c r="AC1061" s="24">
        <f>IFERROR(INDEX(Cost_Components!$M$2:$M$27,MATCH(E1061,Cost_Components!$A$2:$A$27,0)),"")</f>
        <v>0</v>
      </c>
      <c r="AD1061" s="24">
        <f>IFERROR(INDEX(Cost_Components!$N$2:$N$27,MATCH(E1061,Cost_Components!$A$2:$A$27,0)),"")</f>
        <v>95</v>
      </c>
      <c r="AE1061" s="14" t="str">
        <f>IFERROR(INDEX(Cost_Components!$O$2:$O$27,MATCH(E1061,Cost_Components!$A$2:$A$27,0)),"")</f>
        <v>Both</v>
      </c>
      <c r="AF1061" s="11">
        <v>689800.544009996</v>
      </c>
      <c r="AG1061" s="11">
        <v>820742.37012193399</v>
      </c>
      <c r="AH1061" s="21">
        <f t="shared" si="169"/>
        <v>1</v>
      </c>
    </row>
    <row r="1062" spans="1:34" hidden="1">
      <c r="A1062" t="s">
        <v>75</v>
      </c>
      <c r="B1062" s="18">
        <v>2045</v>
      </c>
      <c r="C1062" t="s">
        <v>202</v>
      </c>
      <c r="D1062" t="s">
        <v>177</v>
      </c>
      <c r="E1062" s="20" t="s">
        <v>291</v>
      </c>
      <c r="F1062" s="20" t="s">
        <v>292</v>
      </c>
      <c r="G1062" s="20" t="s">
        <v>203</v>
      </c>
      <c r="H1062" s="20" t="s">
        <v>192</v>
      </c>
      <c r="I1062" s="20" t="s">
        <v>167</v>
      </c>
      <c r="J1062" s="15">
        <f>IFERROR(INDEX(Cost_Components!$K$2:$K$27,MATCH(E1062,Cost_Components!$A$2:$A$27,0)),"")</f>
        <v>0.52</v>
      </c>
      <c r="K1062" s="15">
        <f t="shared" si="160"/>
        <v>0.70576923076923082</v>
      </c>
      <c r="L1062" s="15">
        <f>IFERROR(INDEX(Cost_Components!$S$2:$S$27,MATCH(E1062,Cost_Components!$A$2:$A$27,0)),"")</f>
        <v>0.31</v>
      </c>
      <c r="M1062" s="26">
        <f>IFERROR(INDEX(Cost_Components!$L$2:$L$27,MATCH(E1062,Cost_Components!$A$2:$A$27,0)),"")</f>
        <v>1</v>
      </c>
      <c r="N1062" s="27">
        <f>IFERROR(INDEX(Cost_Components!$P$2:$P$27,MATCH(E1062,Cost_Components!$A$2:$A$27,0)),"")</f>
        <v>35.362648999999998</v>
      </c>
      <c r="O1062" s="21">
        <f t="shared" si="161"/>
        <v>360611.11819323082</v>
      </c>
      <c r="P1062" s="21">
        <f t="shared" si="162"/>
        <v>432364.50925105205</v>
      </c>
      <c r="Q1062" s="21">
        <f t="shared" si="163"/>
        <v>4739761.858017684</v>
      </c>
      <c r="R1062" s="21">
        <f t="shared" si="164"/>
        <v>9000085.257935496</v>
      </c>
      <c r="S1062" s="21">
        <f t="shared" si="165"/>
        <v>4260323.3999178121</v>
      </c>
      <c r="T1062" s="14">
        <f>IFERROR(INDEX(Cost_Components!$R$2:$R$27,MATCH(E1062,Cost_Components!$A$2:$A$27,0)),"")</f>
        <v>1</v>
      </c>
      <c r="U1062" s="24">
        <f>IFERROR(INDEX(Cost_Components!$Q$2:$Q$27,MATCH(E1062,Cost_Components!$A$2:$A$27,0)),"")</f>
        <v>2023</v>
      </c>
      <c r="V1062" s="28">
        <f>1/(1+Calculation_Assumptions!$B$5)^(B1062-Calculation_Assumptions!$B$2)</f>
        <v>0.55367575418633497</v>
      </c>
      <c r="W1062" s="21">
        <f t="shared" si="166"/>
        <v>2624291.2214015657</v>
      </c>
      <c r="X1062" s="21">
        <f t="shared" si="167"/>
        <v>4983128.9929287508</v>
      </c>
      <c r="Y1062" s="21">
        <f t="shared" si="168"/>
        <v>2358837.7715271856</v>
      </c>
      <c r="Z1062" s="15">
        <f>IFERROR(INDEX(Cost_Components!$T$2:$T$27,MATCH(E1062,Cost_Components!$A$2:$A$27,0)),"")</f>
        <v>0.8</v>
      </c>
      <c r="AA1062" s="24">
        <f>IFERROR(INDEX(Cost_Components!$U$2:$U$27,MATCH(E1062,Cost_Components!$A$2:$A$27,0)),"")</f>
        <v>2025</v>
      </c>
      <c r="AB1062" s="24">
        <f>IFERROR(INDEX(Cost_Components!$V$2:$V$27,MATCH(E1062,Cost_Components!$A$2:$A$27,0)),"")</f>
        <v>2050</v>
      </c>
      <c r="AC1062" s="24">
        <f>IFERROR(INDEX(Cost_Components!$M$2:$M$27,MATCH(E1062,Cost_Components!$A$2:$A$27,0)),"")</f>
        <v>0</v>
      </c>
      <c r="AD1062" s="24">
        <f>IFERROR(INDEX(Cost_Components!$N$2:$N$27,MATCH(E1062,Cost_Components!$A$2:$A$27,0)),"")</f>
        <v>95</v>
      </c>
      <c r="AE1062" s="14" t="str">
        <f>IFERROR(INDEX(Cost_Components!$O$2:$O$27,MATCH(E1062,Cost_Components!$A$2:$A$27,0)),"")</f>
        <v>Both</v>
      </c>
      <c r="AF1062" s="11">
        <v>693482.91960236698</v>
      </c>
      <c r="AG1062" s="11">
        <v>831470.21009817696</v>
      </c>
      <c r="AH1062" s="21">
        <f t="shared" si="169"/>
        <v>1</v>
      </c>
    </row>
    <row r="1063" spans="1:34" hidden="1">
      <c r="A1063" t="s">
        <v>75</v>
      </c>
      <c r="B1063" s="18">
        <v>2046</v>
      </c>
      <c r="C1063" t="s">
        <v>202</v>
      </c>
      <c r="D1063" t="s">
        <v>177</v>
      </c>
      <c r="E1063" s="20" t="s">
        <v>291</v>
      </c>
      <c r="F1063" s="20" t="s">
        <v>292</v>
      </c>
      <c r="G1063" s="20" t="s">
        <v>203</v>
      </c>
      <c r="H1063" s="20" t="s">
        <v>192</v>
      </c>
      <c r="I1063" s="20" t="s">
        <v>167</v>
      </c>
      <c r="J1063" s="15">
        <f>IFERROR(INDEX(Cost_Components!$K$2:$K$27,MATCH(E1063,Cost_Components!$A$2:$A$27,0)),"")</f>
        <v>0.52</v>
      </c>
      <c r="K1063" s="15">
        <f t="shared" si="160"/>
        <v>0.72461538461538466</v>
      </c>
      <c r="L1063" s="15">
        <f>IFERROR(INDEX(Cost_Components!$S$2:$S$27,MATCH(E1063,Cost_Components!$A$2:$A$27,0)),"")</f>
        <v>0.31</v>
      </c>
      <c r="M1063" s="26">
        <f>IFERROR(INDEX(Cost_Components!$L$2:$L$27,MATCH(E1063,Cost_Components!$A$2:$A$27,0)),"")</f>
        <v>1</v>
      </c>
      <c r="N1063" s="27">
        <f>IFERROR(INDEX(Cost_Components!$P$2:$P$27,MATCH(E1063,Cost_Components!$A$2:$A$27,0)),"")</f>
        <v>35.362648999999998</v>
      </c>
      <c r="O1063" s="21">
        <f t="shared" si="161"/>
        <v>362459.44381777418</v>
      </c>
      <c r="P1063" s="21">
        <f t="shared" si="162"/>
        <v>437851.54979593877</v>
      </c>
      <c r="Q1063" s="21">
        <f t="shared" si="163"/>
        <v>4799913.1075573396</v>
      </c>
      <c r="R1063" s="21">
        <f t="shared" si="164"/>
        <v>9287776.5964094643</v>
      </c>
      <c r="S1063" s="21">
        <f t="shared" si="165"/>
        <v>4487863.4888521247</v>
      </c>
      <c r="T1063" s="14">
        <f>IFERROR(INDEX(Cost_Components!$R$2:$R$27,MATCH(E1063,Cost_Components!$A$2:$A$27,0)),"")</f>
        <v>1</v>
      </c>
      <c r="U1063" s="24">
        <f>IFERROR(INDEX(Cost_Components!$Q$2:$Q$27,MATCH(E1063,Cost_Components!$A$2:$A$27,0)),"")</f>
        <v>2023</v>
      </c>
      <c r="V1063" s="28">
        <f>1/(1+Calculation_Assumptions!$B$5)^(B1063-Calculation_Assumptions!$B$2)</f>
        <v>0.5375492759090631</v>
      </c>
      <c r="W1063" s="21">
        <f t="shared" si="166"/>
        <v>2580189.8153938688</v>
      </c>
      <c r="X1063" s="21">
        <f t="shared" si="167"/>
        <v>4992637.58420505</v>
      </c>
      <c r="Y1063" s="21">
        <f t="shared" si="168"/>
        <v>2412447.7688111812</v>
      </c>
      <c r="Z1063" s="15">
        <f>IFERROR(INDEX(Cost_Components!$T$2:$T$27,MATCH(E1063,Cost_Components!$A$2:$A$27,0)),"")</f>
        <v>0.8</v>
      </c>
      <c r="AA1063" s="24">
        <f>IFERROR(INDEX(Cost_Components!$U$2:$U$27,MATCH(E1063,Cost_Components!$A$2:$A$27,0)),"")</f>
        <v>2025</v>
      </c>
      <c r="AB1063" s="24">
        <f>IFERROR(INDEX(Cost_Components!$V$2:$V$27,MATCH(E1063,Cost_Components!$A$2:$A$27,0)),"")</f>
        <v>2050</v>
      </c>
      <c r="AC1063" s="24">
        <f>IFERROR(INDEX(Cost_Components!$M$2:$M$27,MATCH(E1063,Cost_Components!$A$2:$A$27,0)),"")</f>
        <v>0</v>
      </c>
      <c r="AD1063" s="24">
        <f>IFERROR(INDEX(Cost_Components!$N$2:$N$27,MATCH(E1063,Cost_Components!$A$2:$A$27,0)),"")</f>
        <v>95</v>
      </c>
      <c r="AE1063" s="14" t="str">
        <f>IFERROR(INDEX(Cost_Components!$O$2:$O$27,MATCH(E1063,Cost_Components!$A$2:$A$27,0)),"")</f>
        <v>Both</v>
      </c>
      <c r="AF1063" s="11">
        <v>697037.39195725799</v>
      </c>
      <c r="AG1063" s="11">
        <v>842022.21114603605</v>
      </c>
      <c r="AH1063" s="21">
        <f t="shared" si="169"/>
        <v>1</v>
      </c>
    </row>
    <row r="1064" spans="1:34" hidden="1">
      <c r="A1064" t="s">
        <v>75</v>
      </c>
      <c r="B1064" s="18">
        <v>2047</v>
      </c>
      <c r="C1064" t="s">
        <v>202</v>
      </c>
      <c r="D1064" t="s">
        <v>177</v>
      </c>
      <c r="E1064" s="20" t="s">
        <v>291</v>
      </c>
      <c r="F1064" s="20" t="s">
        <v>292</v>
      </c>
      <c r="G1064" s="20" t="s">
        <v>203</v>
      </c>
      <c r="H1064" s="20" t="s">
        <v>192</v>
      </c>
      <c r="I1064" s="20" t="s">
        <v>167</v>
      </c>
      <c r="J1064" s="15">
        <f>IFERROR(INDEX(Cost_Components!$K$2:$K$27,MATCH(E1064,Cost_Components!$A$2:$A$27,0)),"")</f>
        <v>0.52</v>
      </c>
      <c r="K1064" s="15">
        <f t="shared" si="160"/>
        <v>0.74346153846153851</v>
      </c>
      <c r="L1064" s="15">
        <f>IFERROR(INDEX(Cost_Components!$S$2:$S$27,MATCH(E1064,Cost_Components!$A$2:$A$27,0)),"")</f>
        <v>0.31</v>
      </c>
      <c r="M1064" s="26">
        <f>IFERROR(INDEX(Cost_Components!$L$2:$L$27,MATCH(E1064,Cost_Components!$A$2:$A$27,0)),"")</f>
        <v>1</v>
      </c>
      <c r="N1064" s="27">
        <f>IFERROR(INDEX(Cost_Components!$P$2:$P$27,MATCH(E1064,Cost_Components!$A$2:$A$27,0)),"")</f>
        <v>35.362648999999998</v>
      </c>
      <c r="O1064" s="21">
        <f t="shared" si="161"/>
        <v>364220.68238793797</v>
      </c>
      <c r="P1064" s="21">
        <f t="shared" si="162"/>
        <v>443225.65918624762</v>
      </c>
      <c r="Q1064" s="21">
        <f t="shared" si="163"/>
        <v>4858826.3582150387</v>
      </c>
      <c r="R1064" s="21">
        <f t="shared" si="164"/>
        <v>9575641.9821584541</v>
      </c>
      <c r="S1064" s="21">
        <f t="shared" si="165"/>
        <v>4716815.6239434155</v>
      </c>
      <c r="T1064" s="14">
        <f>IFERROR(INDEX(Cost_Components!$R$2:$R$27,MATCH(E1064,Cost_Components!$A$2:$A$27,0)),"")</f>
        <v>1</v>
      </c>
      <c r="U1064" s="24">
        <f>IFERROR(INDEX(Cost_Components!$Q$2:$Q$27,MATCH(E1064,Cost_Components!$A$2:$A$27,0)),"")</f>
        <v>2023</v>
      </c>
      <c r="V1064" s="28">
        <f>1/(1+Calculation_Assumptions!$B$5)^(B1064-Calculation_Assumptions!$B$2)</f>
        <v>0.52189250088258554</v>
      </c>
      <c r="W1064" s="21">
        <f t="shared" si="166"/>
        <v>2535785.0394430719</v>
      </c>
      <c r="X1064" s="21">
        <f t="shared" si="167"/>
        <v>4997455.7416249542</v>
      </c>
      <c r="Y1064" s="21">
        <f t="shared" si="168"/>
        <v>2461670.7021818822</v>
      </c>
      <c r="Z1064" s="15">
        <f>IFERROR(INDEX(Cost_Components!$T$2:$T$27,MATCH(E1064,Cost_Components!$A$2:$A$27,0)),"")</f>
        <v>0.8</v>
      </c>
      <c r="AA1064" s="24">
        <f>IFERROR(INDEX(Cost_Components!$U$2:$U$27,MATCH(E1064,Cost_Components!$A$2:$A$27,0)),"")</f>
        <v>2025</v>
      </c>
      <c r="AB1064" s="24">
        <f>IFERROR(INDEX(Cost_Components!$V$2:$V$27,MATCH(E1064,Cost_Components!$A$2:$A$27,0)),"")</f>
        <v>2050</v>
      </c>
      <c r="AC1064" s="24">
        <f>IFERROR(INDEX(Cost_Components!$M$2:$M$27,MATCH(E1064,Cost_Components!$A$2:$A$27,0)),"")</f>
        <v>0</v>
      </c>
      <c r="AD1064" s="24">
        <f>IFERROR(INDEX(Cost_Components!$N$2:$N$27,MATCH(E1064,Cost_Components!$A$2:$A$27,0)),"")</f>
        <v>95</v>
      </c>
      <c r="AE1064" s="14" t="str">
        <f>IFERROR(INDEX(Cost_Components!$O$2:$O$27,MATCH(E1064,Cost_Components!$A$2:$A$27,0)),"")</f>
        <v>Both</v>
      </c>
      <c r="AF1064" s="11">
        <v>700424.38920757303</v>
      </c>
      <c r="AG1064" s="11">
        <v>852357.03689662996</v>
      </c>
      <c r="AH1064" s="21">
        <f t="shared" si="169"/>
        <v>1</v>
      </c>
    </row>
    <row r="1065" spans="1:34" hidden="1">
      <c r="A1065" t="s">
        <v>75</v>
      </c>
      <c r="B1065" s="18">
        <v>2048</v>
      </c>
      <c r="C1065" t="s">
        <v>202</v>
      </c>
      <c r="D1065" t="s">
        <v>177</v>
      </c>
      <c r="E1065" s="20" t="s">
        <v>291</v>
      </c>
      <c r="F1065" s="20" t="s">
        <v>292</v>
      </c>
      <c r="G1065" s="20" t="s">
        <v>203</v>
      </c>
      <c r="H1065" s="20" t="s">
        <v>192</v>
      </c>
      <c r="I1065" s="20" t="s">
        <v>167</v>
      </c>
      <c r="J1065" s="15">
        <f>IFERROR(INDEX(Cost_Components!$K$2:$K$27,MATCH(E1065,Cost_Components!$A$2:$A$27,0)),"")</f>
        <v>0.52</v>
      </c>
      <c r="K1065" s="15">
        <f t="shared" si="160"/>
        <v>0.76230769230769235</v>
      </c>
      <c r="L1065" s="15">
        <f>IFERROR(INDEX(Cost_Components!$S$2:$S$27,MATCH(E1065,Cost_Components!$A$2:$A$27,0)),"")</f>
        <v>0.31</v>
      </c>
      <c r="M1065" s="26">
        <f>IFERROR(INDEX(Cost_Components!$L$2:$L$27,MATCH(E1065,Cost_Components!$A$2:$A$27,0)),"")</f>
        <v>1</v>
      </c>
      <c r="N1065" s="27">
        <f>IFERROR(INDEX(Cost_Components!$P$2:$P$27,MATCH(E1065,Cost_Components!$A$2:$A$27,0)),"")</f>
        <v>35.362648999999998</v>
      </c>
      <c r="O1065" s="21">
        <f t="shared" si="161"/>
        <v>365890.29931861785</v>
      </c>
      <c r="P1065" s="21">
        <f t="shared" si="162"/>
        <v>448459.02278635534</v>
      </c>
      <c r="Q1065" s="21">
        <f t="shared" si="163"/>
        <v>4916196.6942398343</v>
      </c>
      <c r="R1065" s="21">
        <f t="shared" si="164"/>
        <v>9863385.0578949526</v>
      </c>
      <c r="S1065" s="21">
        <f t="shared" si="165"/>
        <v>4947188.3636551183</v>
      </c>
      <c r="T1065" s="14">
        <f>IFERROR(INDEX(Cost_Components!$R$2:$R$27,MATCH(E1065,Cost_Components!$A$2:$A$27,0)),"")</f>
        <v>1</v>
      </c>
      <c r="U1065" s="24">
        <f>IFERROR(INDEX(Cost_Components!$Q$2:$Q$27,MATCH(E1065,Cost_Components!$A$2:$A$27,0)),"")</f>
        <v>2023</v>
      </c>
      <c r="V1065" s="28">
        <f>1/(1+Calculation_Assumptions!$B$5)^(B1065-Calculation_Assumptions!$B$2)</f>
        <v>0.50669174842969467</v>
      </c>
      <c r="W1065" s="21">
        <f t="shared" si="166"/>
        <v>2490996.2986286669</v>
      </c>
      <c r="X1065" s="21">
        <f t="shared" si="167"/>
        <v>4997695.820420119</v>
      </c>
      <c r="Y1065" s="21">
        <f t="shared" si="168"/>
        <v>2506699.5217914521</v>
      </c>
      <c r="Z1065" s="15">
        <f>IFERROR(INDEX(Cost_Components!$T$2:$T$27,MATCH(E1065,Cost_Components!$A$2:$A$27,0)),"")</f>
        <v>0.8</v>
      </c>
      <c r="AA1065" s="24">
        <f>IFERROR(INDEX(Cost_Components!$U$2:$U$27,MATCH(E1065,Cost_Components!$A$2:$A$27,0)),"")</f>
        <v>2025</v>
      </c>
      <c r="AB1065" s="24">
        <f>IFERROR(INDEX(Cost_Components!$V$2:$V$27,MATCH(E1065,Cost_Components!$A$2:$A$27,0)),"")</f>
        <v>2050</v>
      </c>
      <c r="AC1065" s="24">
        <f>IFERROR(INDEX(Cost_Components!$M$2:$M$27,MATCH(E1065,Cost_Components!$A$2:$A$27,0)),"")</f>
        <v>0</v>
      </c>
      <c r="AD1065" s="24">
        <f>IFERROR(INDEX(Cost_Components!$N$2:$N$27,MATCH(E1065,Cost_Components!$A$2:$A$27,0)),"")</f>
        <v>95</v>
      </c>
      <c r="AE1065" s="14" t="str">
        <f>IFERROR(INDEX(Cost_Components!$O$2:$O$27,MATCH(E1065,Cost_Components!$A$2:$A$27,0)),"")</f>
        <v>Both</v>
      </c>
      <c r="AF1065" s="11">
        <v>703635.190997342</v>
      </c>
      <c r="AG1065" s="11">
        <v>862421.19766606798</v>
      </c>
      <c r="AH1065" s="21">
        <f t="shared" si="169"/>
        <v>1</v>
      </c>
    </row>
    <row r="1066" spans="1:34" hidden="1">
      <c r="A1066" t="s">
        <v>75</v>
      </c>
      <c r="B1066" s="18">
        <v>2049</v>
      </c>
      <c r="C1066" t="s">
        <v>202</v>
      </c>
      <c r="D1066" t="s">
        <v>177</v>
      </c>
      <c r="E1066" s="20" t="s">
        <v>291</v>
      </c>
      <c r="F1066" s="20" t="s">
        <v>292</v>
      </c>
      <c r="G1066" s="20" t="s">
        <v>203</v>
      </c>
      <c r="H1066" s="20" t="s">
        <v>192</v>
      </c>
      <c r="I1066" s="20" t="s">
        <v>167</v>
      </c>
      <c r="J1066" s="15">
        <f>IFERROR(INDEX(Cost_Components!$K$2:$K$27,MATCH(E1066,Cost_Components!$A$2:$A$27,0)),"")</f>
        <v>0.52</v>
      </c>
      <c r="K1066" s="15">
        <f t="shared" si="160"/>
        <v>0.7811538461538462</v>
      </c>
      <c r="L1066" s="15">
        <f>IFERROR(INDEX(Cost_Components!$S$2:$S$27,MATCH(E1066,Cost_Components!$A$2:$A$27,0)),"")</f>
        <v>0.31</v>
      </c>
      <c r="M1066" s="26">
        <f>IFERROR(INDEX(Cost_Components!$L$2:$L$27,MATCH(E1066,Cost_Components!$A$2:$A$27,0)),"")</f>
        <v>1</v>
      </c>
      <c r="N1066" s="27">
        <f>IFERROR(INDEX(Cost_Components!$P$2:$P$27,MATCH(E1066,Cost_Components!$A$2:$A$27,0)),"")</f>
        <v>35.362648999999998</v>
      </c>
      <c r="O1066" s="21">
        <f t="shared" si="161"/>
        <v>367389.66882844147</v>
      </c>
      <c r="P1066" s="21">
        <f t="shared" si="162"/>
        <v>453460.49453219218</v>
      </c>
      <c r="Q1066" s="21">
        <f t="shared" si="163"/>
        <v>4971024.9340875829</v>
      </c>
      <c r="R1066" s="21">
        <f t="shared" si="164"/>
        <v>10148650.707333859</v>
      </c>
      <c r="S1066" s="21">
        <f t="shared" si="165"/>
        <v>5177625.7732462762</v>
      </c>
      <c r="T1066" s="14">
        <f>IFERROR(INDEX(Cost_Components!$R$2:$R$27,MATCH(E1066,Cost_Components!$A$2:$A$27,0)),"")</f>
        <v>1</v>
      </c>
      <c r="U1066" s="24">
        <f>IFERROR(INDEX(Cost_Components!$Q$2:$Q$27,MATCH(E1066,Cost_Components!$A$2:$A$27,0)),"")</f>
        <v>2023</v>
      </c>
      <c r="V1066" s="28">
        <f>1/(1+Calculation_Assumptions!$B$5)^(B1066-Calculation_Assumptions!$B$2)</f>
        <v>0.49193373633950943</v>
      </c>
      <c r="W1066" s="21">
        <f t="shared" si="166"/>
        <v>2445414.8692625682</v>
      </c>
      <c r="X1066" s="21">
        <f t="shared" si="167"/>
        <v>4992463.6612633504</v>
      </c>
      <c r="Y1066" s="21">
        <f t="shared" si="168"/>
        <v>2547048.7920007822</v>
      </c>
      <c r="Z1066" s="15">
        <f>IFERROR(INDEX(Cost_Components!$T$2:$T$27,MATCH(E1066,Cost_Components!$A$2:$A$27,0)),"")</f>
        <v>0.8</v>
      </c>
      <c r="AA1066" s="24">
        <f>IFERROR(INDEX(Cost_Components!$U$2:$U$27,MATCH(E1066,Cost_Components!$A$2:$A$27,0)),"")</f>
        <v>2025</v>
      </c>
      <c r="AB1066" s="24">
        <f>IFERROR(INDEX(Cost_Components!$V$2:$V$27,MATCH(E1066,Cost_Components!$A$2:$A$27,0)),"")</f>
        <v>2050</v>
      </c>
      <c r="AC1066" s="24">
        <f>IFERROR(INDEX(Cost_Components!$M$2:$M$27,MATCH(E1066,Cost_Components!$A$2:$A$27,0)),"")</f>
        <v>0</v>
      </c>
      <c r="AD1066" s="24">
        <f>IFERROR(INDEX(Cost_Components!$N$2:$N$27,MATCH(E1066,Cost_Components!$A$2:$A$27,0)),"")</f>
        <v>95</v>
      </c>
      <c r="AE1066" s="14" t="str">
        <f>IFERROR(INDEX(Cost_Components!$O$2:$O$27,MATCH(E1066,Cost_Components!$A$2:$A$27,0)),"")</f>
        <v>Both</v>
      </c>
      <c r="AF1066" s="11">
        <v>706518.59390084899</v>
      </c>
      <c r="AG1066" s="11">
        <v>872039.41256190802</v>
      </c>
      <c r="AH1066" s="21">
        <f t="shared" si="169"/>
        <v>1</v>
      </c>
    </row>
    <row r="1067" spans="1:34" hidden="1">
      <c r="A1067" t="s">
        <v>75</v>
      </c>
      <c r="B1067" s="18">
        <v>2050</v>
      </c>
      <c r="C1067" t="s">
        <v>202</v>
      </c>
      <c r="D1067" t="s">
        <v>177</v>
      </c>
      <c r="E1067" s="20" t="s">
        <v>291</v>
      </c>
      <c r="F1067" s="20" t="s">
        <v>292</v>
      </c>
      <c r="G1067" s="20" t="s">
        <v>203</v>
      </c>
      <c r="H1067" s="20" t="s">
        <v>192</v>
      </c>
      <c r="I1067" s="20" t="s">
        <v>167</v>
      </c>
      <c r="J1067" s="15">
        <f>IFERROR(INDEX(Cost_Components!$K$2:$K$27,MATCH(E1067,Cost_Components!$A$2:$A$27,0)),"")</f>
        <v>0.52</v>
      </c>
      <c r="K1067" s="15">
        <f t="shared" si="160"/>
        <v>0.8</v>
      </c>
      <c r="L1067" s="15">
        <f>IFERROR(INDEX(Cost_Components!$S$2:$S$27,MATCH(E1067,Cost_Components!$A$2:$A$27,0)),"")</f>
        <v>0.31</v>
      </c>
      <c r="M1067" s="26">
        <f>IFERROR(INDEX(Cost_Components!$L$2:$L$27,MATCH(E1067,Cost_Components!$A$2:$A$27,0)),"")</f>
        <v>1</v>
      </c>
      <c r="N1067" s="27">
        <f>IFERROR(INDEX(Cost_Components!$P$2:$P$27,MATCH(E1067,Cost_Components!$A$2:$A$27,0)),"")</f>
        <v>35.362648999999998</v>
      </c>
      <c r="O1067" s="21">
        <f t="shared" si="161"/>
        <v>368718.23359104863</v>
      </c>
      <c r="P1067" s="21">
        <f t="shared" si="162"/>
        <v>458234.50929288031</v>
      </c>
      <c r="Q1067" s="21">
        <f t="shared" si="163"/>
        <v>5023359.6946615223</v>
      </c>
      <c r="R1067" s="21">
        <f t="shared" si="164"/>
        <v>10431082.77950421</v>
      </c>
      <c r="S1067" s="21">
        <f t="shared" si="165"/>
        <v>5407723.0848426875</v>
      </c>
      <c r="T1067" s="14">
        <f>IFERROR(INDEX(Cost_Components!$R$2:$R$27,MATCH(E1067,Cost_Components!$A$2:$A$27,0)),"")</f>
        <v>1</v>
      </c>
      <c r="U1067" s="24">
        <f>IFERROR(INDEX(Cost_Components!$Q$2:$Q$27,MATCH(E1067,Cost_Components!$A$2:$A$27,0)),"")</f>
        <v>2023</v>
      </c>
      <c r="V1067" s="28">
        <f>1/(1+Calculation_Assumptions!$B$5)^(B1067-Calculation_Assumptions!$B$2)</f>
        <v>0.47760556926165965</v>
      </c>
      <c r="W1067" s="21">
        <f t="shared" si="166"/>
        <v>2399184.566574893</v>
      </c>
      <c r="X1067" s="21">
        <f t="shared" si="167"/>
        <v>4981943.2289206032</v>
      </c>
      <c r="Y1067" s="21">
        <f t="shared" si="168"/>
        <v>2582758.6623457097</v>
      </c>
      <c r="Z1067" s="15">
        <f>IFERROR(INDEX(Cost_Components!$T$2:$T$27,MATCH(E1067,Cost_Components!$A$2:$A$27,0)),"")</f>
        <v>0.8</v>
      </c>
      <c r="AA1067" s="24">
        <f>IFERROR(INDEX(Cost_Components!$U$2:$U$27,MATCH(E1067,Cost_Components!$A$2:$A$27,0)),"")</f>
        <v>2025</v>
      </c>
      <c r="AB1067" s="24">
        <f>IFERROR(INDEX(Cost_Components!$V$2:$V$27,MATCH(E1067,Cost_Components!$A$2:$A$27,0)),"")</f>
        <v>2050</v>
      </c>
      <c r="AC1067" s="24">
        <f>IFERROR(INDEX(Cost_Components!$M$2:$M$27,MATCH(E1067,Cost_Components!$A$2:$A$27,0)),"")</f>
        <v>0</v>
      </c>
      <c r="AD1067" s="24">
        <f>IFERROR(INDEX(Cost_Components!$N$2:$N$27,MATCH(E1067,Cost_Components!$A$2:$A$27,0)),"")</f>
        <v>95</v>
      </c>
      <c r="AE1067" s="14" t="str">
        <f>IFERROR(INDEX(Cost_Components!$O$2:$O$27,MATCH(E1067,Cost_Components!$A$2:$A$27,0)),"")</f>
        <v>Both</v>
      </c>
      <c r="AF1067" s="11">
        <v>709073.52613663196</v>
      </c>
      <c r="AG1067" s="11">
        <v>881220.21017861599</v>
      </c>
      <c r="AH1067" s="21">
        <f t="shared" si="169"/>
        <v>1</v>
      </c>
    </row>
    <row r="1068" spans="1:34" hidden="1">
      <c r="A1068" t="s">
        <v>75</v>
      </c>
      <c r="B1068" s="18">
        <v>2025</v>
      </c>
      <c r="C1068" t="s">
        <v>202</v>
      </c>
      <c r="D1068" t="s">
        <v>177</v>
      </c>
      <c r="E1068" s="20" t="s">
        <v>294</v>
      </c>
      <c r="F1068" s="20" t="s">
        <v>295</v>
      </c>
      <c r="G1068" s="20" t="s">
        <v>203</v>
      </c>
      <c r="H1068" s="20" t="s">
        <v>192</v>
      </c>
      <c r="I1068" s="20" t="s">
        <v>264</v>
      </c>
      <c r="J1068" s="15">
        <f>IFERROR(INDEX(Cost_Components!$K$2:$K$27,MATCH(E1068,Cost_Components!$A$2:$A$27,0)),"")</f>
        <v>1</v>
      </c>
      <c r="K1068" s="15">
        <f t="shared" si="160"/>
        <v>0.32884615384615384</v>
      </c>
      <c r="L1068" s="15">
        <f>IFERROR(INDEX(Cost_Components!$S$2:$S$27,MATCH(E1068,Cost_Components!$A$2:$A$27,0)),"")</f>
        <v>0.31</v>
      </c>
      <c r="M1068" s="26">
        <f>IFERROR(INDEX(Cost_Components!$L$2:$L$27,MATCH(E1068,Cost_Components!$A$2:$A$27,0)),"")</f>
        <v>1</v>
      </c>
      <c r="N1068" s="27">
        <f>IFERROR(INDEX(Cost_Components!$P$2:$P$27,MATCH(E1068,Cost_Components!$A$2:$A$27,0)),"")</f>
        <v>119.721487</v>
      </c>
      <c r="O1068" s="21">
        <f t="shared" si="161"/>
        <v>5391565.9405182004</v>
      </c>
      <c r="P1068" s="21">
        <f t="shared" si="162"/>
        <v>5395740.1549134701</v>
      </c>
      <c r="Q1068" s="21">
        <f t="shared" si="163"/>
        <v>200255670.79167381</v>
      </c>
      <c r="R1068" s="21">
        <f t="shared" si="164"/>
        <v>212265684.37195021</v>
      </c>
      <c r="S1068" s="21">
        <f t="shared" si="165"/>
        <v>12010013.5802764</v>
      </c>
      <c r="T1068" s="14">
        <f>IFERROR(INDEX(Cost_Components!$R$2:$R$27,MATCH(E1068,Cost_Components!$A$2:$A$27,0)),"")</f>
        <v>1</v>
      </c>
      <c r="U1068" s="24">
        <f>IFERROR(INDEX(Cost_Components!$Q$2:$Q$27,MATCH(E1068,Cost_Components!$A$2:$A$27,0)),"")</f>
        <v>2023</v>
      </c>
      <c r="V1068" s="28">
        <f>1/(1+Calculation_Assumptions!$B$5)^(B1068-Calculation_Assumptions!$B$2)</f>
        <v>1</v>
      </c>
      <c r="W1068" s="21">
        <f t="shared" si="166"/>
        <v>200255670.79167381</v>
      </c>
      <c r="X1068" s="21">
        <f t="shared" si="167"/>
        <v>212265684.37195021</v>
      </c>
      <c r="Y1068" s="21">
        <f t="shared" si="168"/>
        <v>12010013.5802764</v>
      </c>
      <c r="Z1068" s="15">
        <f>IFERROR(INDEX(Cost_Components!$T$2:$T$27,MATCH(E1068,Cost_Components!$A$2:$A$27,0)),"")</f>
        <v>0.8</v>
      </c>
      <c r="AA1068" s="24">
        <f>IFERROR(INDEX(Cost_Components!$U$2:$U$27,MATCH(E1068,Cost_Components!$A$2:$A$27,0)),"")</f>
        <v>2025</v>
      </c>
      <c r="AB1068" s="24">
        <f>IFERROR(INDEX(Cost_Components!$V$2:$V$27,MATCH(E1068,Cost_Components!$A$2:$A$27,0)),"")</f>
        <v>2050</v>
      </c>
      <c r="AC1068" s="24">
        <f>IFERROR(INDEX(Cost_Components!$M$2:$M$27,MATCH(E1068,Cost_Components!$A$2:$A$27,0)),"")</f>
        <v>0</v>
      </c>
      <c r="AD1068" s="24">
        <f>IFERROR(INDEX(Cost_Components!$N$2:$N$27,MATCH(E1068,Cost_Components!$A$2:$A$27,0)),"")</f>
        <v>95</v>
      </c>
      <c r="AE1068" s="14" t="str">
        <f>IFERROR(INDEX(Cost_Components!$O$2:$O$27,MATCH(E1068,Cost_Components!$A$2:$A$27,0)),"")</f>
        <v>Both</v>
      </c>
      <c r="AF1068" s="11">
        <v>5391565.9405182004</v>
      </c>
      <c r="AG1068" s="11">
        <v>5395740.1549134701</v>
      </c>
      <c r="AH1068" s="21">
        <f t="shared" si="169"/>
        <v>1</v>
      </c>
    </row>
    <row r="1069" spans="1:34" hidden="1">
      <c r="A1069" t="s">
        <v>75</v>
      </c>
      <c r="B1069" s="18">
        <v>2026</v>
      </c>
      <c r="C1069" t="s">
        <v>202</v>
      </c>
      <c r="D1069" t="s">
        <v>177</v>
      </c>
      <c r="E1069" s="20" t="s">
        <v>294</v>
      </c>
      <c r="F1069" s="20" t="s">
        <v>295</v>
      </c>
      <c r="G1069" s="20" t="s">
        <v>203</v>
      </c>
      <c r="H1069" s="20" t="s">
        <v>192</v>
      </c>
      <c r="I1069" s="20" t="s">
        <v>264</v>
      </c>
      <c r="J1069" s="15">
        <f>IFERROR(INDEX(Cost_Components!$K$2:$K$27,MATCH(E1069,Cost_Components!$A$2:$A$27,0)),"")</f>
        <v>1</v>
      </c>
      <c r="K1069" s="15">
        <f t="shared" si="160"/>
        <v>0.34769230769230769</v>
      </c>
      <c r="L1069" s="15">
        <f>IFERROR(INDEX(Cost_Components!$S$2:$S$27,MATCH(E1069,Cost_Components!$A$2:$A$27,0)),"")</f>
        <v>0.31</v>
      </c>
      <c r="M1069" s="26">
        <f>IFERROR(INDEX(Cost_Components!$L$2:$L$27,MATCH(E1069,Cost_Components!$A$2:$A$27,0)),"")</f>
        <v>1</v>
      </c>
      <c r="N1069" s="27">
        <f>IFERROR(INDEX(Cost_Components!$P$2:$P$27,MATCH(E1069,Cost_Components!$A$2:$A$27,0)),"")</f>
        <v>119.721487</v>
      </c>
      <c r="O1069" s="21">
        <f t="shared" si="161"/>
        <v>5510492.91514068</v>
      </c>
      <c r="P1069" s="21">
        <f t="shared" si="162"/>
        <v>5522859.2156802304</v>
      </c>
      <c r="Q1069" s="21">
        <f t="shared" si="163"/>
        <v>204973524.51579618</v>
      </c>
      <c r="R1069" s="21">
        <f t="shared" si="164"/>
        <v>229381101.12956181</v>
      </c>
      <c r="S1069" s="21">
        <f t="shared" si="165"/>
        <v>24407576.613765627</v>
      </c>
      <c r="T1069" s="14">
        <f>IFERROR(INDEX(Cost_Components!$R$2:$R$27,MATCH(E1069,Cost_Components!$A$2:$A$27,0)),"")</f>
        <v>1</v>
      </c>
      <c r="U1069" s="24">
        <f>IFERROR(INDEX(Cost_Components!$Q$2:$Q$27,MATCH(E1069,Cost_Components!$A$2:$A$27,0)),"")</f>
        <v>2023</v>
      </c>
      <c r="V1069" s="28">
        <f>1/(1+Calculation_Assumptions!$B$5)^(B1069-Calculation_Assumptions!$B$2)</f>
        <v>0.970873786407767</v>
      </c>
      <c r="W1069" s="21">
        <f t="shared" si="166"/>
        <v>199003421.85999629</v>
      </c>
      <c r="X1069" s="21">
        <f t="shared" si="167"/>
        <v>222700098.18404061</v>
      </c>
      <c r="Y1069" s="21">
        <f t="shared" si="168"/>
        <v>23696676.324044298</v>
      </c>
      <c r="Z1069" s="15">
        <f>IFERROR(INDEX(Cost_Components!$T$2:$T$27,MATCH(E1069,Cost_Components!$A$2:$A$27,0)),"")</f>
        <v>0.8</v>
      </c>
      <c r="AA1069" s="24">
        <f>IFERROR(INDEX(Cost_Components!$U$2:$U$27,MATCH(E1069,Cost_Components!$A$2:$A$27,0)),"")</f>
        <v>2025</v>
      </c>
      <c r="AB1069" s="24">
        <f>IFERROR(INDEX(Cost_Components!$V$2:$V$27,MATCH(E1069,Cost_Components!$A$2:$A$27,0)),"")</f>
        <v>2050</v>
      </c>
      <c r="AC1069" s="24">
        <f>IFERROR(INDEX(Cost_Components!$M$2:$M$27,MATCH(E1069,Cost_Components!$A$2:$A$27,0)),"")</f>
        <v>0</v>
      </c>
      <c r="AD1069" s="24">
        <f>IFERROR(INDEX(Cost_Components!$N$2:$N$27,MATCH(E1069,Cost_Components!$A$2:$A$27,0)),"")</f>
        <v>95</v>
      </c>
      <c r="AE1069" s="14" t="str">
        <f>IFERROR(INDEX(Cost_Components!$O$2:$O$27,MATCH(E1069,Cost_Components!$A$2:$A$27,0)),"")</f>
        <v>Both</v>
      </c>
      <c r="AF1069" s="11">
        <v>5510492.91514068</v>
      </c>
      <c r="AG1069" s="11">
        <v>5522859.2156802304</v>
      </c>
      <c r="AH1069" s="21">
        <f t="shared" si="169"/>
        <v>1</v>
      </c>
    </row>
    <row r="1070" spans="1:34" hidden="1">
      <c r="A1070" t="s">
        <v>75</v>
      </c>
      <c r="B1070" s="18">
        <v>2027</v>
      </c>
      <c r="C1070" t="s">
        <v>202</v>
      </c>
      <c r="D1070" t="s">
        <v>177</v>
      </c>
      <c r="E1070" s="20" t="s">
        <v>294</v>
      </c>
      <c r="F1070" s="20" t="s">
        <v>295</v>
      </c>
      <c r="G1070" s="20" t="s">
        <v>203</v>
      </c>
      <c r="H1070" s="20" t="s">
        <v>192</v>
      </c>
      <c r="I1070" s="20" t="s">
        <v>264</v>
      </c>
      <c r="J1070" s="15">
        <f>IFERROR(INDEX(Cost_Components!$K$2:$K$27,MATCH(E1070,Cost_Components!$A$2:$A$27,0)),"")</f>
        <v>1</v>
      </c>
      <c r="K1070" s="15">
        <f t="shared" si="160"/>
        <v>0.36653846153846154</v>
      </c>
      <c r="L1070" s="15">
        <f>IFERROR(INDEX(Cost_Components!$S$2:$S$27,MATCH(E1070,Cost_Components!$A$2:$A$27,0)),"")</f>
        <v>0.31</v>
      </c>
      <c r="M1070" s="26">
        <f>IFERROR(INDEX(Cost_Components!$L$2:$L$27,MATCH(E1070,Cost_Components!$A$2:$A$27,0)),"")</f>
        <v>1</v>
      </c>
      <c r="N1070" s="27">
        <f>IFERROR(INDEX(Cost_Components!$P$2:$P$27,MATCH(E1070,Cost_Components!$A$2:$A$27,0)),"")</f>
        <v>119.721487</v>
      </c>
      <c r="O1070" s="21">
        <f t="shared" si="161"/>
        <v>5624366.8194903303</v>
      </c>
      <c r="P1070" s="21">
        <f t="shared" si="162"/>
        <v>5648779.9055859298</v>
      </c>
      <c r="Q1070" s="21">
        <f t="shared" si="163"/>
        <v>209646902.31006479</v>
      </c>
      <c r="R1070" s="21">
        <f t="shared" si="164"/>
        <v>246811443.76418817</v>
      </c>
      <c r="S1070" s="21">
        <f t="shared" si="165"/>
        <v>37164541.454123378</v>
      </c>
      <c r="T1070" s="14">
        <f>IFERROR(INDEX(Cost_Components!$R$2:$R$27,MATCH(E1070,Cost_Components!$A$2:$A$27,0)),"")</f>
        <v>1</v>
      </c>
      <c r="U1070" s="24">
        <f>IFERROR(INDEX(Cost_Components!$Q$2:$Q$27,MATCH(E1070,Cost_Components!$A$2:$A$27,0)),"")</f>
        <v>2023</v>
      </c>
      <c r="V1070" s="28">
        <f>1/(1+Calculation_Assumptions!$B$5)^(B1070-Calculation_Assumptions!$B$2)</f>
        <v>0.94259590913375435</v>
      </c>
      <c r="W1070" s="21">
        <f t="shared" si="166"/>
        <v>197612312.48003089</v>
      </c>
      <c r="X1070" s="21">
        <f t="shared" si="167"/>
        <v>232643457.21951944</v>
      </c>
      <c r="Y1070" s="21">
        <f t="shared" si="168"/>
        <v>35031144.739488527</v>
      </c>
      <c r="Z1070" s="15">
        <f>IFERROR(INDEX(Cost_Components!$T$2:$T$27,MATCH(E1070,Cost_Components!$A$2:$A$27,0)),"")</f>
        <v>0.8</v>
      </c>
      <c r="AA1070" s="24">
        <f>IFERROR(INDEX(Cost_Components!$U$2:$U$27,MATCH(E1070,Cost_Components!$A$2:$A$27,0)),"")</f>
        <v>2025</v>
      </c>
      <c r="AB1070" s="24">
        <f>IFERROR(INDEX(Cost_Components!$V$2:$V$27,MATCH(E1070,Cost_Components!$A$2:$A$27,0)),"")</f>
        <v>2050</v>
      </c>
      <c r="AC1070" s="24">
        <f>IFERROR(INDEX(Cost_Components!$M$2:$M$27,MATCH(E1070,Cost_Components!$A$2:$A$27,0)),"")</f>
        <v>0</v>
      </c>
      <c r="AD1070" s="24">
        <f>IFERROR(INDEX(Cost_Components!$N$2:$N$27,MATCH(E1070,Cost_Components!$A$2:$A$27,0)),"")</f>
        <v>95</v>
      </c>
      <c r="AE1070" s="14" t="str">
        <f>IFERROR(INDEX(Cost_Components!$O$2:$O$27,MATCH(E1070,Cost_Components!$A$2:$A$27,0)),"")</f>
        <v>Both</v>
      </c>
      <c r="AF1070" s="11">
        <v>5624366.8194903303</v>
      </c>
      <c r="AG1070" s="11">
        <v>5648779.9055859298</v>
      </c>
      <c r="AH1070" s="21">
        <f t="shared" si="169"/>
        <v>1</v>
      </c>
    </row>
    <row r="1071" spans="1:34" hidden="1">
      <c r="A1071" t="s">
        <v>75</v>
      </c>
      <c r="B1071" s="18">
        <v>2028</v>
      </c>
      <c r="C1071" t="s">
        <v>202</v>
      </c>
      <c r="D1071" t="s">
        <v>177</v>
      </c>
      <c r="E1071" s="20" t="s">
        <v>294</v>
      </c>
      <c r="F1071" s="20" t="s">
        <v>295</v>
      </c>
      <c r="G1071" s="20" t="s">
        <v>203</v>
      </c>
      <c r="H1071" s="20" t="s">
        <v>192</v>
      </c>
      <c r="I1071" s="20" t="s">
        <v>264</v>
      </c>
      <c r="J1071" s="15">
        <f>IFERROR(INDEX(Cost_Components!$K$2:$K$27,MATCH(E1071,Cost_Components!$A$2:$A$27,0)),"")</f>
        <v>1</v>
      </c>
      <c r="K1071" s="15">
        <f t="shared" si="160"/>
        <v>0.38538461538461538</v>
      </c>
      <c r="L1071" s="15">
        <f>IFERROR(INDEX(Cost_Components!$S$2:$S$27,MATCH(E1071,Cost_Components!$A$2:$A$27,0)),"")</f>
        <v>0.31</v>
      </c>
      <c r="M1071" s="26">
        <f>IFERROR(INDEX(Cost_Components!$L$2:$L$27,MATCH(E1071,Cost_Components!$A$2:$A$27,0)),"")</f>
        <v>1</v>
      </c>
      <c r="N1071" s="27">
        <f>IFERROR(INDEX(Cost_Components!$P$2:$P$27,MATCH(E1071,Cost_Components!$A$2:$A$27,0)),"")</f>
        <v>119.721487</v>
      </c>
      <c r="O1071" s="21">
        <f t="shared" si="161"/>
        <v>5733228.4817271903</v>
      </c>
      <c r="P1071" s="21">
        <f t="shared" si="162"/>
        <v>5773377.9802549696</v>
      </c>
      <c r="Q1071" s="21">
        <f t="shared" si="163"/>
        <v>214271193.01084629</v>
      </c>
      <c r="R1071" s="21">
        <f t="shared" si="164"/>
        <v>264524392.46977606</v>
      </c>
      <c r="S1071" s="21">
        <f t="shared" si="165"/>
        <v>50253199.458929777</v>
      </c>
      <c r="T1071" s="14">
        <f>IFERROR(INDEX(Cost_Components!$R$2:$R$27,MATCH(E1071,Cost_Components!$A$2:$A$27,0)),"")</f>
        <v>1</v>
      </c>
      <c r="U1071" s="24">
        <f>IFERROR(INDEX(Cost_Components!$Q$2:$Q$27,MATCH(E1071,Cost_Components!$A$2:$A$27,0)),"")</f>
        <v>2023</v>
      </c>
      <c r="V1071" s="28">
        <f>1/(1+Calculation_Assumptions!$B$5)^(B1071-Calculation_Assumptions!$B$2)</f>
        <v>0.91514165935315961</v>
      </c>
      <c r="W1071" s="21">
        <f t="shared" si="166"/>
        <v>196088495.12352702</v>
      </c>
      <c r="X1071" s="21">
        <f t="shared" si="167"/>
        <v>242077291.46417731</v>
      </c>
      <c r="Y1071" s="21">
        <f t="shared" si="168"/>
        <v>45988796.340650298</v>
      </c>
      <c r="Z1071" s="15">
        <f>IFERROR(INDEX(Cost_Components!$T$2:$T$27,MATCH(E1071,Cost_Components!$A$2:$A$27,0)),"")</f>
        <v>0.8</v>
      </c>
      <c r="AA1071" s="24">
        <f>IFERROR(INDEX(Cost_Components!$U$2:$U$27,MATCH(E1071,Cost_Components!$A$2:$A$27,0)),"")</f>
        <v>2025</v>
      </c>
      <c r="AB1071" s="24">
        <f>IFERROR(INDEX(Cost_Components!$V$2:$V$27,MATCH(E1071,Cost_Components!$A$2:$A$27,0)),"")</f>
        <v>2050</v>
      </c>
      <c r="AC1071" s="24">
        <f>IFERROR(INDEX(Cost_Components!$M$2:$M$27,MATCH(E1071,Cost_Components!$A$2:$A$27,0)),"")</f>
        <v>0</v>
      </c>
      <c r="AD1071" s="24">
        <f>IFERROR(INDEX(Cost_Components!$N$2:$N$27,MATCH(E1071,Cost_Components!$A$2:$A$27,0)),"")</f>
        <v>95</v>
      </c>
      <c r="AE1071" s="14" t="str">
        <f>IFERROR(INDEX(Cost_Components!$O$2:$O$27,MATCH(E1071,Cost_Components!$A$2:$A$27,0)),"")</f>
        <v>Both</v>
      </c>
      <c r="AF1071" s="11">
        <v>5733228.4817271903</v>
      </c>
      <c r="AG1071" s="11">
        <v>5773377.9802549696</v>
      </c>
      <c r="AH1071" s="21">
        <f t="shared" si="169"/>
        <v>1</v>
      </c>
    </row>
    <row r="1072" spans="1:34" hidden="1">
      <c r="A1072" t="s">
        <v>75</v>
      </c>
      <c r="B1072" s="18">
        <v>2029</v>
      </c>
      <c r="C1072" t="s">
        <v>202</v>
      </c>
      <c r="D1072" t="s">
        <v>177</v>
      </c>
      <c r="E1072" s="20" t="s">
        <v>294</v>
      </c>
      <c r="F1072" s="20" t="s">
        <v>295</v>
      </c>
      <c r="G1072" s="20" t="s">
        <v>203</v>
      </c>
      <c r="H1072" s="20" t="s">
        <v>192</v>
      </c>
      <c r="I1072" s="20" t="s">
        <v>264</v>
      </c>
      <c r="J1072" s="15">
        <f>IFERROR(INDEX(Cost_Components!$K$2:$K$27,MATCH(E1072,Cost_Components!$A$2:$A$27,0)),"")</f>
        <v>1</v>
      </c>
      <c r="K1072" s="15">
        <f t="shared" si="160"/>
        <v>0.40423076923076923</v>
      </c>
      <c r="L1072" s="15">
        <f>IFERROR(INDEX(Cost_Components!$S$2:$S$27,MATCH(E1072,Cost_Components!$A$2:$A$27,0)),"")</f>
        <v>0.31</v>
      </c>
      <c r="M1072" s="26">
        <f>IFERROR(INDEX(Cost_Components!$L$2:$L$27,MATCH(E1072,Cost_Components!$A$2:$A$27,0)),"")</f>
        <v>1</v>
      </c>
      <c r="N1072" s="27">
        <f>IFERROR(INDEX(Cost_Components!$P$2:$P$27,MATCH(E1072,Cost_Components!$A$2:$A$27,0)),"")</f>
        <v>119.721487</v>
      </c>
      <c r="O1072" s="21">
        <f t="shared" si="161"/>
        <v>5837091.8811443299</v>
      </c>
      <c r="P1072" s="21">
        <f t="shared" si="162"/>
        <v>5896503.1983499797</v>
      </c>
      <c r="Q1072" s="21">
        <f t="shared" si="163"/>
        <v>218840820.6120818</v>
      </c>
      <c r="R1072" s="21">
        <f t="shared" si="164"/>
        <v>282486696.56703997</v>
      </c>
      <c r="S1072" s="21">
        <f t="shared" si="165"/>
        <v>63645875.954958171</v>
      </c>
      <c r="T1072" s="14">
        <f>IFERROR(INDEX(Cost_Components!$R$2:$R$27,MATCH(E1072,Cost_Components!$A$2:$A$27,0)),"")</f>
        <v>1</v>
      </c>
      <c r="U1072" s="24">
        <f>IFERROR(INDEX(Cost_Components!$Q$2:$Q$27,MATCH(E1072,Cost_Components!$A$2:$A$27,0)),"")</f>
        <v>2023</v>
      </c>
      <c r="V1072" s="28">
        <f>1/(1+Calculation_Assumptions!$B$5)^(B1072-Calculation_Assumptions!$B$2)</f>
        <v>0.888487047915689</v>
      </c>
      <c r="W1072" s="21">
        <f t="shared" si="166"/>
        <v>194437234.66907543</v>
      </c>
      <c r="X1072" s="21">
        <f t="shared" si="167"/>
        <v>250985771.10830435</v>
      </c>
      <c r="Y1072" s="21">
        <f t="shared" si="168"/>
        <v>56548536.439228922</v>
      </c>
      <c r="Z1072" s="15">
        <f>IFERROR(INDEX(Cost_Components!$T$2:$T$27,MATCH(E1072,Cost_Components!$A$2:$A$27,0)),"")</f>
        <v>0.8</v>
      </c>
      <c r="AA1072" s="24">
        <f>IFERROR(INDEX(Cost_Components!$U$2:$U$27,MATCH(E1072,Cost_Components!$A$2:$A$27,0)),"")</f>
        <v>2025</v>
      </c>
      <c r="AB1072" s="24">
        <f>IFERROR(INDEX(Cost_Components!$V$2:$V$27,MATCH(E1072,Cost_Components!$A$2:$A$27,0)),"")</f>
        <v>2050</v>
      </c>
      <c r="AC1072" s="24">
        <f>IFERROR(INDEX(Cost_Components!$M$2:$M$27,MATCH(E1072,Cost_Components!$A$2:$A$27,0)),"")</f>
        <v>0</v>
      </c>
      <c r="AD1072" s="24">
        <f>IFERROR(INDEX(Cost_Components!$N$2:$N$27,MATCH(E1072,Cost_Components!$A$2:$A$27,0)),"")</f>
        <v>95</v>
      </c>
      <c r="AE1072" s="14" t="str">
        <f>IFERROR(INDEX(Cost_Components!$O$2:$O$27,MATCH(E1072,Cost_Components!$A$2:$A$27,0)),"")</f>
        <v>Both</v>
      </c>
      <c r="AF1072" s="11">
        <v>5837091.8811443299</v>
      </c>
      <c r="AG1072" s="11">
        <v>5896503.1983499797</v>
      </c>
      <c r="AH1072" s="21">
        <f t="shared" si="169"/>
        <v>1</v>
      </c>
    </row>
    <row r="1073" spans="1:34" hidden="1">
      <c r="A1073" t="s">
        <v>75</v>
      </c>
      <c r="B1073" s="18">
        <v>2030</v>
      </c>
      <c r="C1073" t="s">
        <v>202</v>
      </c>
      <c r="D1073" t="s">
        <v>177</v>
      </c>
      <c r="E1073" s="20" t="s">
        <v>294</v>
      </c>
      <c r="F1073" s="20" t="s">
        <v>295</v>
      </c>
      <c r="G1073" s="20" t="s">
        <v>203</v>
      </c>
      <c r="H1073" s="20" t="s">
        <v>192</v>
      </c>
      <c r="I1073" s="20" t="s">
        <v>264</v>
      </c>
      <c r="J1073" s="15">
        <f>IFERROR(INDEX(Cost_Components!$K$2:$K$27,MATCH(E1073,Cost_Components!$A$2:$A$27,0)),"")</f>
        <v>1</v>
      </c>
      <c r="K1073" s="15">
        <f t="shared" si="160"/>
        <v>0.42307692307692307</v>
      </c>
      <c r="L1073" s="15">
        <f>IFERROR(INDEX(Cost_Components!$S$2:$S$27,MATCH(E1073,Cost_Components!$A$2:$A$27,0)),"")</f>
        <v>0.31</v>
      </c>
      <c r="M1073" s="26">
        <f>IFERROR(INDEX(Cost_Components!$L$2:$L$27,MATCH(E1073,Cost_Components!$A$2:$A$27,0)),"")</f>
        <v>1</v>
      </c>
      <c r="N1073" s="27">
        <f>IFERROR(INDEX(Cost_Components!$P$2:$P$27,MATCH(E1073,Cost_Components!$A$2:$A$27,0)),"")</f>
        <v>119.721487</v>
      </c>
      <c r="O1073" s="21">
        <f t="shared" si="161"/>
        <v>5935975.9373728298</v>
      </c>
      <c r="P1073" s="21">
        <f t="shared" si="162"/>
        <v>6018015.6694641598</v>
      </c>
      <c r="Q1073" s="21">
        <f t="shared" si="163"/>
        <v>223350593.2686404</v>
      </c>
      <c r="R1073" s="21">
        <f t="shared" si="164"/>
        <v>300665481.77705514</v>
      </c>
      <c r="S1073" s="21">
        <f t="shared" si="165"/>
        <v>77314888.508414745</v>
      </c>
      <c r="T1073" s="14">
        <f>IFERROR(INDEX(Cost_Components!$R$2:$R$27,MATCH(E1073,Cost_Components!$A$2:$A$27,0)),"")</f>
        <v>1</v>
      </c>
      <c r="U1073" s="24">
        <f>IFERROR(INDEX(Cost_Components!$Q$2:$Q$27,MATCH(E1073,Cost_Components!$A$2:$A$27,0)),"")</f>
        <v>2023</v>
      </c>
      <c r="V1073" s="28">
        <f>1/(1+Calculation_Assumptions!$B$5)^(B1073-Calculation_Assumptions!$B$2)</f>
        <v>0.86260878438416411</v>
      </c>
      <c r="W1073" s="21">
        <f t="shared" si="166"/>
        <v>192664183.75094375</v>
      </c>
      <c r="X1073" s="21">
        <f t="shared" si="167"/>
        <v>259356685.74198458</v>
      </c>
      <c r="Y1073" s="21">
        <f t="shared" si="168"/>
        <v>66692501.991040826</v>
      </c>
      <c r="Z1073" s="15">
        <f>IFERROR(INDEX(Cost_Components!$T$2:$T$27,MATCH(E1073,Cost_Components!$A$2:$A$27,0)),"")</f>
        <v>0.8</v>
      </c>
      <c r="AA1073" s="24">
        <f>IFERROR(INDEX(Cost_Components!$U$2:$U$27,MATCH(E1073,Cost_Components!$A$2:$A$27,0)),"")</f>
        <v>2025</v>
      </c>
      <c r="AB1073" s="24">
        <f>IFERROR(INDEX(Cost_Components!$V$2:$V$27,MATCH(E1073,Cost_Components!$A$2:$A$27,0)),"")</f>
        <v>2050</v>
      </c>
      <c r="AC1073" s="24">
        <f>IFERROR(INDEX(Cost_Components!$M$2:$M$27,MATCH(E1073,Cost_Components!$A$2:$A$27,0)),"")</f>
        <v>0</v>
      </c>
      <c r="AD1073" s="24">
        <f>IFERROR(INDEX(Cost_Components!$N$2:$N$27,MATCH(E1073,Cost_Components!$A$2:$A$27,0)),"")</f>
        <v>95</v>
      </c>
      <c r="AE1073" s="14" t="str">
        <f>IFERROR(INDEX(Cost_Components!$O$2:$O$27,MATCH(E1073,Cost_Components!$A$2:$A$27,0)),"")</f>
        <v>Both</v>
      </c>
      <c r="AF1073" s="11">
        <v>5935975.9373728298</v>
      </c>
      <c r="AG1073" s="11">
        <v>6018015.6694641598</v>
      </c>
      <c r="AH1073" s="21">
        <f t="shared" si="169"/>
        <v>1</v>
      </c>
    </row>
    <row r="1074" spans="1:34" hidden="1">
      <c r="A1074" t="s">
        <v>75</v>
      </c>
      <c r="B1074" s="18">
        <v>2031</v>
      </c>
      <c r="C1074" t="s">
        <v>202</v>
      </c>
      <c r="D1074" t="s">
        <v>177</v>
      </c>
      <c r="E1074" s="20" t="s">
        <v>294</v>
      </c>
      <c r="F1074" s="20" t="s">
        <v>295</v>
      </c>
      <c r="G1074" s="20" t="s">
        <v>203</v>
      </c>
      <c r="H1074" s="20" t="s">
        <v>192</v>
      </c>
      <c r="I1074" s="20" t="s">
        <v>264</v>
      </c>
      <c r="J1074" s="15">
        <f>IFERROR(INDEX(Cost_Components!$K$2:$K$27,MATCH(E1074,Cost_Components!$A$2:$A$27,0)),"")</f>
        <v>1</v>
      </c>
      <c r="K1074" s="15">
        <f t="shared" si="160"/>
        <v>0.44192307692307692</v>
      </c>
      <c r="L1074" s="15">
        <f>IFERROR(INDEX(Cost_Components!$S$2:$S$27,MATCH(E1074,Cost_Components!$A$2:$A$27,0)),"")</f>
        <v>0.31</v>
      </c>
      <c r="M1074" s="26">
        <f>IFERROR(INDEX(Cost_Components!$L$2:$L$27,MATCH(E1074,Cost_Components!$A$2:$A$27,0)),"")</f>
        <v>1</v>
      </c>
      <c r="N1074" s="27">
        <f>IFERROR(INDEX(Cost_Components!$P$2:$P$27,MATCH(E1074,Cost_Components!$A$2:$A$27,0)),"")</f>
        <v>119.721487</v>
      </c>
      <c r="O1074" s="21">
        <f t="shared" si="161"/>
        <v>6029854.4613730302</v>
      </c>
      <c r="P1074" s="21">
        <f t="shared" si="162"/>
        <v>6137732.8378397403</v>
      </c>
      <c r="Q1074" s="21">
        <f t="shared" si="163"/>
        <v>227793735.6680201</v>
      </c>
      <c r="R1074" s="21">
        <f t="shared" si="164"/>
        <v>319025657.9780879</v>
      </c>
      <c r="S1074" s="21">
        <f t="shared" si="165"/>
        <v>91231922.310067803</v>
      </c>
      <c r="T1074" s="14">
        <f>IFERROR(INDEX(Cost_Components!$R$2:$R$27,MATCH(E1074,Cost_Components!$A$2:$A$27,0)),"")</f>
        <v>1</v>
      </c>
      <c r="U1074" s="24">
        <f>IFERROR(INDEX(Cost_Components!$Q$2:$Q$27,MATCH(E1074,Cost_Components!$A$2:$A$27,0)),"")</f>
        <v>2023</v>
      </c>
      <c r="V1074" s="28">
        <f>1/(1+Calculation_Assumptions!$B$5)^(B1074-Calculation_Assumptions!$B$2)</f>
        <v>0.83748425668365445</v>
      </c>
      <c r="W1074" s="21">
        <f t="shared" si="166"/>
        <v>190773667.39312467</v>
      </c>
      <c r="X1074" s="21">
        <f t="shared" si="167"/>
        <v>267178966.03479272</v>
      </c>
      <c r="Y1074" s="21">
        <f t="shared" si="168"/>
        <v>76405298.641668051</v>
      </c>
      <c r="Z1074" s="15">
        <f>IFERROR(INDEX(Cost_Components!$T$2:$T$27,MATCH(E1074,Cost_Components!$A$2:$A$27,0)),"")</f>
        <v>0.8</v>
      </c>
      <c r="AA1074" s="24">
        <f>IFERROR(INDEX(Cost_Components!$U$2:$U$27,MATCH(E1074,Cost_Components!$A$2:$A$27,0)),"")</f>
        <v>2025</v>
      </c>
      <c r="AB1074" s="24">
        <f>IFERROR(INDEX(Cost_Components!$V$2:$V$27,MATCH(E1074,Cost_Components!$A$2:$A$27,0)),"")</f>
        <v>2050</v>
      </c>
      <c r="AC1074" s="24">
        <f>IFERROR(INDEX(Cost_Components!$M$2:$M$27,MATCH(E1074,Cost_Components!$A$2:$A$27,0)),"")</f>
        <v>0</v>
      </c>
      <c r="AD1074" s="24">
        <f>IFERROR(INDEX(Cost_Components!$N$2:$N$27,MATCH(E1074,Cost_Components!$A$2:$A$27,0)),"")</f>
        <v>95</v>
      </c>
      <c r="AE1074" s="14" t="str">
        <f>IFERROR(INDEX(Cost_Components!$O$2:$O$27,MATCH(E1074,Cost_Components!$A$2:$A$27,0)),"")</f>
        <v>Both</v>
      </c>
      <c r="AF1074" s="11">
        <v>6029854.4613730302</v>
      </c>
      <c r="AG1074" s="11">
        <v>6137732.8378397403</v>
      </c>
      <c r="AH1074" s="21">
        <f t="shared" si="169"/>
        <v>1</v>
      </c>
    </row>
    <row r="1075" spans="1:34" hidden="1">
      <c r="A1075" t="s">
        <v>75</v>
      </c>
      <c r="B1075" s="18">
        <v>2032</v>
      </c>
      <c r="C1075" t="s">
        <v>202</v>
      </c>
      <c r="D1075" t="s">
        <v>177</v>
      </c>
      <c r="E1075" s="20" t="s">
        <v>294</v>
      </c>
      <c r="F1075" s="20" t="s">
        <v>295</v>
      </c>
      <c r="G1075" s="20" t="s">
        <v>203</v>
      </c>
      <c r="H1075" s="20" t="s">
        <v>192</v>
      </c>
      <c r="I1075" s="20" t="s">
        <v>264</v>
      </c>
      <c r="J1075" s="15">
        <f>IFERROR(INDEX(Cost_Components!$K$2:$K$27,MATCH(E1075,Cost_Components!$A$2:$A$27,0)),"")</f>
        <v>1</v>
      </c>
      <c r="K1075" s="15">
        <f t="shared" si="160"/>
        <v>0.46076923076923082</v>
      </c>
      <c r="L1075" s="15">
        <f>IFERROR(INDEX(Cost_Components!$S$2:$S$27,MATCH(E1075,Cost_Components!$A$2:$A$27,0)),"")</f>
        <v>0.31</v>
      </c>
      <c r="M1075" s="26">
        <f>IFERROR(INDEX(Cost_Components!$L$2:$L$27,MATCH(E1075,Cost_Components!$A$2:$A$27,0)),"")</f>
        <v>1</v>
      </c>
      <c r="N1075" s="27">
        <f>IFERROR(INDEX(Cost_Components!$P$2:$P$27,MATCH(E1075,Cost_Components!$A$2:$A$27,0)),"")</f>
        <v>119.721487</v>
      </c>
      <c r="O1075" s="21">
        <f t="shared" si="161"/>
        <v>6118718.9212015402</v>
      </c>
      <c r="P1075" s="21">
        <f t="shared" si="162"/>
        <v>6255488.0433799597</v>
      </c>
      <c r="Q1075" s="21">
        <f t="shared" si="163"/>
        <v>232164062.44389245</v>
      </c>
      <c r="R1075" s="21">
        <f t="shared" si="164"/>
        <v>337532872.72383791</v>
      </c>
      <c r="S1075" s="21">
        <f t="shared" si="165"/>
        <v>105368810.27994546</v>
      </c>
      <c r="T1075" s="14">
        <f>IFERROR(INDEX(Cost_Components!$R$2:$R$27,MATCH(E1075,Cost_Components!$A$2:$A$27,0)),"")</f>
        <v>1</v>
      </c>
      <c r="U1075" s="24">
        <f>IFERROR(INDEX(Cost_Components!$Q$2:$Q$27,MATCH(E1075,Cost_Components!$A$2:$A$27,0)),"")</f>
        <v>2023</v>
      </c>
      <c r="V1075" s="28">
        <f>1/(1+Calculation_Assumptions!$B$5)^(B1075-Calculation_Assumptions!$B$2)</f>
        <v>0.81309151134335378</v>
      </c>
      <c r="W1075" s="21">
        <f t="shared" si="166"/>
        <v>188770628.41211727</v>
      </c>
      <c r="X1075" s="21">
        <f t="shared" si="167"/>
        <v>274445113.61108923</v>
      </c>
      <c r="Y1075" s="21">
        <f t="shared" si="168"/>
        <v>85674485.198971972</v>
      </c>
      <c r="Z1075" s="15">
        <f>IFERROR(INDEX(Cost_Components!$T$2:$T$27,MATCH(E1075,Cost_Components!$A$2:$A$27,0)),"")</f>
        <v>0.8</v>
      </c>
      <c r="AA1075" s="24">
        <f>IFERROR(INDEX(Cost_Components!$U$2:$U$27,MATCH(E1075,Cost_Components!$A$2:$A$27,0)),"")</f>
        <v>2025</v>
      </c>
      <c r="AB1075" s="24">
        <f>IFERROR(INDEX(Cost_Components!$V$2:$V$27,MATCH(E1075,Cost_Components!$A$2:$A$27,0)),"")</f>
        <v>2050</v>
      </c>
      <c r="AC1075" s="24">
        <f>IFERROR(INDEX(Cost_Components!$M$2:$M$27,MATCH(E1075,Cost_Components!$A$2:$A$27,0)),"")</f>
        <v>0</v>
      </c>
      <c r="AD1075" s="24">
        <f>IFERROR(INDEX(Cost_Components!$N$2:$N$27,MATCH(E1075,Cost_Components!$A$2:$A$27,0)),"")</f>
        <v>95</v>
      </c>
      <c r="AE1075" s="14" t="str">
        <f>IFERROR(INDEX(Cost_Components!$O$2:$O$27,MATCH(E1075,Cost_Components!$A$2:$A$27,0)),"")</f>
        <v>Both</v>
      </c>
      <c r="AF1075" s="11">
        <v>6118718.9212015402</v>
      </c>
      <c r="AG1075" s="11">
        <v>6255488.0433799597</v>
      </c>
      <c r="AH1075" s="21">
        <f t="shared" si="169"/>
        <v>1</v>
      </c>
    </row>
    <row r="1076" spans="1:34" hidden="1">
      <c r="A1076" t="s">
        <v>75</v>
      </c>
      <c r="B1076" s="18">
        <v>2033</v>
      </c>
      <c r="C1076" t="s">
        <v>202</v>
      </c>
      <c r="D1076" t="s">
        <v>177</v>
      </c>
      <c r="E1076" s="20" t="s">
        <v>294</v>
      </c>
      <c r="F1076" s="20" t="s">
        <v>295</v>
      </c>
      <c r="G1076" s="20" t="s">
        <v>203</v>
      </c>
      <c r="H1076" s="20" t="s">
        <v>192</v>
      </c>
      <c r="I1076" s="20" t="s">
        <v>264</v>
      </c>
      <c r="J1076" s="15">
        <f>IFERROR(INDEX(Cost_Components!$K$2:$K$27,MATCH(E1076,Cost_Components!$A$2:$A$27,0)),"")</f>
        <v>1</v>
      </c>
      <c r="K1076" s="15">
        <f t="shared" si="160"/>
        <v>0.47961538461538467</v>
      </c>
      <c r="L1076" s="15">
        <f>IFERROR(INDEX(Cost_Components!$S$2:$S$27,MATCH(E1076,Cost_Components!$A$2:$A$27,0)),"")</f>
        <v>0.31</v>
      </c>
      <c r="M1076" s="26">
        <f>IFERROR(INDEX(Cost_Components!$L$2:$L$27,MATCH(E1076,Cost_Components!$A$2:$A$27,0)),"")</f>
        <v>1</v>
      </c>
      <c r="N1076" s="27">
        <f>IFERROR(INDEX(Cost_Components!$P$2:$P$27,MATCH(E1076,Cost_Components!$A$2:$A$27,0)),"")</f>
        <v>119.721487</v>
      </c>
      <c r="O1076" s="21">
        <f t="shared" si="161"/>
        <v>6202517.4705279702</v>
      </c>
      <c r="P1076" s="21">
        <f t="shared" si="162"/>
        <v>6371060.8472563596</v>
      </c>
      <c r="Q1076" s="21">
        <f t="shared" si="163"/>
        <v>236453392.30431348</v>
      </c>
      <c r="R1076" s="21">
        <f t="shared" si="164"/>
        <v>356150209.44219768</v>
      </c>
      <c r="S1076" s="21">
        <f t="shared" si="165"/>
        <v>119696817.1378842</v>
      </c>
      <c r="T1076" s="14">
        <f>IFERROR(INDEX(Cost_Components!$R$2:$R$27,MATCH(E1076,Cost_Components!$A$2:$A$27,0)),"")</f>
        <v>1</v>
      </c>
      <c r="U1076" s="24">
        <f>IFERROR(INDEX(Cost_Components!$Q$2:$Q$27,MATCH(E1076,Cost_Components!$A$2:$A$27,0)),"")</f>
        <v>2023</v>
      </c>
      <c r="V1076" s="28">
        <f>1/(1+Calculation_Assumptions!$B$5)^(B1076-Calculation_Assumptions!$B$2)</f>
        <v>0.78940923431393573</v>
      </c>
      <c r="W1076" s="21">
        <f t="shared" si="166"/>
        <v>186658491.36988077</v>
      </c>
      <c r="X1076" s="21">
        <f t="shared" si="167"/>
        <v>281148264.13651311</v>
      </c>
      <c r="Y1076" s="21">
        <f t="shared" si="168"/>
        <v>94489772.766632348</v>
      </c>
      <c r="Z1076" s="15">
        <f>IFERROR(INDEX(Cost_Components!$T$2:$T$27,MATCH(E1076,Cost_Components!$A$2:$A$27,0)),"")</f>
        <v>0.8</v>
      </c>
      <c r="AA1076" s="24">
        <f>IFERROR(INDEX(Cost_Components!$U$2:$U$27,MATCH(E1076,Cost_Components!$A$2:$A$27,0)),"")</f>
        <v>2025</v>
      </c>
      <c r="AB1076" s="24">
        <f>IFERROR(INDEX(Cost_Components!$V$2:$V$27,MATCH(E1076,Cost_Components!$A$2:$A$27,0)),"")</f>
        <v>2050</v>
      </c>
      <c r="AC1076" s="24">
        <f>IFERROR(INDEX(Cost_Components!$M$2:$M$27,MATCH(E1076,Cost_Components!$A$2:$A$27,0)),"")</f>
        <v>0</v>
      </c>
      <c r="AD1076" s="24">
        <f>IFERROR(INDEX(Cost_Components!$N$2:$N$27,MATCH(E1076,Cost_Components!$A$2:$A$27,0)),"")</f>
        <v>95</v>
      </c>
      <c r="AE1076" s="14" t="str">
        <f>IFERROR(INDEX(Cost_Components!$O$2:$O$27,MATCH(E1076,Cost_Components!$A$2:$A$27,0)),"")</f>
        <v>Both</v>
      </c>
      <c r="AF1076" s="11">
        <v>6202517.4705279702</v>
      </c>
      <c r="AG1076" s="11">
        <v>6371060.8472563596</v>
      </c>
      <c r="AH1076" s="21">
        <f t="shared" si="169"/>
        <v>1</v>
      </c>
    </row>
    <row r="1077" spans="1:34" hidden="1">
      <c r="A1077" t="s">
        <v>75</v>
      </c>
      <c r="B1077" s="18">
        <v>2034</v>
      </c>
      <c r="C1077" t="s">
        <v>202</v>
      </c>
      <c r="D1077" t="s">
        <v>177</v>
      </c>
      <c r="E1077" s="20" t="s">
        <v>294</v>
      </c>
      <c r="F1077" s="20" t="s">
        <v>295</v>
      </c>
      <c r="G1077" s="20" t="s">
        <v>203</v>
      </c>
      <c r="H1077" s="20" t="s">
        <v>192</v>
      </c>
      <c r="I1077" s="20" t="s">
        <v>264</v>
      </c>
      <c r="J1077" s="15">
        <f>IFERROR(INDEX(Cost_Components!$K$2:$K$27,MATCH(E1077,Cost_Components!$A$2:$A$27,0)),"")</f>
        <v>1</v>
      </c>
      <c r="K1077" s="15">
        <f t="shared" si="160"/>
        <v>0.49846153846153851</v>
      </c>
      <c r="L1077" s="15">
        <f>IFERROR(INDEX(Cost_Components!$S$2:$S$27,MATCH(E1077,Cost_Components!$A$2:$A$27,0)),"")</f>
        <v>0.31</v>
      </c>
      <c r="M1077" s="26">
        <f>IFERROR(INDEX(Cost_Components!$L$2:$L$27,MATCH(E1077,Cost_Components!$A$2:$A$27,0)),"")</f>
        <v>1</v>
      </c>
      <c r="N1077" s="27">
        <f>IFERROR(INDEX(Cost_Components!$P$2:$P$27,MATCH(E1077,Cost_Components!$A$2:$A$27,0)),"")</f>
        <v>119.721487</v>
      </c>
      <c r="O1077" s="21">
        <f t="shared" si="161"/>
        <v>6281146.8832999701</v>
      </c>
      <c r="P1077" s="21">
        <f t="shared" si="162"/>
        <v>6484171.91355599</v>
      </c>
      <c r="Q1077" s="21">
        <f t="shared" si="163"/>
        <v>240651358.07091317</v>
      </c>
      <c r="R1077" s="21">
        <f t="shared" si="164"/>
        <v>374837217.47483766</v>
      </c>
      <c r="S1077" s="21">
        <f t="shared" si="165"/>
        <v>134185859.40392449</v>
      </c>
      <c r="T1077" s="14">
        <f>IFERROR(INDEX(Cost_Components!$R$2:$R$27,MATCH(E1077,Cost_Components!$A$2:$A$27,0)),"")</f>
        <v>1</v>
      </c>
      <c r="U1077" s="24">
        <f>IFERROR(INDEX(Cost_Components!$Q$2:$Q$27,MATCH(E1077,Cost_Components!$A$2:$A$27,0)),"")</f>
        <v>2023</v>
      </c>
      <c r="V1077" s="28">
        <f>1/(1+Calculation_Assumptions!$B$5)^(B1077-Calculation_Assumptions!$B$2)</f>
        <v>0.76641673234362695</v>
      </c>
      <c r="W1077" s="21">
        <f t="shared" si="166"/>
        <v>184439227.48676538</v>
      </c>
      <c r="X1077" s="21">
        <f t="shared" si="167"/>
        <v>287281515.37784255</v>
      </c>
      <c r="Y1077" s="21">
        <f t="shared" si="168"/>
        <v>102842287.89107716</v>
      </c>
      <c r="Z1077" s="15">
        <f>IFERROR(INDEX(Cost_Components!$T$2:$T$27,MATCH(E1077,Cost_Components!$A$2:$A$27,0)),"")</f>
        <v>0.8</v>
      </c>
      <c r="AA1077" s="24">
        <f>IFERROR(INDEX(Cost_Components!$U$2:$U$27,MATCH(E1077,Cost_Components!$A$2:$A$27,0)),"")</f>
        <v>2025</v>
      </c>
      <c r="AB1077" s="24">
        <f>IFERROR(INDEX(Cost_Components!$V$2:$V$27,MATCH(E1077,Cost_Components!$A$2:$A$27,0)),"")</f>
        <v>2050</v>
      </c>
      <c r="AC1077" s="24">
        <f>IFERROR(INDEX(Cost_Components!$M$2:$M$27,MATCH(E1077,Cost_Components!$A$2:$A$27,0)),"")</f>
        <v>0</v>
      </c>
      <c r="AD1077" s="24">
        <f>IFERROR(INDEX(Cost_Components!$N$2:$N$27,MATCH(E1077,Cost_Components!$A$2:$A$27,0)),"")</f>
        <v>95</v>
      </c>
      <c r="AE1077" s="14" t="str">
        <f>IFERROR(INDEX(Cost_Components!$O$2:$O$27,MATCH(E1077,Cost_Components!$A$2:$A$27,0)),"")</f>
        <v>Both</v>
      </c>
      <c r="AF1077" s="11">
        <v>6281146.8832999701</v>
      </c>
      <c r="AG1077" s="11">
        <v>6484171.91355599</v>
      </c>
      <c r="AH1077" s="21">
        <f t="shared" si="169"/>
        <v>1</v>
      </c>
    </row>
    <row r="1078" spans="1:34" hidden="1">
      <c r="A1078" t="s">
        <v>75</v>
      </c>
      <c r="B1078" s="18">
        <v>2035</v>
      </c>
      <c r="C1078" t="s">
        <v>202</v>
      </c>
      <c r="D1078" t="s">
        <v>177</v>
      </c>
      <c r="E1078" s="20" t="s">
        <v>294</v>
      </c>
      <c r="F1078" s="20" t="s">
        <v>295</v>
      </c>
      <c r="G1078" s="20" t="s">
        <v>203</v>
      </c>
      <c r="H1078" s="20" t="s">
        <v>192</v>
      </c>
      <c r="I1078" s="20" t="s">
        <v>264</v>
      </c>
      <c r="J1078" s="15">
        <f>IFERROR(INDEX(Cost_Components!$K$2:$K$27,MATCH(E1078,Cost_Components!$A$2:$A$27,0)),"")</f>
        <v>1</v>
      </c>
      <c r="K1078" s="15">
        <f t="shared" si="160"/>
        <v>0.51730769230769236</v>
      </c>
      <c r="L1078" s="15">
        <f>IFERROR(INDEX(Cost_Components!$S$2:$S$27,MATCH(E1078,Cost_Components!$A$2:$A$27,0)),"")</f>
        <v>0.31</v>
      </c>
      <c r="M1078" s="26">
        <f>IFERROR(INDEX(Cost_Components!$L$2:$L$27,MATCH(E1078,Cost_Components!$A$2:$A$27,0)),"")</f>
        <v>1</v>
      </c>
      <c r="N1078" s="27">
        <f>IFERROR(INDEX(Cost_Components!$P$2:$P$27,MATCH(E1078,Cost_Components!$A$2:$A$27,0)),"")</f>
        <v>119.721487</v>
      </c>
      <c r="O1078" s="21">
        <f t="shared" si="161"/>
        <v>6354518.2690690104</v>
      </c>
      <c r="P1078" s="21">
        <f t="shared" si="162"/>
        <v>6594554.7330099801</v>
      </c>
      <c r="Q1078" s="21">
        <f t="shared" si="163"/>
        <v>244748068.60904124</v>
      </c>
      <c r="R1078" s="21">
        <f t="shared" si="164"/>
        <v>393553402.37671649</v>
      </c>
      <c r="S1078" s="21">
        <f t="shared" si="165"/>
        <v>148805333.76767525</v>
      </c>
      <c r="T1078" s="14">
        <f>IFERROR(INDEX(Cost_Components!$R$2:$R$27,MATCH(E1078,Cost_Components!$A$2:$A$27,0)),"")</f>
        <v>1</v>
      </c>
      <c r="U1078" s="24">
        <f>IFERROR(INDEX(Cost_Components!$Q$2:$Q$27,MATCH(E1078,Cost_Components!$A$2:$A$27,0)),"")</f>
        <v>2023</v>
      </c>
      <c r="V1078" s="28">
        <f>1/(1+Calculation_Assumptions!$B$5)^(B1078-Calculation_Assumptions!$B$2)</f>
        <v>0.74409391489672516</v>
      </c>
      <c r="W1078" s="21">
        <f t="shared" si="166"/>
        <v>182115548.53471377</v>
      </c>
      <c r="X1078" s="21">
        <f t="shared" si="167"/>
        <v>292840691.89541709</v>
      </c>
      <c r="Y1078" s="21">
        <f t="shared" si="168"/>
        <v>110725143.36070333</v>
      </c>
      <c r="Z1078" s="15">
        <f>IFERROR(INDEX(Cost_Components!$T$2:$T$27,MATCH(E1078,Cost_Components!$A$2:$A$27,0)),"")</f>
        <v>0.8</v>
      </c>
      <c r="AA1078" s="24">
        <f>IFERROR(INDEX(Cost_Components!$U$2:$U$27,MATCH(E1078,Cost_Components!$A$2:$A$27,0)),"")</f>
        <v>2025</v>
      </c>
      <c r="AB1078" s="24">
        <f>IFERROR(INDEX(Cost_Components!$V$2:$V$27,MATCH(E1078,Cost_Components!$A$2:$A$27,0)),"")</f>
        <v>2050</v>
      </c>
      <c r="AC1078" s="24">
        <f>IFERROR(INDEX(Cost_Components!$M$2:$M$27,MATCH(E1078,Cost_Components!$A$2:$A$27,0)),"")</f>
        <v>0</v>
      </c>
      <c r="AD1078" s="24">
        <f>IFERROR(INDEX(Cost_Components!$N$2:$N$27,MATCH(E1078,Cost_Components!$A$2:$A$27,0)),"")</f>
        <v>95</v>
      </c>
      <c r="AE1078" s="14" t="str">
        <f>IFERROR(INDEX(Cost_Components!$O$2:$O$27,MATCH(E1078,Cost_Components!$A$2:$A$27,0)),"")</f>
        <v>Both</v>
      </c>
      <c r="AF1078" s="11">
        <v>6354518.2690690104</v>
      </c>
      <c r="AG1078" s="11">
        <v>6594554.7330099801</v>
      </c>
      <c r="AH1078" s="21">
        <f t="shared" si="169"/>
        <v>1</v>
      </c>
    </row>
    <row r="1079" spans="1:34" hidden="1">
      <c r="A1079" t="s">
        <v>75</v>
      </c>
      <c r="B1079" s="18">
        <v>2036</v>
      </c>
      <c r="C1079" t="s">
        <v>202</v>
      </c>
      <c r="D1079" t="s">
        <v>177</v>
      </c>
      <c r="E1079" s="20" t="s">
        <v>294</v>
      </c>
      <c r="F1079" s="20" t="s">
        <v>295</v>
      </c>
      <c r="G1079" s="20" t="s">
        <v>203</v>
      </c>
      <c r="H1079" s="20" t="s">
        <v>192</v>
      </c>
      <c r="I1079" s="20" t="s">
        <v>264</v>
      </c>
      <c r="J1079" s="15">
        <f>IFERROR(INDEX(Cost_Components!$K$2:$K$27,MATCH(E1079,Cost_Components!$A$2:$A$27,0)),"")</f>
        <v>1</v>
      </c>
      <c r="K1079" s="15">
        <f t="shared" si="160"/>
        <v>0.5361538461538462</v>
      </c>
      <c r="L1079" s="15">
        <f>IFERROR(INDEX(Cost_Components!$S$2:$S$27,MATCH(E1079,Cost_Components!$A$2:$A$27,0)),"")</f>
        <v>0.31</v>
      </c>
      <c r="M1079" s="26">
        <f>IFERROR(INDEX(Cost_Components!$L$2:$L$27,MATCH(E1079,Cost_Components!$A$2:$A$27,0)),"")</f>
        <v>1</v>
      </c>
      <c r="N1079" s="27">
        <f>IFERROR(INDEX(Cost_Components!$P$2:$P$27,MATCH(E1079,Cost_Components!$A$2:$A$27,0)),"")</f>
        <v>119.721487</v>
      </c>
      <c r="O1079" s="21">
        <f t="shared" si="161"/>
        <v>6422604.8906857604</v>
      </c>
      <c r="P1079" s="21">
        <f t="shared" si="162"/>
        <v>6702001.5718828104</v>
      </c>
      <c r="Q1079" s="21">
        <f t="shared" si="163"/>
        <v>248735814.1592657</v>
      </c>
      <c r="R1079" s="21">
        <f t="shared" si="164"/>
        <v>412261457.01898545</v>
      </c>
      <c r="S1079" s="21">
        <f t="shared" si="165"/>
        <v>163525642.85971975</v>
      </c>
      <c r="T1079" s="14">
        <f>IFERROR(INDEX(Cost_Components!$R$2:$R$27,MATCH(E1079,Cost_Components!$A$2:$A$27,0)),"")</f>
        <v>1</v>
      </c>
      <c r="U1079" s="24">
        <f>IFERROR(INDEX(Cost_Components!$Q$2:$Q$27,MATCH(E1079,Cost_Components!$A$2:$A$27,0)),"")</f>
        <v>2023</v>
      </c>
      <c r="V1079" s="28">
        <f>1/(1+Calculation_Assumptions!$B$5)^(B1079-Calculation_Assumptions!$B$2)</f>
        <v>0.72242127659876232</v>
      </c>
      <c r="W1079" s="21">
        <f t="shared" si="166"/>
        <v>179692044.40076923</v>
      </c>
      <c r="X1079" s="21">
        <f t="shared" si="167"/>
        <v>297826448.07212126</v>
      </c>
      <c r="Y1079" s="21">
        <f t="shared" si="168"/>
        <v>118134403.67135203</v>
      </c>
      <c r="Z1079" s="15">
        <f>IFERROR(INDEX(Cost_Components!$T$2:$T$27,MATCH(E1079,Cost_Components!$A$2:$A$27,0)),"")</f>
        <v>0.8</v>
      </c>
      <c r="AA1079" s="24">
        <f>IFERROR(INDEX(Cost_Components!$U$2:$U$27,MATCH(E1079,Cost_Components!$A$2:$A$27,0)),"")</f>
        <v>2025</v>
      </c>
      <c r="AB1079" s="24">
        <f>IFERROR(INDEX(Cost_Components!$V$2:$V$27,MATCH(E1079,Cost_Components!$A$2:$A$27,0)),"")</f>
        <v>2050</v>
      </c>
      <c r="AC1079" s="24">
        <f>IFERROR(INDEX(Cost_Components!$M$2:$M$27,MATCH(E1079,Cost_Components!$A$2:$A$27,0)),"")</f>
        <v>0</v>
      </c>
      <c r="AD1079" s="24">
        <f>IFERROR(INDEX(Cost_Components!$N$2:$N$27,MATCH(E1079,Cost_Components!$A$2:$A$27,0)),"")</f>
        <v>95</v>
      </c>
      <c r="AE1079" s="14" t="str">
        <f>IFERROR(INDEX(Cost_Components!$O$2:$O$27,MATCH(E1079,Cost_Components!$A$2:$A$27,0)),"")</f>
        <v>Both</v>
      </c>
      <c r="AF1079" s="11">
        <v>6422604.8906857604</v>
      </c>
      <c r="AG1079" s="11">
        <v>6702001.5718828104</v>
      </c>
      <c r="AH1079" s="21">
        <f t="shared" si="169"/>
        <v>1</v>
      </c>
    </row>
    <row r="1080" spans="1:34" hidden="1">
      <c r="A1080" t="s">
        <v>75</v>
      </c>
      <c r="B1080" s="18">
        <v>2037</v>
      </c>
      <c r="C1080" t="s">
        <v>202</v>
      </c>
      <c r="D1080" t="s">
        <v>177</v>
      </c>
      <c r="E1080" s="20" t="s">
        <v>294</v>
      </c>
      <c r="F1080" s="20" t="s">
        <v>295</v>
      </c>
      <c r="G1080" s="20" t="s">
        <v>203</v>
      </c>
      <c r="H1080" s="20" t="s">
        <v>192</v>
      </c>
      <c r="I1080" s="20" t="s">
        <v>264</v>
      </c>
      <c r="J1080" s="15">
        <f>IFERROR(INDEX(Cost_Components!$K$2:$K$27,MATCH(E1080,Cost_Components!$A$2:$A$27,0)),"")</f>
        <v>1</v>
      </c>
      <c r="K1080" s="15">
        <f t="shared" si="160"/>
        <v>0.55500000000000005</v>
      </c>
      <c r="L1080" s="15">
        <f>IFERROR(INDEX(Cost_Components!$S$2:$S$27,MATCH(E1080,Cost_Components!$A$2:$A$27,0)),"")</f>
        <v>0.31</v>
      </c>
      <c r="M1080" s="26">
        <f>IFERROR(INDEX(Cost_Components!$L$2:$L$27,MATCH(E1080,Cost_Components!$A$2:$A$27,0)),"")</f>
        <v>1</v>
      </c>
      <c r="N1080" s="27">
        <f>IFERROR(INDEX(Cost_Components!$P$2:$P$27,MATCH(E1080,Cost_Components!$A$2:$A$27,0)),"")</f>
        <v>119.721487</v>
      </c>
      <c r="O1080" s="21">
        <f t="shared" si="161"/>
        <v>6485453.3718706202</v>
      </c>
      <c r="P1080" s="21">
        <f t="shared" si="162"/>
        <v>6806367.1973426901</v>
      </c>
      <c r="Q1080" s="21">
        <f t="shared" si="163"/>
        <v>252609204.59950569</v>
      </c>
      <c r="R1080" s="21">
        <f t="shared" si="164"/>
        <v>430928707.45998067</v>
      </c>
      <c r="S1080" s="21">
        <f t="shared" si="165"/>
        <v>178319502.86047497</v>
      </c>
      <c r="T1080" s="14">
        <f>IFERROR(INDEX(Cost_Components!$R$2:$R$27,MATCH(E1080,Cost_Components!$A$2:$A$27,0)),"")</f>
        <v>1</v>
      </c>
      <c r="U1080" s="24">
        <f>IFERROR(INDEX(Cost_Components!$Q$2:$Q$27,MATCH(E1080,Cost_Components!$A$2:$A$27,0)),"")</f>
        <v>2023</v>
      </c>
      <c r="V1080" s="28">
        <f>1/(1+Calculation_Assumptions!$B$5)^(B1080-Calculation_Assumptions!$B$2)</f>
        <v>0.70137988019297326</v>
      </c>
      <c r="W1080" s="21">
        <f t="shared" si="166"/>
        <v>177175013.65764359</v>
      </c>
      <c r="X1080" s="21">
        <f t="shared" si="167"/>
        <v>302244725.20999408</v>
      </c>
      <c r="Y1080" s="21">
        <f t="shared" si="168"/>
        <v>125069711.55235049</v>
      </c>
      <c r="Z1080" s="15">
        <f>IFERROR(INDEX(Cost_Components!$T$2:$T$27,MATCH(E1080,Cost_Components!$A$2:$A$27,0)),"")</f>
        <v>0.8</v>
      </c>
      <c r="AA1080" s="24">
        <f>IFERROR(INDEX(Cost_Components!$U$2:$U$27,MATCH(E1080,Cost_Components!$A$2:$A$27,0)),"")</f>
        <v>2025</v>
      </c>
      <c r="AB1080" s="24">
        <f>IFERROR(INDEX(Cost_Components!$V$2:$V$27,MATCH(E1080,Cost_Components!$A$2:$A$27,0)),"")</f>
        <v>2050</v>
      </c>
      <c r="AC1080" s="24">
        <f>IFERROR(INDEX(Cost_Components!$M$2:$M$27,MATCH(E1080,Cost_Components!$A$2:$A$27,0)),"")</f>
        <v>0</v>
      </c>
      <c r="AD1080" s="24">
        <f>IFERROR(INDEX(Cost_Components!$N$2:$N$27,MATCH(E1080,Cost_Components!$A$2:$A$27,0)),"")</f>
        <v>95</v>
      </c>
      <c r="AE1080" s="14" t="str">
        <f>IFERROR(INDEX(Cost_Components!$O$2:$O$27,MATCH(E1080,Cost_Components!$A$2:$A$27,0)),"")</f>
        <v>Both</v>
      </c>
      <c r="AF1080" s="11">
        <v>6485453.3718706202</v>
      </c>
      <c r="AG1080" s="11">
        <v>6806367.1973426901</v>
      </c>
      <c r="AH1080" s="21">
        <f t="shared" si="169"/>
        <v>1</v>
      </c>
    </row>
    <row r="1081" spans="1:34" hidden="1">
      <c r="A1081" t="s">
        <v>75</v>
      </c>
      <c r="B1081" s="18">
        <v>2038</v>
      </c>
      <c r="C1081" t="s">
        <v>202</v>
      </c>
      <c r="D1081" t="s">
        <v>177</v>
      </c>
      <c r="E1081" s="20" t="s">
        <v>294</v>
      </c>
      <c r="F1081" s="20" t="s">
        <v>295</v>
      </c>
      <c r="G1081" s="20" t="s">
        <v>203</v>
      </c>
      <c r="H1081" s="20" t="s">
        <v>192</v>
      </c>
      <c r="I1081" s="20" t="s">
        <v>264</v>
      </c>
      <c r="J1081" s="15">
        <f>IFERROR(INDEX(Cost_Components!$K$2:$K$27,MATCH(E1081,Cost_Components!$A$2:$A$27,0)),"")</f>
        <v>1</v>
      </c>
      <c r="K1081" s="15">
        <f t="shared" si="160"/>
        <v>0.57384615384615389</v>
      </c>
      <c r="L1081" s="15">
        <f>IFERROR(INDEX(Cost_Components!$S$2:$S$27,MATCH(E1081,Cost_Components!$A$2:$A$27,0)),"")</f>
        <v>0.31</v>
      </c>
      <c r="M1081" s="26">
        <f>IFERROR(INDEX(Cost_Components!$L$2:$L$27,MATCH(E1081,Cost_Components!$A$2:$A$27,0)),"")</f>
        <v>1</v>
      </c>
      <c r="N1081" s="27">
        <f>IFERROR(INDEX(Cost_Components!$P$2:$P$27,MATCH(E1081,Cost_Components!$A$2:$A$27,0)),"")</f>
        <v>119.721487</v>
      </c>
      <c r="O1081" s="21">
        <f t="shared" si="161"/>
        <v>6543125.14550169</v>
      </c>
      <c r="P1081" s="21">
        <f t="shared" si="162"/>
        <v>6907534.3884944804</v>
      </c>
      <c r="Q1081" s="21">
        <f t="shared" si="163"/>
        <v>256363889.43320042</v>
      </c>
      <c r="R1081" s="21">
        <f t="shared" si="164"/>
        <v>449523917.95902234</v>
      </c>
      <c r="S1081" s="21">
        <f t="shared" si="165"/>
        <v>193160028.52582192</v>
      </c>
      <c r="T1081" s="14">
        <f>IFERROR(INDEX(Cost_Components!$R$2:$R$27,MATCH(E1081,Cost_Components!$A$2:$A$27,0)),"")</f>
        <v>1</v>
      </c>
      <c r="U1081" s="24">
        <f>IFERROR(INDEX(Cost_Components!$Q$2:$Q$27,MATCH(E1081,Cost_Components!$A$2:$A$27,0)),"")</f>
        <v>2023</v>
      </c>
      <c r="V1081" s="28">
        <f>1/(1+Calculation_Assumptions!$B$5)^(B1081-Calculation_Assumptions!$B$2)</f>
        <v>0.68095133999317792</v>
      </c>
      <c r="W1081" s="21">
        <f t="shared" si="166"/>
        <v>174571334.03540072</v>
      </c>
      <c r="X1081" s="21">
        <f t="shared" si="167"/>
        <v>306103914.29317963</v>
      </c>
      <c r="Y1081" s="21">
        <f t="shared" si="168"/>
        <v>131532580.25777891</v>
      </c>
      <c r="Z1081" s="15">
        <f>IFERROR(INDEX(Cost_Components!$T$2:$T$27,MATCH(E1081,Cost_Components!$A$2:$A$27,0)),"")</f>
        <v>0.8</v>
      </c>
      <c r="AA1081" s="24">
        <f>IFERROR(INDEX(Cost_Components!$U$2:$U$27,MATCH(E1081,Cost_Components!$A$2:$A$27,0)),"")</f>
        <v>2025</v>
      </c>
      <c r="AB1081" s="24">
        <f>IFERROR(INDEX(Cost_Components!$V$2:$V$27,MATCH(E1081,Cost_Components!$A$2:$A$27,0)),"")</f>
        <v>2050</v>
      </c>
      <c r="AC1081" s="24">
        <f>IFERROR(INDEX(Cost_Components!$M$2:$M$27,MATCH(E1081,Cost_Components!$A$2:$A$27,0)),"")</f>
        <v>0</v>
      </c>
      <c r="AD1081" s="24">
        <f>IFERROR(INDEX(Cost_Components!$N$2:$N$27,MATCH(E1081,Cost_Components!$A$2:$A$27,0)),"")</f>
        <v>95</v>
      </c>
      <c r="AE1081" s="14" t="str">
        <f>IFERROR(INDEX(Cost_Components!$O$2:$O$27,MATCH(E1081,Cost_Components!$A$2:$A$27,0)),"")</f>
        <v>Both</v>
      </c>
      <c r="AF1081" s="11">
        <v>6543125.14550169</v>
      </c>
      <c r="AG1081" s="11">
        <v>6907534.3884944804</v>
      </c>
      <c r="AH1081" s="21">
        <f t="shared" si="169"/>
        <v>1</v>
      </c>
    </row>
    <row r="1082" spans="1:34" hidden="1">
      <c r="A1082" t="s">
        <v>75</v>
      </c>
      <c r="B1082" s="18">
        <v>2039</v>
      </c>
      <c r="C1082" t="s">
        <v>202</v>
      </c>
      <c r="D1082" t="s">
        <v>177</v>
      </c>
      <c r="E1082" s="20" t="s">
        <v>294</v>
      </c>
      <c r="F1082" s="20" t="s">
        <v>295</v>
      </c>
      <c r="G1082" s="20" t="s">
        <v>203</v>
      </c>
      <c r="H1082" s="20" t="s">
        <v>192</v>
      </c>
      <c r="I1082" s="20" t="s">
        <v>264</v>
      </c>
      <c r="J1082" s="15">
        <f>IFERROR(INDEX(Cost_Components!$K$2:$K$27,MATCH(E1082,Cost_Components!$A$2:$A$27,0)),"")</f>
        <v>1</v>
      </c>
      <c r="K1082" s="15">
        <f t="shared" si="160"/>
        <v>0.59269230769230763</v>
      </c>
      <c r="L1082" s="15">
        <f>IFERROR(INDEX(Cost_Components!$S$2:$S$27,MATCH(E1082,Cost_Components!$A$2:$A$27,0)),"")</f>
        <v>0.31</v>
      </c>
      <c r="M1082" s="26">
        <f>IFERROR(INDEX(Cost_Components!$L$2:$L$27,MATCH(E1082,Cost_Components!$A$2:$A$27,0)),"")</f>
        <v>1</v>
      </c>
      <c r="N1082" s="27">
        <f>IFERROR(INDEX(Cost_Components!$P$2:$P$27,MATCH(E1082,Cost_Components!$A$2:$A$27,0)),"")</f>
        <v>119.721487</v>
      </c>
      <c r="O1082" s="21">
        <f t="shared" si="161"/>
        <v>6595751.9305884503</v>
      </c>
      <c r="P1082" s="21">
        <f t="shared" si="162"/>
        <v>7005471.2740789996</v>
      </c>
      <c r="Q1082" s="21">
        <f t="shared" si="163"/>
        <v>259998685.80124193</v>
      </c>
      <c r="R1082" s="21">
        <f t="shared" si="164"/>
        <v>468021394.58049804</v>
      </c>
      <c r="S1082" s="21">
        <f t="shared" si="165"/>
        <v>208022708.77925611</v>
      </c>
      <c r="T1082" s="14">
        <f>IFERROR(INDEX(Cost_Components!$R$2:$R$27,MATCH(E1082,Cost_Components!$A$2:$A$27,0)),"")</f>
        <v>1</v>
      </c>
      <c r="U1082" s="24">
        <f>IFERROR(INDEX(Cost_Components!$Q$2:$Q$27,MATCH(E1082,Cost_Components!$A$2:$A$27,0)),"")</f>
        <v>2023</v>
      </c>
      <c r="V1082" s="28">
        <f>1/(1+Calculation_Assumptions!$B$5)^(B1082-Calculation_Assumptions!$B$2)</f>
        <v>0.66111780581861923</v>
      </c>
      <c r="W1082" s="21">
        <f t="shared" si="166"/>
        <v>171889760.67264166</v>
      </c>
      <c r="X1082" s="21">
        <f t="shared" si="167"/>
        <v>309417277.46122909</v>
      </c>
      <c r="Y1082" s="21">
        <f t="shared" si="168"/>
        <v>137527516.78858742</v>
      </c>
      <c r="Z1082" s="15">
        <f>IFERROR(INDEX(Cost_Components!$T$2:$T$27,MATCH(E1082,Cost_Components!$A$2:$A$27,0)),"")</f>
        <v>0.8</v>
      </c>
      <c r="AA1082" s="24">
        <f>IFERROR(INDEX(Cost_Components!$U$2:$U$27,MATCH(E1082,Cost_Components!$A$2:$A$27,0)),"")</f>
        <v>2025</v>
      </c>
      <c r="AB1082" s="24">
        <f>IFERROR(INDEX(Cost_Components!$V$2:$V$27,MATCH(E1082,Cost_Components!$A$2:$A$27,0)),"")</f>
        <v>2050</v>
      </c>
      <c r="AC1082" s="24">
        <f>IFERROR(INDEX(Cost_Components!$M$2:$M$27,MATCH(E1082,Cost_Components!$A$2:$A$27,0)),"")</f>
        <v>0</v>
      </c>
      <c r="AD1082" s="24">
        <f>IFERROR(INDEX(Cost_Components!$N$2:$N$27,MATCH(E1082,Cost_Components!$A$2:$A$27,0)),"")</f>
        <v>95</v>
      </c>
      <c r="AE1082" s="14" t="str">
        <f>IFERROR(INDEX(Cost_Components!$O$2:$O$27,MATCH(E1082,Cost_Components!$A$2:$A$27,0)),"")</f>
        <v>Both</v>
      </c>
      <c r="AF1082" s="11">
        <v>6595751.9305884503</v>
      </c>
      <c r="AG1082" s="11">
        <v>7005471.2740789996</v>
      </c>
      <c r="AH1082" s="21">
        <f t="shared" si="169"/>
        <v>1</v>
      </c>
    </row>
    <row r="1083" spans="1:34" hidden="1">
      <c r="A1083" t="s">
        <v>75</v>
      </c>
      <c r="B1083" s="18">
        <v>2040</v>
      </c>
      <c r="C1083" t="s">
        <v>202</v>
      </c>
      <c r="D1083" t="s">
        <v>177</v>
      </c>
      <c r="E1083" s="20" t="s">
        <v>294</v>
      </c>
      <c r="F1083" s="20" t="s">
        <v>295</v>
      </c>
      <c r="G1083" s="20" t="s">
        <v>203</v>
      </c>
      <c r="H1083" s="20" t="s">
        <v>192</v>
      </c>
      <c r="I1083" s="20" t="s">
        <v>264</v>
      </c>
      <c r="J1083" s="15">
        <f>IFERROR(INDEX(Cost_Components!$K$2:$K$27,MATCH(E1083,Cost_Components!$A$2:$A$27,0)),"")</f>
        <v>1</v>
      </c>
      <c r="K1083" s="15">
        <f t="shared" si="160"/>
        <v>0.61153846153846159</v>
      </c>
      <c r="L1083" s="15">
        <f>IFERROR(INDEX(Cost_Components!$S$2:$S$27,MATCH(E1083,Cost_Components!$A$2:$A$27,0)),"")</f>
        <v>0.31</v>
      </c>
      <c r="M1083" s="26">
        <f>IFERROR(INDEX(Cost_Components!$L$2:$L$27,MATCH(E1083,Cost_Components!$A$2:$A$27,0)),"")</f>
        <v>1</v>
      </c>
      <c r="N1083" s="27">
        <f>IFERROR(INDEX(Cost_Components!$P$2:$P$27,MATCH(E1083,Cost_Components!$A$2:$A$27,0)),"")</f>
        <v>119.721487</v>
      </c>
      <c r="O1083" s="21">
        <f t="shared" si="161"/>
        <v>6643386.1510581505</v>
      </c>
      <c r="P1083" s="21">
        <f t="shared" si="162"/>
        <v>7100053.1006421903</v>
      </c>
      <c r="Q1083" s="21">
        <f t="shared" si="163"/>
        <v>263508963.64623156</v>
      </c>
      <c r="R1083" s="21">
        <f t="shared" si="164"/>
        <v>486390826.64023948</v>
      </c>
      <c r="S1083" s="21">
        <f t="shared" si="165"/>
        <v>222881862.99400792</v>
      </c>
      <c r="T1083" s="14">
        <f>IFERROR(INDEX(Cost_Components!$R$2:$R$27,MATCH(E1083,Cost_Components!$A$2:$A$27,0)),"")</f>
        <v>1</v>
      </c>
      <c r="U1083" s="24">
        <f>IFERROR(INDEX(Cost_Components!$Q$2:$Q$27,MATCH(E1083,Cost_Components!$A$2:$A$27,0)),"")</f>
        <v>2023</v>
      </c>
      <c r="V1083" s="28">
        <f>1/(1+Calculation_Assumptions!$B$5)^(B1083-Calculation_Assumptions!$B$2)</f>
        <v>0.64186194739671765</v>
      </c>
      <c r="W1083" s="21">
        <f t="shared" si="166"/>
        <v>169136376.56246108</v>
      </c>
      <c r="X1083" s="21">
        <f t="shared" si="167"/>
        <v>312195763.1832034</v>
      </c>
      <c r="Y1083" s="21">
        <f t="shared" si="168"/>
        <v>143059386.62074235</v>
      </c>
      <c r="Z1083" s="15">
        <f>IFERROR(INDEX(Cost_Components!$T$2:$T$27,MATCH(E1083,Cost_Components!$A$2:$A$27,0)),"")</f>
        <v>0.8</v>
      </c>
      <c r="AA1083" s="24">
        <f>IFERROR(INDEX(Cost_Components!$U$2:$U$27,MATCH(E1083,Cost_Components!$A$2:$A$27,0)),"")</f>
        <v>2025</v>
      </c>
      <c r="AB1083" s="24">
        <f>IFERROR(INDEX(Cost_Components!$V$2:$V$27,MATCH(E1083,Cost_Components!$A$2:$A$27,0)),"")</f>
        <v>2050</v>
      </c>
      <c r="AC1083" s="24">
        <f>IFERROR(INDEX(Cost_Components!$M$2:$M$27,MATCH(E1083,Cost_Components!$A$2:$A$27,0)),"")</f>
        <v>0</v>
      </c>
      <c r="AD1083" s="24">
        <f>IFERROR(INDEX(Cost_Components!$N$2:$N$27,MATCH(E1083,Cost_Components!$A$2:$A$27,0)),"")</f>
        <v>95</v>
      </c>
      <c r="AE1083" s="14" t="str">
        <f>IFERROR(INDEX(Cost_Components!$O$2:$O$27,MATCH(E1083,Cost_Components!$A$2:$A$27,0)),"")</f>
        <v>Both</v>
      </c>
      <c r="AF1083" s="11">
        <v>6643386.1510581505</v>
      </c>
      <c r="AG1083" s="11">
        <v>7100053.1006421903</v>
      </c>
      <c r="AH1083" s="21">
        <f t="shared" si="169"/>
        <v>1</v>
      </c>
    </row>
    <row r="1084" spans="1:34" hidden="1">
      <c r="A1084" t="s">
        <v>75</v>
      </c>
      <c r="B1084" s="18">
        <v>2041</v>
      </c>
      <c r="C1084" t="s">
        <v>202</v>
      </c>
      <c r="D1084" t="s">
        <v>177</v>
      </c>
      <c r="E1084" s="20" t="s">
        <v>294</v>
      </c>
      <c r="F1084" s="20" t="s">
        <v>295</v>
      </c>
      <c r="G1084" s="20" t="s">
        <v>203</v>
      </c>
      <c r="H1084" s="20" t="s">
        <v>192</v>
      </c>
      <c r="I1084" s="20" t="s">
        <v>264</v>
      </c>
      <c r="J1084" s="15">
        <f>IFERROR(INDEX(Cost_Components!$K$2:$K$27,MATCH(E1084,Cost_Components!$A$2:$A$27,0)),"")</f>
        <v>1</v>
      </c>
      <c r="K1084" s="15">
        <f t="shared" si="160"/>
        <v>0.63038461538461543</v>
      </c>
      <c r="L1084" s="15">
        <f>IFERROR(INDEX(Cost_Components!$S$2:$S$27,MATCH(E1084,Cost_Components!$A$2:$A$27,0)),"")</f>
        <v>0.31</v>
      </c>
      <c r="M1084" s="26">
        <f>IFERROR(INDEX(Cost_Components!$L$2:$L$27,MATCH(E1084,Cost_Components!$A$2:$A$27,0)),"")</f>
        <v>1</v>
      </c>
      <c r="N1084" s="27">
        <f>IFERROR(INDEX(Cost_Components!$P$2:$P$27,MATCH(E1084,Cost_Components!$A$2:$A$27,0)),"")</f>
        <v>119.721487</v>
      </c>
      <c r="O1084" s="21">
        <f t="shared" si="161"/>
        <v>6686109.5398953902</v>
      </c>
      <c r="P1084" s="21">
        <f t="shared" si="162"/>
        <v>7191184.7407554798</v>
      </c>
      <c r="Q1084" s="21">
        <f t="shared" si="163"/>
        <v>266891192.44103622</v>
      </c>
      <c r="R1084" s="21">
        <f t="shared" si="164"/>
        <v>504604588.5599786</v>
      </c>
      <c r="S1084" s="21">
        <f t="shared" si="165"/>
        <v>237713396.11894238</v>
      </c>
      <c r="T1084" s="14">
        <f>IFERROR(INDEX(Cost_Components!$R$2:$R$27,MATCH(E1084,Cost_Components!$A$2:$A$27,0)),"")</f>
        <v>1</v>
      </c>
      <c r="U1084" s="24">
        <f>IFERROR(INDEX(Cost_Components!$Q$2:$Q$27,MATCH(E1084,Cost_Components!$A$2:$A$27,0)),"")</f>
        <v>2023</v>
      </c>
      <c r="V1084" s="28">
        <f>1/(1+Calculation_Assumptions!$B$5)^(B1084-Calculation_Assumptions!$B$2)</f>
        <v>0.62316693922011435</v>
      </c>
      <c r="W1084" s="21">
        <f t="shared" si="166"/>
        <v>166317767.49828705</v>
      </c>
      <c r="X1084" s="21">
        <f t="shared" si="167"/>
        <v>314452896.969347</v>
      </c>
      <c r="Y1084" s="21">
        <f t="shared" si="168"/>
        <v>148135129.47105992</v>
      </c>
      <c r="Z1084" s="15">
        <f>IFERROR(INDEX(Cost_Components!$T$2:$T$27,MATCH(E1084,Cost_Components!$A$2:$A$27,0)),"")</f>
        <v>0.8</v>
      </c>
      <c r="AA1084" s="24">
        <f>IFERROR(INDEX(Cost_Components!$U$2:$U$27,MATCH(E1084,Cost_Components!$A$2:$A$27,0)),"")</f>
        <v>2025</v>
      </c>
      <c r="AB1084" s="24">
        <f>IFERROR(INDEX(Cost_Components!$V$2:$V$27,MATCH(E1084,Cost_Components!$A$2:$A$27,0)),"")</f>
        <v>2050</v>
      </c>
      <c r="AC1084" s="24">
        <f>IFERROR(INDEX(Cost_Components!$M$2:$M$27,MATCH(E1084,Cost_Components!$A$2:$A$27,0)),"")</f>
        <v>0</v>
      </c>
      <c r="AD1084" s="24">
        <f>IFERROR(INDEX(Cost_Components!$N$2:$N$27,MATCH(E1084,Cost_Components!$A$2:$A$27,0)),"")</f>
        <v>95</v>
      </c>
      <c r="AE1084" s="14" t="str">
        <f>IFERROR(INDEX(Cost_Components!$O$2:$O$27,MATCH(E1084,Cost_Components!$A$2:$A$27,0)),"")</f>
        <v>Both</v>
      </c>
      <c r="AF1084" s="11">
        <v>6686109.5398953902</v>
      </c>
      <c r="AG1084" s="11">
        <v>7191184.7407554798</v>
      </c>
      <c r="AH1084" s="21">
        <f t="shared" si="169"/>
        <v>1</v>
      </c>
    </row>
    <row r="1085" spans="1:34" hidden="1">
      <c r="A1085" t="s">
        <v>75</v>
      </c>
      <c r="B1085" s="18">
        <v>2042</v>
      </c>
      <c r="C1085" t="s">
        <v>202</v>
      </c>
      <c r="D1085" t="s">
        <v>177</v>
      </c>
      <c r="E1085" s="20" t="s">
        <v>294</v>
      </c>
      <c r="F1085" s="20" t="s">
        <v>295</v>
      </c>
      <c r="G1085" s="20" t="s">
        <v>203</v>
      </c>
      <c r="H1085" s="20" t="s">
        <v>192</v>
      </c>
      <c r="I1085" s="20" t="s">
        <v>264</v>
      </c>
      <c r="J1085" s="15">
        <f>IFERROR(INDEX(Cost_Components!$K$2:$K$27,MATCH(E1085,Cost_Components!$A$2:$A$27,0)),"")</f>
        <v>1</v>
      </c>
      <c r="K1085" s="15">
        <f t="shared" si="160"/>
        <v>0.64923076923076928</v>
      </c>
      <c r="L1085" s="15">
        <f>IFERROR(INDEX(Cost_Components!$S$2:$S$27,MATCH(E1085,Cost_Components!$A$2:$A$27,0)),"")</f>
        <v>0.31</v>
      </c>
      <c r="M1085" s="26">
        <f>IFERROR(INDEX(Cost_Components!$L$2:$L$27,MATCH(E1085,Cost_Components!$A$2:$A$27,0)),"")</f>
        <v>1</v>
      </c>
      <c r="N1085" s="27">
        <f>IFERROR(INDEX(Cost_Components!$P$2:$P$27,MATCH(E1085,Cost_Components!$A$2:$A$27,0)),"")</f>
        <v>119.721487</v>
      </c>
      <c r="O1085" s="21">
        <f t="shared" si="161"/>
        <v>6724069.3806577399</v>
      </c>
      <c r="P1085" s="21">
        <f t="shared" si="162"/>
        <v>7278848.4937819</v>
      </c>
      <c r="Q1085" s="21">
        <f t="shared" si="163"/>
        <v>270144715.2502166</v>
      </c>
      <c r="R1085" s="21">
        <f t="shared" si="164"/>
        <v>522640887.45563507</v>
      </c>
      <c r="S1085" s="21">
        <f t="shared" si="165"/>
        <v>252496172.20541847</v>
      </c>
      <c r="T1085" s="14">
        <f>IFERROR(INDEX(Cost_Components!$R$2:$R$27,MATCH(E1085,Cost_Components!$A$2:$A$27,0)),"")</f>
        <v>1</v>
      </c>
      <c r="U1085" s="24">
        <f>IFERROR(INDEX(Cost_Components!$Q$2:$Q$27,MATCH(E1085,Cost_Components!$A$2:$A$27,0)),"")</f>
        <v>2023</v>
      </c>
      <c r="V1085" s="28">
        <f>1/(1+Calculation_Assumptions!$B$5)^(B1085-Calculation_Assumptions!$B$2)</f>
        <v>0.60501644584477121</v>
      </c>
      <c r="W1085" s="21">
        <f t="shared" si="166"/>
        <v>163441995.4844338</v>
      </c>
      <c r="X1085" s="21">
        <f t="shared" si="167"/>
        <v>316206332.1815654</v>
      </c>
      <c r="Y1085" s="21">
        <f t="shared" si="168"/>
        <v>152764336.69713157</v>
      </c>
      <c r="Z1085" s="15">
        <f>IFERROR(INDEX(Cost_Components!$T$2:$T$27,MATCH(E1085,Cost_Components!$A$2:$A$27,0)),"")</f>
        <v>0.8</v>
      </c>
      <c r="AA1085" s="24">
        <f>IFERROR(INDEX(Cost_Components!$U$2:$U$27,MATCH(E1085,Cost_Components!$A$2:$A$27,0)),"")</f>
        <v>2025</v>
      </c>
      <c r="AB1085" s="24">
        <f>IFERROR(INDEX(Cost_Components!$V$2:$V$27,MATCH(E1085,Cost_Components!$A$2:$A$27,0)),"")</f>
        <v>2050</v>
      </c>
      <c r="AC1085" s="24">
        <f>IFERROR(INDEX(Cost_Components!$M$2:$M$27,MATCH(E1085,Cost_Components!$A$2:$A$27,0)),"")</f>
        <v>0</v>
      </c>
      <c r="AD1085" s="24">
        <f>IFERROR(INDEX(Cost_Components!$N$2:$N$27,MATCH(E1085,Cost_Components!$A$2:$A$27,0)),"")</f>
        <v>95</v>
      </c>
      <c r="AE1085" s="14" t="str">
        <f>IFERROR(INDEX(Cost_Components!$O$2:$O$27,MATCH(E1085,Cost_Components!$A$2:$A$27,0)),"")</f>
        <v>Both</v>
      </c>
      <c r="AF1085" s="11">
        <v>6724069.3806577399</v>
      </c>
      <c r="AG1085" s="11">
        <v>7278848.4937819</v>
      </c>
      <c r="AH1085" s="21">
        <f t="shared" si="169"/>
        <v>1</v>
      </c>
    </row>
    <row r="1086" spans="1:34" hidden="1">
      <c r="A1086" t="s">
        <v>75</v>
      </c>
      <c r="B1086" s="18">
        <v>2043</v>
      </c>
      <c r="C1086" t="s">
        <v>202</v>
      </c>
      <c r="D1086" t="s">
        <v>177</v>
      </c>
      <c r="E1086" s="20" t="s">
        <v>294</v>
      </c>
      <c r="F1086" s="20" t="s">
        <v>295</v>
      </c>
      <c r="G1086" s="20" t="s">
        <v>203</v>
      </c>
      <c r="H1086" s="20" t="s">
        <v>192</v>
      </c>
      <c r="I1086" s="20" t="s">
        <v>264</v>
      </c>
      <c r="J1086" s="15">
        <f>IFERROR(INDEX(Cost_Components!$K$2:$K$27,MATCH(E1086,Cost_Components!$A$2:$A$27,0)),"")</f>
        <v>1</v>
      </c>
      <c r="K1086" s="15">
        <f t="shared" si="160"/>
        <v>0.66807692307692301</v>
      </c>
      <c r="L1086" s="15">
        <f>IFERROR(INDEX(Cost_Components!$S$2:$S$27,MATCH(E1086,Cost_Components!$A$2:$A$27,0)),"")</f>
        <v>0.31</v>
      </c>
      <c r="M1086" s="26">
        <f>IFERROR(INDEX(Cost_Components!$L$2:$L$27,MATCH(E1086,Cost_Components!$A$2:$A$27,0)),"")</f>
        <v>1</v>
      </c>
      <c r="N1086" s="27">
        <f>IFERROR(INDEX(Cost_Components!$P$2:$P$27,MATCH(E1086,Cost_Components!$A$2:$A$27,0)),"")</f>
        <v>119.721487</v>
      </c>
      <c r="O1086" s="21">
        <f t="shared" si="161"/>
        <v>6757501.0086980704</v>
      </c>
      <c r="P1086" s="21">
        <f t="shared" si="162"/>
        <v>7363135.7158966605</v>
      </c>
      <c r="Q1086" s="21">
        <f t="shared" si="163"/>
        <v>273272922.63588691</v>
      </c>
      <c r="R1086" s="21">
        <f t="shared" si="164"/>
        <v>540486302.36160898</v>
      </c>
      <c r="S1086" s="21">
        <f t="shared" si="165"/>
        <v>267213379.72572207</v>
      </c>
      <c r="T1086" s="14">
        <f>IFERROR(INDEX(Cost_Components!$R$2:$R$27,MATCH(E1086,Cost_Components!$A$2:$A$27,0)),"")</f>
        <v>1</v>
      </c>
      <c r="U1086" s="24">
        <f>IFERROR(INDEX(Cost_Components!$Q$2:$Q$27,MATCH(E1086,Cost_Components!$A$2:$A$27,0)),"")</f>
        <v>2023</v>
      </c>
      <c r="V1086" s="28">
        <f>1/(1+Calculation_Assumptions!$B$5)^(B1086-Calculation_Assumptions!$B$2)</f>
        <v>0.5873946076162827</v>
      </c>
      <c r="W1086" s="21">
        <f t="shared" si="166"/>
        <v>160519041.16386157</v>
      </c>
      <c r="X1086" s="21">
        <f t="shared" si="167"/>
        <v>317478739.49767286</v>
      </c>
      <c r="Y1086" s="21">
        <f t="shared" si="168"/>
        <v>156959698.33381128</v>
      </c>
      <c r="Z1086" s="15">
        <f>IFERROR(INDEX(Cost_Components!$T$2:$T$27,MATCH(E1086,Cost_Components!$A$2:$A$27,0)),"")</f>
        <v>0.8</v>
      </c>
      <c r="AA1086" s="24">
        <f>IFERROR(INDEX(Cost_Components!$U$2:$U$27,MATCH(E1086,Cost_Components!$A$2:$A$27,0)),"")</f>
        <v>2025</v>
      </c>
      <c r="AB1086" s="24">
        <f>IFERROR(INDEX(Cost_Components!$V$2:$V$27,MATCH(E1086,Cost_Components!$A$2:$A$27,0)),"")</f>
        <v>2050</v>
      </c>
      <c r="AC1086" s="24">
        <f>IFERROR(INDEX(Cost_Components!$M$2:$M$27,MATCH(E1086,Cost_Components!$A$2:$A$27,0)),"")</f>
        <v>0</v>
      </c>
      <c r="AD1086" s="24">
        <f>IFERROR(INDEX(Cost_Components!$N$2:$N$27,MATCH(E1086,Cost_Components!$A$2:$A$27,0)),"")</f>
        <v>95</v>
      </c>
      <c r="AE1086" s="14" t="str">
        <f>IFERROR(INDEX(Cost_Components!$O$2:$O$27,MATCH(E1086,Cost_Components!$A$2:$A$27,0)),"")</f>
        <v>Both</v>
      </c>
      <c r="AF1086" s="11">
        <v>6757501.0086980704</v>
      </c>
      <c r="AG1086" s="11">
        <v>7363135.7158966605</v>
      </c>
      <c r="AH1086" s="21">
        <f t="shared" si="169"/>
        <v>1</v>
      </c>
    </row>
    <row r="1087" spans="1:34" hidden="1">
      <c r="A1087" t="s">
        <v>75</v>
      </c>
      <c r="B1087" s="18">
        <v>2044</v>
      </c>
      <c r="C1087" t="s">
        <v>202</v>
      </c>
      <c r="D1087" t="s">
        <v>177</v>
      </c>
      <c r="E1087" s="20" t="s">
        <v>294</v>
      </c>
      <c r="F1087" s="20" t="s">
        <v>295</v>
      </c>
      <c r="G1087" s="20" t="s">
        <v>203</v>
      </c>
      <c r="H1087" s="20" t="s">
        <v>192</v>
      </c>
      <c r="I1087" s="20" t="s">
        <v>264</v>
      </c>
      <c r="J1087" s="15">
        <f>IFERROR(INDEX(Cost_Components!$K$2:$K$27,MATCH(E1087,Cost_Components!$A$2:$A$27,0)),"")</f>
        <v>1</v>
      </c>
      <c r="K1087" s="15">
        <f t="shared" si="160"/>
        <v>0.68692307692307697</v>
      </c>
      <c r="L1087" s="15">
        <f>IFERROR(INDEX(Cost_Components!$S$2:$S$27,MATCH(E1087,Cost_Components!$A$2:$A$27,0)),"")</f>
        <v>0.31</v>
      </c>
      <c r="M1087" s="26">
        <f>IFERROR(INDEX(Cost_Components!$L$2:$L$27,MATCH(E1087,Cost_Components!$A$2:$A$27,0)),"")</f>
        <v>1</v>
      </c>
      <c r="N1087" s="27">
        <f>IFERROR(INDEX(Cost_Components!$P$2:$P$27,MATCH(E1087,Cost_Components!$A$2:$A$27,0)),"")</f>
        <v>119.721487</v>
      </c>
      <c r="O1087" s="21">
        <f t="shared" si="161"/>
        <v>6786671.2468865197</v>
      </c>
      <c r="P1087" s="21">
        <f t="shared" si="162"/>
        <v>7444190.3459455604</v>
      </c>
      <c r="Q1087" s="21">
        <f t="shared" si="163"/>
        <v>276281156.69557053</v>
      </c>
      <c r="R1087" s="21">
        <f t="shared" si="164"/>
        <v>558132125.76727438</v>
      </c>
      <c r="S1087" s="21">
        <f t="shared" si="165"/>
        <v>281850969.07170385</v>
      </c>
      <c r="T1087" s="14">
        <f>IFERROR(INDEX(Cost_Components!$R$2:$R$27,MATCH(E1087,Cost_Components!$A$2:$A$27,0)),"")</f>
        <v>1</v>
      </c>
      <c r="U1087" s="24">
        <f>IFERROR(INDEX(Cost_Components!$Q$2:$Q$27,MATCH(E1087,Cost_Components!$A$2:$A$27,0)),"")</f>
        <v>2023</v>
      </c>
      <c r="V1087" s="28">
        <f>1/(1+Calculation_Assumptions!$B$5)^(B1087-Calculation_Assumptions!$B$2)</f>
        <v>0.57028602681192497</v>
      </c>
      <c r="W1087" s="21">
        <f t="shared" si="166"/>
        <v>157559283.13491979</v>
      </c>
      <c r="X1087" s="21">
        <f t="shared" si="167"/>
        <v>318294952.4399125</v>
      </c>
      <c r="Y1087" s="21">
        <f t="shared" si="168"/>
        <v>160735669.30499274</v>
      </c>
      <c r="Z1087" s="15">
        <f>IFERROR(INDEX(Cost_Components!$T$2:$T$27,MATCH(E1087,Cost_Components!$A$2:$A$27,0)),"")</f>
        <v>0.8</v>
      </c>
      <c r="AA1087" s="24">
        <f>IFERROR(INDEX(Cost_Components!$U$2:$U$27,MATCH(E1087,Cost_Components!$A$2:$A$27,0)),"")</f>
        <v>2025</v>
      </c>
      <c r="AB1087" s="24">
        <f>IFERROR(INDEX(Cost_Components!$V$2:$V$27,MATCH(E1087,Cost_Components!$A$2:$A$27,0)),"")</f>
        <v>2050</v>
      </c>
      <c r="AC1087" s="24">
        <f>IFERROR(INDEX(Cost_Components!$M$2:$M$27,MATCH(E1087,Cost_Components!$A$2:$A$27,0)),"")</f>
        <v>0</v>
      </c>
      <c r="AD1087" s="24">
        <f>IFERROR(INDEX(Cost_Components!$N$2:$N$27,MATCH(E1087,Cost_Components!$A$2:$A$27,0)),"")</f>
        <v>95</v>
      </c>
      <c r="AE1087" s="14" t="str">
        <f>IFERROR(INDEX(Cost_Components!$O$2:$O$27,MATCH(E1087,Cost_Components!$A$2:$A$27,0)),"")</f>
        <v>Both</v>
      </c>
      <c r="AF1087" s="11">
        <v>6786671.2468865197</v>
      </c>
      <c r="AG1087" s="11">
        <v>7444190.3459455604</v>
      </c>
      <c r="AH1087" s="21">
        <f t="shared" si="169"/>
        <v>1</v>
      </c>
    </row>
    <row r="1088" spans="1:34" hidden="1">
      <c r="A1088" t="s">
        <v>75</v>
      </c>
      <c r="B1088" s="18">
        <v>2045</v>
      </c>
      <c r="C1088" t="s">
        <v>202</v>
      </c>
      <c r="D1088" t="s">
        <v>177</v>
      </c>
      <c r="E1088" s="20" t="s">
        <v>294</v>
      </c>
      <c r="F1088" s="20" t="s">
        <v>295</v>
      </c>
      <c r="G1088" s="20" t="s">
        <v>203</v>
      </c>
      <c r="H1088" s="20" t="s">
        <v>192</v>
      </c>
      <c r="I1088" s="20" t="s">
        <v>264</v>
      </c>
      <c r="J1088" s="15">
        <f>IFERROR(INDEX(Cost_Components!$K$2:$K$27,MATCH(E1088,Cost_Components!$A$2:$A$27,0)),"")</f>
        <v>1</v>
      </c>
      <c r="K1088" s="15">
        <f t="shared" si="160"/>
        <v>0.70576923076923082</v>
      </c>
      <c r="L1088" s="15">
        <f>IFERROR(INDEX(Cost_Components!$S$2:$S$27,MATCH(E1088,Cost_Components!$A$2:$A$27,0)),"")</f>
        <v>0.31</v>
      </c>
      <c r="M1088" s="26">
        <f>IFERROR(INDEX(Cost_Components!$L$2:$L$27,MATCH(E1088,Cost_Components!$A$2:$A$27,0)),"")</f>
        <v>1</v>
      </c>
      <c r="N1088" s="27">
        <f>IFERROR(INDEX(Cost_Components!$P$2:$P$27,MATCH(E1088,Cost_Components!$A$2:$A$27,0)),"")</f>
        <v>119.721487</v>
      </c>
      <c r="O1088" s="21">
        <f t="shared" si="161"/>
        <v>6811886.3096063603</v>
      </c>
      <c r="P1088" s="21">
        <f t="shared" si="162"/>
        <v>7522215.0936579499</v>
      </c>
      <c r="Q1088" s="21">
        <f t="shared" si="163"/>
        <v>279176940.72943795</v>
      </c>
      <c r="R1088" s="21">
        <f t="shared" si="164"/>
        <v>575575386.69575536</v>
      </c>
      <c r="S1088" s="21">
        <f t="shared" si="165"/>
        <v>296398445.96631742</v>
      </c>
      <c r="T1088" s="14">
        <f>IFERROR(INDEX(Cost_Components!$R$2:$R$27,MATCH(E1088,Cost_Components!$A$2:$A$27,0)),"")</f>
        <v>1</v>
      </c>
      <c r="U1088" s="24">
        <f>IFERROR(INDEX(Cost_Components!$Q$2:$Q$27,MATCH(E1088,Cost_Components!$A$2:$A$27,0)),"")</f>
        <v>2023</v>
      </c>
      <c r="V1088" s="28">
        <f>1/(1+Calculation_Assumptions!$B$5)^(B1088-Calculation_Assumptions!$B$2)</f>
        <v>0.55367575418633497</v>
      </c>
      <c r="W1088" s="21">
        <f t="shared" si="166"/>
        <v>154573503.20980528</v>
      </c>
      <c r="X1088" s="21">
        <f t="shared" si="167"/>
        <v>318682136.31986374</v>
      </c>
      <c r="Y1088" s="21">
        <f t="shared" si="168"/>
        <v>164108633.11005846</v>
      </c>
      <c r="Z1088" s="15">
        <f>IFERROR(INDEX(Cost_Components!$T$2:$T$27,MATCH(E1088,Cost_Components!$A$2:$A$27,0)),"")</f>
        <v>0.8</v>
      </c>
      <c r="AA1088" s="24">
        <f>IFERROR(INDEX(Cost_Components!$U$2:$U$27,MATCH(E1088,Cost_Components!$A$2:$A$27,0)),"")</f>
        <v>2025</v>
      </c>
      <c r="AB1088" s="24">
        <f>IFERROR(INDEX(Cost_Components!$V$2:$V$27,MATCH(E1088,Cost_Components!$A$2:$A$27,0)),"")</f>
        <v>2050</v>
      </c>
      <c r="AC1088" s="24">
        <f>IFERROR(INDEX(Cost_Components!$M$2:$M$27,MATCH(E1088,Cost_Components!$A$2:$A$27,0)),"")</f>
        <v>0</v>
      </c>
      <c r="AD1088" s="24">
        <f>IFERROR(INDEX(Cost_Components!$N$2:$N$27,MATCH(E1088,Cost_Components!$A$2:$A$27,0)),"")</f>
        <v>95</v>
      </c>
      <c r="AE1088" s="14" t="str">
        <f>IFERROR(INDEX(Cost_Components!$O$2:$O$27,MATCH(E1088,Cost_Components!$A$2:$A$27,0)),"")</f>
        <v>Both</v>
      </c>
      <c r="AF1088" s="11">
        <v>6811886.3096063603</v>
      </c>
      <c r="AG1088" s="11">
        <v>7522215.0936579499</v>
      </c>
      <c r="AH1088" s="21">
        <f t="shared" si="169"/>
        <v>1</v>
      </c>
    </row>
    <row r="1089" spans="1:34" hidden="1">
      <c r="A1089" t="s">
        <v>75</v>
      </c>
      <c r="B1089" s="18">
        <v>2046</v>
      </c>
      <c r="C1089" t="s">
        <v>202</v>
      </c>
      <c r="D1089" t="s">
        <v>177</v>
      </c>
      <c r="E1089" s="20" t="s">
        <v>294</v>
      </c>
      <c r="F1089" s="20" t="s">
        <v>295</v>
      </c>
      <c r="G1089" s="20" t="s">
        <v>203</v>
      </c>
      <c r="H1089" s="20" t="s">
        <v>192</v>
      </c>
      <c r="I1089" s="20" t="s">
        <v>264</v>
      </c>
      <c r="J1089" s="15">
        <f>IFERROR(INDEX(Cost_Components!$K$2:$K$27,MATCH(E1089,Cost_Components!$A$2:$A$27,0)),"")</f>
        <v>1</v>
      </c>
      <c r="K1089" s="15">
        <f t="shared" si="160"/>
        <v>0.72461538461538466</v>
      </c>
      <c r="L1089" s="15">
        <f>IFERROR(INDEX(Cost_Components!$S$2:$S$27,MATCH(E1089,Cost_Components!$A$2:$A$27,0)),"")</f>
        <v>0.31</v>
      </c>
      <c r="M1089" s="26">
        <f>IFERROR(INDEX(Cost_Components!$L$2:$L$27,MATCH(E1089,Cost_Components!$A$2:$A$27,0)),"")</f>
        <v>1</v>
      </c>
      <c r="N1089" s="27">
        <f>IFERROR(INDEX(Cost_Components!$P$2:$P$27,MATCH(E1089,Cost_Components!$A$2:$A$27,0)),"")</f>
        <v>119.721487</v>
      </c>
      <c r="O1089" s="21">
        <f t="shared" si="161"/>
        <v>6833150.53707531</v>
      </c>
      <c r="P1089" s="21">
        <f t="shared" si="162"/>
        <v>7597099.71033228</v>
      </c>
      <c r="Q1089" s="21">
        <f t="shared" si="163"/>
        <v>281956183.00455743</v>
      </c>
      <c r="R1089" s="21">
        <f t="shared" si="164"/>
        <v>592789689.60637033</v>
      </c>
      <c r="S1089" s="21">
        <f t="shared" si="165"/>
        <v>310833506.6018129</v>
      </c>
      <c r="T1089" s="14">
        <f>IFERROR(INDEX(Cost_Components!$R$2:$R$27,MATCH(E1089,Cost_Components!$A$2:$A$27,0)),"")</f>
        <v>1</v>
      </c>
      <c r="U1089" s="24">
        <f>IFERROR(INDEX(Cost_Components!$Q$2:$Q$27,MATCH(E1089,Cost_Components!$A$2:$A$27,0)),"")</f>
        <v>2023</v>
      </c>
      <c r="V1089" s="28">
        <f>1/(1+Calculation_Assumptions!$B$5)^(B1089-Calculation_Assumptions!$B$2)</f>
        <v>0.5375492759090631</v>
      </c>
      <c r="W1089" s="21">
        <f t="shared" si="166"/>
        <v>151565342.01218313</v>
      </c>
      <c r="X1089" s="21">
        <f t="shared" si="167"/>
        <v>318653668.41426265</v>
      </c>
      <c r="Y1089" s="21">
        <f t="shared" si="168"/>
        <v>167088326.40207949</v>
      </c>
      <c r="Z1089" s="15">
        <f>IFERROR(INDEX(Cost_Components!$T$2:$T$27,MATCH(E1089,Cost_Components!$A$2:$A$27,0)),"")</f>
        <v>0.8</v>
      </c>
      <c r="AA1089" s="24">
        <f>IFERROR(INDEX(Cost_Components!$U$2:$U$27,MATCH(E1089,Cost_Components!$A$2:$A$27,0)),"")</f>
        <v>2025</v>
      </c>
      <c r="AB1089" s="24">
        <f>IFERROR(INDEX(Cost_Components!$V$2:$V$27,MATCH(E1089,Cost_Components!$A$2:$A$27,0)),"")</f>
        <v>2050</v>
      </c>
      <c r="AC1089" s="24">
        <f>IFERROR(INDEX(Cost_Components!$M$2:$M$27,MATCH(E1089,Cost_Components!$A$2:$A$27,0)),"")</f>
        <v>0</v>
      </c>
      <c r="AD1089" s="24">
        <f>IFERROR(INDEX(Cost_Components!$N$2:$N$27,MATCH(E1089,Cost_Components!$A$2:$A$27,0)),"")</f>
        <v>95</v>
      </c>
      <c r="AE1089" s="14" t="str">
        <f>IFERROR(INDEX(Cost_Components!$O$2:$O$27,MATCH(E1089,Cost_Components!$A$2:$A$27,0)),"")</f>
        <v>Both</v>
      </c>
      <c r="AF1089" s="11">
        <v>6833150.53707531</v>
      </c>
      <c r="AG1089" s="11">
        <v>7597099.71033228</v>
      </c>
      <c r="AH1089" s="21">
        <f t="shared" si="169"/>
        <v>1</v>
      </c>
    </row>
    <row r="1090" spans="1:34" hidden="1">
      <c r="A1090" t="s">
        <v>75</v>
      </c>
      <c r="B1090" s="18">
        <v>2047</v>
      </c>
      <c r="C1090" t="s">
        <v>202</v>
      </c>
      <c r="D1090" t="s">
        <v>177</v>
      </c>
      <c r="E1090" s="20" t="s">
        <v>294</v>
      </c>
      <c r="F1090" s="20" t="s">
        <v>295</v>
      </c>
      <c r="G1090" s="20" t="s">
        <v>203</v>
      </c>
      <c r="H1090" s="20" t="s">
        <v>192</v>
      </c>
      <c r="I1090" s="20" t="s">
        <v>264</v>
      </c>
      <c r="J1090" s="15">
        <f>IFERROR(INDEX(Cost_Components!$K$2:$K$27,MATCH(E1090,Cost_Components!$A$2:$A$27,0)),"")</f>
        <v>1</v>
      </c>
      <c r="K1090" s="15">
        <f t="shared" ref="K1090:K1153" si="170">IF(OR(L1090="",Z1090="",AA1090="",AB1090=""),"",IF(B1090&lt;AA1090,L1090,IF(B1090&gt;AB1090,Z1090,L1090+(Z1090-L1090)*MIN(MAX((B1090-AA1090+1)/MAX(AB1090-AA1090+1,1),0),1))))</f>
        <v>0.74346153846153851</v>
      </c>
      <c r="L1090" s="15">
        <f>IFERROR(INDEX(Cost_Components!$S$2:$S$27,MATCH(E1090,Cost_Components!$A$2:$A$27,0)),"")</f>
        <v>0.31</v>
      </c>
      <c r="M1090" s="26">
        <f>IFERROR(INDEX(Cost_Components!$L$2:$L$27,MATCH(E1090,Cost_Components!$A$2:$A$27,0)),"")</f>
        <v>1</v>
      </c>
      <c r="N1090" s="27">
        <f>IFERROR(INDEX(Cost_Components!$P$2:$P$27,MATCH(E1090,Cost_Components!$A$2:$A$27,0)),"")</f>
        <v>119.721487</v>
      </c>
      <c r="O1090" s="21">
        <f t="shared" ref="O1090:O1153" si="171">AF1090*J1090</f>
        <v>6850321.48416657</v>
      </c>
      <c r="P1090" s="21">
        <f t="shared" ref="P1090:P1153" si="172">AG1090*J1090</f>
        <v>7668592.5773811797</v>
      </c>
      <c r="Q1090" s="21">
        <f t="shared" ref="Q1090:Q1153" si="173">P1090*L1090*M1090*N1090</f>
        <v>284609545.03398359</v>
      </c>
      <c r="R1090" s="21">
        <f t="shared" ref="R1090:R1153" si="174">O1090*K1090*M1090*N1090</f>
        <v>609735613.01253927</v>
      </c>
      <c r="S1090" s="21">
        <f t="shared" ref="S1090:S1153" si="175">R1090-Q1090</f>
        <v>325126067.97855568</v>
      </c>
      <c r="T1090" s="14">
        <f>IFERROR(INDEX(Cost_Components!$R$2:$R$27,MATCH(E1090,Cost_Components!$A$2:$A$27,0)),"")</f>
        <v>1</v>
      </c>
      <c r="U1090" s="24">
        <f>IFERROR(INDEX(Cost_Components!$Q$2:$Q$27,MATCH(E1090,Cost_Components!$A$2:$A$27,0)),"")</f>
        <v>2023</v>
      </c>
      <c r="V1090" s="28">
        <f>1/(1+Calculation_Assumptions!$B$5)^(B1090-Calculation_Assumptions!$B$2)</f>
        <v>0.52189250088258554</v>
      </c>
      <c r="W1090" s="21">
        <f t="shared" ref="W1090:W1153" si="176">Q1090*V1090</f>
        <v>148535587.23284054</v>
      </c>
      <c r="X1090" s="21">
        <f t="shared" ref="X1090:X1153" si="177">R1090*V1090</f>
        <v>318216443.95229048</v>
      </c>
      <c r="Y1090" s="21">
        <f t="shared" ref="Y1090:Y1153" si="178">S1090*V1090</f>
        <v>169680856.71944994</v>
      </c>
      <c r="Z1090" s="15">
        <f>IFERROR(INDEX(Cost_Components!$T$2:$T$27,MATCH(E1090,Cost_Components!$A$2:$A$27,0)),"")</f>
        <v>0.8</v>
      </c>
      <c r="AA1090" s="24">
        <f>IFERROR(INDEX(Cost_Components!$U$2:$U$27,MATCH(E1090,Cost_Components!$A$2:$A$27,0)),"")</f>
        <v>2025</v>
      </c>
      <c r="AB1090" s="24">
        <f>IFERROR(INDEX(Cost_Components!$V$2:$V$27,MATCH(E1090,Cost_Components!$A$2:$A$27,0)),"")</f>
        <v>2050</v>
      </c>
      <c r="AC1090" s="24">
        <f>IFERROR(INDEX(Cost_Components!$M$2:$M$27,MATCH(E1090,Cost_Components!$A$2:$A$27,0)),"")</f>
        <v>0</v>
      </c>
      <c r="AD1090" s="24">
        <f>IFERROR(INDEX(Cost_Components!$N$2:$N$27,MATCH(E1090,Cost_Components!$A$2:$A$27,0)),"")</f>
        <v>95</v>
      </c>
      <c r="AE1090" s="14" t="str">
        <f>IFERROR(INDEX(Cost_Components!$O$2:$O$27,MATCH(E1090,Cost_Components!$A$2:$A$27,0)),"")</f>
        <v>Both</v>
      </c>
      <c r="AF1090" s="11">
        <v>6850321.48416657</v>
      </c>
      <c r="AG1090" s="11">
        <v>7668592.5773811797</v>
      </c>
      <c r="AH1090" s="21">
        <f t="shared" ref="AH1090:AH1153" si="179">IF(H1090="shared-count-once",COUNTIFS($A$2:$A$1353,A1090,$B$2:$B$1353,B1090,$E$2:$E$1353,E1090),1)</f>
        <v>1</v>
      </c>
    </row>
    <row r="1091" spans="1:34" hidden="1">
      <c r="A1091" t="s">
        <v>75</v>
      </c>
      <c r="B1091" s="18">
        <v>2048</v>
      </c>
      <c r="C1091" t="s">
        <v>202</v>
      </c>
      <c r="D1091" t="s">
        <v>177</v>
      </c>
      <c r="E1091" s="20" t="s">
        <v>294</v>
      </c>
      <c r="F1091" s="20" t="s">
        <v>295</v>
      </c>
      <c r="G1091" s="20" t="s">
        <v>203</v>
      </c>
      <c r="H1091" s="20" t="s">
        <v>192</v>
      </c>
      <c r="I1091" s="20" t="s">
        <v>264</v>
      </c>
      <c r="J1091" s="15">
        <f>IFERROR(INDEX(Cost_Components!$K$2:$K$27,MATCH(E1091,Cost_Components!$A$2:$A$27,0)),"")</f>
        <v>1</v>
      </c>
      <c r="K1091" s="15">
        <f t="shared" si="170"/>
        <v>0.76230769230769235</v>
      </c>
      <c r="L1091" s="15">
        <f>IFERROR(INDEX(Cost_Components!$S$2:$S$27,MATCH(E1091,Cost_Components!$A$2:$A$27,0)),"")</f>
        <v>0.31</v>
      </c>
      <c r="M1091" s="26">
        <f>IFERROR(INDEX(Cost_Components!$L$2:$L$27,MATCH(E1091,Cost_Components!$A$2:$A$27,0)),"")</f>
        <v>1</v>
      </c>
      <c r="N1091" s="27">
        <f>IFERROR(INDEX(Cost_Components!$P$2:$P$27,MATCH(E1091,Cost_Components!$A$2:$A$27,0)),"")</f>
        <v>119.721487</v>
      </c>
      <c r="O1091" s="21">
        <f t="shared" si="171"/>
        <v>6863427.3030396104</v>
      </c>
      <c r="P1091" s="21">
        <f t="shared" si="172"/>
        <v>7736597.0552434502</v>
      </c>
      <c r="Q1091" s="21">
        <f t="shared" si="173"/>
        <v>287133440.16980577</v>
      </c>
      <c r="R1091" s="21">
        <f t="shared" si="174"/>
        <v>626388019.33275008</v>
      </c>
      <c r="S1091" s="21">
        <f t="shared" si="175"/>
        <v>339254579.16294432</v>
      </c>
      <c r="T1091" s="14">
        <f>IFERROR(INDEX(Cost_Components!$R$2:$R$27,MATCH(E1091,Cost_Components!$A$2:$A$27,0)),"")</f>
        <v>1</v>
      </c>
      <c r="U1091" s="24">
        <f>IFERROR(INDEX(Cost_Components!$Q$2:$Q$27,MATCH(E1091,Cost_Components!$A$2:$A$27,0)),"")</f>
        <v>2023</v>
      </c>
      <c r="V1091" s="28">
        <f>1/(1+Calculation_Assumptions!$B$5)^(B1091-Calculation_Assumptions!$B$2)</f>
        <v>0.50669174842969467</v>
      </c>
      <c r="W1091" s="21">
        <f t="shared" si="176"/>
        <v>145488144.83227199</v>
      </c>
      <c r="X1091" s="21">
        <f t="shared" si="177"/>
        <v>317385640.71112454</v>
      </c>
      <c r="Y1091" s="21">
        <f t="shared" si="178"/>
        <v>171897495.87885252</v>
      </c>
      <c r="Z1091" s="15">
        <f>IFERROR(INDEX(Cost_Components!$T$2:$T$27,MATCH(E1091,Cost_Components!$A$2:$A$27,0)),"")</f>
        <v>0.8</v>
      </c>
      <c r="AA1091" s="24">
        <f>IFERROR(INDEX(Cost_Components!$U$2:$U$27,MATCH(E1091,Cost_Components!$A$2:$A$27,0)),"")</f>
        <v>2025</v>
      </c>
      <c r="AB1091" s="24">
        <f>IFERROR(INDEX(Cost_Components!$V$2:$V$27,MATCH(E1091,Cost_Components!$A$2:$A$27,0)),"")</f>
        <v>2050</v>
      </c>
      <c r="AC1091" s="24">
        <f>IFERROR(INDEX(Cost_Components!$M$2:$M$27,MATCH(E1091,Cost_Components!$A$2:$A$27,0)),"")</f>
        <v>0</v>
      </c>
      <c r="AD1091" s="24">
        <f>IFERROR(INDEX(Cost_Components!$N$2:$N$27,MATCH(E1091,Cost_Components!$A$2:$A$27,0)),"")</f>
        <v>95</v>
      </c>
      <c r="AE1091" s="14" t="str">
        <f>IFERROR(INDEX(Cost_Components!$O$2:$O$27,MATCH(E1091,Cost_Components!$A$2:$A$27,0)),"")</f>
        <v>Both</v>
      </c>
      <c r="AF1091" s="11">
        <v>6863427.3030396104</v>
      </c>
      <c r="AG1091" s="11">
        <v>7736597.0552434502</v>
      </c>
      <c r="AH1091" s="21">
        <f t="shared" si="179"/>
        <v>1</v>
      </c>
    </row>
    <row r="1092" spans="1:34" hidden="1">
      <c r="A1092" t="s">
        <v>75</v>
      </c>
      <c r="B1092" s="18">
        <v>2049</v>
      </c>
      <c r="C1092" t="s">
        <v>202</v>
      </c>
      <c r="D1092" t="s">
        <v>177</v>
      </c>
      <c r="E1092" s="20" t="s">
        <v>294</v>
      </c>
      <c r="F1092" s="20" t="s">
        <v>295</v>
      </c>
      <c r="G1092" s="20" t="s">
        <v>203</v>
      </c>
      <c r="H1092" s="20" t="s">
        <v>192</v>
      </c>
      <c r="I1092" s="20" t="s">
        <v>264</v>
      </c>
      <c r="J1092" s="15">
        <f>IFERROR(INDEX(Cost_Components!$K$2:$K$27,MATCH(E1092,Cost_Components!$A$2:$A$27,0)),"")</f>
        <v>1</v>
      </c>
      <c r="K1092" s="15">
        <f t="shared" si="170"/>
        <v>0.7811538461538462</v>
      </c>
      <c r="L1092" s="15">
        <f>IFERROR(INDEX(Cost_Components!$S$2:$S$27,MATCH(E1092,Cost_Components!$A$2:$A$27,0)),"")</f>
        <v>0.31</v>
      </c>
      <c r="M1092" s="26">
        <f>IFERROR(INDEX(Cost_Components!$L$2:$L$27,MATCH(E1092,Cost_Components!$A$2:$A$27,0)),"")</f>
        <v>1</v>
      </c>
      <c r="N1092" s="27">
        <f>IFERROR(INDEX(Cost_Components!$P$2:$P$27,MATCH(E1092,Cost_Components!$A$2:$A$27,0)),"")</f>
        <v>119.721487</v>
      </c>
      <c r="O1092" s="21">
        <f t="shared" si="171"/>
        <v>6872449.7000324102</v>
      </c>
      <c r="P1092" s="21">
        <f t="shared" si="172"/>
        <v>7800963.0468724202</v>
      </c>
      <c r="Q1092" s="21">
        <f t="shared" si="173"/>
        <v>289522297.76112121</v>
      </c>
      <c r="R1092" s="21">
        <f t="shared" si="174"/>
        <v>642717681.40815628</v>
      </c>
      <c r="S1092" s="21">
        <f t="shared" si="175"/>
        <v>353195383.64703506</v>
      </c>
      <c r="T1092" s="14">
        <f>IFERROR(INDEX(Cost_Components!$R$2:$R$27,MATCH(E1092,Cost_Components!$A$2:$A$27,0)),"")</f>
        <v>1</v>
      </c>
      <c r="U1092" s="24">
        <f>IFERROR(INDEX(Cost_Components!$Q$2:$Q$27,MATCH(E1092,Cost_Components!$A$2:$A$27,0)),"")</f>
        <v>2023</v>
      </c>
      <c r="V1092" s="28">
        <f>1/(1+Calculation_Assumptions!$B$5)^(B1092-Calculation_Assumptions!$B$2)</f>
        <v>0.49193373633950943</v>
      </c>
      <c r="W1092" s="21">
        <f t="shared" si="176"/>
        <v>142425785.69122833</v>
      </c>
      <c r="X1092" s="21">
        <f t="shared" si="177"/>
        <v>316174510.42658079</v>
      </c>
      <c r="Y1092" s="21">
        <f t="shared" si="178"/>
        <v>173748724.73535243</v>
      </c>
      <c r="Z1092" s="15">
        <f>IFERROR(INDEX(Cost_Components!$T$2:$T$27,MATCH(E1092,Cost_Components!$A$2:$A$27,0)),"")</f>
        <v>0.8</v>
      </c>
      <c r="AA1092" s="24">
        <f>IFERROR(INDEX(Cost_Components!$U$2:$U$27,MATCH(E1092,Cost_Components!$A$2:$A$27,0)),"")</f>
        <v>2025</v>
      </c>
      <c r="AB1092" s="24">
        <f>IFERROR(INDEX(Cost_Components!$V$2:$V$27,MATCH(E1092,Cost_Components!$A$2:$A$27,0)),"")</f>
        <v>2050</v>
      </c>
      <c r="AC1092" s="24">
        <f>IFERROR(INDEX(Cost_Components!$M$2:$M$27,MATCH(E1092,Cost_Components!$A$2:$A$27,0)),"")</f>
        <v>0</v>
      </c>
      <c r="AD1092" s="24">
        <f>IFERROR(INDEX(Cost_Components!$N$2:$N$27,MATCH(E1092,Cost_Components!$A$2:$A$27,0)),"")</f>
        <v>95</v>
      </c>
      <c r="AE1092" s="14" t="str">
        <f>IFERROR(INDEX(Cost_Components!$O$2:$O$27,MATCH(E1092,Cost_Components!$A$2:$A$27,0)),"")</f>
        <v>Both</v>
      </c>
      <c r="AF1092" s="11">
        <v>6872449.7000324102</v>
      </c>
      <c r="AG1092" s="11">
        <v>7800963.0468724202</v>
      </c>
      <c r="AH1092" s="21">
        <f t="shared" si="179"/>
        <v>1</v>
      </c>
    </row>
    <row r="1093" spans="1:34" hidden="1">
      <c r="A1093" t="s">
        <v>75</v>
      </c>
      <c r="B1093" s="18">
        <v>2050</v>
      </c>
      <c r="C1093" t="s">
        <v>202</v>
      </c>
      <c r="D1093" t="s">
        <v>177</v>
      </c>
      <c r="E1093" s="20" t="s">
        <v>294</v>
      </c>
      <c r="F1093" s="20" t="s">
        <v>295</v>
      </c>
      <c r="G1093" s="20" t="s">
        <v>203</v>
      </c>
      <c r="H1093" s="20" t="s">
        <v>192</v>
      </c>
      <c r="I1093" s="20" t="s">
        <v>264</v>
      </c>
      <c r="J1093" s="15">
        <f>IFERROR(INDEX(Cost_Components!$K$2:$K$27,MATCH(E1093,Cost_Components!$A$2:$A$27,0)),"")</f>
        <v>1</v>
      </c>
      <c r="K1093" s="15">
        <f t="shared" si="170"/>
        <v>0.8</v>
      </c>
      <c r="L1093" s="15">
        <f>IFERROR(INDEX(Cost_Components!$S$2:$S$27,MATCH(E1093,Cost_Components!$A$2:$A$27,0)),"")</f>
        <v>0.31</v>
      </c>
      <c r="M1093" s="26">
        <f>IFERROR(INDEX(Cost_Components!$L$2:$L$27,MATCH(E1093,Cost_Components!$A$2:$A$27,0)),"")</f>
        <v>1</v>
      </c>
      <c r="N1093" s="27">
        <f>IFERROR(INDEX(Cost_Components!$P$2:$P$27,MATCH(E1093,Cost_Components!$A$2:$A$27,0)),"")</f>
        <v>119.721487</v>
      </c>
      <c r="O1093" s="21">
        <f t="shared" si="171"/>
        <v>6877341.78114055</v>
      </c>
      <c r="P1093" s="21">
        <f t="shared" si="172"/>
        <v>7861516.4843823304</v>
      </c>
      <c r="Q1093" s="21">
        <f t="shared" si="173"/>
        <v>291769657.51143211</v>
      </c>
      <c r="R1093" s="21">
        <f t="shared" si="174"/>
        <v>658692467.71630025</v>
      </c>
      <c r="S1093" s="21">
        <f t="shared" si="175"/>
        <v>366922810.20486814</v>
      </c>
      <c r="T1093" s="14">
        <f>IFERROR(INDEX(Cost_Components!$R$2:$R$27,MATCH(E1093,Cost_Components!$A$2:$A$27,0)),"")</f>
        <v>1</v>
      </c>
      <c r="U1093" s="24">
        <f>IFERROR(INDEX(Cost_Components!$Q$2:$Q$27,MATCH(E1093,Cost_Components!$A$2:$A$27,0)),"")</f>
        <v>2023</v>
      </c>
      <c r="V1093" s="28">
        <f>1/(1+Calculation_Assumptions!$B$5)^(B1093-Calculation_Assumptions!$B$2)</f>
        <v>0.47760556926165965</v>
      </c>
      <c r="W1093" s="21">
        <f t="shared" si="176"/>
        <v>139350813.36902699</v>
      </c>
      <c r="X1093" s="21">
        <f t="shared" si="177"/>
        <v>314595191.01201093</v>
      </c>
      <c r="Y1093" s="21">
        <f t="shared" si="178"/>
        <v>175244377.64298394</v>
      </c>
      <c r="Z1093" s="15">
        <f>IFERROR(INDEX(Cost_Components!$T$2:$T$27,MATCH(E1093,Cost_Components!$A$2:$A$27,0)),"")</f>
        <v>0.8</v>
      </c>
      <c r="AA1093" s="24">
        <f>IFERROR(INDEX(Cost_Components!$U$2:$U$27,MATCH(E1093,Cost_Components!$A$2:$A$27,0)),"")</f>
        <v>2025</v>
      </c>
      <c r="AB1093" s="24">
        <f>IFERROR(INDEX(Cost_Components!$V$2:$V$27,MATCH(E1093,Cost_Components!$A$2:$A$27,0)),"")</f>
        <v>2050</v>
      </c>
      <c r="AC1093" s="24">
        <f>IFERROR(INDEX(Cost_Components!$M$2:$M$27,MATCH(E1093,Cost_Components!$A$2:$A$27,0)),"")</f>
        <v>0</v>
      </c>
      <c r="AD1093" s="24">
        <f>IFERROR(INDEX(Cost_Components!$N$2:$N$27,MATCH(E1093,Cost_Components!$A$2:$A$27,0)),"")</f>
        <v>95</v>
      </c>
      <c r="AE1093" s="14" t="str">
        <f>IFERROR(INDEX(Cost_Components!$O$2:$O$27,MATCH(E1093,Cost_Components!$A$2:$A$27,0)),"")</f>
        <v>Both</v>
      </c>
      <c r="AF1093" s="11">
        <v>6877341.78114055</v>
      </c>
      <c r="AG1093" s="11">
        <v>7861516.4843823304</v>
      </c>
      <c r="AH1093" s="21">
        <f t="shared" si="179"/>
        <v>1</v>
      </c>
    </row>
    <row r="1094" spans="1:34" hidden="1">
      <c r="A1094" t="s">
        <v>75</v>
      </c>
      <c r="B1094" s="18">
        <v>2025</v>
      </c>
      <c r="C1094" t="s">
        <v>202</v>
      </c>
      <c r="D1094" t="s">
        <v>177</v>
      </c>
      <c r="E1094" s="20" t="s">
        <v>297</v>
      </c>
      <c r="F1094" s="20" t="s">
        <v>298</v>
      </c>
      <c r="G1094" s="20" t="s">
        <v>203</v>
      </c>
      <c r="H1094" s="20" t="s">
        <v>192</v>
      </c>
      <c r="I1094" s="20" t="s">
        <v>264</v>
      </c>
      <c r="J1094" s="15">
        <f>IFERROR(INDEX(Cost_Components!$K$2:$K$27,MATCH(E1094,Cost_Components!$A$2:$A$27,0)),"")</f>
        <v>1</v>
      </c>
      <c r="K1094" s="15">
        <f t="shared" si="170"/>
        <v>0.32884615384615384</v>
      </c>
      <c r="L1094" s="15">
        <f>IFERROR(INDEX(Cost_Components!$S$2:$S$27,MATCH(E1094,Cost_Components!$A$2:$A$27,0)),"")</f>
        <v>0.31</v>
      </c>
      <c r="M1094" s="26">
        <f>IFERROR(INDEX(Cost_Components!$L$2:$L$27,MATCH(E1094,Cost_Components!$A$2:$A$27,0)),"")</f>
        <v>1</v>
      </c>
      <c r="N1094" s="27">
        <f>IFERROR(INDEX(Cost_Components!$P$2:$P$27,MATCH(E1094,Cost_Components!$A$2:$A$27,0)),"")</f>
        <v>36.463997999999997</v>
      </c>
      <c r="O1094" s="21">
        <f t="shared" si="171"/>
        <v>5391565.9405182004</v>
      </c>
      <c r="P1094" s="21">
        <f t="shared" si="172"/>
        <v>5395740.1549134701</v>
      </c>
      <c r="Q1094" s="21">
        <f t="shared" si="173"/>
        <v>60992580.047358185</v>
      </c>
      <c r="R1094" s="21">
        <f t="shared" si="174"/>
        <v>64650512.488267235</v>
      </c>
      <c r="S1094" s="21">
        <f t="shared" si="175"/>
        <v>3657932.4409090504</v>
      </c>
      <c r="T1094" s="14">
        <f>IFERROR(INDEX(Cost_Components!$R$2:$R$27,MATCH(E1094,Cost_Components!$A$2:$A$27,0)),"")</f>
        <v>1</v>
      </c>
      <c r="U1094" s="24">
        <f>IFERROR(INDEX(Cost_Components!$Q$2:$Q$27,MATCH(E1094,Cost_Components!$A$2:$A$27,0)),"")</f>
        <v>2023</v>
      </c>
      <c r="V1094" s="28">
        <f>1/(1+Calculation_Assumptions!$B$5)^(B1094-Calculation_Assumptions!$B$2)</f>
        <v>1</v>
      </c>
      <c r="W1094" s="21">
        <f t="shared" si="176"/>
        <v>60992580.047358185</v>
      </c>
      <c r="X1094" s="21">
        <f t="shared" si="177"/>
        <v>64650512.488267235</v>
      </c>
      <c r="Y1094" s="21">
        <f t="shared" si="178"/>
        <v>3657932.4409090504</v>
      </c>
      <c r="Z1094" s="15">
        <f>IFERROR(INDEX(Cost_Components!$T$2:$T$27,MATCH(E1094,Cost_Components!$A$2:$A$27,0)),"")</f>
        <v>0.8</v>
      </c>
      <c r="AA1094" s="24">
        <f>IFERROR(INDEX(Cost_Components!$U$2:$U$27,MATCH(E1094,Cost_Components!$A$2:$A$27,0)),"")</f>
        <v>2025</v>
      </c>
      <c r="AB1094" s="24">
        <f>IFERROR(INDEX(Cost_Components!$V$2:$V$27,MATCH(E1094,Cost_Components!$A$2:$A$27,0)),"")</f>
        <v>2050</v>
      </c>
      <c r="AC1094" s="24">
        <f>IFERROR(INDEX(Cost_Components!$M$2:$M$27,MATCH(E1094,Cost_Components!$A$2:$A$27,0)),"")</f>
        <v>0</v>
      </c>
      <c r="AD1094" s="24">
        <f>IFERROR(INDEX(Cost_Components!$N$2:$N$27,MATCH(E1094,Cost_Components!$A$2:$A$27,0)),"")</f>
        <v>95</v>
      </c>
      <c r="AE1094" s="14" t="str">
        <f>IFERROR(INDEX(Cost_Components!$O$2:$O$27,MATCH(E1094,Cost_Components!$A$2:$A$27,0)),"")</f>
        <v>Both</v>
      </c>
      <c r="AF1094" s="11">
        <v>5391565.9405182004</v>
      </c>
      <c r="AG1094" s="11">
        <v>5395740.1549134701</v>
      </c>
      <c r="AH1094" s="21">
        <f t="shared" si="179"/>
        <v>1</v>
      </c>
    </row>
    <row r="1095" spans="1:34" hidden="1">
      <c r="A1095" t="s">
        <v>75</v>
      </c>
      <c r="B1095" s="18">
        <v>2026</v>
      </c>
      <c r="C1095" t="s">
        <v>202</v>
      </c>
      <c r="D1095" t="s">
        <v>177</v>
      </c>
      <c r="E1095" s="20" t="s">
        <v>297</v>
      </c>
      <c r="F1095" s="20" t="s">
        <v>298</v>
      </c>
      <c r="G1095" s="20" t="s">
        <v>203</v>
      </c>
      <c r="H1095" s="20" t="s">
        <v>192</v>
      </c>
      <c r="I1095" s="20" t="s">
        <v>264</v>
      </c>
      <c r="J1095" s="15">
        <f>IFERROR(INDEX(Cost_Components!$K$2:$K$27,MATCH(E1095,Cost_Components!$A$2:$A$27,0)),"")</f>
        <v>1</v>
      </c>
      <c r="K1095" s="15">
        <f t="shared" si="170"/>
        <v>0.34769230769230769</v>
      </c>
      <c r="L1095" s="15">
        <f>IFERROR(INDEX(Cost_Components!$S$2:$S$27,MATCH(E1095,Cost_Components!$A$2:$A$27,0)),"")</f>
        <v>0.31</v>
      </c>
      <c r="M1095" s="26">
        <f>IFERROR(INDEX(Cost_Components!$L$2:$L$27,MATCH(E1095,Cost_Components!$A$2:$A$27,0)),"")</f>
        <v>1</v>
      </c>
      <c r="N1095" s="27">
        <f>IFERROR(INDEX(Cost_Components!$P$2:$P$27,MATCH(E1095,Cost_Components!$A$2:$A$27,0)),"")</f>
        <v>36.463997999999997</v>
      </c>
      <c r="O1095" s="21">
        <f t="shared" si="171"/>
        <v>5510492.91514068</v>
      </c>
      <c r="P1095" s="21">
        <f t="shared" si="172"/>
        <v>5522859.2156802304</v>
      </c>
      <c r="Q1095" s="21">
        <f t="shared" si="173"/>
        <v>62429513.492402099</v>
      </c>
      <c r="R1095" s="21">
        <f t="shared" si="174"/>
        <v>69863415.685992435</v>
      </c>
      <c r="S1095" s="21">
        <f t="shared" si="175"/>
        <v>7433902.1935903355</v>
      </c>
      <c r="T1095" s="14">
        <f>IFERROR(INDEX(Cost_Components!$R$2:$R$27,MATCH(E1095,Cost_Components!$A$2:$A$27,0)),"")</f>
        <v>1</v>
      </c>
      <c r="U1095" s="24">
        <f>IFERROR(INDEX(Cost_Components!$Q$2:$Q$27,MATCH(E1095,Cost_Components!$A$2:$A$27,0)),"")</f>
        <v>2023</v>
      </c>
      <c r="V1095" s="28">
        <f>1/(1+Calculation_Assumptions!$B$5)^(B1095-Calculation_Assumptions!$B$2)</f>
        <v>0.970873786407767</v>
      </c>
      <c r="W1095" s="21">
        <f t="shared" si="176"/>
        <v>60611178.147963203</v>
      </c>
      <c r="X1095" s="21">
        <f t="shared" si="177"/>
        <v>67828558.918439254</v>
      </c>
      <c r="Y1095" s="21">
        <f t="shared" si="178"/>
        <v>7217380.7704760544</v>
      </c>
      <c r="Z1095" s="15">
        <f>IFERROR(INDEX(Cost_Components!$T$2:$T$27,MATCH(E1095,Cost_Components!$A$2:$A$27,0)),"")</f>
        <v>0.8</v>
      </c>
      <c r="AA1095" s="24">
        <f>IFERROR(INDEX(Cost_Components!$U$2:$U$27,MATCH(E1095,Cost_Components!$A$2:$A$27,0)),"")</f>
        <v>2025</v>
      </c>
      <c r="AB1095" s="24">
        <f>IFERROR(INDEX(Cost_Components!$V$2:$V$27,MATCH(E1095,Cost_Components!$A$2:$A$27,0)),"")</f>
        <v>2050</v>
      </c>
      <c r="AC1095" s="24">
        <f>IFERROR(INDEX(Cost_Components!$M$2:$M$27,MATCH(E1095,Cost_Components!$A$2:$A$27,0)),"")</f>
        <v>0</v>
      </c>
      <c r="AD1095" s="24">
        <f>IFERROR(INDEX(Cost_Components!$N$2:$N$27,MATCH(E1095,Cost_Components!$A$2:$A$27,0)),"")</f>
        <v>95</v>
      </c>
      <c r="AE1095" s="14" t="str">
        <f>IFERROR(INDEX(Cost_Components!$O$2:$O$27,MATCH(E1095,Cost_Components!$A$2:$A$27,0)),"")</f>
        <v>Both</v>
      </c>
      <c r="AF1095" s="11">
        <v>5510492.91514068</v>
      </c>
      <c r="AG1095" s="11">
        <v>5522859.2156802304</v>
      </c>
      <c r="AH1095" s="21">
        <f t="shared" si="179"/>
        <v>1</v>
      </c>
    </row>
    <row r="1096" spans="1:34" hidden="1">
      <c r="A1096" t="s">
        <v>75</v>
      </c>
      <c r="B1096" s="18">
        <v>2027</v>
      </c>
      <c r="C1096" t="s">
        <v>202</v>
      </c>
      <c r="D1096" t="s">
        <v>177</v>
      </c>
      <c r="E1096" s="20" t="s">
        <v>297</v>
      </c>
      <c r="F1096" s="20" t="s">
        <v>298</v>
      </c>
      <c r="G1096" s="20" t="s">
        <v>203</v>
      </c>
      <c r="H1096" s="20" t="s">
        <v>192</v>
      </c>
      <c r="I1096" s="20" t="s">
        <v>264</v>
      </c>
      <c r="J1096" s="15">
        <f>IFERROR(INDEX(Cost_Components!$K$2:$K$27,MATCH(E1096,Cost_Components!$A$2:$A$27,0)),"")</f>
        <v>1</v>
      </c>
      <c r="K1096" s="15">
        <f t="shared" si="170"/>
        <v>0.36653846153846154</v>
      </c>
      <c r="L1096" s="15">
        <f>IFERROR(INDEX(Cost_Components!$S$2:$S$27,MATCH(E1096,Cost_Components!$A$2:$A$27,0)),"")</f>
        <v>0.31</v>
      </c>
      <c r="M1096" s="26">
        <f>IFERROR(INDEX(Cost_Components!$L$2:$L$27,MATCH(E1096,Cost_Components!$A$2:$A$27,0)),"")</f>
        <v>1</v>
      </c>
      <c r="N1096" s="27">
        <f>IFERROR(INDEX(Cost_Components!$P$2:$P$27,MATCH(E1096,Cost_Components!$A$2:$A$27,0)),"")</f>
        <v>36.463997999999997</v>
      </c>
      <c r="O1096" s="21">
        <f t="shared" si="171"/>
        <v>5624366.8194903303</v>
      </c>
      <c r="P1096" s="21">
        <f t="shared" si="172"/>
        <v>5648779.9055859298</v>
      </c>
      <c r="Q1096" s="21">
        <f t="shared" si="173"/>
        <v>63852900.74571491</v>
      </c>
      <c r="R1096" s="21">
        <f t="shared" si="174"/>
        <v>75172236.975259662</v>
      </c>
      <c r="S1096" s="21">
        <f t="shared" si="175"/>
        <v>11319336.229544751</v>
      </c>
      <c r="T1096" s="14">
        <f>IFERROR(INDEX(Cost_Components!$R$2:$R$27,MATCH(E1096,Cost_Components!$A$2:$A$27,0)),"")</f>
        <v>1</v>
      </c>
      <c r="U1096" s="24">
        <f>IFERROR(INDEX(Cost_Components!$Q$2:$Q$27,MATCH(E1096,Cost_Components!$A$2:$A$27,0)),"")</f>
        <v>2023</v>
      </c>
      <c r="V1096" s="28">
        <f>1/(1+Calculation_Assumptions!$B$5)^(B1096-Calculation_Assumptions!$B$2)</f>
        <v>0.94259590913375435</v>
      </c>
      <c r="W1096" s="21">
        <f t="shared" si="176"/>
        <v>60187483.029234529</v>
      </c>
      <c r="X1096" s="21">
        <f t="shared" si="177"/>
        <v>70857043.053312898</v>
      </c>
      <c r="Y1096" s="21">
        <f t="shared" si="178"/>
        <v>10669560.024078378</v>
      </c>
      <c r="Z1096" s="15">
        <f>IFERROR(INDEX(Cost_Components!$T$2:$T$27,MATCH(E1096,Cost_Components!$A$2:$A$27,0)),"")</f>
        <v>0.8</v>
      </c>
      <c r="AA1096" s="24">
        <f>IFERROR(INDEX(Cost_Components!$U$2:$U$27,MATCH(E1096,Cost_Components!$A$2:$A$27,0)),"")</f>
        <v>2025</v>
      </c>
      <c r="AB1096" s="24">
        <f>IFERROR(INDEX(Cost_Components!$V$2:$V$27,MATCH(E1096,Cost_Components!$A$2:$A$27,0)),"")</f>
        <v>2050</v>
      </c>
      <c r="AC1096" s="24">
        <f>IFERROR(INDEX(Cost_Components!$M$2:$M$27,MATCH(E1096,Cost_Components!$A$2:$A$27,0)),"")</f>
        <v>0</v>
      </c>
      <c r="AD1096" s="24">
        <f>IFERROR(INDEX(Cost_Components!$N$2:$N$27,MATCH(E1096,Cost_Components!$A$2:$A$27,0)),"")</f>
        <v>95</v>
      </c>
      <c r="AE1096" s="14" t="str">
        <f>IFERROR(INDEX(Cost_Components!$O$2:$O$27,MATCH(E1096,Cost_Components!$A$2:$A$27,0)),"")</f>
        <v>Both</v>
      </c>
      <c r="AF1096" s="11">
        <v>5624366.8194903303</v>
      </c>
      <c r="AG1096" s="11">
        <v>5648779.9055859298</v>
      </c>
      <c r="AH1096" s="21">
        <f t="shared" si="179"/>
        <v>1</v>
      </c>
    </row>
    <row r="1097" spans="1:34" hidden="1">
      <c r="A1097" t="s">
        <v>75</v>
      </c>
      <c r="B1097" s="18">
        <v>2028</v>
      </c>
      <c r="C1097" t="s">
        <v>202</v>
      </c>
      <c r="D1097" t="s">
        <v>177</v>
      </c>
      <c r="E1097" s="20" t="s">
        <v>297</v>
      </c>
      <c r="F1097" s="20" t="s">
        <v>298</v>
      </c>
      <c r="G1097" s="20" t="s">
        <v>203</v>
      </c>
      <c r="H1097" s="20" t="s">
        <v>192</v>
      </c>
      <c r="I1097" s="20" t="s">
        <v>264</v>
      </c>
      <c r="J1097" s="15">
        <f>IFERROR(INDEX(Cost_Components!$K$2:$K$27,MATCH(E1097,Cost_Components!$A$2:$A$27,0)),"")</f>
        <v>1</v>
      </c>
      <c r="K1097" s="15">
        <f t="shared" si="170"/>
        <v>0.38538461538461538</v>
      </c>
      <c r="L1097" s="15">
        <f>IFERROR(INDEX(Cost_Components!$S$2:$S$27,MATCH(E1097,Cost_Components!$A$2:$A$27,0)),"")</f>
        <v>0.31</v>
      </c>
      <c r="M1097" s="26">
        <f>IFERROR(INDEX(Cost_Components!$L$2:$L$27,MATCH(E1097,Cost_Components!$A$2:$A$27,0)),"")</f>
        <v>1</v>
      </c>
      <c r="N1097" s="27">
        <f>IFERROR(INDEX(Cost_Components!$P$2:$P$27,MATCH(E1097,Cost_Components!$A$2:$A$27,0)),"")</f>
        <v>36.463997999999997</v>
      </c>
      <c r="O1097" s="21">
        <f t="shared" si="171"/>
        <v>5733228.4817271903</v>
      </c>
      <c r="P1097" s="21">
        <f t="shared" si="172"/>
        <v>5773377.9802549696</v>
      </c>
      <c r="Q1097" s="21">
        <f t="shared" si="173"/>
        <v>65261337.368830986</v>
      </c>
      <c r="R1097" s="21">
        <f t="shared" si="174"/>
        <v>80567132.598086834</v>
      </c>
      <c r="S1097" s="21">
        <f t="shared" si="175"/>
        <v>15305795.229255848</v>
      </c>
      <c r="T1097" s="14">
        <f>IFERROR(INDEX(Cost_Components!$R$2:$R$27,MATCH(E1097,Cost_Components!$A$2:$A$27,0)),"")</f>
        <v>1</v>
      </c>
      <c r="U1097" s="24">
        <f>IFERROR(INDEX(Cost_Components!$Q$2:$Q$27,MATCH(E1097,Cost_Components!$A$2:$A$27,0)),"")</f>
        <v>2023</v>
      </c>
      <c r="V1097" s="28">
        <f>1/(1+Calculation_Assumptions!$B$5)^(B1097-Calculation_Assumptions!$B$2)</f>
        <v>0.91514165935315961</v>
      </c>
      <c r="W1097" s="21">
        <f t="shared" si="176"/>
        <v>59723368.571318351</v>
      </c>
      <c r="X1097" s="21">
        <f t="shared" si="177"/>
        <v>73730339.415139228</v>
      </c>
      <c r="Y1097" s="21">
        <f t="shared" si="178"/>
        <v>14006970.84382087</v>
      </c>
      <c r="Z1097" s="15">
        <f>IFERROR(INDEX(Cost_Components!$T$2:$T$27,MATCH(E1097,Cost_Components!$A$2:$A$27,0)),"")</f>
        <v>0.8</v>
      </c>
      <c r="AA1097" s="24">
        <f>IFERROR(INDEX(Cost_Components!$U$2:$U$27,MATCH(E1097,Cost_Components!$A$2:$A$27,0)),"")</f>
        <v>2025</v>
      </c>
      <c r="AB1097" s="24">
        <f>IFERROR(INDEX(Cost_Components!$V$2:$V$27,MATCH(E1097,Cost_Components!$A$2:$A$27,0)),"")</f>
        <v>2050</v>
      </c>
      <c r="AC1097" s="24">
        <f>IFERROR(INDEX(Cost_Components!$M$2:$M$27,MATCH(E1097,Cost_Components!$A$2:$A$27,0)),"")</f>
        <v>0</v>
      </c>
      <c r="AD1097" s="24">
        <f>IFERROR(INDEX(Cost_Components!$N$2:$N$27,MATCH(E1097,Cost_Components!$A$2:$A$27,0)),"")</f>
        <v>95</v>
      </c>
      <c r="AE1097" s="14" t="str">
        <f>IFERROR(INDEX(Cost_Components!$O$2:$O$27,MATCH(E1097,Cost_Components!$A$2:$A$27,0)),"")</f>
        <v>Both</v>
      </c>
      <c r="AF1097" s="11">
        <v>5733228.4817271903</v>
      </c>
      <c r="AG1097" s="11">
        <v>5773377.9802549696</v>
      </c>
      <c r="AH1097" s="21">
        <f t="shared" si="179"/>
        <v>1</v>
      </c>
    </row>
    <row r="1098" spans="1:34" hidden="1">
      <c r="A1098" t="s">
        <v>75</v>
      </c>
      <c r="B1098" s="18">
        <v>2029</v>
      </c>
      <c r="C1098" t="s">
        <v>202</v>
      </c>
      <c r="D1098" t="s">
        <v>177</v>
      </c>
      <c r="E1098" s="20" t="s">
        <v>297</v>
      </c>
      <c r="F1098" s="20" t="s">
        <v>298</v>
      </c>
      <c r="G1098" s="20" t="s">
        <v>203</v>
      </c>
      <c r="H1098" s="20" t="s">
        <v>192</v>
      </c>
      <c r="I1098" s="20" t="s">
        <v>264</v>
      </c>
      <c r="J1098" s="15">
        <f>IFERROR(INDEX(Cost_Components!$K$2:$K$27,MATCH(E1098,Cost_Components!$A$2:$A$27,0)),"")</f>
        <v>1</v>
      </c>
      <c r="K1098" s="15">
        <f t="shared" si="170"/>
        <v>0.40423076923076923</v>
      </c>
      <c r="L1098" s="15">
        <f>IFERROR(INDEX(Cost_Components!$S$2:$S$27,MATCH(E1098,Cost_Components!$A$2:$A$27,0)),"")</f>
        <v>0.31</v>
      </c>
      <c r="M1098" s="26">
        <f>IFERROR(INDEX(Cost_Components!$L$2:$L$27,MATCH(E1098,Cost_Components!$A$2:$A$27,0)),"")</f>
        <v>1</v>
      </c>
      <c r="N1098" s="27">
        <f>IFERROR(INDEX(Cost_Components!$P$2:$P$27,MATCH(E1098,Cost_Components!$A$2:$A$27,0)),"")</f>
        <v>36.463997999999997</v>
      </c>
      <c r="O1098" s="21">
        <f t="shared" si="171"/>
        <v>5837091.8811443299</v>
      </c>
      <c r="P1098" s="21">
        <f t="shared" si="172"/>
        <v>5896503.1983499797</v>
      </c>
      <c r="Q1098" s="21">
        <f t="shared" si="173"/>
        <v>66653125.05780445</v>
      </c>
      <c r="R1098" s="21">
        <f t="shared" si="174"/>
        <v>86037975.277129263</v>
      </c>
      <c r="S1098" s="21">
        <f t="shared" si="175"/>
        <v>19384850.219324812</v>
      </c>
      <c r="T1098" s="14">
        <f>IFERROR(INDEX(Cost_Components!$R$2:$R$27,MATCH(E1098,Cost_Components!$A$2:$A$27,0)),"")</f>
        <v>1</v>
      </c>
      <c r="U1098" s="24">
        <f>IFERROR(INDEX(Cost_Components!$Q$2:$Q$27,MATCH(E1098,Cost_Components!$A$2:$A$27,0)),"")</f>
        <v>2023</v>
      </c>
      <c r="V1098" s="28">
        <f>1/(1+Calculation_Assumptions!$B$5)^(B1098-Calculation_Assumptions!$B$2)</f>
        <v>0.888487047915689</v>
      </c>
      <c r="W1098" s="21">
        <f t="shared" si="176"/>
        <v>59220438.316963911</v>
      </c>
      <c r="X1098" s="21">
        <f t="shared" si="177"/>
        <v>76443626.662619606</v>
      </c>
      <c r="Y1098" s="21">
        <f t="shared" si="178"/>
        <v>17223188.345655698</v>
      </c>
      <c r="Z1098" s="15">
        <f>IFERROR(INDEX(Cost_Components!$T$2:$T$27,MATCH(E1098,Cost_Components!$A$2:$A$27,0)),"")</f>
        <v>0.8</v>
      </c>
      <c r="AA1098" s="24">
        <f>IFERROR(INDEX(Cost_Components!$U$2:$U$27,MATCH(E1098,Cost_Components!$A$2:$A$27,0)),"")</f>
        <v>2025</v>
      </c>
      <c r="AB1098" s="24">
        <f>IFERROR(INDEX(Cost_Components!$V$2:$V$27,MATCH(E1098,Cost_Components!$A$2:$A$27,0)),"")</f>
        <v>2050</v>
      </c>
      <c r="AC1098" s="24">
        <f>IFERROR(INDEX(Cost_Components!$M$2:$M$27,MATCH(E1098,Cost_Components!$A$2:$A$27,0)),"")</f>
        <v>0</v>
      </c>
      <c r="AD1098" s="24">
        <f>IFERROR(INDEX(Cost_Components!$N$2:$N$27,MATCH(E1098,Cost_Components!$A$2:$A$27,0)),"")</f>
        <v>95</v>
      </c>
      <c r="AE1098" s="14" t="str">
        <f>IFERROR(INDEX(Cost_Components!$O$2:$O$27,MATCH(E1098,Cost_Components!$A$2:$A$27,0)),"")</f>
        <v>Both</v>
      </c>
      <c r="AF1098" s="11">
        <v>5837091.8811443299</v>
      </c>
      <c r="AG1098" s="11">
        <v>5896503.1983499797</v>
      </c>
      <c r="AH1098" s="21">
        <f t="shared" si="179"/>
        <v>1</v>
      </c>
    </row>
    <row r="1099" spans="1:34" hidden="1">
      <c r="A1099" t="s">
        <v>75</v>
      </c>
      <c r="B1099" s="18">
        <v>2030</v>
      </c>
      <c r="C1099" t="s">
        <v>202</v>
      </c>
      <c r="D1099" t="s">
        <v>177</v>
      </c>
      <c r="E1099" s="20" t="s">
        <v>297</v>
      </c>
      <c r="F1099" s="20" t="s">
        <v>298</v>
      </c>
      <c r="G1099" s="20" t="s">
        <v>203</v>
      </c>
      <c r="H1099" s="20" t="s">
        <v>192</v>
      </c>
      <c r="I1099" s="20" t="s">
        <v>264</v>
      </c>
      <c r="J1099" s="15">
        <f>IFERROR(INDEX(Cost_Components!$K$2:$K$27,MATCH(E1099,Cost_Components!$A$2:$A$27,0)),"")</f>
        <v>1</v>
      </c>
      <c r="K1099" s="15">
        <f t="shared" si="170"/>
        <v>0.42307692307692307</v>
      </c>
      <c r="L1099" s="15">
        <f>IFERROR(INDEX(Cost_Components!$S$2:$S$27,MATCH(E1099,Cost_Components!$A$2:$A$27,0)),"")</f>
        <v>0.31</v>
      </c>
      <c r="M1099" s="26">
        <f>IFERROR(INDEX(Cost_Components!$L$2:$L$27,MATCH(E1099,Cost_Components!$A$2:$A$27,0)),"")</f>
        <v>1</v>
      </c>
      <c r="N1099" s="27">
        <f>IFERROR(INDEX(Cost_Components!$P$2:$P$27,MATCH(E1099,Cost_Components!$A$2:$A$27,0)),"")</f>
        <v>36.463997999999997</v>
      </c>
      <c r="O1099" s="21">
        <f t="shared" si="171"/>
        <v>5935975.9373728298</v>
      </c>
      <c r="P1099" s="21">
        <f t="shared" si="172"/>
        <v>6018015.6694641598</v>
      </c>
      <c r="Q1099" s="21">
        <f t="shared" si="173"/>
        <v>68026682.513946027</v>
      </c>
      <c r="R1099" s="21">
        <f t="shared" si="174"/>
        <v>91574752.376635402</v>
      </c>
      <c r="S1099" s="21">
        <f t="shared" si="175"/>
        <v>23548069.862689376</v>
      </c>
      <c r="T1099" s="14">
        <f>IFERROR(INDEX(Cost_Components!$R$2:$R$27,MATCH(E1099,Cost_Components!$A$2:$A$27,0)),"")</f>
        <v>1</v>
      </c>
      <c r="U1099" s="24">
        <f>IFERROR(INDEX(Cost_Components!$Q$2:$Q$27,MATCH(E1099,Cost_Components!$A$2:$A$27,0)),"")</f>
        <v>2023</v>
      </c>
      <c r="V1099" s="28">
        <f>1/(1+Calculation_Assumptions!$B$5)^(B1099-Calculation_Assumptions!$B$2)</f>
        <v>0.86260878438416411</v>
      </c>
      <c r="W1099" s="21">
        <f t="shared" si="176"/>
        <v>58680413.909042455</v>
      </c>
      <c r="X1099" s="21">
        <f t="shared" si="177"/>
        <v>78993185.827890307</v>
      </c>
      <c r="Y1099" s="21">
        <f t="shared" si="178"/>
        <v>20312771.918847851</v>
      </c>
      <c r="Z1099" s="15">
        <f>IFERROR(INDEX(Cost_Components!$T$2:$T$27,MATCH(E1099,Cost_Components!$A$2:$A$27,0)),"")</f>
        <v>0.8</v>
      </c>
      <c r="AA1099" s="24">
        <f>IFERROR(INDEX(Cost_Components!$U$2:$U$27,MATCH(E1099,Cost_Components!$A$2:$A$27,0)),"")</f>
        <v>2025</v>
      </c>
      <c r="AB1099" s="24">
        <f>IFERROR(INDEX(Cost_Components!$V$2:$V$27,MATCH(E1099,Cost_Components!$A$2:$A$27,0)),"")</f>
        <v>2050</v>
      </c>
      <c r="AC1099" s="24">
        <f>IFERROR(INDEX(Cost_Components!$M$2:$M$27,MATCH(E1099,Cost_Components!$A$2:$A$27,0)),"")</f>
        <v>0</v>
      </c>
      <c r="AD1099" s="24">
        <f>IFERROR(INDEX(Cost_Components!$N$2:$N$27,MATCH(E1099,Cost_Components!$A$2:$A$27,0)),"")</f>
        <v>95</v>
      </c>
      <c r="AE1099" s="14" t="str">
        <f>IFERROR(INDEX(Cost_Components!$O$2:$O$27,MATCH(E1099,Cost_Components!$A$2:$A$27,0)),"")</f>
        <v>Both</v>
      </c>
      <c r="AF1099" s="11">
        <v>5935975.9373728298</v>
      </c>
      <c r="AG1099" s="11">
        <v>6018015.6694641598</v>
      </c>
      <c r="AH1099" s="21">
        <f t="shared" si="179"/>
        <v>1</v>
      </c>
    </row>
    <row r="1100" spans="1:34" hidden="1">
      <c r="A1100" t="s">
        <v>75</v>
      </c>
      <c r="B1100" s="18">
        <v>2031</v>
      </c>
      <c r="C1100" t="s">
        <v>202</v>
      </c>
      <c r="D1100" t="s">
        <v>177</v>
      </c>
      <c r="E1100" s="20" t="s">
        <v>297</v>
      </c>
      <c r="F1100" s="20" t="s">
        <v>298</v>
      </c>
      <c r="G1100" s="20" t="s">
        <v>203</v>
      </c>
      <c r="H1100" s="20" t="s">
        <v>192</v>
      </c>
      <c r="I1100" s="20" t="s">
        <v>264</v>
      </c>
      <c r="J1100" s="15">
        <f>IFERROR(INDEX(Cost_Components!$K$2:$K$27,MATCH(E1100,Cost_Components!$A$2:$A$27,0)),"")</f>
        <v>1</v>
      </c>
      <c r="K1100" s="15">
        <f t="shared" si="170"/>
        <v>0.44192307692307692</v>
      </c>
      <c r="L1100" s="15">
        <f>IFERROR(INDEX(Cost_Components!$S$2:$S$27,MATCH(E1100,Cost_Components!$A$2:$A$27,0)),"")</f>
        <v>0.31</v>
      </c>
      <c r="M1100" s="26">
        <f>IFERROR(INDEX(Cost_Components!$L$2:$L$27,MATCH(E1100,Cost_Components!$A$2:$A$27,0)),"")</f>
        <v>1</v>
      </c>
      <c r="N1100" s="27">
        <f>IFERROR(INDEX(Cost_Components!$P$2:$P$27,MATCH(E1100,Cost_Components!$A$2:$A$27,0)),"")</f>
        <v>36.463997999999997</v>
      </c>
      <c r="O1100" s="21">
        <f t="shared" si="171"/>
        <v>6029854.4613730302</v>
      </c>
      <c r="P1100" s="21">
        <f t="shared" si="172"/>
        <v>6137732.8378397403</v>
      </c>
      <c r="Q1100" s="21">
        <f t="shared" si="173"/>
        <v>69379946.156292006</v>
      </c>
      <c r="R1100" s="21">
        <f t="shared" si="174"/>
        <v>97166776.373748854</v>
      </c>
      <c r="S1100" s="21">
        <f t="shared" si="175"/>
        <v>27786830.217456847</v>
      </c>
      <c r="T1100" s="14">
        <f>IFERROR(INDEX(Cost_Components!$R$2:$R$27,MATCH(E1100,Cost_Components!$A$2:$A$27,0)),"")</f>
        <v>1</v>
      </c>
      <c r="U1100" s="24">
        <f>IFERROR(INDEX(Cost_Components!$Q$2:$Q$27,MATCH(E1100,Cost_Components!$A$2:$A$27,0)),"")</f>
        <v>2023</v>
      </c>
      <c r="V1100" s="28">
        <f>1/(1+Calculation_Assumptions!$B$5)^(B1100-Calculation_Assumptions!$B$2)</f>
        <v>0.83748425668365445</v>
      </c>
      <c r="W1100" s="21">
        <f t="shared" si="176"/>
        <v>58104612.635454178</v>
      </c>
      <c r="X1100" s="21">
        <f t="shared" si="177"/>
        <v>81375645.485715941</v>
      </c>
      <c r="Y1100" s="21">
        <f t="shared" si="178"/>
        <v>23271032.850261755</v>
      </c>
      <c r="Z1100" s="15">
        <f>IFERROR(INDEX(Cost_Components!$T$2:$T$27,MATCH(E1100,Cost_Components!$A$2:$A$27,0)),"")</f>
        <v>0.8</v>
      </c>
      <c r="AA1100" s="24">
        <f>IFERROR(INDEX(Cost_Components!$U$2:$U$27,MATCH(E1100,Cost_Components!$A$2:$A$27,0)),"")</f>
        <v>2025</v>
      </c>
      <c r="AB1100" s="24">
        <f>IFERROR(INDEX(Cost_Components!$V$2:$V$27,MATCH(E1100,Cost_Components!$A$2:$A$27,0)),"")</f>
        <v>2050</v>
      </c>
      <c r="AC1100" s="24">
        <f>IFERROR(INDEX(Cost_Components!$M$2:$M$27,MATCH(E1100,Cost_Components!$A$2:$A$27,0)),"")</f>
        <v>0</v>
      </c>
      <c r="AD1100" s="24">
        <f>IFERROR(INDEX(Cost_Components!$N$2:$N$27,MATCH(E1100,Cost_Components!$A$2:$A$27,0)),"")</f>
        <v>95</v>
      </c>
      <c r="AE1100" s="14" t="str">
        <f>IFERROR(INDEX(Cost_Components!$O$2:$O$27,MATCH(E1100,Cost_Components!$A$2:$A$27,0)),"")</f>
        <v>Both</v>
      </c>
      <c r="AF1100" s="11">
        <v>6029854.4613730302</v>
      </c>
      <c r="AG1100" s="11">
        <v>6137732.8378397403</v>
      </c>
      <c r="AH1100" s="21">
        <f t="shared" si="179"/>
        <v>1</v>
      </c>
    </row>
    <row r="1101" spans="1:34" hidden="1">
      <c r="A1101" t="s">
        <v>75</v>
      </c>
      <c r="B1101" s="18">
        <v>2032</v>
      </c>
      <c r="C1101" t="s">
        <v>202</v>
      </c>
      <c r="D1101" t="s">
        <v>177</v>
      </c>
      <c r="E1101" s="20" t="s">
        <v>297</v>
      </c>
      <c r="F1101" s="20" t="s">
        <v>298</v>
      </c>
      <c r="G1101" s="20" t="s">
        <v>203</v>
      </c>
      <c r="H1101" s="20" t="s">
        <v>192</v>
      </c>
      <c r="I1101" s="20" t="s">
        <v>264</v>
      </c>
      <c r="J1101" s="15">
        <f>IFERROR(INDEX(Cost_Components!$K$2:$K$27,MATCH(E1101,Cost_Components!$A$2:$A$27,0)),"")</f>
        <v>1</v>
      </c>
      <c r="K1101" s="15">
        <f t="shared" si="170"/>
        <v>0.46076923076923082</v>
      </c>
      <c r="L1101" s="15">
        <f>IFERROR(INDEX(Cost_Components!$S$2:$S$27,MATCH(E1101,Cost_Components!$A$2:$A$27,0)),"")</f>
        <v>0.31</v>
      </c>
      <c r="M1101" s="26">
        <f>IFERROR(INDEX(Cost_Components!$L$2:$L$27,MATCH(E1101,Cost_Components!$A$2:$A$27,0)),"")</f>
        <v>1</v>
      </c>
      <c r="N1101" s="27">
        <f>IFERROR(INDEX(Cost_Components!$P$2:$P$27,MATCH(E1101,Cost_Components!$A$2:$A$27,0)),"")</f>
        <v>36.463997999999997</v>
      </c>
      <c r="O1101" s="21">
        <f t="shared" si="171"/>
        <v>6118718.9212015402</v>
      </c>
      <c r="P1101" s="21">
        <f t="shared" si="172"/>
        <v>6255488.0433799597</v>
      </c>
      <c r="Q1101" s="21">
        <f t="shared" si="173"/>
        <v>70711032.085877523</v>
      </c>
      <c r="R1101" s="21">
        <f t="shared" si="174"/>
        <v>102803584.42203678</v>
      </c>
      <c r="S1101" s="21">
        <f t="shared" si="175"/>
        <v>32092552.336159259</v>
      </c>
      <c r="T1101" s="14">
        <f>IFERROR(INDEX(Cost_Components!$R$2:$R$27,MATCH(E1101,Cost_Components!$A$2:$A$27,0)),"")</f>
        <v>1</v>
      </c>
      <c r="U1101" s="24">
        <f>IFERROR(INDEX(Cost_Components!$Q$2:$Q$27,MATCH(E1101,Cost_Components!$A$2:$A$27,0)),"")</f>
        <v>2023</v>
      </c>
      <c r="V1101" s="28">
        <f>1/(1+Calculation_Assumptions!$B$5)^(B1101-Calculation_Assumptions!$B$2)</f>
        <v>0.81309151134335378</v>
      </c>
      <c r="W1101" s="21">
        <f t="shared" si="176"/>
        <v>57494539.94735454</v>
      </c>
      <c r="X1101" s="21">
        <f t="shared" si="177"/>
        <v>83588721.829227954</v>
      </c>
      <c r="Y1101" s="21">
        <f t="shared" si="178"/>
        <v>26094181.88187341</v>
      </c>
      <c r="Z1101" s="15">
        <f>IFERROR(INDEX(Cost_Components!$T$2:$T$27,MATCH(E1101,Cost_Components!$A$2:$A$27,0)),"")</f>
        <v>0.8</v>
      </c>
      <c r="AA1101" s="24">
        <f>IFERROR(INDEX(Cost_Components!$U$2:$U$27,MATCH(E1101,Cost_Components!$A$2:$A$27,0)),"")</f>
        <v>2025</v>
      </c>
      <c r="AB1101" s="24">
        <f>IFERROR(INDEX(Cost_Components!$V$2:$V$27,MATCH(E1101,Cost_Components!$A$2:$A$27,0)),"")</f>
        <v>2050</v>
      </c>
      <c r="AC1101" s="24">
        <f>IFERROR(INDEX(Cost_Components!$M$2:$M$27,MATCH(E1101,Cost_Components!$A$2:$A$27,0)),"")</f>
        <v>0</v>
      </c>
      <c r="AD1101" s="24">
        <f>IFERROR(INDEX(Cost_Components!$N$2:$N$27,MATCH(E1101,Cost_Components!$A$2:$A$27,0)),"")</f>
        <v>95</v>
      </c>
      <c r="AE1101" s="14" t="str">
        <f>IFERROR(INDEX(Cost_Components!$O$2:$O$27,MATCH(E1101,Cost_Components!$A$2:$A$27,0)),"")</f>
        <v>Both</v>
      </c>
      <c r="AF1101" s="11">
        <v>6118718.9212015402</v>
      </c>
      <c r="AG1101" s="11">
        <v>6255488.0433799597</v>
      </c>
      <c r="AH1101" s="21">
        <f t="shared" si="179"/>
        <v>1</v>
      </c>
    </row>
    <row r="1102" spans="1:34" hidden="1">
      <c r="A1102" t="s">
        <v>75</v>
      </c>
      <c r="B1102" s="18">
        <v>2033</v>
      </c>
      <c r="C1102" t="s">
        <v>202</v>
      </c>
      <c r="D1102" t="s">
        <v>177</v>
      </c>
      <c r="E1102" s="20" t="s">
        <v>297</v>
      </c>
      <c r="F1102" s="20" t="s">
        <v>298</v>
      </c>
      <c r="G1102" s="20" t="s">
        <v>203</v>
      </c>
      <c r="H1102" s="20" t="s">
        <v>192</v>
      </c>
      <c r="I1102" s="20" t="s">
        <v>264</v>
      </c>
      <c r="J1102" s="15">
        <f>IFERROR(INDEX(Cost_Components!$K$2:$K$27,MATCH(E1102,Cost_Components!$A$2:$A$27,0)),"")</f>
        <v>1</v>
      </c>
      <c r="K1102" s="15">
        <f t="shared" si="170"/>
        <v>0.47961538461538467</v>
      </c>
      <c r="L1102" s="15">
        <f>IFERROR(INDEX(Cost_Components!$S$2:$S$27,MATCH(E1102,Cost_Components!$A$2:$A$27,0)),"")</f>
        <v>0.31</v>
      </c>
      <c r="M1102" s="26">
        <f>IFERROR(INDEX(Cost_Components!$L$2:$L$27,MATCH(E1102,Cost_Components!$A$2:$A$27,0)),"")</f>
        <v>1</v>
      </c>
      <c r="N1102" s="27">
        <f>IFERROR(INDEX(Cost_Components!$P$2:$P$27,MATCH(E1102,Cost_Components!$A$2:$A$27,0)),"")</f>
        <v>36.463997999999997</v>
      </c>
      <c r="O1102" s="21">
        <f t="shared" si="171"/>
        <v>6202517.4705279702</v>
      </c>
      <c r="P1102" s="21">
        <f t="shared" si="172"/>
        <v>6371060.8472563596</v>
      </c>
      <c r="Q1102" s="21">
        <f t="shared" si="173"/>
        <v>72017448.497592598</v>
      </c>
      <c r="R1102" s="21">
        <f t="shared" si="174"/>
        <v>108473932.7101732</v>
      </c>
      <c r="S1102" s="21">
        <f t="shared" si="175"/>
        <v>36456484.212580606</v>
      </c>
      <c r="T1102" s="14">
        <f>IFERROR(INDEX(Cost_Components!$R$2:$R$27,MATCH(E1102,Cost_Components!$A$2:$A$27,0)),"")</f>
        <v>1</v>
      </c>
      <c r="U1102" s="24">
        <f>IFERROR(INDEX(Cost_Components!$Q$2:$Q$27,MATCH(E1102,Cost_Components!$A$2:$A$27,0)),"")</f>
        <v>2023</v>
      </c>
      <c r="V1102" s="28">
        <f>1/(1+Calculation_Assumptions!$B$5)^(B1102-Calculation_Assumptions!$B$2)</f>
        <v>0.78940923431393573</v>
      </c>
      <c r="W1102" s="21">
        <f t="shared" si="176"/>
        <v>56851238.875727877</v>
      </c>
      <c r="X1102" s="21">
        <f t="shared" si="177"/>
        <v>85630324.163759217</v>
      </c>
      <c r="Y1102" s="21">
        <f t="shared" si="178"/>
        <v>28779085.288031343</v>
      </c>
      <c r="Z1102" s="15">
        <f>IFERROR(INDEX(Cost_Components!$T$2:$T$27,MATCH(E1102,Cost_Components!$A$2:$A$27,0)),"")</f>
        <v>0.8</v>
      </c>
      <c r="AA1102" s="24">
        <f>IFERROR(INDEX(Cost_Components!$U$2:$U$27,MATCH(E1102,Cost_Components!$A$2:$A$27,0)),"")</f>
        <v>2025</v>
      </c>
      <c r="AB1102" s="24">
        <f>IFERROR(INDEX(Cost_Components!$V$2:$V$27,MATCH(E1102,Cost_Components!$A$2:$A$27,0)),"")</f>
        <v>2050</v>
      </c>
      <c r="AC1102" s="24">
        <f>IFERROR(INDEX(Cost_Components!$M$2:$M$27,MATCH(E1102,Cost_Components!$A$2:$A$27,0)),"")</f>
        <v>0</v>
      </c>
      <c r="AD1102" s="24">
        <f>IFERROR(INDEX(Cost_Components!$N$2:$N$27,MATCH(E1102,Cost_Components!$A$2:$A$27,0)),"")</f>
        <v>95</v>
      </c>
      <c r="AE1102" s="14" t="str">
        <f>IFERROR(INDEX(Cost_Components!$O$2:$O$27,MATCH(E1102,Cost_Components!$A$2:$A$27,0)),"")</f>
        <v>Both</v>
      </c>
      <c r="AF1102" s="11">
        <v>6202517.4705279702</v>
      </c>
      <c r="AG1102" s="11">
        <v>6371060.8472563596</v>
      </c>
      <c r="AH1102" s="21">
        <f t="shared" si="179"/>
        <v>1</v>
      </c>
    </row>
    <row r="1103" spans="1:34" hidden="1">
      <c r="A1103" t="s">
        <v>75</v>
      </c>
      <c r="B1103" s="18">
        <v>2034</v>
      </c>
      <c r="C1103" t="s">
        <v>202</v>
      </c>
      <c r="D1103" t="s">
        <v>177</v>
      </c>
      <c r="E1103" s="20" t="s">
        <v>297</v>
      </c>
      <c r="F1103" s="20" t="s">
        <v>298</v>
      </c>
      <c r="G1103" s="20" t="s">
        <v>203</v>
      </c>
      <c r="H1103" s="20" t="s">
        <v>192</v>
      </c>
      <c r="I1103" s="20" t="s">
        <v>264</v>
      </c>
      <c r="J1103" s="15">
        <f>IFERROR(INDEX(Cost_Components!$K$2:$K$27,MATCH(E1103,Cost_Components!$A$2:$A$27,0)),"")</f>
        <v>1</v>
      </c>
      <c r="K1103" s="15">
        <f t="shared" si="170"/>
        <v>0.49846153846153851</v>
      </c>
      <c r="L1103" s="15">
        <f>IFERROR(INDEX(Cost_Components!$S$2:$S$27,MATCH(E1103,Cost_Components!$A$2:$A$27,0)),"")</f>
        <v>0.31</v>
      </c>
      <c r="M1103" s="26">
        <f>IFERROR(INDEX(Cost_Components!$L$2:$L$27,MATCH(E1103,Cost_Components!$A$2:$A$27,0)),"")</f>
        <v>1</v>
      </c>
      <c r="N1103" s="27">
        <f>IFERROR(INDEX(Cost_Components!$P$2:$P$27,MATCH(E1103,Cost_Components!$A$2:$A$27,0)),"")</f>
        <v>36.463997999999997</v>
      </c>
      <c r="O1103" s="21">
        <f t="shared" si="171"/>
        <v>6281146.8832999701</v>
      </c>
      <c r="P1103" s="21">
        <f t="shared" si="172"/>
        <v>6484171.91355599</v>
      </c>
      <c r="Q1103" s="21">
        <f t="shared" si="173"/>
        <v>73296037.823144153</v>
      </c>
      <c r="R1103" s="21">
        <f t="shared" si="174"/>
        <v>114165501.03765455</v>
      </c>
      <c r="S1103" s="21">
        <f t="shared" si="175"/>
        <v>40869463.214510396</v>
      </c>
      <c r="T1103" s="14">
        <f>IFERROR(INDEX(Cost_Components!$R$2:$R$27,MATCH(E1103,Cost_Components!$A$2:$A$27,0)),"")</f>
        <v>1</v>
      </c>
      <c r="U1103" s="24">
        <f>IFERROR(INDEX(Cost_Components!$Q$2:$Q$27,MATCH(E1103,Cost_Components!$A$2:$A$27,0)),"")</f>
        <v>2023</v>
      </c>
      <c r="V1103" s="28">
        <f>1/(1+Calculation_Assumptions!$B$5)^(B1103-Calculation_Assumptions!$B$2)</f>
        <v>0.76641673234362695</v>
      </c>
      <c r="W1103" s="21">
        <f t="shared" si="176"/>
        <v>56175309.802149028</v>
      </c>
      <c r="X1103" s="21">
        <f t="shared" si="177"/>
        <v>87498350.251652151</v>
      </c>
      <c r="Y1103" s="21">
        <f t="shared" si="178"/>
        <v>31323040.44950312</v>
      </c>
      <c r="Z1103" s="15">
        <f>IFERROR(INDEX(Cost_Components!$T$2:$T$27,MATCH(E1103,Cost_Components!$A$2:$A$27,0)),"")</f>
        <v>0.8</v>
      </c>
      <c r="AA1103" s="24">
        <f>IFERROR(INDEX(Cost_Components!$U$2:$U$27,MATCH(E1103,Cost_Components!$A$2:$A$27,0)),"")</f>
        <v>2025</v>
      </c>
      <c r="AB1103" s="24">
        <f>IFERROR(INDEX(Cost_Components!$V$2:$V$27,MATCH(E1103,Cost_Components!$A$2:$A$27,0)),"")</f>
        <v>2050</v>
      </c>
      <c r="AC1103" s="24">
        <f>IFERROR(INDEX(Cost_Components!$M$2:$M$27,MATCH(E1103,Cost_Components!$A$2:$A$27,0)),"")</f>
        <v>0</v>
      </c>
      <c r="AD1103" s="24">
        <f>IFERROR(INDEX(Cost_Components!$N$2:$N$27,MATCH(E1103,Cost_Components!$A$2:$A$27,0)),"")</f>
        <v>95</v>
      </c>
      <c r="AE1103" s="14" t="str">
        <f>IFERROR(INDEX(Cost_Components!$O$2:$O$27,MATCH(E1103,Cost_Components!$A$2:$A$27,0)),"")</f>
        <v>Both</v>
      </c>
      <c r="AF1103" s="11">
        <v>6281146.8832999701</v>
      </c>
      <c r="AG1103" s="11">
        <v>6484171.91355599</v>
      </c>
      <c r="AH1103" s="21">
        <f t="shared" si="179"/>
        <v>1</v>
      </c>
    </row>
    <row r="1104" spans="1:34" hidden="1">
      <c r="A1104" t="s">
        <v>75</v>
      </c>
      <c r="B1104" s="18">
        <v>2035</v>
      </c>
      <c r="C1104" t="s">
        <v>202</v>
      </c>
      <c r="D1104" t="s">
        <v>177</v>
      </c>
      <c r="E1104" s="20" t="s">
        <v>297</v>
      </c>
      <c r="F1104" s="20" t="s">
        <v>298</v>
      </c>
      <c r="G1104" s="20" t="s">
        <v>203</v>
      </c>
      <c r="H1104" s="20" t="s">
        <v>192</v>
      </c>
      <c r="I1104" s="20" t="s">
        <v>264</v>
      </c>
      <c r="J1104" s="15">
        <f>IFERROR(INDEX(Cost_Components!$K$2:$K$27,MATCH(E1104,Cost_Components!$A$2:$A$27,0)),"")</f>
        <v>1</v>
      </c>
      <c r="K1104" s="15">
        <f t="shared" si="170"/>
        <v>0.51730769230769236</v>
      </c>
      <c r="L1104" s="15">
        <f>IFERROR(INDEX(Cost_Components!$S$2:$S$27,MATCH(E1104,Cost_Components!$A$2:$A$27,0)),"")</f>
        <v>0.31</v>
      </c>
      <c r="M1104" s="26">
        <f>IFERROR(INDEX(Cost_Components!$L$2:$L$27,MATCH(E1104,Cost_Components!$A$2:$A$27,0)),"")</f>
        <v>1</v>
      </c>
      <c r="N1104" s="27">
        <f>IFERROR(INDEX(Cost_Components!$P$2:$P$27,MATCH(E1104,Cost_Components!$A$2:$A$27,0)),"")</f>
        <v>36.463997999999997</v>
      </c>
      <c r="O1104" s="21">
        <f t="shared" si="171"/>
        <v>6354518.2690690104</v>
      </c>
      <c r="P1104" s="21">
        <f t="shared" si="172"/>
        <v>6594554.7330099801</v>
      </c>
      <c r="Q1104" s="21">
        <f t="shared" si="173"/>
        <v>74543787.484563589</v>
      </c>
      <c r="R1104" s="21">
        <f t="shared" si="174"/>
        <v>119865955.86770305</v>
      </c>
      <c r="S1104" s="21">
        <f t="shared" si="175"/>
        <v>45322168.383139461</v>
      </c>
      <c r="T1104" s="14">
        <f>IFERROR(INDEX(Cost_Components!$R$2:$R$27,MATCH(E1104,Cost_Components!$A$2:$A$27,0)),"")</f>
        <v>1</v>
      </c>
      <c r="U1104" s="24">
        <f>IFERROR(INDEX(Cost_Components!$Q$2:$Q$27,MATCH(E1104,Cost_Components!$A$2:$A$27,0)),"")</f>
        <v>2023</v>
      </c>
      <c r="V1104" s="28">
        <f>1/(1+Calculation_Assumptions!$B$5)^(B1104-Calculation_Assumptions!$B$2)</f>
        <v>0.74409391489672516</v>
      </c>
      <c r="W1104" s="21">
        <f t="shared" si="176"/>
        <v>55467578.660618424</v>
      </c>
      <c r="X1104" s="21">
        <f t="shared" si="177"/>
        <v>89191528.364437252</v>
      </c>
      <c r="Y1104" s="21">
        <f t="shared" si="178"/>
        <v>33723949.70381882</v>
      </c>
      <c r="Z1104" s="15">
        <f>IFERROR(INDEX(Cost_Components!$T$2:$T$27,MATCH(E1104,Cost_Components!$A$2:$A$27,0)),"")</f>
        <v>0.8</v>
      </c>
      <c r="AA1104" s="24">
        <f>IFERROR(INDEX(Cost_Components!$U$2:$U$27,MATCH(E1104,Cost_Components!$A$2:$A$27,0)),"")</f>
        <v>2025</v>
      </c>
      <c r="AB1104" s="24">
        <f>IFERROR(INDEX(Cost_Components!$V$2:$V$27,MATCH(E1104,Cost_Components!$A$2:$A$27,0)),"")</f>
        <v>2050</v>
      </c>
      <c r="AC1104" s="24">
        <f>IFERROR(INDEX(Cost_Components!$M$2:$M$27,MATCH(E1104,Cost_Components!$A$2:$A$27,0)),"")</f>
        <v>0</v>
      </c>
      <c r="AD1104" s="24">
        <f>IFERROR(INDEX(Cost_Components!$N$2:$N$27,MATCH(E1104,Cost_Components!$A$2:$A$27,0)),"")</f>
        <v>95</v>
      </c>
      <c r="AE1104" s="14" t="str">
        <f>IFERROR(INDEX(Cost_Components!$O$2:$O$27,MATCH(E1104,Cost_Components!$A$2:$A$27,0)),"")</f>
        <v>Both</v>
      </c>
      <c r="AF1104" s="11">
        <v>6354518.2690690104</v>
      </c>
      <c r="AG1104" s="11">
        <v>6594554.7330099801</v>
      </c>
      <c r="AH1104" s="21">
        <f t="shared" si="179"/>
        <v>1</v>
      </c>
    </row>
    <row r="1105" spans="1:34" hidden="1">
      <c r="A1105" t="s">
        <v>75</v>
      </c>
      <c r="B1105" s="18">
        <v>2036</v>
      </c>
      <c r="C1105" t="s">
        <v>202</v>
      </c>
      <c r="D1105" t="s">
        <v>177</v>
      </c>
      <c r="E1105" s="20" t="s">
        <v>297</v>
      </c>
      <c r="F1105" s="20" t="s">
        <v>298</v>
      </c>
      <c r="G1105" s="20" t="s">
        <v>203</v>
      </c>
      <c r="H1105" s="20" t="s">
        <v>192</v>
      </c>
      <c r="I1105" s="20" t="s">
        <v>264</v>
      </c>
      <c r="J1105" s="15">
        <f>IFERROR(INDEX(Cost_Components!$K$2:$K$27,MATCH(E1105,Cost_Components!$A$2:$A$27,0)),"")</f>
        <v>1</v>
      </c>
      <c r="K1105" s="15">
        <f t="shared" si="170"/>
        <v>0.5361538461538462</v>
      </c>
      <c r="L1105" s="15">
        <f>IFERROR(INDEX(Cost_Components!$S$2:$S$27,MATCH(E1105,Cost_Components!$A$2:$A$27,0)),"")</f>
        <v>0.31</v>
      </c>
      <c r="M1105" s="26">
        <f>IFERROR(INDEX(Cost_Components!$L$2:$L$27,MATCH(E1105,Cost_Components!$A$2:$A$27,0)),"")</f>
        <v>1</v>
      </c>
      <c r="N1105" s="27">
        <f>IFERROR(INDEX(Cost_Components!$P$2:$P$27,MATCH(E1105,Cost_Components!$A$2:$A$27,0)),"")</f>
        <v>36.463997999999997</v>
      </c>
      <c r="O1105" s="21">
        <f t="shared" si="171"/>
        <v>6422604.8906857604</v>
      </c>
      <c r="P1105" s="21">
        <f t="shared" si="172"/>
        <v>6702001.5718828104</v>
      </c>
      <c r="Q1105" s="21">
        <f t="shared" si="173"/>
        <v>75758349.293070808</v>
      </c>
      <c r="R1105" s="21">
        <f t="shared" si="174"/>
        <v>125563934.43574059</v>
      </c>
      <c r="S1105" s="21">
        <f t="shared" si="175"/>
        <v>49805585.142669782</v>
      </c>
      <c r="T1105" s="14">
        <f>IFERROR(INDEX(Cost_Components!$R$2:$R$27,MATCH(E1105,Cost_Components!$A$2:$A$27,0)),"")</f>
        <v>1</v>
      </c>
      <c r="U1105" s="24">
        <f>IFERROR(INDEX(Cost_Components!$Q$2:$Q$27,MATCH(E1105,Cost_Components!$A$2:$A$27,0)),"")</f>
        <v>2023</v>
      </c>
      <c r="V1105" s="28">
        <f>1/(1+Calculation_Assumptions!$B$5)^(B1105-Calculation_Assumptions!$B$2)</f>
        <v>0.72242127659876232</v>
      </c>
      <c r="W1105" s="21">
        <f t="shared" si="176"/>
        <v>54729443.409315154</v>
      </c>
      <c r="X1105" s="21">
        <f t="shared" si="177"/>
        <v>90710057.809831008</v>
      </c>
      <c r="Y1105" s="21">
        <f t="shared" si="178"/>
        <v>35980614.400515854</v>
      </c>
      <c r="Z1105" s="15">
        <f>IFERROR(INDEX(Cost_Components!$T$2:$T$27,MATCH(E1105,Cost_Components!$A$2:$A$27,0)),"")</f>
        <v>0.8</v>
      </c>
      <c r="AA1105" s="24">
        <f>IFERROR(INDEX(Cost_Components!$U$2:$U$27,MATCH(E1105,Cost_Components!$A$2:$A$27,0)),"")</f>
        <v>2025</v>
      </c>
      <c r="AB1105" s="24">
        <f>IFERROR(INDEX(Cost_Components!$V$2:$V$27,MATCH(E1105,Cost_Components!$A$2:$A$27,0)),"")</f>
        <v>2050</v>
      </c>
      <c r="AC1105" s="24">
        <f>IFERROR(INDEX(Cost_Components!$M$2:$M$27,MATCH(E1105,Cost_Components!$A$2:$A$27,0)),"")</f>
        <v>0</v>
      </c>
      <c r="AD1105" s="24">
        <f>IFERROR(INDEX(Cost_Components!$N$2:$N$27,MATCH(E1105,Cost_Components!$A$2:$A$27,0)),"")</f>
        <v>95</v>
      </c>
      <c r="AE1105" s="14" t="str">
        <f>IFERROR(INDEX(Cost_Components!$O$2:$O$27,MATCH(E1105,Cost_Components!$A$2:$A$27,0)),"")</f>
        <v>Both</v>
      </c>
      <c r="AF1105" s="11">
        <v>6422604.8906857604</v>
      </c>
      <c r="AG1105" s="11">
        <v>6702001.5718828104</v>
      </c>
      <c r="AH1105" s="21">
        <f t="shared" si="179"/>
        <v>1</v>
      </c>
    </row>
    <row r="1106" spans="1:34" hidden="1">
      <c r="A1106" t="s">
        <v>75</v>
      </c>
      <c r="B1106" s="18">
        <v>2037</v>
      </c>
      <c r="C1106" t="s">
        <v>202</v>
      </c>
      <c r="D1106" t="s">
        <v>177</v>
      </c>
      <c r="E1106" s="20" t="s">
        <v>297</v>
      </c>
      <c r="F1106" s="20" t="s">
        <v>298</v>
      </c>
      <c r="G1106" s="20" t="s">
        <v>203</v>
      </c>
      <c r="H1106" s="20" t="s">
        <v>192</v>
      </c>
      <c r="I1106" s="20" t="s">
        <v>264</v>
      </c>
      <c r="J1106" s="15">
        <f>IFERROR(INDEX(Cost_Components!$K$2:$K$27,MATCH(E1106,Cost_Components!$A$2:$A$27,0)),"")</f>
        <v>1</v>
      </c>
      <c r="K1106" s="15">
        <f t="shared" si="170"/>
        <v>0.55500000000000005</v>
      </c>
      <c r="L1106" s="15">
        <f>IFERROR(INDEX(Cost_Components!$S$2:$S$27,MATCH(E1106,Cost_Components!$A$2:$A$27,0)),"")</f>
        <v>0.31</v>
      </c>
      <c r="M1106" s="26">
        <f>IFERROR(INDEX(Cost_Components!$L$2:$L$27,MATCH(E1106,Cost_Components!$A$2:$A$27,0)),"")</f>
        <v>1</v>
      </c>
      <c r="N1106" s="27">
        <f>IFERROR(INDEX(Cost_Components!$P$2:$P$27,MATCH(E1106,Cost_Components!$A$2:$A$27,0)),"")</f>
        <v>36.463997999999997</v>
      </c>
      <c r="O1106" s="21">
        <f t="shared" si="171"/>
        <v>6485453.3718706202</v>
      </c>
      <c r="P1106" s="21">
        <f t="shared" si="172"/>
        <v>6806367.1973426901</v>
      </c>
      <c r="Q1106" s="21">
        <f t="shared" si="173"/>
        <v>76938081.560062528</v>
      </c>
      <c r="R1106" s="21">
        <f t="shared" si="174"/>
        <v>131249485.12344587</v>
      </c>
      <c r="S1106" s="21">
        <f t="shared" si="175"/>
        <v>54311403.563383341</v>
      </c>
      <c r="T1106" s="14">
        <f>IFERROR(INDEX(Cost_Components!$R$2:$R$27,MATCH(E1106,Cost_Components!$A$2:$A$27,0)),"")</f>
        <v>1</v>
      </c>
      <c r="U1106" s="24">
        <f>IFERROR(INDEX(Cost_Components!$Q$2:$Q$27,MATCH(E1106,Cost_Components!$A$2:$A$27,0)),"")</f>
        <v>2023</v>
      </c>
      <c r="V1106" s="28">
        <f>1/(1+Calculation_Assumptions!$B$5)^(B1106-Calculation_Assumptions!$B$2)</f>
        <v>0.70137988019297326</v>
      </c>
      <c r="W1106" s="21">
        <f t="shared" si="176"/>
        <v>53962822.426873863</v>
      </c>
      <c r="X1106" s="21">
        <f t="shared" si="177"/>
        <v>92055748.151271895</v>
      </c>
      <c r="Y1106" s="21">
        <f t="shared" si="178"/>
        <v>38092925.724398032</v>
      </c>
      <c r="Z1106" s="15">
        <f>IFERROR(INDEX(Cost_Components!$T$2:$T$27,MATCH(E1106,Cost_Components!$A$2:$A$27,0)),"")</f>
        <v>0.8</v>
      </c>
      <c r="AA1106" s="24">
        <f>IFERROR(INDEX(Cost_Components!$U$2:$U$27,MATCH(E1106,Cost_Components!$A$2:$A$27,0)),"")</f>
        <v>2025</v>
      </c>
      <c r="AB1106" s="24">
        <f>IFERROR(INDEX(Cost_Components!$V$2:$V$27,MATCH(E1106,Cost_Components!$A$2:$A$27,0)),"")</f>
        <v>2050</v>
      </c>
      <c r="AC1106" s="24">
        <f>IFERROR(INDEX(Cost_Components!$M$2:$M$27,MATCH(E1106,Cost_Components!$A$2:$A$27,0)),"")</f>
        <v>0</v>
      </c>
      <c r="AD1106" s="24">
        <f>IFERROR(INDEX(Cost_Components!$N$2:$N$27,MATCH(E1106,Cost_Components!$A$2:$A$27,0)),"")</f>
        <v>95</v>
      </c>
      <c r="AE1106" s="14" t="str">
        <f>IFERROR(INDEX(Cost_Components!$O$2:$O$27,MATCH(E1106,Cost_Components!$A$2:$A$27,0)),"")</f>
        <v>Both</v>
      </c>
      <c r="AF1106" s="11">
        <v>6485453.3718706202</v>
      </c>
      <c r="AG1106" s="11">
        <v>6806367.1973426901</v>
      </c>
      <c r="AH1106" s="21">
        <f t="shared" si="179"/>
        <v>1</v>
      </c>
    </row>
    <row r="1107" spans="1:34" hidden="1">
      <c r="A1107" t="s">
        <v>75</v>
      </c>
      <c r="B1107" s="18">
        <v>2038</v>
      </c>
      <c r="C1107" t="s">
        <v>202</v>
      </c>
      <c r="D1107" t="s">
        <v>177</v>
      </c>
      <c r="E1107" s="20" t="s">
        <v>297</v>
      </c>
      <c r="F1107" s="20" t="s">
        <v>298</v>
      </c>
      <c r="G1107" s="20" t="s">
        <v>203</v>
      </c>
      <c r="H1107" s="20" t="s">
        <v>192</v>
      </c>
      <c r="I1107" s="20" t="s">
        <v>264</v>
      </c>
      <c r="J1107" s="15">
        <f>IFERROR(INDEX(Cost_Components!$K$2:$K$27,MATCH(E1107,Cost_Components!$A$2:$A$27,0)),"")</f>
        <v>1</v>
      </c>
      <c r="K1107" s="15">
        <f t="shared" si="170"/>
        <v>0.57384615384615389</v>
      </c>
      <c r="L1107" s="15">
        <f>IFERROR(INDEX(Cost_Components!$S$2:$S$27,MATCH(E1107,Cost_Components!$A$2:$A$27,0)),"")</f>
        <v>0.31</v>
      </c>
      <c r="M1107" s="26">
        <f>IFERROR(INDEX(Cost_Components!$L$2:$L$27,MATCH(E1107,Cost_Components!$A$2:$A$27,0)),"")</f>
        <v>1</v>
      </c>
      <c r="N1107" s="27">
        <f>IFERROR(INDEX(Cost_Components!$P$2:$P$27,MATCH(E1107,Cost_Components!$A$2:$A$27,0)),"")</f>
        <v>36.463997999999997</v>
      </c>
      <c r="O1107" s="21">
        <f t="shared" si="171"/>
        <v>6543125.14550169</v>
      </c>
      <c r="P1107" s="21">
        <f t="shared" si="172"/>
        <v>6907534.3884944804</v>
      </c>
      <c r="Q1107" s="21">
        <f t="shared" si="173"/>
        <v>78081659.239368126</v>
      </c>
      <c r="R1107" s="21">
        <f t="shared" si="174"/>
        <v>136913094.35047323</v>
      </c>
      <c r="S1107" s="21">
        <f t="shared" si="175"/>
        <v>58831435.111105099</v>
      </c>
      <c r="T1107" s="14">
        <f>IFERROR(INDEX(Cost_Components!$R$2:$R$27,MATCH(E1107,Cost_Components!$A$2:$A$27,0)),"")</f>
        <v>1</v>
      </c>
      <c r="U1107" s="24">
        <f>IFERROR(INDEX(Cost_Components!$Q$2:$Q$27,MATCH(E1107,Cost_Components!$A$2:$A$27,0)),"")</f>
        <v>2023</v>
      </c>
      <c r="V1107" s="28">
        <f>1/(1+Calculation_Assumptions!$B$5)^(B1107-Calculation_Assumptions!$B$2)</f>
        <v>0.68095133999317792</v>
      </c>
      <c r="W1107" s="21">
        <f t="shared" si="176"/>
        <v>53169810.487938426</v>
      </c>
      <c r="X1107" s="21">
        <f t="shared" si="177"/>
        <v>93231155.060567141</v>
      </c>
      <c r="Y1107" s="21">
        <f t="shared" si="178"/>
        <v>40061344.572628714</v>
      </c>
      <c r="Z1107" s="15">
        <f>IFERROR(INDEX(Cost_Components!$T$2:$T$27,MATCH(E1107,Cost_Components!$A$2:$A$27,0)),"")</f>
        <v>0.8</v>
      </c>
      <c r="AA1107" s="24">
        <f>IFERROR(INDEX(Cost_Components!$U$2:$U$27,MATCH(E1107,Cost_Components!$A$2:$A$27,0)),"")</f>
        <v>2025</v>
      </c>
      <c r="AB1107" s="24">
        <f>IFERROR(INDEX(Cost_Components!$V$2:$V$27,MATCH(E1107,Cost_Components!$A$2:$A$27,0)),"")</f>
        <v>2050</v>
      </c>
      <c r="AC1107" s="24">
        <f>IFERROR(INDEX(Cost_Components!$M$2:$M$27,MATCH(E1107,Cost_Components!$A$2:$A$27,0)),"")</f>
        <v>0</v>
      </c>
      <c r="AD1107" s="24">
        <f>IFERROR(INDEX(Cost_Components!$N$2:$N$27,MATCH(E1107,Cost_Components!$A$2:$A$27,0)),"")</f>
        <v>95</v>
      </c>
      <c r="AE1107" s="14" t="str">
        <f>IFERROR(INDEX(Cost_Components!$O$2:$O$27,MATCH(E1107,Cost_Components!$A$2:$A$27,0)),"")</f>
        <v>Both</v>
      </c>
      <c r="AF1107" s="11">
        <v>6543125.14550169</v>
      </c>
      <c r="AG1107" s="11">
        <v>6907534.3884944804</v>
      </c>
      <c r="AH1107" s="21">
        <f t="shared" si="179"/>
        <v>1</v>
      </c>
    </row>
    <row r="1108" spans="1:34" hidden="1">
      <c r="A1108" t="s">
        <v>75</v>
      </c>
      <c r="B1108" s="18">
        <v>2039</v>
      </c>
      <c r="C1108" t="s">
        <v>202</v>
      </c>
      <c r="D1108" t="s">
        <v>177</v>
      </c>
      <c r="E1108" s="20" t="s">
        <v>297</v>
      </c>
      <c r="F1108" s="20" t="s">
        <v>298</v>
      </c>
      <c r="G1108" s="20" t="s">
        <v>203</v>
      </c>
      <c r="H1108" s="20" t="s">
        <v>192</v>
      </c>
      <c r="I1108" s="20" t="s">
        <v>264</v>
      </c>
      <c r="J1108" s="15">
        <f>IFERROR(INDEX(Cost_Components!$K$2:$K$27,MATCH(E1108,Cost_Components!$A$2:$A$27,0)),"")</f>
        <v>1</v>
      </c>
      <c r="K1108" s="15">
        <f t="shared" si="170"/>
        <v>0.59269230769230763</v>
      </c>
      <c r="L1108" s="15">
        <f>IFERROR(INDEX(Cost_Components!$S$2:$S$27,MATCH(E1108,Cost_Components!$A$2:$A$27,0)),"")</f>
        <v>0.31</v>
      </c>
      <c r="M1108" s="26">
        <f>IFERROR(INDEX(Cost_Components!$L$2:$L$27,MATCH(E1108,Cost_Components!$A$2:$A$27,0)),"")</f>
        <v>1</v>
      </c>
      <c r="N1108" s="27">
        <f>IFERROR(INDEX(Cost_Components!$P$2:$P$27,MATCH(E1108,Cost_Components!$A$2:$A$27,0)),"")</f>
        <v>36.463997999999997</v>
      </c>
      <c r="O1108" s="21">
        <f t="shared" si="171"/>
        <v>6595751.9305884503</v>
      </c>
      <c r="P1108" s="21">
        <f t="shared" si="172"/>
        <v>7005471.2740789996</v>
      </c>
      <c r="Q1108" s="21">
        <f t="shared" si="173"/>
        <v>79188722.063392952</v>
      </c>
      <c r="R1108" s="21">
        <f t="shared" si="174"/>
        <v>142546936.42370555</v>
      </c>
      <c r="S1108" s="21">
        <f t="shared" si="175"/>
        <v>63358214.360312596</v>
      </c>
      <c r="T1108" s="14">
        <f>IFERROR(INDEX(Cost_Components!$R$2:$R$27,MATCH(E1108,Cost_Components!$A$2:$A$27,0)),"")</f>
        <v>1</v>
      </c>
      <c r="U1108" s="24">
        <f>IFERROR(INDEX(Cost_Components!$Q$2:$Q$27,MATCH(E1108,Cost_Components!$A$2:$A$27,0)),"")</f>
        <v>2023</v>
      </c>
      <c r="V1108" s="28">
        <f>1/(1+Calculation_Assumptions!$B$5)^(B1108-Calculation_Assumptions!$B$2)</f>
        <v>0.66111780581861923</v>
      </c>
      <c r="W1108" s="21">
        <f t="shared" si="176"/>
        <v>52353074.176130831</v>
      </c>
      <c r="X1108" s="21">
        <f t="shared" si="177"/>
        <v>94240317.834606424</v>
      </c>
      <c r="Y1108" s="21">
        <f t="shared" si="178"/>
        <v>41887243.658475593</v>
      </c>
      <c r="Z1108" s="15">
        <f>IFERROR(INDEX(Cost_Components!$T$2:$T$27,MATCH(E1108,Cost_Components!$A$2:$A$27,0)),"")</f>
        <v>0.8</v>
      </c>
      <c r="AA1108" s="24">
        <f>IFERROR(INDEX(Cost_Components!$U$2:$U$27,MATCH(E1108,Cost_Components!$A$2:$A$27,0)),"")</f>
        <v>2025</v>
      </c>
      <c r="AB1108" s="24">
        <f>IFERROR(INDEX(Cost_Components!$V$2:$V$27,MATCH(E1108,Cost_Components!$A$2:$A$27,0)),"")</f>
        <v>2050</v>
      </c>
      <c r="AC1108" s="24">
        <f>IFERROR(INDEX(Cost_Components!$M$2:$M$27,MATCH(E1108,Cost_Components!$A$2:$A$27,0)),"")</f>
        <v>0</v>
      </c>
      <c r="AD1108" s="24">
        <f>IFERROR(INDEX(Cost_Components!$N$2:$N$27,MATCH(E1108,Cost_Components!$A$2:$A$27,0)),"")</f>
        <v>95</v>
      </c>
      <c r="AE1108" s="14" t="str">
        <f>IFERROR(INDEX(Cost_Components!$O$2:$O$27,MATCH(E1108,Cost_Components!$A$2:$A$27,0)),"")</f>
        <v>Both</v>
      </c>
      <c r="AF1108" s="11">
        <v>6595751.9305884503</v>
      </c>
      <c r="AG1108" s="11">
        <v>7005471.2740789996</v>
      </c>
      <c r="AH1108" s="21">
        <f t="shared" si="179"/>
        <v>1</v>
      </c>
    </row>
    <row r="1109" spans="1:34" hidden="1">
      <c r="A1109" t="s">
        <v>75</v>
      </c>
      <c r="B1109" s="18">
        <v>2040</v>
      </c>
      <c r="C1109" t="s">
        <v>202</v>
      </c>
      <c r="D1109" t="s">
        <v>177</v>
      </c>
      <c r="E1109" s="20" t="s">
        <v>297</v>
      </c>
      <c r="F1109" s="20" t="s">
        <v>298</v>
      </c>
      <c r="G1109" s="20" t="s">
        <v>203</v>
      </c>
      <c r="H1109" s="20" t="s">
        <v>192</v>
      </c>
      <c r="I1109" s="20" t="s">
        <v>264</v>
      </c>
      <c r="J1109" s="15">
        <f>IFERROR(INDEX(Cost_Components!$K$2:$K$27,MATCH(E1109,Cost_Components!$A$2:$A$27,0)),"")</f>
        <v>1</v>
      </c>
      <c r="K1109" s="15">
        <f t="shared" si="170"/>
        <v>0.61153846153846159</v>
      </c>
      <c r="L1109" s="15">
        <f>IFERROR(INDEX(Cost_Components!$S$2:$S$27,MATCH(E1109,Cost_Components!$A$2:$A$27,0)),"")</f>
        <v>0.31</v>
      </c>
      <c r="M1109" s="26">
        <f>IFERROR(INDEX(Cost_Components!$L$2:$L$27,MATCH(E1109,Cost_Components!$A$2:$A$27,0)),"")</f>
        <v>1</v>
      </c>
      <c r="N1109" s="27">
        <f>IFERROR(INDEX(Cost_Components!$P$2:$P$27,MATCH(E1109,Cost_Components!$A$2:$A$27,0)),"")</f>
        <v>36.463997999999997</v>
      </c>
      <c r="O1109" s="21">
        <f t="shared" si="171"/>
        <v>6643386.1510581505</v>
      </c>
      <c r="P1109" s="21">
        <f t="shared" si="172"/>
        <v>7100053.1006421903</v>
      </c>
      <c r="Q1109" s="21">
        <f t="shared" si="173"/>
        <v>80257859.839130297</v>
      </c>
      <c r="R1109" s="21">
        <f t="shared" si="174"/>
        <v>148141779.51054049</v>
      </c>
      <c r="S1109" s="21">
        <f t="shared" si="175"/>
        <v>67883919.671410188</v>
      </c>
      <c r="T1109" s="14">
        <f>IFERROR(INDEX(Cost_Components!$R$2:$R$27,MATCH(E1109,Cost_Components!$A$2:$A$27,0)),"")</f>
        <v>1</v>
      </c>
      <c r="U1109" s="24">
        <f>IFERROR(INDEX(Cost_Components!$Q$2:$Q$27,MATCH(E1109,Cost_Components!$A$2:$A$27,0)),"")</f>
        <v>2023</v>
      </c>
      <c r="V1109" s="28">
        <f>1/(1+Calculation_Assumptions!$B$5)^(B1109-Calculation_Assumptions!$B$2)</f>
        <v>0.64186194739671765</v>
      </c>
      <c r="W1109" s="21">
        <f t="shared" si="176"/>
        <v>51514466.210236989</v>
      </c>
      <c r="X1109" s="21">
        <f t="shared" si="177"/>
        <v>95086571.087450683</v>
      </c>
      <c r="Y1109" s="21">
        <f t="shared" si="178"/>
        <v>43572104.877213694</v>
      </c>
      <c r="Z1109" s="15">
        <f>IFERROR(INDEX(Cost_Components!$T$2:$T$27,MATCH(E1109,Cost_Components!$A$2:$A$27,0)),"")</f>
        <v>0.8</v>
      </c>
      <c r="AA1109" s="24">
        <f>IFERROR(INDEX(Cost_Components!$U$2:$U$27,MATCH(E1109,Cost_Components!$A$2:$A$27,0)),"")</f>
        <v>2025</v>
      </c>
      <c r="AB1109" s="24">
        <f>IFERROR(INDEX(Cost_Components!$V$2:$V$27,MATCH(E1109,Cost_Components!$A$2:$A$27,0)),"")</f>
        <v>2050</v>
      </c>
      <c r="AC1109" s="24">
        <f>IFERROR(INDEX(Cost_Components!$M$2:$M$27,MATCH(E1109,Cost_Components!$A$2:$A$27,0)),"")</f>
        <v>0</v>
      </c>
      <c r="AD1109" s="24">
        <f>IFERROR(INDEX(Cost_Components!$N$2:$N$27,MATCH(E1109,Cost_Components!$A$2:$A$27,0)),"")</f>
        <v>95</v>
      </c>
      <c r="AE1109" s="14" t="str">
        <f>IFERROR(INDEX(Cost_Components!$O$2:$O$27,MATCH(E1109,Cost_Components!$A$2:$A$27,0)),"")</f>
        <v>Both</v>
      </c>
      <c r="AF1109" s="11">
        <v>6643386.1510581505</v>
      </c>
      <c r="AG1109" s="11">
        <v>7100053.1006421903</v>
      </c>
      <c r="AH1109" s="21">
        <f t="shared" si="179"/>
        <v>1</v>
      </c>
    </row>
    <row r="1110" spans="1:34" hidden="1">
      <c r="A1110" t="s">
        <v>75</v>
      </c>
      <c r="B1110" s="18">
        <v>2041</v>
      </c>
      <c r="C1110" t="s">
        <v>202</v>
      </c>
      <c r="D1110" t="s">
        <v>177</v>
      </c>
      <c r="E1110" s="20" t="s">
        <v>297</v>
      </c>
      <c r="F1110" s="20" t="s">
        <v>298</v>
      </c>
      <c r="G1110" s="20" t="s">
        <v>203</v>
      </c>
      <c r="H1110" s="20" t="s">
        <v>192</v>
      </c>
      <c r="I1110" s="20" t="s">
        <v>264</v>
      </c>
      <c r="J1110" s="15">
        <f>IFERROR(INDEX(Cost_Components!$K$2:$K$27,MATCH(E1110,Cost_Components!$A$2:$A$27,0)),"")</f>
        <v>1</v>
      </c>
      <c r="K1110" s="15">
        <f t="shared" si="170"/>
        <v>0.63038461538461543</v>
      </c>
      <c r="L1110" s="15">
        <f>IFERROR(INDEX(Cost_Components!$S$2:$S$27,MATCH(E1110,Cost_Components!$A$2:$A$27,0)),"")</f>
        <v>0.31</v>
      </c>
      <c r="M1110" s="26">
        <f>IFERROR(INDEX(Cost_Components!$L$2:$L$27,MATCH(E1110,Cost_Components!$A$2:$A$27,0)),"")</f>
        <v>1</v>
      </c>
      <c r="N1110" s="27">
        <f>IFERROR(INDEX(Cost_Components!$P$2:$P$27,MATCH(E1110,Cost_Components!$A$2:$A$27,0)),"")</f>
        <v>36.463997999999997</v>
      </c>
      <c r="O1110" s="21">
        <f t="shared" si="171"/>
        <v>6686109.5398953902</v>
      </c>
      <c r="P1110" s="21">
        <f t="shared" si="172"/>
        <v>7191184.7407554798</v>
      </c>
      <c r="Q1110" s="21">
        <f t="shared" si="173"/>
        <v>81287997.261406884</v>
      </c>
      <c r="R1110" s="21">
        <f t="shared" si="174"/>
        <v>153689209.59060493</v>
      </c>
      <c r="S1110" s="21">
        <f t="shared" si="175"/>
        <v>72401212.329198048</v>
      </c>
      <c r="T1110" s="14">
        <f>IFERROR(INDEX(Cost_Components!$R$2:$R$27,MATCH(E1110,Cost_Components!$A$2:$A$27,0)),"")</f>
        <v>1</v>
      </c>
      <c r="U1110" s="24">
        <f>IFERROR(INDEX(Cost_Components!$Q$2:$Q$27,MATCH(E1110,Cost_Components!$A$2:$A$27,0)),"")</f>
        <v>2023</v>
      </c>
      <c r="V1110" s="28">
        <f>1/(1+Calculation_Assumptions!$B$5)^(B1110-Calculation_Assumptions!$B$2)</f>
        <v>0.62316693922011435</v>
      </c>
      <c r="W1110" s="21">
        <f t="shared" si="176"/>
        <v>50655992.448723964</v>
      </c>
      <c r="X1110" s="21">
        <f t="shared" si="177"/>
        <v>95774034.331735924</v>
      </c>
      <c r="Y1110" s="21">
        <f t="shared" si="178"/>
        <v>45118041.883011952</v>
      </c>
      <c r="Z1110" s="15">
        <f>IFERROR(INDEX(Cost_Components!$T$2:$T$27,MATCH(E1110,Cost_Components!$A$2:$A$27,0)),"")</f>
        <v>0.8</v>
      </c>
      <c r="AA1110" s="24">
        <f>IFERROR(INDEX(Cost_Components!$U$2:$U$27,MATCH(E1110,Cost_Components!$A$2:$A$27,0)),"")</f>
        <v>2025</v>
      </c>
      <c r="AB1110" s="24">
        <f>IFERROR(INDEX(Cost_Components!$V$2:$V$27,MATCH(E1110,Cost_Components!$A$2:$A$27,0)),"")</f>
        <v>2050</v>
      </c>
      <c r="AC1110" s="24">
        <f>IFERROR(INDEX(Cost_Components!$M$2:$M$27,MATCH(E1110,Cost_Components!$A$2:$A$27,0)),"")</f>
        <v>0</v>
      </c>
      <c r="AD1110" s="24">
        <f>IFERROR(INDEX(Cost_Components!$N$2:$N$27,MATCH(E1110,Cost_Components!$A$2:$A$27,0)),"")</f>
        <v>95</v>
      </c>
      <c r="AE1110" s="14" t="str">
        <f>IFERROR(INDEX(Cost_Components!$O$2:$O$27,MATCH(E1110,Cost_Components!$A$2:$A$27,0)),"")</f>
        <v>Both</v>
      </c>
      <c r="AF1110" s="11">
        <v>6686109.5398953902</v>
      </c>
      <c r="AG1110" s="11">
        <v>7191184.7407554798</v>
      </c>
      <c r="AH1110" s="21">
        <f t="shared" si="179"/>
        <v>1</v>
      </c>
    </row>
    <row r="1111" spans="1:34" hidden="1">
      <c r="A1111" t="s">
        <v>75</v>
      </c>
      <c r="B1111" s="18">
        <v>2042</v>
      </c>
      <c r="C1111" t="s">
        <v>202</v>
      </c>
      <c r="D1111" t="s">
        <v>177</v>
      </c>
      <c r="E1111" s="20" t="s">
        <v>297</v>
      </c>
      <c r="F1111" s="20" t="s">
        <v>298</v>
      </c>
      <c r="G1111" s="20" t="s">
        <v>203</v>
      </c>
      <c r="H1111" s="20" t="s">
        <v>192</v>
      </c>
      <c r="I1111" s="20" t="s">
        <v>264</v>
      </c>
      <c r="J1111" s="15">
        <f>IFERROR(INDEX(Cost_Components!$K$2:$K$27,MATCH(E1111,Cost_Components!$A$2:$A$27,0)),"")</f>
        <v>1</v>
      </c>
      <c r="K1111" s="15">
        <f t="shared" si="170"/>
        <v>0.64923076923076928</v>
      </c>
      <c r="L1111" s="15">
        <f>IFERROR(INDEX(Cost_Components!$S$2:$S$27,MATCH(E1111,Cost_Components!$A$2:$A$27,0)),"")</f>
        <v>0.31</v>
      </c>
      <c r="M1111" s="26">
        <f>IFERROR(INDEX(Cost_Components!$L$2:$L$27,MATCH(E1111,Cost_Components!$A$2:$A$27,0)),"")</f>
        <v>1</v>
      </c>
      <c r="N1111" s="27">
        <f>IFERROR(INDEX(Cost_Components!$P$2:$P$27,MATCH(E1111,Cost_Components!$A$2:$A$27,0)),"")</f>
        <v>36.463997999999997</v>
      </c>
      <c r="O1111" s="21">
        <f t="shared" si="171"/>
        <v>6724069.3806577399</v>
      </c>
      <c r="P1111" s="21">
        <f t="shared" si="172"/>
        <v>7278848.4937819</v>
      </c>
      <c r="Q1111" s="21">
        <f t="shared" si="173"/>
        <v>82278934.245065525</v>
      </c>
      <c r="R1111" s="21">
        <f t="shared" si="174"/>
        <v>159182589.12788564</v>
      </c>
      <c r="S1111" s="21">
        <f t="shared" si="175"/>
        <v>76903654.882820114</v>
      </c>
      <c r="T1111" s="14">
        <f>IFERROR(INDEX(Cost_Components!$R$2:$R$27,MATCH(E1111,Cost_Components!$A$2:$A$27,0)),"")</f>
        <v>1</v>
      </c>
      <c r="U1111" s="24">
        <f>IFERROR(INDEX(Cost_Components!$Q$2:$Q$27,MATCH(E1111,Cost_Components!$A$2:$A$27,0)),"")</f>
        <v>2023</v>
      </c>
      <c r="V1111" s="28">
        <f>1/(1+Calculation_Assumptions!$B$5)^(B1111-Calculation_Assumptions!$B$2)</f>
        <v>0.60501644584477121</v>
      </c>
      <c r="W1111" s="21">
        <f t="shared" si="176"/>
        <v>49780108.364845179</v>
      </c>
      <c r="X1111" s="21">
        <f t="shared" si="177"/>
        <v>96308084.314521894</v>
      </c>
      <c r="Y1111" s="21">
        <f t="shared" si="178"/>
        <v>46527975.949676707</v>
      </c>
      <c r="Z1111" s="15">
        <f>IFERROR(INDEX(Cost_Components!$T$2:$T$27,MATCH(E1111,Cost_Components!$A$2:$A$27,0)),"")</f>
        <v>0.8</v>
      </c>
      <c r="AA1111" s="24">
        <f>IFERROR(INDEX(Cost_Components!$U$2:$U$27,MATCH(E1111,Cost_Components!$A$2:$A$27,0)),"")</f>
        <v>2025</v>
      </c>
      <c r="AB1111" s="24">
        <f>IFERROR(INDEX(Cost_Components!$V$2:$V$27,MATCH(E1111,Cost_Components!$A$2:$A$27,0)),"")</f>
        <v>2050</v>
      </c>
      <c r="AC1111" s="24">
        <f>IFERROR(INDEX(Cost_Components!$M$2:$M$27,MATCH(E1111,Cost_Components!$A$2:$A$27,0)),"")</f>
        <v>0</v>
      </c>
      <c r="AD1111" s="24">
        <f>IFERROR(INDEX(Cost_Components!$N$2:$N$27,MATCH(E1111,Cost_Components!$A$2:$A$27,0)),"")</f>
        <v>95</v>
      </c>
      <c r="AE1111" s="14" t="str">
        <f>IFERROR(INDEX(Cost_Components!$O$2:$O$27,MATCH(E1111,Cost_Components!$A$2:$A$27,0)),"")</f>
        <v>Both</v>
      </c>
      <c r="AF1111" s="11">
        <v>6724069.3806577399</v>
      </c>
      <c r="AG1111" s="11">
        <v>7278848.4937819</v>
      </c>
      <c r="AH1111" s="21">
        <f t="shared" si="179"/>
        <v>1</v>
      </c>
    </row>
    <row r="1112" spans="1:34" hidden="1">
      <c r="A1112" t="s">
        <v>75</v>
      </c>
      <c r="B1112" s="18">
        <v>2043</v>
      </c>
      <c r="C1112" t="s">
        <v>202</v>
      </c>
      <c r="D1112" t="s">
        <v>177</v>
      </c>
      <c r="E1112" s="20" t="s">
        <v>297</v>
      </c>
      <c r="F1112" s="20" t="s">
        <v>298</v>
      </c>
      <c r="G1112" s="20" t="s">
        <v>203</v>
      </c>
      <c r="H1112" s="20" t="s">
        <v>192</v>
      </c>
      <c r="I1112" s="20" t="s">
        <v>264</v>
      </c>
      <c r="J1112" s="15">
        <f>IFERROR(INDEX(Cost_Components!$K$2:$K$27,MATCH(E1112,Cost_Components!$A$2:$A$27,0)),"")</f>
        <v>1</v>
      </c>
      <c r="K1112" s="15">
        <f t="shared" si="170"/>
        <v>0.66807692307692301</v>
      </c>
      <c r="L1112" s="15">
        <f>IFERROR(INDEX(Cost_Components!$S$2:$S$27,MATCH(E1112,Cost_Components!$A$2:$A$27,0)),"")</f>
        <v>0.31</v>
      </c>
      <c r="M1112" s="26">
        <f>IFERROR(INDEX(Cost_Components!$L$2:$L$27,MATCH(E1112,Cost_Components!$A$2:$A$27,0)),"")</f>
        <v>1</v>
      </c>
      <c r="N1112" s="27">
        <f>IFERROR(INDEX(Cost_Components!$P$2:$P$27,MATCH(E1112,Cost_Components!$A$2:$A$27,0)),"")</f>
        <v>36.463997999999997</v>
      </c>
      <c r="O1112" s="21">
        <f t="shared" si="171"/>
        <v>6757501.0086980704</v>
      </c>
      <c r="P1112" s="21">
        <f t="shared" si="172"/>
        <v>7363135.7158966605</v>
      </c>
      <c r="Q1112" s="21">
        <f t="shared" si="173"/>
        <v>83231703.465637147</v>
      </c>
      <c r="R1112" s="21">
        <f t="shared" si="174"/>
        <v>164617830.45127982</v>
      </c>
      <c r="S1112" s="21">
        <f t="shared" si="175"/>
        <v>81386126.985642672</v>
      </c>
      <c r="T1112" s="14">
        <f>IFERROR(INDEX(Cost_Components!$R$2:$R$27,MATCH(E1112,Cost_Components!$A$2:$A$27,0)),"")</f>
        <v>1</v>
      </c>
      <c r="U1112" s="24">
        <f>IFERROR(INDEX(Cost_Components!$Q$2:$Q$27,MATCH(E1112,Cost_Components!$A$2:$A$27,0)),"")</f>
        <v>2023</v>
      </c>
      <c r="V1112" s="28">
        <f>1/(1+Calculation_Assumptions!$B$5)^(B1112-Calculation_Assumptions!$B$2)</f>
        <v>0.5873946076162827</v>
      </c>
      <c r="W1112" s="21">
        <f t="shared" si="176"/>
        <v>48889853.79843273</v>
      </c>
      <c r="X1112" s="21">
        <f t="shared" si="177"/>
        <v>96695625.924573258</v>
      </c>
      <c r="Y1112" s="21">
        <f t="shared" si="178"/>
        <v>47805772.126140535</v>
      </c>
      <c r="Z1112" s="15">
        <f>IFERROR(INDEX(Cost_Components!$T$2:$T$27,MATCH(E1112,Cost_Components!$A$2:$A$27,0)),"")</f>
        <v>0.8</v>
      </c>
      <c r="AA1112" s="24">
        <f>IFERROR(INDEX(Cost_Components!$U$2:$U$27,MATCH(E1112,Cost_Components!$A$2:$A$27,0)),"")</f>
        <v>2025</v>
      </c>
      <c r="AB1112" s="24">
        <f>IFERROR(INDEX(Cost_Components!$V$2:$V$27,MATCH(E1112,Cost_Components!$A$2:$A$27,0)),"")</f>
        <v>2050</v>
      </c>
      <c r="AC1112" s="24">
        <f>IFERROR(INDEX(Cost_Components!$M$2:$M$27,MATCH(E1112,Cost_Components!$A$2:$A$27,0)),"")</f>
        <v>0</v>
      </c>
      <c r="AD1112" s="24">
        <f>IFERROR(INDEX(Cost_Components!$N$2:$N$27,MATCH(E1112,Cost_Components!$A$2:$A$27,0)),"")</f>
        <v>95</v>
      </c>
      <c r="AE1112" s="14" t="str">
        <f>IFERROR(INDEX(Cost_Components!$O$2:$O$27,MATCH(E1112,Cost_Components!$A$2:$A$27,0)),"")</f>
        <v>Both</v>
      </c>
      <c r="AF1112" s="11">
        <v>6757501.0086980704</v>
      </c>
      <c r="AG1112" s="11">
        <v>7363135.7158966605</v>
      </c>
      <c r="AH1112" s="21">
        <f t="shared" si="179"/>
        <v>1</v>
      </c>
    </row>
    <row r="1113" spans="1:34" hidden="1">
      <c r="A1113" t="s">
        <v>75</v>
      </c>
      <c r="B1113" s="18">
        <v>2044</v>
      </c>
      <c r="C1113" t="s">
        <v>202</v>
      </c>
      <c r="D1113" t="s">
        <v>177</v>
      </c>
      <c r="E1113" s="20" t="s">
        <v>297</v>
      </c>
      <c r="F1113" s="20" t="s">
        <v>298</v>
      </c>
      <c r="G1113" s="20" t="s">
        <v>203</v>
      </c>
      <c r="H1113" s="20" t="s">
        <v>192</v>
      </c>
      <c r="I1113" s="20" t="s">
        <v>264</v>
      </c>
      <c r="J1113" s="15">
        <f>IFERROR(INDEX(Cost_Components!$K$2:$K$27,MATCH(E1113,Cost_Components!$A$2:$A$27,0)),"")</f>
        <v>1</v>
      </c>
      <c r="K1113" s="15">
        <f t="shared" si="170"/>
        <v>0.68692307692307697</v>
      </c>
      <c r="L1113" s="15">
        <f>IFERROR(INDEX(Cost_Components!$S$2:$S$27,MATCH(E1113,Cost_Components!$A$2:$A$27,0)),"")</f>
        <v>0.31</v>
      </c>
      <c r="M1113" s="26">
        <f>IFERROR(INDEX(Cost_Components!$L$2:$L$27,MATCH(E1113,Cost_Components!$A$2:$A$27,0)),"")</f>
        <v>1</v>
      </c>
      <c r="N1113" s="27">
        <f>IFERROR(INDEX(Cost_Components!$P$2:$P$27,MATCH(E1113,Cost_Components!$A$2:$A$27,0)),"")</f>
        <v>36.463997999999997</v>
      </c>
      <c r="O1113" s="21">
        <f t="shared" si="171"/>
        <v>6786671.2468865197</v>
      </c>
      <c r="P1113" s="21">
        <f t="shared" si="172"/>
        <v>7444190.3459455604</v>
      </c>
      <c r="Q1113" s="21">
        <f t="shared" si="173"/>
        <v>84147931.984715238</v>
      </c>
      <c r="R1113" s="21">
        <f t="shared" si="174"/>
        <v>169992281.48338684</v>
      </c>
      <c r="S1113" s="21">
        <f t="shared" si="175"/>
        <v>85844349.498671606</v>
      </c>
      <c r="T1113" s="14">
        <f>IFERROR(INDEX(Cost_Components!$R$2:$R$27,MATCH(E1113,Cost_Components!$A$2:$A$27,0)),"")</f>
        <v>1</v>
      </c>
      <c r="U1113" s="24">
        <f>IFERROR(INDEX(Cost_Components!$Q$2:$Q$27,MATCH(E1113,Cost_Components!$A$2:$A$27,0)),"")</f>
        <v>2023</v>
      </c>
      <c r="V1113" s="28">
        <f>1/(1+Calculation_Assumptions!$B$5)^(B1113-Calculation_Assumptions!$B$2)</f>
        <v>0.57028602681192497</v>
      </c>
      <c r="W1113" s="21">
        <f t="shared" si="176"/>
        <v>47988389.796003357</v>
      </c>
      <c r="X1113" s="21">
        <f t="shared" si="177"/>
        <v>96944222.795855045</v>
      </c>
      <c r="Y1113" s="21">
        <f t="shared" si="178"/>
        <v>48955832.999851696</v>
      </c>
      <c r="Z1113" s="15">
        <f>IFERROR(INDEX(Cost_Components!$T$2:$T$27,MATCH(E1113,Cost_Components!$A$2:$A$27,0)),"")</f>
        <v>0.8</v>
      </c>
      <c r="AA1113" s="24">
        <f>IFERROR(INDEX(Cost_Components!$U$2:$U$27,MATCH(E1113,Cost_Components!$A$2:$A$27,0)),"")</f>
        <v>2025</v>
      </c>
      <c r="AB1113" s="24">
        <f>IFERROR(INDEX(Cost_Components!$V$2:$V$27,MATCH(E1113,Cost_Components!$A$2:$A$27,0)),"")</f>
        <v>2050</v>
      </c>
      <c r="AC1113" s="24">
        <f>IFERROR(INDEX(Cost_Components!$M$2:$M$27,MATCH(E1113,Cost_Components!$A$2:$A$27,0)),"")</f>
        <v>0</v>
      </c>
      <c r="AD1113" s="24">
        <f>IFERROR(INDEX(Cost_Components!$N$2:$N$27,MATCH(E1113,Cost_Components!$A$2:$A$27,0)),"")</f>
        <v>95</v>
      </c>
      <c r="AE1113" s="14" t="str">
        <f>IFERROR(INDEX(Cost_Components!$O$2:$O$27,MATCH(E1113,Cost_Components!$A$2:$A$27,0)),"")</f>
        <v>Both</v>
      </c>
      <c r="AF1113" s="11">
        <v>6786671.2468865197</v>
      </c>
      <c r="AG1113" s="11">
        <v>7444190.3459455604</v>
      </c>
      <c r="AH1113" s="21">
        <f t="shared" si="179"/>
        <v>1</v>
      </c>
    </row>
    <row r="1114" spans="1:34" hidden="1">
      <c r="A1114" t="s">
        <v>75</v>
      </c>
      <c r="B1114" s="18">
        <v>2045</v>
      </c>
      <c r="C1114" t="s">
        <v>202</v>
      </c>
      <c r="D1114" t="s">
        <v>177</v>
      </c>
      <c r="E1114" s="20" t="s">
        <v>297</v>
      </c>
      <c r="F1114" s="20" t="s">
        <v>298</v>
      </c>
      <c r="G1114" s="20" t="s">
        <v>203</v>
      </c>
      <c r="H1114" s="20" t="s">
        <v>192</v>
      </c>
      <c r="I1114" s="20" t="s">
        <v>264</v>
      </c>
      <c r="J1114" s="15">
        <f>IFERROR(INDEX(Cost_Components!$K$2:$K$27,MATCH(E1114,Cost_Components!$A$2:$A$27,0)),"")</f>
        <v>1</v>
      </c>
      <c r="K1114" s="15">
        <f t="shared" si="170"/>
        <v>0.70576923076923082</v>
      </c>
      <c r="L1114" s="15">
        <f>IFERROR(INDEX(Cost_Components!$S$2:$S$27,MATCH(E1114,Cost_Components!$A$2:$A$27,0)),"")</f>
        <v>0.31</v>
      </c>
      <c r="M1114" s="26">
        <f>IFERROR(INDEX(Cost_Components!$L$2:$L$27,MATCH(E1114,Cost_Components!$A$2:$A$27,0)),"")</f>
        <v>1</v>
      </c>
      <c r="N1114" s="27">
        <f>IFERROR(INDEX(Cost_Components!$P$2:$P$27,MATCH(E1114,Cost_Components!$A$2:$A$27,0)),"")</f>
        <v>36.463997999999997</v>
      </c>
      <c r="O1114" s="21">
        <f t="shared" si="171"/>
        <v>6811886.3096063603</v>
      </c>
      <c r="P1114" s="21">
        <f t="shared" si="172"/>
        <v>7522215.0936579499</v>
      </c>
      <c r="Q1114" s="21">
        <f t="shared" si="173"/>
        <v>85029911.200521111</v>
      </c>
      <c r="R1114" s="21">
        <f t="shared" si="174"/>
        <v>175305037.34324023</v>
      </c>
      <c r="S1114" s="21">
        <f t="shared" si="175"/>
        <v>90275126.14271912</v>
      </c>
      <c r="T1114" s="14">
        <f>IFERROR(INDEX(Cost_Components!$R$2:$R$27,MATCH(E1114,Cost_Components!$A$2:$A$27,0)),"")</f>
        <v>1</v>
      </c>
      <c r="U1114" s="24">
        <f>IFERROR(INDEX(Cost_Components!$Q$2:$Q$27,MATCH(E1114,Cost_Components!$A$2:$A$27,0)),"")</f>
        <v>2023</v>
      </c>
      <c r="V1114" s="28">
        <f>1/(1+Calculation_Assumptions!$B$5)^(B1114-Calculation_Assumptions!$B$2)</f>
        <v>0.55367575418633497</v>
      </c>
      <c r="W1114" s="21">
        <f t="shared" si="176"/>
        <v>47079000.212345615</v>
      </c>
      <c r="X1114" s="21">
        <f t="shared" si="177"/>
        <v>97062148.763682157</v>
      </c>
      <c r="Y1114" s="21">
        <f t="shared" si="178"/>
        <v>49983148.551336534</v>
      </c>
      <c r="Z1114" s="15">
        <f>IFERROR(INDEX(Cost_Components!$T$2:$T$27,MATCH(E1114,Cost_Components!$A$2:$A$27,0)),"")</f>
        <v>0.8</v>
      </c>
      <c r="AA1114" s="24">
        <f>IFERROR(INDEX(Cost_Components!$U$2:$U$27,MATCH(E1114,Cost_Components!$A$2:$A$27,0)),"")</f>
        <v>2025</v>
      </c>
      <c r="AB1114" s="24">
        <f>IFERROR(INDEX(Cost_Components!$V$2:$V$27,MATCH(E1114,Cost_Components!$A$2:$A$27,0)),"")</f>
        <v>2050</v>
      </c>
      <c r="AC1114" s="24">
        <f>IFERROR(INDEX(Cost_Components!$M$2:$M$27,MATCH(E1114,Cost_Components!$A$2:$A$27,0)),"")</f>
        <v>0</v>
      </c>
      <c r="AD1114" s="24">
        <f>IFERROR(INDEX(Cost_Components!$N$2:$N$27,MATCH(E1114,Cost_Components!$A$2:$A$27,0)),"")</f>
        <v>95</v>
      </c>
      <c r="AE1114" s="14" t="str">
        <f>IFERROR(INDEX(Cost_Components!$O$2:$O$27,MATCH(E1114,Cost_Components!$A$2:$A$27,0)),"")</f>
        <v>Both</v>
      </c>
      <c r="AF1114" s="11">
        <v>6811886.3096063603</v>
      </c>
      <c r="AG1114" s="11">
        <v>7522215.0936579499</v>
      </c>
      <c r="AH1114" s="21">
        <f t="shared" si="179"/>
        <v>1</v>
      </c>
    </row>
    <row r="1115" spans="1:34" hidden="1">
      <c r="A1115" t="s">
        <v>75</v>
      </c>
      <c r="B1115" s="18">
        <v>2046</v>
      </c>
      <c r="C1115" t="s">
        <v>202</v>
      </c>
      <c r="D1115" t="s">
        <v>177</v>
      </c>
      <c r="E1115" s="20" t="s">
        <v>297</v>
      </c>
      <c r="F1115" s="20" t="s">
        <v>298</v>
      </c>
      <c r="G1115" s="20" t="s">
        <v>203</v>
      </c>
      <c r="H1115" s="20" t="s">
        <v>192</v>
      </c>
      <c r="I1115" s="20" t="s">
        <v>264</v>
      </c>
      <c r="J1115" s="15">
        <f>IFERROR(INDEX(Cost_Components!$K$2:$K$27,MATCH(E1115,Cost_Components!$A$2:$A$27,0)),"")</f>
        <v>1</v>
      </c>
      <c r="K1115" s="15">
        <f t="shared" si="170"/>
        <v>0.72461538461538466</v>
      </c>
      <c r="L1115" s="15">
        <f>IFERROR(INDEX(Cost_Components!$S$2:$S$27,MATCH(E1115,Cost_Components!$A$2:$A$27,0)),"")</f>
        <v>0.31</v>
      </c>
      <c r="M1115" s="26">
        <f>IFERROR(INDEX(Cost_Components!$L$2:$L$27,MATCH(E1115,Cost_Components!$A$2:$A$27,0)),"")</f>
        <v>1</v>
      </c>
      <c r="N1115" s="27">
        <f>IFERROR(INDEX(Cost_Components!$P$2:$P$27,MATCH(E1115,Cost_Components!$A$2:$A$27,0)),"")</f>
        <v>36.463997999999997</v>
      </c>
      <c r="O1115" s="21">
        <f t="shared" si="171"/>
        <v>6833150.53707531</v>
      </c>
      <c r="P1115" s="21">
        <f t="shared" si="172"/>
        <v>7597099.71033228</v>
      </c>
      <c r="Q1115" s="21">
        <f t="shared" si="173"/>
        <v>85876394.879440606</v>
      </c>
      <c r="R1115" s="21">
        <f t="shared" si="174"/>
        <v>180548058.64737803</v>
      </c>
      <c r="S1115" s="21">
        <f t="shared" si="175"/>
        <v>94671663.767937422</v>
      </c>
      <c r="T1115" s="14">
        <f>IFERROR(INDEX(Cost_Components!$R$2:$R$27,MATCH(E1115,Cost_Components!$A$2:$A$27,0)),"")</f>
        <v>1</v>
      </c>
      <c r="U1115" s="24">
        <f>IFERROR(INDEX(Cost_Components!$Q$2:$Q$27,MATCH(E1115,Cost_Components!$A$2:$A$27,0)),"")</f>
        <v>2023</v>
      </c>
      <c r="V1115" s="28">
        <f>1/(1+Calculation_Assumptions!$B$5)^(B1115-Calculation_Assumptions!$B$2)</f>
        <v>0.5375492759090631</v>
      </c>
      <c r="W1115" s="21">
        <f t="shared" si="176"/>
        <v>46162793.885124072</v>
      </c>
      <c r="X1115" s="21">
        <f t="shared" si="177"/>
        <v>97053478.192685112</v>
      </c>
      <c r="Y1115" s="21">
        <f t="shared" si="178"/>
        <v>50890684.307561047</v>
      </c>
      <c r="Z1115" s="15">
        <f>IFERROR(INDEX(Cost_Components!$T$2:$T$27,MATCH(E1115,Cost_Components!$A$2:$A$27,0)),"")</f>
        <v>0.8</v>
      </c>
      <c r="AA1115" s="24">
        <f>IFERROR(INDEX(Cost_Components!$U$2:$U$27,MATCH(E1115,Cost_Components!$A$2:$A$27,0)),"")</f>
        <v>2025</v>
      </c>
      <c r="AB1115" s="24">
        <f>IFERROR(INDEX(Cost_Components!$V$2:$V$27,MATCH(E1115,Cost_Components!$A$2:$A$27,0)),"")</f>
        <v>2050</v>
      </c>
      <c r="AC1115" s="24">
        <f>IFERROR(INDEX(Cost_Components!$M$2:$M$27,MATCH(E1115,Cost_Components!$A$2:$A$27,0)),"")</f>
        <v>0</v>
      </c>
      <c r="AD1115" s="24">
        <f>IFERROR(INDEX(Cost_Components!$N$2:$N$27,MATCH(E1115,Cost_Components!$A$2:$A$27,0)),"")</f>
        <v>95</v>
      </c>
      <c r="AE1115" s="14" t="str">
        <f>IFERROR(INDEX(Cost_Components!$O$2:$O$27,MATCH(E1115,Cost_Components!$A$2:$A$27,0)),"")</f>
        <v>Both</v>
      </c>
      <c r="AF1115" s="11">
        <v>6833150.53707531</v>
      </c>
      <c r="AG1115" s="11">
        <v>7597099.71033228</v>
      </c>
      <c r="AH1115" s="21">
        <f t="shared" si="179"/>
        <v>1</v>
      </c>
    </row>
    <row r="1116" spans="1:34" hidden="1">
      <c r="A1116" t="s">
        <v>75</v>
      </c>
      <c r="B1116" s="18">
        <v>2047</v>
      </c>
      <c r="C1116" t="s">
        <v>202</v>
      </c>
      <c r="D1116" t="s">
        <v>177</v>
      </c>
      <c r="E1116" s="20" t="s">
        <v>297</v>
      </c>
      <c r="F1116" s="20" t="s">
        <v>298</v>
      </c>
      <c r="G1116" s="20" t="s">
        <v>203</v>
      </c>
      <c r="H1116" s="20" t="s">
        <v>192</v>
      </c>
      <c r="I1116" s="20" t="s">
        <v>264</v>
      </c>
      <c r="J1116" s="15">
        <f>IFERROR(INDEX(Cost_Components!$K$2:$K$27,MATCH(E1116,Cost_Components!$A$2:$A$27,0)),"")</f>
        <v>1</v>
      </c>
      <c r="K1116" s="15">
        <f t="shared" si="170"/>
        <v>0.74346153846153851</v>
      </c>
      <c r="L1116" s="15">
        <f>IFERROR(INDEX(Cost_Components!$S$2:$S$27,MATCH(E1116,Cost_Components!$A$2:$A$27,0)),"")</f>
        <v>0.31</v>
      </c>
      <c r="M1116" s="26">
        <f>IFERROR(INDEX(Cost_Components!$L$2:$L$27,MATCH(E1116,Cost_Components!$A$2:$A$27,0)),"")</f>
        <v>1</v>
      </c>
      <c r="N1116" s="27">
        <f>IFERROR(INDEX(Cost_Components!$P$2:$P$27,MATCH(E1116,Cost_Components!$A$2:$A$27,0)),"")</f>
        <v>36.463997999999997</v>
      </c>
      <c r="O1116" s="21">
        <f t="shared" si="171"/>
        <v>6850321.48416657</v>
      </c>
      <c r="P1116" s="21">
        <f t="shared" si="172"/>
        <v>7668592.5773811797</v>
      </c>
      <c r="Q1116" s="21">
        <f t="shared" si="173"/>
        <v>86684538.765377074</v>
      </c>
      <c r="R1116" s="21">
        <f t="shared" si="174"/>
        <v>185709338.65378737</v>
      </c>
      <c r="S1116" s="21">
        <f t="shared" si="175"/>
        <v>99024799.8884103</v>
      </c>
      <c r="T1116" s="14">
        <f>IFERROR(INDEX(Cost_Components!$R$2:$R$27,MATCH(E1116,Cost_Components!$A$2:$A$27,0)),"")</f>
        <v>1</v>
      </c>
      <c r="U1116" s="24">
        <f>IFERROR(INDEX(Cost_Components!$Q$2:$Q$27,MATCH(E1116,Cost_Components!$A$2:$A$27,0)),"")</f>
        <v>2023</v>
      </c>
      <c r="V1116" s="28">
        <f>1/(1+Calculation_Assumptions!$B$5)^(B1116-Calculation_Assumptions!$B$2)</f>
        <v>0.52189250088258554</v>
      </c>
      <c r="W1116" s="21">
        <f t="shared" si="176"/>
        <v>45240010.724116072</v>
      </c>
      <c r="X1116" s="21">
        <f t="shared" si="177"/>
        <v>96920311.18727611</v>
      </c>
      <c r="Y1116" s="21">
        <f t="shared" si="178"/>
        <v>51680300.463160031</v>
      </c>
      <c r="Z1116" s="15">
        <f>IFERROR(INDEX(Cost_Components!$T$2:$T$27,MATCH(E1116,Cost_Components!$A$2:$A$27,0)),"")</f>
        <v>0.8</v>
      </c>
      <c r="AA1116" s="24">
        <f>IFERROR(INDEX(Cost_Components!$U$2:$U$27,MATCH(E1116,Cost_Components!$A$2:$A$27,0)),"")</f>
        <v>2025</v>
      </c>
      <c r="AB1116" s="24">
        <f>IFERROR(INDEX(Cost_Components!$V$2:$V$27,MATCH(E1116,Cost_Components!$A$2:$A$27,0)),"")</f>
        <v>2050</v>
      </c>
      <c r="AC1116" s="24">
        <f>IFERROR(INDEX(Cost_Components!$M$2:$M$27,MATCH(E1116,Cost_Components!$A$2:$A$27,0)),"")</f>
        <v>0</v>
      </c>
      <c r="AD1116" s="24">
        <f>IFERROR(INDEX(Cost_Components!$N$2:$N$27,MATCH(E1116,Cost_Components!$A$2:$A$27,0)),"")</f>
        <v>95</v>
      </c>
      <c r="AE1116" s="14" t="str">
        <f>IFERROR(INDEX(Cost_Components!$O$2:$O$27,MATCH(E1116,Cost_Components!$A$2:$A$27,0)),"")</f>
        <v>Both</v>
      </c>
      <c r="AF1116" s="11">
        <v>6850321.48416657</v>
      </c>
      <c r="AG1116" s="11">
        <v>7668592.5773811797</v>
      </c>
      <c r="AH1116" s="21">
        <f t="shared" si="179"/>
        <v>1</v>
      </c>
    </row>
    <row r="1117" spans="1:34" hidden="1">
      <c r="A1117" t="s">
        <v>75</v>
      </c>
      <c r="B1117" s="18">
        <v>2048</v>
      </c>
      <c r="C1117" t="s">
        <v>202</v>
      </c>
      <c r="D1117" t="s">
        <v>177</v>
      </c>
      <c r="E1117" s="20" t="s">
        <v>297</v>
      </c>
      <c r="F1117" s="20" t="s">
        <v>298</v>
      </c>
      <c r="G1117" s="20" t="s">
        <v>203</v>
      </c>
      <c r="H1117" s="20" t="s">
        <v>192</v>
      </c>
      <c r="I1117" s="20" t="s">
        <v>264</v>
      </c>
      <c r="J1117" s="15">
        <f>IFERROR(INDEX(Cost_Components!$K$2:$K$27,MATCH(E1117,Cost_Components!$A$2:$A$27,0)),"")</f>
        <v>1</v>
      </c>
      <c r="K1117" s="15">
        <f t="shared" si="170"/>
        <v>0.76230769230769235</v>
      </c>
      <c r="L1117" s="15">
        <f>IFERROR(INDEX(Cost_Components!$S$2:$S$27,MATCH(E1117,Cost_Components!$A$2:$A$27,0)),"")</f>
        <v>0.31</v>
      </c>
      <c r="M1117" s="26">
        <f>IFERROR(INDEX(Cost_Components!$L$2:$L$27,MATCH(E1117,Cost_Components!$A$2:$A$27,0)),"")</f>
        <v>1</v>
      </c>
      <c r="N1117" s="27">
        <f>IFERROR(INDEX(Cost_Components!$P$2:$P$27,MATCH(E1117,Cost_Components!$A$2:$A$27,0)),"")</f>
        <v>36.463997999999997</v>
      </c>
      <c r="O1117" s="21">
        <f t="shared" si="171"/>
        <v>6863427.3030396104</v>
      </c>
      <c r="P1117" s="21">
        <f t="shared" si="172"/>
        <v>7736597.0552434502</v>
      </c>
      <c r="Q1117" s="21">
        <f t="shared" si="173"/>
        <v>87453250.460252941</v>
      </c>
      <c r="R1117" s="21">
        <f t="shared" si="174"/>
        <v>190781221.12009317</v>
      </c>
      <c r="S1117" s="21">
        <f t="shared" si="175"/>
        <v>103327970.65984023</v>
      </c>
      <c r="T1117" s="14">
        <f>IFERROR(INDEX(Cost_Components!$R$2:$R$27,MATCH(E1117,Cost_Components!$A$2:$A$27,0)),"")</f>
        <v>1</v>
      </c>
      <c r="U1117" s="24">
        <f>IFERROR(INDEX(Cost_Components!$Q$2:$Q$27,MATCH(E1117,Cost_Components!$A$2:$A$27,0)),"")</f>
        <v>2023</v>
      </c>
      <c r="V1117" s="28">
        <f>1/(1+Calculation_Assumptions!$B$5)^(B1117-Calculation_Assumptions!$B$2)</f>
        <v>0.50669174842969467</v>
      </c>
      <c r="W1117" s="21">
        <f t="shared" si="176"/>
        <v>44311840.381565563</v>
      </c>
      <c r="X1117" s="21">
        <f t="shared" si="177"/>
        <v>96667270.496892199</v>
      </c>
      <c r="Y1117" s="21">
        <f t="shared" si="178"/>
        <v>52355430.115326636</v>
      </c>
      <c r="Z1117" s="15">
        <f>IFERROR(INDEX(Cost_Components!$T$2:$T$27,MATCH(E1117,Cost_Components!$A$2:$A$27,0)),"")</f>
        <v>0.8</v>
      </c>
      <c r="AA1117" s="24">
        <f>IFERROR(INDEX(Cost_Components!$U$2:$U$27,MATCH(E1117,Cost_Components!$A$2:$A$27,0)),"")</f>
        <v>2025</v>
      </c>
      <c r="AB1117" s="24">
        <f>IFERROR(INDEX(Cost_Components!$V$2:$V$27,MATCH(E1117,Cost_Components!$A$2:$A$27,0)),"")</f>
        <v>2050</v>
      </c>
      <c r="AC1117" s="24">
        <f>IFERROR(INDEX(Cost_Components!$M$2:$M$27,MATCH(E1117,Cost_Components!$A$2:$A$27,0)),"")</f>
        <v>0</v>
      </c>
      <c r="AD1117" s="24">
        <f>IFERROR(INDEX(Cost_Components!$N$2:$N$27,MATCH(E1117,Cost_Components!$A$2:$A$27,0)),"")</f>
        <v>95</v>
      </c>
      <c r="AE1117" s="14" t="str">
        <f>IFERROR(INDEX(Cost_Components!$O$2:$O$27,MATCH(E1117,Cost_Components!$A$2:$A$27,0)),"")</f>
        <v>Both</v>
      </c>
      <c r="AF1117" s="11">
        <v>6863427.3030396104</v>
      </c>
      <c r="AG1117" s="11">
        <v>7736597.0552434502</v>
      </c>
      <c r="AH1117" s="21">
        <f t="shared" si="179"/>
        <v>1</v>
      </c>
    </row>
    <row r="1118" spans="1:34" hidden="1">
      <c r="A1118" t="s">
        <v>75</v>
      </c>
      <c r="B1118" s="18">
        <v>2049</v>
      </c>
      <c r="C1118" t="s">
        <v>202</v>
      </c>
      <c r="D1118" t="s">
        <v>177</v>
      </c>
      <c r="E1118" s="20" t="s">
        <v>297</v>
      </c>
      <c r="F1118" s="20" t="s">
        <v>298</v>
      </c>
      <c r="G1118" s="20" t="s">
        <v>203</v>
      </c>
      <c r="H1118" s="20" t="s">
        <v>192</v>
      </c>
      <c r="I1118" s="20" t="s">
        <v>264</v>
      </c>
      <c r="J1118" s="15">
        <f>IFERROR(INDEX(Cost_Components!$K$2:$K$27,MATCH(E1118,Cost_Components!$A$2:$A$27,0)),"")</f>
        <v>1</v>
      </c>
      <c r="K1118" s="15">
        <f t="shared" si="170"/>
        <v>0.7811538461538462</v>
      </c>
      <c r="L1118" s="15">
        <f>IFERROR(INDEX(Cost_Components!$S$2:$S$27,MATCH(E1118,Cost_Components!$A$2:$A$27,0)),"")</f>
        <v>0.31</v>
      </c>
      <c r="M1118" s="26">
        <f>IFERROR(INDEX(Cost_Components!$L$2:$L$27,MATCH(E1118,Cost_Components!$A$2:$A$27,0)),"")</f>
        <v>1</v>
      </c>
      <c r="N1118" s="27">
        <f>IFERROR(INDEX(Cost_Components!$P$2:$P$27,MATCH(E1118,Cost_Components!$A$2:$A$27,0)),"")</f>
        <v>36.463997999999997</v>
      </c>
      <c r="O1118" s="21">
        <f t="shared" si="171"/>
        <v>6872449.7000324102</v>
      </c>
      <c r="P1118" s="21">
        <f t="shared" si="172"/>
        <v>7800963.0468724202</v>
      </c>
      <c r="Q1118" s="21">
        <f t="shared" si="173"/>
        <v>88180833.291161239</v>
      </c>
      <c r="R1118" s="21">
        <f t="shared" si="174"/>
        <v>195754804.22684398</v>
      </c>
      <c r="S1118" s="21">
        <f t="shared" si="175"/>
        <v>107573970.93568274</v>
      </c>
      <c r="T1118" s="14">
        <f>IFERROR(INDEX(Cost_Components!$R$2:$R$27,MATCH(E1118,Cost_Components!$A$2:$A$27,0)),"")</f>
        <v>1</v>
      </c>
      <c r="U1118" s="24">
        <f>IFERROR(INDEX(Cost_Components!$Q$2:$Q$27,MATCH(E1118,Cost_Components!$A$2:$A$27,0)),"")</f>
        <v>2023</v>
      </c>
      <c r="V1118" s="28">
        <f>1/(1+Calculation_Assumptions!$B$5)^(B1118-Calculation_Assumptions!$B$2)</f>
        <v>0.49193373633950943</v>
      </c>
      <c r="W1118" s="21">
        <f t="shared" si="176"/>
        <v>43379126.794452347</v>
      </c>
      <c r="X1118" s="21">
        <f t="shared" si="177"/>
        <v>96298392.249720559</v>
      </c>
      <c r="Y1118" s="21">
        <f t="shared" si="178"/>
        <v>52919265.455268204</v>
      </c>
      <c r="Z1118" s="15">
        <f>IFERROR(INDEX(Cost_Components!$T$2:$T$27,MATCH(E1118,Cost_Components!$A$2:$A$27,0)),"")</f>
        <v>0.8</v>
      </c>
      <c r="AA1118" s="24">
        <f>IFERROR(INDEX(Cost_Components!$U$2:$U$27,MATCH(E1118,Cost_Components!$A$2:$A$27,0)),"")</f>
        <v>2025</v>
      </c>
      <c r="AB1118" s="24">
        <f>IFERROR(INDEX(Cost_Components!$V$2:$V$27,MATCH(E1118,Cost_Components!$A$2:$A$27,0)),"")</f>
        <v>2050</v>
      </c>
      <c r="AC1118" s="24">
        <f>IFERROR(INDEX(Cost_Components!$M$2:$M$27,MATCH(E1118,Cost_Components!$A$2:$A$27,0)),"")</f>
        <v>0</v>
      </c>
      <c r="AD1118" s="24">
        <f>IFERROR(INDEX(Cost_Components!$N$2:$N$27,MATCH(E1118,Cost_Components!$A$2:$A$27,0)),"")</f>
        <v>95</v>
      </c>
      <c r="AE1118" s="14" t="str">
        <f>IFERROR(INDEX(Cost_Components!$O$2:$O$27,MATCH(E1118,Cost_Components!$A$2:$A$27,0)),"")</f>
        <v>Both</v>
      </c>
      <c r="AF1118" s="11">
        <v>6872449.7000324102</v>
      </c>
      <c r="AG1118" s="11">
        <v>7800963.0468724202</v>
      </c>
      <c r="AH1118" s="21">
        <f t="shared" si="179"/>
        <v>1</v>
      </c>
    </row>
    <row r="1119" spans="1:34" hidden="1">
      <c r="A1119" t="s">
        <v>75</v>
      </c>
      <c r="B1119" s="18">
        <v>2050</v>
      </c>
      <c r="C1119" t="s">
        <v>202</v>
      </c>
      <c r="D1119" t="s">
        <v>177</v>
      </c>
      <c r="E1119" s="20" t="s">
        <v>297</v>
      </c>
      <c r="F1119" s="20" t="s">
        <v>298</v>
      </c>
      <c r="G1119" s="20" t="s">
        <v>203</v>
      </c>
      <c r="H1119" s="20" t="s">
        <v>192</v>
      </c>
      <c r="I1119" s="20" t="s">
        <v>264</v>
      </c>
      <c r="J1119" s="15">
        <f>IFERROR(INDEX(Cost_Components!$K$2:$K$27,MATCH(E1119,Cost_Components!$A$2:$A$27,0)),"")</f>
        <v>1</v>
      </c>
      <c r="K1119" s="15">
        <f t="shared" si="170"/>
        <v>0.8</v>
      </c>
      <c r="L1119" s="15">
        <f>IFERROR(INDEX(Cost_Components!$S$2:$S$27,MATCH(E1119,Cost_Components!$A$2:$A$27,0)),"")</f>
        <v>0.31</v>
      </c>
      <c r="M1119" s="26">
        <f>IFERROR(INDEX(Cost_Components!$L$2:$L$27,MATCH(E1119,Cost_Components!$A$2:$A$27,0)),"")</f>
        <v>1</v>
      </c>
      <c r="N1119" s="27">
        <f>IFERROR(INDEX(Cost_Components!$P$2:$P$27,MATCH(E1119,Cost_Components!$A$2:$A$27,0)),"")</f>
        <v>36.463997999999997</v>
      </c>
      <c r="O1119" s="21">
        <f t="shared" si="171"/>
        <v>6877341.78114055</v>
      </c>
      <c r="P1119" s="21">
        <f t="shared" si="172"/>
        <v>7861516.4843823304</v>
      </c>
      <c r="Q1119" s="21">
        <f t="shared" si="173"/>
        <v>88865319.622680143</v>
      </c>
      <c r="R1119" s="21">
        <f t="shared" si="174"/>
        <v>200620301.56226036</v>
      </c>
      <c r="S1119" s="21">
        <f t="shared" si="175"/>
        <v>111754981.93958022</v>
      </c>
      <c r="T1119" s="14">
        <f>IFERROR(INDEX(Cost_Components!$R$2:$R$27,MATCH(E1119,Cost_Components!$A$2:$A$27,0)),"")</f>
        <v>1</v>
      </c>
      <c r="U1119" s="24">
        <f>IFERROR(INDEX(Cost_Components!$Q$2:$Q$27,MATCH(E1119,Cost_Components!$A$2:$A$27,0)),"")</f>
        <v>2023</v>
      </c>
      <c r="V1119" s="28">
        <f>1/(1+Calculation_Assumptions!$B$5)^(B1119-Calculation_Assumptions!$B$2)</f>
        <v>0.47760556926165965</v>
      </c>
      <c r="W1119" s="21">
        <f t="shared" si="176"/>
        <v>42442571.566009484</v>
      </c>
      <c r="X1119" s="21">
        <f t="shared" si="177"/>
        <v>95817373.333089188</v>
      </c>
      <c r="Y1119" s="21">
        <f t="shared" si="178"/>
        <v>53374801.767079704</v>
      </c>
      <c r="Z1119" s="15">
        <f>IFERROR(INDEX(Cost_Components!$T$2:$T$27,MATCH(E1119,Cost_Components!$A$2:$A$27,0)),"")</f>
        <v>0.8</v>
      </c>
      <c r="AA1119" s="24">
        <f>IFERROR(INDEX(Cost_Components!$U$2:$U$27,MATCH(E1119,Cost_Components!$A$2:$A$27,0)),"")</f>
        <v>2025</v>
      </c>
      <c r="AB1119" s="24">
        <f>IFERROR(INDEX(Cost_Components!$V$2:$V$27,MATCH(E1119,Cost_Components!$A$2:$A$27,0)),"")</f>
        <v>2050</v>
      </c>
      <c r="AC1119" s="24">
        <f>IFERROR(INDEX(Cost_Components!$M$2:$M$27,MATCH(E1119,Cost_Components!$A$2:$A$27,0)),"")</f>
        <v>0</v>
      </c>
      <c r="AD1119" s="24">
        <f>IFERROR(INDEX(Cost_Components!$N$2:$N$27,MATCH(E1119,Cost_Components!$A$2:$A$27,0)),"")</f>
        <v>95</v>
      </c>
      <c r="AE1119" s="14" t="str">
        <f>IFERROR(INDEX(Cost_Components!$O$2:$O$27,MATCH(E1119,Cost_Components!$A$2:$A$27,0)),"")</f>
        <v>Both</v>
      </c>
      <c r="AF1119" s="11">
        <v>6877341.78114055</v>
      </c>
      <c r="AG1119" s="11">
        <v>7861516.4843823304</v>
      </c>
      <c r="AH1119" s="21">
        <f t="shared" si="179"/>
        <v>1</v>
      </c>
    </row>
    <row r="1120" spans="1:34">
      <c r="A1120" t="s">
        <v>75</v>
      </c>
      <c r="B1120" s="18">
        <v>2025</v>
      </c>
      <c r="C1120" t="s">
        <v>205</v>
      </c>
      <c r="D1120" t="s">
        <v>209</v>
      </c>
      <c r="E1120" s="20" t="s">
        <v>300</v>
      </c>
      <c r="F1120" s="20" t="s">
        <v>301</v>
      </c>
      <c r="G1120" s="20" t="s">
        <v>206</v>
      </c>
      <c r="H1120" s="20" t="s">
        <v>192</v>
      </c>
      <c r="I1120" s="20" t="s">
        <v>264</v>
      </c>
      <c r="J1120" s="15">
        <f>IFERROR(INDEX(Cost_Components!$K$2:$K$27,MATCH(E1120,Cost_Components!$A$2:$A$27,0)),"")</f>
        <v>1</v>
      </c>
      <c r="K1120" s="15">
        <f t="shared" si="170"/>
        <v>0.32884615384615384</v>
      </c>
      <c r="L1120" s="15">
        <f>IFERROR(INDEX(Cost_Components!$S$2:$S$27,MATCH(E1120,Cost_Components!$A$2:$A$27,0)),"")</f>
        <v>0.31</v>
      </c>
      <c r="M1120" s="26">
        <f>IFERROR(INDEX(Cost_Components!$L$2:$L$27,MATCH(E1120,Cost_Components!$A$2:$A$27,0)),"")</f>
        <v>1</v>
      </c>
      <c r="N1120" s="27">
        <f>IFERROR(INDEX(Cost_Components!$P$2:$P$27,MATCH(E1120,Cost_Components!$A$2:$A$27,0)),"")</f>
        <v>50.857354000000001</v>
      </c>
      <c r="O1120" s="21">
        <f t="shared" si="171"/>
        <v>760574.77939959802</v>
      </c>
      <c r="P1120" s="21">
        <f t="shared" si="172"/>
        <v>760534.47687153495</v>
      </c>
      <c r="Q1120" s="21">
        <f t="shared" si="173"/>
        <v>11990419.047032744</v>
      </c>
      <c r="R1120" s="21">
        <f t="shared" si="174"/>
        <v>12720039.1474941</v>
      </c>
      <c r="S1120" s="21">
        <f t="shared" si="175"/>
        <v>729620.10046135634</v>
      </c>
      <c r="T1120" s="14">
        <f>IFERROR(INDEX(Cost_Components!$R$2:$R$27,MATCH(E1120,Cost_Components!$A$2:$A$27,0)),"")</f>
        <v>1</v>
      </c>
      <c r="U1120" s="24">
        <f>IFERROR(INDEX(Cost_Components!$Q$2:$Q$27,MATCH(E1120,Cost_Components!$A$2:$A$27,0)),"")</f>
        <v>2023</v>
      </c>
      <c r="V1120" s="28">
        <f>1/(1+Calculation_Assumptions!$B$5)^(B1120-Calculation_Assumptions!$B$2)</f>
        <v>1</v>
      </c>
      <c r="W1120" s="21">
        <f t="shared" si="176"/>
        <v>11990419.047032744</v>
      </c>
      <c r="X1120" s="21">
        <f t="shared" si="177"/>
        <v>12720039.1474941</v>
      </c>
      <c r="Y1120" s="21">
        <f t="shared" si="178"/>
        <v>729620.10046135634</v>
      </c>
      <c r="Z1120" s="15">
        <f>IFERROR(INDEX(Cost_Components!$T$2:$T$27,MATCH(E1120,Cost_Components!$A$2:$A$27,0)),"")</f>
        <v>0.8</v>
      </c>
      <c r="AA1120" s="24">
        <f>IFERROR(INDEX(Cost_Components!$U$2:$U$27,MATCH(E1120,Cost_Components!$A$2:$A$27,0)),"")</f>
        <v>2025</v>
      </c>
      <c r="AB1120" s="24">
        <f>IFERROR(INDEX(Cost_Components!$V$2:$V$27,MATCH(E1120,Cost_Components!$A$2:$A$27,0)),"")</f>
        <v>2050</v>
      </c>
      <c r="AC1120" s="24">
        <f>IFERROR(INDEX(Cost_Components!$M$2:$M$27,MATCH(E1120,Cost_Components!$A$2:$A$27,0)),"")</f>
        <v>5</v>
      </c>
      <c r="AD1120" s="24">
        <f>IFERROR(INDEX(Cost_Components!$N$2:$N$27,MATCH(E1120,Cost_Components!$A$2:$A$27,0)),"")</f>
        <v>39</v>
      </c>
      <c r="AE1120" s="14" t="str">
        <f>IFERROR(INDEX(Cost_Components!$O$2:$O$27,MATCH(E1120,Cost_Components!$A$2:$A$27,0)),"")</f>
        <v>Both</v>
      </c>
      <c r="AF1120" s="11">
        <v>760574.77939959802</v>
      </c>
      <c r="AG1120" s="11">
        <v>760534.47687153495</v>
      </c>
      <c r="AH1120" s="21">
        <f t="shared" si="179"/>
        <v>1</v>
      </c>
    </row>
    <row r="1121" spans="1:34">
      <c r="A1121" t="s">
        <v>75</v>
      </c>
      <c r="B1121" s="18">
        <v>2026</v>
      </c>
      <c r="C1121" t="s">
        <v>205</v>
      </c>
      <c r="D1121" t="s">
        <v>209</v>
      </c>
      <c r="E1121" s="20" t="s">
        <v>300</v>
      </c>
      <c r="F1121" s="20" t="s">
        <v>301</v>
      </c>
      <c r="G1121" s="20" t="s">
        <v>206</v>
      </c>
      <c r="H1121" s="20" t="s">
        <v>192</v>
      </c>
      <c r="I1121" s="20" t="s">
        <v>264</v>
      </c>
      <c r="J1121" s="15">
        <f>IFERROR(INDEX(Cost_Components!$K$2:$K$27,MATCH(E1121,Cost_Components!$A$2:$A$27,0)),"")</f>
        <v>1</v>
      </c>
      <c r="K1121" s="15">
        <f t="shared" si="170"/>
        <v>0.34769230769230769</v>
      </c>
      <c r="L1121" s="15">
        <f>IFERROR(INDEX(Cost_Components!$S$2:$S$27,MATCH(E1121,Cost_Components!$A$2:$A$27,0)),"")</f>
        <v>0.31</v>
      </c>
      <c r="M1121" s="26">
        <f>IFERROR(INDEX(Cost_Components!$L$2:$L$27,MATCH(E1121,Cost_Components!$A$2:$A$27,0)),"")</f>
        <v>1</v>
      </c>
      <c r="N1121" s="27">
        <f>IFERROR(INDEX(Cost_Components!$P$2:$P$27,MATCH(E1121,Cost_Components!$A$2:$A$27,0)),"")</f>
        <v>50.857354000000001</v>
      </c>
      <c r="O1121" s="21">
        <f t="shared" si="171"/>
        <v>763392.18772097898</v>
      </c>
      <c r="P1121" s="21">
        <f t="shared" si="172"/>
        <v>763274.26719122799</v>
      </c>
      <c r="Q1121" s="21">
        <f t="shared" si="173"/>
        <v>12033613.977746809</v>
      </c>
      <c r="R1121" s="21">
        <f t="shared" si="174"/>
        <v>13498843.26365819</v>
      </c>
      <c r="S1121" s="21">
        <f t="shared" si="175"/>
        <v>1465229.2859113812</v>
      </c>
      <c r="T1121" s="14">
        <f>IFERROR(INDEX(Cost_Components!$R$2:$R$27,MATCH(E1121,Cost_Components!$A$2:$A$27,0)),"")</f>
        <v>1</v>
      </c>
      <c r="U1121" s="24">
        <f>IFERROR(INDEX(Cost_Components!$Q$2:$Q$27,MATCH(E1121,Cost_Components!$A$2:$A$27,0)),"")</f>
        <v>2023</v>
      </c>
      <c r="V1121" s="28">
        <f>1/(1+Calculation_Assumptions!$B$5)^(B1121-Calculation_Assumptions!$B$2)</f>
        <v>0.970873786407767</v>
      </c>
      <c r="W1121" s="21">
        <f t="shared" si="176"/>
        <v>11683120.366744475</v>
      </c>
      <c r="X1121" s="21">
        <f t="shared" si="177"/>
        <v>13105673.071512805</v>
      </c>
      <c r="Y1121" s="21">
        <f t="shared" si="178"/>
        <v>1422552.7047683313</v>
      </c>
      <c r="Z1121" s="15">
        <f>IFERROR(INDEX(Cost_Components!$T$2:$T$27,MATCH(E1121,Cost_Components!$A$2:$A$27,0)),"")</f>
        <v>0.8</v>
      </c>
      <c r="AA1121" s="24">
        <f>IFERROR(INDEX(Cost_Components!$U$2:$U$27,MATCH(E1121,Cost_Components!$A$2:$A$27,0)),"")</f>
        <v>2025</v>
      </c>
      <c r="AB1121" s="24">
        <f>IFERROR(INDEX(Cost_Components!$V$2:$V$27,MATCH(E1121,Cost_Components!$A$2:$A$27,0)),"")</f>
        <v>2050</v>
      </c>
      <c r="AC1121" s="24">
        <f>IFERROR(INDEX(Cost_Components!$M$2:$M$27,MATCH(E1121,Cost_Components!$A$2:$A$27,0)),"")</f>
        <v>5</v>
      </c>
      <c r="AD1121" s="24">
        <f>IFERROR(INDEX(Cost_Components!$N$2:$N$27,MATCH(E1121,Cost_Components!$A$2:$A$27,0)),"")</f>
        <v>39</v>
      </c>
      <c r="AE1121" s="14" t="str">
        <f>IFERROR(INDEX(Cost_Components!$O$2:$O$27,MATCH(E1121,Cost_Components!$A$2:$A$27,0)),"")</f>
        <v>Both</v>
      </c>
      <c r="AF1121" s="11">
        <v>763392.18772097898</v>
      </c>
      <c r="AG1121" s="11">
        <v>763274.26719122799</v>
      </c>
      <c r="AH1121" s="21">
        <f t="shared" si="179"/>
        <v>1</v>
      </c>
    </row>
    <row r="1122" spans="1:34">
      <c r="A1122" t="s">
        <v>75</v>
      </c>
      <c r="B1122" s="18">
        <v>2027</v>
      </c>
      <c r="C1122" t="s">
        <v>205</v>
      </c>
      <c r="D1122" t="s">
        <v>209</v>
      </c>
      <c r="E1122" s="20" t="s">
        <v>300</v>
      </c>
      <c r="F1122" s="20" t="s">
        <v>301</v>
      </c>
      <c r="G1122" s="20" t="s">
        <v>206</v>
      </c>
      <c r="H1122" s="20" t="s">
        <v>192</v>
      </c>
      <c r="I1122" s="20" t="s">
        <v>264</v>
      </c>
      <c r="J1122" s="15">
        <f>IFERROR(INDEX(Cost_Components!$K$2:$K$27,MATCH(E1122,Cost_Components!$A$2:$A$27,0)),"")</f>
        <v>1</v>
      </c>
      <c r="K1122" s="15">
        <f t="shared" si="170"/>
        <v>0.36653846153846154</v>
      </c>
      <c r="L1122" s="15">
        <f>IFERROR(INDEX(Cost_Components!$S$2:$S$27,MATCH(E1122,Cost_Components!$A$2:$A$27,0)),"")</f>
        <v>0.31</v>
      </c>
      <c r="M1122" s="26">
        <f>IFERROR(INDEX(Cost_Components!$L$2:$L$27,MATCH(E1122,Cost_Components!$A$2:$A$27,0)),"")</f>
        <v>1</v>
      </c>
      <c r="N1122" s="27">
        <f>IFERROR(INDEX(Cost_Components!$P$2:$P$27,MATCH(E1122,Cost_Components!$A$2:$A$27,0)),"")</f>
        <v>50.857354000000001</v>
      </c>
      <c r="O1122" s="21">
        <f t="shared" si="171"/>
        <v>766916.67711486702</v>
      </c>
      <c r="P1122" s="21">
        <f t="shared" si="172"/>
        <v>766686.51586793701</v>
      </c>
      <c r="Q1122" s="21">
        <f t="shared" si="173"/>
        <v>12087410.73880191</v>
      </c>
      <c r="R1122" s="21">
        <f t="shared" si="174"/>
        <v>14296228.980198989</v>
      </c>
      <c r="S1122" s="21">
        <f t="shared" si="175"/>
        <v>2208818.2413970791</v>
      </c>
      <c r="T1122" s="14">
        <f>IFERROR(INDEX(Cost_Components!$R$2:$R$27,MATCH(E1122,Cost_Components!$A$2:$A$27,0)),"")</f>
        <v>1</v>
      </c>
      <c r="U1122" s="24">
        <f>IFERROR(INDEX(Cost_Components!$Q$2:$Q$27,MATCH(E1122,Cost_Components!$A$2:$A$27,0)),"")</f>
        <v>2023</v>
      </c>
      <c r="V1122" s="28">
        <f>1/(1+Calculation_Assumptions!$B$5)^(B1122-Calculation_Assumptions!$B$2)</f>
        <v>0.94259590913375435</v>
      </c>
      <c r="W1122" s="21">
        <f t="shared" si="176"/>
        <v>11393543.914414091</v>
      </c>
      <c r="X1122" s="21">
        <f t="shared" si="177"/>
        <v>13475566.952774992</v>
      </c>
      <c r="Y1122" s="21">
        <f t="shared" si="178"/>
        <v>2082023.0383609002</v>
      </c>
      <c r="Z1122" s="15">
        <f>IFERROR(INDEX(Cost_Components!$T$2:$T$27,MATCH(E1122,Cost_Components!$A$2:$A$27,0)),"")</f>
        <v>0.8</v>
      </c>
      <c r="AA1122" s="24">
        <f>IFERROR(INDEX(Cost_Components!$U$2:$U$27,MATCH(E1122,Cost_Components!$A$2:$A$27,0)),"")</f>
        <v>2025</v>
      </c>
      <c r="AB1122" s="24">
        <f>IFERROR(INDEX(Cost_Components!$V$2:$V$27,MATCH(E1122,Cost_Components!$A$2:$A$27,0)),"")</f>
        <v>2050</v>
      </c>
      <c r="AC1122" s="24">
        <f>IFERROR(INDEX(Cost_Components!$M$2:$M$27,MATCH(E1122,Cost_Components!$A$2:$A$27,0)),"")</f>
        <v>5</v>
      </c>
      <c r="AD1122" s="24">
        <f>IFERROR(INDEX(Cost_Components!$N$2:$N$27,MATCH(E1122,Cost_Components!$A$2:$A$27,0)),"")</f>
        <v>39</v>
      </c>
      <c r="AE1122" s="14" t="str">
        <f>IFERROR(INDEX(Cost_Components!$O$2:$O$27,MATCH(E1122,Cost_Components!$A$2:$A$27,0)),"")</f>
        <v>Both</v>
      </c>
      <c r="AF1122" s="11">
        <v>766916.67711486702</v>
      </c>
      <c r="AG1122" s="11">
        <v>766686.51586793701</v>
      </c>
      <c r="AH1122" s="21">
        <f t="shared" si="179"/>
        <v>1</v>
      </c>
    </row>
    <row r="1123" spans="1:34">
      <c r="A1123" t="s">
        <v>75</v>
      </c>
      <c r="B1123" s="18">
        <v>2028</v>
      </c>
      <c r="C1123" t="s">
        <v>205</v>
      </c>
      <c r="D1123" t="s">
        <v>209</v>
      </c>
      <c r="E1123" s="20" t="s">
        <v>300</v>
      </c>
      <c r="F1123" s="20" t="s">
        <v>301</v>
      </c>
      <c r="G1123" s="20" t="s">
        <v>206</v>
      </c>
      <c r="H1123" s="20" t="s">
        <v>192</v>
      </c>
      <c r="I1123" s="20" t="s">
        <v>264</v>
      </c>
      <c r="J1123" s="15">
        <f>IFERROR(INDEX(Cost_Components!$K$2:$K$27,MATCH(E1123,Cost_Components!$A$2:$A$27,0)),"")</f>
        <v>1</v>
      </c>
      <c r="K1123" s="15">
        <f t="shared" si="170"/>
        <v>0.38538461538461538</v>
      </c>
      <c r="L1123" s="15">
        <f>IFERROR(INDEX(Cost_Components!$S$2:$S$27,MATCH(E1123,Cost_Components!$A$2:$A$27,0)),"")</f>
        <v>0.31</v>
      </c>
      <c r="M1123" s="26">
        <f>IFERROR(INDEX(Cost_Components!$L$2:$L$27,MATCH(E1123,Cost_Components!$A$2:$A$27,0)),"")</f>
        <v>1</v>
      </c>
      <c r="N1123" s="27">
        <f>IFERROR(INDEX(Cost_Components!$P$2:$P$27,MATCH(E1123,Cost_Components!$A$2:$A$27,0)),"")</f>
        <v>50.857354000000001</v>
      </c>
      <c r="O1123" s="21">
        <f t="shared" si="171"/>
        <v>770600.28849183698</v>
      </c>
      <c r="P1123" s="21">
        <f t="shared" si="172"/>
        <v>770226.00636820705</v>
      </c>
      <c r="Q1123" s="21">
        <f t="shared" si="173"/>
        <v>12143213.566420991</v>
      </c>
      <c r="R1123" s="21">
        <f t="shared" si="174"/>
        <v>15103489.63371544</v>
      </c>
      <c r="S1123" s="21">
        <f t="shared" si="175"/>
        <v>2960276.0672944486</v>
      </c>
      <c r="T1123" s="14">
        <f>IFERROR(INDEX(Cost_Components!$R$2:$R$27,MATCH(E1123,Cost_Components!$A$2:$A$27,0)),"")</f>
        <v>1</v>
      </c>
      <c r="U1123" s="24">
        <f>IFERROR(INDEX(Cost_Components!$Q$2:$Q$27,MATCH(E1123,Cost_Components!$A$2:$A$27,0)),"")</f>
        <v>2023</v>
      </c>
      <c r="V1123" s="28">
        <f>1/(1+Calculation_Assumptions!$B$5)^(B1123-Calculation_Assumptions!$B$2)</f>
        <v>0.91514165935315961</v>
      </c>
      <c r="W1123" s="21">
        <f t="shared" si="176"/>
        <v>11112760.613054305</v>
      </c>
      <c r="X1123" s="21">
        <f t="shared" si="177"/>
        <v>13821832.565421592</v>
      </c>
      <c r="Y1123" s="21">
        <f t="shared" si="178"/>
        <v>2709071.9523672871</v>
      </c>
      <c r="Z1123" s="15">
        <f>IFERROR(INDEX(Cost_Components!$T$2:$T$27,MATCH(E1123,Cost_Components!$A$2:$A$27,0)),"")</f>
        <v>0.8</v>
      </c>
      <c r="AA1123" s="24">
        <f>IFERROR(INDEX(Cost_Components!$U$2:$U$27,MATCH(E1123,Cost_Components!$A$2:$A$27,0)),"")</f>
        <v>2025</v>
      </c>
      <c r="AB1123" s="24">
        <f>IFERROR(INDEX(Cost_Components!$V$2:$V$27,MATCH(E1123,Cost_Components!$A$2:$A$27,0)),"")</f>
        <v>2050</v>
      </c>
      <c r="AC1123" s="24">
        <f>IFERROR(INDEX(Cost_Components!$M$2:$M$27,MATCH(E1123,Cost_Components!$A$2:$A$27,0)),"")</f>
        <v>5</v>
      </c>
      <c r="AD1123" s="24">
        <f>IFERROR(INDEX(Cost_Components!$N$2:$N$27,MATCH(E1123,Cost_Components!$A$2:$A$27,0)),"")</f>
        <v>39</v>
      </c>
      <c r="AE1123" s="14" t="str">
        <f>IFERROR(INDEX(Cost_Components!$O$2:$O$27,MATCH(E1123,Cost_Components!$A$2:$A$27,0)),"")</f>
        <v>Both</v>
      </c>
      <c r="AF1123" s="11">
        <v>770600.28849183698</v>
      </c>
      <c r="AG1123" s="11">
        <v>770226.00636820705</v>
      </c>
      <c r="AH1123" s="21">
        <f t="shared" si="179"/>
        <v>1</v>
      </c>
    </row>
    <row r="1124" spans="1:34">
      <c r="A1124" t="s">
        <v>75</v>
      </c>
      <c r="B1124" s="18">
        <v>2029</v>
      </c>
      <c r="C1124" t="s">
        <v>205</v>
      </c>
      <c r="D1124" t="s">
        <v>209</v>
      </c>
      <c r="E1124" s="20" t="s">
        <v>300</v>
      </c>
      <c r="F1124" s="20" t="s">
        <v>301</v>
      </c>
      <c r="G1124" s="20" t="s">
        <v>206</v>
      </c>
      <c r="H1124" s="20" t="s">
        <v>192</v>
      </c>
      <c r="I1124" s="20" t="s">
        <v>264</v>
      </c>
      <c r="J1124" s="15">
        <f>IFERROR(INDEX(Cost_Components!$K$2:$K$27,MATCH(E1124,Cost_Components!$A$2:$A$27,0)),"")</f>
        <v>1</v>
      </c>
      <c r="K1124" s="15">
        <f t="shared" si="170"/>
        <v>0.40423076923076923</v>
      </c>
      <c r="L1124" s="15">
        <f>IFERROR(INDEX(Cost_Components!$S$2:$S$27,MATCH(E1124,Cost_Components!$A$2:$A$27,0)),"")</f>
        <v>0.31</v>
      </c>
      <c r="M1124" s="26">
        <f>IFERROR(INDEX(Cost_Components!$L$2:$L$27,MATCH(E1124,Cost_Components!$A$2:$A$27,0)),"")</f>
        <v>1</v>
      </c>
      <c r="N1124" s="27">
        <f>IFERROR(INDEX(Cost_Components!$P$2:$P$27,MATCH(E1124,Cost_Components!$A$2:$A$27,0)),"")</f>
        <v>50.857354000000001</v>
      </c>
      <c r="O1124" s="21">
        <f t="shared" si="171"/>
        <v>774361.02771679696</v>
      </c>
      <c r="P1124" s="21">
        <f t="shared" si="172"/>
        <v>773813.40292375803</v>
      </c>
      <c r="Q1124" s="21">
        <f t="shared" si="173"/>
        <v>12199771.67035584</v>
      </c>
      <c r="R1124" s="21">
        <f t="shared" si="174"/>
        <v>15919397.118779693</v>
      </c>
      <c r="S1124" s="21">
        <f t="shared" si="175"/>
        <v>3719625.4484238531</v>
      </c>
      <c r="T1124" s="14">
        <f>IFERROR(INDEX(Cost_Components!$R$2:$R$27,MATCH(E1124,Cost_Components!$A$2:$A$27,0)),"")</f>
        <v>1</v>
      </c>
      <c r="U1124" s="24">
        <f>IFERROR(INDEX(Cost_Components!$Q$2:$Q$27,MATCH(E1124,Cost_Components!$A$2:$A$27,0)),"")</f>
        <v>2023</v>
      </c>
      <c r="V1124" s="28">
        <f>1/(1+Calculation_Assumptions!$B$5)^(B1124-Calculation_Assumptions!$B$2)</f>
        <v>0.888487047915689</v>
      </c>
      <c r="W1124" s="21">
        <f t="shared" si="176"/>
        <v>10839339.116639914</v>
      </c>
      <c r="X1124" s="21">
        <f t="shared" si="177"/>
        <v>14144178.150662094</v>
      </c>
      <c r="Y1124" s="21">
        <f t="shared" si="178"/>
        <v>3304839.0340221804</v>
      </c>
      <c r="Z1124" s="15">
        <f>IFERROR(INDEX(Cost_Components!$T$2:$T$27,MATCH(E1124,Cost_Components!$A$2:$A$27,0)),"")</f>
        <v>0.8</v>
      </c>
      <c r="AA1124" s="24">
        <f>IFERROR(INDEX(Cost_Components!$U$2:$U$27,MATCH(E1124,Cost_Components!$A$2:$A$27,0)),"")</f>
        <v>2025</v>
      </c>
      <c r="AB1124" s="24">
        <f>IFERROR(INDEX(Cost_Components!$V$2:$V$27,MATCH(E1124,Cost_Components!$A$2:$A$27,0)),"")</f>
        <v>2050</v>
      </c>
      <c r="AC1124" s="24">
        <f>IFERROR(INDEX(Cost_Components!$M$2:$M$27,MATCH(E1124,Cost_Components!$A$2:$A$27,0)),"")</f>
        <v>5</v>
      </c>
      <c r="AD1124" s="24">
        <f>IFERROR(INDEX(Cost_Components!$N$2:$N$27,MATCH(E1124,Cost_Components!$A$2:$A$27,0)),"")</f>
        <v>39</v>
      </c>
      <c r="AE1124" s="14" t="str">
        <f>IFERROR(INDEX(Cost_Components!$O$2:$O$27,MATCH(E1124,Cost_Components!$A$2:$A$27,0)),"")</f>
        <v>Both</v>
      </c>
      <c r="AF1124" s="11">
        <v>774361.02771679696</v>
      </c>
      <c r="AG1124" s="11">
        <v>773813.40292375803</v>
      </c>
      <c r="AH1124" s="21">
        <f t="shared" si="179"/>
        <v>1</v>
      </c>
    </row>
    <row r="1125" spans="1:34">
      <c r="A1125" t="s">
        <v>75</v>
      </c>
      <c r="B1125" s="18">
        <v>2030</v>
      </c>
      <c r="C1125" t="s">
        <v>205</v>
      </c>
      <c r="D1125" t="s">
        <v>209</v>
      </c>
      <c r="E1125" s="20" t="s">
        <v>300</v>
      </c>
      <c r="F1125" s="20" t="s">
        <v>301</v>
      </c>
      <c r="G1125" s="20" t="s">
        <v>206</v>
      </c>
      <c r="H1125" s="20" t="s">
        <v>192</v>
      </c>
      <c r="I1125" s="20" t="s">
        <v>264</v>
      </c>
      <c r="J1125" s="15">
        <f>IFERROR(INDEX(Cost_Components!$K$2:$K$27,MATCH(E1125,Cost_Components!$A$2:$A$27,0)),"")</f>
        <v>1</v>
      </c>
      <c r="K1125" s="15">
        <f t="shared" si="170"/>
        <v>0.42307692307692307</v>
      </c>
      <c r="L1125" s="15">
        <f>IFERROR(INDEX(Cost_Components!$S$2:$S$27,MATCH(E1125,Cost_Components!$A$2:$A$27,0)),"")</f>
        <v>0.31</v>
      </c>
      <c r="M1125" s="26">
        <f>IFERROR(INDEX(Cost_Components!$L$2:$L$27,MATCH(E1125,Cost_Components!$A$2:$A$27,0)),"")</f>
        <v>1</v>
      </c>
      <c r="N1125" s="27">
        <f>IFERROR(INDEX(Cost_Components!$P$2:$P$27,MATCH(E1125,Cost_Components!$A$2:$A$27,0)),"")</f>
        <v>50.857354000000001</v>
      </c>
      <c r="O1125" s="21">
        <f t="shared" si="171"/>
        <v>778400.18887825403</v>
      </c>
      <c r="P1125" s="21">
        <f t="shared" si="172"/>
        <v>777651.73673051805</v>
      </c>
      <c r="Q1125" s="21">
        <f t="shared" si="173"/>
        <v>12260285.995721815</v>
      </c>
      <c r="R1125" s="21">
        <f t="shared" si="174"/>
        <v>16748504.367458865</v>
      </c>
      <c r="S1125" s="21">
        <f t="shared" si="175"/>
        <v>4488218.3717370499</v>
      </c>
      <c r="T1125" s="14">
        <f>IFERROR(INDEX(Cost_Components!$R$2:$R$27,MATCH(E1125,Cost_Components!$A$2:$A$27,0)),"")</f>
        <v>1</v>
      </c>
      <c r="U1125" s="24">
        <f>IFERROR(INDEX(Cost_Components!$Q$2:$Q$27,MATCH(E1125,Cost_Components!$A$2:$A$27,0)),"")</f>
        <v>2023</v>
      </c>
      <c r="V1125" s="28">
        <f>1/(1+Calculation_Assumptions!$B$5)^(B1125-Calculation_Assumptions!$B$2)</f>
        <v>0.86260878438416411</v>
      </c>
      <c r="W1125" s="21">
        <f t="shared" si="176"/>
        <v>10575830.398971787</v>
      </c>
      <c r="X1125" s="21">
        <f t="shared" si="177"/>
        <v>14447406.992666556</v>
      </c>
      <c r="Y1125" s="21">
        <f t="shared" si="178"/>
        <v>3871576.5936947688</v>
      </c>
      <c r="Z1125" s="15">
        <f>IFERROR(INDEX(Cost_Components!$T$2:$T$27,MATCH(E1125,Cost_Components!$A$2:$A$27,0)),"")</f>
        <v>0.8</v>
      </c>
      <c r="AA1125" s="24">
        <f>IFERROR(INDEX(Cost_Components!$U$2:$U$27,MATCH(E1125,Cost_Components!$A$2:$A$27,0)),"")</f>
        <v>2025</v>
      </c>
      <c r="AB1125" s="24">
        <f>IFERROR(INDEX(Cost_Components!$V$2:$V$27,MATCH(E1125,Cost_Components!$A$2:$A$27,0)),"")</f>
        <v>2050</v>
      </c>
      <c r="AC1125" s="24">
        <f>IFERROR(INDEX(Cost_Components!$M$2:$M$27,MATCH(E1125,Cost_Components!$A$2:$A$27,0)),"")</f>
        <v>5</v>
      </c>
      <c r="AD1125" s="24">
        <f>IFERROR(INDEX(Cost_Components!$N$2:$N$27,MATCH(E1125,Cost_Components!$A$2:$A$27,0)),"")</f>
        <v>39</v>
      </c>
      <c r="AE1125" s="14" t="str">
        <f>IFERROR(INDEX(Cost_Components!$O$2:$O$27,MATCH(E1125,Cost_Components!$A$2:$A$27,0)),"")</f>
        <v>Both</v>
      </c>
      <c r="AF1125" s="11">
        <v>778400.18887825403</v>
      </c>
      <c r="AG1125" s="11">
        <v>777651.73673051805</v>
      </c>
      <c r="AH1125" s="21">
        <f t="shared" si="179"/>
        <v>1</v>
      </c>
    </row>
    <row r="1126" spans="1:34">
      <c r="A1126" t="s">
        <v>75</v>
      </c>
      <c r="B1126" s="18">
        <v>2031</v>
      </c>
      <c r="C1126" t="s">
        <v>205</v>
      </c>
      <c r="D1126" t="s">
        <v>209</v>
      </c>
      <c r="E1126" s="20" t="s">
        <v>300</v>
      </c>
      <c r="F1126" s="20" t="s">
        <v>301</v>
      </c>
      <c r="G1126" s="20" t="s">
        <v>206</v>
      </c>
      <c r="H1126" s="20" t="s">
        <v>192</v>
      </c>
      <c r="I1126" s="20" t="s">
        <v>264</v>
      </c>
      <c r="J1126" s="15">
        <f>IFERROR(INDEX(Cost_Components!$K$2:$K$27,MATCH(E1126,Cost_Components!$A$2:$A$27,0)),"")</f>
        <v>1</v>
      </c>
      <c r="K1126" s="15">
        <f t="shared" si="170"/>
        <v>0.44192307692307692</v>
      </c>
      <c r="L1126" s="15">
        <f>IFERROR(INDEX(Cost_Components!$S$2:$S$27,MATCH(E1126,Cost_Components!$A$2:$A$27,0)),"")</f>
        <v>0.31</v>
      </c>
      <c r="M1126" s="26">
        <f>IFERROR(INDEX(Cost_Components!$L$2:$L$27,MATCH(E1126,Cost_Components!$A$2:$A$27,0)),"")</f>
        <v>1</v>
      </c>
      <c r="N1126" s="27">
        <f>IFERROR(INDEX(Cost_Components!$P$2:$P$27,MATCH(E1126,Cost_Components!$A$2:$A$27,0)),"")</f>
        <v>50.857354000000001</v>
      </c>
      <c r="O1126" s="21">
        <f t="shared" si="171"/>
        <v>783105.33539169398</v>
      </c>
      <c r="P1126" s="21">
        <f t="shared" si="172"/>
        <v>782129.54999654798</v>
      </c>
      <c r="Q1126" s="21">
        <f t="shared" si="173"/>
        <v>12330882.213390894</v>
      </c>
      <c r="R1126" s="21">
        <f t="shared" si="174"/>
        <v>17600322.455860931</v>
      </c>
      <c r="S1126" s="21">
        <f t="shared" si="175"/>
        <v>5269440.2424700372</v>
      </c>
      <c r="T1126" s="14">
        <f>IFERROR(INDEX(Cost_Components!$R$2:$R$27,MATCH(E1126,Cost_Components!$A$2:$A$27,0)),"")</f>
        <v>1</v>
      </c>
      <c r="U1126" s="24">
        <f>IFERROR(INDEX(Cost_Components!$Q$2:$Q$27,MATCH(E1126,Cost_Components!$A$2:$A$27,0)),"")</f>
        <v>2023</v>
      </c>
      <c r="V1126" s="28">
        <f>1/(1+Calculation_Assumptions!$B$5)^(B1126-Calculation_Assumptions!$B$2)</f>
        <v>0.83748425668365445</v>
      </c>
      <c r="W1126" s="21">
        <f t="shared" si="176"/>
        <v>10326919.724735368</v>
      </c>
      <c r="X1126" s="21">
        <f t="shared" si="177"/>
        <v>14739992.969339324</v>
      </c>
      <c r="Y1126" s="21">
        <f t="shared" si="178"/>
        <v>4413073.2446039552</v>
      </c>
      <c r="Z1126" s="15">
        <f>IFERROR(INDEX(Cost_Components!$T$2:$T$27,MATCH(E1126,Cost_Components!$A$2:$A$27,0)),"")</f>
        <v>0.8</v>
      </c>
      <c r="AA1126" s="24">
        <f>IFERROR(INDEX(Cost_Components!$U$2:$U$27,MATCH(E1126,Cost_Components!$A$2:$A$27,0)),"")</f>
        <v>2025</v>
      </c>
      <c r="AB1126" s="24">
        <f>IFERROR(INDEX(Cost_Components!$V$2:$V$27,MATCH(E1126,Cost_Components!$A$2:$A$27,0)),"")</f>
        <v>2050</v>
      </c>
      <c r="AC1126" s="24">
        <f>IFERROR(INDEX(Cost_Components!$M$2:$M$27,MATCH(E1126,Cost_Components!$A$2:$A$27,0)),"")</f>
        <v>5</v>
      </c>
      <c r="AD1126" s="24">
        <f>IFERROR(INDEX(Cost_Components!$N$2:$N$27,MATCH(E1126,Cost_Components!$A$2:$A$27,0)),"")</f>
        <v>39</v>
      </c>
      <c r="AE1126" s="14" t="str">
        <f>IFERROR(INDEX(Cost_Components!$O$2:$O$27,MATCH(E1126,Cost_Components!$A$2:$A$27,0)),"")</f>
        <v>Both</v>
      </c>
      <c r="AF1126" s="11">
        <v>783105.33539169398</v>
      </c>
      <c r="AG1126" s="11">
        <v>782129.54999654798</v>
      </c>
      <c r="AH1126" s="21">
        <f t="shared" si="179"/>
        <v>1</v>
      </c>
    </row>
    <row r="1127" spans="1:34">
      <c r="A1127" t="s">
        <v>75</v>
      </c>
      <c r="B1127" s="18">
        <v>2032</v>
      </c>
      <c r="C1127" t="s">
        <v>205</v>
      </c>
      <c r="D1127" t="s">
        <v>209</v>
      </c>
      <c r="E1127" s="20" t="s">
        <v>300</v>
      </c>
      <c r="F1127" s="20" t="s">
        <v>301</v>
      </c>
      <c r="G1127" s="20" t="s">
        <v>206</v>
      </c>
      <c r="H1127" s="20" t="s">
        <v>192</v>
      </c>
      <c r="I1127" s="20" t="s">
        <v>264</v>
      </c>
      <c r="J1127" s="15">
        <f>IFERROR(INDEX(Cost_Components!$K$2:$K$27,MATCH(E1127,Cost_Components!$A$2:$A$27,0)),"")</f>
        <v>1</v>
      </c>
      <c r="K1127" s="15">
        <f t="shared" si="170"/>
        <v>0.46076923076923082</v>
      </c>
      <c r="L1127" s="15">
        <f>IFERROR(INDEX(Cost_Components!$S$2:$S$27,MATCH(E1127,Cost_Components!$A$2:$A$27,0)),"")</f>
        <v>0.31</v>
      </c>
      <c r="M1127" s="26">
        <f>IFERROR(INDEX(Cost_Components!$L$2:$L$27,MATCH(E1127,Cost_Components!$A$2:$A$27,0)),"")</f>
        <v>1</v>
      </c>
      <c r="N1127" s="27">
        <f>IFERROR(INDEX(Cost_Components!$P$2:$P$27,MATCH(E1127,Cost_Components!$A$2:$A$27,0)),"")</f>
        <v>50.857354000000001</v>
      </c>
      <c r="O1127" s="21">
        <f t="shared" si="171"/>
        <v>788274.87624146696</v>
      </c>
      <c r="P1127" s="21">
        <f t="shared" si="172"/>
        <v>787046.58608845004</v>
      </c>
      <c r="Q1127" s="21">
        <f t="shared" si="173"/>
        <v>12408403.121389452</v>
      </c>
      <c r="R1127" s="21">
        <f t="shared" si="174"/>
        <v>18472042.37212367</v>
      </c>
      <c r="S1127" s="21">
        <f t="shared" si="175"/>
        <v>6063639.2507342175</v>
      </c>
      <c r="T1127" s="14">
        <f>IFERROR(INDEX(Cost_Components!$R$2:$R$27,MATCH(E1127,Cost_Components!$A$2:$A$27,0)),"")</f>
        <v>1</v>
      </c>
      <c r="U1127" s="24">
        <f>IFERROR(INDEX(Cost_Components!$Q$2:$Q$27,MATCH(E1127,Cost_Components!$A$2:$A$27,0)),"")</f>
        <v>2023</v>
      </c>
      <c r="V1127" s="28">
        <f>1/(1+Calculation_Assumptions!$B$5)^(B1127-Calculation_Assumptions!$B$2)</f>
        <v>0.81309151134335378</v>
      </c>
      <c r="W1127" s="21">
        <f t="shared" si="176"/>
        <v>10089167.247328138</v>
      </c>
      <c r="X1127" s="21">
        <f t="shared" si="177"/>
        <v>15019460.849948505</v>
      </c>
      <c r="Y1127" s="21">
        <f t="shared" si="178"/>
        <v>4930293.602620366</v>
      </c>
      <c r="Z1127" s="15">
        <f>IFERROR(INDEX(Cost_Components!$T$2:$T$27,MATCH(E1127,Cost_Components!$A$2:$A$27,0)),"")</f>
        <v>0.8</v>
      </c>
      <c r="AA1127" s="24">
        <f>IFERROR(INDEX(Cost_Components!$U$2:$U$27,MATCH(E1127,Cost_Components!$A$2:$A$27,0)),"")</f>
        <v>2025</v>
      </c>
      <c r="AB1127" s="24">
        <f>IFERROR(INDEX(Cost_Components!$V$2:$V$27,MATCH(E1127,Cost_Components!$A$2:$A$27,0)),"")</f>
        <v>2050</v>
      </c>
      <c r="AC1127" s="24">
        <f>IFERROR(INDEX(Cost_Components!$M$2:$M$27,MATCH(E1127,Cost_Components!$A$2:$A$27,0)),"")</f>
        <v>5</v>
      </c>
      <c r="AD1127" s="24">
        <f>IFERROR(INDEX(Cost_Components!$N$2:$N$27,MATCH(E1127,Cost_Components!$A$2:$A$27,0)),"")</f>
        <v>39</v>
      </c>
      <c r="AE1127" s="14" t="str">
        <f>IFERROR(INDEX(Cost_Components!$O$2:$O$27,MATCH(E1127,Cost_Components!$A$2:$A$27,0)),"")</f>
        <v>Both</v>
      </c>
      <c r="AF1127" s="11">
        <v>788274.87624146696</v>
      </c>
      <c r="AG1127" s="11">
        <v>787046.58608845004</v>
      </c>
      <c r="AH1127" s="21">
        <f t="shared" si="179"/>
        <v>1</v>
      </c>
    </row>
    <row r="1128" spans="1:34">
      <c r="A1128" t="s">
        <v>75</v>
      </c>
      <c r="B1128" s="18">
        <v>2033</v>
      </c>
      <c r="C1128" t="s">
        <v>205</v>
      </c>
      <c r="D1128" t="s">
        <v>209</v>
      </c>
      <c r="E1128" s="20" t="s">
        <v>300</v>
      </c>
      <c r="F1128" s="20" t="s">
        <v>301</v>
      </c>
      <c r="G1128" s="20" t="s">
        <v>206</v>
      </c>
      <c r="H1128" s="20" t="s">
        <v>192</v>
      </c>
      <c r="I1128" s="20" t="s">
        <v>264</v>
      </c>
      <c r="J1128" s="15">
        <f>IFERROR(INDEX(Cost_Components!$K$2:$K$27,MATCH(E1128,Cost_Components!$A$2:$A$27,0)),"")</f>
        <v>1</v>
      </c>
      <c r="K1128" s="15">
        <f t="shared" si="170"/>
        <v>0.47961538461538467</v>
      </c>
      <c r="L1128" s="15">
        <f>IFERROR(INDEX(Cost_Components!$S$2:$S$27,MATCH(E1128,Cost_Components!$A$2:$A$27,0)),"")</f>
        <v>0.31</v>
      </c>
      <c r="M1128" s="26">
        <f>IFERROR(INDEX(Cost_Components!$L$2:$L$27,MATCH(E1128,Cost_Components!$A$2:$A$27,0)),"")</f>
        <v>1</v>
      </c>
      <c r="N1128" s="27">
        <f>IFERROR(INDEX(Cost_Components!$P$2:$P$27,MATCH(E1128,Cost_Components!$A$2:$A$27,0)),"")</f>
        <v>50.857354000000001</v>
      </c>
      <c r="O1128" s="21">
        <f t="shared" si="171"/>
        <v>793394.58747943304</v>
      </c>
      <c r="P1128" s="21">
        <f t="shared" si="172"/>
        <v>791890.50355605502</v>
      </c>
      <c r="Q1128" s="21">
        <f t="shared" si="173"/>
        <v>12484771.25726245</v>
      </c>
      <c r="R1128" s="21">
        <f t="shared" si="174"/>
        <v>19352456.499313653</v>
      </c>
      <c r="S1128" s="21">
        <f t="shared" si="175"/>
        <v>6867685.2420512028</v>
      </c>
      <c r="T1128" s="14">
        <f>IFERROR(INDEX(Cost_Components!$R$2:$R$27,MATCH(E1128,Cost_Components!$A$2:$A$27,0)),"")</f>
        <v>1</v>
      </c>
      <c r="U1128" s="24">
        <f>IFERROR(INDEX(Cost_Components!$Q$2:$Q$27,MATCH(E1128,Cost_Components!$A$2:$A$27,0)),"")</f>
        <v>2023</v>
      </c>
      <c r="V1128" s="28">
        <f>1/(1+Calculation_Assumptions!$B$5)^(B1128-Calculation_Assumptions!$B$2)</f>
        <v>0.78940923431393573</v>
      </c>
      <c r="W1128" s="21">
        <f t="shared" si="176"/>
        <v>9855593.7187801823</v>
      </c>
      <c r="X1128" s="21">
        <f t="shared" si="177"/>
        <v>15277007.867216939</v>
      </c>
      <c r="Y1128" s="21">
        <f t="shared" si="178"/>
        <v>5421414.1484367568</v>
      </c>
      <c r="Z1128" s="15">
        <f>IFERROR(INDEX(Cost_Components!$T$2:$T$27,MATCH(E1128,Cost_Components!$A$2:$A$27,0)),"")</f>
        <v>0.8</v>
      </c>
      <c r="AA1128" s="24">
        <f>IFERROR(INDEX(Cost_Components!$U$2:$U$27,MATCH(E1128,Cost_Components!$A$2:$A$27,0)),"")</f>
        <v>2025</v>
      </c>
      <c r="AB1128" s="24">
        <f>IFERROR(INDEX(Cost_Components!$V$2:$V$27,MATCH(E1128,Cost_Components!$A$2:$A$27,0)),"")</f>
        <v>2050</v>
      </c>
      <c r="AC1128" s="24">
        <f>IFERROR(INDEX(Cost_Components!$M$2:$M$27,MATCH(E1128,Cost_Components!$A$2:$A$27,0)),"")</f>
        <v>5</v>
      </c>
      <c r="AD1128" s="24">
        <f>IFERROR(INDEX(Cost_Components!$N$2:$N$27,MATCH(E1128,Cost_Components!$A$2:$A$27,0)),"")</f>
        <v>39</v>
      </c>
      <c r="AE1128" s="14" t="str">
        <f>IFERROR(INDEX(Cost_Components!$O$2:$O$27,MATCH(E1128,Cost_Components!$A$2:$A$27,0)),"")</f>
        <v>Both</v>
      </c>
      <c r="AF1128" s="11">
        <v>793394.58747943304</v>
      </c>
      <c r="AG1128" s="11">
        <v>791890.50355605502</v>
      </c>
      <c r="AH1128" s="21">
        <f t="shared" si="179"/>
        <v>1</v>
      </c>
    </row>
    <row r="1129" spans="1:34">
      <c r="A1129" t="s">
        <v>75</v>
      </c>
      <c r="B1129" s="18">
        <v>2034</v>
      </c>
      <c r="C1129" t="s">
        <v>205</v>
      </c>
      <c r="D1129" t="s">
        <v>209</v>
      </c>
      <c r="E1129" s="20" t="s">
        <v>300</v>
      </c>
      <c r="F1129" s="20" t="s">
        <v>301</v>
      </c>
      <c r="G1129" s="20" t="s">
        <v>206</v>
      </c>
      <c r="H1129" s="20" t="s">
        <v>192</v>
      </c>
      <c r="I1129" s="20" t="s">
        <v>264</v>
      </c>
      <c r="J1129" s="15">
        <f>IFERROR(INDEX(Cost_Components!$K$2:$K$27,MATCH(E1129,Cost_Components!$A$2:$A$27,0)),"")</f>
        <v>1</v>
      </c>
      <c r="K1129" s="15">
        <f t="shared" si="170"/>
        <v>0.49846153846153851</v>
      </c>
      <c r="L1129" s="15">
        <f>IFERROR(INDEX(Cost_Components!$S$2:$S$27,MATCH(E1129,Cost_Components!$A$2:$A$27,0)),"")</f>
        <v>0.31</v>
      </c>
      <c r="M1129" s="26">
        <f>IFERROR(INDEX(Cost_Components!$L$2:$L$27,MATCH(E1129,Cost_Components!$A$2:$A$27,0)),"")</f>
        <v>1</v>
      </c>
      <c r="N1129" s="27">
        <f>IFERROR(INDEX(Cost_Components!$P$2:$P$27,MATCH(E1129,Cost_Components!$A$2:$A$27,0)),"")</f>
        <v>50.857354000000001</v>
      </c>
      <c r="O1129" s="21">
        <f t="shared" si="171"/>
        <v>798012.39907219599</v>
      </c>
      <c r="P1129" s="21">
        <f t="shared" si="172"/>
        <v>796211.60219747201</v>
      </c>
      <c r="Q1129" s="21">
        <f t="shared" si="173"/>
        <v>12552896.746677844</v>
      </c>
      <c r="R1129" s="21">
        <f t="shared" si="174"/>
        <v>20229961.385577351</v>
      </c>
      <c r="S1129" s="21">
        <f t="shared" si="175"/>
        <v>7677064.638899507</v>
      </c>
      <c r="T1129" s="14">
        <f>IFERROR(INDEX(Cost_Components!$R$2:$R$27,MATCH(E1129,Cost_Components!$A$2:$A$27,0)),"")</f>
        <v>1</v>
      </c>
      <c r="U1129" s="24">
        <f>IFERROR(INDEX(Cost_Components!$Q$2:$Q$27,MATCH(E1129,Cost_Components!$A$2:$A$27,0)),"")</f>
        <v>2023</v>
      </c>
      <c r="V1129" s="28">
        <f>1/(1+Calculation_Assumptions!$B$5)^(B1129-Calculation_Assumptions!$B$2)</f>
        <v>0.76641673234362695</v>
      </c>
      <c r="W1129" s="21">
        <f t="shared" si="176"/>
        <v>9620750.1060357783</v>
      </c>
      <c r="X1129" s="21">
        <f t="shared" si="177"/>
        <v>15504580.900571944</v>
      </c>
      <c r="Y1129" s="21">
        <f t="shared" si="178"/>
        <v>5883830.7945361668</v>
      </c>
      <c r="Z1129" s="15">
        <f>IFERROR(INDEX(Cost_Components!$T$2:$T$27,MATCH(E1129,Cost_Components!$A$2:$A$27,0)),"")</f>
        <v>0.8</v>
      </c>
      <c r="AA1129" s="24">
        <f>IFERROR(INDEX(Cost_Components!$U$2:$U$27,MATCH(E1129,Cost_Components!$A$2:$A$27,0)),"")</f>
        <v>2025</v>
      </c>
      <c r="AB1129" s="24">
        <f>IFERROR(INDEX(Cost_Components!$V$2:$V$27,MATCH(E1129,Cost_Components!$A$2:$A$27,0)),"")</f>
        <v>2050</v>
      </c>
      <c r="AC1129" s="24">
        <f>IFERROR(INDEX(Cost_Components!$M$2:$M$27,MATCH(E1129,Cost_Components!$A$2:$A$27,0)),"")</f>
        <v>5</v>
      </c>
      <c r="AD1129" s="24">
        <f>IFERROR(INDEX(Cost_Components!$N$2:$N$27,MATCH(E1129,Cost_Components!$A$2:$A$27,0)),"")</f>
        <v>39</v>
      </c>
      <c r="AE1129" s="14" t="str">
        <f>IFERROR(INDEX(Cost_Components!$O$2:$O$27,MATCH(E1129,Cost_Components!$A$2:$A$27,0)),"")</f>
        <v>Both</v>
      </c>
      <c r="AF1129" s="11">
        <v>798012.39907219599</v>
      </c>
      <c r="AG1129" s="11">
        <v>796211.60219747201</v>
      </c>
      <c r="AH1129" s="21">
        <f t="shared" si="179"/>
        <v>1</v>
      </c>
    </row>
    <row r="1130" spans="1:34">
      <c r="A1130" t="s">
        <v>75</v>
      </c>
      <c r="B1130" s="18">
        <v>2035</v>
      </c>
      <c r="C1130" t="s">
        <v>205</v>
      </c>
      <c r="D1130" t="s">
        <v>209</v>
      </c>
      <c r="E1130" s="20" t="s">
        <v>300</v>
      </c>
      <c r="F1130" s="20" t="s">
        <v>301</v>
      </c>
      <c r="G1130" s="20" t="s">
        <v>206</v>
      </c>
      <c r="H1130" s="20" t="s">
        <v>192</v>
      </c>
      <c r="I1130" s="20" t="s">
        <v>264</v>
      </c>
      <c r="J1130" s="15">
        <f>IFERROR(INDEX(Cost_Components!$K$2:$K$27,MATCH(E1130,Cost_Components!$A$2:$A$27,0)),"")</f>
        <v>1</v>
      </c>
      <c r="K1130" s="15">
        <f t="shared" si="170"/>
        <v>0.51730769230769236</v>
      </c>
      <c r="L1130" s="15">
        <f>IFERROR(INDEX(Cost_Components!$S$2:$S$27,MATCH(E1130,Cost_Components!$A$2:$A$27,0)),"")</f>
        <v>0.31</v>
      </c>
      <c r="M1130" s="26">
        <f>IFERROR(INDEX(Cost_Components!$L$2:$L$27,MATCH(E1130,Cost_Components!$A$2:$A$27,0)),"")</f>
        <v>1</v>
      </c>
      <c r="N1130" s="27">
        <f>IFERROR(INDEX(Cost_Components!$P$2:$P$27,MATCH(E1130,Cost_Components!$A$2:$A$27,0)),"")</f>
        <v>50.857354000000001</v>
      </c>
      <c r="O1130" s="21">
        <f t="shared" si="171"/>
        <v>801918.56693802401</v>
      </c>
      <c r="P1130" s="21">
        <f t="shared" si="172"/>
        <v>799802.85680427903</v>
      </c>
      <c r="Q1130" s="21">
        <f t="shared" si="173"/>
        <v>12609515.675799023</v>
      </c>
      <c r="R1130" s="21">
        <f t="shared" si="174"/>
        <v>21097595.734241929</v>
      </c>
      <c r="S1130" s="21">
        <f t="shared" si="175"/>
        <v>8488080.0584429055</v>
      </c>
      <c r="T1130" s="14">
        <f>IFERROR(INDEX(Cost_Components!$R$2:$R$27,MATCH(E1130,Cost_Components!$A$2:$A$27,0)),"")</f>
        <v>1</v>
      </c>
      <c r="U1130" s="24">
        <f>IFERROR(INDEX(Cost_Components!$Q$2:$Q$27,MATCH(E1130,Cost_Components!$A$2:$A$27,0)),"")</f>
        <v>2023</v>
      </c>
      <c r="V1130" s="28">
        <f>1/(1+Calculation_Assumptions!$B$5)^(B1130-Calculation_Assumptions!$B$2)</f>
        <v>0.74409391489672516</v>
      </c>
      <c r="W1130" s="21">
        <f t="shared" si="176"/>
        <v>9382663.88415692</v>
      </c>
      <c r="X1130" s="21">
        <f t="shared" si="177"/>
        <v>15698592.604800526</v>
      </c>
      <c r="Y1130" s="21">
        <f t="shared" si="178"/>
        <v>6315928.7206436051</v>
      </c>
      <c r="Z1130" s="15">
        <f>IFERROR(INDEX(Cost_Components!$T$2:$T$27,MATCH(E1130,Cost_Components!$A$2:$A$27,0)),"")</f>
        <v>0.8</v>
      </c>
      <c r="AA1130" s="24">
        <f>IFERROR(INDEX(Cost_Components!$U$2:$U$27,MATCH(E1130,Cost_Components!$A$2:$A$27,0)),"")</f>
        <v>2025</v>
      </c>
      <c r="AB1130" s="24">
        <f>IFERROR(INDEX(Cost_Components!$V$2:$V$27,MATCH(E1130,Cost_Components!$A$2:$A$27,0)),"")</f>
        <v>2050</v>
      </c>
      <c r="AC1130" s="24">
        <f>IFERROR(INDEX(Cost_Components!$M$2:$M$27,MATCH(E1130,Cost_Components!$A$2:$A$27,0)),"")</f>
        <v>5</v>
      </c>
      <c r="AD1130" s="24">
        <f>IFERROR(INDEX(Cost_Components!$N$2:$N$27,MATCH(E1130,Cost_Components!$A$2:$A$27,0)),"")</f>
        <v>39</v>
      </c>
      <c r="AE1130" s="14" t="str">
        <f>IFERROR(INDEX(Cost_Components!$O$2:$O$27,MATCH(E1130,Cost_Components!$A$2:$A$27,0)),"")</f>
        <v>Both</v>
      </c>
      <c r="AF1130" s="11">
        <v>801918.56693802401</v>
      </c>
      <c r="AG1130" s="11">
        <v>799802.85680427903</v>
      </c>
      <c r="AH1130" s="21">
        <f t="shared" si="179"/>
        <v>1</v>
      </c>
    </row>
    <row r="1131" spans="1:34">
      <c r="A1131" t="s">
        <v>75</v>
      </c>
      <c r="B1131" s="18">
        <v>2036</v>
      </c>
      <c r="C1131" t="s">
        <v>205</v>
      </c>
      <c r="D1131" t="s">
        <v>209</v>
      </c>
      <c r="E1131" s="20" t="s">
        <v>300</v>
      </c>
      <c r="F1131" s="20" t="s">
        <v>301</v>
      </c>
      <c r="G1131" s="20" t="s">
        <v>206</v>
      </c>
      <c r="H1131" s="20" t="s">
        <v>192</v>
      </c>
      <c r="I1131" s="20" t="s">
        <v>264</v>
      </c>
      <c r="J1131" s="15">
        <f>IFERROR(INDEX(Cost_Components!$K$2:$K$27,MATCH(E1131,Cost_Components!$A$2:$A$27,0)),"")</f>
        <v>1</v>
      </c>
      <c r="K1131" s="15">
        <f t="shared" si="170"/>
        <v>0.5361538461538462</v>
      </c>
      <c r="L1131" s="15">
        <f>IFERROR(INDEX(Cost_Components!$S$2:$S$27,MATCH(E1131,Cost_Components!$A$2:$A$27,0)),"")</f>
        <v>0.31</v>
      </c>
      <c r="M1131" s="26">
        <f>IFERROR(INDEX(Cost_Components!$L$2:$L$27,MATCH(E1131,Cost_Components!$A$2:$A$27,0)),"")</f>
        <v>1</v>
      </c>
      <c r="N1131" s="27">
        <f>IFERROR(INDEX(Cost_Components!$P$2:$P$27,MATCH(E1131,Cost_Components!$A$2:$A$27,0)),"")</f>
        <v>50.857354000000001</v>
      </c>
      <c r="O1131" s="21">
        <f t="shared" si="171"/>
        <v>805477.10382264794</v>
      </c>
      <c r="P1131" s="21">
        <f t="shared" si="172"/>
        <v>803029.36931745498</v>
      </c>
      <c r="Q1131" s="21">
        <f t="shared" si="173"/>
        <v>12660384.16141011</v>
      </c>
      <c r="R1131" s="21">
        <f t="shared" si="174"/>
        <v>21963238.956137083</v>
      </c>
      <c r="S1131" s="21">
        <f t="shared" si="175"/>
        <v>9302854.7947269734</v>
      </c>
      <c r="T1131" s="14">
        <f>IFERROR(INDEX(Cost_Components!$R$2:$R$27,MATCH(E1131,Cost_Components!$A$2:$A$27,0)),"")</f>
        <v>1</v>
      </c>
      <c r="U1131" s="24">
        <f>IFERROR(INDEX(Cost_Components!$Q$2:$Q$27,MATCH(E1131,Cost_Components!$A$2:$A$27,0)),"")</f>
        <v>2023</v>
      </c>
      <c r="V1131" s="28">
        <f>1/(1+Calculation_Assumptions!$B$5)^(B1131-Calculation_Assumptions!$B$2)</f>
        <v>0.72242127659876232</v>
      </c>
      <c r="W1131" s="21">
        <f t="shared" si="176"/>
        <v>9146130.8881166428</v>
      </c>
      <c r="X1131" s="21">
        <f t="shared" si="177"/>
        <v>15866711.124936219</v>
      </c>
      <c r="Y1131" s="21">
        <f t="shared" si="178"/>
        <v>6720580.2368195774</v>
      </c>
      <c r="Z1131" s="15">
        <f>IFERROR(INDEX(Cost_Components!$T$2:$T$27,MATCH(E1131,Cost_Components!$A$2:$A$27,0)),"")</f>
        <v>0.8</v>
      </c>
      <c r="AA1131" s="24">
        <f>IFERROR(INDEX(Cost_Components!$U$2:$U$27,MATCH(E1131,Cost_Components!$A$2:$A$27,0)),"")</f>
        <v>2025</v>
      </c>
      <c r="AB1131" s="24">
        <f>IFERROR(INDEX(Cost_Components!$V$2:$V$27,MATCH(E1131,Cost_Components!$A$2:$A$27,0)),"")</f>
        <v>2050</v>
      </c>
      <c r="AC1131" s="24">
        <f>IFERROR(INDEX(Cost_Components!$M$2:$M$27,MATCH(E1131,Cost_Components!$A$2:$A$27,0)),"")</f>
        <v>5</v>
      </c>
      <c r="AD1131" s="24">
        <f>IFERROR(INDEX(Cost_Components!$N$2:$N$27,MATCH(E1131,Cost_Components!$A$2:$A$27,0)),"")</f>
        <v>39</v>
      </c>
      <c r="AE1131" s="14" t="str">
        <f>IFERROR(INDEX(Cost_Components!$O$2:$O$27,MATCH(E1131,Cost_Components!$A$2:$A$27,0)),"")</f>
        <v>Both</v>
      </c>
      <c r="AF1131" s="11">
        <v>805477.10382264794</v>
      </c>
      <c r="AG1131" s="11">
        <v>803029.36931745498</v>
      </c>
      <c r="AH1131" s="21">
        <f t="shared" si="179"/>
        <v>1</v>
      </c>
    </row>
    <row r="1132" spans="1:34">
      <c r="A1132" t="s">
        <v>75</v>
      </c>
      <c r="B1132" s="18">
        <v>2037</v>
      </c>
      <c r="C1132" t="s">
        <v>205</v>
      </c>
      <c r="D1132" t="s">
        <v>209</v>
      </c>
      <c r="E1132" s="20" t="s">
        <v>300</v>
      </c>
      <c r="F1132" s="20" t="s">
        <v>301</v>
      </c>
      <c r="G1132" s="20" t="s">
        <v>206</v>
      </c>
      <c r="H1132" s="20" t="s">
        <v>192</v>
      </c>
      <c r="I1132" s="20" t="s">
        <v>264</v>
      </c>
      <c r="J1132" s="15">
        <f>IFERROR(INDEX(Cost_Components!$K$2:$K$27,MATCH(E1132,Cost_Components!$A$2:$A$27,0)),"")</f>
        <v>1</v>
      </c>
      <c r="K1132" s="15">
        <f t="shared" si="170"/>
        <v>0.55500000000000005</v>
      </c>
      <c r="L1132" s="15">
        <f>IFERROR(INDEX(Cost_Components!$S$2:$S$27,MATCH(E1132,Cost_Components!$A$2:$A$27,0)),"")</f>
        <v>0.31</v>
      </c>
      <c r="M1132" s="26">
        <f>IFERROR(INDEX(Cost_Components!$L$2:$L$27,MATCH(E1132,Cost_Components!$A$2:$A$27,0)),"")</f>
        <v>1</v>
      </c>
      <c r="N1132" s="27">
        <f>IFERROR(INDEX(Cost_Components!$P$2:$P$27,MATCH(E1132,Cost_Components!$A$2:$A$27,0)),"")</f>
        <v>50.857354000000001</v>
      </c>
      <c r="O1132" s="21">
        <f t="shared" si="171"/>
        <v>808605.16173899395</v>
      </c>
      <c r="P1132" s="21">
        <f t="shared" si="172"/>
        <v>805810.234480193</v>
      </c>
      <c r="Q1132" s="21">
        <f t="shared" si="173"/>
        <v>12704226.669052476</v>
      </c>
      <c r="R1132" s="21">
        <f t="shared" si="174"/>
        <v>22823553.021016937</v>
      </c>
      <c r="S1132" s="21">
        <f t="shared" si="175"/>
        <v>10119326.351964461</v>
      </c>
      <c r="T1132" s="14">
        <f>IFERROR(INDEX(Cost_Components!$R$2:$R$27,MATCH(E1132,Cost_Components!$A$2:$A$27,0)),"")</f>
        <v>1</v>
      </c>
      <c r="U1132" s="24">
        <f>IFERROR(INDEX(Cost_Components!$Q$2:$Q$27,MATCH(E1132,Cost_Components!$A$2:$A$27,0)),"")</f>
        <v>2023</v>
      </c>
      <c r="V1132" s="28">
        <f>1/(1+Calculation_Assumptions!$B$5)^(B1132-Calculation_Assumptions!$B$2)</f>
        <v>0.70137988019297326</v>
      </c>
      <c r="W1132" s="21">
        <f t="shared" si="176"/>
        <v>8910488.9790844023</v>
      </c>
      <c r="X1132" s="21">
        <f t="shared" si="177"/>
        <v>16007980.883458832</v>
      </c>
      <c r="Y1132" s="21">
        <f t="shared" si="178"/>
        <v>7097491.9043744309</v>
      </c>
      <c r="Z1132" s="15">
        <f>IFERROR(INDEX(Cost_Components!$T$2:$T$27,MATCH(E1132,Cost_Components!$A$2:$A$27,0)),"")</f>
        <v>0.8</v>
      </c>
      <c r="AA1132" s="24">
        <f>IFERROR(INDEX(Cost_Components!$U$2:$U$27,MATCH(E1132,Cost_Components!$A$2:$A$27,0)),"")</f>
        <v>2025</v>
      </c>
      <c r="AB1132" s="24">
        <f>IFERROR(INDEX(Cost_Components!$V$2:$V$27,MATCH(E1132,Cost_Components!$A$2:$A$27,0)),"")</f>
        <v>2050</v>
      </c>
      <c r="AC1132" s="24">
        <f>IFERROR(INDEX(Cost_Components!$M$2:$M$27,MATCH(E1132,Cost_Components!$A$2:$A$27,0)),"")</f>
        <v>5</v>
      </c>
      <c r="AD1132" s="24">
        <f>IFERROR(INDEX(Cost_Components!$N$2:$N$27,MATCH(E1132,Cost_Components!$A$2:$A$27,0)),"")</f>
        <v>39</v>
      </c>
      <c r="AE1132" s="14" t="str">
        <f>IFERROR(INDEX(Cost_Components!$O$2:$O$27,MATCH(E1132,Cost_Components!$A$2:$A$27,0)),"")</f>
        <v>Both</v>
      </c>
      <c r="AF1132" s="11">
        <v>808605.16173899395</v>
      </c>
      <c r="AG1132" s="11">
        <v>805810.234480193</v>
      </c>
      <c r="AH1132" s="21">
        <f t="shared" si="179"/>
        <v>1</v>
      </c>
    </row>
    <row r="1133" spans="1:34">
      <c r="A1133" t="s">
        <v>75</v>
      </c>
      <c r="B1133" s="18">
        <v>2038</v>
      </c>
      <c r="C1133" t="s">
        <v>205</v>
      </c>
      <c r="D1133" t="s">
        <v>209</v>
      </c>
      <c r="E1133" s="20" t="s">
        <v>300</v>
      </c>
      <c r="F1133" s="20" t="s">
        <v>301</v>
      </c>
      <c r="G1133" s="20" t="s">
        <v>206</v>
      </c>
      <c r="H1133" s="20" t="s">
        <v>192</v>
      </c>
      <c r="I1133" s="20" t="s">
        <v>264</v>
      </c>
      <c r="J1133" s="15">
        <f>IFERROR(INDEX(Cost_Components!$K$2:$K$27,MATCH(E1133,Cost_Components!$A$2:$A$27,0)),"")</f>
        <v>1</v>
      </c>
      <c r="K1133" s="15">
        <f t="shared" si="170"/>
        <v>0.57384615384615389</v>
      </c>
      <c r="L1133" s="15">
        <f>IFERROR(INDEX(Cost_Components!$S$2:$S$27,MATCH(E1133,Cost_Components!$A$2:$A$27,0)),"")</f>
        <v>0.31</v>
      </c>
      <c r="M1133" s="26">
        <f>IFERROR(INDEX(Cost_Components!$L$2:$L$27,MATCH(E1133,Cost_Components!$A$2:$A$27,0)),"")</f>
        <v>1</v>
      </c>
      <c r="N1133" s="27">
        <f>IFERROR(INDEX(Cost_Components!$P$2:$P$27,MATCH(E1133,Cost_Components!$A$2:$A$27,0)),"")</f>
        <v>50.857354000000001</v>
      </c>
      <c r="O1133" s="21">
        <f t="shared" si="171"/>
        <v>811493.96510583104</v>
      </c>
      <c r="P1133" s="21">
        <f t="shared" si="172"/>
        <v>808337.44763414899</v>
      </c>
      <c r="Q1133" s="21">
        <f t="shared" si="173"/>
        <v>12744070.154993778</v>
      </c>
      <c r="R1133" s="21">
        <f t="shared" si="174"/>
        <v>23682880.881368592</v>
      </c>
      <c r="S1133" s="21">
        <f t="shared" si="175"/>
        <v>10938810.726374814</v>
      </c>
      <c r="T1133" s="14">
        <f>IFERROR(INDEX(Cost_Components!$R$2:$R$27,MATCH(E1133,Cost_Components!$A$2:$A$27,0)),"")</f>
        <v>1</v>
      </c>
      <c r="U1133" s="24">
        <f>IFERROR(INDEX(Cost_Components!$Q$2:$Q$27,MATCH(E1133,Cost_Components!$A$2:$A$27,0)),"")</f>
        <v>2023</v>
      </c>
      <c r="V1133" s="28">
        <f>1/(1+Calculation_Assumptions!$B$5)^(B1133-Calculation_Assumptions!$B$2)</f>
        <v>0.68095133999317792</v>
      </c>
      <c r="W1133" s="21">
        <f t="shared" si="176"/>
        <v>8678091.649010079</v>
      </c>
      <c r="X1133" s="21">
        <f t="shared" si="177"/>
        <v>16126889.471066758</v>
      </c>
      <c r="Y1133" s="21">
        <f t="shared" si="178"/>
        <v>7448797.8220566781</v>
      </c>
      <c r="Z1133" s="15">
        <f>IFERROR(INDEX(Cost_Components!$T$2:$T$27,MATCH(E1133,Cost_Components!$A$2:$A$27,0)),"")</f>
        <v>0.8</v>
      </c>
      <c r="AA1133" s="24">
        <f>IFERROR(INDEX(Cost_Components!$U$2:$U$27,MATCH(E1133,Cost_Components!$A$2:$A$27,0)),"")</f>
        <v>2025</v>
      </c>
      <c r="AB1133" s="24">
        <f>IFERROR(INDEX(Cost_Components!$V$2:$V$27,MATCH(E1133,Cost_Components!$A$2:$A$27,0)),"")</f>
        <v>2050</v>
      </c>
      <c r="AC1133" s="24">
        <f>IFERROR(INDEX(Cost_Components!$M$2:$M$27,MATCH(E1133,Cost_Components!$A$2:$A$27,0)),"")</f>
        <v>5</v>
      </c>
      <c r="AD1133" s="24">
        <f>IFERROR(INDEX(Cost_Components!$N$2:$N$27,MATCH(E1133,Cost_Components!$A$2:$A$27,0)),"")</f>
        <v>39</v>
      </c>
      <c r="AE1133" s="14" t="str">
        <f>IFERROR(INDEX(Cost_Components!$O$2:$O$27,MATCH(E1133,Cost_Components!$A$2:$A$27,0)),"")</f>
        <v>Both</v>
      </c>
      <c r="AF1133" s="11">
        <v>811493.96510583104</v>
      </c>
      <c r="AG1133" s="11">
        <v>808337.44763414899</v>
      </c>
      <c r="AH1133" s="21">
        <f t="shared" si="179"/>
        <v>1</v>
      </c>
    </row>
    <row r="1134" spans="1:34">
      <c r="A1134" t="s">
        <v>75</v>
      </c>
      <c r="B1134" s="18">
        <v>2039</v>
      </c>
      <c r="C1134" t="s">
        <v>205</v>
      </c>
      <c r="D1134" t="s">
        <v>209</v>
      </c>
      <c r="E1134" s="20" t="s">
        <v>300</v>
      </c>
      <c r="F1134" s="20" t="s">
        <v>301</v>
      </c>
      <c r="G1134" s="20" t="s">
        <v>206</v>
      </c>
      <c r="H1134" s="20" t="s">
        <v>192</v>
      </c>
      <c r="I1134" s="20" t="s">
        <v>264</v>
      </c>
      <c r="J1134" s="15">
        <f>IFERROR(INDEX(Cost_Components!$K$2:$K$27,MATCH(E1134,Cost_Components!$A$2:$A$27,0)),"")</f>
        <v>1</v>
      </c>
      <c r="K1134" s="15">
        <f t="shared" si="170"/>
        <v>0.59269230769230763</v>
      </c>
      <c r="L1134" s="15">
        <f>IFERROR(INDEX(Cost_Components!$S$2:$S$27,MATCH(E1134,Cost_Components!$A$2:$A$27,0)),"")</f>
        <v>0.31</v>
      </c>
      <c r="M1134" s="26">
        <f>IFERROR(INDEX(Cost_Components!$L$2:$L$27,MATCH(E1134,Cost_Components!$A$2:$A$27,0)),"")</f>
        <v>1</v>
      </c>
      <c r="N1134" s="27">
        <f>IFERROR(INDEX(Cost_Components!$P$2:$P$27,MATCH(E1134,Cost_Components!$A$2:$A$27,0)),"")</f>
        <v>50.857354000000001</v>
      </c>
      <c r="O1134" s="21">
        <f t="shared" si="171"/>
        <v>814394.14334466204</v>
      </c>
      <c r="P1134" s="21">
        <f t="shared" si="172"/>
        <v>810861.84593888302</v>
      </c>
      <c r="Q1134" s="21">
        <f t="shared" si="173"/>
        <v>12783869.262642244</v>
      </c>
      <c r="R1134" s="21">
        <f t="shared" si="174"/>
        <v>24548089.2486143</v>
      </c>
      <c r="S1134" s="21">
        <f t="shared" si="175"/>
        <v>11764219.985972056</v>
      </c>
      <c r="T1134" s="14">
        <f>IFERROR(INDEX(Cost_Components!$R$2:$R$27,MATCH(E1134,Cost_Components!$A$2:$A$27,0)),"")</f>
        <v>1</v>
      </c>
      <c r="U1134" s="24">
        <f>IFERROR(INDEX(Cost_Components!$Q$2:$Q$27,MATCH(E1134,Cost_Components!$A$2:$A$27,0)),"")</f>
        <v>2023</v>
      </c>
      <c r="V1134" s="28">
        <f>1/(1+Calculation_Assumptions!$B$5)^(B1134-Calculation_Assumptions!$B$2)</f>
        <v>0.66111780581861923</v>
      </c>
      <c r="W1134" s="21">
        <f t="shared" si="176"/>
        <v>8451643.5967901293</v>
      </c>
      <c r="X1134" s="21">
        <f t="shared" si="177"/>
        <v>16229178.901083523</v>
      </c>
      <c r="Y1134" s="21">
        <f t="shared" si="178"/>
        <v>7777535.3042933932</v>
      </c>
      <c r="Z1134" s="15">
        <f>IFERROR(INDEX(Cost_Components!$T$2:$T$27,MATCH(E1134,Cost_Components!$A$2:$A$27,0)),"")</f>
        <v>0.8</v>
      </c>
      <c r="AA1134" s="24">
        <f>IFERROR(INDEX(Cost_Components!$U$2:$U$27,MATCH(E1134,Cost_Components!$A$2:$A$27,0)),"")</f>
        <v>2025</v>
      </c>
      <c r="AB1134" s="24">
        <f>IFERROR(INDEX(Cost_Components!$V$2:$V$27,MATCH(E1134,Cost_Components!$A$2:$A$27,0)),"")</f>
        <v>2050</v>
      </c>
      <c r="AC1134" s="24">
        <f>IFERROR(INDEX(Cost_Components!$M$2:$M$27,MATCH(E1134,Cost_Components!$A$2:$A$27,0)),"")</f>
        <v>5</v>
      </c>
      <c r="AD1134" s="24">
        <f>IFERROR(INDEX(Cost_Components!$N$2:$N$27,MATCH(E1134,Cost_Components!$A$2:$A$27,0)),"")</f>
        <v>39</v>
      </c>
      <c r="AE1134" s="14" t="str">
        <f>IFERROR(INDEX(Cost_Components!$O$2:$O$27,MATCH(E1134,Cost_Components!$A$2:$A$27,0)),"")</f>
        <v>Both</v>
      </c>
      <c r="AF1134" s="11">
        <v>814394.14334466204</v>
      </c>
      <c r="AG1134" s="11">
        <v>810861.84593888302</v>
      </c>
      <c r="AH1134" s="21">
        <f t="shared" si="179"/>
        <v>1</v>
      </c>
    </row>
    <row r="1135" spans="1:34">
      <c r="A1135" t="s">
        <v>75</v>
      </c>
      <c r="B1135" s="18">
        <v>2040</v>
      </c>
      <c r="C1135" t="s">
        <v>205</v>
      </c>
      <c r="D1135" t="s">
        <v>209</v>
      </c>
      <c r="E1135" s="20" t="s">
        <v>300</v>
      </c>
      <c r="F1135" s="20" t="s">
        <v>301</v>
      </c>
      <c r="G1135" s="20" t="s">
        <v>206</v>
      </c>
      <c r="H1135" s="20" t="s">
        <v>192</v>
      </c>
      <c r="I1135" s="20" t="s">
        <v>264</v>
      </c>
      <c r="J1135" s="15">
        <f>IFERROR(INDEX(Cost_Components!$K$2:$K$27,MATCH(E1135,Cost_Components!$A$2:$A$27,0)),"")</f>
        <v>1</v>
      </c>
      <c r="K1135" s="15">
        <f t="shared" si="170"/>
        <v>0.61153846153846159</v>
      </c>
      <c r="L1135" s="15">
        <f>IFERROR(INDEX(Cost_Components!$S$2:$S$27,MATCH(E1135,Cost_Components!$A$2:$A$27,0)),"")</f>
        <v>0.31</v>
      </c>
      <c r="M1135" s="26">
        <f>IFERROR(INDEX(Cost_Components!$L$2:$L$27,MATCH(E1135,Cost_Components!$A$2:$A$27,0)),"")</f>
        <v>1</v>
      </c>
      <c r="N1135" s="27">
        <f>IFERROR(INDEX(Cost_Components!$P$2:$P$27,MATCH(E1135,Cost_Components!$A$2:$A$27,0)),"")</f>
        <v>50.857354000000001</v>
      </c>
      <c r="O1135" s="21">
        <f t="shared" si="171"/>
        <v>817202.90816276998</v>
      </c>
      <c r="P1135" s="21">
        <f t="shared" si="172"/>
        <v>813281.98821507895</v>
      </c>
      <c r="Q1135" s="21">
        <f t="shared" si="173"/>
        <v>12822024.692708211</v>
      </c>
      <c r="R1135" s="21">
        <f t="shared" si="174"/>
        <v>25416013.987891901</v>
      </c>
      <c r="S1135" s="21">
        <f t="shared" si="175"/>
        <v>12593989.29518369</v>
      </c>
      <c r="T1135" s="14">
        <f>IFERROR(INDEX(Cost_Components!$R$2:$R$27,MATCH(E1135,Cost_Components!$A$2:$A$27,0)),"")</f>
        <v>1</v>
      </c>
      <c r="U1135" s="24">
        <f>IFERROR(INDEX(Cost_Components!$Q$2:$Q$27,MATCH(E1135,Cost_Components!$A$2:$A$27,0)),"")</f>
        <v>2023</v>
      </c>
      <c r="V1135" s="28">
        <f>1/(1+Calculation_Assumptions!$B$5)^(B1135-Calculation_Assumptions!$B$2)</f>
        <v>0.64186194739671765</v>
      </c>
      <c r="W1135" s="21">
        <f t="shared" si="176"/>
        <v>8229969.7388304928</v>
      </c>
      <c r="X1135" s="21">
        <f t="shared" si="177"/>
        <v>16313572.233330511</v>
      </c>
      <c r="Y1135" s="21">
        <f t="shared" si="178"/>
        <v>8083602.4945000187</v>
      </c>
      <c r="Z1135" s="15">
        <f>IFERROR(INDEX(Cost_Components!$T$2:$T$27,MATCH(E1135,Cost_Components!$A$2:$A$27,0)),"")</f>
        <v>0.8</v>
      </c>
      <c r="AA1135" s="24">
        <f>IFERROR(INDEX(Cost_Components!$U$2:$U$27,MATCH(E1135,Cost_Components!$A$2:$A$27,0)),"")</f>
        <v>2025</v>
      </c>
      <c r="AB1135" s="24">
        <f>IFERROR(INDEX(Cost_Components!$V$2:$V$27,MATCH(E1135,Cost_Components!$A$2:$A$27,0)),"")</f>
        <v>2050</v>
      </c>
      <c r="AC1135" s="24">
        <f>IFERROR(INDEX(Cost_Components!$M$2:$M$27,MATCH(E1135,Cost_Components!$A$2:$A$27,0)),"")</f>
        <v>5</v>
      </c>
      <c r="AD1135" s="24">
        <f>IFERROR(INDEX(Cost_Components!$N$2:$N$27,MATCH(E1135,Cost_Components!$A$2:$A$27,0)),"")</f>
        <v>39</v>
      </c>
      <c r="AE1135" s="14" t="str">
        <f>IFERROR(INDEX(Cost_Components!$O$2:$O$27,MATCH(E1135,Cost_Components!$A$2:$A$27,0)),"")</f>
        <v>Both</v>
      </c>
      <c r="AF1135" s="11">
        <v>817202.90816276998</v>
      </c>
      <c r="AG1135" s="11">
        <v>813281.98821507895</v>
      </c>
      <c r="AH1135" s="21">
        <f t="shared" si="179"/>
        <v>1</v>
      </c>
    </row>
    <row r="1136" spans="1:34">
      <c r="A1136" t="s">
        <v>75</v>
      </c>
      <c r="B1136" s="18">
        <v>2041</v>
      </c>
      <c r="C1136" t="s">
        <v>205</v>
      </c>
      <c r="D1136" t="s">
        <v>209</v>
      </c>
      <c r="E1136" s="20" t="s">
        <v>300</v>
      </c>
      <c r="F1136" s="20" t="s">
        <v>301</v>
      </c>
      <c r="G1136" s="20" t="s">
        <v>206</v>
      </c>
      <c r="H1136" s="20" t="s">
        <v>192</v>
      </c>
      <c r="I1136" s="20" t="s">
        <v>264</v>
      </c>
      <c r="J1136" s="15">
        <f>IFERROR(INDEX(Cost_Components!$K$2:$K$27,MATCH(E1136,Cost_Components!$A$2:$A$27,0)),"")</f>
        <v>1</v>
      </c>
      <c r="K1136" s="15">
        <f t="shared" si="170"/>
        <v>0.63038461538461543</v>
      </c>
      <c r="L1136" s="15">
        <f>IFERROR(INDEX(Cost_Components!$S$2:$S$27,MATCH(E1136,Cost_Components!$A$2:$A$27,0)),"")</f>
        <v>0.31</v>
      </c>
      <c r="M1136" s="26">
        <f>IFERROR(INDEX(Cost_Components!$L$2:$L$27,MATCH(E1136,Cost_Components!$A$2:$A$27,0)),"")</f>
        <v>1</v>
      </c>
      <c r="N1136" s="27">
        <f>IFERROR(INDEX(Cost_Components!$P$2:$P$27,MATCH(E1136,Cost_Components!$A$2:$A$27,0)),"")</f>
        <v>50.857354000000001</v>
      </c>
      <c r="O1136" s="21">
        <f t="shared" si="171"/>
        <v>819098.73595153296</v>
      </c>
      <c r="P1136" s="21">
        <f t="shared" si="172"/>
        <v>814782.94145239901</v>
      </c>
      <c r="Q1136" s="21">
        <f t="shared" si="173"/>
        <v>12845688.390847838</v>
      </c>
      <c r="R1136" s="21">
        <f t="shared" si="174"/>
        <v>26260054.454237606</v>
      </c>
      <c r="S1136" s="21">
        <f t="shared" si="175"/>
        <v>13414366.063389769</v>
      </c>
      <c r="T1136" s="14">
        <f>IFERROR(INDEX(Cost_Components!$R$2:$R$27,MATCH(E1136,Cost_Components!$A$2:$A$27,0)),"")</f>
        <v>1</v>
      </c>
      <c r="U1136" s="24">
        <f>IFERROR(INDEX(Cost_Components!$Q$2:$Q$27,MATCH(E1136,Cost_Components!$A$2:$A$27,0)),"")</f>
        <v>2023</v>
      </c>
      <c r="V1136" s="28">
        <f>1/(1+Calculation_Assumptions!$B$5)^(B1136-Calculation_Assumptions!$B$2)</f>
        <v>0.62316693922011435</v>
      </c>
      <c r="W1136" s="21">
        <f t="shared" si="176"/>
        <v>8005008.3167000031</v>
      </c>
      <c r="X1136" s="21">
        <f t="shared" si="177"/>
        <v>16364397.75800078</v>
      </c>
      <c r="Y1136" s="21">
        <f t="shared" si="178"/>
        <v>8359389.4413007768</v>
      </c>
      <c r="Z1136" s="15">
        <f>IFERROR(INDEX(Cost_Components!$T$2:$T$27,MATCH(E1136,Cost_Components!$A$2:$A$27,0)),"")</f>
        <v>0.8</v>
      </c>
      <c r="AA1136" s="24">
        <f>IFERROR(INDEX(Cost_Components!$U$2:$U$27,MATCH(E1136,Cost_Components!$A$2:$A$27,0)),"")</f>
        <v>2025</v>
      </c>
      <c r="AB1136" s="24">
        <f>IFERROR(INDEX(Cost_Components!$V$2:$V$27,MATCH(E1136,Cost_Components!$A$2:$A$27,0)),"")</f>
        <v>2050</v>
      </c>
      <c r="AC1136" s="24">
        <f>IFERROR(INDEX(Cost_Components!$M$2:$M$27,MATCH(E1136,Cost_Components!$A$2:$A$27,0)),"")</f>
        <v>5</v>
      </c>
      <c r="AD1136" s="24">
        <f>IFERROR(INDEX(Cost_Components!$N$2:$N$27,MATCH(E1136,Cost_Components!$A$2:$A$27,0)),"")</f>
        <v>39</v>
      </c>
      <c r="AE1136" s="14" t="str">
        <f>IFERROR(INDEX(Cost_Components!$O$2:$O$27,MATCH(E1136,Cost_Components!$A$2:$A$27,0)),"")</f>
        <v>Both</v>
      </c>
      <c r="AF1136" s="11">
        <v>819098.73595153296</v>
      </c>
      <c r="AG1136" s="11">
        <v>814782.94145239901</v>
      </c>
      <c r="AH1136" s="21">
        <f t="shared" si="179"/>
        <v>1</v>
      </c>
    </row>
    <row r="1137" spans="1:34">
      <c r="A1137" t="s">
        <v>75</v>
      </c>
      <c r="B1137" s="18">
        <v>2042</v>
      </c>
      <c r="C1137" t="s">
        <v>205</v>
      </c>
      <c r="D1137" t="s">
        <v>209</v>
      </c>
      <c r="E1137" s="20" t="s">
        <v>300</v>
      </c>
      <c r="F1137" s="20" t="s">
        <v>301</v>
      </c>
      <c r="G1137" s="20" t="s">
        <v>206</v>
      </c>
      <c r="H1137" s="20" t="s">
        <v>192</v>
      </c>
      <c r="I1137" s="20" t="s">
        <v>264</v>
      </c>
      <c r="J1137" s="15">
        <f>IFERROR(INDEX(Cost_Components!$K$2:$K$27,MATCH(E1137,Cost_Components!$A$2:$A$27,0)),"")</f>
        <v>1</v>
      </c>
      <c r="K1137" s="15">
        <f t="shared" si="170"/>
        <v>0.64923076923076928</v>
      </c>
      <c r="L1137" s="15">
        <f>IFERROR(INDEX(Cost_Components!$S$2:$S$27,MATCH(E1137,Cost_Components!$A$2:$A$27,0)),"")</f>
        <v>0.31</v>
      </c>
      <c r="M1137" s="26">
        <f>IFERROR(INDEX(Cost_Components!$L$2:$L$27,MATCH(E1137,Cost_Components!$A$2:$A$27,0)),"")</f>
        <v>1</v>
      </c>
      <c r="N1137" s="27">
        <f>IFERROR(INDEX(Cost_Components!$P$2:$P$27,MATCH(E1137,Cost_Components!$A$2:$A$27,0)),"")</f>
        <v>50.857354000000001</v>
      </c>
      <c r="O1137" s="21">
        <f t="shared" si="171"/>
        <v>820128.971148688</v>
      </c>
      <c r="P1137" s="21">
        <f t="shared" si="172"/>
        <v>815414.54824346397</v>
      </c>
      <c r="Q1137" s="21">
        <f t="shared" si="173"/>
        <v>12855646.164398057</v>
      </c>
      <c r="R1137" s="21">
        <f t="shared" si="174"/>
        <v>27079148.817839798</v>
      </c>
      <c r="S1137" s="21">
        <f t="shared" si="175"/>
        <v>14223502.65344174</v>
      </c>
      <c r="T1137" s="14">
        <f>IFERROR(INDEX(Cost_Components!$R$2:$R$27,MATCH(E1137,Cost_Components!$A$2:$A$27,0)),"")</f>
        <v>1</v>
      </c>
      <c r="U1137" s="24">
        <f>IFERROR(INDEX(Cost_Components!$Q$2:$Q$27,MATCH(E1137,Cost_Components!$A$2:$A$27,0)),"")</f>
        <v>2023</v>
      </c>
      <c r="V1137" s="28">
        <f>1/(1+Calculation_Assumptions!$B$5)^(B1137-Calculation_Assumptions!$B$2)</f>
        <v>0.60501644584477121</v>
      </c>
      <c r="W1137" s="21">
        <f t="shared" si="176"/>
        <v>7777877.351422078</v>
      </c>
      <c r="X1137" s="21">
        <f t="shared" si="177"/>
        <v>16383330.374271072</v>
      </c>
      <c r="Y1137" s="21">
        <f t="shared" si="178"/>
        <v>8605453.0228489935</v>
      </c>
      <c r="Z1137" s="15">
        <f>IFERROR(INDEX(Cost_Components!$T$2:$T$27,MATCH(E1137,Cost_Components!$A$2:$A$27,0)),"")</f>
        <v>0.8</v>
      </c>
      <c r="AA1137" s="24">
        <f>IFERROR(INDEX(Cost_Components!$U$2:$U$27,MATCH(E1137,Cost_Components!$A$2:$A$27,0)),"")</f>
        <v>2025</v>
      </c>
      <c r="AB1137" s="24">
        <f>IFERROR(INDEX(Cost_Components!$V$2:$V$27,MATCH(E1137,Cost_Components!$A$2:$A$27,0)),"")</f>
        <v>2050</v>
      </c>
      <c r="AC1137" s="24">
        <f>IFERROR(INDEX(Cost_Components!$M$2:$M$27,MATCH(E1137,Cost_Components!$A$2:$A$27,0)),"")</f>
        <v>5</v>
      </c>
      <c r="AD1137" s="24">
        <f>IFERROR(INDEX(Cost_Components!$N$2:$N$27,MATCH(E1137,Cost_Components!$A$2:$A$27,0)),"")</f>
        <v>39</v>
      </c>
      <c r="AE1137" s="14" t="str">
        <f>IFERROR(INDEX(Cost_Components!$O$2:$O$27,MATCH(E1137,Cost_Components!$A$2:$A$27,0)),"")</f>
        <v>Both</v>
      </c>
      <c r="AF1137" s="11">
        <v>820128.971148688</v>
      </c>
      <c r="AG1137" s="11">
        <v>815414.54824346397</v>
      </c>
      <c r="AH1137" s="21">
        <f t="shared" si="179"/>
        <v>1</v>
      </c>
    </row>
    <row r="1138" spans="1:34">
      <c r="A1138" t="s">
        <v>75</v>
      </c>
      <c r="B1138" s="18">
        <v>2043</v>
      </c>
      <c r="C1138" t="s">
        <v>205</v>
      </c>
      <c r="D1138" t="s">
        <v>209</v>
      </c>
      <c r="E1138" s="20" t="s">
        <v>300</v>
      </c>
      <c r="F1138" s="20" t="s">
        <v>301</v>
      </c>
      <c r="G1138" s="20" t="s">
        <v>206</v>
      </c>
      <c r="H1138" s="20" t="s">
        <v>192</v>
      </c>
      <c r="I1138" s="20" t="s">
        <v>264</v>
      </c>
      <c r="J1138" s="15">
        <f>IFERROR(INDEX(Cost_Components!$K$2:$K$27,MATCH(E1138,Cost_Components!$A$2:$A$27,0)),"")</f>
        <v>1</v>
      </c>
      <c r="K1138" s="15">
        <f t="shared" si="170"/>
        <v>0.66807692307692301</v>
      </c>
      <c r="L1138" s="15">
        <f>IFERROR(INDEX(Cost_Components!$S$2:$S$27,MATCH(E1138,Cost_Components!$A$2:$A$27,0)),"")</f>
        <v>0.31</v>
      </c>
      <c r="M1138" s="26">
        <f>IFERROR(INDEX(Cost_Components!$L$2:$L$27,MATCH(E1138,Cost_Components!$A$2:$A$27,0)),"")</f>
        <v>1</v>
      </c>
      <c r="N1138" s="27">
        <f>IFERROR(INDEX(Cost_Components!$P$2:$P$27,MATCH(E1138,Cost_Components!$A$2:$A$27,0)),"")</f>
        <v>50.857354000000001</v>
      </c>
      <c r="O1138" s="21">
        <f t="shared" si="171"/>
        <v>820491.48565637495</v>
      </c>
      <c r="P1138" s="21">
        <f t="shared" si="172"/>
        <v>815377.00885509199</v>
      </c>
      <c r="Q1138" s="21">
        <f t="shared" si="173"/>
        <v>12855054.32666941</v>
      </c>
      <c r="R1138" s="21">
        <f t="shared" si="174"/>
        <v>27877531.17607737</v>
      </c>
      <c r="S1138" s="21">
        <f t="shared" si="175"/>
        <v>15022476.84940796</v>
      </c>
      <c r="T1138" s="14">
        <f>IFERROR(INDEX(Cost_Components!$R$2:$R$27,MATCH(E1138,Cost_Components!$A$2:$A$27,0)),"")</f>
        <v>1</v>
      </c>
      <c r="U1138" s="24">
        <f>IFERROR(INDEX(Cost_Components!$Q$2:$Q$27,MATCH(E1138,Cost_Components!$A$2:$A$27,0)),"")</f>
        <v>2023</v>
      </c>
      <c r="V1138" s="28">
        <f>1/(1+Calculation_Assumptions!$B$5)^(B1138-Calculation_Assumptions!$B$2)</f>
        <v>0.5873946076162827</v>
      </c>
      <c r="W1138" s="21">
        <f t="shared" si="176"/>
        <v>7550989.5920999749</v>
      </c>
      <c r="X1138" s="21">
        <f t="shared" si="177"/>
        <v>16375111.486482654</v>
      </c>
      <c r="Y1138" s="21">
        <f t="shared" si="178"/>
        <v>8824121.8943826798</v>
      </c>
      <c r="Z1138" s="15">
        <f>IFERROR(INDEX(Cost_Components!$T$2:$T$27,MATCH(E1138,Cost_Components!$A$2:$A$27,0)),"")</f>
        <v>0.8</v>
      </c>
      <c r="AA1138" s="24">
        <f>IFERROR(INDEX(Cost_Components!$U$2:$U$27,MATCH(E1138,Cost_Components!$A$2:$A$27,0)),"")</f>
        <v>2025</v>
      </c>
      <c r="AB1138" s="24">
        <f>IFERROR(INDEX(Cost_Components!$V$2:$V$27,MATCH(E1138,Cost_Components!$A$2:$A$27,0)),"")</f>
        <v>2050</v>
      </c>
      <c r="AC1138" s="24">
        <f>IFERROR(INDEX(Cost_Components!$M$2:$M$27,MATCH(E1138,Cost_Components!$A$2:$A$27,0)),"")</f>
        <v>5</v>
      </c>
      <c r="AD1138" s="24">
        <f>IFERROR(INDEX(Cost_Components!$N$2:$N$27,MATCH(E1138,Cost_Components!$A$2:$A$27,0)),"")</f>
        <v>39</v>
      </c>
      <c r="AE1138" s="14" t="str">
        <f>IFERROR(INDEX(Cost_Components!$O$2:$O$27,MATCH(E1138,Cost_Components!$A$2:$A$27,0)),"")</f>
        <v>Both</v>
      </c>
      <c r="AF1138" s="11">
        <v>820491.48565637495</v>
      </c>
      <c r="AG1138" s="11">
        <v>815377.00885509199</v>
      </c>
      <c r="AH1138" s="21">
        <f t="shared" si="179"/>
        <v>1</v>
      </c>
    </row>
    <row r="1139" spans="1:34">
      <c r="A1139" t="s">
        <v>75</v>
      </c>
      <c r="B1139" s="18">
        <v>2044</v>
      </c>
      <c r="C1139" t="s">
        <v>205</v>
      </c>
      <c r="D1139" t="s">
        <v>209</v>
      </c>
      <c r="E1139" s="20" t="s">
        <v>300</v>
      </c>
      <c r="F1139" s="20" t="s">
        <v>301</v>
      </c>
      <c r="G1139" s="20" t="s">
        <v>206</v>
      </c>
      <c r="H1139" s="20" t="s">
        <v>192</v>
      </c>
      <c r="I1139" s="20" t="s">
        <v>264</v>
      </c>
      <c r="J1139" s="15">
        <f>IFERROR(INDEX(Cost_Components!$K$2:$K$27,MATCH(E1139,Cost_Components!$A$2:$A$27,0)),"")</f>
        <v>1</v>
      </c>
      <c r="K1139" s="15">
        <f t="shared" si="170"/>
        <v>0.68692307692307697</v>
      </c>
      <c r="L1139" s="15">
        <f>IFERROR(INDEX(Cost_Components!$S$2:$S$27,MATCH(E1139,Cost_Components!$A$2:$A$27,0)),"")</f>
        <v>0.31</v>
      </c>
      <c r="M1139" s="26">
        <f>IFERROR(INDEX(Cost_Components!$L$2:$L$27,MATCH(E1139,Cost_Components!$A$2:$A$27,0)),"")</f>
        <v>1</v>
      </c>
      <c r="N1139" s="27">
        <f>IFERROR(INDEX(Cost_Components!$P$2:$P$27,MATCH(E1139,Cost_Components!$A$2:$A$27,0)),"")</f>
        <v>50.857354000000001</v>
      </c>
      <c r="O1139" s="21">
        <f t="shared" si="171"/>
        <v>820190.05979728396</v>
      </c>
      <c r="P1139" s="21">
        <f t="shared" si="172"/>
        <v>814676.74388327496</v>
      </c>
      <c r="Q1139" s="21">
        <f t="shared" si="173"/>
        <v>12844014.103364104</v>
      </c>
      <c r="R1139" s="21">
        <f t="shared" si="174"/>
        <v>28653413.633095182</v>
      </c>
      <c r="S1139" s="21">
        <f t="shared" si="175"/>
        <v>15809399.529731078</v>
      </c>
      <c r="T1139" s="14">
        <f>IFERROR(INDEX(Cost_Components!$R$2:$R$27,MATCH(E1139,Cost_Components!$A$2:$A$27,0)),"")</f>
        <v>1</v>
      </c>
      <c r="U1139" s="24">
        <f>IFERROR(INDEX(Cost_Components!$Q$2:$Q$27,MATCH(E1139,Cost_Components!$A$2:$A$27,0)),"")</f>
        <v>2023</v>
      </c>
      <c r="V1139" s="28">
        <f>1/(1+Calculation_Assumptions!$B$5)^(B1139-Calculation_Assumptions!$B$2)</f>
        <v>0.57028602681192497</v>
      </c>
      <c r="W1139" s="21">
        <f t="shared" si="176"/>
        <v>7324761.7713238439</v>
      </c>
      <c r="X1139" s="21">
        <f t="shared" si="177"/>
        <v>16340641.415416496</v>
      </c>
      <c r="Y1139" s="21">
        <f t="shared" si="178"/>
        <v>9015879.6440926511</v>
      </c>
      <c r="Z1139" s="15">
        <f>IFERROR(INDEX(Cost_Components!$T$2:$T$27,MATCH(E1139,Cost_Components!$A$2:$A$27,0)),"")</f>
        <v>0.8</v>
      </c>
      <c r="AA1139" s="24">
        <f>IFERROR(INDEX(Cost_Components!$U$2:$U$27,MATCH(E1139,Cost_Components!$A$2:$A$27,0)),"")</f>
        <v>2025</v>
      </c>
      <c r="AB1139" s="24">
        <f>IFERROR(INDEX(Cost_Components!$V$2:$V$27,MATCH(E1139,Cost_Components!$A$2:$A$27,0)),"")</f>
        <v>2050</v>
      </c>
      <c r="AC1139" s="24">
        <f>IFERROR(INDEX(Cost_Components!$M$2:$M$27,MATCH(E1139,Cost_Components!$A$2:$A$27,0)),"")</f>
        <v>5</v>
      </c>
      <c r="AD1139" s="24">
        <f>IFERROR(INDEX(Cost_Components!$N$2:$N$27,MATCH(E1139,Cost_Components!$A$2:$A$27,0)),"")</f>
        <v>39</v>
      </c>
      <c r="AE1139" s="14" t="str">
        <f>IFERROR(INDEX(Cost_Components!$O$2:$O$27,MATCH(E1139,Cost_Components!$A$2:$A$27,0)),"")</f>
        <v>Both</v>
      </c>
      <c r="AF1139" s="11">
        <v>820190.05979728396</v>
      </c>
      <c r="AG1139" s="11">
        <v>814676.74388327496</v>
      </c>
      <c r="AH1139" s="21">
        <f t="shared" si="179"/>
        <v>1</v>
      </c>
    </row>
    <row r="1140" spans="1:34">
      <c r="A1140" t="s">
        <v>75</v>
      </c>
      <c r="B1140" s="18">
        <v>2045</v>
      </c>
      <c r="C1140" t="s">
        <v>205</v>
      </c>
      <c r="D1140" t="s">
        <v>209</v>
      </c>
      <c r="E1140" s="20" t="s">
        <v>300</v>
      </c>
      <c r="F1140" s="20" t="s">
        <v>301</v>
      </c>
      <c r="G1140" s="20" t="s">
        <v>206</v>
      </c>
      <c r="H1140" s="20" t="s">
        <v>192</v>
      </c>
      <c r="I1140" s="20" t="s">
        <v>264</v>
      </c>
      <c r="J1140" s="15">
        <f>IFERROR(INDEX(Cost_Components!$K$2:$K$27,MATCH(E1140,Cost_Components!$A$2:$A$27,0)),"")</f>
        <v>1</v>
      </c>
      <c r="K1140" s="15">
        <f t="shared" si="170"/>
        <v>0.70576923076923082</v>
      </c>
      <c r="L1140" s="15">
        <f>IFERROR(INDEX(Cost_Components!$S$2:$S$27,MATCH(E1140,Cost_Components!$A$2:$A$27,0)),"")</f>
        <v>0.31</v>
      </c>
      <c r="M1140" s="26">
        <f>IFERROR(INDEX(Cost_Components!$L$2:$L$27,MATCH(E1140,Cost_Components!$A$2:$A$27,0)),"")</f>
        <v>1</v>
      </c>
      <c r="N1140" s="27">
        <f>IFERROR(INDEX(Cost_Components!$P$2:$P$27,MATCH(E1140,Cost_Components!$A$2:$A$27,0)),"")</f>
        <v>50.857354000000001</v>
      </c>
      <c r="O1140" s="21">
        <f t="shared" si="171"/>
        <v>818966.79996854498</v>
      </c>
      <c r="P1140" s="21">
        <f t="shared" si="172"/>
        <v>813061.13907260296</v>
      </c>
      <c r="Q1140" s="21">
        <f t="shared" si="173"/>
        <v>12818542.833772166</v>
      </c>
      <c r="R1140" s="21">
        <f t="shared" si="174"/>
        <v>29395630.378674664</v>
      </c>
      <c r="S1140" s="21">
        <f t="shared" si="175"/>
        <v>16577087.544902498</v>
      </c>
      <c r="T1140" s="14">
        <f>IFERROR(INDEX(Cost_Components!$R$2:$R$27,MATCH(E1140,Cost_Components!$A$2:$A$27,0)),"")</f>
        <v>1</v>
      </c>
      <c r="U1140" s="24">
        <f>IFERROR(INDEX(Cost_Components!$Q$2:$Q$27,MATCH(E1140,Cost_Components!$A$2:$A$27,0)),"")</f>
        <v>2023</v>
      </c>
      <c r="V1140" s="28">
        <f>1/(1+Calculation_Assumptions!$B$5)^(B1140-Calculation_Assumptions!$B$2)</f>
        <v>0.55367575418633497</v>
      </c>
      <c r="W1140" s="21">
        <f t="shared" si="176"/>
        <v>7097316.3710586429</v>
      </c>
      <c r="X1140" s="21">
        <f t="shared" si="177"/>
        <v>16275647.819695434</v>
      </c>
      <c r="Y1140" s="21">
        <f t="shared" si="178"/>
        <v>9178331.4486367907</v>
      </c>
      <c r="Z1140" s="15">
        <f>IFERROR(INDEX(Cost_Components!$T$2:$T$27,MATCH(E1140,Cost_Components!$A$2:$A$27,0)),"")</f>
        <v>0.8</v>
      </c>
      <c r="AA1140" s="24">
        <f>IFERROR(INDEX(Cost_Components!$U$2:$U$27,MATCH(E1140,Cost_Components!$A$2:$A$27,0)),"")</f>
        <v>2025</v>
      </c>
      <c r="AB1140" s="24">
        <f>IFERROR(INDEX(Cost_Components!$V$2:$V$27,MATCH(E1140,Cost_Components!$A$2:$A$27,0)),"")</f>
        <v>2050</v>
      </c>
      <c r="AC1140" s="24">
        <f>IFERROR(INDEX(Cost_Components!$M$2:$M$27,MATCH(E1140,Cost_Components!$A$2:$A$27,0)),"")</f>
        <v>5</v>
      </c>
      <c r="AD1140" s="24">
        <f>IFERROR(INDEX(Cost_Components!$N$2:$N$27,MATCH(E1140,Cost_Components!$A$2:$A$27,0)),"")</f>
        <v>39</v>
      </c>
      <c r="AE1140" s="14" t="str">
        <f>IFERROR(INDEX(Cost_Components!$O$2:$O$27,MATCH(E1140,Cost_Components!$A$2:$A$27,0)),"")</f>
        <v>Both</v>
      </c>
      <c r="AF1140" s="11">
        <v>818966.79996854498</v>
      </c>
      <c r="AG1140" s="11">
        <v>813061.13907260296</v>
      </c>
      <c r="AH1140" s="21">
        <f t="shared" si="179"/>
        <v>1</v>
      </c>
    </row>
    <row r="1141" spans="1:34">
      <c r="A1141" t="s">
        <v>75</v>
      </c>
      <c r="B1141" s="18">
        <v>2046</v>
      </c>
      <c r="C1141" t="s">
        <v>205</v>
      </c>
      <c r="D1141" t="s">
        <v>209</v>
      </c>
      <c r="E1141" s="20" t="s">
        <v>300</v>
      </c>
      <c r="F1141" s="20" t="s">
        <v>301</v>
      </c>
      <c r="G1141" s="20" t="s">
        <v>206</v>
      </c>
      <c r="H1141" s="20" t="s">
        <v>192</v>
      </c>
      <c r="I1141" s="20" t="s">
        <v>264</v>
      </c>
      <c r="J1141" s="15">
        <f>IFERROR(INDEX(Cost_Components!$K$2:$K$27,MATCH(E1141,Cost_Components!$A$2:$A$27,0)),"")</f>
        <v>1</v>
      </c>
      <c r="K1141" s="15">
        <f t="shared" si="170"/>
        <v>0.72461538461538466</v>
      </c>
      <c r="L1141" s="15">
        <f>IFERROR(INDEX(Cost_Components!$S$2:$S$27,MATCH(E1141,Cost_Components!$A$2:$A$27,0)),"")</f>
        <v>0.31</v>
      </c>
      <c r="M1141" s="26">
        <f>IFERROR(INDEX(Cost_Components!$L$2:$L$27,MATCH(E1141,Cost_Components!$A$2:$A$27,0)),"")</f>
        <v>1</v>
      </c>
      <c r="N1141" s="27">
        <f>IFERROR(INDEX(Cost_Components!$P$2:$P$27,MATCH(E1141,Cost_Components!$A$2:$A$27,0)),"")</f>
        <v>50.857354000000001</v>
      </c>
      <c r="O1141" s="21">
        <f t="shared" si="171"/>
        <v>816423.82792280999</v>
      </c>
      <c r="P1141" s="21">
        <f t="shared" si="172"/>
        <v>810140.01519012696</v>
      </c>
      <c r="Q1141" s="21">
        <f t="shared" si="173"/>
        <v>12772489.038047796</v>
      </c>
      <c r="R1141" s="21">
        <f t="shared" si="174"/>
        <v>30086868.157018859</v>
      </c>
      <c r="S1141" s="21">
        <f t="shared" si="175"/>
        <v>17314379.118971065</v>
      </c>
      <c r="T1141" s="14">
        <f>IFERROR(INDEX(Cost_Components!$R$2:$R$27,MATCH(E1141,Cost_Components!$A$2:$A$27,0)),"")</f>
        <v>1</v>
      </c>
      <c r="U1141" s="24">
        <f>IFERROR(INDEX(Cost_Components!$Q$2:$Q$27,MATCH(E1141,Cost_Components!$A$2:$A$27,0)),"")</f>
        <v>2023</v>
      </c>
      <c r="V1141" s="28">
        <f>1/(1+Calculation_Assumptions!$B$5)^(B1141-Calculation_Assumptions!$B$2)</f>
        <v>0.5375492759090631</v>
      </c>
      <c r="W1141" s="21">
        <f t="shared" si="176"/>
        <v>6865842.2339590387</v>
      </c>
      <c r="X1141" s="21">
        <f t="shared" si="177"/>
        <v>16173174.192176936</v>
      </c>
      <c r="Y1141" s="21">
        <f t="shared" si="178"/>
        <v>9307331.9582178984</v>
      </c>
      <c r="Z1141" s="15">
        <f>IFERROR(INDEX(Cost_Components!$T$2:$T$27,MATCH(E1141,Cost_Components!$A$2:$A$27,0)),"")</f>
        <v>0.8</v>
      </c>
      <c r="AA1141" s="24">
        <f>IFERROR(INDEX(Cost_Components!$U$2:$U$27,MATCH(E1141,Cost_Components!$A$2:$A$27,0)),"")</f>
        <v>2025</v>
      </c>
      <c r="AB1141" s="24">
        <f>IFERROR(INDEX(Cost_Components!$V$2:$V$27,MATCH(E1141,Cost_Components!$A$2:$A$27,0)),"")</f>
        <v>2050</v>
      </c>
      <c r="AC1141" s="24">
        <f>IFERROR(INDEX(Cost_Components!$M$2:$M$27,MATCH(E1141,Cost_Components!$A$2:$A$27,0)),"")</f>
        <v>5</v>
      </c>
      <c r="AD1141" s="24">
        <f>IFERROR(INDEX(Cost_Components!$N$2:$N$27,MATCH(E1141,Cost_Components!$A$2:$A$27,0)),"")</f>
        <v>39</v>
      </c>
      <c r="AE1141" s="14" t="str">
        <f>IFERROR(INDEX(Cost_Components!$O$2:$O$27,MATCH(E1141,Cost_Components!$A$2:$A$27,0)),"")</f>
        <v>Both</v>
      </c>
      <c r="AF1141" s="11">
        <v>816423.82792280999</v>
      </c>
      <c r="AG1141" s="11">
        <v>810140.01519012696</v>
      </c>
      <c r="AH1141" s="21">
        <f t="shared" si="179"/>
        <v>1</v>
      </c>
    </row>
    <row r="1142" spans="1:34">
      <c r="A1142" t="s">
        <v>75</v>
      </c>
      <c r="B1142" s="18">
        <v>2047</v>
      </c>
      <c r="C1142" t="s">
        <v>205</v>
      </c>
      <c r="D1142" t="s">
        <v>209</v>
      </c>
      <c r="E1142" s="20" t="s">
        <v>300</v>
      </c>
      <c r="F1142" s="20" t="s">
        <v>301</v>
      </c>
      <c r="G1142" s="20" t="s">
        <v>206</v>
      </c>
      <c r="H1142" s="20" t="s">
        <v>192</v>
      </c>
      <c r="I1142" s="20" t="s">
        <v>264</v>
      </c>
      <c r="J1142" s="15">
        <f>IFERROR(INDEX(Cost_Components!$K$2:$K$27,MATCH(E1142,Cost_Components!$A$2:$A$27,0)),"")</f>
        <v>1</v>
      </c>
      <c r="K1142" s="15">
        <f t="shared" si="170"/>
        <v>0.74346153846153851</v>
      </c>
      <c r="L1142" s="15">
        <f>IFERROR(INDEX(Cost_Components!$S$2:$S$27,MATCH(E1142,Cost_Components!$A$2:$A$27,0)),"")</f>
        <v>0.31</v>
      </c>
      <c r="M1142" s="26">
        <f>IFERROR(INDEX(Cost_Components!$L$2:$L$27,MATCH(E1142,Cost_Components!$A$2:$A$27,0)),"")</f>
        <v>1</v>
      </c>
      <c r="N1142" s="27">
        <f>IFERROR(INDEX(Cost_Components!$P$2:$P$27,MATCH(E1142,Cost_Components!$A$2:$A$27,0)),"")</f>
        <v>50.857354000000001</v>
      </c>
      <c r="O1142" s="21">
        <f t="shared" si="171"/>
        <v>812870.23134381499</v>
      </c>
      <c r="P1142" s="21">
        <f t="shared" si="172"/>
        <v>806223.70741118898</v>
      </c>
      <c r="Q1142" s="21">
        <f t="shared" si="173"/>
        <v>12710745.392211011</v>
      </c>
      <c r="R1142" s="21">
        <f t="shared" si="174"/>
        <v>30735019.027906593</v>
      </c>
      <c r="S1142" s="21">
        <f t="shared" si="175"/>
        <v>18024273.635695584</v>
      </c>
      <c r="T1142" s="14">
        <f>IFERROR(INDEX(Cost_Components!$R$2:$R$27,MATCH(E1142,Cost_Components!$A$2:$A$27,0)),"")</f>
        <v>1</v>
      </c>
      <c r="U1142" s="24">
        <f>IFERROR(INDEX(Cost_Components!$Q$2:$Q$27,MATCH(E1142,Cost_Components!$A$2:$A$27,0)),"")</f>
        <v>2023</v>
      </c>
      <c r="V1142" s="28">
        <f>1/(1+Calculation_Assumptions!$B$5)^(B1142-Calculation_Assumptions!$B$2)</f>
        <v>0.52189250088258554</v>
      </c>
      <c r="W1142" s="21">
        <f t="shared" si="176"/>
        <v>6633642.7008228051</v>
      </c>
      <c r="X1142" s="21">
        <f t="shared" si="177"/>
        <v>16040375.945148025</v>
      </c>
      <c r="Y1142" s="21">
        <f t="shared" si="178"/>
        <v>9406733.2443252206</v>
      </c>
      <c r="Z1142" s="15">
        <f>IFERROR(INDEX(Cost_Components!$T$2:$T$27,MATCH(E1142,Cost_Components!$A$2:$A$27,0)),"")</f>
        <v>0.8</v>
      </c>
      <c r="AA1142" s="24">
        <f>IFERROR(INDEX(Cost_Components!$U$2:$U$27,MATCH(E1142,Cost_Components!$A$2:$A$27,0)),"")</f>
        <v>2025</v>
      </c>
      <c r="AB1142" s="24">
        <f>IFERROR(INDEX(Cost_Components!$V$2:$V$27,MATCH(E1142,Cost_Components!$A$2:$A$27,0)),"")</f>
        <v>2050</v>
      </c>
      <c r="AC1142" s="24">
        <f>IFERROR(INDEX(Cost_Components!$M$2:$M$27,MATCH(E1142,Cost_Components!$A$2:$A$27,0)),"")</f>
        <v>5</v>
      </c>
      <c r="AD1142" s="24">
        <f>IFERROR(INDEX(Cost_Components!$N$2:$N$27,MATCH(E1142,Cost_Components!$A$2:$A$27,0)),"")</f>
        <v>39</v>
      </c>
      <c r="AE1142" s="14" t="str">
        <f>IFERROR(INDEX(Cost_Components!$O$2:$O$27,MATCH(E1142,Cost_Components!$A$2:$A$27,0)),"")</f>
        <v>Both</v>
      </c>
      <c r="AF1142" s="11">
        <v>812870.23134381499</v>
      </c>
      <c r="AG1142" s="11">
        <v>806223.70741118898</v>
      </c>
      <c r="AH1142" s="21">
        <f t="shared" si="179"/>
        <v>1</v>
      </c>
    </row>
    <row r="1143" spans="1:34">
      <c r="A1143" t="s">
        <v>75</v>
      </c>
      <c r="B1143" s="18">
        <v>2048</v>
      </c>
      <c r="C1143" t="s">
        <v>205</v>
      </c>
      <c r="D1143" t="s">
        <v>209</v>
      </c>
      <c r="E1143" s="20" t="s">
        <v>300</v>
      </c>
      <c r="F1143" s="20" t="s">
        <v>301</v>
      </c>
      <c r="G1143" s="20" t="s">
        <v>206</v>
      </c>
      <c r="H1143" s="20" t="s">
        <v>192</v>
      </c>
      <c r="I1143" s="20" t="s">
        <v>264</v>
      </c>
      <c r="J1143" s="15">
        <f>IFERROR(INDEX(Cost_Components!$K$2:$K$27,MATCH(E1143,Cost_Components!$A$2:$A$27,0)),"")</f>
        <v>1</v>
      </c>
      <c r="K1143" s="15">
        <f t="shared" si="170"/>
        <v>0.76230769230769235</v>
      </c>
      <c r="L1143" s="15">
        <f>IFERROR(INDEX(Cost_Components!$S$2:$S$27,MATCH(E1143,Cost_Components!$A$2:$A$27,0)),"")</f>
        <v>0.31</v>
      </c>
      <c r="M1143" s="26">
        <f>IFERROR(INDEX(Cost_Components!$L$2:$L$27,MATCH(E1143,Cost_Components!$A$2:$A$27,0)),"")</f>
        <v>1</v>
      </c>
      <c r="N1143" s="27">
        <f>IFERROR(INDEX(Cost_Components!$P$2:$P$27,MATCH(E1143,Cost_Components!$A$2:$A$27,0)),"")</f>
        <v>50.857354000000001</v>
      </c>
      <c r="O1143" s="21">
        <f t="shared" si="171"/>
        <v>808968.76844994305</v>
      </c>
      <c r="P1143" s="21">
        <f t="shared" si="172"/>
        <v>801970.32352241501</v>
      </c>
      <c r="Q1143" s="21">
        <f t="shared" si="173"/>
        <v>12643687.478670936</v>
      </c>
      <c r="R1143" s="21">
        <f t="shared" si="174"/>
        <v>31362871.486703664</v>
      </c>
      <c r="S1143" s="21">
        <f t="shared" si="175"/>
        <v>18719184.008032728</v>
      </c>
      <c r="T1143" s="14">
        <f>IFERROR(INDEX(Cost_Components!$R$2:$R$27,MATCH(E1143,Cost_Components!$A$2:$A$27,0)),"")</f>
        <v>1</v>
      </c>
      <c r="U1143" s="24">
        <f>IFERROR(INDEX(Cost_Components!$Q$2:$Q$27,MATCH(E1143,Cost_Components!$A$2:$A$27,0)),"")</f>
        <v>2023</v>
      </c>
      <c r="V1143" s="28">
        <f>1/(1+Calculation_Assumptions!$B$5)^(B1143-Calculation_Assumptions!$B$2)</f>
        <v>0.50669174842969467</v>
      </c>
      <c r="W1143" s="21">
        <f t="shared" si="176"/>
        <v>6406452.1151664145</v>
      </c>
      <c r="X1143" s="21">
        <f t="shared" si="177"/>
        <v>15891308.189373696</v>
      </c>
      <c r="Y1143" s="21">
        <f t="shared" si="178"/>
        <v>9484856.0742072817</v>
      </c>
      <c r="Z1143" s="15">
        <f>IFERROR(INDEX(Cost_Components!$T$2:$T$27,MATCH(E1143,Cost_Components!$A$2:$A$27,0)),"")</f>
        <v>0.8</v>
      </c>
      <c r="AA1143" s="24">
        <f>IFERROR(INDEX(Cost_Components!$U$2:$U$27,MATCH(E1143,Cost_Components!$A$2:$A$27,0)),"")</f>
        <v>2025</v>
      </c>
      <c r="AB1143" s="24">
        <f>IFERROR(INDEX(Cost_Components!$V$2:$V$27,MATCH(E1143,Cost_Components!$A$2:$A$27,0)),"")</f>
        <v>2050</v>
      </c>
      <c r="AC1143" s="24">
        <f>IFERROR(INDEX(Cost_Components!$M$2:$M$27,MATCH(E1143,Cost_Components!$A$2:$A$27,0)),"")</f>
        <v>5</v>
      </c>
      <c r="AD1143" s="24">
        <f>IFERROR(INDEX(Cost_Components!$N$2:$N$27,MATCH(E1143,Cost_Components!$A$2:$A$27,0)),"")</f>
        <v>39</v>
      </c>
      <c r="AE1143" s="14" t="str">
        <f>IFERROR(INDEX(Cost_Components!$O$2:$O$27,MATCH(E1143,Cost_Components!$A$2:$A$27,0)),"")</f>
        <v>Both</v>
      </c>
      <c r="AF1143" s="11">
        <v>808968.76844994305</v>
      </c>
      <c r="AG1143" s="11">
        <v>801970.32352241501</v>
      </c>
      <c r="AH1143" s="21">
        <f t="shared" si="179"/>
        <v>1</v>
      </c>
    </row>
    <row r="1144" spans="1:34">
      <c r="A1144" t="s">
        <v>75</v>
      </c>
      <c r="B1144" s="18">
        <v>2049</v>
      </c>
      <c r="C1144" t="s">
        <v>205</v>
      </c>
      <c r="D1144" t="s">
        <v>209</v>
      </c>
      <c r="E1144" s="20" t="s">
        <v>300</v>
      </c>
      <c r="F1144" s="20" t="s">
        <v>301</v>
      </c>
      <c r="G1144" s="20" t="s">
        <v>206</v>
      </c>
      <c r="H1144" s="20" t="s">
        <v>192</v>
      </c>
      <c r="I1144" s="20" t="s">
        <v>264</v>
      </c>
      <c r="J1144" s="15">
        <f>IFERROR(INDEX(Cost_Components!$K$2:$K$27,MATCH(E1144,Cost_Components!$A$2:$A$27,0)),"")</f>
        <v>1</v>
      </c>
      <c r="K1144" s="15">
        <f t="shared" si="170"/>
        <v>0.7811538461538462</v>
      </c>
      <c r="L1144" s="15">
        <f>IFERROR(INDEX(Cost_Components!$S$2:$S$27,MATCH(E1144,Cost_Components!$A$2:$A$27,0)),"")</f>
        <v>0.31</v>
      </c>
      <c r="M1144" s="26">
        <f>IFERROR(INDEX(Cost_Components!$L$2:$L$27,MATCH(E1144,Cost_Components!$A$2:$A$27,0)),"")</f>
        <v>1</v>
      </c>
      <c r="N1144" s="27">
        <f>IFERROR(INDEX(Cost_Components!$P$2:$P$27,MATCH(E1144,Cost_Components!$A$2:$A$27,0)),"")</f>
        <v>50.857354000000001</v>
      </c>
      <c r="O1144" s="21">
        <f t="shared" si="171"/>
        <v>804995.32729780104</v>
      </c>
      <c r="P1144" s="21">
        <f t="shared" si="172"/>
        <v>797654.61097426305</v>
      </c>
      <c r="Q1144" s="21">
        <f t="shared" si="173"/>
        <v>12575646.905215619</v>
      </c>
      <c r="R1144" s="21">
        <f t="shared" si="174"/>
        <v>31980385.599865731</v>
      </c>
      <c r="S1144" s="21">
        <f t="shared" si="175"/>
        <v>19404738.694650114</v>
      </c>
      <c r="T1144" s="14">
        <f>IFERROR(INDEX(Cost_Components!$R$2:$R$27,MATCH(E1144,Cost_Components!$A$2:$A$27,0)),"")</f>
        <v>1</v>
      </c>
      <c r="U1144" s="24">
        <f>IFERROR(INDEX(Cost_Components!$Q$2:$Q$27,MATCH(E1144,Cost_Components!$A$2:$A$27,0)),"")</f>
        <v>2023</v>
      </c>
      <c r="V1144" s="28">
        <f>1/(1+Calculation_Assumptions!$B$5)^(B1144-Calculation_Assumptions!$B$2)</f>
        <v>0.49193373633950943</v>
      </c>
      <c r="W1144" s="21">
        <f t="shared" si="176"/>
        <v>6186384.9689691085</v>
      </c>
      <c r="X1144" s="21">
        <f t="shared" si="177"/>
        <v>15732230.577720193</v>
      </c>
      <c r="Y1144" s="21">
        <f t="shared" si="178"/>
        <v>9545845.6087510847</v>
      </c>
      <c r="Z1144" s="15">
        <f>IFERROR(INDEX(Cost_Components!$T$2:$T$27,MATCH(E1144,Cost_Components!$A$2:$A$27,0)),"")</f>
        <v>0.8</v>
      </c>
      <c r="AA1144" s="24">
        <f>IFERROR(INDEX(Cost_Components!$U$2:$U$27,MATCH(E1144,Cost_Components!$A$2:$A$27,0)),"")</f>
        <v>2025</v>
      </c>
      <c r="AB1144" s="24">
        <f>IFERROR(INDEX(Cost_Components!$V$2:$V$27,MATCH(E1144,Cost_Components!$A$2:$A$27,0)),"")</f>
        <v>2050</v>
      </c>
      <c r="AC1144" s="24">
        <f>IFERROR(INDEX(Cost_Components!$M$2:$M$27,MATCH(E1144,Cost_Components!$A$2:$A$27,0)),"")</f>
        <v>5</v>
      </c>
      <c r="AD1144" s="24">
        <f>IFERROR(INDEX(Cost_Components!$N$2:$N$27,MATCH(E1144,Cost_Components!$A$2:$A$27,0)),"")</f>
        <v>39</v>
      </c>
      <c r="AE1144" s="14" t="str">
        <f>IFERROR(INDEX(Cost_Components!$O$2:$O$27,MATCH(E1144,Cost_Components!$A$2:$A$27,0)),"")</f>
        <v>Both</v>
      </c>
      <c r="AF1144" s="11">
        <v>804995.32729780104</v>
      </c>
      <c r="AG1144" s="11">
        <v>797654.61097426305</v>
      </c>
      <c r="AH1144" s="21">
        <f t="shared" si="179"/>
        <v>1</v>
      </c>
    </row>
    <row r="1145" spans="1:34">
      <c r="A1145" t="s">
        <v>75</v>
      </c>
      <c r="B1145" s="18">
        <v>2050</v>
      </c>
      <c r="C1145" t="s">
        <v>205</v>
      </c>
      <c r="D1145" t="s">
        <v>209</v>
      </c>
      <c r="E1145" s="20" t="s">
        <v>300</v>
      </c>
      <c r="F1145" s="20" t="s">
        <v>301</v>
      </c>
      <c r="G1145" s="20" t="s">
        <v>206</v>
      </c>
      <c r="H1145" s="20" t="s">
        <v>192</v>
      </c>
      <c r="I1145" s="20" t="s">
        <v>264</v>
      </c>
      <c r="J1145" s="15">
        <f>IFERROR(INDEX(Cost_Components!$K$2:$K$27,MATCH(E1145,Cost_Components!$A$2:$A$27,0)),"")</f>
        <v>1</v>
      </c>
      <c r="K1145" s="15">
        <f t="shared" si="170"/>
        <v>0.8</v>
      </c>
      <c r="L1145" s="15">
        <f>IFERROR(INDEX(Cost_Components!$S$2:$S$27,MATCH(E1145,Cost_Components!$A$2:$A$27,0)),"")</f>
        <v>0.31</v>
      </c>
      <c r="M1145" s="26">
        <f>IFERROR(INDEX(Cost_Components!$L$2:$L$27,MATCH(E1145,Cost_Components!$A$2:$A$27,0)),"")</f>
        <v>1</v>
      </c>
      <c r="N1145" s="27">
        <f>IFERROR(INDEX(Cost_Components!$P$2:$P$27,MATCH(E1145,Cost_Components!$A$2:$A$27,0)),"")</f>
        <v>50.857354000000001</v>
      </c>
      <c r="O1145" s="21">
        <f t="shared" si="171"/>
        <v>800655.54972683999</v>
      </c>
      <c r="P1145" s="21">
        <f t="shared" si="172"/>
        <v>792987.39772936003</v>
      </c>
      <c r="Q1145" s="21">
        <f t="shared" si="173"/>
        <v>12502064.649196867</v>
      </c>
      <c r="R1145" s="21">
        <f t="shared" si="174"/>
        <v>32575378.179618008</v>
      </c>
      <c r="S1145" s="21">
        <f t="shared" si="175"/>
        <v>20073313.530421142</v>
      </c>
      <c r="T1145" s="14">
        <f>IFERROR(INDEX(Cost_Components!$R$2:$R$27,MATCH(E1145,Cost_Components!$A$2:$A$27,0)),"")</f>
        <v>1</v>
      </c>
      <c r="U1145" s="24">
        <f>IFERROR(INDEX(Cost_Components!$Q$2:$Q$27,MATCH(E1145,Cost_Components!$A$2:$A$27,0)),"")</f>
        <v>2023</v>
      </c>
      <c r="V1145" s="28">
        <f>1/(1+Calculation_Assumptions!$B$5)^(B1145-Calculation_Assumptions!$B$2)</f>
        <v>0.47760556926165965</v>
      </c>
      <c r="W1145" s="21">
        <f t="shared" si="176"/>
        <v>5971055.7037257412</v>
      </c>
      <c r="X1145" s="21">
        <f t="shared" si="177"/>
        <v>15558182.039390305</v>
      </c>
      <c r="Y1145" s="21">
        <f t="shared" si="178"/>
        <v>9587126.3356645647</v>
      </c>
      <c r="Z1145" s="15">
        <f>IFERROR(INDEX(Cost_Components!$T$2:$T$27,MATCH(E1145,Cost_Components!$A$2:$A$27,0)),"")</f>
        <v>0.8</v>
      </c>
      <c r="AA1145" s="24">
        <f>IFERROR(INDEX(Cost_Components!$U$2:$U$27,MATCH(E1145,Cost_Components!$A$2:$A$27,0)),"")</f>
        <v>2025</v>
      </c>
      <c r="AB1145" s="24">
        <f>IFERROR(INDEX(Cost_Components!$V$2:$V$27,MATCH(E1145,Cost_Components!$A$2:$A$27,0)),"")</f>
        <v>2050</v>
      </c>
      <c r="AC1145" s="24">
        <f>IFERROR(INDEX(Cost_Components!$M$2:$M$27,MATCH(E1145,Cost_Components!$A$2:$A$27,0)),"")</f>
        <v>5</v>
      </c>
      <c r="AD1145" s="24">
        <f>IFERROR(INDEX(Cost_Components!$N$2:$N$27,MATCH(E1145,Cost_Components!$A$2:$A$27,0)),"")</f>
        <v>39</v>
      </c>
      <c r="AE1145" s="14" t="str">
        <f>IFERROR(INDEX(Cost_Components!$O$2:$O$27,MATCH(E1145,Cost_Components!$A$2:$A$27,0)),"")</f>
        <v>Both</v>
      </c>
      <c r="AF1145" s="11">
        <v>800655.54972683999</v>
      </c>
      <c r="AG1145" s="11">
        <v>792987.39772936003</v>
      </c>
      <c r="AH1145" s="21">
        <f t="shared" si="179"/>
        <v>1</v>
      </c>
    </row>
    <row r="1146" spans="1:34">
      <c r="A1146" t="s">
        <v>75</v>
      </c>
      <c r="B1146" s="18">
        <v>2025</v>
      </c>
      <c r="C1146" t="s">
        <v>212</v>
      </c>
      <c r="D1146" t="s">
        <v>209</v>
      </c>
      <c r="E1146" s="20" t="s">
        <v>303</v>
      </c>
      <c r="F1146" s="20" t="s">
        <v>304</v>
      </c>
      <c r="G1146" s="20" t="s">
        <v>213</v>
      </c>
      <c r="H1146" s="20" t="s">
        <v>192</v>
      </c>
      <c r="I1146" s="20" t="s">
        <v>264</v>
      </c>
      <c r="J1146" s="15">
        <f>IFERROR(INDEX(Cost_Components!$K$2:$K$27,MATCH(E1146,Cost_Components!$A$2:$A$27,0)),"")</f>
        <v>1</v>
      </c>
      <c r="K1146" s="15">
        <f t="shared" si="170"/>
        <v>0.12692307692307694</v>
      </c>
      <c r="L1146" s="15">
        <f>IFERROR(INDEX(Cost_Components!$S$2:$S$27,MATCH(E1146,Cost_Components!$A$2:$A$27,0)),"")</f>
        <v>0.1</v>
      </c>
      <c r="M1146" s="26">
        <f>IFERROR(INDEX(Cost_Components!$L$2:$L$27,MATCH(E1146,Cost_Components!$A$2:$A$27,0)),"")</f>
        <v>1</v>
      </c>
      <c r="N1146" s="27">
        <f>IFERROR(INDEX(Cost_Components!$P$2:$P$27,MATCH(E1146,Cost_Components!$A$2:$A$27,0)),"")</f>
        <v>12488.38616</v>
      </c>
      <c r="O1146" s="21">
        <f t="shared" si="171"/>
        <v>794913.73434614099</v>
      </c>
      <c r="P1146" s="21">
        <f t="shared" si="172"/>
        <v>794871.41623643797</v>
      </c>
      <c r="Q1146" s="21">
        <f t="shared" si="173"/>
        <v>992666119.35067332</v>
      </c>
      <c r="R1146" s="21">
        <f t="shared" si="174"/>
        <v>1259989459.1818261</v>
      </c>
      <c r="S1146" s="21">
        <f t="shared" si="175"/>
        <v>267323339.8311528</v>
      </c>
      <c r="T1146" s="14">
        <f>IFERROR(INDEX(Cost_Components!$R$2:$R$27,MATCH(E1146,Cost_Components!$A$2:$A$27,0)),"")</f>
        <v>1</v>
      </c>
      <c r="U1146" s="24">
        <f>IFERROR(INDEX(Cost_Components!$Q$2:$Q$27,MATCH(E1146,Cost_Components!$A$2:$A$27,0)),"")</f>
        <v>2023</v>
      </c>
      <c r="V1146" s="28">
        <f>1/(1+Calculation_Assumptions!$B$5)^(B1146-Calculation_Assumptions!$B$2)</f>
        <v>1</v>
      </c>
      <c r="W1146" s="21">
        <f t="shared" si="176"/>
        <v>992666119.35067332</v>
      </c>
      <c r="X1146" s="21">
        <f t="shared" si="177"/>
        <v>1259989459.1818261</v>
      </c>
      <c r="Y1146" s="21">
        <f t="shared" si="178"/>
        <v>267323339.8311528</v>
      </c>
      <c r="Z1146" s="15">
        <f>IFERROR(INDEX(Cost_Components!$T$2:$T$27,MATCH(E1146,Cost_Components!$A$2:$A$27,0)),"")</f>
        <v>0.8</v>
      </c>
      <c r="AA1146" s="24">
        <f>IFERROR(INDEX(Cost_Components!$U$2:$U$27,MATCH(E1146,Cost_Components!$A$2:$A$27,0)),"")</f>
        <v>2025</v>
      </c>
      <c r="AB1146" s="24">
        <f>IFERROR(INDEX(Cost_Components!$V$2:$V$27,MATCH(E1146,Cost_Components!$A$2:$A$27,0)),"")</f>
        <v>2050</v>
      </c>
      <c r="AC1146" s="24">
        <f>IFERROR(INDEX(Cost_Components!$M$2:$M$27,MATCH(E1146,Cost_Components!$A$2:$A$27,0)),"")</f>
        <v>5</v>
      </c>
      <c r="AD1146" s="24">
        <f>IFERROR(INDEX(Cost_Components!$N$2:$N$27,MATCH(E1146,Cost_Components!$A$2:$A$27,0)),"")</f>
        <v>40</v>
      </c>
      <c r="AE1146" s="14" t="str">
        <f>IFERROR(INDEX(Cost_Components!$O$2:$O$27,MATCH(E1146,Cost_Components!$A$2:$A$27,0)),"")</f>
        <v>Both</v>
      </c>
      <c r="AF1146" s="11">
        <v>794913.73434614099</v>
      </c>
      <c r="AG1146" s="11">
        <v>794871.41623643797</v>
      </c>
      <c r="AH1146" s="21">
        <f t="shared" si="179"/>
        <v>1</v>
      </c>
    </row>
    <row r="1147" spans="1:34">
      <c r="A1147" t="s">
        <v>75</v>
      </c>
      <c r="B1147" s="18">
        <v>2026</v>
      </c>
      <c r="C1147" t="s">
        <v>212</v>
      </c>
      <c r="D1147" t="s">
        <v>209</v>
      </c>
      <c r="E1147" s="20" t="s">
        <v>303</v>
      </c>
      <c r="F1147" s="20" t="s">
        <v>304</v>
      </c>
      <c r="G1147" s="20" t="s">
        <v>213</v>
      </c>
      <c r="H1147" s="20" t="s">
        <v>192</v>
      </c>
      <c r="I1147" s="20" t="s">
        <v>264</v>
      </c>
      <c r="J1147" s="15">
        <f>IFERROR(INDEX(Cost_Components!$K$2:$K$27,MATCH(E1147,Cost_Components!$A$2:$A$27,0)),"")</f>
        <v>1</v>
      </c>
      <c r="K1147" s="15">
        <f t="shared" si="170"/>
        <v>0.15384615384615385</v>
      </c>
      <c r="L1147" s="15">
        <f>IFERROR(INDEX(Cost_Components!$S$2:$S$27,MATCH(E1147,Cost_Components!$A$2:$A$27,0)),"")</f>
        <v>0.1</v>
      </c>
      <c r="M1147" s="26">
        <f>IFERROR(INDEX(Cost_Components!$L$2:$L$27,MATCH(E1147,Cost_Components!$A$2:$A$27,0)),"")</f>
        <v>1</v>
      </c>
      <c r="N1147" s="27">
        <f>IFERROR(INDEX(Cost_Components!$P$2:$P$27,MATCH(E1147,Cost_Components!$A$2:$A$27,0)),"")</f>
        <v>12488.38616</v>
      </c>
      <c r="O1147" s="21">
        <f t="shared" si="171"/>
        <v>796541.86031224497</v>
      </c>
      <c r="P1147" s="21">
        <f t="shared" si="172"/>
        <v>796418.25320806599</v>
      </c>
      <c r="Q1147" s="21">
        <f t="shared" si="173"/>
        <v>994597869.09349871</v>
      </c>
      <c r="R1147" s="21">
        <f t="shared" si="174"/>
        <v>1530388052.9513991</v>
      </c>
      <c r="S1147" s="21">
        <f t="shared" si="175"/>
        <v>535790183.85790038</v>
      </c>
      <c r="T1147" s="14">
        <f>IFERROR(INDEX(Cost_Components!$R$2:$R$27,MATCH(E1147,Cost_Components!$A$2:$A$27,0)),"")</f>
        <v>1</v>
      </c>
      <c r="U1147" s="24">
        <f>IFERROR(INDEX(Cost_Components!$Q$2:$Q$27,MATCH(E1147,Cost_Components!$A$2:$A$27,0)),"")</f>
        <v>2023</v>
      </c>
      <c r="V1147" s="28">
        <f>1/(1+Calculation_Assumptions!$B$5)^(B1147-Calculation_Assumptions!$B$2)</f>
        <v>0.970873786407767</v>
      </c>
      <c r="W1147" s="21">
        <f t="shared" si="176"/>
        <v>965628999.11990166</v>
      </c>
      <c r="X1147" s="21">
        <f t="shared" si="177"/>
        <v>1485813643.6421351</v>
      </c>
      <c r="Y1147" s="21">
        <f t="shared" si="178"/>
        <v>520184644.52223337</v>
      </c>
      <c r="Z1147" s="15">
        <f>IFERROR(INDEX(Cost_Components!$T$2:$T$27,MATCH(E1147,Cost_Components!$A$2:$A$27,0)),"")</f>
        <v>0.8</v>
      </c>
      <c r="AA1147" s="24">
        <f>IFERROR(INDEX(Cost_Components!$U$2:$U$27,MATCH(E1147,Cost_Components!$A$2:$A$27,0)),"")</f>
        <v>2025</v>
      </c>
      <c r="AB1147" s="24">
        <f>IFERROR(INDEX(Cost_Components!$V$2:$V$27,MATCH(E1147,Cost_Components!$A$2:$A$27,0)),"")</f>
        <v>2050</v>
      </c>
      <c r="AC1147" s="24">
        <f>IFERROR(INDEX(Cost_Components!$M$2:$M$27,MATCH(E1147,Cost_Components!$A$2:$A$27,0)),"")</f>
        <v>5</v>
      </c>
      <c r="AD1147" s="24">
        <f>IFERROR(INDEX(Cost_Components!$N$2:$N$27,MATCH(E1147,Cost_Components!$A$2:$A$27,0)),"")</f>
        <v>40</v>
      </c>
      <c r="AE1147" s="14" t="str">
        <f>IFERROR(INDEX(Cost_Components!$O$2:$O$27,MATCH(E1147,Cost_Components!$A$2:$A$27,0)),"")</f>
        <v>Both</v>
      </c>
      <c r="AF1147" s="11">
        <v>796541.86031224497</v>
      </c>
      <c r="AG1147" s="11">
        <v>796418.25320806599</v>
      </c>
      <c r="AH1147" s="21">
        <f t="shared" si="179"/>
        <v>1</v>
      </c>
    </row>
    <row r="1148" spans="1:34">
      <c r="A1148" t="s">
        <v>75</v>
      </c>
      <c r="B1148" s="18">
        <v>2027</v>
      </c>
      <c r="C1148" t="s">
        <v>212</v>
      </c>
      <c r="D1148" t="s">
        <v>209</v>
      </c>
      <c r="E1148" s="20" t="s">
        <v>303</v>
      </c>
      <c r="F1148" s="20" t="s">
        <v>304</v>
      </c>
      <c r="G1148" s="20" t="s">
        <v>213</v>
      </c>
      <c r="H1148" s="20" t="s">
        <v>192</v>
      </c>
      <c r="I1148" s="20" t="s">
        <v>264</v>
      </c>
      <c r="J1148" s="15">
        <f>IFERROR(INDEX(Cost_Components!$K$2:$K$27,MATCH(E1148,Cost_Components!$A$2:$A$27,0)),"")</f>
        <v>1</v>
      </c>
      <c r="K1148" s="15">
        <f t="shared" si="170"/>
        <v>0.18076923076923079</v>
      </c>
      <c r="L1148" s="15">
        <f>IFERROR(INDEX(Cost_Components!$S$2:$S$27,MATCH(E1148,Cost_Components!$A$2:$A$27,0)),"")</f>
        <v>0.1</v>
      </c>
      <c r="M1148" s="26">
        <f>IFERROR(INDEX(Cost_Components!$L$2:$L$27,MATCH(E1148,Cost_Components!$A$2:$A$27,0)),"")</f>
        <v>1</v>
      </c>
      <c r="N1148" s="27">
        <f>IFERROR(INDEX(Cost_Components!$P$2:$P$27,MATCH(E1148,Cost_Components!$A$2:$A$27,0)),"")</f>
        <v>12488.38616</v>
      </c>
      <c r="O1148" s="21">
        <f t="shared" si="171"/>
        <v>799509.49059390801</v>
      </c>
      <c r="P1148" s="21">
        <f t="shared" si="172"/>
        <v>799268.434072098</v>
      </c>
      <c r="Q1148" s="21">
        <f t="shared" si="173"/>
        <v>998157285.01908612</v>
      </c>
      <c r="R1148" s="21">
        <f t="shared" si="174"/>
        <v>1804905434.9412148</v>
      </c>
      <c r="S1148" s="21">
        <f t="shared" si="175"/>
        <v>806748149.92212868</v>
      </c>
      <c r="T1148" s="14">
        <f>IFERROR(INDEX(Cost_Components!$R$2:$R$27,MATCH(E1148,Cost_Components!$A$2:$A$27,0)),"")</f>
        <v>1</v>
      </c>
      <c r="U1148" s="24">
        <f>IFERROR(INDEX(Cost_Components!$Q$2:$Q$27,MATCH(E1148,Cost_Components!$A$2:$A$27,0)),"")</f>
        <v>2023</v>
      </c>
      <c r="V1148" s="28">
        <f>1/(1+Calculation_Assumptions!$B$5)^(B1148-Calculation_Assumptions!$B$2)</f>
        <v>0.94259590913375435</v>
      </c>
      <c r="W1148" s="21">
        <f t="shared" si="176"/>
        <v>940858973.53104544</v>
      </c>
      <c r="X1148" s="21">
        <f t="shared" si="177"/>
        <v>1701296479.3488686</v>
      </c>
      <c r="Y1148" s="21">
        <f t="shared" si="178"/>
        <v>760437505.81782329</v>
      </c>
      <c r="Z1148" s="15">
        <f>IFERROR(INDEX(Cost_Components!$T$2:$T$27,MATCH(E1148,Cost_Components!$A$2:$A$27,0)),"")</f>
        <v>0.8</v>
      </c>
      <c r="AA1148" s="24">
        <f>IFERROR(INDEX(Cost_Components!$U$2:$U$27,MATCH(E1148,Cost_Components!$A$2:$A$27,0)),"")</f>
        <v>2025</v>
      </c>
      <c r="AB1148" s="24">
        <f>IFERROR(INDEX(Cost_Components!$V$2:$V$27,MATCH(E1148,Cost_Components!$A$2:$A$27,0)),"")</f>
        <v>2050</v>
      </c>
      <c r="AC1148" s="24">
        <f>IFERROR(INDEX(Cost_Components!$M$2:$M$27,MATCH(E1148,Cost_Components!$A$2:$A$27,0)),"")</f>
        <v>5</v>
      </c>
      <c r="AD1148" s="24">
        <f>IFERROR(INDEX(Cost_Components!$N$2:$N$27,MATCH(E1148,Cost_Components!$A$2:$A$27,0)),"")</f>
        <v>40</v>
      </c>
      <c r="AE1148" s="14" t="str">
        <f>IFERROR(INDEX(Cost_Components!$O$2:$O$27,MATCH(E1148,Cost_Components!$A$2:$A$27,0)),"")</f>
        <v>Both</v>
      </c>
      <c r="AF1148" s="11">
        <v>799509.49059390801</v>
      </c>
      <c r="AG1148" s="11">
        <v>799268.434072098</v>
      </c>
      <c r="AH1148" s="21">
        <f t="shared" si="179"/>
        <v>1</v>
      </c>
    </row>
    <row r="1149" spans="1:34">
      <c r="A1149" t="s">
        <v>75</v>
      </c>
      <c r="B1149" s="18">
        <v>2028</v>
      </c>
      <c r="C1149" t="s">
        <v>212</v>
      </c>
      <c r="D1149" t="s">
        <v>209</v>
      </c>
      <c r="E1149" s="20" t="s">
        <v>303</v>
      </c>
      <c r="F1149" s="20" t="s">
        <v>304</v>
      </c>
      <c r="G1149" s="20" t="s">
        <v>213</v>
      </c>
      <c r="H1149" s="20" t="s">
        <v>192</v>
      </c>
      <c r="I1149" s="20" t="s">
        <v>264</v>
      </c>
      <c r="J1149" s="15">
        <f>IFERROR(INDEX(Cost_Components!$K$2:$K$27,MATCH(E1149,Cost_Components!$A$2:$A$27,0)),"")</f>
        <v>1</v>
      </c>
      <c r="K1149" s="15">
        <f t="shared" si="170"/>
        <v>0.20769230769230773</v>
      </c>
      <c r="L1149" s="15">
        <f>IFERROR(INDEX(Cost_Components!$S$2:$S$27,MATCH(E1149,Cost_Components!$A$2:$A$27,0)),"")</f>
        <v>0.1</v>
      </c>
      <c r="M1149" s="26">
        <f>IFERROR(INDEX(Cost_Components!$L$2:$L$27,MATCH(E1149,Cost_Components!$A$2:$A$27,0)),"")</f>
        <v>1</v>
      </c>
      <c r="N1149" s="27">
        <f>IFERROR(INDEX(Cost_Components!$P$2:$P$27,MATCH(E1149,Cost_Components!$A$2:$A$27,0)),"")</f>
        <v>12488.38616</v>
      </c>
      <c r="O1149" s="21">
        <f t="shared" si="171"/>
        <v>803145.13841286104</v>
      </c>
      <c r="P1149" s="21">
        <f t="shared" si="172"/>
        <v>802753.08853630803</v>
      </c>
      <c r="Q1149" s="21">
        <f t="shared" si="173"/>
        <v>1002509056.0774084</v>
      </c>
      <c r="R1149" s="21">
        <f t="shared" si="174"/>
        <v>2083151069.5208802</v>
      </c>
      <c r="S1149" s="21">
        <f t="shared" si="175"/>
        <v>1080642013.4434719</v>
      </c>
      <c r="T1149" s="14">
        <f>IFERROR(INDEX(Cost_Components!$R$2:$R$27,MATCH(E1149,Cost_Components!$A$2:$A$27,0)),"")</f>
        <v>1</v>
      </c>
      <c r="U1149" s="24">
        <f>IFERROR(INDEX(Cost_Components!$Q$2:$Q$27,MATCH(E1149,Cost_Components!$A$2:$A$27,0)),"")</f>
        <v>2023</v>
      </c>
      <c r="V1149" s="28">
        <f>1/(1+Calculation_Assumptions!$B$5)^(B1149-Calculation_Assumptions!$B$2)</f>
        <v>0.91514165935315961</v>
      </c>
      <c r="W1149" s="21">
        <f t="shared" si="176"/>
        <v>917437801.0952493</v>
      </c>
      <c r="X1149" s="21">
        <f t="shared" si="177"/>
        <v>1906378326.4446476</v>
      </c>
      <c r="Y1149" s="21">
        <f t="shared" si="178"/>
        <v>988940525.34939826</v>
      </c>
      <c r="Z1149" s="15">
        <f>IFERROR(INDEX(Cost_Components!$T$2:$T$27,MATCH(E1149,Cost_Components!$A$2:$A$27,0)),"")</f>
        <v>0.8</v>
      </c>
      <c r="AA1149" s="24">
        <f>IFERROR(INDEX(Cost_Components!$U$2:$U$27,MATCH(E1149,Cost_Components!$A$2:$A$27,0)),"")</f>
        <v>2025</v>
      </c>
      <c r="AB1149" s="24">
        <f>IFERROR(INDEX(Cost_Components!$V$2:$V$27,MATCH(E1149,Cost_Components!$A$2:$A$27,0)),"")</f>
        <v>2050</v>
      </c>
      <c r="AC1149" s="24">
        <f>IFERROR(INDEX(Cost_Components!$M$2:$M$27,MATCH(E1149,Cost_Components!$A$2:$A$27,0)),"")</f>
        <v>5</v>
      </c>
      <c r="AD1149" s="24">
        <f>IFERROR(INDEX(Cost_Components!$N$2:$N$27,MATCH(E1149,Cost_Components!$A$2:$A$27,0)),"")</f>
        <v>40</v>
      </c>
      <c r="AE1149" s="14" t="str">
        <f>IFERROR(INDEX(Cost_Components!$O$2:$O$27,MATCH(E1149,Cost_Components!$A$2:$A$27,0)),"")</f>
        <v>Both</v>
      </c>
      <c r="AF1149" s="11">
        <v>803145.13841286104</v>
      </c>
      <c r="AG1149" s="11">
        <v>802753.08853630803</v>
      </c>
      <c r="AH1149" s="21">
        <f t="shared" si="179"/>
        <v>1</v>
      </c>
    </row>
    <row r="1150" spans="1:34">
      <c r="A1150" t="s">
        <v>75</v>
      </c>
      <c r="B1150" s="18">
        <v>2029</v>
      </c>
      <c r="C1150" t="s">
        <v>212</v>
      </c>
      <c r="D1150" t="s">
        <v>209</v>
      </c>
      <c r="E1150" s="20" t="s">
        <v>303</v>
      </c>
      <c r="F1150" s="20" t="s">
        <v>304</v>
      </c>
      <c r="G1150" s="20" t="s">
        <v>213</v>
      </c>
      <c r="H1150" s="20" t="s">
        <v>192</v>
      </c>
      <c r="I1150" s="20" t="s">
        <v>264</v>
      </c>
      <c r="J1150" s="15">
        <f>IFERROR(INDEX(Cost_Components!$K$2:$K$27,MATCH(E1150,Cost_Components!$A$2:$A$27,0)),"")</f>
        <v>1</v>
      </c>
      <c r="K1150" s="15">
        <f t="shared" si="170"/>
        <v>0.23461538461538464</v>
      </c>
      <c r="L1150" s="15">
        <f>IFERROR(INDEX(Cost_Components!$S$2:$S$27,MATCH(E1150,Cost_Components!$A$2:$A$27,0)),"")</f>
        <v>0.1</v>
      </c>
      <c r="M1150" s="26">
        <f>IFERROR(INDEX(Cost_Components!$L$2:$L$27,MATCH(E1150,Cost_Components!$A$2:$A$27,0)),"")</f>
        <v>1</v>
      </c>
      <c r="N1150" s="27">
        <f>IFERROR(INDEX(Cost_Components!$P$2:$P$27,MATCH(E1150,Cost_Components!$A$2:$A$27,0)),"")</f>
        <v>12488.38616</v>
      </c>
      <c r="O1150" s="21">
        <f t="shared" si="171"/>
        <v>806904.75091414305</v>
      </c>
      <c r="P1150" s="21">
        <f t="shared" si="172"/>
        <v>806330.92636064498</v>
      </c>
      <c r="Q1150" s="21">
        <f t="shared" si="173"/>
        <v>1006977198.114226</v>
      </c>
      <c r="R1150" s="21">
        <f t="shared" si="174"/>
        <v>2364204713.6500783</v>
      </c>
      <c r="S1150" s="21">
        <f t="shared" si="175"/>
        <v>1357227515.5358524</v>
      </c>
      <c r="T1150" s="14">
        <f>IFERROR(INDEX(Cost_Components!$R$2:$R$27,MATCH(E1150,Cost_Components!$A$2:$A$27,0)),"")</f>
        <v>1</v>
      </c>
      <c r="U1150" s="24">
        <f>IFERROR(INDEX(Cost_Components!$Q$2:$Q$27,MATCH(E1150,Cost_Components!$A$2:$A$27,0)),"")</f>
        <v>2023</v>
      </c>
      <c r="V1150" s="28">
        <f>1/(1+Calculation_Assumptions!$B$5)^(B1150-Calculation_Assumptions!$B$2)</f>
        <v>0.888487047915689</v>
      </c>
      <c r="W1150" s="21">
        <f t="shared" si="176"/>
        <v>894686198.07092059</v>
      </c>
      <c r="X1150" s="21">
        <f t="shared" si="177"/>
        <v>2100565266.6993148</v>
      </c>
      <c r="Y1150" s="21">
        <f t="shared" si="178"/>
        <v>1205879068.6283944</v>
      </c>
      <c r="Z1150" s="15">
        <f>IFERROR(INDEX(Cost_Components!$T$2:$T$27,MATCH(E1150,Cost_Components!$A$2:$A$27,0)),"")</f>
        <v>0.8</v>
      </c>
      <c r="AA1150" s="24">
        <f>IFERROR(INDEX(Cost_Components!$U$2:$U$27,MATCH(E1150,Cost_Components!$A$2:$A$27,0)),"")</f>
        <v>2025</v>
      </c>
      <c r="AB1150" s="24">
        <f>IFERROR(INDEX(Cost_Components!$V$2:$V$27,MATCH(E1150,Cost_Components!$A$2:$A$27,0)),"")</f>
        <v>2050</v>
      </c>
      <c r="AC1150" s="24">
        <f>IFERROR(INDEX(Cost_Components!$M$2:$M$27,MATCH(E1150,Cost_Components!$A$2:$A$27,0)),"")</f>
        <v>5</v>
      </c>
      <c r="AD1150" s="24">
        <f>IFERROR(INDEX(Cost_Components!$N$2:$N$27,MATCH(E1150,Cost_Components!$A$2:$A$27,0)),"")</f>
        <v>40</v>
      </c>
      <c r="AE1150" s="14" t="str">
        <f>IFERROR(INDEX(Cost_Components!$O$2:$O$27,MATCH(E1150,Cost_Components!$A$2:$A$27,0)),"")</f>
        <v>Both</v>
      </c>
      <c r="AF1150" s="11">
        <v>806904.75091414305</v>
      </c>
      <c r="AG1150" s="11">
        <v>806330.92636064498</v>
      </c>
      <c r="AH1150" s="21">
        <f t="shared" si="179"/>
        <v>1</v>
      </c>
    </row>
    <row r="1151" spans="1:34">
      <c r="A1151" t="s">
        <v>75</v>
      </c>
      <c r="B1151" s="18">
        <v>2030</v>
      </c>
      <c r="C1151" t="s">
        <v>212</v>
      </c>
      <c r="D1151" t="s">
        <v>209</v>
      </c>
      <c r="E1151" s="20" t="s">
        <v>303</v>
      </c>
      <c r="F1151" s="20" t="s">
        <v>304</v>
      </c>
      <c r="G1151" s="20" t="s">
        <v>213</v>
      </c>
      <c r="H1151" s="20" t="s">
        <v>192</v>
      </c>
      <c r="I1151" s="20" t="s">
        <v>264</v>
      </c>
      <c r="J1151" s="15">
        <f>IFERROR(INDEX(Cost_Components!$K$2:$K$27,MATCH(E1151,Cost_Components!$A$2:$A$27,0)),"")</f>
        <v>1</v>
      </c>
      <c r="K1151" s="15">
        <f t="shared" si="170"/>
        <v>0.26153846153846161</v>
      </c>
      <c r="L1151" s="15">
        <f>IFERROR(INDEX(Cost_Components!$S$2:$S$27,MATCH(E1151,Cost_Components!$A$2:$A$27,0)),"")</f>
        <v>0.1</v>
      </c>
      <c r="M1151" s="26">
        <f>IFERROR(INDEX(Cost_Components!$L$2:$L$27,MATCH(E1151,Cost_Components!$A$2:$A$27,0)),"")</f>
        <v>1</v>
      </c>
      <c r="N1151" s="27">
        <f>IFERROR(INDEX(Cost_Components!$P$2:$P$27,MATCH(E1151,Cost_Components!$A$2:$A$27,0)),"")</f>
        <v>12488.38616</v>
      </c>
      <c r="O1151" s="21">
        <f t="shared" si="171"/>
        <v>810698.01551341603</v>
      </c>
      <c r="P1151" s="21">
        <f t="shared" si="172"/>
        <v>809914.19716970401</v>
      </c>
      <c r="Q1151" s="21">
        <f t="shared" si="173"/>
        <v>1011452125.0721644</v>
      </c>
      <c r="R1151" s="21">
        <f t="shared" si="174"/>
        <v>2647896429.3371172</v>
      </c>
      <c r="S1151" s="21">
        <f t="shared" si="175"/>
        <v>1636444304.2649527</v>
      </c>
      <c r="T1151" s="14">
        <f>IFERROR(INDEX(Cost_Components!$R$2:$R$27,MATCH(E1151,Cost_Components!$A$2:$A$27,0)),"")</f>
        <v>1</v>
      </c>
      <c r="U1151" s="24">
        <f>IFERROR(INDEX(Cost_Components!$Q$2:$Q$27,MATCH(E1151,Cost_Components!$A$2:$A$27,0)),"")</f>
        <v>2023</v>
      </c>
      <c r="V1151" s="28">
        <f>1/(1+Calculation_Assumptions!$B$5)^(B1151-Calculation_Assumptions!$B$2)</f>
        <v>0.86260878438416411</v>
      </c>
      <c r="W1151" s="21">
        <f t="shared" si="176"/>
        <v>872487488.07127929</v>
      </c>
      <c r="X1151" s="21">
        <f t="shared" si="177"/>
        <v>2284098720.0856595</v>
      </c>
      <c r="Y1151" s="21">
        <f t="shared" si="178"/>
        <v>1411611232.01438</v>
      </c>
      <c r="Z1151" s="15">
        <f>IFERROR(INDEX(Cost_Components!$T$2:$T$27,MATCH(E1151,Cost_Components!$A$2:$A$27,0)),"")</f>
        <v>0.8</v>
      </c>
      <c r="AA1151" s="24">
        <f>IFERROR(INDEX(Cost_Components!$U$2:$U$27,MATCH(E1151,Cost_Components!$A$2:$A$27,0)),"")</f>
        <v>2025</v>
      </c>
      <c r="AB1151" s="24">
        <f>IFERROR(INDEX(Cost_Components!$V$2:$V$27,MATCH(E1151,Cost_Components!$A$2:$A$27,0)),"")</f>
        <v>2050</v>
      </c>
      <c r="AC1151" s="24">
        <f>IFERROR(INDEX(Cost_Components!$M$2:$M$27,MATCH(E1151,Cost_Components!$A$2:$A$27,0)),"")</f>
        <v>5</v>
      </c>
      <c r="AD1151" s="24">
        <f>IFERROR(INDEX(Cost_Components!$N$2:$N$27,MATCH(E1151,Cost_Components!$A$2:$A$27,0)),"")</f>
        <v>40</v>
      </c>
      <c r="AE1151" s="14" t="str">
        <f>IFERROR(INDEX(Cost_Components!$O$2:$O$27,MATCH(E1151,Cost_Components!$A$2:$A$27,0)),"")</f>
        <v>Both</v>
      </c>
      <c r="AF1151" s="11">
        <v>810698.01551341603</v>
      </c>
      <c r="AG1151" s="11">
        <v>809914.19716970401</v>
      </c>
      <c r="AH1151" s="21">
        <f t="shared" si="179"/>
        <v>1</v>
      </c>
    </row>
    <row r="1152" spans="1:34">
      <c r="A1152" t="s">
        <v>75</v>
      </c>
      <c r="B1152" s="18">
        <v>2031</v>
      </c>
      <c r="C1152" t="s">
        <v>212</v>
      </c>
      <c r="D1152" t="s">
        <v>209</v>
      </c>
      <c r="E1152" s="20" t="s">
        <v>303</v>
      </c>
      <c r="F1152" s="20" t="s">
        <v>304</v>
      </c>
      <c r="G1152" s="20" t="s">
        <v>213</v>
      </c>
      <c r="H1152" s="20" t="s">
        <v>192</v>
      </c>
      <c r="I1152" s="20" t="s">
        <v>264</v>
      </c>
      <c r="J1152" s="15">
        <f>IFERROR(INDEX(Cost_Components!$K$2:$K$27,MATCH(E1152,Cost_Components!$A$2:$A$27,0)),"")</f>
        <v>1</v>
      </c>
      <c r="K1152" s="15">
        <f t="shared" si="170"/>
        <v>0.28846153846153844</v>
      </c>
      <c r="L1152" s="15">
        <f>IFERROR(INDEX(Cost_Components!$S$2:$S$27,MATCH(E1152,Cost_Components!$A$2:$A$27,0)),"")</f>
        <v>0.1</v>
      </c>
      <c r="M1152" s="26">
        <f>IFERROR(INDEX(Cost_Components!$L$2:$L$27,MATCH(E1152,Cost_Components!$A$2:$A$27,0)),"")</f>
        <v>1</v>
      </c>
      <c r="N1152" s="27">
        <f>IFERROR(INDEX(Cost_Components!$P$2:$P$27,MATCH(E1152,Cost_Components!$A$2:$A$27,0)),"")</f>
        <v>12488.38616</v>
      </c>
      <c r="O1152" s="21">
        <f t="shared" si="171"/>
        <v>814714.65188536397</v>
      </c>
      <c r="P1152" s="21">
        <f t="shared" si="172"/>
        <v>813694.15327863605</v>
      </c>
      <c r="Q1152" s="21">
        <f t="shared" si="173"/>
        <v>1016172680.2277838</v>
      </c>
      <c r="R1152" s="21">
        <f t="shared" si="174"/>
        <v>2934943610.4676147</v>
      </c>
      <c r="S1152" s="21">
        <f t="shared" si="175"/>
        <v>1918770930.239831</v>
      </c>
      <c r="T1152" s="14">
        <f>IFERROR(INDEX(Cost_Components!$R$2:$R$27,MATCH(E1152,Cost_Components!$A$2:$A$27,0)),"")</f>
        <v>1</v>
      </c>
      <c r="U1152" s="24">
        <f>IFERROR(INDEX(Cost_Components!$Q$2:$Q$27,MATCH(E1152,Cost_Components!$A$2:$A$27,0)),"")</f>
        <v>2023</v>
      </c>
      <c r="V1152" s="28">
        <f>1/(1+Calculation_Assumptions!$B$5)^(B1152-Calculation_Assumptions!$B$2)</f>
        <v>0.83748425668365445</v>
      </c>
      <c r="W1152" s="21">
        <f t="shared" si="176"/>
        <v>851028621.76280236</v>
      </c>
      <c r="X1152" s="21">
        <f t="shared" si="177"/>
        <v>2457969068.0209112</v>
      </c>
      <c r="Y1152" s="21">
        <f t="shared" si="178"/>
        <v>1606940446.2581091</v>
      </c>
      <c r="Z1152" s="15">
        <f>IFERROR(INDEX(Cost_Components!$T$2:$T$27,MATCH(E1152,Cost_Components!$A$2:$A$27,0)),"")</f>
        <v>0.8</v>
      </c>
      <c r="AA1152" s="24">
        <f>IFERROR(INDEX(Cost_Components!$U$2:$U$27,MATCH(E1152,Cost_Components!$A$2:$A$27,0)),"")</f>
        <v>2025</v>
      </c>
      <c r="AB1152" s="24">
        <f>IFERROR(INDEX(Cost_Components!$V$2:$V$27,MATCH(E1152,Cost_Components!$A$2:$A$27,0)),"")</f>
        <v>2050</v>
      </c>
      <c r="AC1152" s="24">
        <f>IFERROR(INDEX(Cost_Components!$M$2:$M$27,MATCH(E1152,Cost_Components!$A$2:$A$27,0)),"")</f>
        <v>5</v>
      </c>
      <c r="AD1152" s="24">
        <f>IFERROR(INDEX(Cost_Components!$N$2:$N$27,MATCH(E1152,Cost_Components!$A$2:$A$27,0)),"")</f>
        <v>40</v>
      </c>
      <c r="AE1152" s="14" t="str">
        <f>IFERROR(INDEX(Cost_Components!$O$2:$O$27,MATCH(E1152,Cost_Components!$A$2:$A$27,0)),"")</f>
        <v>Both</v>
      </c>
      <c r="AF1152" s="11">
        <v>814714.65188536397</v>
      </c>
      <c r="AG1152" s="11">
        <v>813694.15327863605</v>
      </c>
      <c r="AH1152" s="21">
        <f t="shared" si="179"/>
        <v>1</v>
      </c>
    </row>
    <row r="1153" spans="1:34">
      <c r="A1153" t="s">
        <v>75</v>
      </c>
      <c r="B1153" s="18">
        <v>2032</v>
      </c>
      <c r="C1153" t="s">
        <v>212</v>
      </c>
      <c r="D1153" t="s">
        <v>209</v>
      </c>
      <c r="E1153" s="20" t="s">
        <v>303</v>
      </c>
      <c r="F1153" s="20" t="s">
        <v>304</v>
      </c>
      <c r="G1153" s="20" t="s">
        <v>213</v>
      </c>
      <c r="H1153" s="20" t="s">
        <v>192</v>
      </c>
      <c r="I1153" s="20" t="s">
        <v>264</v>
      </c>
      <c r="J1153" s="15">
        <f>IFERROR(INDEX(Cost_Components!$K$2:$K$27,MATCH(E1153,Cost_Components!$A$2:$A$27,0)),"")</f>
        <v>1</v>
      </c>
      <c r="K1153" s="15">
        <f t="shared" si="170"/>
        <v>0.31538461538461543</v>
      </c>
      <c r="L1153" s="15">
        <f>IFERROR(INDEX(Cost_Components!$S$2:$S$27,MATCH(E1153,Cost_Components!$A$2:$A$27,0)),"")</f>
        <v>0.1</v>
      </c>
      <c r="M1153" s="26">
        <f>IFERROR(INDEX(Cost_Components!$L$2:$L$27,MATCH(E1153,Cost_Components!$A$2:$A$27,0)),"")</f>
        <v>1</v>
      </c>
      <c r="N1153" s="27">
        <f>IFERROR(INDEX(Cost_Components!$P$2:$P$27,MATCH(E1153,Cost_Components!$A$2:$A$27,0)),"")</f>
        <v>12488.38616</v>
      </c>
      <c r="O1153" s="21">
        <f t="shared" si="171"/>
        <v>819342.44168632198</v>
      </c>
      <c r="P1153" s="21">
        <f t="shared" si="172"/>
        <v>818059.35158830194</v>
      </c>
      <c r="Q1153" s="21">
        <f t="shared" si="173"/>
        <v>1021624108.4433924</v>
      </c>
      <c r="R1153" s="21">
        <f t="shared" si="174"/>
        <v>3227098901.3176842</v>
      </c>
      <c r="S1153" s="21">
        <f t="shared" si="175"/>
        <v>2205474792.8742919</v>
      </c>
      <c r="T1153" s="14">
        <f>IFERROR(INDEX(Cost_Components!$R$2:$R$27,MATCH(E1153,Cost_Components!$A$2:$A$27,0)),"")</f>
        <v>1</v>
      </c>
      <c r="U1153" s="24">
        <f>IFERROR(INDEX(Cost_Components!$Q$2:$Q$27,MATCH(E1153,Cost_Components!$A$2:$A$27,0)),"")</f>
        <v>2023</v>
      </c>
      <c r="V1153" s="28">
        <f>1/(1+Calculation_Assumptions!$B$5)^(B1153-Calculation_Assumptions!$B$2)</f>
        <v>0.81309151134335378</v>
      </c>
      <c r="W1153" s="21">
        <f t="shared" si="176"/>
        <v>830673890.35904431</v>
      </c>
      <c r="X1153" s="21">
        <f t="shared" si="177"/>
        <v>2623926722.9268723</v>
      </c>
      <c r="Y1153" s="21">
        <f t="shared" si="178"/>
        <v>1793252832.5678282</v>
      </c>
      <c r="Z1153" s="15">
        <f>IFERROR(INDEX(Cost_Components!$T$2:$T$27,MATCH(E1153,Cost_Components!$A$2:$A$27,0)),"")</f>
        <v>0.8</v>
      </c>
      <c r="AA1153" s="24">
        <f>IFERROR(INDEX(Cost_Components!$U$2:$U$27,MATCH(E1153,Cost_Components!$A$2:$A$27,0)),"")</f>
        <v>2025</v>
      </c>
      <c r="AB1153" s="24">
        <f>IFERROR(INDEX(Cost_Components!$V$2:$V$27,MATCH(E1153,Cost_Components!$A$2:$A$27,0)),"")</f>
        <v>2050</v>
      </c>
      <c r="AC1153" s="24">
        <f>IFERROR(INDEX(Cost_Components!$M$2:$M$27,MATCH(E1153,Cost_Components!$A$2:$A$27,0)),"")</f>
        <v>5</v>
      </c>
      <c r="AD1153" s="24">
        <f>IFERROR(INDEX(Cost_Components!$N$2:$N$27,MATCH(E1153,Cost_Components!$A$2:$A$27,0)),"")</f>
        <v>40</v>
      </c>
      <c r="AE1153" s="14" t="str">
        <f>IFERROR(INDEX(Cost_Components!$O$2:$O$27,MATCH(E1153,Cost_Components!$A$2:$A$27,0)),"")</f>
        <v>Both</v>
      </c>
      <c r="AF1153" s="11">
        <v>819342.44168632198</v>
      </c>
      <c r="AG1153" s="11">
        <v>818059.35158830194</v>
      </c>
      <c r="AH1153" s="21">
        <f t="shared" si="179"/>
        <v>1</v>
      </c>
    </row>
    <row r="1154" spans="1:34">
      <c r="A1154" t="s">
        <v>75</v>
      </c>
      <c r="B1154" s="18">
        <v>2033</v>
      </c>
      <c r="C1154" t="s">
        <v>212</v>
      </c>
      <c r="D1154" t="s">
        <v>209</v>
      </c>
      <c r="E1154" s="20" t="s">
        <v>303</v>
      </c>
      <c r="F1154" s="20" t="s">
        <v>304</v>
      </c>
      <c r="G1154" s="20" t="s">
        <v>213</v>
      </c>
      <c r="H1154" s="20" t="s">
        <v>192</v>
      </c>
      <c r="I1154" s="20" t="s">
        <v>264</v>
      </c>
      <c r="J1154" s="15">
        <f>IFERROR(INDEX(Cost_Components!$K$2:$K$27,MATCH(E1154,Cost_Components!$A$2:$A$27,0)),"")</f>
        <v>1</v>
      </c>
      <c r="K1154" s="15">
        <f t="shared" ref="K1154:K1217" si="180">IF(OR(L1154="",Z1154="",AA1154="",AB1154=""),"",IF(B1154&lt;AA1154,L1154,IF(B1154&gt;AB1154,Z1154,L1154+(Z1154-L1154)*MIN(MAX((B1154-AA1154+1)/MAX(AB1154-AA1154+1,1),0),1))))</f>
        <v>0.34230769230769231</v>
      </c>
      <c r="L1154" s="15">
        <f>IFERROR(INDEX(Cost_Components!$S$2:$S$27,MATCH(E1154,Cost_Components!$A$2:$A$27,0)),"")</f>
        <v>0.1</v>
      </c>
      <c r="M1154" s="26">
        <f>IFERROR(INDEX(Cost_Components!$L$2:$L$27,MATCH(E1154,Cost_Components!$A$2:$A$27,0)),"")</f>
        <v>1</v>
      </c>
      <c r="N1154" s="27">
        <f>IFERROR(INDEX(Cost_Components!$P$2:$P$27,MATCH(E1154,Cost_Components!$A$2:$A$27,0)),"")</f>
        <v>12488.38616</v>
      </c>
      <c r="O1154" s="21">
        <f t="shared" ref="O1154:O1217" si="181">AF1154*J1154</f>
        <v>824388.88796563097</v>
      </c>
      <c r="P1154" s="21">
        <f t="shared" ref="P1154:P1217" si="182">AG1154*J1154</f>
        <v>822818.56253127498</v>
      </c>
      <c r="Q1154" s="21">
        <f t="shared" ref="Q1154:Q1217" si="183">P1154*L1154*M1154*N1154</f>
        <v>1027567594.850667</v>
      </c>
      <c r="R1154" s="21">
        <f t="shared" ref="R1154:R1217" si="184">O1154*K1154*M1154*N1154</f>
        <v>3524155858.9406624</v>
      </c>
      <c r="S1154" s="21">
        <f t="shared" ref="S1154:S1217" si="185">R1154-Q1154</f>
        <v>2496588264.0899954</v>
      </c>
      <c r="T1154" s="14">
        <f>IFERROR(INDEX(Cost_Components!$R$2:$R$27,MATCH(E1154,Cost_Components!$A$2:$A$27,0)),"")</f>
        <v>1</v>
      </c>
      <c r="U1154" s="24">
        <f>IFERROR(INDEX(Cost_Components!$Q$2:$Q$27,MATCH(E1154,Cost_Components!$A$2:$A$27,0)),"")</f>
        <v>2023</v>
      </c>
      <c r="V1154" s="28">
        <f>1/(1+Calculation_Assumptions!$B$5)^(B1154-Calculation_Assumptions!$B$2)</f>
        <v>0.78940923431393573</v>
      </c>
      <c r="W1154" s="21">
        <f t="shared" ref="W1154:W1217" si="186">Q1154*V1154</f>
        <v>811171348.25687754</v>
      </c>
      <c r="X1154" s="21">
        <f t="shared" ref="X1154:X1217" si="187">R1154*V1154</f>
        <v>2782001178.2093186</v>
      </c>
      <c r="Y1154" s="21">
        <f t="shared" ref="Y1154:Y1217" si="188">S1154*V1154</f>
        <v>1970829829.9524412</v>
      </c>
      <c r="Z1154" s="15">
        <f>IFERROR(INDEX(Cost_Components!$T$2:$T$27,MATCH(E1154,Cost_Components!$A$2:$A$27,0)),"")</f>
        <v>0.8</v>
      </c>
      <c r="AA1154" s="24">
        <f>IFERROR(INDEX(Cost_Components!$U$2:$U$27,MATCH(E1154,Cost_Components!$A$2:$A$27,0)),"")</f>
        <v>2025</v>
      </c>
      <c r="AB1154" s="24">
        <f>IFERROR(INDEX(Cost_Components!$V$2:$V$27,MATCH(E1154,Cost_Components!$A$2:$A$27,0)),"")</f>
        <v>2050</v>
      </c>
      <c r="AC1154" s="24">
        <f>IFERROR(INDEX(Cost_Components!$M$2:$M$27,MATCH(E1154,Cost_Components!$A$2:$A$27,0)),"")</f>
        <v>5</v>
      </c>
      <c r="AD1154" s="24">
        <f>IFERROR(INDEX(Cost_Components!$N$2:$N$27,MATCH(E1154,Cost_Components!$A$2:$A$27,0)),"")</f>
        <v>40</v>
      </c>
      <c r="AE1154" s="14" t="str">
        <f>IFERROR(INDEX(Cost_Components!$O$2:$O$27,MATCH(E1154,Cost_Components!$A$2:$A$27,0)),"")</f>
        <v>Both</v>
      </c>
      <c r="AF1154" s="11">
        <v>824388.88796563097</v>
      </c>
      <c r="AG1154" s="11">
        <v>822818.56253127498</v>
      </c>
      <c r="AH1154" s="21">
        <f t="shared" ref="AH1154:AH1217" si="189">IF(H1154="shared-count-once",COUNTIFS($A$2:$A$1353,A1154,$B$2:$B$1353,B1154,$E$2:$E$1353,E1154),1)</f>
        <v>1</v>
      </c>
    </row>
    <row r="1155" spans="1:34">
      <c r="A1155" t="s">
        <v>75</v>
      </c>
      <c r="B1155" s="18">
        <v>2034</v>
      </c>
      <c r="C1155" t="s">
        <v>212</v>
      </c>
      <c r="D1155" t="s">
        <v>209</v>
      </c>
      <c r="E1155" s="20" t="s">
        <v>303</v>
      </c>
      <c r="F1155" s="20" t="s">
        <v>304</v>
      </c>
      <c r="G1155" s="20" t="s">
        <v>213</v>
      </c>
      <c r="H1155" s="20" t="s">
        <v>192</v>
      </c>
      <c r="I1155" s="20" t="s">
        <v>264</v>
      </c>
      <c r="J1155" s="15">
        <f>IFERROR(INDEX(Cost_Components!$K$2:$K$27,MATCH(E1155,Cost_Components!$A$2:$A$27,0)),"")</f>
        <v>1</v>
      </c>
      <c r="K1155" s="15">
        <f t="shared" si="180"/>
        <v>0.36923076923076925</v>
      </c>
      <c r="L1155" s="15">
        <f>IFERROR(INDEX(Cost_Components!$S$2:$S$27,MATCH(E1155,Cost_Components!$A$2:$A$27,0)),"")</f>
        <v>0.1</v>
      </c>
      <c r="M1155" s="26">
        <f>IFERROR(INDEX(Cost_Components!$L$2:$L$27,MATCH(E1155,Cost_Components!$A$2:$A$27,0)),"")</f>
        <v>1</v>
      </c>
      <c r="N1155" s="27">
        <f>IFERROR(INDEX(Cost_Components!$P$2:$P$27,MATCH(E1155,Cost_Components!$A$2:$A$27,0)),"")</f>
        <v>12488.38616</v>
      </c>
      <c r="O1155" s="21">
        <f t="shared" si="181"/>
        <v>829356.37167610496</v>
      </c>
      <c r="P1155" s="21">
        <f t="shared" si="182"/>
        <v>827476.03115821898</v>
      </c>
      <c r="Q1155" s="21">
        <f t="shared" si="183"/>
        <v>1033384021.524803</v>
      </c>
      <c r="R1155" s="21">
        <f t="shared" si="184"/>
        <v>3824242203.2299147</v>
      </c>
      <c r="S1155" s="21">
        <f t="shared" si="185"/>
        <v>2790858181.7051115</v>
      </c>
      <c r="T1155" s="14">
        <f>IFERROR(INDEX(Cost_Components!$R$2:$R$27,MATCH(E1155,Cost_Components!$A$2:$A$27,0)),"")</f>
        <v>1</v>
      </c>
      <c r="U1155" s="24">
        <f>IFERROR(INDEX(Cost_Components!$Q$2:$Q$27,MATCH(E1155,Cost_Components!$A$2:$A$27,0)),"")</f>
        <v>2023</v>
      </c>
      <c r="V1155" s="28">
        <f>1/(1+Calculation_Assumptions!$B$5)^(B1155-Calculation_Assumptions!$B$2)</f>
        <v>0.76641673234362695</v>
      </c>
      <c r="W1155" s="21">
        <f t="shared" si="186"/>
        <v>792002805.0331558</v>
      </c>
      <c r="X1155" s="21">
        <f t="shared" si="187"/>
        <v>2930963213.0900636</v>
      </c>
      <c r="Y1155" s="21">
        <f t="shared" si="188"/>
        <v>2138960408.0569079</v>
      </c>
      <c r="Z1155" s="15">
        <f>IFERROR(INDEX(Cost_Components!$T$2:$T$27,MATCH(E1155,Cost_Components!$A$2:$A$27,0)),"")</f>
        <v>0.8</v>
      </c>
      <c r="AA1155" s="24">
        <f>IFERROR(INDEX(Cost_Components!$U$2:$U$27,MATCH(E1155,Cost_Components!$A$2:$A$27,0)),"")</f>
        <v>2025</v>
      </c>
      <c r="AB1155" s="24">
        <f>IFERROR(INDEX(Cost_Components!$V$2:$V$27,MATCH(E1155,Cost_Components!$A$2:$A$27,0)),"")</f>
        <v>2050</v>
      </c>
      <c r="AC1155" s="24">
        <f>IFERROR(INDEX(Cost_Components!$M$2:$M$27,MATCH(E1155,Cost_Components!$A$2:$A$27,0)),"")</f>
        <v>5</v>
      </c>
      <c r="AD1155" s="24">
        <f>IFERROR(INDEX(Cost_Components!$N$2:$N$27,MATCH(E1155,Cost_Components!$A$2:$A$27,0)),"")</f>
        <v>40</v>
      </c>
      <c r="AE1155" s="14" t="str">
        <f>IFERROR(INDEX(Cost_Components!$O$2:$O$27,MATCH(E1155,Cost_Components!$A$2:$A$27,0)),"")</f>
        <v>Both</v>
      </c>
      <c r="AF1155" s="11">
        <v>829356.37167610496</v>
      </c>
      <c r="AG1155" s="11">
        <v>827476.03115821898</v>
      </c>
      <c r="AH1155" s="21">
        <f t="shared" si="189"/>
        <v>1</v>
      </c>
    </row>
    <row r="1156" spans="1:34">
      <c r="A1156" t="s">
        <v>75</v>
      </c>
      <c r="B1156" s="18">
        <v>2035</v>
      </c>
      <c r="C1156" t="s">
        <v>212</v>
      </c>
      <c r="D1156" t="s">
        <v>209</v>
      </c>
      <c r="E1156" s="20" t="s">
        <v>303</v>
      </c>
      <c r="F1156" s="20" t="s">
        <v>304</v>
      </c>
      <c r="G1156" s="20" t="s">
        <v>213</v>
      </c>
      <c r="H1156" s="20" t="s">
        <v>192</v>
      </c>
      <c r="I1156" s="20" t="s">
        <v>264</v>
      </c>
      <c r="J1156" s="15">
        <f>IFERROR(INDEX(Cost_Components!$K$2:$K$27,MATCH(E1156,Cost_Components!$A$2:$A$27,0)),"")</f>
        <v>1</v>
      </c>
      <c r="K1156" s="15">
        <f t="shared" si="180"/>
        <v>0.39615384615384619</v>
      </c>
      <c r="L1156" s="15">
        <f>IFERROR(INDEX(Cost_Components!$S$2:$S$27,MATCH(E1156,Cost_Components!$A$2:$A$27,0)),"")</f>
        <v>0.1</v>
      </c>
      <c r="M1156" s="26">
        <f>IFERROR(INDEX(Cost_Components!$L$2:$L$27,MATCH(E1156,Cost_Components!$A$2:$A$27,0)),"")</f>
        <v>1</v>
      </c>
      <c r="N1156" s="27">
        <f>IFERROR(INDEX(Cost_Components!$P$2:$P$27,MATCH(E1156,Cost_Components!$A$2:$A$27,0)),"")</f>
        <v>12488.38616</v>
      </c>
      <c r="O1156" s="21">
        <f t="shared" si="181"/>
        <v>833802.79729193402</v>
      </c>
      <c r="P1156" s="21">
        <f t="shared" si="182"/>
        <v>831592.18046078901</v>
      </c>
      <c r="Q1156" s="21">
        <f t="shared" si="183"/>
        <v>1038524427.7230741</v>
      </c>
      <c r="R1156" s="21">
        <f t="shared" si="184"/>
        <v>4125091097.4176812</v>
      </c>
      <c r="S1156" s="21">
        <f t="shared" si="185"/>
        <v>3086566669.6946073</v>
      </c>
      <c r="T1156" s="14">
        <f>IFERROR(INDEX(Cost_Components!$R$2:$R$27,MATCH(E1156,Cost_Components!$A$2:$A$27,0)),"")</f>
        <v>1</v>
      </c>
      <c r="U1156" s="24">
        <f>IFERROR(INDEX(Cost_Components!$Q$2:$Q$27,MATCH(E1156,Cost_Components!$A$2:$A$27,0)),"")</f>
        <v>2023</v>
      </c>
      <c r="V1156" s="28">
        <f>1/(1+Calculation_Assumptions!$B$5)^(B1156-Calculation_Assumptions!$B$2)</f>
        <v>0.74409391489672516</v>
      </c>
      <c r="W1156" s="21">
        <f t="shared" si="186"/>
        <v>772759707.14034331</v>
      </c>
      <c r="X1156" s="21">
        <f t="shared" si="187"/>
        <v>3069455183.9831505</v>
      </c>
      <c r="Y1156" s="21">
        <f t="shared" si="188"/>
        <v>2296695476.8428073</v>
      </c>
      <c r="Z1156" s="15">
        <f>IFERROR(INDEX(Cost_Components!$T$2:$T$27,MATCH(E1156,Cost_Components!$A$2:$A$27,0)),"")</f>
        <v>0.8</v>
      </c>
      <c r="AA1156" s="24">
        <f>IFERROR(INDEX(Cost_Components!$U$2:$U$27,MATCH(E1156,Cost_Components!$A$2:$A$27,0)),"")</f>
        <v>2025</v>
      </c>
      <c r="AB1156" s="24">
        <f>IFERROR(INDEX(Cost_Components!$V$2:$V$27,MATCH(E1156,Cost_Components!$A$2:$A$27,0)),"")</f>
        <v>2050</v>
      </c>
      <c r="AC1156" s="24">
        <f>IFERROR(INDEX(Cost_Components!$M$2:$M$27,MATCH(E1156,Cost_Components!$A$2:$A$27,0)),"")</f>
        <v>5</v>
      </c>
      <c r="AD1156" s="24">
        <f>IFERROR(INDEX(Cost_Components!$N$2:$N$27,MATCH(E1156,Cost_Components!$A$2:$A$27,0)),"")</f>
        <v>40</v>
      </c>
      <c r="AE1156" s="14" t="str">
        <f>IFERROR(INDEX(Cost_Components!$O$2:$O$27,MATCH(E1156,Cost_Components!$A$2:$A$27,0)),"")</f>
        <v>Both</v>
      </c>
      <c r="AF1156" s="11">
        <v>833802.79729193402</v>
      </c>
      <c r="AG1156" s="11">
        <v>831592.18046078901</v>
      </c>
      <c r="AH1156" s="21">
        <f t="shared" si="189"/>
        <v>1</v>
      </c>
    </row>
    <row r="1157" spans="1:34">
      <c r="A1157" t="s">
        <v>75</v>
      </c>
      <c r="B1157" s="18">
        <v>2036</v>
      </c>
      <c r="C1157" t="s">
        <v>212</v>
      </c>
      <c r="D1157" t="s">
        <v>209</v>
      </c>
      <c r="E1157" s="20" t="s">
        <v>303</v>
      </c>
      <c r="F1157" s="20" t="s">
        <v>304</v>
      </c>
      <c r="G1157" s="20" t="s">
        <v>213</v>
      </c>
      <c r="H1157" s="20" t="s">
        <v>192</v>
      </c>
      <c r="I1157" s="20" t="s">
        <v>264</v>
      </c>
      <c r="J1157" s="15">
        <f>IFERROR(INDEX(Cost_Components!$K$2:$K$27,MATCH(E1157,Cost_Components!$A$2:$A$27,0)),"")</f>
        <v>1</v>
      </c>
      <c r="K1157" s="15">
        <f t="shared" si="180"/>
        <v>0.42307692307692313</v>
      </c>
      <c r="L1157" s="15">
        <f>IFERROR(INDEX(Cost_Components!$S$2:$S$27,MATCH(E1157,Cost_Components!$A$2:$A$27,0)),"")</f>
        <v>0.1</v>
      </c>
      <c r="M1157" s="26">
        <f>IFERROR(INDEX(Cost_Components!$L$2:$L$27,MATCH(E1157,Cost_Components!$A$2:$A$27,0)),"")</f>
        <v>1</v>
      </c>
      <c r="N1157" s="27">
        <f>IFERROR(INDEX(Cost_Components!$P$2:$P$27,MATCH(E1157,Cost_Components!$A$2:$A$27,0)),"")</f>
        <v>12488.38616</v>
      </c>
      <c r="O1157" s="21">
        <f t="shared" si="181"/>
        <v>837530.68242613203</v>
      </c>
      <c r="P1157" s="21">
        <f t="shared" si="182"/>
        <v>834972.28439651302</v>
      </c>
      <c r="Q1157" s="21">
        <f t="shared" si="183"/>
        <v>1042745632.0440998</v>
      </c>
      <c r="R1157" s="21">
        <f t="shared" si="184"/>
        <v>4425133554.3401728</v>
      </c>
      <c r="S1157" s="21">
        <f t="shared" si="185"/>
        <v>3382387922.296073</v>
      </c>
      <c r="T1157" s="14">
        <f>IFERROR(INDEX(Cost_Components!$R$2:$R$27,MATCH(E1157,Cost_Components!$A$2:$A$27,0)),"")</f>
        <v>1</v>
      </c>
      <c r="U1157" s="24">
        <f>IFERROR(INDEX(Cost_Components!$Q$2:$Q$27,MATCH(E1157,Cost_Components!$A$2:$A$27,0)),"")</f>
        <v>2023</v>
      </c>
      <c r="V1157" s="28">
        <f>1/(1+Calculation_Assumptions!$B$5)^(B1157-Calculation_Assumptions!$B$2)</f>
        <v>0.72242127659876232</v>
      </c>
      <c r="W1157" s="21">
        <f t="shared" si="186"/>
        <v>753301630.66908181</v>
      </c>
      <c r="X1157" s="21">
        <f t="shared" si="187"/>
        <v>3196810631.4464459</v>
      </c>
      <c r="Y1157" s="21">
        <f t="shared" si="188"/>
        <v>2443509000.7773643</v>
      </c>
      <c r="Z1157" s="15">
        <f>IFERROR(INDEX(Cost_Components!$T$2:$T$27,MATCH(E1157,Cost_Components!$A$2:$A$27,0)),"")</f>
        <v>0.8</v>
      </c>
      <c r="AA1157" s="24">
        <f>IFERROR(INDEX(Cost_Components!$U$2:$U$27,MATCH(E1157,Cost_Components!$A$2:$A$27,0)),"")</f>
        <v>2025</v>
      </c>
      <c r="AB1157" s="24">
        <f>IFERROR(INDEX(Cost_Components!$V$2:$V$27,MATCH(E1157,Cost_Components!$A$2:$A$27,0)),"")</f>
        <v>2050</v>
      </c>
      <c r="AC1157" s="24">
        <f>IFERROR(INDEX(Cost_Components!$M$2:$M$27,MATCH(E1157,Cost_Components!$A$2:$A$27,0)),"")</f>
        <v>5</v>
      </c>
      <c r="AD1157" s="24">
        <f>IFERROR(INDEX(Cost_Components!$N$2:$N$27,MATCH(E1157,Cost_Components!$A$2:$A$27,0)),"")</f>
        <v>40</v>
      </c>
      <c r="AE1157" s="14" t="str">
        <f>IFERROR(INDEX(Cost_Components!$O$2:$O$27,MATCH(E1157,Cost_Components!$A$2:$A$27,0)),"")</f>
        <v>Both</v>
      </c>
      <c r="AF1157" s="11">
        <v>837530.68242613203</v>
      </c>
      <c r="AG1157" s="11">
        <v>834972.28439651302</v>
      </c>
      <c r="AH1157" s="21">
        <f t="shared" si="189"/>
        <v>1</v>
      </c>
    </row>
    <row r="1158" spans="1:34">
      <c r="A1158" t="s">
        <v>75</v>
      </c>
      <c r="B1158" s="18">
        <v>2037</v>
      </c>
      <c r="C1158" t="s">
        <v>212</v>
      </c>
      <c r="D1158" t="s">
        <v>209</v>
      </c>
      <c r="E1158" s="20" t="s">
        <v>303</v>
      </c>
      <c r="F1158" s="20" t="s">
        <v>304</v>
      </c>
      <c r="G1158" s="20" t="s">
        <v>213</v>
      </c>
      <c r="H1158" s="20" t="s">
        <v>192</v>
      </c>
      <c r="I1158" s="20" t="s">
        <v>264</v>
      </c>
      <c r="J1158" s="15">
        <f>IFERROR(INDEX(Cost_Components!$K$2:$K$27,MATCH(E1158,Cost_Components!$A$2:$A$27,0)),"")</f>
        <v>1</v>
      </c>
      <c r="K1158" s="15">
        <f t="shared" si="180"/>
        <v>0.45000000000000007</v>
      </c>
      <c r="L1158" s="15">
        <f>IFERROR(INDEX(Cost_Components!$S$2:$S$27,MATCH(E1158,Cost_Components!$A$2:$A$27,0)),"")</f>
        <v>0.1</v>
      </c>
      <c r="M1158" s="26">
        <f>IFERROR(INDEX(Cost_Components!$L$2:$L$27,MATCH(E1158,Cost_Components!$A$2:$A$27,0)),"")</f>
        <v>1</v>
      </c>
      <c r="N1158" s="27">
        <f>IFERROR(INDEX(Cost_Components!$P$2:$P$27,MATCH(E1158,Cost_Components!$A$2:$A$27,0)),"")</f>
        <v>12488.38616</v>
      </c>
      <c r="O1158" s="21">
        <f t="shared" si="181"/>
        <v>840902.95442059904</v>
      </c>
      <c r="P1158" s="21">
        <f t="shared" si="182"/>
        <v>837979.99927663303</v>
      </c>
      <c r="Q1158" s="21">
        <f t="shared" si="183"/>
        <v>1046501782.5323114</v>
      </c>
      <c r="R1158" s="21">
        <f t="shared" si="184"/>
        <v>4725684368.0501947</v>
      </c>
      <c r="S1158" s="21">
        <f t="shared" si="185"/>
        <v>3679182585.5178833</v>
      </c>
      <c r="T1158" s="14">
        <f>IFERROR(INDEX(Cost_Components!$R$2:$R$27,MATCH(E1158,Cost_Components!$A$2:$A$27,0)),"")</f>
        <v>1</v>
      </c>
      <c r="U1158" s="24">
        <f>IFERROR(INDEX(Cost_Components!$Q$2:$Q$27,MATCH(E1158,Cost_Components!$A$2:$A$27,0)),"")</f>
        <v>2023</v>
      </c>
      <c r="V1158" s="28">
        <f>1/(1+Calculation_Assumptions!$B$5)^(B1158-Calculation_Assumptions!$B$2)</f>
        <v>0.70137988019297326</v>
      </c>
      <c r="W1158" s="21">
        <f t="shared" si="186"/>
        <v>733995294.85424554</v>
      </c>
      <c r="X1158" s="21">
        <f t="shared" si="187"/>
        <v>3314499935.8928523</v>
      </c>
      <c r="Y1158" s="21">
        <f t="shared" si="188"/>
        <v>2580504641.0386066</v>
      </c>
      <c r="Z1158" s="15">
        <f>IFERROR(INDEX(Cost_Components!$T$2:$T$27,MATCH(E1158,Cost_Components!$A$2:$A$27,0)),"")</f>
        <v>0.8</v>
      </c>
      <c r="AA1158" s="24">
        <f>IFERROR(INDEX(Cost_Components!$U$2:$U$27,MATCH(E1158,Cost_Components!$A$2:$A$27,0)),"")</f>
        <v>2025</v>
      </c>
      <c r="AB1158" s="24">
        <f>IFERROR(INDEX(Cost_Components!$V$2:$V$27,MATCH(E1158,Cost_Components!$A$2:$A$27,0)),"")</f>
        <v>2050</v>
      </c>
      <c r="AC1158" s="24">
        <f>IFERROR(INDEX(Cost_Components!$M$2:$M$27,MATCH(E1158,Cost_Components!$A$2:$A$27,0)),"")</f>
        <v>5</v>
      </c>
      <c r="AD1158" s="24">
        <f>IFERROR(INDEX(Cost_Components!$N$2:$N$27,MATCH(E1158,Cost_Components!$A$2:$A$27,0)),"")</f>
        <v>40</v>
      </c>
      <c r="AE1158" s="14" t="str">
        <f>IFERROR(INDEX(Cost_Components!$O$2:$O$27,MATCH(E1158,Cost_Components!$A$2:$A$27,0)),"")</f>
        <v>Both</v>
      </c>
      <c r="AF1158" s="11">
        <v>840902.95442059904</v>
      </c>
      <c r="AG1158" s="11">
        <v>837979.99927663303</v>
      </c>
      <c r="AH1158" s="21">
        <f t="shared" si="189"/>
        <v>1</v>
      </c>
    </row>
    <row r="1159" spans="1:34">
      <c r="A1159" t="s">
        <v>75</v>
      </c>
      <c r="B1159" s="18">
        <v>2038</v>
      </c>
      <c r="C1159" t="s">
        <v>212</v>
      </c>
      <c r="D1159" t="s">
        <v>209</v>
      </c>
      <c r="E1159" s="20" t="s">
        <v>303</v>
      </c>
      <c r="F1159" s="20" t="s">
        <v>304</v>
      </c>
      <c r="G1159" s="20" t="s">
        <v>213</v>
      </c>
      <c r="H1159" s="20" t="s">
        <v>192</v>
      </c>
      <c r="I1159" s="20" t="s">
        <v>264</v>
      </c>
      <c r="J1159" s="15">
        <f>IFERROR(INDEX(Cost_Components!$K$2:$K$27,MATCH(E1159,Cost_Components!$A$2:$A$27,0)),"")</f>
        <v>1</v>
      </c>
      <c r="K1159" s="15">
        <f t="shared" si="180"/>
        <v>0.47692307692307689</v>
      </c>
      <c r="L1159" s="15">
        <f>IFERROR(INDEX(Cost_Components!$S$2:$S$27,MATCH(E1159,Cost_Components!$A$2:$A$27,0)),"")</f>
        <v>0.1</v>
      </c>
      <c r="M1159" s="26">
        <f>IFERROR(INDEX(Cost_Components!$L$2:$L$27,MATCH(E1159,Cost_Components!$A$2:$A$27,0)),"")</f>
        <v>1</v>
      </c>
      <c r="N1159" s="27">
        <f>IFERROR(INDEX(Cost_Components!$P$2:$P$27,MATCH(E1159,Cost_Components!$A$2:$A$27,0)),"")</f>
        <v>12488.38616</v>
      </c>
      <c r="O1159" s="21">
        <f t="shared" si="181"/>
        <v>843851.19129619701</v>
      </c>
      <c r="P1159" s="21">
        <f t="shared" si="182"/>
        <v>840548.704764758</v>
      </c>
      <c r="Q1159" s="21">
        <f t="shared" si="183"/>
        <v>1049709681.1390131</v>
      </c>
      <c r="R1159" s="21">
        <f t="shared" si="184"/>
        <v>5025977318.3534012</v>
      </c>
      <c r="S1159" s="21">
        <f t="shared" si="185"/>
        <v>3976267637.2143879</v>
      </c>
      <c r="T1159" s="14">
        <f>IFERROR(INDEX(Cost_Components!$R$2:$R$27,MATCH(E1159,Cost_Components!$A$2:$A$27,0)),"")</f>
        <v>1</v>
      </c>
      <c r="U1159" s="24">
        <f>IFERROR(INDEX(Cost_Components!$Q$2:$Q$27,MATCH(E1159,Cost_Components!$A$2:$A$27,0)),"")</f>
        <v>2023</v>
      </c>
      <c r="V1159" s="28">
        <f>1/(1+Calculation_Assumptions!$B$5)^(B1159-Calculation_Assumptions!$B$2)</f>
        <v>0.68095133999317792</v>
      </c>
      <c r="W1159" s="21">
        <f t="shared" si="186"/>
        <v>714801213.9754225</v>
      </c>
      <c r="X1159" s="21">
        <f t="shared" si="187"/>
        <v>3422445989.7080674</v>
      </c>
      <c r="Y1159" s="21">
        <f t="shared" si="188"/>
        <v>2707644775.732645</v>
      </c>
      <c r="Z1159" s="15">
        <f>IFERROR(INDEX(Cost_Components!$T$2:$T$27,MATCH(E1159,Cost_Components!$A$2:$A$27,0)),"")</f>
        <v>0.8</v>
      </c>
      <c r="AA1159" s="24">
        <f>IFERROR(INDEX(Cost_Components!$U$2:$U$27,MATCH(E1159,Cost_Components!$A$2:$A$27,0)),"")</f>
        <v>2025</v>
      </c>
      <c r="AB1159" s="24">
        <f>IFERROR(INDEX(Cost_Components!$V$2:$V$27,MATCH(E1159,Cost_Components!$A$2:$A$27,0)),"")</f>
        <v>2050</v>
      </c>
      <c r="AC1159" s="24">
        <f>IFERROR(INDEX(Cost_Components!$M$2:$M$27,MATCH(E1159,Cost_Components!$A$2:$A$27,0)),"")</f>
        <v>5</v>
      </c>
      <c r="AD1159" s="24">
        <f>IFERROR(INDEX(Cost_Components!$N$2:$N$27,MATCH(E1159,Cost_Components!$A$2:$A$27,0)),"")</f>
        <v>40</v>
      </c>
      <c r="AE1159" s="14" t="str">
        <f>IFERROR(INDEX(Cost_Components!$O$2:$O$27,MATCH(E1159,Cost_Components!$A$2:$A$27,0)),"")</f>
        <v>Both</v>
      </c>
      <c r="AF1159" s="11">
        <v>843851.19129619701</v>
      </c>
      <c r="AG1159" s="11">
        <v>840548.704764758</v>
      </c>
      <c r="AH1159" s="21">
        <f t="shared" si="189"/>
        <v>1</v>
      </c>
    </row>
    <row r="1160" spans="1:34">
      <c r="A1160" t="s">
        <v>75</v>
      </c>
      <c r="B1160" s="18">
        <v>2039</v>
      </c>
      <c r="C1160" t="s">
        <v>212</v>
      </c>
      <c r="D1160" t="s">
        <v>209</v>
      </c>
      <c r="E1160" s="20" t="s">
        <v>303</v>
      </c>
      <c r="F1160" s="20" t="s">
        <v>304</v>
      </c>
      <c r="G1160" s="20" t="s">
        <v>213</v>
      </c>
      <c r="H1160" s="20" t="s">
        <v>192</v>
      </c>
      <c r="I1160" s="20" t="s">
        <v>264</v>
      </c>
      <c r="J1160" s="15">
        <f>IFERROR(INDEX(Cost_Components!$K$2:$K$27,MATCH(E1160,Cost_Components!$A$2:$A$27,0)),"")</f>
        <v>1</v>
      </c>
      <c r="K1160" s="15">
        <f t="shared" si="180"/>
        <v>0.50384615384615383</v>
      </c>
      <c r="L1160" s="15">
        <f>IFERROR(INDEX(Cost_Components!$S$2:$S$27,MATCH(E1160,Cost_Components!$A$2:$A$27,0)),"")</f>
        <v>0.1</v>
      </c>
      <c r="M1160" s="26">
        <f>IFERROR(INDEX(Cost_Components!$L$2:$L$27,MATCH(E1160,Cost_Components!$A$2:$A$27,0)),"")</f>
        <v>1</v>
      </c>
      <c r="N1160" s="27">
        <f>IFERROR(INDEX(Cost_Components!$P$2:$P$27,MATCH(E1160,Cost_Components!$A$2:$A$27,0)),"")</f>
        <v>12488.38616</v>
      </c>
      <c r="O1160" s="21">
        <f t="shared" si="181"/>
        <v>846574.74028509494</v>
      </c>
      <c r="P1160" s="21">
        <f t="shared" si="182"/>
        <v>842878.62631073897</v>
      </c>
      <c r="Q1160" s="21">
        <f t="shared" si="183"/>
        <v>1052619377.1378845</v>
      </c>
      <c r="R1160" s="21">
        <f t="shared" si="184"/>
        <v>5326839028.3370714</v>
      </c>
      <c r="S1160" s="21">
        <f t="shared" si="185"/>
        <v>4274219651.1991868</v>
      </c>
      <c r="T1160" s="14">
        <f>IFERROR(INDEX(Cost_Components!$R$2:$R$27,MATCH(E1160,Cost_Components!$A$2:$A$27,0)),"")</f>
        <v>1</v>
      </c>
      <c r="U1160" s="24">
        <f>IFERROR(INDEX(Cost_Components!$Q$2:$Q$27,MATCH(E1160,Cost_Components!$A$2:$A$27,0)),"")</f>
        <v>2023</v>
      </c>
      <c r="V1160" s="28">
        <f>1/(1+Calculation_Assumptions!$B$5)^(B1160-Calculation_Assumptions!$B$2)</f>
        <v>0.66111780581861923</v>
      </c>
      <c r="W1160" s="21">
        <f t="shared" si="186"/>
        <v>695905412.97555983</v>
      </c>
      <c r="X1160" s="21">
        <f t="shared" si="187"/>
        <v>3521668130.3631902</v>
      </c>
      <c r="Y1160" s="21">
        <f t="shared" si="188"/>
        <v>2825762717.3876305</v>
      </c>
      <c r="Z1160" s="15">
        <f>IFERROR(INDEX(Cost_Components!$T$2:$T$27,MATCH(E1160,Cost_Components!$A$2:$A$27,0)),"")</f>
        <v>0.8</v>
      </c>
      <c r="AA1160" s="24">
        <f>IFERROR(INDEX(Cost_Components!$U$2:$U$27,MATCH(E1160,Cost_Components!$A$2:$A$27,0)),"")</f>
        <v>2025</v>
      </c>
      <c r="AB1160" s="24">
        <f>IFERROR(INDEX(Cost_Components!$V$2:$V$27,MATCH(E1160,Cost_Components!$A$2:$A$27,0)),"")</f>
        <v>2050</v>
      </c>
      <c r="AC1160" s="24">
        <f>IFERROR(INDEX(Cost_Components!$M$2:$M$27,MATCH(E1160,Cost_Components!$A$2:$A$27,0)),"")</f>
        <v>5</v>
      </c>
      <c r="AD1160" s="24">
        <f>IFERROR(INDEX(Cost_Components!$N$2:$N$27,MATCH(E1160,Cost_Components!$A$2:$A$27,0)),"")</f>
        <v>40</v>
      </c>
      <c r="AE1160" s="14" t="str">
        <f>IFERROR(INDEX(Cost_Components!$O$2:$O$27,MATCH(E1160,Cost_Components!$A$2:$A$27,0)),"")</f>
        <v>Both</v>
      </c>
      <c r="AF1160" s="11">
        <v>846574.74028509494</v>
      </c>
      <c r="AG1160" s="11">
        <v>842878.62631073897</v>
      </c>
      <c r="AH1160" s="21">
        <f t="shared" si="189"/>
        <v>1</v>
      </c>
    </row>
    <row r="1161" spans="1:34">
      <c r="A1161" t="s">
        <v>75</v>
      </c>
      <c r="B1161" s="18">
        <v>2040</v>
      </c>
      <c r="C1161" t="s">
        <v>212</v>
      </c>
      <c r="D1161" t="s">
        <v>209</v>
      </c>
      <c r="E1161" s="20" t="s">
        <v>303</v>
      </c>
      <c r="F1161" s="20" t="s">
        <v>304</v>
      </c>
      <c r="G1161" s="20" t="s">
        <v>213</v>
      </c>
      <c r="H1161" s="20" t="s">
        <v>192</v>
      </c>
      <c r="I1161" s="20" t="s">
        <v>264</v>
      </c>
      <c r="J1161" s="15">
        <f>IFERROR(INDEX(Cost_Components!$K$2:$K$27,MATCH(E1161,Cost_Components!$A$2:$A$27,0)),"")</f>
        <v>1</v>
      </c>
      <c r="K1161" s="15">
        <f t="shared" si="180"/>
        <v>0.53076923076923088</v>
      </c>
      <c r="L1161" s="15">
        <f>IFERROR(INDEX(Cost_Components!$S$2:$S$27,MATCH(E1161,Cost_Components!$A$2:$A$27,0)),"")</f>
        <v>0.1</v>
      </c>
      <c r="M1161" s="26">
        <f>IFERROR(INDEX(Cost_Components!$L$2:$L$27,MATCH(E1161,Cost_Components!$A$2:$A$27,0)),"")</f>
        <v>1</v>
      </c>
      <c r="N1161" s="27">
        <f>IFERROR(INDEX(Cost_Components!$P$2:$P$27,MATCH(E1161,Cost_Components!$A$2:$A$27,0)),"")</f>
        <v>12488.38616</v>
      </c>
      <c r="O1161" s="21">
        <f t="shared" si="181"/>
        <v>849329.57101617695</v>
      </c>
      <c r="P1161" s="21">
        <f t="shared" si="182"/>
        <v>845225.81551201805</v>
      </c>
      <c r="Q1161" s="21">
        <f t="shared" si="183"/>
        <v>1055550637.6515001</v>
      </c>
      <c r="R1161" s="21">
        <f t="shared" si="184"/>
        <v>5629739542.5926485</v>
      </c>
      <c r="S1161" s="21">
        <f t="shared" si="185"/>
        <v>4574188904.9411488</v>
      </c>
      <c r="T1161" s="14">
        <f>IFERROR(INDEX(Cost_Components!$R$2:$R$27,MATCH(E1161,Cost_Components!$A$2:$A$27,0)),"")</f>
        <v>1</v>
      </c>
      <c r="U1161" s="24">
        <f>IFERROR(INDEX(Cost_Components!$Q$2:$Q$27,MATCH(E1161,Cost_Components!$A$2:$A$27,0)),"")</f>
        <v>2023</v>
      </c>
      <c r="V1161" s="28">
        <f>1/(1+Calculation_Assumptions!$B$5)^(B1161-Calculation_Assumptions!$B$2)</f>
        <v>0.64186194739671765</v>
      </c>
      <c r="W1161" s="21">
        <f t="shared" si="186"/>
        <v>677517787.85883892</v>
      </c>
      <c r="X1161" s="21">
        <f t="shared" si="187"/>
        <v>3613515586.144824</v>
      </c>
      <c r="Y1161" s="21">
        <f t="shared" si="188"/>
        <v>2935997798.285985</v>
      </c>
      <c r="Z1161" s="15">
        <f>IFERROR(INDEX(Cost_Components!$T$2:$T$27,MATCH(E1161,Cost_Components!$A$2:$A$27,0)),"")</f>
        <v>0.8</v>
      </c>
      <c r="AA1161" s="24">
        <f>IFERROR(INDEX(Cost_Components!$U$2:$U$27,MATCH(E1161,Cost_Components!$A$2:$A$27,0)),"")</f>
        <v>2025</v>
      </c>
      <c r="AB1161" s="24">
        <f>IFERROR(INDEX(Cost_Components!$V$2:$V$27,MATCH(E1161,Cost_Components!$A$2:$A$27,0)),"")</f>
        <v>2050</v>
      </c>
      <c r="AC1161" s="24">
        <f>IFERROR(INDEX(Cost_Components!$M$2:$M$27,MATCH(E1161,Cost_Components!$A$2:$A$27,0)),"")</f>
        <v>5</v>
      </c>
      <c r="AD1161" s="24">
        <f>IFERROR(INDEX(Cost_Components!$N$2:$N$27,MATCH(E1161,Cost_Components!$A$2:$A$27,0)),"")</f>
        <v>40</v>
      </c>
      <c r="AE1161" s="14" t="str">
        <f>IFERROR(INDEX(Cost_Components!$O$2:$O$27,MATCH(E1161,Cost_Components!$A$2:$A$27,0)),"")</f>
        <v>Both</v>
      </c>
      <c r="AF1161" s="11">
        <v>849329.57101617695</v>
      </c>
      <c r="AG1161" s="11">
        <v>845225.81551201805</v>
      </c>
      <c r="AH1161" s="21">
        <f t="shared" si="189"/>
        <v>1</v>
      </c>
    </row>
    <row r="1162" spans="1:34">
      <c r="A1162" t="s">
        <v>75</v>
      </c>
      <c r="B1162" s="18">
        <v>2041</v>
      </c>
      <c r="C1162" t="s">
        <v>212</v>
      </c>
      <c r="D1162" t="s">
        <v>209</v>
      </c>
      <c r="E1162" s="20" t="s">
        <v>303</v>
      </c>
      <c r="F1162" s="20" t="s">
        <v>304</v>
      </c>
      <c r="G1162" s="20" t="s">
        <v>213</v>
      </c>
      <c r="H1162" s="20" t="s">
        <v>192</v>
      </c>
      <c r="I1162" s="20" t="s">
        <v>264</v>
      </c>
      <c r="J1162" s="15">
        <f>IFERROR(INDEX(Cost_Components!$K$2:$K$27,MATCH(E1162,Cost_Components!$A$2:$A$27,0)),"")</f>
        <v>1</v>
      </c>
      <c r="K1162" s="15">
        <f t="shared" si="180"/>
        <v>0.55769230769230771</v>
      </c>
      <c r="L1162" s="15">
        <f>IFERROR(INDEX(Cost_Components!$S$2:$S$27,MATCH(E1162,Cost_Components!$A$2:$A$27,0)),"")</f>
        <v>0.1</v>
      </c>
      <c r="M1162" s="26">
        <f>IFERROR(INDEX(Cost_Components!$L$2:$L$27,MATCH(E1162,Cost_Components!$A$2:$A$27,0)),"")</f>
        <v>1</v>
      </c>
      <c r="N1162" s="27">
        <f>IFERROR(INDEX(Cost_Components!$P$2:$P$27,MATCH(E1162,Cost_Components!$A$2:$A$27,0)),"")</f>
        <v>12488.38616</v>
      </c>
      <c r="O1162" s="21">
        <f t="shared" si="181"/>
        <v>852015.97803900496</v>
      </c>
      <c r="P1162" s="21">
        <f t="shared" si="182"/>
        <v>847492.12041597697</v>
      </c>
      <c r="Q1162" s="21">
        <f t="shared" si="183"/>
        <v>1058380886.731194</v>
      </c>
      <c r="R1162" s="21">
        <f t="shared" si="184"/>
        <v>5934015998.0575781</v>
      </c>
      <c r="S1162" s="21">
        <f t="shared" si="185"/>
        <v>4875635111.3263836</v>
      </c>
      <c r="T1162" s="14">
        <f>IFERROR(INDEX(Cost_Components!$R$2:$R$27,MATCH(E1162,Cost_Components!$A$2:$A$27,0)),"")</f>
        <v>1</v>
      </c>
      <c r="U1162" s="24">
        <f>IFERROR(INDEX(Cost_Components!$Q$2:$Q$27,MATCH(E1162,Cost_Components!$A$2:$A$27,0)),"")</f>
        <v>2023</v>
      </c>
      <c r="V1162" s="28">
        <f>1/(1+Calculation_Assumptions!$B$5)^(B1162-Calculation_Assumptions!$B$2)</f>
        <v>0.62316693922011435</v>
      </c>
      <c r="W1162" s="21">
        <f t="shared" si="186"/>
        <v>659547977.71334875</v>
      </c>
      <c r="X1162" s="21">
        <f t="shared" si="187"/>
        <v>3697882586.7927327</v>
      </c>
      <c r="Y1162" s="21">
        <f t="shared" si="188"/>
        <v>3038334609.0793839</v>
      </c>
      <c r="Z1162" s="15">
        <f>IFERROR(INDEX(Cost_Components!$T$2:$T$27,MATCH(E1162,Cost_Components!$A$2:$A$27,0)),"")</f>
        <v>0.8</v>
      </c>
      <c r="AA1162" s="24">
        <f>IFERROR(INDEX(Cost_Components!$U$2:$U$27,MATCH(E1162,Cost_Components!$A$2:$A$27,0)),"")</f>
        <v>2025</v>
      </c>
      <c r="AB1162" s="24">
        <f>IFERROR(INDEX(Cost_Components!$V$2:$V$27,MATCH(E1162,Cost_Components!$A$2:$A$27,0)),"")</f>
        <v>2050</v>
      </c>
      <c r="AC1162" s="24">
        <f>IFERROR(INDEX(Cost_Components!$M$2:$M$27,MATCH(E1162,Cost_Components!$A$2:$A$27,0)),"")</f>
        <v>5</v>
      </c>
      <c r="AD1162" s="24">
        <f>IFERROR(INDEX(Cost_Components!$N$2:$N$27,MATCH(E1162,Cost_Components!$A$2:$A$27,0)),"")</f>
        <v>40</v>
      </c>
      <c r="AE1162" s="14" t="str">
        <f>IFERROR(INDEX(Cost_Components!$O$2:$O$27,MATCH(E1162,Cost_Components!$A$2:$A$27,0)),"")</f>
        <v>Both</v>
      </c>
      <c r="AF1162" s="11">
        <v>852015.97803900496</v>
      </c>
      <c r="AG1162" s="11">
        <v>847492.12041597697</v>
      </c>
      <c r="AH1162" s="21">
        <f t="shared" si="189"/>
        <v>1</v>
      </c>
    </row>
    <row r="1163" spans="1:34">
      <c r="A1163" t="s">
        <v>75</v>
      </c>
      <c r="B1163" s="18">
        <v>2042</v>
      </c>
      <c r="C1163" t="s">
        <v>212</v>
      </c>
      <c r="D1163" t="s">
        <v>209</v>
      </c>
      <c r="E1163" s="20" t="s">
        <v>303</v>
      </c>
      <c r="F1163" s="20" t="s">
        <v>304</v>
      </c>
      <c r="G1163" s="20" t="s">
        <v>213</v>
      </c>
      <c r="H1163" s="20" t="s">
        <v>192</v>
      </c>
      <c r="I1163" s="20" t="s">
        <v>264</v>
      </c>
      <c r="J1163" s="15">
        <f>IFERROR(INDEX(Cost_Components!$K$2:$K$27,MATCH(E1163,Cost_Components!$A$2:$A$27,0)),"")</f>
        <v>1</v>
      </c>
      <c r="K1163" s="15">
        <f t="shared" si="180"/>
        <v>0.58461538461538465</v>
      </c>
      <c r="L1163" s="15">
        <f>IFERROR(INDEX(Cost_Components!$S$2:$S$27,MATCH(E1163,Cost_Components!$A$2:$A$27,0)),"")</f>
        <v>0.1</v>
      </c>
      <c r="M1163" s="26">
        <f>IFERROR(INDEX(Cost_Components!$L$2:$L$27,MATCH(E1163,Cost_Components!$A$2:$A$27,0)),"")</f>
        <v>1</v>
      </c>
      <c r="N1163" s="27">
        <f>IFERROR(INDEX(Cost_Components!$P$2:$P$27,MATCH(E1163,Cost_Components!$A$2:$A$27,0)),"")</f>
        <v>12488.38616</v>
      </c>
      <c r="O1163" s="21">
        <f t="shared" si="181"/>
        <v>853816.88144529494</v>
      </c>
      <c r="P1163" s="21">
        <f t="shared" si="182"/>
        <v>848867.76234958798</v>
      </c>
      <c r="Q1163" s="21">
        <f t="shared" si="183"/>
        <v>1060098841.4996763</v>
      </c>
      <c r="R1163" s="21">
        <f t="shared" si="184"/>
        <v>6233633956.3969193</v>
      </c>
      <c r="S1163" s="21">
        <f t="shared" si="185"/>
        <v>5173535114.8972425</v>
      </c>
      <c r="T1163" s="14">
        <f>IFERROR(INDEX(Cost_Components!$R$2:$R$27,MATCH(E1163,Cost_Components!$A$2:$A$27,0)),"")</f>
        <v>1</v>
      </c>
      <c r="U1163" s="24">
        <f>IFERROR(INDEX(Cost_Components!$Q$2:$Q$27,MATCH(E1163,Cost_Components!$A$2:$A$27,0)),"")</f>
        <v>2023</v>
      </c>
      <c r="V1163" s="28">
        <f>1/(1+Calculation_Assumptions!$B$5)^(B1163-Calculation_Assumptions!$B$2)</f>
        <v>0.60501644584477121</v>
      </c>
      <c r="W1163" s="21">
        <f t="shared" si="186"/>
        <v>641377233.32829368</v>
      </c>
      <c r="X1163" s="21">
        <f t="shared" si="187"/>
        <v>3771451060.9965434</v>
      </c>
      <c r="Y1163" s="21">
        <f t="shared" si="188"/>
        <v>3130073827.6682496</v>
      </c>
      <c r="Z1163" s="15">
        <f>IFERROR(INDEX(Cost_Components!$T$2:$T$27,MATCH(E1163,Cost_Components!$A$2:$A$27,0)),"")</f>
        <v>0.8</v>
      </c>
      <c r="AA1163" s="24">
        <f>IFERROR(INDEX(Cost_Components!$U$2:$U$27,MATCH(E1163,Cost_Components!$A$2:$A$27,0)),"")</f>
        <v>2025</v>
      </c>
      <c r="AB1163" s="24">
        <f>IFERROR(INDEX(Cost_Components!$V$2:$V$27,MATCH(E1163,Cost_Components!$A$2:$A$27,0)),"")</f>
        <v>2050</v>
      </c>
      <c r="AC1163" s="24">
        <f>IFERROR(INDEX(Cost_Components!$M$2:$M$27,MATCH(E1163,Cost_Components!$A$2:$A$27,0)),"")</f>
        <v>5</v>
      </c>
      <c r="AD1163" s="24">
        <f>IFERROR(INDEX(Cost_Components!$N$2:$N$27,MATCH(E1163,Cost_Components!$A$2:$A$27,0)),"")</f>
        <v>40</v>
      </c>
      <c r="AE1163" s="14" t="str">
        <f>IFERROR(INDEX(Cost_Components!$O$2:$O$27,MATCH(E1163,Cost_Components!$A$2:$A$27,0)),"")</f>
        <v>Both</v>
      </c>
      <c r="AF1163" s="11">
        <v>853816.88144529494</v>
      </c>
      <c r="AG1163" s="11">
        <v>848867.76234958798</v>
      </c>
      <c r="AH1163" s="21">
        <f t="shared" si="189"/>
        <v>1</v>
      </c>
    </row>
    <row r="1164" spans="1:34">
      <c r="A1164" t="s">
        <v>75</v>
      </c>
      <c r="B1164" s="18">
        <v>2043</v>
      </c>
      <c r="C1164" t="s">
        <v>212</v>
      </c>
      <c r="D1164" t="s">
        <v>209</v>
      </c>
      <c r="E1164" s="20" t="s">
        <v>303</v>
      </c>
      <c r="F1164" s="20" t="s">
        <v>304</v>
      </c>
      <c r="G1164" s="20" t="s">
        <v>213</v>
      </c>
      <c r="H1164" s="20" t="s">
        <v>192</v>
      </c>
      <c r="I1164" s="20" t="s">
        <v>264</v>
      </c>
      <c r="J1164" s="15">
        <f>IFERROR(INDEX(Cost_Components!$K$2:$K$27,MATCH(E1164,Cost_Components!$A$2:$A$27,0)),"")</f>
        <v>1</v>
      </c>
      <c r="K1164" s="15">
        <f t="shared" si="180"/>
        <v>0.61153846153846159</v>
      </c>
      <c r="L1164" s="15">
        <f>IFERROR(INDEX(Cost_Components!$S$2:$S$27,MATCH(E1164,Cost_Components!$A$2:$A$27,0)),"")</f>
        <v>0.1</v>
      </c>
      <c r="M1164" s="26">
        <f>IFERROR(INDEX(Cost_Components!$L$2:$L$27,MATCH(E1164,Cost_Components!$A$2:$A$27,0)),"")</f>
        <v>1</v>
      </c>
      <c r="N1164" s="27">
        <f>IFERROR(INDEX(Cost_Components!$P$2:$P$27,MATCH(E1164,Cost_Components!$A$2:$A$27,0)),"")</f>
        <v>12488.38616</v>
      </c>
      <c r="O1164" s="21">
        <f t="shared" si="181"/>
        <v>854793.40851869201</v>
      </c>
      <c r="P1164" s="21">
        <f t="shared" si="182"/>
        <v>849416.67978559202</v>
      </c>
      <c r="Q1164" s="21">
        <f t="shared" si="183"/>
        <v>1060784350.7907541</v>
      </c>
      <c r="R1164" s="21">
        <f t="shared" si="184"/>
        <v>6528167067.0924835</v>
      </c>
      <c r="S1164" s="21">
        <f t="shared" si="185"/>
        <v>5467382716.3017292</v>
      </c>
      <c r="T1164" s="14">
        <f>IFERROR(INDEX(Cost_Components!$R$2:$R$27,MATCH(E1164,Cost_Components!$A$2:$A$27,0)),"")</f>
        <v>1</v>
      </c>
      <c r="U1164" s="24">
        <f>IFERROR(INDEX(Cost_Components!$Q$2:$Q$27,MATCH(E1164,Cost_Components!$A$2:$A$27,0)),"")</f>
        <v>2023</v>
      </c>
      <c r="V1164" s="28">
        <f>1/(1+Calculation_Assumptions!$B$5)^(B1164-Calculation_Assumptions!$B$2)</f>
        <v>0.5873946076162827</v>
      </c>
      <c r="W1164" s="21">
        <f t="shared" si="186"/>
        <v>623099007.49822819</v>
      </c>
      <c r="X1164" s="21">
        <f t="shared" si="187"/>
        <v>3834610132.8283286</v>
      </c>
      <c r="Y1164" s="21">
        <f t="shared" si="188"/>
        <v>3211511125.3301001</v>
      </c>
      <c r="Z1164" s="15">
        <f>IFERROR(INDEX(Cost_Components!$T$2:$T$27,MATCH(E1164,Cost_Components!$A$2:$A$27,0)),"")</f>
        <v>0.8</v>
      </c>
      <c r="AA1164" s="24">
        <f>IFERROR(INDEX(Cost_Components!$U$2:$U$27,MATCH(E1164,Cost_Components!$A$2:$A$27,0)),"")</f>
        <v>2025</v>
      </c>
      <c r="AB1164" s="24">
        <f>IFERROR(INDEX(Cost_Components!$V$2:$V$27,MATCH(E1164,Cost_Components!$A$2:$A$27,0)),"")</f>
        <v>2050</v>
      </c>
      <c r="AC1164" s="24">
        <f>IFERROR(INDEX(Cost_Components!$M$2:$M$27,MATCH(E1164,Cost_Components!$A$2:$A$27,0)),"")</f>
        <v>5</v>
      </c>
      <c r="AD1164" s="24">
        <f>IFERROR(INDEX(Cost_Components!$N$2:$N$27,MATCH(E1164,Cost_Components!$A$2:$A$27,0)),"")</f>
        <v>40</v>
      </c>
      <c r="AE1164" s="14" t="str">
        <f>IFERROR(INDEX(Cost_Components!$O$2:$O$27,MATCH(E1164,Cost_Components!$A$2:$A$27,0)),"")</f>
        <v>Both</v>
      </c>
      <c r="AF1164" s="11">
        <v>854793.40851869201</v>
      </c>
      <c r="AG1164" s="11">
        <v>849416.67978559202</v>
      </c>
      <c r="AH1164" s="21">
        <f t="shared" si="189"/>
        <v>1</v>
      </c>
    </row>
    <row r="1165" spans="1:34">
      <c r="A1165" t="s">
        <v>75</v>
      </c>
      <c r="B1165" s="18">
        <v>2044</v>
      </c>
      <c r="C1165" t="s">
        <v>212</v>
      </c>
      <c r="D1165" t="s">
        <v>209</v>
      </c>
      <c r="E1165" s="20" t="s">
        <v>303</v>
      </c>
      <c r="F1165" s="20" t="s">
        <v>304</v>
      </c>
      <c r="G1165" s="20" t="s">
        <v>213</v>
      </c>
      <c r="H1165" s="20" t="s">
        <v>192</v>
      </c>
      <c r="I1165" s="20" t="s">
        <v>264</v>
      </c>
      <c r="J1165" s="15">
        <f>IFERROR(INDEX(Cost_Components!$K$2:$K$27,MATCH(E1165,Cost_Components!$A$2:$A$27,0)),"")</f>
        <v>1</v>
      </c>
      <c r="K1165" s="15">
        <f t="shared" si="180"/>
        <v>0.63846153846153852</v>
      </c>
      <c r="L1165" s="15">
        <f>IFERROR(INDEX(Cost_Components!$S$2:$S$27,MATCH(E1165,Cost_Components!$A$2:$A$27,0)),"")</f>
        <v>0.1</v>
      </c>
      <c r="M1165" s="26">
        <f>IFERROR(INDEX(Cost_Components!$L$2:$L$27,MATCH(E1165,Cost_Components!$A$2:$A$27,0)),"")</f>
        <v>1</v>
      </c>
      <c r="N1165" s="27">
        <f>IFERROR(INDEX(Cost_Components!$P$2:$P$27,MATCH(E1165,Cost_Components!$A$2:$A$27,0)),"")</f>
        <v>12488.38616</v>
      </c>
      <c r="O1165" s="21">
        <f t="shared" si="181"/>
        <v>855122.45963086095</v>
      </c>
      <c r="P1165" s="21">
        <f t="shared" si="182"/>
        <v>849317.71465464204</v>
      </c>
      <c r="Q1165" s="21">
        <f t="shared" si="183"/>
        <v>1060660759.3135861</v>
      </c>
      <c r="R1165" s="21">
        <f t="shared" si="184"/>
        <v>6818194289.7431841</v>
      </c>
      <c r="S1165" s="21">
        <f t="shared" si="185"/>
        <v>5757533530.4295979</v>
      </c>
      <c r="T1165" s="14">
        <f>IFERROR(INDEX(Cost_Components!$R$2:$R$27,MATCH(E1165,Cost_Components!$A$2:$A$27,0)),"")</f>
        <v>1</v>
      </c>
      <c r="U1165" s="24">
        <f>IFERROR(INDEX(Cost_Components!$Q$2:$Q$27,MATCH(E1165,Cost_Components!$A$2:$A$27,0)),"")</f>
        <v>2023</v>
      </c>
      <c r="V1165" s="28">
        <f>1/(1+Calculation_Assumptions!$B$5)^(B1165-Calculation_Assumptions!$B$2)</f>
        <v>0.57028602681192497</v>
      </c>
      <c r="W1165" s="21">
        <f t="shared" si="186"/>
        <v>604880010.2242645</v>
      </c>
      <c r="X1165" s="21">
        <f t="shared" si="187"/>
        <v>3888320931.5293951</v>
      </c>
      <c r="Y1165" s="21">
        <f t="shared" si="188"/>
        <v>3283440921.3051305</v>
      </c>
      <c r="Z1165" s="15">
        <f>IFERROR(INDEX(Cost_Components!$T$2:$T$27,MATCH(E1165,Cost_Components!$A$2:$A$27,0)),"")</f>
        <v>0.8</v>
      </c>
      <c r="AA1165" s="24">
        <f>IFERROR(INDEX(Cost_Components!$U$2:$U$27,MATCH(E1165,Cost_Components!$A$2:$A$27,0)),"")</f>
        <v>2025</v>
      </c>
      <c r="AB1165" s="24">
        <f>IFERROR(INDEX(Cost_Components!$V$2:$V$27,MATCH(E1165,Cost_Components!$A$2:$A$27,0)),"")</f>
        <v>2050</v>
      </c>
      <c r="AC1165" s="24">
        <f>IFERROR(INDEX(Cost_Components!$M$2:$M$27,MATCH(E1165,Cost_Components!$A$2:$A$27,0)),"")</f>
        <v>5</v>
      </c>
      <c r="AD1165" s="24">
        <f>IFERROR(INDEX(Cost_Components!$N$2:$N$27,MATCH(E1165,Cost_Components!$A$2:$A$27,0)),"")</f>
        <v>40</v>
      </c>
      <c r="AE1165" s="14" t="str">
        <f>IFERROR(INDEX(Cost_Components!$O$2:$O$27,MATCH(E1165,Cost_Components!$A$2:$A$27,0)),"")</f>
        <v>Both</v>
      </c>
      <c r="AF1165" s="11">
        <v>855122.45963086095</v>
      </c>
      <c r="AG1165" s="11">
        <v>849317.71465464204</v>
      </c>
      <c r="AH1165" s="21">
        <f t="shared" si="189"/>
        <v>1</v>
      </c>
    </row>
    <row r="1166" spans="1:34">
      <c r="A1166" t="s">
        <v>75</v>
      </c>
      <c r="B1166" s="18">
        <v>2045</v>
      </c>
      <c r="C1166" t="s">
        <v>212</v>
      </c>
      <c r="D1166" t="s">
        <v>209</v>
      </c>
      <c r="E1166" s="20" t="s">
        <v>303</v>
      </c>
      <c r="F1166" s="20" t="s">
        <v>304</v>
      </c>
      <c r="G1166" s="20" t="s">
        <v>213</v>
      </c>
      <c r="H1166" s="20" t="s">
        <v>192</v>
      </c>
      <c r="I1166" s="20" t="s">
        <v>264</v>
      </c>
      <c r="J1166" s="15">
        <f>IFERROR(INDEX(Cost_Components!$K$2:$K$27,MATCH(E1166,Cost_Components!$A$2:$A$27,0)),"")</f>
        <v>1</v>
      </c>
      <c r="K1166" s="15">
        <f t="shared" si="180"/>
        <v>0.66538461538461546</v>
      </c>
      <c r="L1166" s="15">
        <f>IFERROR(INDEX(Cost_Components!$S$2:$S$27,MATCH(E1166,Cost_Components!$A$2:$A$27,0)),"")</f>
        <v>0.1</v>
      </c>
      <c r="M1166" s="26">
        <f>IFERROR(INDEX(Cost_Components!$L$2:$L$27,MATCH(E1166,Cost_Components!$A$2:$A$27,0)),"")</f>
        <v>1</v>
      </c>
      <c r="N1166" s="27">
        <f>IFERROR(INDEX(Cost_Components!$P$2:$P$27,MATCH(E1166,Cost_Components!$A$2:$A$27,0)),"")</f>
        <v>12488.38616</v>
      </c>
      <c r="O1166" s="21">
        <f t="shared" si="181"/>
        <v>854805.76232716802</v>
      </c>
      <c r="P1166" s="21">
        <f t="shared" si="182"/>
        <v>848575.16457040096</v>
      </c>
      <c r="Q1166" s="21">
        <f t="shared" si="183"/>
        <v>1059733434.0940717</v>
      </c>
      <c r="R1166" s="21">
        <f t="shared" si="184"/>
        <v>7103076885.1928082</v>
      </c>
      <c r="S1166" s="21">
        <f t="shared" si="185"/>
        <v>6043343451.0987368</v>
      </c>
      <c r="T1166" s="14">
        <f>IFERROR(INDEX(Cost_Components!$R$2:$R$27,MATCH(E1166,Cost_Components!$A$2:$A$27,0)),"")</f>
        <v>1</v>
      </c>
      <c r="U1166" s="24">
        <f>IFERROR(INDEX(Cost_Components!$Q$2:$Q$27,MATCH(E1166,Cost_Components!$A$2:$A$27,0)),"")</f>
        <v>2023</v>
      </c>
      <c r="V1166" s="28">
        <f>1/(1+Calculation_Assumptions!$B$5)^(B1166-Calculation_Assumptions!$B$2)</f>
        <v>0.55367575418633497</v>
      </c>
      <c r="W1166" s="21">
        <f t="shared" si="186"/>
        <v>586748708.3585099</v>
      </c>
      <c r="X1166" s="21">
        <f t="shared" si="187"/>
        <v>3932801451.452651</v>
      </c>
      <c r="Y1166" s="21">
        <f t="shared" si="188"/>
        <v>3346052743.0941415</v>
      </c>
      <c r="Z1166" s="15">
        <f>IFERROR(INDEX(Cost_Components!$T$2:$T$27,MATCH(E1166,Cost_Components!$A$2:$A$27,0)),"")</f>
        <v>0.8</v>
      </c>
      <c r="AA1166" s="24">
        <f>IFERROR(INDEX(Cost_Components!$U$2:$U$27,MATCH(E1166,Cost_Components!$A$2:$A$27,0)),"")</f>
        <v>2025</v>
      </c>
      <c r="AB1166" s="24">
        <f>IFERROR(INDEX(Cost_Components!$V$2:$V$27,MATCH(E1166,Cost_Components!$A$2:$A$27,0)),"")</f>
        <v>2050</v>
      </c>
      <c r="AC1166" s="24">
        <f>IFERROR(INDEX(Cost_Components!$M$2:$M$27,MATCH(E1166,Cost_Components!$A$2:$A$27,0)),"")</f>
        <v>5</v>
      </c>
      <c r="AD1166" s="24">
        <f>IFERROR(INDEX(Cost_Components!$N$2:$N$27,MATCH(E1166,Cost_Components!$A$2:$A$27,0)),"")</f>
        <v>40</v>
      </c>
      <c r="AE1166" s="14" t="str">
        <f>IFERROR(INDEX(Cost_Components!$O$2:$O$27,MATCH(E1166,Cost_Components!$A$2:$A$27,0)),"")</f>
        <v>Both</v>
      </c>
      <c r="AF1166" s="11">
        <v>854805.76232716802</v>
      </c>
      <c r="AG1166" s="11">
        <v>848575.16457040096</v>
      </c>
      <c r="AH1166" s="21">
        <f t="shared" si="189"/>
        <v>1</v>
      </c>
    </row>
    <row r="1167" spans="1:34">
      <c r="A1167" t="s">
        <v>75</v>
      </c>
      <c r="B1167" s="18">
        <v>2046</v>
      </c>
      <c r="C1167" t="s">
        <v>212</v>
      </c>
      <c r="D1167" t="s">
        <v>209</v>
      </c>
      <c r="E1167" s="20" t="s">
        <v>303</v>
      </c>
      <c r="F1167" s="20" t="s">
        <v>304</v>
      </c>
      <c r="G1167" s="20" t="s">
        <v>213</v>
      </c>
      <c r="H1167" s="20" t="s">
        <v>192</v>
      </c>
      <c r="I1167" s="20" t="s">
        <v>264</v>
      </c>
      <c r="J1167" s="15">
        <f>IFERROR(INDEX(Cost_Components!$K$2:$K$27,MATCH(E1167,Cost_Components!$A$2:$A$27,0)),"")</f>
        <v>1</v>
      </c>
      <c r="K1167" s="15">
        <f t="shared" si="180"/>
        <v>0.69230769230769229</v>
      </c>
      <c r="L1167" s="15">
        <f>IFERROR(INDEX(Cost_Components!$S$2:$S$27,MATCH(E1167,Cost_Components!$A$2:$A$27,0)),"")</f>
        <v>0.1</v>
      </c>
      <c r="M1167" s="26">
        <f>IFERROR(INDEX(Cost_Components!$L$2:$L$27,MATCH(E1167,Cost_Components!$A$2:$A$27,0)),"")</f>
        <v>1</v>
      </c>
      <c r="N1167" s="27">
        <f>IFERROR(INDEX(Cost_Components!$P$2:$P$27,MATCH(E1167,Cost_Components!$A$2:$A$27,0)),"")</f>
        <v>12488.38616</v>
      </c>
      <c r="O1167" s="21">
        <f t="shared" si="181"/>
        <v>853583.90433835203</v>
      </c>
      <c r="P1167" s="21">
        <f t="shared" si="182"/>
        <v>846934.911002615</v>
      </c>
      <c r="Q1167" s="21">
        <f t="shared" si="183"/>
        <v>1057685022.0985891</v>
      </c>
      <c r="R1167" s="21">
        <f t="shared" si="184"/>
        <v>7379920673.5415812</v>
      </c>
      <c r="S1167" s="21">
        <f t="shared" si="185"/>
        <v>6322235651.4429922</v>
      </c>
      <c r="T1167" s="14">
        <f>IFERROR(INDEX(Cost_Components!$R$2:$R$27,MATCH(E1167,Cost_Components!$A$2:$A$27,0)),"")</f>
        <v>1</v>
      </c>
      <c r="U1167" s="24">
        <f>IFERROR(INDEX(Cost_Components!$Q$2:$Q$27,MATCH(E1167,Cost_Components!$A$2:$A$27,0)),"")</f>
        <v>2023</v>
      </c>
      <c r="V1167" s="28">
        <f>1/(1+Calculation_Assumptions!$B$5)^(B1167-Calculation_Assumptions!$B$2)</f>
        <v>0.5375492759090631</v>
      </c>
      <c r="W1167" s="21">
        <f t="shared" si="186"/>
        <v>568557817.76895797</v>
      </c>
      <c r="X1167" s="21">
        <f t="shared" si="187"/>
        <v>3967071014.3286023</v>
      </c>
      <c r="Y1167" s="21">
        <f t="shared" si="188"/>
        <v>3398513196.5596442</v>
      </c>
      <c r="Z1167" s="15">
        <f>IFERROR(INDEX(Cost_Components!$T$2:$T$27,MATCH(E1167,Cost_Components!$A$2:$A$27,0)),"")</f>
        <v>0.8</v>
      </c>
      <c r="AA1167" s="24">
        <f>IFERROR(INDEX(Cost_Components!$U$2:$U$27,MATCH(E1167,Cost_Components!$A$2:$A$27,0)),"")</f>
        <v>2025</v>
      </c>
      <c r="AB1167" s="24">
        <f>IFERROR(INDEX(Cost_Components!$V$2:$V$27,MATCH(E1167,Cost_Components!$A$2:$A$27,0)),"")</f>
        <v>2050</v>
      </c>
      <c r="AC1167" s="24">
        <f>IFERROR(INDEX(Cost_Components!$M$2:$M$27,MATCH(E1167,Cost_Components!$A$2:$A$27,0)),"")</f>
        <v>5</v>
      </c>
      <c r="AD1167" s="24">
        <f>IFERROR(INDEX(Cost_Components!$N$2:$N$27,MATCH(E1167,Cost_Components!$A$2:$A$27,0)),"")</f>
        <v>40</v>
      </c>
      <c r="AE1167" s="14" t="str">
        <f>IFERROR(INDEX(Cost_Components!$O$2:$O$27,MATCH(E1167,Cost_Components!$A$2:$A$27,0)),"")</f>
        <v>Both</v>
      </c>
      <c r="AF1167" s="11">
        <v>853583.90433835203</v>
      </c>
      <c r="AG1167" s="11">
        <v>846934.911002615</v>
      </c>
      <c r="AH1167" s="21">
        <f t="shared" si="189"/>
        <v>1</v>
      </c>
    </row>
    <row r="1168" spans="1:34">
      <c r="A1168" t="s">
        <v>75</v>
      </c>
      <c r="B1168" s="18">
        <v>2047</v>
      </c>
      <c r="C1168" t="s">
        <v>212</v>
      </c>
      <c r="D1168" t="s">
        <v>209</v>
      </c>
      <c r="E1168" s="20" t="s">
        <v>303</v>
      </c>
      <c r="F1168" s="20" t="s">
        <v>304</v>
      </c>
      <c r="G1168" s="20" t="s">
        <v>213</v>
      </c>
      <c r="H1168" s="20" t="s">
        <v>192</v>
      </c>
      <c r="I1168" s="20" t="s">
        <v>264</v>
      </c>
      <c r="J1168" s="15">
        <f>IFERROR(INDEX(Cost_Components!$K$2:$K$27,MATCH(E1168,Cost_Components!$A$2:$A$27,0)),"")</f>
        <v>1</v>
      </c>
      <c r="K1168" s="15">
        <f t="shared" si="180"/>
        <v>0.71923076923076923</v>
      </c>
      <c r="L1168" s="15">
        <f>IFERROR(INDEX(Cost_Components!$S$2:$S$27,MATCH(E1168,Cost_Components!$A$2:$A$27,0)),"")</f>
        <v>0.1</v>
      </c>
      <c r="M1168" s="26">
        <f>IFERROR(INDEX(Cost_Components!$L$2:$L$27,MATCH(E1168,Cost_Components!$A$2:$A$27,0)),"")</f>
        <v>1</v>
      </c>
      <c r="N1168" s="27">
        <f>IFERROR(INDEX(Cost_Components!$P$2:$P$27,MATCH(E1168,Cost_Components!$A$2:$A$27,0)),"")</f>
        <v>12488.38616</v>
      </c>
      <c r="O1168" s="21">
        <f t="shared" si="181"/>
        <v>851059.68033511494</v>
      </c>
      <c r="P1168" s="21">
        <f t="shared" si="182"/>
        <v>844007.75070058205</v>
      </c>
      <c r="Q1168" s="21">
        <f t="shared" si="183"/>
        <v>1054029471.278188</v>
      </c>
      <c r="R1168" s="21">
        <f t="shared" si="184"/>
        <v>7644244928.9008112</v>
      </c>
      <c r="S1168" s="21">
        <f t="shared" si="185"/>
        <v>6590215457.6226234</v>
      </c>
      <c r="T1168" s="14">
        <f>IFERROR(INDEX(Cost_Components!$R$2:$R$27,MATCH(E1168,Cost_Components!$A$2:$A$27,0)),"")</f>
        <v>1</v>
      </c>
      <c r="U1168" s="24">
        <f>IFERROR(INDEX(Cost_Components!$Q$2:$Q$27,MATCH(E1168,Cost_Components!$A$2:$A$27,0)),"")</f>
        <v>2023</v>
      </c>
      <c r="V1168" s="28">
        <f>1/(1+Calculation_Assumptions!$B$5)^(B1168-Calculation_Assumptions!$B$2)</f>
        <v>0.52189250088258554</v>
      </c>
      <c r="W1168" s="21">
        <f t="shared" si="186"/>
        <v>550090076.76932287</v>
      </c>
      <c r="X1168" s="21">
        <f t="shared" si="187"/>
        <v>3989474103.3030667</v>
      </c>
      <c r="Y1168" s="21">
        <f t="shared" si="188"/>
        <v>3439384026.5337439</v>
      </c>
      <c r="Z1168" s="15">
        <f>IFERROR(INDEX(Cost_Components!$T$2:$T$27,MATCH(E1168,Cost_Components!$A$2:$A$27,0)),"")</f>
        <v>0.8</v>
      </c>
      <c r="AA1168" s="24">
        <f>IFERROR(INDEX(Cost_Components!$U$2:$U$27,MATCH(E1168,Cost_Components!$A$2:$A$27,0)),"")</f>
        <v>2025</v>
      </c>
      <c r="AB1168" s="24">
        <f>IFERROR(INDEX(Cost_Components!$V$2:$V$27,MATCH(E1168,Cost_Components!$A$2:$A$27,0)),"")</f>
        <v>2050</v>
      </c>
      <c r="AC1168" s="24">
        <f>IFERROR(INDEX(Cost_Components!$M$2:$M$27,MATCH(E1168,Cost_Components!$A$2:$A$27,0)),"")</f>
        <v>5</v>
      </c>
      <c r="AD1168" s="24">
        <f>IFERROR(INDEX(Cost_Components!$N$2:$N$27,MATCH(E1168,Cost_Components!$A$2:$A$27,0)),"")</f>
        <v>40</v>
      </c>
      <c r="AE1168" s="14" t="str">
        <f>IFERROR(INDEX(Cost_Components!$O$2:$O$27,MATCH(E1168,Cost_Components!$A$2:$A$27,0)),"")</f>
        <v>Both</v>
      </c>
      <c r="AF1168" s="11">
        <v>851059.68033511494</v>
      </c>
      <c r="AG1168" s="11">
        <v>844007.75070058205</v>
      </c>
      <c r="AH1168" s="21">
        <f t="shared" si="189"/>
        <v>1</v>
      </c>
    </row>
    <row r="1169" spans="1:34">
      <c r="A1169" t="s">
        <v>75</v>
      </c>
      <c r="B1169" s="18">
        <v>2048</v>
      </c>
      <c r="C1169" t="s">
        <v>212</v>
      </c>
      <c r="D1169" t="s">
        <v>209</v>
      </c>
      <c r="E1169" s="20" t="s">
        <v>303</v>
      </c>
      <c r="F1169" s="20" t="s">
        <v>304</v>
      </c>
      <c r="G1169" s="20" t="s">
        <v>213</v>
      </c>
      <c r="H1169" s="20" t="s">
        <v>192</v>
      </c>
      <c r="I1169" s="20" t="s">
        <v>264</v>
      </c>
      <c r="J1169" s="15">
        <f>IFERROR(INDEX(Cost_Components!$K$2:$K$27,MATCH(E1169,Cost_Components!$A$2:$A$27,0)),"")</f>
        <v>1</v>
      </c>
      <c r="K1169" s="15">
        <f t="shared" si="180"/>
        <v>0.74615384615384628</v>
      </c>
      <c r="L1169" s="15">
        <f>IFERROR(INDEX(Cost_Components!$S$2:$S$27,MATCH(E1169,Cost_Components!$A$2:$A$27,0)),"")</f>
        <v>0.1</v>
      </c>
      <c r="M1169" s="26">
        <f>IFERROR(INDEX(Cost_Components!$L$2:$L$27,MATCH(E1169,Cost_Components!$A$2:$A$27,0)),"")</f>
        <v>1</v>
      </c>
      <c r="N1169" s="27">
        <f>IFERROR(INDEX(Cost_Components!$P$2:$P$27,MATCH(E1169,Cost_Components!$A$2:$A$27,0)),"")</f>
        <v>12488.38616</v>
      </c>
      <c r="O1169" s="21">
        <f t="shared" si="181"/>
        <v>847534.12377317797</v>
      </c>
      <c r="P1169" s="21">
        <f t="shared" si="182"/>
        <v>840095.45997033396</v>
      </c>
      <c r="Q1169" s="21">
        <f t="shared" si="183"/>
        <v>1049143651.5372354</v>
      </c>
      <c r="R1169" s="21">
        <f t="shared" si="184"/>
        <v>7897541091.3946028</v>
      </c>
      <c r="S1169" s="21">
        <f t="shared" si="185"/>
        <v>6848397439.8573675</v>
      </c>
      <c r="T1169" s="14">
        <f>IFERROR(INDEX(Cost_Components!$R$2:$R$27,MATCH(E1169,Cost_Components!$A$2:$A$27,0)),"")</f>
        <v>1</v>
      </c>
      <c r="U1169" s="24">
        <f>IFERROR(INDEX(Cost_Components!$Q$2:$Q$27,MATCH(E1169,Cost_Components!$A$2:$A$27,0)),"")</f>
        <v>2023</v>
      </c>
      <c r="V1169" s="28">
        <f>1/(1+Calculation_Assumptions!$B$5)^(B1169-Calculation_Assumptions!$B$2)</f>
        <v>0.50669174842969467</v>
      </c>
      <c r="W1169" s="21">
        <f t="shared" si="186"/>
        <v>531592431.15131611</v>
      </c>
      <c r="X1169" s="21">
        <f t="shared" si="187"/>
        <v>4001618903.8940902</v>
      </c>
      <c r="Y1169" s="21">
        <f t="shared" si="188"/>
        <v>3470026472.7427745</v>
      </c>
      <c r="Z1169" s="15">
        <f>IFERROR(INDEX(Cost_Components!$T$2:$T$27,MATCH(E1169,Cost_Components!$A$2:$A$27,0)),"")</f>
        <v>0.8</v>
      </c>
      <c r="AA1169" s="24">
        <f>IFERROR(INDEX(Cost_Components!$U$2:$U$27,MATCH(E1169,Cost_Components!$A$2:$A$27,0)),"")</f>
        <v>2025</v>
      </c>
      <c r="AB1169" s="24">
        <f>IFERROR(INDEX(Cost_Components!$V$2:$V$27,MATCH(E1169,Cost_Components!$A$2:$A$27,0)),"")</f>
        <v>2050</v>
      </c>
      <c r="AC1169" s="24">
        <f>IFERROR(INDEX(Cost_Components!$M$2:$M$27,MATCH(E1169,Cost_Components!$A$2:$A$27,0)),"")</f>
        <v>5</v>
      </c>
      <c r="AD1169" s="24">
        <f>IFERROR(INDEX(Cost_Components!$N$2:$N$27,MATCH(E1169,Cost_Components!$A$2:$A$27,0)),"")</f>
        <v>40</v>
      </c>
      <c r="AE1169" s="14" t="str">
        <f>IFERROR(INDEX(Cost_Components!$O$2:$O$27,MATCH(E1169,Cost_Components!$A$2:$A$27,0)),"")</f>
        <v>Both</v>
      </c>
      <c r="AF1169" s="11">
        <v>847534.12377317797</v>
      </c>
      <c r="AG1169" s="11">
        <v>840095.45997033396</v>
      </c>
      <c r="AH1169" s="21">
        <f t="shared" si="189"/>
        <v>1</v>
      </c>
    </row>
    <row r="1170" spans="1:34">
      <c r="A1170" t="s">
        <v>75</v>
      </c>
      <c r="B1170" s="18">
        <v>2049</v>
      </c>
      <c r="C1170" t="s">
        <v>212</v>
      </c>
      <c r="D1170" t="s">
        <v>209</v>
      </c>
      <c r="E1170" s="20" t="s">
        <v>303</v>
      </c>
      <c r="F1170" s="20" t="s">
        <v>304</v>
      </c>
      <c r="G1170" s="20" t="s">
        <v>213</v>
      </c>
      <c r="H1170" s="20" t="s">
        <v>192</v>
      </c>
      <c r="I1170" s="20" t="s">
        <v>264</v>
      </c>
      <c r="J1170" s="15">
        <f>IFERROR(INDEX(Cost_Components!$K$2:$K$27,MATCH(E1170,Cost_Components!$A$2:$A$27,0)),"")</f>
        <v>1</v>
      </c>
      <c r="K1170" s="15">
        <f t="shared" si="180"/>
        <v>0.77307692307692311</v>
      </c>
      <c r="L1170" s="15">
        <f>IFERROR(INDEX(Cost_Components!$S$2:$S$27,MATCH(E1170,Cost_Components!$A$2:$A$27,0)),"")</f>
        <v>0.1</v>
      </c>
      <c r="M1170" s="26">
        <f>IFERROR(INDEX(Cost_Components!$L$2:$L$27,MATCH(E1170,Cost_Components!$A$2:$A$27,0)),"")</f>
        <v>1</v>
      </c>
      <c r="N1170" s="27">
        <f>IFERROR(INDEX(Cost_Components!$P$2:$P$27,MATCH(E1170,Cost_Components!$A$2:$A$27,0)),"")</f>
        <v>12488.38616</v>
      </c>
      <c r="O1170" s="21">
        <f t="shared" si="181"/>
        <v>843673.67109377601</v>
      </c>
      <c r="P1170" s="21">
        <f t="shared" si="182"/>
        <v>835859.88893685199</v>
      </c>
      <c r="Q1170" s="21">
        <f t="shared" si="183"/>
        <v>1043854106.869812</v>
      </c>
      <c r="R1170" s="21">
        <f t="shared" si="184"/>
        <v>8145233238.9477873</v>
      </c>
      <c r="S1170" s="21">
        <f t="shared" si="185"/>
        <v>7101379132.0779753</v>
      </c>
      <c r="T1170" s="14">
        <f>IFERROR(INDEX(Cost_Components!$R$2:$R$27,MATCH(E1170,Cost_Components!$A$2:$A$27,0)),"")</f>
        <v>1</v>
      </c>
      <c r="U1170" s="24">
        <f>IFERROR(INDEX(Cost_Components!$Q$2:$Q$27,MATCH(E1170,Cost_Components!$A$2:$A$27,0)),"")</f>
        <v>2023</v>
      </c>
      <c r="V1170" s="28">
        <f>1/(1+Calculation_Assumptions!$B$5)^(B1170-Calculation_Assumptions!$B$2)</f>
        <v>0.49193373633950943</v>
      </c>
      <c r="W1170" s="21">
        <f t="shared" si="186"/>
        <v>513507050.98580819</v>
      </c>
      <c r="X1170" s="21">
        <f t="shared" si="187"/>
        <v>4006915020.5923491</v>
      </c>
      <c r="Y1170" s="21">
        <f t="shared" si="188"/>
        <v>3493407969.6065412</v>
      </c>
      <c r="Z1170" s="15">
        <f>IFERROR(INDEX(Cost_Components!$T$2:$T$27,MATCH(E1170,Cost_Components!$A$2:$A$27,0)),"")</f>
        <v>0.8</v>
      </c>
      <c r="AA1170" s="24">
        <f>IFERROR(INDEX(Cost_Components!$U$2:$U$27,MATCH(E1170,Cost_Components!$A$2:$A$27,0)),"")</f>
        <v>2025</v>
      </c>
      <c r="AB1170" s="24">
        <f>IFERROR(INDEX(Cost_Components!$V$2:$V$27,MATCH(E1170,Cost_Components!$A$2:$A$27,0)),"")</f>
        <v>2050</v>
      </c>
      <c r="AC1170" s="24">
        <f>IFERROR(INDEX(Cost_Components!$M$2:$M$27,MATCH(E1170,Cost_Components!$A$2:$A$27,0)),"")</f>
        <v>5</v>
      </c>
      <c r="AD1170" s="24">
        <f>IFERROR(INDEX(Cost_Components!$N$2:$N$27,MATCH(E1170,Cost_Components!$A$2:$A$27,0)),"")</f>
        <v>40</v>
      </c>
      <c r="AE1170" s="14" t="str">
        <f>IFERROR(INDEX(Cost_Components!$O$2:$O$27,MATCH(E1170,Cost_Components!$A$2:$A$27,0)),"")</f>
        <v>Both</v>
      </c>
      <c r="AF1170" s="11">
        <v>843673.67109377601</v>
      </c>
      <c r="AG1170" s="11">
        <v>835859.88893685199</v>
      </c>
      <c r="AH1170" s="21">
        <f t="shared" si="189"/>
        <v>1</v>
      </c>
    </row>
    <row r="1171" spans="1:34">
      <c r="A1171" t="s">
        <v>75</v>
      </c>
      <c r="B1171" s="18">
        <v>2050</v>
      </c>
      <c r="C1171" t="s">
        <v>212</v>
      </c>
      <c r="D1171" t="s">
        <v>209</v>
      </c>
      <c r="E1171" s="20" t="s">
        <v>303</v>
      </c>
      <c r="F1171" s="20" t="s">
        <v>304</v>
      </c>
      <c r="G1171" s="20" t="s">
        <v>213</v>
      </c>
      <c r="H1171" s="20" t="s">
        <v>192</v>
      </c>
      <c r="I1171" s="20" t="s">
        <v>264</v>
      </c>
      <c r="J1171" s="15">
        <f>IFERROR(INDEX(Cost_Components!$K$2:$K$27,MATCH(E1171,Cost_Components!$A$2:$A$27,0)),"")</f>
        <v>1</v>
      </c>
      <c r="K1171" s="15">
        <f t="shared" si="180"/>
        <v>0.8</v>
      </c>
      <c r="L1171" s="15">
        <f>IFERROR(INDEX(Cost_Components!$S$2:$S$27,MATCH(E1171,Cost_Components!$A$2:$A$27,0)),"")</f>
        <v>0.1</v>
      </c>
      <c r="M1171" s="26">
        <f>IFERROR(INDEX(Cost_Components!$L$2:$L$27,MATCH(E1171,Cost_Components!$A$2:$A$27,0)),"")</f>
        <v>1</v>
      </c>
      <c r="N1171" s="27">
        <f>IFERROR(INDEX(Cost_Components!$P$2:$P$27,MATCH(E1171,Cost_Components!$A$2:$A$27,0)),"")</f>
        <v>12488.38616</v>
      </c>
      <c r="O1171" s="21">
        <f t="shared" si="181"/>
        <v>839752.98801677499</v>
      </c>
      <c r="P1171" s="21">
        <f t="shared" si="182"/>
        <v>831574.46285608097</v>
      </c>
      <c r="Q1171" s="21">
        <f t="shared" si="183"/>
        <v>1038502301.2941318</v>
      </c>
      <c r="R1171" s="21">
        <f t="shared" si="184"/>
        <v>8389727674.6938715</v>
      </c>
      <c r="S1171" s="21">
        <f t="shared" si="185"/>
        <v>7351225373.3997402</v>
      </c>
      <c r="T1171" s="14">
        <f>IFERROR(INDEX(Cost_Components!$R$2:$R$27,MATCH(E1171,Cost_Components!$A$2:$A$27,0)),"")</f>
        <v>1</v>
      </c>
      <c r="U1171" s="24">
        <f>IFERROR(INDEX(Cost_Components!$Q$2:$Q$27,MATCH(E1171,Cost_Components!$A$2:$A$27,0)),"")</f>
        <v>2023</v>
      </c>
      <c r="V1171" s="28">
        <f>1/(1+Calculation_Assumptions!$B$5)^(B1171-Calculation_Assumptions!$B$2)</f>
        <v>0.47760556926165965</v>
      </c>
      <c r="W1171" s="21">
        <f t="shared" si="186"/>
        <v>495994482.78912735</v>
      </c>
      <c r="X1171" s="21">
        <f t="shared" si="187"/>
        <v>4006980662.0224667</v>
      </c>
      <c r="Y1171" s="21">
        <f t="shared" si="188"/>
        <v>3510986179.2333393</v>
      </c>
      <c r="Z1171" s="15">
        <f>IFERROR(INDEX(Cost_Components!$T$2:$T$27,MATCH(E1171,Cost_Components!$A$2:$A$27,0)),"")</f>
        <v>0.8</v>
      </c>
      <c r="AA1171" s="24">
        <f>IFERROR(INDEX(Cost_Components!$U$2:$U$27,MATCH(E1171,Cost_Components!$A$2:$A$27,0)),"")</f>
        <v>2025</v>
      </c>
      <c r="AB1171" s="24">
        <f>IFERROR(INDEX(Cost_Components!$V$2:$V$27,MATCH(E1171,Cost_Components!$A$2:$A$27,0)),"")</f>
        <v>2050</v>
      </c>
      <c r="AC1171" s="24">
        <f>IFERROR(INDEX(Cost_Components!$M$2:$M$27,MATCH(E1171,Cost_Components!$A$2:$A$27,0)),"")</f>
        <v>5</v>
      </c>
      <c r="AD1171" s="24">
        <f>IFERROR(INDEX(Cost_Components!$N$2:$N$27,MATCH(E1171,Cost_Components!$A$2:$A$27,0)),"")</f>
        <v>40</v>
      </c>
      <c r="AE1171" s="14" t="str">
        <f>IFERROR(INDEX(Cost_Components!$O$2:$O$27,MATCH(E1171,Cost_Components!$A$2:$A$27,0)),"")</f>
        <v>Both</v>
      </c>
      <c r="AF1171" s="11">
        <v>839752.98801677499</v>
      </c>
      <c r="AG1171" s="11">
        <v>831574.46285608097</v>
      </c>
      <c r="AH1171" s="21">
        <f t="shared" si="189"/>
        <v>1</v>
      </c>
    </row>
    <row r="1172" spans="1:34" hidden="1">
      <c r="A1172" t="s">
        <v>75</v>
      </c>
      <c r="B1172" s="18">
        <v>2025</v>
      </c>
      <c r="C1172" t="s">
        <v>217</v>
      </c>
      <c r="D1172" t="s">
        <v>173</v>
      </c>
      <c r="E1172" s="20" t="s">
        <v>306</v>
      </c>
      <c r="F1172" s="20" t="s">
        <v>307</v>
      </c>
      <c r="G1172" s="20" t="s">
        <v>218</v>
      </c>
      <c r="H1172" s="20" t="s">
        <v>192</v>
      </c>
      <c r="I1172" s="20" t="s">
        <v>167</v>
      </c>
      <c r="J1172" s="15">
        <f>IFERROR(INDEX(Cost_Components!$K$2:$K$27,MATCH(E1172,Cost_Components!$A$2:$A$27,0)),"")</f>
        <v>0.52</v>
      </c>
      <c r="K1172" s="15">
        <f t="shared" si="180"/>
        <v>0.32884615384615384</v>
      </c>
      <c r="L1172" s="15">
        <f>IFERROR(INDEX(Cost_Components!$S$2:$S$27,MATCH(E1172,Cost_Components!$A$2:$A$27,0)),"")</f>
        <v>0.31</v>
      </c>
      <c r="M1172" s="26">
        <f>IFERROR(INDEX(Cost_Components!$L$2:$L$27,MATCH(E1172,Cost_Components!$A$2:$A$27,0)),"")</f>
        <v>1</v>
      </c>
      <c r="N1172" s="27">
        <f>IFERROR(INDEX(Cost_Components!$P$2:$P$27,MATCH(E1172,Cost_Components!$A$2:$A$27,0)),"")</f>
        <v>550.94828900000005</v>
      </c>
      <c r="O1172" s="21">
        <f t="shared" si="181"/>
        <v>162792.37686278269</v>
      </c>
      <c r="P1172" s="21">
        <f t="shared" si="182"/>
        <v>164100.27819924077</v>
      </c>
      <c r="Q1172" s="21">
        <f t="shared" si="183"/>
        <v>28027337.924471669</v>
      </c>
      <c r="R1172" s="21">
        <f t="shared" si="184"/>
        <v>29494271.222326264</v>
      </c>
      <c r="S1172" s="21">
        <f t="shared" si="185"/>
        <v>1466933.2978545949</v>
      </c>
      <c r="T1172" s="14">
        <f>IFERROR(INDEX(Cost_Components!$R$2:$R$27,MATCH(E1172,Cost_Components!$A$2:$A$27,0)),"")</f>
        <v>1</v>
      </c>
      <c r="U1172" s="24">
        <f>IFERROR(INDEX(Cost_Components!$Q$2:$Q$27,MATCH(E1172,Cost_Components!$A$2:$A$27,0)),"")</f>
        <v>2023</v>
      </c>
      <c r="V1172" s="28">
        <f>1/(1+Calculation_Assumptions!$B$5)^(B1172-Calculation_Assumptions!$B$2)</f>
        <v>1</v>
      </c>
      <c r="W1172" s="21">
        <f t="shared" si="186"/>
        <v>28027337.924471669</v>
      </c>
      <c r="X1172" s="21">
        <f t="shared" si="187"/>
        <v>29494271.222326264</v>
      </c>
      <c r="Y1172" s="21">
        <f t="shared" si="188"/>
        <v>1466933.2978545949</v>
      </c>
      <c r="Z1172" s="15">
        <f>IFERROR(INDEX(Cost_Components!$T$2:$T$27,MATCH(E1172,Cost_Components!$A$2:$A$27,0)),"")</f>
        <v>0.8</v>
      </c>
      <c r="AA1172" s="24">
        <f>IFERROR(INDEX(Cost_Components!$U$2:$U$27,MATCH(E1172,Cost_Components!$A$2:$A$27,0)),"")</f>
        <v>2025</v>
      </c>
      <c r="AB1172" s="24">
        <f>IFERROR(INDEX(Cost_Components!$V$2:$V$27,MATCH(E1172,Cost_Components!$A$2:$A$27,0)),"")</f>
        <v>2050</v>
      </c>
      <c r="AC1172" s="24">
        <f>IFERROR(INDEX(Cost_Components!$M$2:$M$27,MATCH(E1172,Cost_Components!$A$2:$A$27,0)),"")</f>
        <v>30</v>
      </c>
      <c r="AD1172" s="24">
        <f>IFERROR(INDEX(Cost_Components!$N$2:$N$27,MATCH(E1172,Cost_Components!$A$2:$A$27,0)),"")</f>
        <v>95</v>
      </c>
      <c r="AE1172" s="14" t="str">
        <f>IFERROR(INDEX(Cost_Components!$O$2:$O$27,MATCH(E1172,Cost_Components!$A$2:$A$27,0)),"")</f>
        <v>Both</v>
      </c>
      <c r="AF1172" s="11">
        <v>313062.26319765899</v>
      </c>
      <c r="AG1172" s="11">
        <v>315577.45807546302</v>
      </c>
      <c r="AH1172" s="21">
        <f t="shared" si="189"/>
        <v>1</v>
      </c>
    </row>
    <row r="1173" spans="1:34" hidden="1">
      <c r="A1173" t="s">
        <v>75</v>
      </c>
      <c r="B1173" s="18">
        <v>2026</v>
      </c>
      <c r="C1173" t="s">
        <v>217</v>
      </c>
      <c r="D1173" t="s">
        <v>173</v>
      </c>
      <c r="E1173" s="20" t="s">
        <v>306</v>
      </c>
      <c r="F1173" s="20" t="s">
        <v>307</v>
      </c>
      <c r="G1173" s="20" t="s">
        <v>218</v>
      </c>
      <c r="H1173" s="20" t="s">
        <v>192</v>
      </c>
      <c r="I1173" s="20" t="s">
        <v>167</v>
      </c>
      <c r="J1173" s="15">
        <f>IFERROR(INDEX(Cost_Components!$K$2:$K$27,MATCH(E1173,Cost_Components!$A$2:$A$27,0)),"")</f>
        <v>0.52</v>
      </c>
      <c r="K1173" s="15">
        <f t="shared" si="180"/>
        <v>0.34769230769230769</v>
      </c>
      <c r="L1173" s="15">
        <f>IFERROR(INDEX(Cost_Components!$S$2:$S$27,MATCH(E1173,Cost_Components!$A$2:$A$27,0)),"")</f>
        <v>0.31</v>
      </c>
      <c r="M1173" s="26">
        <f>IFERROR(INDEX(Cost_Components!$L$2:$L$27,MATCH(E1173,Cost_Components!$A$2:$A$27,0)),"")</f>
        <v>1</v>
      </c>
      <c r="N1173" s="27">
        <f>IFERROR(INDEX(Cost_Components!$P$2:$P$27,MATCH(E1173,Cost_Components!$A$2:$A$27,0)),"")</f>
        <v>550.94828900000005</v>
      </c>
      <c r="O1173" s="21">
        <f t="shared" si="181"/>
        <v>166141.27622890825</v>
      </c>
      <c r="P1173" s="21">
        <f t="shared" si="182"/>
        <v>168811.69763112618</v>
      </c>
      <c r="Q1173" s="21">
        <f t="shared" si="183"/>
        <v>28832019.951646842</v>
      </c>
      <c r="R1173" s="21">
        <f t="shared" si="184"/>
        <v>31826102.958083235</v>
      </c>
      <c r="S1173" s="21">
        <f t="shared" si="185"/>
        <v>2994083.0064363927</v>
      </c>
      <c r="T1173" s="14">
        <f>IFERROR(INDEX(Cost_Components!$R$2:$R$27,MATCH(E1173,Cost_Components!$A$2:$A$27,0)),"")</f>
        <v>1</v>
      </c>
      <c r="U1173" s="24">
        <f>IFERROR(INDEX(Cost_Components!$Q$2:$Q$27,MATCH(E1173,Cost_Components!$A$2:$A$27,0)),"")</f>
        <v>2023</v>
      </c>
      <c r="V1173" s="28">
        <f>1/(1+Calculation_Assumptions!$B$5)^(B1173-Calculation_Assumptions!$B$2)</f>
        <v>0.970873786407767</v>
      </c>
      <c r="W1173" s="21">
        <f t="shared" si="186"/>
        <v>27992252.380239654</v>
      </c>
      <c r="X1173" s="21">
        <f t="shared" si="187"/>
        <v>30899129.085517704</v>
      </c>
      <c r="Y1173" s="21">
        <f t="shared" si="188"/>
        <v>2906876.7052780511</v>
      </c>
      <c r="Z1173" s="15">
        <f>IFERROR(INDEX(Cost_Components!$T$2:$T$27,MATCH(E1173,Cost_Components!$A$2:$A$27,0)),"")</f>
        <v>0.8</v>
      </c>
      <c r="AA1173" s="24">
        <f>IFERROR(INDEX(Cost_Components!$U$2:$U$27,MATCH(E1173,Cost_Components!$A$2:$A$27,0)),"")</f>
        <v>2025</v>
      </c>
      <c r="AB1173" s="24">
        <f>IFERROR(INDEX(Cost_Components!$V$2:$V$27,MATCH(E1173,Cost_Components!$A$2:$A$27,0)),"")</f>
        <v>2050</v>
      </c>
      <c r="AC1173" s="24">
        <f>IFERROR(INDEX(Cost_Components!$M$2:$M$27,MATCH(E1173,Cost_Components!$A$2:$A$27,0)),"")</f>
        <v>30</v>
      </c>
      <c r="AD1173" s="24">
        <f>IFERROR(INDEX(Cost_Components!$N$2:$N$27,MATCH(E1173,Cost_Components!$A$2:$A$27,0)),"")</f>
        <v>95</v>
      </c>
      <c r="AE1173" s="14" t="str">
        <f>IFERROR(INDEX(Cost_Components!$O$2:$O$27,MATCH(E1173,Cost_Components!$A$2:$A$27,0)),"")</f>
        <v>Both</v>
      </c>
      <c r="AF1173" s="11">
        <v>319502.45428636199</v>
      </c>
      <c r="AG1173" s="11">
        <v>324637.88005985803</v>
      </c>
      <c r="AH1173" s="21">
        <f t="shared" si="189"/>
        <v>1</v>
      </c>
    </row>
    <row r="1174" spans="1:34" hidden="1">
      <c r="A1174" t="s">
        <v>75</v>
      </c>
      <c r="B1174" s="18">
        <v>2027</v>
      </c>
      <c r="C1174" t="s">
        <v>217</v>
      </c>
      <c r="D1174" t="s">
        <v>173</v>
      </c>
      <c r="E1174" s="20" t="s">
        <v>306</v>
      </c>
      <c r="F1174" s="20" t="s">
        <v>307</v>
      </c>
      <c r="G1174" s="20" t="s">
        <v>218</v>
      </c>
      <c r="H1174" s="20" t="s">
        <v>192</v>
      </c>
      <c r="I1174" s="20" t="s">
        <v>167</v>
      </c>
      <c r="J1174" s="15">
        <f>IFERROR(INDEX(Cost_Components!$K$2:$K$27,MATCH(E1174,Cost_Components!$A$2:$A$27,0)),"")</f>
        <v>0.52</v>
      </c>
      <c r="K1174" s="15">
        <f t="shared" si="180"/>
        <v>0.36653846153846154</v>
      </c>
      <c r="L1174" s="15">
        <f>IFERROR(INDEX(Cost_Components!$S$2:$S$27,MATCH(E1174,Cost_Components!$A$2:$A$27,0)),"")</f>
        <v>0.31</v>
      </c>
      <c r="M1174" s="26">
        <f>IFERROR(INDEX(Cost_Components!$L$2:$L$27,MATCH(E1174,Cost_Components!$A$2:$A$27,0)),"")</f>
        <v>1</v>
      </c>
      <c r="N1174" s="27">
        <f>IFERROR(INDEX(Cost_Components!$P$2:$P$27,MATCH(E1174,Cost_Components!$A$2:$A$27,0)),"")</f>
        <v>550.94828900000005</v>
      </c>
      <c r="O1174" s="21">
        <f t="shared" si="181"/>
        <v>169445.88588692283</v>
      </c>
      <c r="P1174" s="21">
        <f t="shared" si="182"/>
        <v>173533.04179650973</v>
      </c>
      <c r="Q1174" s="21">
        <f t="shared" si="183"/>
        <v>29638397.063453283</v>
      </c>
      <c r="R1174" s="21">
        <f t="shared" si="184"/>
        <v>34218535.624937452</v>
      </c>
      <c r="S1174" s="21">
        <f t="shared" si="185"/>
        <v>4580138.5614841692</v>
      </c>
      <c r="T1174" s="14">
        <f>IFERROR(INDEX(Cost_Components!$R$2:$R$27,MATCH(E1174,Cost_Components!$A$2:$A$27,0)),"")</f>
        <v>1</v>
      </c>
      <c r="U1174" s="24">
        <f>IFERROR(INDEX(Cost_Components!$Q$2:$Q$27,MATCH(E1174,Cost_Components!$A$2:$A$27,0)),"")</f>
        <v>2023</v>
      </c>
      <c r="V1174" s="28">
        <f>1/(1+Calculation_Assumptions!$B$5)^(B1174-Calculation_Assumptions!$B$2)</f>
        <v>0.94259590913375435</v>
      </c>
      <c r="W1174" s="21">
        <f t="shared" si="186"/>
        <v>27937031.825292941</v>
      </c>
      <c r="X1174" s="21">
        <f t="shared" si="187"/>
        <v>32254251.696613681</v>
      </c>
      <c r="Y1174" s="21">
        <f t="shared" si="188"/>
        <v>4317219.8713207366</v>
      </c>
      <c r="Z1174" s="15">
        <f>IFERROR(INDEX(Cost_Components!$T$2:$T$27,MATCH(E1174,Cost_Components!$A$2:$A$27,0)),"")</f>
        <v>0.8</v>
      </c>
      <c r="AA1174" s="24">
        <f>IFERROR(INDEX(Cost_Components!$U$2:$U$27,MATCH(E1174,Cost_Components!$A$2:$A$27,0)),"")</f>
        <v>2025</v>
      </c>
      <c r="AB1174" s="24">
        <f>IFERROR(INDEX(Cost_Components!$V$2:$V$27,MATCH(E1174,Cost_Components!$A$2:$A$27,0)),"")</f>
        <v>2050</v>
      </c>
      <c r="AC1174" s="24">
        <f>IFERROR(INDEX(Cost_Components!$M$2:$M$27,MATCH(E1174,Cost_Components!$A$2:$A$27,0)),"")</f>
        <v>30</v>
      </c>
      <c r="AD1174" s="24">
        <f>IFERROR(INDEX(Cost_Components!$N$2:$N$27,MATCH(E1174,Cost_Components!$A$2:$A$27,0)),"")</f>
        <v>95</v>
      </c>
      <c r="AE1174" s="14" t="str">
        <f>IFERROR(INDEX(Cost_Components!$O$2:$O$27,MATCH(E1174,Cost_Components!$A$2:$A$27,0)),"")</f>
        <v>Both</v>
      </c>
      <c r="AF1174" s="11">
        <v>325857.47285946697</v>
      </c>
      <c r="AG1174" s="11">
        <v>333717.38807021099</v>
      </c>
      <c r="AH1174" s="21">
        <f t="shared" si="189"/>
        <v>1</v>
      </c>
    </row>
    <row r="1175" spans="1:34" hidden="1">
      <c r="A1175" t="s">
        <v>75</v>
      </c>
      <c r="B1175" s="18">
        <v>2028</v>
      </c>
      <c r="C1175" t="s">
        <v>217</v>
      </c>
      <c r="D1175" t="s">
        <v>173</v>
      </c>
      <c r="E1175" s="20" t="s">
        <v>306</v>
      </c>
      <c r="F1175" s="20" t="s">
        <v>307</v>
      </c>
      <c r="G1175" s="20" t="s">
        <v>218</v>
      </c>
      <c r="H1175" s="20" t="s">
        <v>192</v>
      </c>
      <c r="I1175" s="20" t="s">
        <v>167</v>
      </c>
      <c r="J1175" s="15">
        <f>IFERROR(INDEX(Cost_Components!$K$2:$K$27,MATCH(E1175,Cost_Components!$A$2:$A$27,0)),"")</f>
        <v>0.52</v>
      </c>
      <c r="K1175" s="15">
        <f t="shared" si="180"/>
        <v>0.38538461538461538</v>
      </c>
      <c r="L1175" s="15">
        <f>IFERROR(INDEX(Cost_Components!$S$2:$S$27,MATCH(E1175,Cost_Components!$A$2:$A$27,0)),"")</f>
        <v>0.31</v>
      </c>
      <c r="M1175" s="26">
        <f>IFERROR(INDEX(Cost_Components!$L$2:$L$27,MATCH(E1175,Cost_Components!$A$2:$A$27,0)),"")</f>
        <v>1</v>
      </c>
      <c r="N1175" s="27">
        <f>IFERROR(INDEX(Cost_Components!$P$2:$P$27,MATCH(E1175,Cost_Components!$A$2:$A$27,0)),"")</f>
        <v>550.94828900000005</v>
      </c>
      <c r="O1175" s="21">
        <f t="shared" si="181"/>
        <v>172678.62466582365</v>
      </c>
      <c r="P1175" s="21">
        <f t="shared" si="182"/>
        <v>178235.29480011007</v>
      </c>
      <c r="Q1175" s="21">
        <f t="shared" si="183"/>
        <v>30441513.519954689</v>
      </c>
      <c r="R1175" s="21">
        <f t="shared" si="184"/>
        <v>36664333.381585293</v>
      </c>
      <c r="S1175" s="21">
        <f t="shared" si="185"/>
        <v>6222819.8616306037</v>
      </c>
      <c r="T1175" s="14">
        <f>IFERROR(INDEX(Cost_Components!$R$2:$R$27,MATCH(E1175,Cost_Components!$A$2:$A$27,0)),"")</f>
        <v>1</v>
      </c>
      <c r="U1175" s="24">
        <f>IFERROR(INDEX(Cost_Components!$Q$2:$Q$27,MATCH(E1175,Cost_Components!$A$2:$A$27,0)),"")</f>
        <v>2023</v>
      </c>
      <c r="V1175" s="28">
        <f>1/(1+Calculation_Assumptions!$B$5)^(B1175-Calculation_Assumptions!$B$2)</f>
        <v>0.91514165935315961</v>
      </c>
      <c r="W1175" s="21">
        <f t="shared" si="186"/>
        <v>27858297.195872977</v>
      </c>
      <c r="X1175" s="21">
        <f t="shared" si="187"/>
        <v>33553058.889901407</v>
      </c>
      <c r="Y1175" s="21">
        <f t="shared" si="188"/>
        <v>5694761.6940284297</v>
      </c>
      <c r="Z1175" s="15">
        <f>IFERROR(INDEX(Cost_Components!$T$2:$T$27,MATCH(E1175,Cost_Components!$A$2:$A$27,0)),"")</f>
        <v>0.8</v>
      </c>
      <c r="AA1175" s="24">
        <f>IFERROR(INDEX(Cost_Components!$U$2:$U$27,MATCH(E1175,Cost_Components!$A$2:$A$27,0)),"")</f>
        <v>2025</v>
      </c>
      <c r="AB1175" s="24">
        <f>IFERROR(INDEX(Cost_Components!$V$2:$V$27,MATCH(E1175,Cost_Components!$A$2:$A$27,0)),"")</f>
        <v>2050</v>
      </c>
      <c r="AC1175" s="24">
        <f>IFERROR(INDEX(Cost_Components!$M$2:$M$27,MATCH(E1175,Cost_Components!$A$2:$A$27,0)),"")</f>
        <v>30</v>
      </c>
      <c r="AD1175" s="24">
        <f>IFERROR(INDEX(Cost_Components!$N$2:$N$27,MATCH(E1175,Cost_Components!$A$2:$A$27,0)),"")</f>
        <v>95</v>
      </c>
      <c r="AE1175" s="14" t="str">
        <f>IFERROR(INDEX(Cost_Components!$O$2:$O$27,MATCH(E1175,Cost_Components!$A$2:$A$27,0)),"")</f>
        <v>Both</v>
      </c>
      <c r="AF1175" s="11">
        <v>332074.27820350701</v>
      </c>
      <c r="AG1175" s="11">
        <v>342760.182307904</v>
      </c>
      <c r="AH1175" s="21">
        <f t="shared" si="189"/>
        <v>1</v>
      </c>
    </row>
    <row r="1176" spans="1:34" hidden="1">
      <c r="A1176" t="s">
        <v>75</v>
      </c>
      <c r="B1176" s="18">
        <v>2029</v>
      </c>
      <c r="C1176" t="s">
        <v>217</v>
      </c>
      <c r="D1176" t="s">
        <v>173</v>
      </c>
      <c r="E1176" s="20" t="s">
        <v>306</v>
      </c>
      <c r="F1176" s="20" t="s">
        <v>307</v>
      </c>
      <c r="G1176" s="20" t="s">
        <v>218</v>
      </c>
      <c r="H1176" s="20" t="s">
        <v>192</v>
      </c>
      <c r="I1176" s="20" t="s">
        <v>167</v>
      </c>
      <c r="J1176" s="15">
        <f>IFERROR(INDEX(Cost_Components!$K$2:$K$27,MATCH(E1176,Cost_Components!$A$2:$A$27,0)),"")</f>
        <v>0.52</v>
      </c>
      <c r="K1176" s="15">
        <f t="shared" si="180"/>
        <v>0.40423076923076923</v>
      </c>
      <c r="L1176" s="15">
        <f>IFERROR(INDEX(Cost_Components!$S$2:$S$27,MATCH(E1176,Cost_Components!$A$2:$A$27,0)),"")</f>
        <v>0.31</v>
      </c>
      <c r="M1176" s="26">
        <f>IFERROR(INDEX(Cost_Components!$L$2:$L$27,MATCH(E1176,Cost_Components!$A$2:$A$27,0)),"")</f>
        <v>1</v>
      </c>
      <c r="N1176" s="27">
        <f>IFERROR(INDEX(Cost_Components!$P$2:$P$27,MATCH(E1176,Cost_Components!$A$2:$A$27,0)),"")</f>
        <v>550.94828900000005</v>
      </c>
      <c r="O1176" s="21">
        <f t="shared" si="181"/>
        <v>175801.71245760031</v>
      </c>
      <c r="P1176" s="21">
        <f t="shared" si="182"/>
        <v>182878.19808861148</v>
      </c>
      <c r="Q1176" s="21">
        <f t="shared" si="183"/>
        <v>31234493.403020307</v>
      </c>
      <c r="R1176" s="21">
        <f t="shared" si="184"/>
        <v>39152843.449444577</v>
      </c>
      <c r="S1176" s="21">
        <f t="shared" si="185"/>
        <v>7918350.0464242697</v>
      </c>
      <c r="T1176" s="14">
        <f>IFERROR(INDEX(Cost_Components!$R$2:$R$27,MATCH(E1176,Cost_Components!$A$2:$A$27,0)),"")</f>
        <v>1</v>
      </c>
      <c r="U1176" s="24">
        <f>IFERROR(INDEX(Cost_Components!$Q$2:$Q$27,MATCH(E1176,Cost_Components!$A$2:$A$27,0)),"")</f>
        <v>2023</v>
      </c>
      <c r="V1176" s="28">
        <f>1/(1+Calculation_Assumptions!$B$5)^(B1176-Calculation_Assumptions!$B$2)</f>
        <v>0.888487047915689</v>
      </c>
      <c r="W1176" s="21">
        <f t="shared" si="186"/>
        <v>27751442.836791575</v>
      </c>
      <c r="X1176" s="21">
        <f t="shared" si="187"/>
        <v>34786794.293902136</v>
      </c>
      <c r="Y1176" s="21">
        <f t="shared" si="188"/>
        <v>7035351.4571105586</v>
      </c>
      <c r="Z1176" s="15">
        <f>IFERROR(INDEX(Cost_Components!$T$2:$T$27,MATCH(E1176,Cost_Components!$A$2:$A$27,0)),"")</f>
        <v>0.8</v>
      </c>
      <c r="AA1176" s="24">
        <f>IFERROR(INDEX(Cost_Components!$U$2:$U$27,MATCH(E1176,Cost_Components!$A$2:$A$27,0)),"")</f>
        <v>2025</v>
      </c>
      <c r="AB1176" s="24">
        <f>IFERROR(INDEX(Cost_Components!$V$2:$V$27,MATCH(E1176,Cost_Components!$A$2:$A$27,0)),"")</f>
        <v>2050</v>
      </c>
      <c r="AC1176" s="24">
        <f>IFERROR(INDEX(Cost_Components!$M$2:$M$27,MATCH(E1176,Cost_Components!$A$2:$A$27,0)),"")</f>
        <v>30</v>
      </c>
      <c r="AD1176" s="24">
        <f>IFERROR(INDEX(Cost_Components!$N$2:$N$27,MATCH(E1176,Cost_Components!$A$2:$A$27,0)),"")</f>
        <v>95</v>
      </c>
      <c r="AE1176" s="14" t="str">
        <f>IFERROR(INDEX(Cost_Components!$O$2:$O$27,MATCH(E1176,Cost_Components!$A$2:$A$27,0)),"")</f>
        <v>Both</v>
      </c>
      <c r="AF1176" s="11">
        <v>338080.216264616</v>
      </c>
      <c r="AG1176" s="11">
        <v>351688.84247809899</v>
      </c>
      <c r="AH1176" s="21">
        <f t="shared" si="189"/>
        <v>1</v>
      </c>
    </row>
    <row r="1177" spans="1:34" hidden="1">
      <c r="A1177" t="s">
        <v>75</v>
      </c>
      <c r="B1177" s="18">
        <v>2030</v>
      </c>
      <c r="C1177" t="s">
        <v>217</v>
      </c>
      <c r="D1177" t="s">
        <v>173</v>
      </c>
      <c r="E1177" s="20" t="s">
        <v>306</v>
      </c>
      <c r="F1177" s="20" t="s">
        <v>307</v>
      </c>
      <c r="G1177" s="20" t="s">
        <v>218</v>
      </c>
      <c r="H1177" s="20" t="s">
        <v>192</v>
      </c>
      <c r="I1177" s="20" t="s">
        <v>167</v>
      </c>
      <c r="J1177" s="15">
        <f>IFERROR(INDEX(Cost_Components!$K$2:$K$27,MATCH(E1177,Cost_Components!$A$2:$A$27,0)),"")</f>
        <v>0.52</v>
      </c>
      <c r="K1177" s="15">
        <f t="shared" si="180"/>
        <v>0.42307692307692307</v>
      </c>
      <c r="L1177" s="15">
        <f>IFERROR(INDEX(Cost_Components!$S$2:$S$27,MATCH(E1177,Cost_Components!$A$2:$A$27,0)),"")</f>
        <v>0.31</v>
      </c>
      <c r="M1177" s="26">
        <f>IFERROR(INDEX(Cost_Components!$L$2:$L$27,MATCH(E1177,Cost_Components!$A$2:$A$27,0)),"")</f>
        <v>1</v>
      </c>
      <c r="N1177" s="27">
        <f>IFERROR(INDEX(Cost_Components!$P$2:$P$27,MATCH(E1177,Cost_Components!$A$2:$A$27,0)),"")</f>
        <v>550.94828900000005</v>
      </c>
      <c r="O1177" s="21">
        <f t="shared" si="181"/>
        <v>178821.68417983429</v>
      </c>
      <c r="P1177" s="21">
        <f t="shared" si="182"/>
        <v>187467.35404983975</v>
      </c>
      <c r="Q1177" s="21">
        <f t="shared" si="183"/>
        <v>32018293.566706099</v>
      </c>
      <c r="R1177" s="21">
        <f t="shared" si="184"/>
        <v>41682173.472490728</v>
      </c>
      <c r="S1177" s="21">
        <f t="shared" si="185"/>
        <v>9663879.9057846293</v>
      </c>
      <c r="T1177" s="14">
        <f>IFERROR(INDEX(Cost_Components!$R$2:$R$27,MATCH(E1177,Cost_Components!$A$2:$A$27,0)),"")</f>
        <v>1</v>
      </c>
      <c r="U1177" s="24">
        <f>IFERROR(INDEX(Cost_Components!$Q$2:$Q$27,MATCH(E1177,Cost_Components!$A$2:$A$27,0)),"")</f>
        <v>2023</v>
      </c>
      <c r="V1177" s="28">
        <f>1/(1+Calculation_Assumptions!$B$5)^(B1177-Calculation_Assumptions!$B$2)</f>
        <v>0.86260878438416411</v>
      </c>
      <c r="W1177" s="21">
        <f t="shared" si="186"/>
        <v>27619261.29163165</v>
      </c>
      <c r="X1177" s="21">
        <f t="shared" si="187"/>
        <v>35955408.989595078</v>
      </c>
      <c r="Y1177" s="21">
        <f t="shared" si="188"/>
        <v>8336147.6979634296</v>
      </c>
      <c r="Z1177" s="15">
        <f>IFERROR(INDEX(Cost_Components!$T$2:$T$27,MATCH(E1177,Cost_Components!$A$2:$A$27,0)),"")</f>
        <v>0.8</v>
      </c>
      <c r="AA1177" s="24">
        <f>IFERROR(INDEX(Cost_Components!$U$2:$U$27,MATCH(E1177,Cost_Components!$A$2:$A$27,0)),"")</f>
        <v>2025</v>
      </c>
      <c r="AB1177" s="24">
        <f>IFERROR(INDEX(Cost_Components!$V$2:$V$27,MATCH(E1177,Cost_Components!$A$2:$A$27,0)),"")</f>
        <v>2050</v>
      </c>
      <c r="AC1177" s="24">
        <f>IFERROR(INDEX(Cost_Components!$M$2:$M$27,MATCH(E1177,Cost_Components!$A$2:$A$27,0)),"")</f>
        <v>30</v>
      </c>
      <c r="AD1177" s="24">
        <f>IFERROR(INDEX(Cost_Components!$N$2:$N$27,MATCH(E1177,Cost_Components!$A$2:$A$27,0)),"")</f>
        <v>95</v>
      </c>
      <c r="AE1177" s="14" t="str">
        <f>IFERROR(INDEX(Cost_Components!$O$2:$O$27,MATCH(E1177,Cost_Components!$A$2:$A$27,0)),"")</f>
        <v>Both</v>
      </c>
      <c r="AF1177" s="11">
        <v>343887.854191989</v>
      </c>
      <c r="AG1177" s="11">
        <v>360514.14240353799</v>
      </c>
      <c r="AH1177" s="21">
        <f t="shared" si="189"/>
        <v>1</v>
      </c>
    </row>
    <row r="1178" spans="1:34" hidden="1">
      <c r="A1178" t="s">
        <v>75</v>
      </c>
      <c r="B1178" s="18">
        <v>2031</v>
      </c>
      <c r="C1178" t="s">
        <v>217</v>
      </c>
      <c r="D1178" t="s">
        <v>173</v>
      </c>
      <c r="E1178" s="20" t="s">
        <v>306</v>
      </c>
      <c r="F1178" s="20" t="s">
        <v>307</v>
      </c>
      <c r="G1178" s="20" t="s">
        <v>218</v>
      </c>
      <c r="H1178" s="20" t="s">
        <v>192</v>
      </c>
      <c r="I1178" s="20" t="s">
        <v>167</v>
      </c>
      <c r="J1178" s="15">
        <f>IFERROR(INDEX(Cost_Components!$K$2:$K$27,MATCH(E1178,Cost_Components!$A$2:$A$27,0)),"")</f>
        <v>0.52</v>
      </c>
      <c r="K1178" s="15">
        <f t="shared" si="180"/>
        <v>0.44192307692307692</v>
      </c>
      <c r="L1178" s="15">
        <f>IFERROR(INDEX(Cost_Components!$S$2:$S$27,MATCH(E1178,Cost_Components!$A$2:$A$27,0)),"")</f>
        <v>0.31</v>
      </c>
      <c r="M1178" s="26">
        <f>IFERROR(INDEX(Cost_Components!$L$2:$L$27,MATCH(E1178,Cost_Components!$A$2:$A$27,0)),"")</f>
        <v>1</v>
      </c>
      <c r="N1178" s="27">
        <f>IFERROR(INDEX(Cost_Components!$P$2:$P$27,MATCH(E1178,Cost_Components!$A$2:$A$27,0)),"")</f>
        <v>550.94828900000005</v>
      </c>
      <c r="O1178" s="21">
        <f t="shared" si="181"/>
        <v>181726.43897679963</v>
      </c>
      <c r="P1178" s="21">
        <f t="shared" si="182"/>
        <v>191989.2270985161</v>
      </c>
      <c r="Q1178" s="21">
        <f t="shared" si="183"/>
        <v>32790602.214671567</v>
      </c>
      <c r="R1178" s="21">
        <f t="shared" si="184"/>
        <v>44246165.131830752</v>
      </c>
      <c r="S1178" s="21">
        <f t="shared" si="185"/>
        <v>11455562.917159185</v>
      </c>
      <c r="T1178" s="14">
        <f>IFERROR(INDEX(Cost_Components!$R$2:$R$27,MATCH(E1178,Cost_Components!$A$2:$A$27,0)),"")</f>
        <v>1</v>
      </c>
      <c r="U1178" s="24">
        <f>IFERROR(INDEX(Cost_Components!$Q$2:$Q$27,MATCH(E1178,Cost_Components!$A$2:$A$27,0)),"")</f>
        <v>2023</v>
      </c>
      <c r="V1178" s="28">
        <f>1/(1+Calculation_Assumptions!$B$5)^(B1178-Calculation_Assumptions!$B$2)</f>
        <v>0.83748425668365445</v>
      </c>
      <c r="W1178" s="21">
        <f t="shared" si="186"/>
        <v>27461613.121963609</v>
      </c>
      <c r="X1178" s="21">
        <f t="shared" si="187"/>
        <v>37055466.716533504</v>
      </c>
      <c r="Y1178" s="21">
        <f t="shared" si="188"/>
        <v>9593853.5945698954</v>
      </c>
      <c r="Z1178" s="15">
        <f>IFERROR(INDEX(Cost_Components!$T$2:$T$27,MATCH(E1178,Cost_Components!$A$2:$A$27,0)),"")</f>
        <v>0.8</v>
      </c>
      <c r="AA1178" s="24">
        <f>IFERROR(INDEX(Cost_Components!$U$2:$U$27,MATCH(E1178,Cost_Components!$A$2:$A$27,0)),"")</f>
        <v>2025</v>
      </c>
      <c r="AB1178" s="24">
        <f>IFERROR(INDEX(Cost_Components!$V$2:$V$27,MATCH(E1178,Cost_Components!$A$2:$A$27,0)),"")</f>
        <v>2050</v>
      </c>
      <c r="AC1178" s="24">
        <f>IFERROR(INDEX(Cost_Components!$M$2:$M$27,MATCH(E1178,Cost_Components!$A$2:$A$27,0)),"")</f>
        <v>30</v>
      </c>
      <c r="AD1178" s="24">
        <f>IFERROR(INDEX(Cost_Components!$N$2:$N$27,MATCH(E1178,Cost_Components!$A$2:$A$27,0)),"")</f>
        <v>95</v>
      </c>
      <c r="AE1178" s="14" t="str">
        <f>IFERROR(INDEX(Cost_Components!$O$2:$O$27,MATCH(E1178,Cost_Components!$A$2:$A$27,0)),"")</f>
        <v>Both</v>
      </c>
      <c r="AF1178" s="11">
        <v>349473.92110923002</v>
      </c>
      <c r="AG1178" s="11">
        <v>369210.05211253098</v>
      </c>
      <c r="AH1178" s="21">
        <f t="shared" si="189"/>
        <v>1</v>
      </c>
    </row>
    <row r="1179" spans="1:34" hidden="1">
      <c r="A1179" t="s">
        <v>75</v>
      </c>
      <c r="B1179" s="18">
        <v>2032</v>
      </c>
      <c r="C1179" t="s">
        <v>217</v>
      </c>
      <c r="D1179" t="s">
        <v>173</v>
      </c>
      <c r="E1179" s="20" t="s">
        <v>306</v>
      </c>
      <c r="F1179" s="20" t="s">
        <v>307</v>
      </c>
      <c r="G1179" s="20" t="s">
        <v>218</v>
      </c>
      <c r="H1179" s="20" t="s">
        <v>192</v>
      </c>
      <c r="I1179" s="20" t="s">
        <v>167</v>
      </c>
      <c r="J1179" s="15">
        <f>IFERROR(INDEX(Cost_Components!$K$2:$K$27,MATCH(E1179,Cost_Components!$A$2:$A$27,0)),"")</f>
        <v>0.52</v>
      </c>
      <c r="K1179" s="15">
        <f t="shared" si="180"/>
        <v>0.46076923076923082</v>
      </c>
      <c r="L1179" s="15">
        <f>IFERROR(INDEX(Cost_Components!$S$2:$S$27,MATCH(E1179,Cost_Components!$A$2:$A$27,0)),"")</f>
        <v>0.31</v>
      </c>
      <c r="M1179" s="26">
        <f>IFERROR(INDEX(Cost_Components!$L$2:$L$27,MATCH(E1179,Cost_Components!$A$2:$A$27,0)),"")</f>
        <v>1</v>
      </c>
      <c r="N1179" s="27">
        <f>IFERROR(INDEX(Cost_Components!$P$2:$P$27,MATCH(E1179,Cost_Components!$A$2:$A$27,0)),"")</f>
        <v>550.94828900000005</v>
      </c>
      <c r="O1179" s="21">
        <f t="shared" si="181"/>
        <v>184483.35477579021</v>
      </c>
      <c r="P1179" s="21">
        <f t="shared" si="182"/>
        <v>196403.41548787022</v>
      </c>
      <c r="Q1179" s="21">
        <f t="shared" si="183"/>
        <v>33544518.972207446</v>
      </c>
      <c r="R1179" s="21">
        <f t="shared" si="184"/>
        <v>46832948.006890975</v>
      </c>
      <c r="S1179" s="21">
        <f t="shared" si="185"/>
        <v>13288429.034683529</v>
      </c>
      <c r="T1179" s="14">
        <f>IFERROR(INDEX(Cost_Components!$R$2:$R$27,MATCH(E1179,Cost_Components!$A$2:$A$27,0)),"")</f>
        <v>1</v>
      </c>
      <c r="U1179" s="24">
        <f>IFERROR(INDEX(Cost_Components!$Q$2:$Q$27,MATCH(E1179,Cost_Components!$A$2:$A$27,0)),"")</f>
        <v>2023</v>
      </c>
      <c r="V1179" s="28">
        <f>1/(1+Calculation_Assumptions!$B$5)^(B1179-Calculation_Assumptions!$B$2)</f>
        <v>0.81309151134335378</v>
      </c>
      <c r="W1179" s="21">
        <f t="shared" si="186"/>
        <v>27274763.628397956</v>
      </c>
      <c r="X1179" s="21">
        <f t="shared" si="187"/>
        <v>38079472.475587688</v>
      </c>
      <c r="Y1179" s="21">
        <f t="shared" si="188"/>
        <v>10804708.847189734</v>
      </c>
      <c r="Z1179" s="15">
        <f>IFERROR(INDEX(Cost_Components!$T$2:$T$27,MATCH(E1179,Cost_Components!$A$2:$A$27,0)),"")</f>
        <v>0.8</v>
      </c>
      <c r="AA1179" s="24">
        <f>IFERROR(INDEX(Cost_Components!$U$2:$U$27,MATCH(E1179,Cost_Components!$A$2:$A$27,0)),"")</f>
        <v>2025</v>
      </c>
      <c r="AB1179" s="24">
        <f>IFERROR(INDEX(Cost_Components!$V$2:$V$27,MATCH(E1179,Cost_Components!$A$2:$A$27,0)),"")</f>
        <v>2050</v>
      </c>
      <c r="AC1179" s="24">
        <f>IFERROR(INDEX(Cost_Components!$M$2:$M$27,MATCH(E1179,Cost_Components!$A$2:$A$27,0)),"")</f>
        <v>30</v>
      </c>
      <c r="AD1179" s="24">
        <f>IFERROR(INDEX(Cost_Components!$N$2:$N$27,MATCH(E1179,Cost_Components!$A$2:$A$27,0)),"")</f>
        <v>95</v>
      </c>
      <c r="AE1179" s="14" t="str">
        <f>IFERROR(INDEX(Cost_Components!$O$2:$O$27,MATCH(E1179,Cost_Components!$A$2:$A$27,0)),"")</f>
        <v>Both</v>
      </c>
      <c r="AF1179" s="11">
        <v>354775.68226113502</v>
      </c>
      <c r="AG1179" s="11">
        <v>377698.87593821198</v>
      </c>
      <c r="AH1179" s="21">
        <f t="shared" si="189"/>
        <v>1</v>
      </c>
    </row>
    <row r="1180" spans="1:34" hidden="1">
      <c r="A1180" t="s">
        <v>75</v>
      </c>
      <c r="B1180" s="18">
        <v>2033</v>
      </c>
      <c r="C1180" t="s">
        <v>217</v>
      </c>
      <c r="D1180" t="s">
        <v>173</v>
      </c>
      <c r="E1180" s="20" t="s">
        <v>306</v>
      </c>
      <c r="F1180" s="20" t="s">
        <v>307</v>
      </c>
      <c r="G1180" s="20" t="s">
        <v>218</v>
      </c>
      <c r="H1180" s="20" t="s">
        <v>192</v>
      </c>
      <c r="I1180" s="20" t="s">
        <v>167</v>
      </c>
      <c r="J1180" s="15">
        <f>IFERROR(INDEX(Cost_Components!$K$2:$K$27,MATCH(E1180,Cost_Components!$A$2:$A$27,0)),"")</f>
        <v>0.52</v>
      </c>
      <c r="K1180" s="15">
        <f t="shared" si="180"/>
        <v>0.47961538461538467</v>
      </c>
      <c r="L1180" s="15">
        <f>IFERROR(INDEX(Cost_Components!$S$2:$S$27,MATCH(E1180,Cost_Components!$A$2:$A$27,0)),"")</f>
        <v>0.31</v>
      </c>
      <c r="M1180" s="26">
        <f>IFERROR(INDEX(Cost_Components!$L$2:$L$27,MATCH(E1180,Cost_Components!$A$2:$A$27,0)),"")</f>
        <v>1</v>
      </c>
      <c r="N1180" s="27">
        <f>IFERROR(INDEX(Cost_Components!$P$2:$P$27,MATCH(E1180,Cost_Components!$A$2:$A$27,0)),"")</f>
        <v>550.94828900000005</v>
      </c>
      <c r="O1180" s="21">
        <f t="shared" si="181"/>
        <v>187115.88275067689</v>
      </c>
      <c r="P1180" s="21">
        <f t="shared" si="182"/>
        <v>200725.4576128225</v>
      </c>
      <c r="Q1180" s="21">
        <f t="shared" si="183"/>
        <v>34282697.703463241</v>
      </c>
      <c r="R1180" s="21">
        <f t="shared" si="184"/>
        <v>49444113.762086138</v>
      </c>
      <c r="S1180" s="21">
        <f t="shared" si="185"/>
        <v>15161416.058622897</v>
      </c>
      <c r="T1180" s="14">
        <f>IFERROR(INDEX(Cost_Components!$R$2:$R$27,MATCH(E1180,Cost_Components!$A$2:$A$27,0)),"")</f>
        <v>1</v>
      </c>
      <c r="U1180" s="24">
        <f>IFERROR(INDEX(Cost_Components!$Q$2:$Q$27,MATCH(E1180,Cost_Components!$A$2:$A$27,0)),"")</f>
        <v>2023</v>
      </c>
      <c r="V1180" s="28">
        <f>1/(1+Calculation_Assumptions!$B$5)^(B1180-Calculation_Assumptions!$B$2)</f>
        <v>0.78940923431393573</v>
      </c>
      <c r="W1180" s="21">
        <f t="shared" si="186"/>
        <v>27063078.14430704</v>
      </c>
      <c r="X1180" s="21">
        <f t="shared" si="187"/>
        <v>39031639.98625955</v>
      </c>
      <c r="Y1180" s="21">
        <f t="shared" si="188"/>
        <v>11968561.84195251</v>
      </c>
      <c r="Z1180" s="15">
        <f>IFERROR(INDEX(Cost_Components!$T$2:$T$27,MATCH(E1180,Cost_Components!$A$2:$A$27,0)),"")</f>
        <v>0.8</v>
      </c>
      <c r="AA1180" s="24">
        <f>IFERROR(INDEX(Cost_Components!$U$2:$U$27,MATCH(E1180,Cost_Components!$A$2:$A$27,0)),"")</f>
        <v>2025</v>
      </c>
      <c r="AB1180" s="24">
        <f>IFERROR(INDEX(Cost_Components!$V$2:$V$27,MATCH(E1180,Cost_Components!$A$2:$A$27,0)),"")</f>
        <v>2050</v>
      </c>
      <c r="AC1180" s="24">
        <f>IFERROR(INDEX(Cost_Components!$M$2:$M$27,MATCH(E1180,Cost_Components!$A$2:$A$27,0)),"")</f>
        <v>30</v>
      </c>
      <c r="AD1180" s="24">
        <f>IFERROR(INDEX(Cost_Components!$N$2:$N$27,MATCH(E1180,Cost_Components!$A$2:$A$27,0)),"")</f>
        <v>95</v>
      </c>
      <c r="AE1180" s="14" t="str">
        <f>IFERROR(INDEX(Cost_Components!$O$2:$O$27,MATCH(E1180,Cost_Components!$A$2:$A$27,0)),"")</f>
        <v>Both</v>
      </c>
      <c r="AF1180" s="11">
        <v>359838.23605899402</v>
      </c>
      <c r="AG1180" s="11">
        <v>386010.49540927401</v>
      </c>
      <c r="AH1180" s="21">
        <f t="shared" si="189"/>
        <v>1</v>
      </c>
    </row>
    <row r="1181" spans="1:34" hidden="1">
      <c r="A1181" t="s">
        <v>75</v>
      </c>
      <c r="B1181" s="18">
        <v>2034</v>
      </c>
      <c r="C1181" t="s">
        <v>217</v>
      </c>
      <c r="D1181" t="s">
        <v>173</v>
      </c>
      <c r="E1181" s="20" t="s">
        <v>306</v>
      </c>
      <c r="F1181" s="20" t="s">
        <v>307</v>
      </c>
      <c r="G1181" s="20" t="s">
        <v>218</v>
      </c>
      <c r="H1181" s="20" t="s">
        <v>192</v>
      </c>
      <c r="I1181" s="20" t="s">
        <v>167</v>
      </c>
      <c r="J1181" s="15">
        <f>IFERROR(INDEX(Cost_Components!$K$2:$K$27,MATCH(E1181,Cost_Components!$A$2:$A$27,0)),"")</f>
        <v>0.52</v>
      </c>
      <c r="K1181" s="15">
        <f t="shared" si="180"/>
        <v>0.49846153846153851</v>
      </c>
      <c r="L1181" s="15">
        <f>IFERROR(INDEX(Cost_Components!$S$2:$S$27,MATCH(E1181,Cost_Components!$A$2:$A$27,0)),"")</f>
        <v>0.31</v>
      </c>
      <c r="M1181" s="26">
        <f>IFERROR(INDEX(Cost_Components!$L$2:$L$27,MATCH(E1181,Cost_Components!$A$2:$A$27,0)),"")</f>
        <v>1</v>
      </c>
      <c r="N1181" s="27">
        <f>IFERROR(INDEX(Cost_Components!$P$2:$P$27,MATCH(E1181,Cost_Components!$A$2:$A$27,0)),"")</f>
        <v>550.94828900000005</v>
      </c>
      <c r="O1181" s="21">
        <f t="shared" si="181"/>
        <v>189642.52009550328</v>
      </c>
      <c r="P1181" s="21">
        <f t="shared" si="182"/>
        <v>204971.3066929637</v>
      </c>
      <c r="Q1181" s="21">
        <f t="shared" si="183"/>
        <v>35007863.122140609</v>
      </c>
      <c r="R1181" s="21">
        <f t="shared" si="184"/>
        <v>52080867.565720119</v>
      </c>
      <c r="S1181" s="21">
        <f t="shared" si="185"/>
        <v>17073004.44357951</v>
      </c>
      <c r="T1181" s="14">
        <f>IFERROR(INDEX(Cost_Components!$R$2:$R$27,MATCH(E1181,Cost_Components!$A$2:$A$27,0)),"")</f>
        <v>1</v>
      </c>
      <c r="U1181" s="24">
        <f>IFERROR(INDEX(Cost_Components!$Q$2:$Q$27,MATCH(E1181,Cost_Components!$A$2:$A$27,0)),"")</f>
        <v>2023</v>
      </c>
      <c r="V1181" s="28">
        <f>1/(1+Calculation_Assumptions!$B$5)^(B1181-Calculation_Assumptions!$B$2)</f>
        <v>0.76641673234362695</v>
      </c>
      <c r="W1181" s="21">
        <f t="shared" si="186"/>
        <v>26830612.060403969</v>
      </c>
      <c r="X1181" s="21">
        <f t="shared" si="187"/>
        <v>39915648.3373404</v>
      </c>
      <c r="Y1181" s="21">
        <f t="shared" si="188"/>
        <v>13085036.27693643</v>
      </c>
      <c r="Z1181" s="15">
        <f>IFERROR(INDEX(Cost_Components!$T$2:$T$27,MATCH(E1181,Cost_Components!$A$2:$A$27,0)),"")</f>
        <v>0.8</v>
      </c>
      <c r="AA1181" s="24">
        <f>IFERROR(INDEX(Cost_Components!$U$2:$U$27,MATCH(E1181,Cost_Components!$A$2:$A$27,0)),"")</f>
        <v>2025</v>
      </c>
      <c r="AB1181" s="24">
        <f>IFERROR(INDEX(Cost_Components!$V$2:$V$27,MATCH(E1181,Cost_Components!$A$2:$A$27,0)),"")</f>
        <v>2050</v>
      </c>
      <c r="AC1181" s="24">
        <f>IFERROR(INDEX(Cost_Components!$M$2:$M$27,MATCH(E1181,Cost_Components!$A$2:$A$27,0)),"")</f>
        <v>30</v>
      </c>
      <c r="AD1181" s="24">
        <f>IFERROR(INDEX(Cost_Components!$N$2:$N$27,MATCH(E1181,Cost_Components!$A$2:$A$27,0)),"")</f>
        <v>95</v>
      </c>
      <c r="AE1181" s="14" t="str">
        <f>IFERROR(INDEX(Cost_Components!$O$2:$O$27,MATCH(E1181,Cost_Components!$A$2:$A$27,0)),"")</f>
        <v>Both</v>
      </c>
      <c r="AF1181" s="11">
        <v>364697.154029814</v>
      </c>
      <c r="AG1181" s="11">
        <v>394175.58979416097</v>
      </c>
      <c r="AH1181" s="21">
        <f t="shared" si="189"/>
        <v>1</v>
      </c>
    </row>
    <row r="1182" spans="1:34" hidden="1">
      <c r="A1182" t="s">
        <v>75</v>
      </c>
      <c r="B1182" s="18">
        <v>2035</v>
      </c>
      <c r="C1182" t="s">
        <v>217</v>
      </c>
      <c r="D1182" t="s">
        <v>173</v>
      </c>
      <c r="E1182" s="20" t="s">
        <v>306</v>
      </c>
      <c r="F1182" s="20" t="s">
        <v>307</v>
      </c>
      <c r="G1182" s="20" t="s">
        <v>218</v>
      </c>
      <c r="H1182" s="20" t="s">
        <v>192</v>
      </c>
      <c r="I1182" s="20" t="s">
        <v>167</v>
      </c>
      <c r="J1182" s="15">
        <f>IFERROR(INDEX(Cost_Components!$K$2:$K$27,MATCH(E1182,Cost_Components!$A$2:$A$27,0)),"")</f>
        <v>0.52</v>
      </c>
      <c r="K1182" s="15">
        <f t="shared" si="180"/>
        <v>0.51730769230769236</v>
      </c>
      <c r="L1182" s="15">
        <f>IFERROR(INDEX(Cost_Components!$S$2:$S$27,MATCH(E1182,Cost_Components!$A$2:$A$27,0)),"")</f>
        <v>0.31</v>
      </c>
      <c r="M1182" s="26">
        <f>IFERROR(INDEX(Cost_Components!$L$2:$L$27,MATCH(E1182,Cost_Components!$A$2:$A$27,0)),"")</f>
        <v>1</v>
      </c>
      <c r="N1182" s="27">
        <f>IFERROR(INDEX(Cost_Components!$P$2:$P$27,MATCH(E1182,Cost_Components!$A$2:$A$27,0)),"")</f>
        <v>550.94828900000005</v>
      </c>
      <c r="O1182" s="21">
        <f t="shared" si="181"/>
        <v>192037.58205714109</v>
      </c>
      <c r="P1182" s="21">
        <f t="shared" si="182"/>
        <v>209107.80753577521</v>
      </c>
      <c r="Q1182" s="21">
        <f t="shared" si="183"/>
        <v>35714352.521296762</v>
      </c>
      <c r="R1182" s="21">
        <f t="shared" si="184"/>
        <v>54732590.543121636</v>
      </c>
      <c r="S1182" s="21">
        <f t="shared" si="185"/>
        <v>19018238.021824874</v>
      </c>
      <c r="T1182" s="14">
        <f>IFERROR(INDEX(Cost_Components!$R$2:$R$27,MATCH(E1182,Cost_Components!$A$2:$A$27,0)),"")</f>
        <v>1</v>
      </c>
      <c r="U1182" s="24">
        <f>IFERROR(INDEX(Cost_Components!$Q$2:$Q$27,MATCH(E1182,Cost_Components!$A$2:$A$27,0)),"")</f>
        <v>2023</v>
      </c>
      <c r="V1182" s="28">
        <f>1/(1+Calculation_Assumptions!$B$5)^(B1182-Calculation_Assumptions!$B$2)</f>
        <v>0.74409391489672516</v>
      </c>
      <c r="W1182" s="21">
        <f t="shared" si="186"/>
        <v>26574832.385573436</v>
      </c>
      <c r="X1182" s="21">
        <f t="shared" si="187"/>
        <v>40726187.569670856</v>
      </c>
      <c r="Y1182" s="21">
        <f t="shared" si="188"/>
        <v>14151355.18409742</v>
      </c>
      <c r="Z1182" s="15">
        <f>IFERROR(INDEX(Cost_Components!$T$2:$T$27,MATCH(E1182,Cost_Components!$A$2:$A$27,0)),"")</f>
        <v>0.8</v>
      </c>
      <c r="AA1182" s="24">
        <f>IFERROR(INDEX(Cost_Components!$U$2:$U$27,MATCH(E1182,Cost_Components!$A$2:$A$27,0)),"")</f>
        <v>2025</v>
      </c>
      <c r="AB1182" s="24">
        <f>IFERROR(INDEX(Cost_Components!$V$2:$V$27,MATCH(E1182,Cost_Components!$A$2:$A$27,0)),"")</f>
        <v>2050</v>
      </c>
      <c r="AC1182" s="24">
        <f>IFERROR(INDEX(Cost_Components!$M$2:$M$27,MATCH(E1182,Cost_Components!$A$2:$A$27,0)),"")</f>
        <v>30</v>
      </c>
      <c r="AD1182" s="24">
        <f>IFERROR(INDEX(Cost_Components!$N$2:$N$27,MATCH(E1182,Cost_Components!$A$2:$A$27,0)),"")</f>
        <v>95</v>
      </c>
      <c r="AE1182" s="14" t="str">
        <f>IFERROR(INDEX(Cost_Components!$O$2:$O$27,MATCH(E1182,Cost_Components!$A$2:$A$27,0)),"")</f>
        <v>Both</v>
      </c>
      <c r="AF1182" s="11">
        <v>369303.04241757898</v>
      </c>
      <c r="AG1182" s="11">
        <v>402130.39910725999</v>
      </c>
      <c r="AH1182" s="21">
        <f t="shared" si="189"/>
        <v>1</v>
      </c>
    </row>
    <row r="1183" spans="1:34" hidden="1">
      <c r="A1183" t="s">
        <v>75</v>
      </c>
      <c r="B1183" s="18">
        <v>2036</v>
      </c>
      <c r="C1183" t="s">
        <v>217</v>
      </c>
      <c r="D1183" t="s">
        <v>173</v>
      </c>
      <c r="E1183" s="20" t="s">
        <v>306</v>
      </c>
      <c r="F1183" s="20" t="s">
        <v>307</v>
      </c>
      <c r="G1183" s="20" t="s">
        <v>218</v>
      </c>
      <c r="H1183" s="20" t="s">
        <v>192</v>
      </c>
      <c r="I1183" s="20" t="s">
        <v>167</v>
      </c>
      <c r="J1183" s="15">
        <f>IFERROR(INDEX(Cost_Components!$K$2:$K$27,MATCH(E1183,Cost_Components!$A$2:$A$27,0)),"")</f>
        <v>0.52</v>
      </c>
      <c r="K1183" s="15">
        <f t="shared" si="180"/>
        <v>0.5361538461538462</v>
      </c>
      <c r="L1183" s="15">
        <f>IFERROR(INDEX(Cost_Components!$S$2:$S$27,MATCH(E1183,Cost_Components!$A$2:$A$27,0)),"")</f>
        <v>0.31</v>
      </c>
      <c r="M1183" s="26">
        <f>IFERROR(INDEX(Cost_Components!$L$2:$L$27,MATCH(E1183,Cost_Components!$A$2:$A$27,0)),"")</f>
        <v>1</v>
      </c>
      <c r="N1183" s="27">
        <f>IFERROR(INDEX(Cost_Components!$P$2:$P$27,MATCH(E1183,Cost_Components!$A$2:$A$27,0)),"")</f>
        <v>550.94828900000005</v>
      </c>
      <c r="O1183" s="21">
        <f t="shared" si="181"/>
        <v>194283.58905509423</v>
      </c>
      <c r="P1183" s="21">
        <f t="shared" si="182"/>
        <v>213111.32567345141</v>
      </c>
      <c r="Q1183" s="21">
        <f t="shared" si="183"/>
        <v>36398129.276356049</v>
      </c>
      <c r="R1183" s="21">
        <f t="shared" si="184"/>
        <v>57390020.805050969</v>
      </c>
      <c r="S1183" s="21">
        <f t="shared" si="185"/>
        <v>20991891.52869492</v>
      </c>
      <c r="T1183" s="14">
        <f>IFERROR(INDEX(Cost_Components!$R$2:$R$27,MATCH(E1183,Cost_Components!$A$2:$A$27,0)),"")</f>
        <v>1</v>
      </c>
      <c r="U1183" s="24">
        <f>IFERROR(INDEX(Cost_Components!$Q$2:$Q$27,MATCH(E1183,Cost_Components!$A$2:$A$27,0)),"")</f>
        <v>2023</v>
      </c>
      <c r="V1183" s="28">
        <f>1/(1+Calculation_Assumptions!$B$5)^(B1183-Calculation_Assumptions!$B$2)</f>
        <v>0.72242127659876232</v>
      </c>
      <c r="W1183" s="21">
        <f t="shared" si="186"/>
        <v>26294783.017631922</v>
      </c>
      <c r="X1183" s="21">
        <f t="shared" si="187"/>
        <v>41459772.094014451</v>
      </c>
      <c r="Y1183" s="21">
        <f t="shared" si="188"/>
        <v>15164989.076382529</v>
      </c>
      <c r="Z1183" s="15">
        <f>IFERROR(INDEX(Cost_Components!$T$2:$T$27,MATCH(E1183,Cost_Components!$A$2:$A$27,0)),"")</f>
        <v>0.8</v>
      </c>
      <c r="AA1183" s="24">
        <f>IFERROR(INDEX(Cost_Components!$U$2:$U$27,MATCH(E1183,Cost_Components!$A$2:$A$27,0)),"")</f>
        <v>2025</v>
      </c>
      <c r="AB1183" s="24">
        <f>IFERROR(INDEX(Cost_Components!$V$2:$V$27,MATCH(E1183,Cost_Components!$A$2:$A$27,0)),"")</f>
        <v>2050</v>
      </c>
      <c r="AC1183" s="24">
        <f>IFERROR(INDEX(Cost_Components!$M$2:$M$27,MATCH(E1183,Cost_Components!$A$2:$A$27,0)),"")</f>
        <v>30</v>
      </c>
      <c r="AD1183" s="24">
        <f>IFERROR(INDEX(Cost_Components!$N$2:$N$27,MATCH(E1183,Cost_Components!$A$2:$A$27,0)),"")</f>
        <v>95</v>
      </c>
      <c r="AE1183" s="14" t="str">
        <f>IFERROR(INDEX(Cost_Components!$O$2:$O$27,MATCH(E1183,Cost_Components!$A$2:$A$27,0)),"")</f>
        <v>Both</v>
      </c>
      <c r="AF1183" s="11">
        <v>373622.28664441197</v>
      </c>
      <c r="AG1183" s="11">
        <v>409829.47244894499</v>
      </c>
      <c r="AH1183" s="21">
        <f t="shared" si="189"/>
        <v>1</v>
      </c>
    </row>
    <row r="1184" spans="1:34" hidden="1">
      <c r="A1184" t="s">
        <v>75</v>
      </c>
      <c r="B1184" s="18">
        <v>2037</v>
      </c>
      <c r="C1184" t="s">
        <v>217</v>
      </c>
      <c r="D1184" t="s">
        <v>173</v>
      </c>
      <c r="E1184" s="20" t="s">
        <v>306</v>
      </c>
      <c r="F1184" s="20" t="s">
        <v>307</v>
      </c>
      <c r="G1184" s="20" t="s">
        <v>218</v>
      </c>
      <c r="H1184" s="20" t="s">
        <v>192</v>
      </c>
      <c r="I1184" s="20" t="s">
        <v>167</v>
      </c>
      <c r="J1184" s="15">
        <f>IFERROR(INDEX(Cost_Components!$K$2:$K$27,MATCH(E1184,Cost_Components!$A$2:$A$27,0)),"")</f>
        <v>0.52</v>
      </c>
      <c r="K1184" s="15">
        <f t="shared" si="180"/>
        <v>0.55500000000000005</v>
      </c>
      <c r="L1184" s="15">
        <f>IFERROR(INDEX(Cost_Components!$S$2:$S$27,MATCH(E1184,Cost_Components!$A$2:$A$27,0)),"")</f>
        <v>0.31</v>
      </c>
      <c r="M1184" s="26">
        <f>IFERROR(INDEX(Cost_Components!$L$2:$L$27,MATCH(E1184,Cost_Components!$A$2:$A$27,0)),"")</f>
        <v>1</v>
      </c>
      <c r="N1184" s="27">
        <f>IFERROR(INDEX(Cost_Components!$P$2:$P$27,MATCH(E1184,Cost_Components!$A$2:$A$27,0)),"")</f>
        <v>550.94828900000005</v>
      </c>
      <c r="O1184" s="21">
        <f t="shared" si="181"/>
        <v>196388.5412705424</v>
      </c>
      <c r="P1184" s="21">
        <f t="shared" si="182"/>
        <v>216985.96034478222</v>
      </c>
      <c r="Q1184" s="21">
        <f t="shared" si="183"/>
        <v>37059893.512583688</v>
      </c>
      <c r="R1184" s="21">
        <f t="shared" si="184"/>
        <v>60050961.58967723</v>
      </c>
      <c r="S1184" s="21">
        <f t="shared" si="185"/>
        <v>22991068.077093542</v>
      </c>
      <c r="T1184" s="14">
        <f>IFERROR(INDEX(Cost_Components!$R$2:$R$27,MATCH(E1184,Cost_Components!$A$2:$A$27,0)),"")</f>
        <v>1</v>
      </c>
      <c r="U1184" s="24">
        <f>IFERROR(INDEX(Cost_Components!$Q$2:$Q$27,MATCH(E1184,Cost_Components!$A$2:$A$27,0)),"")</f>
        <v>2023</v>
      </c>
      <c r="V1184" s="28">
        <f>1/(1+Calculation_Assumptions!$B$5)^(B1184-Calculation_Assumptions!$B$2)</f>
        <v>0.70137988019297326</v>
      </c>
      <c r="W1184" s="21">
        <f t="shared" si="186"/>
        <v>25993063.671820294</v>
      </c>
      <c r="X1184" s="21">
        <f t="shared" si="187"/>
        <v>42118536.245240651</v>
      </c>
      <c r="Y1184" s="21">
        <f t="shared" si="188"/>
        <v>16125472.573420361</v>
      </c>
      <c r="Z1184" s="15">
        <f>IFERROR(INDEX(Cost_Components!$T$2:$T$27,MATCH(E1184,Cost_Components!$A$2:$A$27,0)),"")</f>
        <v>0.8</v>
      </c>
      <c r="AA1184" s="24">
        <f>IFERROR(INDEX(Cost_Components!$U$2:$U$27,MATCH(E1184,Cost_Components!$A$2:$A$27,0)),"")</f>
        <v>2025</v>
      </c>
      <c r="AB1184" s="24">
        <f>IFERROR(INDEX(Cost_Components!$V$2:$V$27,MATCH(E1184,Cost_Components!$A$2:$A$27,0)),"")</f>
        <v>2050</v>
      </c>
      <c r="AC1184" s="24">
        <f>IFERROR(INDEX(Cost_Components!$M$2:$M$27,MATCH(E1184,Cost_Components!$A$2:$A$27,0)),"")</f>
        <v>30</v>
      </c>
      <c r="AD1184" s="24">
        <f>IFERROR(INDEX(Cost_Components!$N$2:$N$27,MATCH(E1184,Cost_Components!$A$2:$A$27,0)),"")</f>
        <v>95</v>
      </c>
      <c r="AE1184" s="14" t="str">
        <f>IFERROR(INDEX(Cost_Components!$O$2:$O$27,MATCH(E1184,Cost_Components!$A$2:$A$27,0)),"")</f>
        <v>Both</v>
      </c>
      <c r="AF1184" s="11">
        <v>377670.27167411998</v>
      </c>
      <c r="AG1184" s="11">
        <v>417280.69297073502</v>
      </c>
      <c r="AH1184" s="21">
        <f t="shared" si="189"/>
        <v>1</v>
      </c>
    </row>
    <row r="1185" spans="1:34" hidden="1">
      <c r="A1185" t="s">
        <v>75</v>
      </c>
      <c r="B1185" s="18">
        <v>2038</v>
      </c>
      <c r="C1185" t="s">
        <v>217</v>
      </c>
      <c r="D1185" t="s">
        <v>173</v>
      </c>
      <c r="E1185" s="20" t="s">
        <v>306</v>
      </c>
      <c r="F1185" s="20" t="s">
        <v>307</v>
      </c>
      <c r="G1185" s="20" t="s">
        <v>218</v>
      </c>
      <c r="H1185" s="20" t="s">
        <v>192</v>
      </c>
      <c r="I1185" s="20" t="s">
        <v>167</v>
      </c>
      <c r="J1185" s="15">
        <f>IFERROR(INDEX(Cost_Components!$K$2:$K$27,MATCH(E1185,Cost_Components!$A$2:$A$27,0)),"")</f>
        <v>0.52</v>
      </c>
      <c r="K1185" s="15">
        <f t="shared" si="180"/>
        <v>0.57384615384615389</v>
      </c>
      <c r="L1185" s="15">
        <f>IFERROR(INDEX(Cost_Components!$S$2:$S$27,MATCH(E1185,Cost_Components!$A$2:$A$27,0)),"")</f>
        <v>0.31</v>
      </c>
      <c r="M1185" s="26">
        <f>IFERROR(INDEX(Cost_Components!$L$2:$L$27,MATCH(E1185,Cost_Components!$A$2:$A$27,0)),"")</f>
        <v>1</v>
      </c>
      <c r="N1185" s="27">
        <f>IFERROR(INDEX(Cost_Components!$P$2:$P$27,MATCH(E1185,Cost_Components!$A$2:$A$27,0)),"")</f>
        <v>550.94828900000005</v>
      </c>
      <c r="O1185" s="21">
        <f t="shared" si="181"/>
        <v>198360.5650322712</v>
      </c>
      <c r="P1185" s="21">
        <f t="shared" si="182"/>
        <v>220736.71613075474</v>
      </c>
      <c r="Q1185" s="21">
        <f t="shared" si="183"/>
        <v>37700499.982232586</v>
      </c>
      <c r="R1185" s="21">
        <f t="shared" si="184"/>
        <v>62713588.289664529</v>
      </c>
      <c r="S1185" s="21">
        <f t="shared" si="185"/>
        <v>25013088.307431944</v>
      </c>
      <c r="T1185" s="14">
        <f>IFERROR(INDEX(Cost_Components!$R$2:$R$27,MATCH(E1185,Cost_Components!$A$2:$A$27,0)),"")</f>
        <v>1</v>
      </c>
      <c r="U1185" s="24">
        <f>IFERROR(INDEX(Cost_Components!$Q$2:$Q$27,MATCH(E1185,Cost_Components!$A$2:$A$27,0)),"")</f>
        <v>2023</v>
      </c>
      <c r="V1185" s="28">
        <f>1/(1+Calculation_Assumptions!$B$5)^(B1185-Calculation_Assumptions!$B$2)</f>
        <v>0.68095133999317792</v>
      </c>
      <c r="W1185" s="21">
        <f t="shared" si="186"/>
        <v>25672205.981314059</v>
      </c>
      <c r="X1185" s="21">
        <f t="shared" si="187"/>
        <v>42704901.981627531</v>
      </c>
      <c r="Y1185" s="21">
        <f t="shared" si="188"/>
        <v>17032696.000313472</v>
      </c>
      <c r="Z1185" s="15">
        <f>IFERROR(INDEX(Cost_Components!$T$2:$T$27,MATCH(E1185,Cost_Components!$A$2:$A$27,0)),"")</f>
        <v>0.8</v>
      </c>
      <c r="AA1185" s="24">
        <f>IFERROR(INDEX(Cost_Components!$U$2:$U$27,MATCH(E1185,Cost_Components!$A$2:$A$27,0)),"")</f>
        <v>2025</v>
      </c>
      <c r="AB1185" s="24">
        <f>IFERROR(INDEX(Cost_Components!$V$2:$V$27,MATCH(E1185,Cost_Components!$A$2:$A$27,0)),"")</f>
        <v>2050</v>
      </c>
      <c r="AC1185" s="24">
        <f>IFERROR(INDEX(Cost_Components!$M$2:$M$27,MATCH(E1185,Cost_Components!$A$2:$A$27,0)),"")</f>
        <v>30</v>
      </c>
      <c r="AD1185" s="24">
        <f>IFERROR(INDEX(Cost_Components!$N$2:$N$27,MATCH(E1185,Cost_Components!$A$2:$A$27,0)),"")</f>
        <v>95</v>
      </c>
      <c r="AE1185" s="14" t="str">
        <f>IFERROR(INDEX(Cost_Components!$O$2:$O$27,MATCH(E1185,Cost_Components!$A$2:$A$27,0)),"")</f>
        <v>Both</v>
      </c>
      <c r="AF1185" s="11">
        <v>381462.62506206002</v>
      </c>
      <c r="AG1185" s="11">
        <v>424493.684866836</v>
      </c>
      <c r="AH1185" s="21">
        <f t="shared" si="189"/>
        <v>1</v>
      </c>
    </row>
    <row r="1186" spans="1:34" hidden="1">
      <c r="A1186" t="s">
        <v>75</v>
      </c>
      <c r="B1186" s="18">
        <v>2039</v>
      </c>
      <c r="C1186" t="s">
        <v>217</v>
      </c>
      <c r="D1186" t="s">
        <v>173</v>
      </c>
      <c r="E1186" s="20" t="s">
        <v>306</v>
      </c>
      <c r="F1186" s="20" t="s">
        <v>307</v>
      </c>
      <c r="G1186" s="20" t="s">
        <v>218</v>
      </c>
      <c r="H1186" s="20" t="s">
        <v>192</v>
      </c>
      <c r="I1186" s="20" t="s">
        <v>167</v>
      </c>
      <c r="J1186" s="15">
        <f>IFERROR(INDEX(Cost_Components!$K$2:$K$27,MATCH(E1186,Cost_Components!$A$2:$A$27,0)),"")</f>
        <v>0.52</v>
      </c>
      <c r="K1186" s="15">
        <f t="shared" si="180"/>
        <v>0.59269230769230763</v>
      </c>
      <c r="L1186" s="15">
        <f>IFERROR(INDEX(Cost_Components!$S$2:$S$27,MATCH(E1186,Cost_Components!$A$2:$A$27,0)),"")</f>
        <v>0.31</v>
      </c>
      <c r="M1186" s="26">
        <f>IFERROR(INDEX(Cost_Components!$L$2:$L$27,MATCH(E1186,Cost_Components!$A$2:$A$27,0)),"")</f>
        <v>1</v>
      </c>
      <c r="N1186" s="27">
        <f>IFERROR(INDEX(Cost_Components!$P$2:$P$27,MATCH(E1186,Cost_Components!$A$2:$A$27,0)),"")</f>
        <v>550.94828900000005</v>
      </c>
      <c r="O1186" s="21">
        <f t="shared" si="181"/>
        <v>200233.80336961354</v>
      </c>
      <c r="P1186" s="21">
        <f t="shared" si="182"/>
        <v>224397.96716067434</v>
      </c>
      <c r="Q1186" s="21">
        <f t="shared" si="183"/>
        <v>38325819.579298034</v>
      </c>
      <c r="R1186" s="21">
        <f t="shared" si="184"/>
        <v>65384909.375269622</v>
      </c>
      <c r="S1186" s="21">
        <f t="shared" si="185"/>
        <v>27059089.795971587</v>
      </c>
      <c r="T1186" s="14">
        <f>IFERROR(INDEX(Cost_Components!$R$2:$R$27,MATCH(E1186,Cost_Components!$A$2:$A$27,0)),"")</f>
        <v>1</v>
      </c>
      <c r="U1186" s="24">
        <f>IFERROR(INDEX(Cost_Components!$Q$2:$Q$27,MATCH(E1186,Cost_Components!$A$2:$A$27,0)),"")</f>
        <v>2023</v>
      </c>
      <c r="V1186" s="28">
        <f>1/(1+Calculation_Assumptions!$B$5)^(B1186-Calculation_Assumptions!$B$2)</f>
        <v>0.66111780581861923</v>
      </c>
      <c r="W1186" s="21">
        <f t="shared" si="186"/>
        <v>25337881.746465791</v>
      </c>
      <c r="X1186" s="21">
        <f t="shared" si="187"/>
        <v>43227127.819827519</v>
      </c>
      <c r="Y1186" s="21">
        <f t="shared" si="188"/>
        <v>17889246.073361725</v>
      </c>
      <c r="Z1186" s="15">
        <f>IFERROR(INDEX(Cost_Components!$T$2:$T$27,MATCH(E1186,Cost_Components!$A$2:$A$27,0)),"")</f>
        <v>0.8</v>
      </c>
      <c r="AA1186" s="24">
        <f>IFERROR(INDEX(Cost_Components!$U$2:$U$27,MATCH(E1186,Cost_Components!$A$2:$A$27,0)),"")</f>
        <v>2025</v>
      </c>
      <c r="AB1186" s="24">
        <f>IFERROR(INDEX(Cost_Components!$V$2:$V$27,MATCH(E1186,Cost_Components!$A$2:$A$27,0)),"")</f>
        <v>2050</v>
      </c>
      <c r="AC1186" s="24">
        <f>IFERROR(INDEX(Cost_Components!$M$2:$M$27,MATCH(E1186,Cost_Components!$A$2:$A$27,0)),"")</f>
        <v>30</v>
      </c>
      <c r="AD1186" s="24">
        <f>IFERROR(INDEX(Cost_Components!$N$2:$N$27,MATCH(E1186,Cost_Components!$A$2:$A$27,0)),"")</f>
        <v>95</v>
      </c>
      <c r="AE1186" s="14" t="str">
        <f>IFERROR(INDEX(Cost_Components!$O$2:$O$27,MATCH(E1186,Cost_Components!$A$2:$A$27,0)),"")</f>
        <v>Both</v>
      </c>
      <c r="AF1186" s="11">
        <v>385065.006480026</v>
      </c>
      <c r="AG1186" s="11">
        <v>431534.55223206599</v>
      </c>
      <c r="AH1186" s="21">
        <f t="shared" si="189"/>
        <v>1</v>
      </c>
    </row>
    <row r="1187" spans="1:34" hidden="1">
      <c r="A1187" t="s">
        <v>75</v>
      </c>
      <c r="B1187" s="18">
        <v>2040</v>
      </c>
      <c r="C1187" t="s">
        <v>217</v>
      </c>
      <c r="D1187" t="s">
        <v>173</v>
      </c>
      <c r="E1187" s="20" t="s">
        <v>306</v>
      </c>
      <c r="F1187" s="20" t="s">
        <v>307</v>
      </c>
      <c r="G1187" s="20" t="s">
        <v>218</v>
      </c>
      <c r="H1187" s="20" t="s">
        <v>192</v>
      </c>
      <c r="I1187" s="20" t="s">
        <v>167</v>
      </c>
      <c r="J1187" s="15">
        <f>IFERROR(INDEX(Cost_Components!$K$2:$K$27,MATCH(E1187,Cost_Components!$A$2:$A$27,0)),"")</f>
        <v>0.52</v>
      </c>
      <c r="K1187" s="15">
        <f t="shared" si="180"/>
        <v>0.61153846153846159</v>
      </c>
      <c r="L1187" s="15">
        <f>IFERROR(INDEX(Cost_Components!$S$2:$S$27,MATCH(E1187,Cost_Components!$A$2:$A$27,0)),"")</f>
        <v>0.31</v>
      </c>
      <c r="M1187" s="26">
        <f>IFERROR(INDEX(Cost_Components!$L$2:$L$27,MATCH(E1187,Cost_Components!$A$2:$A$27,0)),"")</f>
        <v>1</v>
      </c>
      <c r="N1187" s="27">
        <f>IFERROR(INDEX(Cost_Components!$P$2:$P$27,MATCH(E1187,Cost_Components!$A$2:$A$27,0)),"")</f>
        <v>550.94828900000005</v>
      </c>
      <c r="O1187" s="21">
        <f t="shared" si="181"/>
        <v>202060.10095329295</v>
      </c>
      <c r="P1187" s="21">
        <f t="shared" si="182"/>
        <v>228023.06236314125</v>
      </c>
      <c r="Q1187" s="21">
        <f t="shared" si="183"/>
        <v>38944963.979069024</v>
      </c>
      <c r="R1187" s="21">
        <f t="shared" si="184"/>
        <v>68079315.524484858</v>
      </c>
      <c r="S1187" s="21">
        <f t="shared" si="185"/>
        <v>29134351.545415834</v>
      </c>
      <c r="T1187" s="14">
        <f>IFERROR(INDEX(Cost_Components!$R$2:$R$27,MATCH(E1187,Cost_Components!$A$2:$A$27,0)),"")</f>
        <v>1</v>
      </c>
      <c r="U1187" s="24">
        <f>IFERROR(INDEX(Cost_Components!$Q$2:$Q$27,MATCH(E1187,Cost_Components!$A$2:$A$27,0)),"")</f>
        <v>2023</v>
      </c>
      <c r="V1187" s="28">
        <f>1/(1+Calculation_Assumptions!$B$5)^(B1187-Calculation_Assumptions!$B$2)</f>
        <v>0.64186194739671765</v>
      </c>
      <c r="W1187" s="21">
        <f t="shared" si="186"/>
        <v>24997290.420900267</v>
      </c>
      <c r="X1187" s="21">
        <f t="shared" si="187"/>
        <v>43697522.03998144</v>
      </c>
      <c r="Y1187" s="21">
        <f t="shared" si="188"/>
        <v>18700231.619081177</v>
      </c>
      <c r="Z1187" s="15">
        <f>IFERROR(INDEX(Cost_Components!$T$2:$T$27,MATCH(E1187,Cost_Components!$A$2:$A$27,0)),"")</f>
        <v>0.8</v>
      </c>
      <c r="AA1187" s="24">
        <f>IFERROR(INDEX(Cost_Components!$U$2:$U$27,MATCH(E1187,Cost_Components!$A$2:$A$27,0)),"")</f>
        <v>2025</v>
      </c>
      <c r="AB1187" s="24">
        <f>IFERROR(INDEX(Cost_Components!$V$2:$V$27,MATCH(E1187,Cost_Components!$A$2:$A$27,0)),"")</f>
        <v>2050</v>
      </c>
      <c r="AC1187" s="24">
        <f>IFERROR(INDEX(Cost_Components!$M$2:$M$27,MATCH(E1187,Cost_Components!$A$2:$A$27,0)),"")</f>
        <v>30</v>
      </c>
      <c r="AD1187" s="24">
        <f>IFERROR(INDEX(Cost_Components!$N$2:$N$27,MATCH(E1187,Cost_Components!$A$2:$A$27,0)),"")</f>
        <v>95</v>
      </c>
      <c r="AE1187" s="14" t="str">
        <f>IFERROR(INDEX(Cost_Components!$O$2:$O$27,MATCH(E1187,Cost_Components!$A$2:$A$27,0)),"")</f>
        <v>Both</v>
      </c>
      <c r="AF1187" s="11">
        <v>388577.11721787101</v>
      </c>
      <c r="AG1187" s="11">
        <v>438505.88915988698</v>
      </c>
      <c r="AH1187" s="21">
        <f t="shared" si="189"/>
        <v>1</v>
      </c>
    </row>
    <row r="1188" spans="1:34" hidden="1">
      <c r="A1188" t="s">
        <v>75</v>
      </c>
      <c r="B1188" s="18">
        <v>2041</v>
      </c>
      <c r="C1188" t="s">
        <v>217</v>
      </c>
      <c r="D1188" t="s">
        <v>173</v>
      </c>
      <c r="E1188" s="20" t="s">
        <v>306</v>
      </c>
      <c r="F1188" s="20" t="s">
        <v>307</v>
      </c>
      <c r="G1188" s="20" t="s">
        <v>218</v>
      </c>
      <c r="H1188" s="20" t="s">
        <v>192</v>
      </c>
      <c r="I1188" s="20" t="s">
        <v>167</v>
      </c>
      <c r="J1188" s="15">
        <f>IFERROR(INDEX(Cost_Components!$K$2:$K$27,MATCH(E1188,Cost_Components!$A$2:$A$27,0)),"")</f>
        <v>0.52</v>
      </c>
      <c r="K1188" s="15">
        <f t="shared" si="180"/>
        <v>0.63038461538461543</v>
      </c>
      <c r="L1188" s="15">
        <f>IFERROR(INDEX(Cost_Components!$S$2:$S$27,MATCH(E1188,Cost_Components!$A$2:$A$27,0)),"")</f>
        <v>0.31</v>
      </c>
      <c r="M1188" s="26">
        <f>IFERROR(INDEX(Cost_Components!$L$2:$L$27,MATCH(E1188,Cost_Components!$A$2:$A$27,0)),"")</f>
        <v>1</v>
      </c>
      <c r="N1188" s="27">
        <f>IFERROR(INDEX(Cost_Components!$P$2:$P$27,MATCH(E1188,Cost_Components!$A$2:$A$27,0)),"")</f>
        <v>550.94828900000005</v>
      </c>
      <c r="O1188" s="21">
        <f t="shared" si="181"/>
        <v>203855.8927391381</v>
      </c>
      <c r="P1188" s="21">
        <f t="shared" si="182"/>
        <v>231625.98599738261</v>
      </c>
      <c r="Q1188" s="21">
        <f t="shared" si="183"/>
        <v>39560321.608690739</v>
      </c>
      <c r="R1188" s="21">
        <f t="shared" si="184"/>
        <v>70801052.557112977</v>
      </c>
      <c r="S1188" s="21">
        <f t="shared" si="185"/>
        <v>31240730.948422238</v>
      </c>
      <c r="T1188" s="14">
        <f>IFERROR(INDEX(Cost_Components!$R$2:$R$27,MATCH(E1188,Cost_Components!$A$2:$A$27,0)),"")</f>
        <v>1</v>
      </c>
      <c r="U1188" s="24">
        <f>IFERROR(INDEX(Cost_Components!$Q$2:$Q$27,MATCH(E1188,Cost_Components!$A$2:$A$27,0)),"")</f>
        <v>2023</v>
      </c>
      <c r="V1188" s="28">
        <f>1/(1+Calculation_Assumptions!$B$5)^(B1188-Calculation_Assumptions!$B$2)</f>
        <v>0.62316693922011435</v>
      </c>
      <c r="W1188" s="21">
        <f t="shared" si="186"/>
        <v>24652684.531451158</v>
      </c>
      <c r="X1188" s="21">
        <f t="shared" si="187"/>
        <v>44120875.215578541</v>
      </c>
      <c r="Y1188" s="21">
        <f t="shared" si="188"/>
        <v>19468190.684127387</v>
      </c>
      <c r="Z1188" s="15">
        <f>IFERROR(INDEX(Cost_Components!$T$2:$T$27,MATCH(E1188,Cost_Components!$A$2:$A$27,0)),"")</f>
        <v>0.8</v>
      </c>
      <c r="AA1188" s="24">
        <f>IFERROR(INDEX(Cost_Components!$U$2:$U$27,MATCH(E1188,Cost_Components!$A$2:$A$27,0)),"")</f>
        <v>2025</v>
      </c>
      <c r="AB1188" s="24">
        <f>IFERROR(INDEX(Cost_Components!$V$2:$V$27,MATCH(E1188,Cost_Components!$A$2:$A$27,0)),"")</f>
        <v>2050</v>
      </c>
      <c r="AC1188" s="24">
        <f>IFERROR(INDEX(Cost_Components!$M$2:$M$27,MATCH(E1188,Cost_Components!$A$2:$A$27,0)),"")</f>
        <v>30</v>
      </c>
      <c r="AD1188" s="24">
        <f>IFERROR(INDEX(Cost_Components!$N$2:$N$27,MATCH(E1188,Cost_Components!$A$2:$A$27,0)),"")</f>
        <v>95</v>
      </c>
      <c r="AE1188" s="14" t="str">
        <f>IFERROR(INDEX(Cost_Components!$O$2:$O$27,MATCH(E1188,Cost_Components!$A$2:$A$27,0)),"")</f>
        <v>Both</v>
      </c>
      <c r="AF1188" s="11">
        <v>392030.56295988098</v>
      </c>
      <c r="AG1188" s="11">
        <v>445434.58845650498</v>
      </c>
      <c r="AH1188" s="21">
        <f t="shared" si="189"/>
        <v>1</v>
      </c>
    </row>
    <row r="1189" spans="1:34" hidden="1">
      <c r="A1189" t="s">
        <v>75</v>
      </c>
      <c r="B1189" s="18">
        <v>2042</v>
      </c>
      <c r="C1189" t="s">
        <v>217</v>
      </c>
      <c r="D1189" t="s">
        <v>173</v>
      </c>
      <c r="E1189" s="20" t="s">
        <v>306</v>
      </c>
      <c r="F1189" s="20" t="s">
        <v>307</v>
      </c>
      <c r="G1189" s="20" t="s">
        <v>218</v>
      </c>
      <c r="H1189" s="20" t="s">
        <v>192</v>
      </c>
      <c r="I1189" s="20" t="s">
        <v>167</v>
      </c>
      <c r="J1189" s="15">
        <f>IFERROR(INDEX(Cost_Components!$K$2:$K$27,MATCH(E1189,Cost_Components!$A$2:$A$27,0)),"")</f>
        <v>0.52</v>
      </c>
      <c r="K1189" s="15">
        <f t="shared" si="180"/>
        <v>0.64923076923076928</v>
      </c>
      <c r="L1189" s="15">
        <f>IFERROR(INDEX(Cost_Components!$S$2:$S$27,MATCH(E1189,Cost_Components!$A$2:$A$27,0)),"")</f>
        <v>0.31</v>
      </c>
      <c r="M1189" s="26">
        <f>IFERROR(INDEX(Cost_Components!$L$2:$L$27,MATCH(E1189,Cost_Components!$A$2:$A$27,0)),"")</f>
        <v>1</v>
      </c>
      <c r="N1189" s="27">
        <f>IFERROR(INDEX(Cost_Components!$P$2:$P$27,MATCH(E1189,Cost_Components!$A$2:$A$27,0)),"")</f>
        <v>550.94828900000005</v>
      </c>
      <c r="O1189" s="21">
        <f t="shared" si="181"/>
        <v>205628.41895574681</v>
      </c>
      <c r="P1189" s="21">
        <f t="shared" si="182"/>
        <v>235211.73292598591</v>
      </c>
      <c r="Q1189" s="21">
        <f t="shared" si="183"/>
        <v>40172745.560572043</v>
      </c>
      <c r="R1189" s="21">
        <f t="shared" si="184"/>
        <v>73551760.000666633</v>
      </c>
      <c r="S1189" s="21">
        <f t="shared" si="185"/>
        <v>33379014.44009459</v>
      </c>
      <c r="T1189" s="14">
        <f>IFERROR(INDEX(Cost_Components!$R$2:$R$27,MATCH(E1189,Cost_Components!$A$2:$A$27,0)),"")</f>
        <v>1</v>
      </c>
      <c r="U1189" s="24">
        <f>IFERROR(INDEX(Cost_Components!$Q$2:$Q$27,MATCH(E1189,Cost_Components!$A$2:$A$27,0)),"")</f>
        <v>2023</v>
      </c>
      <c r="V1189" s="28">
        <f>1/(1+Calculation_Assumptions!$B$5)^(B1189-Calculation_Assumptions!$B$2)</f>
        <v>0.60501644584477121</v>
      </c>
      <c r="W1189" s="21">
        <f t="shared" si="186"/>
        <v>24305171.738883607</v>
      </c>
      <c r="X1189" s="21">
        <f t="shared" si="187"/>
        <v>44500024.421230935</v>
      </c>
      <c r="Y1189" s="21">
        <f t="shared" si="188"/>
        <v>20194852.682347324</v>
      </c>
      <c r="Z1189" s="15">
        <f>IFERROR(INDEX(Cost_Components!$T$2:$T$27,MATCH(E1189,Cost_Components!$A$2:$A$27,0)),"")</f>
        <v>0.8</v>
      </c>
      <c r="AA1189" s="24">
        <f>IFERROR(INDEX(Cost_Components!$U$2:$U$27,MATCH(E1189,Cost_Components!$A$2:$A$27,0)),"")</f>
        <v>2025</v>
      </c>
      <c r="AB1189" s="24">
        <f>IFERROR(INDEX(Cost_Components!$V$2:$V$27,MATCH(E1189,Cost_Components!$A$2:$A$27,0)),"")</f>
        <v>2050</v>
      </c>
      <c r="AC1189" s="24">
        <f>IFERROR(INDEX(Cost_Components!$M$2:$M$27,MATCH(E1189,Cost_Components!$A$2:$A$27,0)),"")</f>
        <v>30</v>
      </c>
      <c r="AD1189" s="24">
        <f>IFERROR(INDEX(Cost_Components!$N$2:$N$27,MATCH(E1189,Cost_Components!$A$2:$A$27,0)),"")</f>
        <v>95</v>
      </c>
      <c r="AE1189" s="14" t="str">
        <f>IFERROR(INDEX(Cost_Components!$O$2:$O$27,MATCH(E1189,Cost_Components!$A$2:$A$27,0)),"")</f>
        <v>Both</v>
      </c>
      <c r="AF1189" s="11">
        <v>395439.26722258999</v>
      </c>
      <c r="AG1189" s="11">
        <v>452330.25562689599</v>
      </c>
      <c r="AH1189" s="21">
        <f t="shared" si="189"/>
        <v>1</v>
      </c>
    </row>
    <row r="1190" spans="1:34" hidden="1">
      <c r="A1190" t="s">
        <v>75</v>
      </c>
      <c r="B1190" s="18">
        <v>2043</v>
      </c>
      <c r="C1190" t="s">
        <v>217</v>
      </c>
      <c r="D1190" t="s">
        <v>173</v>
      </c>
      <c r="E1190" s="20" t="s">
        <v>306</v>
      </c>
      <c r="F1190" s="20" t="s">
        <v>307</v>
      </c>
      <c r="G1190" s="20" t="s">
        <v>218</v>
      </c>
      <c r="H1190" s="20" t="s">
        <v>192</v>
      </c>
      <c r="I1190" s="20" t="s">
        <v>167</v>
      </c>
      <c r="J1190" s="15">
        <f>IFERROR(INDEX(Cost_Components!$K$2:$K$27,MATCH(E1190,Cost_Components!$A$2:$A$27,0)),"")</f>
        <v>0.52</v>
      </c>
      <c r="K1190" s="15">
        <f t="shared" si="180"/>
        <v>0.66807692307692301</v>
      </c>
      <c r="L1190" s="15">
        <f>IFERROR(INDEX(Cost_Components!$S$2:$S$27,MATCH(E1190,Cost_Components!$A$2:$A$27,0)),"")</f>
        <v>0.31</v>
      </c>
      <c r="M1190" s="26">
        <f>IFERROR(INDEX(Cost_Components!$L$2:$L$27,MATCH(E1190,Cost_Components!$A$2:$A$27,0)),"")</f>
        <v>1</v>
      </c>
      <c r="N1190" s="27">
        <f>IFERROR(INDEX(Cost_Components!$P$2:$P$27,MATCH(E1190,Cost_Components!$A$2:$A$27,0)),"")</f>
        <v>550.94828900000005</v>
      </c>
      <c r="O1190" s="21">
        <f t="shared" si="181"/>
        <v>207342.86146238184</v>
      </c>
      <c r="P1190" s="21">
        <f t="shared" si="182"/>
        <v>238742.87778323007</v>
      </c>
      <c r="Q1190" s="21">
        <f t="shared" si="183"/>
        <v>40775843.807938091</v>
      </c>
      <c r="R1190" s="21">
        <f t="shared" si="184"/>
        <v>76317897.421728075</v>
      </c>
      <c r="S1190" s="21">
        <f t="shared" si="185"/>
        <v>35542053.613789983</v>
      </c>
      <c r="T1190" s="14">
        <f>IFERROR(INDEX(Cost_Components!$R$2:$R$27,MATCH(E1190,Cost_Components!$A$2:$A$27,0)),"")</f>
        <v>1</v>
      </c>
      <c r="U1190" s="24">
        <f>IFERROR(INDEX(Cost_Components!$Q$2:$Q$27,MATCH(E1190,Cost_Components!$A$2:$A$27,0)),"")</f>
        <v>2023</v>
      </c>
      <c r="V1190" s="28">
        <f>1/(1+Calculation_Assumptions!$B$5)^(B1190-Calculation_Assumptions!$B$2)</f>
        <v>0.5873946076162827</v>
      </c>
      <c r="W1190" s="21">
        <f t="shared" si="186"/>
        <v>23951510.773786627</v>
      </c>
      <c r="X1190" s="21">
        <f t="shared" si="187"/>
        <v>44828721.410135679</v>
      </c>
      <c r="Y1190" s="21">
        <f t="shared" si="188"/>
        <v>20877210.636349048</v>
      </c>
      <c r="Z1190" s="15">
        <f>IFERROR(INDEX(Cost_Components!$T$2:$T$27,MATCH(E1190,Cost_Components!$A$2:$A$27,0)),"")</f>
        <v>0.8</v>
      </c>
      <c r="AA1190" s="24">
        <f>IFERROR(INDEX(Cost_Components!$U$2:$U$27,MATCH(E1190,Cost_Components!$A$2:$A$27,0)),"")</f>
        <v>2025</v>
      </c>
      <c r="AB1190" s="24">
        <f>IFERROR(INDEX(Cost_Components!$V$2:$V$27,MATCH(E1190,Cost_Components!$A$2:$A$27,0)),"")</f>
        <v>2050</v>
      </c>
      <c r="AC1190" s="24">
        <f>IFERROR(INDEX(Cost_Components!$M$2:$M$27,MATCH(E1190,Cost_Components!$A$2:$A$27,0)),"")</f>
        <v>30</v>
      </c>
      <c r="AD1190" s="24">
        <f>IFERROR(INDEX(Cost_Components!$N$2:$N$27,MATCH(E1190,Cost_Components!$A$2:$A$27,0)),"")</f>
        <v>95</v>
      </c>
      <c r="AE1190" s="14" t="str">
        <f>IFERROR(INDEX(Cost_Components!$O$2:$O$27,MATCH(E1190,Cost_Components!$A$2:$A$27,0)),"")</f>
        <v>Both</v>
      </c>
      <c r="AF1190" s="11">
        <v>398736.272043042</v>
      </c>
      <c r="AG1190" s="11">
        <v>459120.91881390399</v>
      </c>
      <c r="AH1190" s="21">
        <f t="shared" si="189"/>
        <v>1</v>
      </c>
    </row>
    <row r="1191" spans="1:34" hidden="1">
      <c r="A1191" t="s">
        <v>75</v>
      </c>
      <c r="B1191" s="18">
        <v>2044</v>
      </c>
      <c r="C1191" t="s">
        <v>217</v>
      </c>
      <c r="D1191" t="s">
        <v>173</v>
      </c>
      <c r="E1191" s="20" t="s">
        <v>306</v>
      </c>
      <c r="F1191" s="20" t="s">
        <v>307</v>
      </c>
      <c r="G1191" s="20" t="s">
        <v>218</v>
      </c>
      <c r="H1191" s="20" t="s">
        <v>192</v>
      </c>
      <c r="I1191" s="20" t="s">
        <v>167</v>
      </c>
      <c r="J1191" s="15">
        <f>IFERROR(INDEX(Cost_Components!$K$2:$K$27,MATCH(E1191,Cost_Components!$A$2:$A$27,0)),"")</f>
        <v>0.52</v>
      </c>
      <c r="K1191" s="15">
        <f t="shared" si="180"/>
        <v>0.68692307692307697</v>
      </c>
      <c r="L1191" s="15">
        <f>IFERROR(INDEX(Cost_Components!$S$2:$S$27,MATCH(E1191,Cost_Components!$A$2:$A$27,0)),"")</f>
        <v>0.31</v>
      </c>
      <c r="M1191" s="26">
        <f>IFERROR(INDEX(Cost_Components!$L$2:$L$27,MATCH(E1191,Cost_Components!$A$2:$A$27,0)),"")</f>
        <v>1</v>
      </c>
      <c r="N1191" s="27">
        <f>IFERROR(INDEX(Cost_Components!$P$2:$P$27,MATCH(E1191,Cost_Components!$A$2:$A$27,0)),"")</f>
        <v>550.94828900000005</v>
      </c>
      <c r="O1191" s="21">
        <f t="shared" si="181"/>
        <v>208935.78174643824</v>
      </c>
      <c r="P1191" s="21">
        <f t="shared" si="182"/>
        <v>242141.93412075264</v>
      </c>
      <c r="Q1191" s="21">
        <f t="shared" si="183"/>
        <v>41356382.132683612</v>
      </c>
      <c r="R1191" s="21">
        <f t="shared" si="184"/>
        <v>79073646.644170225</v>
      </c>
      <c r="S1191" s="21">
        <f t="shared" si="185"/>
        <v>37717264.511486612</v>
      </c>
      <c r="T1191" s="14">
        <f>IFERROR(INDEX(Cost_Components!$R$2:$R$27,MATCH(E1191,Cost_Components!$A$2:$A$27,0)),"")</f>
        <v>1</v>
      </c>
      <c r="U1191" s="24">
        <f>IFERROR(INDEX(Cost_Components!$Q$2:$Q$27,MATCH(E1191,Cost_Components!$A$2:$A$27,0)),"")</f>
        <v>2023</v>
      </c>
      <c r="V1191" s="28">
        <f>1/(1+Calculation_Assumptions!$B$5)^(B1191-Calculation_Assumptions!$B$2)</f>
        <v>0.57028602681192497</v>
      </c>
      <c r="W1191" s="21">
        <f t="shared" si="186"/>
        <v>23584966.849763822</v>
      </c>
      <c r="X1191" s="21">
        <f t="shared" si="187"/>
        <v>45094595.770233944</v>
      </c>
      <c r="Y1191" s="21">
        <f t="shared" si="188"/>
        <v>21509628.920470122</v>
      </c>
      <c r="Z1191" s="15">
        <f>IFERROR(INDEX(Cost_Components!$T$2:$T$27,MATCH(E1191,Cost_Components!$A$2:$A$27,0)),"")</f>
        <v>0.8</v>
      </c>
      <c r="AA1191" s="24">
        <f>IFERROR(INDEX(Cost_Components!$U$2:$U$27,MATCH(E1191,Cost_Components!$A$2:$A$27,0)),"")</f>
        <v>2025</v>
      </c>
      <c r="AB1191" s="24">
        <f>IFERROR(INDEX(Cost_Components!$V$2:$V$27,MATCH(E1191,Cost_Components!$A$2:$A$27,0)),"")</f>
        <v>2050</v>
      </c>
      <c r="AC1191" s="24">
        <f>IFERROR(INDEX(Cost_Components!$M$2:$M$27,MATCH(E1191,Cost_Components!$A$2:$A$27,0)),"")</f>
        <v>30</v>
      </c>
      <c r="AD1191" s="24">
        <f>IFERROR(INDEX(Cost_Components!$N$2:$N$27,MATCH(E1191,Cost_Components!$A$2:$A$27,0)),"")</f>
        <v>95</v>
      </c>
      <c r="AE1191" s="14" t="str">
        <f>IFERROR(INDEX(Cost_Components!$O$2:$O$27,MATCH(E1191,Cost_Components!$A$2:$A$27,0)),"")</f>
        <v>Both</v>
      </c>
      <c r="AF1191" s="11">
        <v>401799.580281612</v>
      </c>
      <c r="AG1191" s="11">
        <v>465657.565616832</v>
      </c>
      <c r="AH1191" s="21">
        <f t="shared" si="189"/>
        <v>1</v>
      </c>
    </row>
    <row r="1192" spans="1:34" hidden="1">
      <c r="A1192" t="s">
        <v>75</v>
      </c>
      <c r="B1192" s="18">
        <v>2045</v>
      </c>
      <c r="C1192" t="s">
        <v>217</v>
      </c>
      <c r="D1192" t="s">
        <v>173</v>
      </c>
      <c r="E1192" s="20" t="s">
        <v>306</v>
      </c>
      <c r="F1192" s="20" t="s">
        <v>307</v>
      </c>
      <c r="G1192" s="20" t="s">
        <v>218</v>
      </c>
      <c r="H1192" s="20" t="s">
        <v>192</v>
      </c>
      <c r="I1192" s="20" t="s">
        <v>167</v>
      </c>
      <c r="J1192" s="15">
        <f>IFERROR(INDEX(Cost_Components!$K$2:$K$27,MATCH(E1192,Cost_Components!$A$2:$A$27,0)),"")</f>
        <v>0.52</v>
      </c>
      <c r="K1192" s="15">
        <f t="shared" si="180"/>
        <v>0.70576923076923082</v>
      </c>
      <c r="L1192" s="15">
        <f>IFERROR(INDEX(Cost_Components!$S$2:$S$27,MATCH(E1192,Cost_Components!$A$2:$A$27,0)),"")</f>
        <v>0.31</v>
      </c>
      <c r="M1192" s="26">
        <f>IFERROR(INDEX(Cost_Components!$L$2:$L$27,MATCH(E1192,Cost_Components!$A$2:$A$27,0)),"")</f>
        <v>1</v>
      </c>
      <c r="N1192" s="27">
        <f>IFERROR(INDEX(Cost_Components!$P$2:$P$27,MATCH(E1192,Cost_Components!$A$2:$A$27,0)),"")</f>
        <v>550.94828900000005</v>
      </c>
      <c r="O1192" s="21">
        <f t="shared" si="181"/>
        <v>210394.32788199332</v>
      </c>
      <c r="P1192" s="21">
        <f t="shared" si="182"/>
        <v>245387.52487483106</v>
      </c>
      <c r="Q1192" s="21">
        <f t="shared" si="183"/>
        <v>41910709.461237267</v>
      </c>
      <c r="R1192" s="21">
        <f t="shared" si="184"/>
        <v>81810224.905794904</v>
      </c>
      <c r="S1192" s="21">
        <f t="shared" si="185"/>
        <v>39899515.444557637</v>
      </c>
      <c r="T1192" s="14">
        <f>IFERROR(INDEX(Cost_Components!$R$2:$R$27,MATCH(E1192,Cost_Components!$A$2:$A$27,0)),"")</f>
        <v>1</v>
      </c>
      <c r="U1192" s="24">
        <f>IFERROR(INDEX(Cost_Components!$Q$2:$Q$27,MATCH(E1192,Cost_Components!$A$2:$A$27,0)),"")</f>
        <v>2023</v>
      </c>
      <c r="V1192" s="28">
        <f>1/(1+Calculation_Assumptions!$B$5)^(B1192-Calculation_Assumptions!$B$2)</f>
        <v>0.55367575418633497</v>
      </c>
      <c r="W1192" s="21">
        <f t="shared" si="186"/>
        <v>23204943.669434909</v>
      </c>
      <c r="X1192" s="21">
        <f t="shared" si="187"/>
        <v>45296337.974869676</v>
      </c>
      <c r="Y1192" s="21">
        <f t="shared" si="188"/>
        <v>22091394.305434771</v>
      </c>
      <c r="Z1192" s="15">
        <f>IFERROR(INDEX(Cost_Components!$T$2:$T$27,MATCH(E1192,Cost_Components!$A$2:$A$27,0)),"")</f>
        <v>0.8</v>
      </c>
      <c r="AA1192" s="24">
        <f>IFERROR(INDEX(Cost_Components!$U$2:$U$27,MATCH(E1192,Cost_Components!$A$2:$A$27,0)),"")</f>
        <v>2025</v>
      </c>
      <c r="AB1192" s="24">
        <f>IFERROR(INDEX(Cost_Components!$V$2:$V$27,MATCH(E1192,Cost_Components!$A$2:$A$27,0)),"")</f>
        <v>2050</v>
      </c>
      <c r="AC1192" s="24">
        <f>IFERROR(INDEX(Cost_Components!$M$2:$M$27,MATCH(E1192,Cost_Components!$A$2:$A$27,0)),"")</f>
        <v>30</v>
      </c>
      <c r="AD1192" s="24">
        <f>IFERROR(INDEX(Cost_Components!$N$2:$N$27,MATCH(E1192,Cost_Components!$A$2:$A$27,0)),"")</f>
        <v>95</v>
      </c>
      <c r="AE1192" s="14" t="str">
        <f>IFERROR(INDEX(Cost_Components!$O$2:$O$27,MATCH(E1192,Cost_Components!$A$2:$A$27,0)),"")</f>
        <v>Both</v>
      </c>
      <c r="AF1192" s="11">
        <v>404604.47669614101</v>
      </c>
      <c r="AG1192" s="11">
        <v>471899.08629775199</v>
      </c>
      <c r="AH1192" s="21">
        <f t="shared" si="189"/>
        <v>1</v>
      </c>
    </row>
    <row r="1193" spans="1:34" hidden="1">
      <c r="A1193" t="s">
        <v>75</v>
      </c>
      <c r="B1193" s="18">
        <v>2046</v>
      </c>
      <c r="C1193" t="s">
        <v>217</v>
      </c>
      <c r="D1193" t="s">
        <v>173</v>
      </c>
      <c r="E1193" s="20" t="s">
        <v>306</v>
      </c>
      <c r="F1193" s="20" t="s">
        <v>307</v>
      </c>
      <c r="G1193" s="20" t="s">
        <v>218</v>
      </c>
      <c r="H1193" s="20" t="s">
        <v>192</v>
      </c>
      <c r="I1193" s="20" t="s">
        <v>167</v>
      </c>
      <c r="J1193" s="15">
        <f>IFERROR(INDEX(Cost_Components!$K$2:$K$27,MATCH(E1193,Cost_Components!$A$2:$A$27,0)),"")</f>
        <v>0.52</v>
      </c>
      <c r="K1193" s="15">
        <f t="shared" si="180"/>
        <v>0.72461538461538466</v>
      </c>
      <c r="L1193" s="15">
        <f>IFERROR(INDEX(Cost_Components!$S$2:$S$27,MATCH(E1193,Cost_Components!$A$2:$A$27,0)),"")</f>
        <v>0.31</v>
      </c>
      <c r="M1193" s="26">
        <f>IFERROR(INDEX(Cost_Components!$L$2:$L$27,MATCH(E1193,Cost_Components!$A$2:$A$27,0)),"")</f>
        <v>1</v>
      </c>
      <c r="N1193" s="27">
        <f>IFERROR(INDEX(Cost_Components!$P$2:$P$27,MATCH(E1193,Cost_Components!$A$2:$A$27,0)),"")</f>
        <v>550.94828900000005</v>
      </c>
      <c r="O1193" s="21">
        <f t="shared" si="181"/>
        <v>211714.24421372265</v>
      </c>
      <c r="P1193" s="21">
        <f t="shared" si="182"/>
        <v>248468.93011893317</v>
      </c>
      <c r="Q1193" s="21">
        <f t="shared" si="183"/>
        <v>42436994.894792914</v>
      </c>
      <c r="R1193" s="21">
        <f t="shared" si="184"/>
        <v>84521747.516386837</v>
      </c>
      <c r="S1193" s="21">
        <f t="shared" si="185"/>
        <v>42084752.621593922</v>
      </c>
      <c r="T1193" s="14">
        <f>IFERROR(INDEX(Cost_Components!$R$2:$R$27,MATCH(E1193,Cost_Components!$A$2:$A$27,0)),"")</f>
        <v>1</v>
      </c>
      <c r="U1193" s="24">
        <f>IFERROR(INDEX(Cost_Components!$Q$2:$Q$27,MATCH(E1193,Cost_Components!$A$2:$A$27,0)),"")</f>
        <v>2023</v>
      </c>
      <c r="V1193" s="28">
        <f>1/(1+Calculation_Assumptions!$B$5)^(B1193-Calculation_Assumptions!$B$2)</f>
        <v>0.5375492759090631</v>
      </c>
      <c r="W1193" s="21">
        <f t="shared" si="186"/>
        <v>22811975.877452537</v>
      </c>
      <c r="X1193" s="21">
        <f t="shared" si="187"/>
        <v>45434604.176002398</v>
      </c>
      <c r="Y1193" s="21">
        <f t="shared" si="188"/>
        <v>22622628.298549857</v>
      </c>
      <c r="Z1193" s="15">
        <f>IFERROR(INDEX(Cost_Components!$T$2:$T$27,MATCH(E1193,Cost_Components!$A$2:$A$27,0)),"")</f>
        <v>0.8</v>
      </c>
      <c r="AA1193" s="24">
        <f>IFERROR(INDEX(Cost_Components!$U$2:$U$27,MATCH(E1193,Cost_Components!$A$2:$A$27,0)),"")</f>
        <v>2025</v>
      </c>
      <c r="AB1193" s="24">
        <f>IFERROR(INDEX(Cost_Components!$V$2:$V$27,MATCH(E1193,Cost_Components!$A$2:$A$27,0)),"")</f>
        <v>2050</v>
      </c>
      <c r="AC1193" s="24">
        <f>IFERROR(INDEX(Cost_Components!$M$2:$M$27,MATCH(E1193,Cost_Components!$A$2:$A$27,0)),"")</f>
        <v>30</v>
      </c>
      <c r="AD1193" s="24">
        <f>IFERROR(INDEX(Cost_Components!$N$2:$N$27,MATCH(E1193,Cost_Components!$A$2:$A$27,0)),"")</f>
        <v>95</v>
      </c>
      <c r="AE1193" s="14" t="str">
        <f>IFERROR(INDEX(Cost_Components!$O$2:$O$27,MATCH(E1193,Cost_Components!$A$2:$A$27,0)),"")</f>
        <v>Both</v>
      </c>
      <c r="AF1193" s="11">
        <v>407142.777334082</v>
      </c>
      <c r="AG1193" s="11">
        <v>477824.86561333301</v>
      </c>
      <c r="AH1193" s="21">
        <f t="shared" si="189"/>
        <v>1</v>
      </c>
    </row>
    <row r="1194" spans="1:34" hidden="1">
      <c r="A1194" t="s">
        <v>75</v>
      </c>
      <c r="B1194" s="18">
        <v>2047</v>
      </c>
      <c r="C1194" t="s">
        <v>217</v>
      </c>
      <c r="D1194" t="s">
        <v>173</v>
      </c>
      <c r="E1194" s="20" t="s">
        <v>306</v>
      </c>
      <c r="F1194" s="20" t="s">
        <v>307</v>
      </c>
      <c r="G1194" s="20" t="s">
        <v>218</v>
      </c>
      <c r="H1194" s="20" t="s">
        <v>192</v>
      </c>
      <c r="I1194" s="20" t="s">
        <v>167</v>
      </c>
      <c r="J1194" s="15">
        <f>IFERROR(INDEX(Cost_Components!$K$2:$K$27,MATCH(E1194,Cost_Components!$A$2:$A$27,0)),"")</f>
        <v>0.52</v>
      </c>
      <c r="K1194" s="15">
        <f t="shared" si="180"/>
        <v>0.74346153846153851</v>
      </c>
      <c r="L1194" s="15">
        <f>IFERROR(INDEX(Cost_Components!$S$2:$S$27,MATCH(E1194,Cost_Components!$A$2:$A$27,0)),"")</f>
        <v>0.31</v>
      </c>
      <c r="M1194" s="26">
        <f>IFERROR(INDEX(Cost_Components!$L$2:$L$27,MATCH(E1194,Cost_Components!$A$2:$A$27,0)),"")</f>
        <v>1</v>
      </c>
      <c r="N1194" s="27">
        <f>IFERROR(INDEX(Cost_Components!$P$2:$P$27,MATCH(E1194,Cost_Components!$A$2:$A$27,0)),"")</f>
        <v>550.94828900000005</v>
      </c>
      <c r="O1194" s="21">
        <f t="shared" si="181"/>
        <v>212855.48502400055</v>
      </c>
      <c r="P1194" s="21">
        <f t="shared" si="182"/>
        <v>251335.27065977355</v>
      </c>
      <c r="Q1194" s="21">
        <f t="shared" si="183"/>
        <v>42926548.573959783</v>
      </c>
      <c r="R1194" s="21">
        <f t="shared" si="184"/>
        <v>87187493.1087825</v>
      </c>
      <c r="S1194" s="21">
        <f t="shared" si="185"/>
        <v>44260944.534822717</v>
      </c>
      <c r="T1194" s="14">
        <f>IFERROR(INDEX(Cost_Components!$R$2:$R$27,MATCH(E1194,Cost_Components!$A$2:$A$27,0)),"")</f>
        <v>1</v>
      </c>
      <c r="U1194" s="24">
        <f>IFERROR(INDEX(Cost_Components!$Q$2:$Q$27,MATCH(E1194,Cost_Components!$A$2:$A$27,0)),"")</f>
        <v>2023</v>
      </c>
      <c r="V1194" s="28">
        <f>1/(1+Calculation_Assumptions!$B$5)^(B1194-Calculation_Assumptions!$B$2)</f>
        <v>0.52189250088258554</v>
      </c>
      <c r="W1194" s="21">
        <f t="shared" si="186"/>
        <v>22403043.789521657</v>
      </c>
      <c r="X1194" s="21">
        <f t="shared" si="187"/>
        <v>45502498.824225694</v>
      </c>
      <c r="Y1194" s="21">
        <f t="shared" si="188"/>
        <v>23099455.034704033</v>
      </c>
      <c r="Z1194" s="15">
        <f>IFERROR(INDEX(Cost_Components!$T$2:$T$27,MATCH(E1194,Cost_Components!$A$2:$A$27,0)),"")</f>
        <v>0.8</v>
      </c>
      <c r="AA1194" s="24">
        <f>IFERROR(INDEX(Cost_Components!$U$2:$U$27,MATCH(E1194,Cost_Components!$A$2:$A$27,0)),"")</f>
        <v>2025</v>
      </c>
      <c r="AB1194" s="24">
        <f>IFERROR(INDEX(Cost_Components!$V$2:$V$27,MATCH(E1194,Cost_Components!$A$2:$A$27,0)),"")</f>
        <v>2050</v>
      </c>
      <c r="AC1194" s="24">
        <f>IFERROR(INDEX(Cost_Components!$M$2:$M$27,MATCH(E1194,Cost_Components!$A$2:$A$27,0)),"")</f>
        <v>30</v>
      </c>
      <c r="AD1194" s="24">
        <f>IFERROR(INDEX(Cost_Components!$N$2:$N$27,MATCH(E1194,Cost_Components!$A$2:$A$27,0)),"")</f>
        <v>95</v>
      </c>
      <c r="AE1194" s="14" t="str">
        <f>IFERROR(INDEX(Cost_Components!$O$2:$O$27,MATCH(E1194,Cost_Components!$A$2:$A$27,0)),"")</f>
        <v>Both</v>
      </c>
      <c r="AF1194" s="11">
        <v>409337.47120000102</v>
      </c>
      <c r="AG1194" s="11">
        <v>483337.05896110297</v>
      </c>
      <c r="AH1194" s="21">
        <f t="shared" si="189"/>
        <v>1</v>
      </c>
    </row>
    <row r="1195" spans="1:34" hidden="1">
      <c r="A1195" t="s">
        <v>75</v>
      </c>
      <c r="B1195" s="18">
        <v>2048</v>
      </c>
      <c r="C1195" t="s">
        <v>217</v>
      </c>
      <c r="D1195" t="s">
        <v>173</v>
      </c>
      <c r="E1195" s="20" t="s">
        <v>306</v>
      </c>
      <c r="F1195" s="20" t="s">
        <v>307</v>
      </c>
      <c r="G1195" s="20" t="s">
        <v>218</v>
      </c>
      <c r="H1195" s="20" t="s">
        <v>192</v>
      </c>
      <c r="I1195" s="20" t="s">
        <v>167</v>
      </c>
      <c r="J1195" s="15">
        <f>IFERROR(INDEX(Cost_Components!$K$2:$K$27,MATCH(E1195,Cost_Components!$A$2:$A$27,0)),"")</f>
        <v>0.52</v>
      </c>
      <c r="K1195" s="15">
        <f t="shared" si="180"/>
        <v>0.76230769230769235</v>
      </c>
      <c r="L1195" s="15">
        <f>IFERROR(INDEX(Cost_Components!$S$2:$S$27,MATCH(E1195,Cost_Components!$A$2:$A$27,0)),"")</f>
        <v>0.31</v>
      </c>
      <c r="M1195" s="26">
        <f>IFERROR(INDEX(Cost_Components!$L$2:$L$27,MATCH(E1195,Cost_Components!$A$2:$A$27,0)),"")</f>
        <v>1</v>
      </c>
      <c r="N1195" s="27">
        <f>IFERROR(INDEX(Cost_Components!$P$2:$P$27,MATCH(E1195,Cost_Components!$A$2:$A$27,0)),"")</f>
        <v>550.94828900000005</v>
      </c>
      <c r="O1195" s="21">
        <f t="shared" si="181"/>
        <v>213879.64423585605</v>
      </c>
      <c r="P1195" s="21">
        <f t="shared" si="182"/>
        <v>254044.48220505691</v>
      </c>
      <c r="Q1195" s="21">
        <f t="shared" si="183"/>
        <v>43389265.568237789</v>
      </c>
      <c r="R1195" s="21">
        <f t="shared" si="184"/>
        <v>89827764.944061965</v>
      </c>
      <c r="S1195" s="21">
        <f t="shared" si="185"/>
        <v>46438499.375824176</v>
      </c>
      <c r="T1195" s="14">
        <f>IFERROR(INDEX(Cost_Components!$R$2:$R$27,MATCH(E1195,Cost_Components!$A$2:$A$27,0)),"")</f>
        <v>1</v>
      </c>
      <c r="U1195" s="24">
        <f>IFERROR(INDEX(Cost_Components!$Q$2:$Q$27,MATCH(E1195,Cost_Components!$A$2:$A$27,0)),"")</f>
        <v>2023</v>
      </c>
      <c r="V1195" s="28">
        <f>1/(1+Calculation_Assumptions!$B$5)^(B1195-Calculation_Assumptions!$B$2)</f>
        <v>0.50669174842969467</v>
      </c>
      <c r="W1195" s="21">
        <f t="shared" si="186"/>
        <v>21984982.833850756</v>
      </c>
      <c r="X1195" s="21">
        <f t="shared" si="187"/>
        <v>45514987.277038388</v>
      </c>
      <c r="Y1195" s="21">
        <f t="shared" si="188"/>
        <v>23530004.443187635</v>
      </c>
      <c r="Z1195" s="15">
        <f>IFERROR(INDEX(Cost_Components!$T$2:$T$27,MATCH(E1195,Cost_Components!$A$2:$A$27,0)),"")</f>
        <v>0.8</v>
      </c>
      <c r="AA1195" s="24">
        <f>IFERROR(INDEX(Cost_Components!$U$2:$U$27,MATCH(E1195,Cost_Components!$A$2:$A$27,0)),"")</f>
        <v>2025</v>
      </c>
      <c r="AB1195" s="24">
        <f>IFERROR(INDEX(Cost_Components!$V$2:$V$27,MATCH(E1195,Cost_Components!$A$2:$A$27,0)),"")</f>
        <v>2050</v>
      </c>
      <c r="AC1195" s="24">
        <f>IFERROR(INDEX(Cost_Components!$M$2:$M$27,MATCH(E1195,Cost_Components!$A$2:$A$27,0)),"")</f>
        <v>30</v>
      </c>
      <c r="AD1195" s="24">
        <f>IFERROR(INDEX(Cost_Components!$N$2:$N$27,MATCH(E1195,Cost_Components!$A$2:$A$27,0)),"")</f>
        <v>95</v>
      </c>
      <c r="AE1195" s="14" t="str">
        <f>IFERROR(INDEX(Cost_Components!$O$2:$O$27,MATCH(E1195,Cost_Components!$A$2:$A$27,0)),"")</f>
        <v>Both</v>
      </c>
      <c r="AF1195" s="11">
        <v>411307.00814587699</v>
      </c>
      <c r="AG1195" s="11">
        <v>488547.08116357098</v>
      </c>
      <c r="AH1195" s="21">
        <f t="shared" si="189"/>
        <v>1</v>
      </c>
    </row>
    <row r="1196" spans="1:34" hidden="1">
      <c r="A1196" t="s">
        <v>75</v>
      </c>
      <c r="B1196" s="18">
        <v>2049</v>
      </c>
      <c r="C1196" t="s">
        <v>217</v>
      </c>
      <c r="D1196" t="s">
        <v>173</v>
      </c>
      <c r="E1196" s="20" t="s">
        <v>306</v>
      </c>
      <c r="F1196" s="20" t="s">
        <v>307</v>
      </c>
      <c r="G1196" s="20" t="s">
        <v>218</v>
      </c>
      <c r="H1196" s="20" t="s">
        <v>192</v>
      </c>
      <c r="I1196" s="20" t="s">
        <v>167</v>
      </c>
      <c r="J1196" s="15">
        <f>IFERROR(INDEX(Cost_Components!$K$2:$K$27,MATCH(E1196,Cost_Components!$A$2:$A$27,0)),"")</f>
        <v>0.52</v>
      </c>
      <c r="K1196" s="15">
        <f t="shared" si="180"/>
        <v>0.7811538461538462</v>
      </c>
      <c r="L1196" s="15">
        <f>IFERROR(INDEX(Cost_Components!$S$2:$S$27,MATCH(E1196,Cost_Components!$A$2:$A$27,0)),"")</f>
        <v>0.31</v>
      </c>
      <c r="M1196" s="26">
        <f>IFERROR(INDEX(Cost_Components!$L$2:$L$27,MATCH(E1196,Cost_Components!$A$2:$A$27,0)),"")</f>
        <v>1</v>
      </c>
      <c r="N1196" s="27">
        <f>IFERROR(INDEX(Cost_Components!$P$2:$P$27,MATCH(E1196,Cost_Components!$A$2:$A$27,0)),"")</f>
        <v>550.94828900000005</v>
      </c>
      <c r="O1196" s="21">
        <f t="shared" si="181"/>
        <v>214802.13305421159</v>
      </c>
      <c r="P1196" s="21">
        <f t="shared" si="182"/>
        <v>256622.29267286614</v>
      </c>
      <c r="Q1196" s="21">
        <f t="shared" si="183"/>
        <v>43829540.05088558</v>
      </c>
      <c r="R1196" s="21">
        <f t="shared" si="184"/>
        <v>92445548.560618952</v>
      </c>
      <c r="S1196" s="21">
        <f t="shared" si="185"/>
        <v>48616008.509733371</v>
      </c>
      <c r="T1196" s="14">
        <f>IFERROR(INDEX(Cost_Components!$R$2:$R$27,MATCH(E1196,Cost_Components!$A$2:$A$27,0)),"")</f>
        <v>1</v>
      </c>
      <c r="U1196" s="24">
        <f>IFERROR(INDEX(Cost_Components!$Q$2:$Q$27,MATCH(E1196,Cost_Components!$A$2:$A$27,0)),"")</f>
        <v>2023</v>
      </c>
      <c r="V1196" s="28">
        <f>1/(1+Calculation_Assumptions!$B$5)^(B1196-Calculation_Assumptions!$B$2)</f>
        <v>0.49193373633950943</v>
      </c>
      <c r="W1196" s="21">
        <f t="shared" si="186"/>
        <v>21561229.399274316</v>
      </c>
      <c r="X1196" s="21">
        <f t="shared" si="187"/>
        <v>45477084.111380838</v>
      </c>
      <c r="Y1196" s="21">
        <f t="shared" si="188"/>
        <v>23915854.712106522</v>
      </c>
      <c r="Z1196" s="15">
        <f>IFERROR(INDEX(Cost_Components!$T$2:$T$27,MATCH(E1196,Cost_Components!$A$2:$A$27,0)),"")</f>
        <v>0.8</v>
      </c>
      <c r="AA1196" s="24">
        <f>IFERROR(INDEX(Cost_Components!$U$2:$U$27,MATCH(E1196,Cost_Components!$A$2:$A$27,0)),"")</f>
        <v>2025</v>
      </c>
      <c r="AB1196" s="24">
        <f>IFERROR(INDEX(Cost_Components!$V$2:$V$27,MATCH(E1196,Cost_Components!$A$2:$A$27,0)),"")</f>
        <v>2050</v>
      </c>
      <c r="AC1196" s="24">
        <f>IFERROR(INDEX(Cost_Components!$M$2:$M$27,MATCH(E1196,Cost_Components!$A$2:$A$27,0)),"")</f>
        <v>30</v>
      </c>
      <c r="AD1196" s="24">
        <f>IFERROR(INDEX(Cost_Components!$N$2:$N$27,MATCH(E1196,Cost_Components!$A$2:$A$27,0)),"")</f>
        <v>95</v>
      </c>
      <c r="AE1196" s="14" t="str">
        <f>IFERROR(INDEX(Cost_Components!$O$2:$O$27,MATCH(E1196,Cost_Components!$A$2:$A$27,0)),"")</f>
        <v>Both</v>
      </c>
      <c r="AF1196" s="11">
        <v>413081.02510425303</v>
      </c>
      <c r="AG1196" s="11">
        <v>493504.40898628102</v>
      </c>
      <c r="AH1196" s="21">
        <f t="shared" si="189"/>
        <v>1</v>
      </c>
    </row>
    <row r="1197" spans="1:34" hidden="1">
      <c r="A1197" t="s">
        <v>75</v>
      </c>
      <c r="B1197" s="18">
        <v>2050</v>
      </c>
      <c r="C1197" t="s">
        <v>217</v>
      </c>
      <c r="D1197" t="s">
        <v>173</v>
      </c>
      <c r="E1197" s="20" t="s">
        <v>306</v>
      </c>
      <c r="F1197" s="20" t="s">
        <v>307</v>
      </c>
      <c r="G1197" s="20" t="s">
        <v>218</v>
      </c>
      <c r="H1197" s="20" t="s">
        <v>192</v>
      </c>
      <c r="I1197" s="20" t="s">
        <v>167</v>
      </c>
      <c r="J1197" s="15">
        <f>IFERROR(INDEX(Cost_Components!$K$2:$K$27,MATCH(E1197,Cost_Components!$A$2:$A$27,0)),"")</f>
        <v>0.52</v>
      </c>
      <c r="K1197" s="15">
        <f t="shared" si="180"/>
        <v>0.8</v>
      </c>
      <c r="L1197" s="15">
        <f>IFERROR(INDEX(Cost_Components!$S$2:$S$27,MATCH(E1197,Cost_Components!$A$2:$A$27,0)),"")</f>
        <v>0.31</v>
      </c>
      <c r="M1197" s="26">
        <f>IFERROR(INDEX(Cost_Components!$L$2:$L$27,MATCH(E1197,Cost_Components!$A$2:$A$27,0)),"")</f>
        <v>1</v>
      </c>
      <c r="N1197" s="27">
        <f>IFERROR(INDEX(Cost_Components!$P$2:$P$27,MATCH(E1197,Cost_Components!$A$2:$A$27,0)),"")</f>
        <v>550.94828900000005</v>
      </c>
      <c r="O1197" s="21">
        <f t="shared" si="181"/>
        <v>215620.15647744836</v>
      </c>
      <c r="P1197" s="21">
        <f t="shared" si="182"/>
        <v>259067.10641787612</v>
      </c>
      <c r="Q1197" s="21">
        <f t="shared" si="183"/>
        <v>44247099.495304033</v>
      </c>
      <c r="R1197" s="21">
        <f t="shared" si="184"/>
        <v>95036445.028129965</v>
      </c>
      <c r="S1197" s="21">
        <f t="shared" si="185"/>
        <v>50789345.532825932</v>
      </c>
      <c r="T1197" s="14">
        <f>IFERROR(INDEX(Cost_Components!$R$2:$R$27,MATCH(E1197,Cost_Components!$A$2:$A$27,0)),"")</f>
        <v>1</v>
      </c>
      <c r="U1197" s="24">
        <f>IFERROR(INDEX(Cost_Components!$Q$2:$Q$27,MATCH(E1197,Cost_Components!$A$2:$A$27,0)),"")</f>
        <v>2023</v>
      </c>
      <c r="V1197" s="28">
        <f>1/(1+Calculation_Assumptions!$B$5)^(B1197-Calculation_Assumptions!$B$2)</f>
        <v>0.47760556926165965</v>
      </c>
      <c r="W1197" s="21">
        <f t="shared" si="186"/>
        <v>21132661.142631978</v>
      </c>
      <c r="X1197" s="21">
        <f t="shared" si="187"/>
        <v>45389935.428264439</v>
      </c>
      <c r="Y1197" s="21">
        <f t="shared" si="188"/>
        <v>24257274.285632461</v>
      </c>
      <c r="Z1197" s="15">
        <f>IFERROR(INDEX(Cost_Components!$T$2:$T$27,MATCH(E1197,Cost_Components!$A$2:$A$27,0)),"")</f>
        <v>0.8</v>
      </c>
      <c r="AA1197" s="24">
        <f>IFERROR(INDEX(Cost_Components!$U$2:$U$27,MATCH(E1197,Cost_Components!$A$2:$A$27,0)),"")</f>
        <v>2025</v>
      </c>
      <c r="AB1197" s="24">
        <f>IFERROR(INDEX(Cost_Components!$V$2:$V$27,MATCH(E1197,Cost_Components!$A$2:$A$27,0)),"")</f>
        <v>2050</v>
      </c>
      <c r="AC1197" s="24">
        <f>IFERROR(INDEX(Cost_Components!$M$2:$M$27,MATCH(E1197,Cost_Components!$A$2:$A$27,0)),"")</f>
        <v>30</v>
      </c>
      <c r="AD1197" s="24">
        <f>IFERROR(INDEX(Cost_Components!$N$2:$N$27,MATCH(E1197,Cost_Components!$A$2:$A$27,0)),"")</f>
        <v>95</v>
      </c>
      <c r="AE1197" s="14" t="str">
        <f>IFERROR(INDEX(Cost_Components!$O$2:$O$27,MATCH(E1197,Cost_Components!$A$2:$A$27,0)),"")</f>
        <v>Both</v>
      </c>
      <c r="AF1197" s="11">
        <v>414654.14707201603</v>
      </c>
      <c r="AG1197" s="11">
        <v>498205.97388053098</v>
      </c>
      <c r="AH1197" s="21">
        <f t="shared" si="189"/>
        <v>1</v>
      </c>
    </row>
    <row r="1198" spans="1:34" hidden="1">
      <c r="A1198" t="s">
        <v>75</v>
      </c>
      <c r="B1198" s="18">
        <v>2025</v>
      </c>
      <c r="C1198" t="s">
        <v>217</v>
      </c>
      <c r="D1198" t="s">
        <v>173</v>
      </c>
      <c r="E1198" s="20" t="s">
        <v>308</v>
      </c>
      <c r="F1198" s="20" t="s">
        <v>309</v>
      </c>
      <c r="G1198" s="20" t="s">
        <v>218</v>
      </c>
      <c r="H1198" s="20" t="s">
        <v>192</v>
      </c>
      <c r="I1198" s="20" t="s">
        <v>264</v>
      </c>
      <c r="J1198" s="15">
        <f>IFERROR(INDEX(Cost_Components!$K$2:$K$27,MATCH(E1198,Cost_Components!$A$2:$A$27,0)),"")</f>
        <v>0.5</v>
      </c>
      <c r="K1198" s="15">
        <f t="shared" si="180"/>
        <v>0.32884615384615384</v>
      </c>
      <c r="L1198" s="15">
        <f>IFERROR(INDEX(Cost_Components!$S$2:$S$27,MATCH(E1198,Cost_Components!$A$2:$A$27,0)),"")</f>
        <v>0.31</v>
      </c>
      <c r="M1198" s="26">
        <f>IFERROR(INDEX(Cost_Components!$L$2:$L$27,MATCH(E1198,Cost_Components!$A$2:$A$27,0)),"")</f>
        <v>1</v>
      </c>
      <c r="N1198" s="27">
        <f>IFERROR(INDEX(Cost_Components!$P$2:$P$27,MATCH(E1198,Cost_Components!$A$2:$A$27,0)),"")</f>
        <v>35.362648999999998</v>
      </c>
      <c r="O1198" s="21">
        <f t="shared" si="181"/>
        <v>489950.46099363751</v>
      </c>
      <c r="P1198" s="21">
        <f t="shared" si="182"/>
        <v>491166.00779476098</v>
      </c>
      <c r="Q1198" s="21">
        <f t="shared" si="183"/>
        <v>5384368.6516569927</v>
      </c>
      <c r="R1198" s="21">
        <f t="shared" si="184"/>
        <v>5697570.7628760748</v>
      </c>
      <c r="S1198" s="21">
        <f t="shared" si="185"/>
        <v>313202.11121908203</v>
      </c>
      <c r="T1198" s="14">
        <f>IFERROR(INDEX(Cost_Components!$R$2:$R$27,MATCH(E1198,Cost_Components!$A$2:$A$27,0)),"")</f>
        <v>1</v>
      </c>
      <c r="U1198" s="24">
        <f>IFERROR(INDEX(Cost_Components!$Q$2:$Q$27,MATCH(E1198,Cost_Components!$A$2:$A$27,0)),"")</f>
        <v>2023</v>
      </c>
      <c r="V1198" s="28">
        <f>1/(1+Calculation_Assumptions!$B$5)^(B1198-Calculation_Assumptions!$B$2)</f>
        <v>1</v>
      </c>
      <c r="W1198" s="21">
        <f t="shared" si="186"/>
        <v>5384368.6516569927</v>
      </c>
      <c r="X1198" s="21">
        <f t="shared" si="187"/>
        <v>5697570.7628760748</v>
      </c>
      <c r="Y1198" s="21">
        <f t="shared" si="188"/>
        <v>313202.11121908203</v>
      </c>
      <c r="Z1198" s="15">
        <f>IFERROR(INDEX(Cost_Components!$T$2:$T$27,MATCH(E1198,Cost_Components!$A$2:$A$27,0)),"")</f>
        <v>0.8</v>
      </c>
      <c r="AA1198" s="24">
        <f>IFERROR(INDEX(Cost_Components!$U$2:$U$27,MATCH(E1198,Cost_Components!$A$2:$A$27,0)),"")</f>
        <v>2025</v>
      </c>
      <c r="AB1198" s="24">
        <f>IFERROR(INDEX(Cost_Components!$V$2:$V$27,MATCH(E1198,Cost_Components!$A$2:$A$27,0)),"")</f>
        <v>2050</v>
      </c>
      <c r="AC1198" s="24">
        <f>IFERROR(INDEX(Cost_Components!$M$2:$M$27,MATCH(E1198,Cost_Components!$A$2:$A$27,0)),"")</f>
        <v>30</v>
      </c>
      <c r="AD1198" s="24">
        <f>IFERROR(INDEX(Cost_Components!$N$2:$N$27,MATCH(E1198,Cost_Components!$A$2:$A$27,0)),"")</f>
        <v>95</v>
      </c>
      <c r="AE1198" s="14" t="str">
        <f>IFERROR(INDEX(Cost_Components!$O$2:$O$27,MATCH(E1198,Cost_Components!$A$2:$A$27,0)),"")</f>
        <v>Both</v>
      </c>
      <c r="AF1198" s="11">
        <v>979900.92198727501</v>
      </c>
      <c r="AG1198" s="11">
        <v>982332.01558952197</v>
      </c>
      <c r="AH1198" s="21">
        <f t="shared" si="189"/>
        <v>1</v>
      </c>
    </row>
    <row r="1199" spans="1:34" hidden="1">
      <c r="A1199" t="s">
        <v>75</v>
      </c>
      <c r="B1199" s="18">
        <v>2026</v>
      </c>
      <c r="C1199" t="s">
        <v>217</v>
      </c>
      <c r="D1199" t="s">
        <v>173</v>
      </c>
      <c r="E1199" s="20" t="s">
        <v>308</v>
      </c>
      <c r="F1199" s="20" t="s">
        <v>309</v>
      </c>
      <c r="G1199" s="20" t="s">
        <v>218</v>
      </c>
      <c r="H1199" s="20" t="s">
        <v>192</v>
      </c>
      <c r="I1199" s="20" t="s">
        <v>264</v>
      </c>
      <c r="J1199" s="15">
        <f>IFERROR(INDEX(Cost_Components!$K$2:$K$27,MATCH(E1199,Cost_Components!$A$2:$A$27,0)),"")</f>
        <v>0.5</v>
      </c>
      <c r="K1199" s="15">
        <f t="shared" si="180"/>
        <v>0.34769230769230769</v>
      </c>
      <c r="L1199" s="15">
        <f>IFERROR(INDEX(Cost_Components!$S$2:$S$27,MATCH(E1199,Cost_Components!$A$2:$A$27,0)),"")</f>
        <v>0.31</v>
      </c>
      <c r="M1199" s="26">
        <f>IFERROR(INDEX(Cost_Components!$L$2:$L$27,MATCH(E1199,Cost_Components!$A$2:$A$27,0)),"")</f>
        <v>1</v>
      </c>
      <c r="N1199" s="27">
        <f>IFERROR(INDEX(Cost_Components!$P$2:$P$27,MATCH(E1199,Cost_Components!$A$2:$A$27,0)),"")</f>
        <v>35.362648999999998</v>
      </c>
      <c r="O1199" s="21">
        <f t="shared" si="181"/>
        <v>496929.06924710801</v>
      </c>
      <c r="P1199" s="21">
        <f t="shared" si="182"/>
        <v>500079.81204225501</v>
      </c>
      <c r="Q1199" s="21">
        <f t="shared" si="183"/>
        <v>5482085.5282232324</v>
      </c>
      <c r="R1199" s="21">
        <f t="shared" si="184"/>
        <v>6109902.4389725709</v>
      </c>
      <c r="S1199" s="21">
        <f t="shared" si="185"/>
        <v>627816.91074933857</v>
      </c>
      <c r="T1199" s="14">
        <f>IFERROR(INDEX(Cost_Components!$R$2:$R$27,MATCH(E1199,Cost_Components!$A$2:$A$27,0)),"")</f>
        <v>1</v>
      </c>
      <c r="U1199" s="24">
        <f>IFERROR(INDEX(Cost_Components!$Q$2:$Q$27,MATCH(E1199,Cost_Components!$A$2:$A$27,0)),"")</f>
        <v>2023</v>
      </c>
      <c r="V1199" s="28">
        <f>1/(1+Calculation_Assumptions!$B$5)^(B1199-Calculation_Assumptions!$B$2)</f>
        <v>0.970873786407767</v>
      </c>
      <c r="W1199" s="21">
        <f t="shared" si="186"/>
        <v>5322413.1341973133</v>
      </c>
      <c r="X1199" s="21">
        <f t="shared" si="187"/>
        <v>5931944.1155073503</v>
      </c>
      <c r="Y1199" s="21">
        <f t="shared" si="188"/>
        <v>609530.98131003743</v>
      </c>
      <c r="Z1199" s="15">
        <f>IFERROR(INDEX(Cost_Components!$T$2:$T$27,MATCH(E1199,Cost_Components!$A$2:$A$27,0)),"")</f>
        <v>0.8</v>
      </c>
      <c r="AA1199" s="24">
        <f>IFERROR(INDEX(Cost_Components!$U$2:$U$27,MATCH(E1199,Cost_Components!$A$2:$A$27,0)),"")</f>
        <v>2025</v>
      </c>
      <c r="AB1199" s="24">
        <f>IFERROR(INDEX(Cost_Components!$V$2:$V$27,MATCH(E1199,Cost_Components!$A$2:$A$27,0)),"")</f>
        <v>2050</v>
      </c>
      <c r="AC1199" s="24">
        <f>IFERROR(INDEX(Cost_Components!$M$2:$M$27,MATCH(E1199,Cost_Components!$A$2:$A$27,0)),"")</f>
        <v>30</v>
      </c>
      <c r="AD1199" s="24">
        <f>IFERROR(INDEX(Cost_Components!$N$2:$N$27,MATCH(E1199,Cost_Components!$A$2:$A$27,0)),"")</f>
        <v>95</v>
      </c>
      <c r="AE1199" s="14" t="str">
        <f>IFERROR(INDEX(Cost_Components!$O$2:$O$27,MATCH(E1199,Cost_Components!$A$2:$A$27,0)),"")</f>
        <v>Both</v>
      </c>
      <c r="AF1199" s="11">
        <v>993858.13849421602</v>
      </c>
      <c r="AG1199" s="11">
        <v>1000159.62408451</v>
      </c>
      <c r="AH1199" s="21">
        <f t="shared" si="189"/>
        <v>1</v>
      </c>
    </row>
    <row r="1200" spans="1:34" hidden="1">
      <c r="A1200" t="s">
        <v>75</v>
      </c>
      <c r="B1200" s="18">
        <v>2027</v>
      </c>
      <c r="C1200" t="s">
        <v>217</v>
      </c>
      <c r="D1200" t="s">
        <v>173</v>
      </c>
      <c r="E1200" s="20" t="s">
        <v>308</v>
      </c>
      <c r="F1200" s="20" t="s">
        <v>309</v>
      </c>
      <c r="G1200" s="20" t="s">
        <v>218</v>
      </c>
      <c r="H1200" s="20" t="s">
        <v>192</v>
      </c>
      <c r="I1200" s="20" t="s">
        <v>264</v>
      </c>
      <c r="J1200" s="15">
        <f>IFERROR(INDEX(Cost_Components!$K$2:$K$27,MATCH(E1200,Cost_Components!$A$2:$A$27,0)),"")</f>
        <v>0.5</v>
      </c>
      <c r="K1200" s="15">
        <f t="shared" si="180"/>
        <v>0.36653846153846154</v>
      </c>
      <c r="L1200" s="15">
        <f>IFERROR(INDEX(Cost_Components!$S$2:$S$27,MATCH(E1200,Cost_Components!$A$2:$A$27,0)),"")</f>
        <v>0.31</v>
      </c>
      <c r="M1200" s="26">
        <f>IFERROR(INDEX(Cost_Components!$L$2:$L$27,MATCH(E1200,Cost_Components!$A$2:$A$27,0)),"")</f>
        <v>1</v>
      </c>
      <c r="N1200" s="27">
        <f>IFERROR(INDEX(Cost_Components!$P$2:$P$27,MATCH(E1200,Cost_Components!$A$2:$A$27,0)),"")</f>
        <v>35.362648999999998</v>
      </c>
      <c r="O1200" s="21">
        <f t="shared" si="181"/>
        <v>503337.79775915999</v>
      </c>
      <c r="P1200" s="21">
        <f t="shared" si="182"/>
        <v>508929.77884367498</v>
      </c>
      <c r="Q1200" s="21">
        <f t="shared" si="183"/>
        <v>5579102.5918179164</v>
      </c>
      <c r="R1200" s="21">
        <f t="shared" si="184"/>
        <v>6524149.2502586236</v>
      </c>
      <c r="S1200" s="21">
        <f t="shared" si="185"/>
        <v>945046.65844070725</v>
      </c>
      <c r="T1200" s="14">
        <f>IFERROR(INDEX(Cost_Components!$R$2:$R$27,MATCH(E1200,Cost_Components!$A$2:$A$27,0)),"")</f>
        <v>1</v>
      </c>
      <c r="U1200" s="24">
        <f>IFERROR(INDEX(Cost_Components!$Q$2:$Q$27,MATCH(E1200,Cost_Components!$A$2:$A$27,0)),"")</f>
        <v>2023</v>
      </c>
      <c r="V1200" s="28">
        <f>1/(1+Calculation_Assumptions!$B$5)^(B1200-Calculation_Assumptions!$B$2)</f>
        <v>0.94259590913375435</v>
      </c>
      <c r="W1200" s="21">
        <f t="shared" si="186"/>
        <v>5258839.279685094</v>
      </c>
      <c r="X1200" s="21">
        <f t="shared" si="187"/>
        <v>6149636.3938718289</v>
      </c>
      <c r="Y1200" s="21">
        <f t="shared" si="188"/>
        <v>890797.11418673513</v>
      </c>
      <c r="Z1200" s="15">
        <f>IFERROR(INDEX(Cost_Components!$T$2:$T$27,MATCH(E1200,Cost_Components!$A$2:$A$27,0)),"")</f>
        <v>0.8</v>
      </c>
      <c r="AA1200" s="24">
        <f>IFERROR(INDEX(Cost_Components!$U$2:$U$27,MATCH(E1200,Cost_Components!$A$2:$A$27,0)),"")</f>
        <v>2025</v>
      </c>
      <c r="AB1200" s="24">
        <f>IFERROR(INDEX(Cost_Components!$V$2:$V$27,MATCH(E1200,Cost_Components!$A$2:$A$27,0)),"")</f>
        <v>2050</v>
      </c>
      <c r="AC1200" s="24">
        <f>IFERROR(INDEX(Cost_Components!$M$2:$M$27,MATCH(E1200,Cost_Components!$A$2:$A$27,0)),"")</f>
        <v>30</v>
      </c>
      <c r="AD1200" s="24">
        <f>IFERROR(INDEX(Cost_Components!$N$2:$N$27,MATCH(E1200,Cost_Components!$A$2:$A$27,0)),"")</f>
        <v>95</v>
      </c>
      <c r="AE1200" s="14" t="str">
        <f>IFERROR(INDEX(Cost_Components!$O$2:$O$27,MATCH(E1200,Cost_Components!$A$2:$A$27,0)),"")</f>
        <v>Both</v>
      </c>
      <c r="AF1200" s="11">
        <v>1006675.59551832</v>
      </c>
      <c r="AG1200" s="11">
        <v>1017859.55768735</v>
      </c>
      <c r="AH1200" s="21">
        <f t="shared" si="189"/>
        <v>1</v>
      </c>
    </row>
    <row r="1201" spans="1:34" hidden="1">
      <c r="A1201" t="s">
        <v>75</v>
      </c>
      <c r="B1201" s="18">
        <v>2028</v>
      </c>
      <c r="C1201" t="s">
        <v>217</v>
      </c>
      <c r="D1201" t="s">
        <v>173</v>
      </c>
      <c r="E1201" s="20" t="s">
        <v>308</v>
      </c>
      <c r="F1201" s="20" t="s">
        <v>309</v>
      </c>
      <c r="G1201" s="20" t="s">
        <v>218</v>
      </c>
      <c r="H1201" s="20" t="s">
        <v>192</v>
      </c>
      <c r="I1201" s="20" t="s">
        <v>264</v>
      </c>
      <c r="J1201" s="15">
        <f>IFERROR(INDEX(Cost_Components!$K$2:$K$27,MATCH(E1201,Cost_Components!$A$2:$A$27,0)),"")</f>
        <v>0.5</v>
      </c>
      <c r="K1201" s="15">
        <f t="shared" si="180"/>
        <v>0.38538461538461538</v>
      </c>
      <c r="L1201" s="15">
        <f>IFERROR(INDEX(Cost_Components!$S$2:$S$27,MATCH(E1201,Cost_Components!$A$2:$A$27,0)),"")</f>
        <v>0.31</v>
      </c>
      <c r="M1201" s="26">
        <f>IFERROR(INDEX(Cost_Components!$L$2:$L$27,MATCH(E1201,Cost_Components!$A$2:$A$27,0)),"")</f>
        <v>1</v>
      </c>
      <c r="N1201" s="27">
        <f>IFERROR(INDEX(Cost_Components!$P$2:$P$27,MATCH(E1201,Cost_Components!$A$2:$A$27,0)),"")</f>
        <v>35.362648999999998</v>
      </c>
      <c r="O1201" s="21">
        <f t="shared" si="181"/>
        <v>509182.33310151502</v>
      </c>
      <c r="P1201" s="21">
        <f t="shared" si="182"/>
        <v>517596.86272902502</v>
      </c>
      <c r="Q1201" s="21">
        <f t="shared" si="183"/>
        <v>5674114.8158581844</v>
      </c>
      <c r="R1201" s="21">
        <f t="shared" si="184"/>
        <v>6939249.3056595754</v>
      </c>
      <c r="S1201" s="21">
        <f t="shared" si="185"/>
        <v>1265134.489801391</v>
      </c>
      <c r="T1201" s="14">
        <f>IFERROR(INDEX(Cost_Components!$R$2:$R$27,MATCH(E1201,Cost_Components!$A$2:$A$27,0)),"")</f>
        <v>1</v>
      </c>
      <c r="U1201" s="24">
        <f>IFERROR(INDEX(Cost_Components!$Q$2:$Q$27,MATCH(E1201,Cost_Components!$A$2:$A$27,0)),"")</f>
        <v>2023</v>
      </c>
      <c r="V1201" s="28">
        <f>1/(1+Calculation_Assumptions!$B$5)^(B1201-Calculation_Assumptions!$B$2)</f>
        <v>0.91514165935315961</v>
      </c>
      <c r="W1201" s="21">
        <f t="shared" si="186"/>
        <v>5192618.8479448063</v>
      </c>
      <c r="X1201" s="21">
        <f t="shared" si="187"/>
        <v>6350396.1242465647</v>
      </c>
      <c r="Y1201" s="21">
        <f t="shared" si="188"/>
        <v>1157777.2763017579</v>
      </c>
      <c r="Z1201" s="15">
        <f>IFERROR(INDEX(Cost_Components!$T$2:$T$27,MATCH(E1201,Cost_Components!$A$2:$A$27,0)),"")</f>
        <v>0.8</v>
      </c>
      <c r="AA1201" s="24">
        <f>IFERROR(INDEX(Cost_Components!$U$2:$U$27,MATCH(E1201,Cost_Components!$A$2:$A$27,0)),"")</f>
        <v>2025</v>
      </c>
      <c r="AB1201" s="24">
        <f>IFERROR(INDEX(Cost_Components!$V$2:$V$27,MATCH(E1201,Cost_Components!$A$2:$A$27,0)),"")</f>
        <v>2050</v>
      </c>
      <c r="AC1201" s="24">
        <f>IFERROR(INDEX(Cost_Components!$M$2:$M$27,MATCH(E1201,Cost_Components!$A$2:$A$27,0)),"")</f>
        <v>30</v>
      </c>
      <c r="AD1201" s="24">
        <f>IFERROR(INDEX(Cost_Components!$N$2:$N$27,MATCH(E1201,Cost_Components!$A$2:$A$27,0)),"")</f>
        <v>95</v>
      </c>
      <c r="AE1201" s="14" t="str">
        <f>IFERROR(INDEX(Cost_Components!$O$2:$O$27,MATCH(E1201,Cost_Components!$A$2:$A$27,0)),"")</f>
        <v>Both</v>
      </c>
      <c r="AF1201" s="11">
        <v>1018364.66620303</v>
      </c>
      <c r="AG1201" s="11">
        <v>1035193.72545805</v>
      </c>
      <c r="AH1201" s="21">
        <f t="shared" si="189"/>
        <v>1</v>
      </c>
    </row>
    <row r="1202" spans="1:34" hidden="1">
      <c r="A1202" t="s">
        <v>75</v>
      </c>
      <c r="B1202" s="18">
        <v>2029</v>
      </c>
      <c r="C1202" t="s">
        <v>217</v>
      </c>
      <c r="D1202" t="s">
        <v>173</v>
      </c>
      <c r="E1202" s="20" t="s">
        <v>308</v>
      </c>
      <c r="F1202" s="20" t="s">
        <v>309</v>
      </c>
      <c r="G1202" s="20" t="s">
        <v>218</v>
      </c>
      <c r="H1202" s="20" t="s">
        <v>192</v>
      </c>
      <c r="I1202" s="20" t="s">
        <v>264</v>
      </c>
      <c r="J1202" s="15">
        <f>IFERROR(INDEX(Cost_Components!$K$2:$K$27,MATCH(E1202,Cost_Components!$A$2:$A$27,0)),"")</f>
        <v>0.5</v>
      </c>
      <c r="K1202" s="15">
        <f t="shared" si="180"/>
        <v>0.40423076923076923</v>
      </c>
      <c r="L1202" s="15">
        <f>IFERROR(INDEX(Cost_Components!$S$2:$S$27,MATCH(E1202,Cost_Components!$A$2:$A$27,0)),"")</f>
        <v>0.31</v>
      </c>
      <c r="M1202" s="26">
        <f>IFERROR(INDEX(Cost_Components!$L$2:$L$27,MATCH(E1202,Cost_Components!$A$2:$A$27,0)),"")</f>
        <v>1</v>
      </c>
      <c r="N1202" s="27">
        <f>IFERROR(INDEX(Cost_Components!$P$2:$P$27,MATCH(E1202,Cost_Components!$A$2:$A$27,0)),"")</f>
        <v>35.362648999999998</v>
      </c>
      <c r="O1202" s="21">
        <f t="shared" si="181"/>
        <v>514415.81579322502</v>
      </c>
      <c r="P1202" s="21">
        <f t="shared" si="182"/>
        <v>525952.86807197495</v>
      </c>
      <c r="Q1202" s="21">
        <f t="shared" si="183"/>
        <v>5765716.8658934925</v>
      </c>
      <c r="R1202" s="21">
        <f t="shared" si="184"/>
        <v>7353404.744836784</v>
      </c>
      <c r="S1202" s="21">
        <f t="shared" si="185"/>
        <v>1587687.8789432915</v>
      </c>
      <c r="T1202" s="14">
        <f>IFERROR(INDEX(Cost_Components!$R$2:$R$27,MATCH(E1202,Cost_Components!$A$2:$A$27,0)),"")</f>
        <v>1</v>
      </c>
      <c r="U1202" s="24">
        <f>IFERROR(INDEX(Cost_Components!$Q$2:$Q$27,MATCH(E1202,Cost_Components!$A$2:$A$27,0)),"")</f>
        <v>2023</v>
      </c>
      <c r="V1202" s="28">
        <f>1/(1+Calculation_Assumptions!$B$5)^(B1202-Calculation_Assumptions!$B$2)</f>
        <v>0.888487047915689</v>
      </c>
      <c r="W1202" s="21">
        <f t="shared" si="186"/>
        <v>5122764.7572954074</v>
      </c>
      <c r="X1202" s="21">
        <f t="shared" si="187"/>
        <v>6533404.8738692543</v>
      </c>
      <c r="Y1202" s="21">
        <f t="shared" si="188"/>
        <v>1410640.1165738469</v>
      </c>
      <c r="Z1202" s="15">
        <f>IFERROR(INDEX(Cost_Components!$T$2:$T$27,MATCH(E1202,Cost_Components!$A$2:$A$27,0)),"")</f>
        <v>0.8</v>
      </c>
      <c r="AA1202" s="24">
        <f>IFERROR(INDEX(Cost_Components!$U$2:$U$27,MATCH(E1202,Cost_Components!$A$2:$A$27,0)),"")</f>
        <v>2025</v>
      </c>
      <c r="AB1202" s="24">
        <f>IFERROR(INDEX(Cost_Components!$V$2:$V$27,MATCH(E1202,Cost_Components!$A$2:$A$27,0)),"")</f>
        <v>2050</v>
      </c>
      <c r="AC1202" s="24">
        <f>IFERROR(INDEX(Cost_Components!$M$2:$M$27,MATCH(E1202,Cost_Components!$A$2:$A$27,0)),"")</f>
        <v>30</v>
      </c>
      <c r="AD1202" s="24">
        <f>IFERROR(INDEX(Cost_Components!$N$2:$N$27,MATCH(E1202,Cost_Components!$A$2:$A$27,0)),"")</f>
        <v>95</v>
      </c>
      <c r="AE1202" s="14" t="str">
        <f>IFERROR(INDEX(Cost_Components!$O$2:$O$27,MATCH(E1202,Cost_Components!$A$2:$A$27,0)),"")</f>
        <v>Both</v>
      </c>
      <c r="AF1202" s="11">
        <v>1028831.63158645</v>
      </c>
      <c r="AG1202" s="11">
        <v>1051905.7361439499</v>
      </c>
      <c r="AH1202" s="21">
        <f t="shared" si="189"/>
        <v>1</v>
      </c>
    </row>
    <row r="1203" spans="1:34" hidden="1">
      <c r="A1203" t="s">
        <v>75</v>
      </c>
      <c r="B1203" s="18">
        <v>2030</v>
      </c>
      <c r="C1203" t="s">
        <v>217</v>
      </c>
      <c r="D1203" t="s">
        <v>173</v>
      </c>
      <c r="E1203" s="20" t="s">
        <v>308</v>
      </c>
      <c r="F1203" s="20" t="s">
        <v>309</v>
      </c>
      <c r="G1203" s="20" t="s">
        <v>218</v>
      </c>
      <c r="H1203" s="20" t="s">
        <v>192</v>
      </c>
      <c r="I1203" s="20" t="s">
        <v>264</v>
      </c>
      <c r="J1203" s="15">
        <f>IFERROR(INDEX(Cost_Components!$K$2:$K$27,MATCH(E1203,Cost_Components!$A$2:$A$27,0)),"")</f>
        <v>0.5</v>
      </c>
      <c r="K1203" s="15">
        <f t="shared" si="180"/>
        <v>0.42307692307692307</v>
      </c>
      <c r="L1203" s="15">
        <f>IFERROR(INDEX(Cost_Components!$S$2:$S$27,MATCH(E1203,Cost_Components!$A$2:$A$27,0)),"")</f>
        <v>0.31</v>
      </c>
      <c r="M1203" s="26">
        <f>IFERROR(INDEX(Cost_Components!$L$2:$L$27,MATCH(E1203,Cost_Components!$A$2:$A$27,0)),"")</f>
        <v>1</v>
      </c>
      <c r="N1203" s="27">
        <f>IFERROR(INDEX(Cost_Components!$P$2:$P$27,MATCH(E1203,Cost_Components!$A$2:$A$27,0)),"")</f>
        <v>35.362648999999998</v>
      </c>
      <c r="O1203" s="21">
        <f t="shared" si="181"/>
        <v>519057.54471787502</v>
      </c>
      <c r="P1203" s="21">
        <f t="shared" si="182"/>
        <v>533960.83661125996</v>
      </c>
      <c r="Q1203" s="21">
        <f t="shared" si="183"/>
        <v>5853503.5898974035</v>
      </c>
      <c r="R1203" s="21">
        <f t="shared" si="184"/>
        <v>7765682.592740776</v>
      </c>
      <c r="S1203" s="21">
        <f t="shared" si="185"/>
        <v>1912179.0028433725</v>
      </c>
      <c r="T1203" s="14">
        <f>IFERROR(INDEX(Cost_Components!$R$2:$R$27,MATCH(E1203,Cost_Components!$A$2:$A$27,0)),"")</f>
        <v>1</v>
      </c>
      <c r="U1203" s="24">
        <f>IFERROR(INDEX(Cost_Components!$Q$2:$Q$27,MATCH(E1203,Cost_Components!$A$2:$A$27,0)),"")</f>
        <v>2023</v>
      </c>
      <c r="V1203" s="28">
        <f>1/(1+Calculation_Assumptions!$B$5)^(B1203-Calculation_Assumptions!$B$2)</f>
        <v>0.86260878438416411</v>
      </c>
      <c r="W1203" s="21">
        <f t="shared" si="186"/>
        <v>5049283.6160697397</v>
      </c>
      <c r="X1203" s="21">
        <f t="shared" si="187"/>
        <v>6698746.0212373845</v>
      </c>
      <c r="Y1203" s="21">
        <f t="shared" si="188"/>
        <v>1649462.4051676446</v>
      </c>
      <c r="Z1203" s="15">
        <f>IFERROR(INDEX(Cost_Components!$T$2:$T$27,MATCH(E1203,Cost_Components!$A$2:$A$27,0)),"")</f>
        <v>0.8</v>
      </c>
      <c r="AA1203" s="24">
        <f>IFERROR(INDEX(Cost_Components!$U$2:$U$27,MATCH(E1203,Cost_Components!$A$2:$A$27,0)),"")</f>
        <v>2025</v>
      </c>
      <c r="AB1203" s="24">
        <f>IFERROR(INDEX(Cost_Components!$V$2:$V$27,MATCH(E1203,Cost_Components!$A$2:$A$27,0)),"")</f>
        <v>2050</v>
      </c>
      <c r="AC1203" s="24">
        <f>IFERROR(INDEX(Cost_Components!$M$2:$M$27,MATCH(E1203,Cost_Components!$A$2:$A$27,0)),"")</f>
        <v>30</v>
      </c>
      <c r="AD1203" s="24">
        <f>IFERROR(INDEX(Cost_Components!$N$2:$N$27,MATCH(E1203,Cost_Components!$A$2:$A$27,0)),"")</f>
        <v>95</v>
      </c>
      <c r="AE1203" s="14" t="str">
        <f>IFERROR(INDEX(Cost_Components!$O$2:$O$27,MATCH(E1203,Cost_Components!$A$2:$A$27,0)),"")</f>
        <v>Both</v>
      </c>
      <c r="AF1203" s="11">
        <v>1038115.08943575</v>
      </c>
      <c r="AG1203" s="11">
        <v>1067921.6732225199</v>
      </c>
      <c r="AH1203" s="21">
        <f t="shared" si="189"/>
        <v>1</v>
      </c>
    </row>
    <row r="1204" spans="1:34" hidden="1">
      <c r="A1204" t="s">
        <v>75</v>
      </c>
      <c r="B1204" s="18">
        <v>2031</v>
      </c>
      <c r="C1204" t="s">
        <v>217</v>
      </c>
      <c r="D1204" t="s">
        <v>173</v>
      </c>
      <c r="E1204" s="20" t="s">
        <v>308</v>
      </c>
      <c r="F1204" s="20" t="s">
        <v>309</v>
      </c>
      <c r="G1204" s="20" t="s">
        <v>218</v>
      </c>
      <c r="H1204" s="20" t="s">
        <v>192</v>
      </c>
      <c r="I1204" s="20" t="s">
        <v>264</v>
      </c>
      <c r="J1204" s="15">
        <f>IFERROR(INDEX(Cost_Components!$K$2:$K$27,MATCH(E1204,Cost_Components!$A$2:$A$27,0)),"")</f>
        <v>0.5</v>
      </c>
      <c r="K1204" s="15">
        <f t="shared" si="180"/>
        <v>0.44192307692307692</v>
      </c>
      <c r="L1204" s="15">
        <f>IFERROR(INDEX(Cost_Components!$S$2:$S$27,MATCH(E1204,Cost_Components!$A$2:$A$27,0)),"")</f>
        <v>0.31</v>
      </c>
      <c r="M1204" s="26">
        <f>IFERROR(INDEX(Cost_Components!$L$2:$L$27,MATCH(E1204,Cost_Components!$A$2:$A$27,0)),"")</f>
        <v>1</v>
      </c>
      <c r="N1204" s="27">
        <f>IFERROR(INDEX(Cost_Components!$P$2:$P$27,MATCH(E1204,Cost_Components!$A$2:$A$27,0)),"")</f>
        <v>35.362648999999998</v>
      </c>
      <c r="O1204" s="21">
        <f t="shared" si="181"/>
        <v>523179.960456545</v>
      </c>
      <c r="P1204" s="21">
        <f t="shared" si="182"/>
        <v>541652.49599249498</v>
      </c>
      <c r="Q1204" s="21">
        <f t="shared" si="183"/>
        <v>5937822.7996845171</v>
      </c>
      <c r="R1204" s="21">
        <f t="shared" si="184"/>
        <v>8176031.7969123162</v>
      </c>
      <c r="S1204" s="21">
        <f t="shared" si="185"/>
        <v>2238208.9972277991</v>
      </c>
      <c r="T1204" s="14">
        <f>IFERROR(INDEX(Cost_Components!$R$2:$R$27,MATCH(E1204,Cost_Components!$A$2:$A$27,0)),"")</f>
        <v>1</v>
      </c>
      <c r="U1204" s="24">
        <f>IFERROR(INDEX(Cost_Components!$Q$2:$Q$27,MATCH(E1204,Cost_Components!$A$2:$A$27,0)),"")</f>
        <v>2023</v>
      </c>
      <c r="V1204" s="28">
        <f>1/(1+Calculation_Assumptions!$B$5)^(B1204-Calculation_Assumptions!$B$2)</f>
        <v>0.83748425668365445</v>
      </c>
      <c r="W1204" s="21">
        <f t="shared" si="186"/>
        <v>4972833.1137130437</v>
      </c>
      <c r="X1204" s="21">
        <f t="shared" si="187"/>
        <v>6847297.9120590352</v>
      </c>
      <c r="Y1204" s="21">
        <f t="shared" si="188"/>
        <v>1874464.7983459909</v>
      </c>
      <c r="Z1204" s="15">
        <f>IFERROR(INDEX(Cost_Components!$T$2:$T$27,MATCH(E1204,Cost_Components!$A$2:$A$27,0)),"")</f>
        <v>0.8</v>
      </c>
      <c r="AA1204" s="24">
        <f>IFERROR(INDEX(Cost_Components!$U$2:$U$27,MATCH(E1204,Cost_Components!$A$2:$A$27,0)),"")</f>
        <v>2025</v>
      </c>
      <c r="AB1204" s="24">
        <f>IFERROR(INDEX(Cost_Components!$V$2:$V$27,MATCH(E1204,Cost_Components!$A$2:$A$27,0)),"")</f>
        <v>2050</v>
      </c>
      <c r="AC1204" s="24">
        <f>IFERROR(INDEX(Cost_Components!$M$2:$M$27,MATCH(E1204,Cost_Components!$A$2:$A$27,0)),"")</f>
        <v>30</v>
      </c>
      <c r="AD1204" s="24">
        <f>IFERROR(INDEX(Cost_Components!$N$2:$N$27,MATCH(E1204,Cost_Components!$A$2:$A$27,0)),"")</f>
        <v>95</v>
      </c>
      <c r="AE1204" s="14" t="str">
        <f>IFERROR(INDEX(Cost_Components!$O$2:$O$27,MATCH(E1204,Cost_Components!$A$2:$A$27,0)),"")</f>
        <v>Both</v>
      </c>
      <c r="AF1204" s="11">
        <v>1046359.92091309</v>
      </c>
      <c r="AG1204" s="11">
        <v>1083304.99198499</v>
      </c>
      <c r="AH1204" s="21">
        <f t="shared" si="189"/>
        <v>1</v>
      </c>
    </row>
    <row r="1205" spans="1:34" hidden="1">
      <c r="A1205" t="s">
        <v>75</v>
      </c>
      <c r="B1205" s="18">
        <v>2032</v>
      </c>
      <c r="C1205" t="s">
        <v>217</v>
      </c>
      <c r="D1205" t="s">
        <v>173</v>
      </c>
      <c r="E1205" s="20" t="s">
        <v>308</v>
      </c>
      <c r="F1205" s="20" t="s">
        <v>309</v>
      </c>
      <c r="G1205" s="20" t="s">
        <v>218</v>
      </c>
      <c r="H1205" s="20" t="s">
        <v>192</v>
      </c>
      <c r="I1205" s="20" t="s">
        <v>264</v>
      </c>
      <c r="J1205" s="15">
        <f>IFERROR(INDEX(Cost_Components!$K$2:$K$27,MATCH(E1205,Cost_Components!$A$2:$A$27,0)),"")</f>
        <v>0.5</v>
      </c>
      <c r="K1205" s="15">
        <f t="shared" si="180"/>
        <v>0.46076923076923082</v>
      </c>
      <c r="L1205" s="15">
        <f>IFERROR(INDEX(Cost_Components!$S$2:$S$27,MATCH(E1205,Cost_Components!$A$2:$A$27,0)),"")</f>
        <v>0.31</v>
      </c>
      <c r="M1205" s="26">
        <f>IFERROR(INDEX(Cost_Components!$L$2:$L$27,MATCH(E1205,Cost_Components!$A$2:$A$27,0)),"")</f>
        <v>1</v>
      </c>
      <c r="N1205" s="27">
        <f>IFERROR(INDEX(Cost_Components!$P$2:$P$27,MATCH(E1205,Cost_Components!$A$2:$A$27,0)),"")</f>
        <v>35.362648999999998</v>
      </c>
      <c r="O1205" s="21">
        <f t="shared" si="181"/>
        <v>526815.23233684502</v>
      </c>
      <c r="P1205" s="21">
        <f t="shared" si="182"/>
        <v>549023.30766605504</v>
      </c>
      <c r="Q1205" s="21">
        <f t="shared" si="183"/>
        <v>6018624.7417622507</v>
      </c>
      <c r="R1205" s="21">
        <f t="shared" si="184"/>
        <v>8583938.2363383081</v>
      </c>
      <c r="S1205" s="21">
        <f t="shared" si="185"/>
        <v>2565313.4945760574</v>
      </c>
      <c r="T1205" s="14">
        <f>IFERROR(INDEX(Cost_Components!$R$2:$R$27,MATCH(E1205,Cost_Components!$A$2:$A$27,0)),"")</f>
        <v>1</v>
      </c>
      <c r="U1205" s="24">
        <f>IFERROR(INDEX(Cost_Components!$Q$2:$Q$27,MATCH(E1205,Cost_Components!$A$2:$A$27,0)),"")</f>
        <v>2023</v>
      </c>
      <c r="V1205" s="28">
        <f>1/(1+Calculation_Assumptions!$B$5)^(B1205-Calculation_Assumptions!$B$2)</f>
        <v>0.81309151134335378</v>
      </c>
      <c r="W1205" s="21">
        <f t="shared" si="186"/>
        <v>4893692.687487971</v>
      </c>
      <c r="X1205" s="21">
        <f t="shared" si="187"/>
        <v>6979527.3138623172</v>
      </c>
      <c r="Y1205" s="21">
        <f t="shared" si="188"/>
        <v>2085834.6263743469</v>
      </c>
      <c r="Z1205" s="15">
        <f>IFERROR(INDEX(Cost_Components!$T$2:$T$27,MATCH(E1205,Cost_Components!$A$2:$A$27,0)),"")</f>
        <v>0.8</v>
      </c>
      <c r="AA1205" s="24">
        <f>IFERROR(INDEX(Cost_Components!$U$2:$U$27,MATCH(E1205,Cost_Components!$A$2:$A$27,0)),"")</f>
        <v>2025</v>
      </c>
      <c r="AB1205" s="24">
        <f>IFERROR(INDEX(Cost_Components!$V$2:$V$27,MATCH(E1205,Cost_Components!$A$2:$A$27,0)),"")</f>
        <v>2050</v>
      </c>
      <c r="AC1205" s="24">
        <f>IFERROR(INDEX(Cost_Components!$M$2:$M$27,MATCH(E1205,Cost_Components!$A$2:$A$27,0)),"")</f>
        <v>30</v>
      </c>
      <c r="AD1205" s="24">
        <f>IFERROR(INDEX(Cost_Components!$N$2:$N$27,MATCH(E1205,Cost_Components!$A$2:$A$27,0)),"")</f>
        <v>95</v>
      </c>
      <c r="AE1205" s="14" t="str">
        <f>IFERROR(INDEX(Cost_Components!$O$2:$O$27,MATCH(E1205,Cost_Components!$A$2:$A$27,0)),"")</f>
        <v>Both</v>
      </c>
      <c r="AF1205" s="11">
        <v>1053630.46467369</v>
      </c>
      <c r="AG1205" s="11">
        <v>1098046.6153321101</v>
      </c>
      <c r="AH1205" s="21">
        <f t="shared" si="189"/>
        <v>1</v>
      </c>
    </row>
    <row r="1206" spans="1:34" hidden="1">
      <c r="A1206" t="s">
        <v>75</v>
      </c>
      <c r="B1206" s="18">
        <v>2033</v>
      </c>
      <c r="C1206" t="s">
        <v>217</v>
      </c>
      <c r="D1206" t="s">
        <v>173</v>
      </c>
      <c r="E1206" s="20" t="s">
        <v>308</v>
      </c>
      <c r="F1206" s="20" t="s">
        <v>309</v>
      </c>
      <c r="G1206" s="20" t="s">
        <v>218</v>
      </c>
      <c r="H1206" s="20" t="s">
        <v>192</v>
      </c>
      <c r="I1206" s="20" t="s">
        <v>264</v>
      </c>
      <c r="J1206" s="15">
        <f>IFERROR(INDEX(Cost_Components!$K$2:$K$27,MATCH(E1206,Cost_Components!$A$2:$A$27,0)),"")</f>
        <v>0.5</v>
      </c>
      <c r="K1206" s="15">
        <f t="shared" si="180"/>
        <v>0.47961538461538467</v>
      </c>
      <c r="L1206" s="15">
        <f>IFERROR(INDEX(Cost_Components!$S$2:$S$27,MATCH(E1206,Cost_Components!$A$2:$A$27,0)),"")</f>
        <v>0.31</v>
      </c>
      <c r="M1206" s="26">
        <f>IFERROR(INDEX(Cost_Components!$L$2:$L$27,MATCH(E1206,Cost_Components!$A$2:$A$27,0)),"")</f>
        <v>1</v>
      </c>
      <c r="N1206" s="27">
        <f>IFERROR(INDEX(Cost_Components!$P$2:$P$27,MATCH(E1206,Cost_Components!$A$2:$A$27,0)),"")</f>
        <v>35.362648999999998</v>
      </c>
      <c r="O1206" s="21">
        <f t="shared" si="181"/>
        <v>530006.52644148504</v>
      </c>
      <c r="P1206" s="21">
        <f t="shared" si="182"/>
        <v>556084.34994470002</v>
      </c>
      <c r="Q1206" s="21">
        <f t="shared" si="183"/>
        <v>6096030.8612611545</v>
      </c>
      <c r="R1206" s="21">
        <f t="shared" si="184"/>
        <v>8989160.0571298227</v>
      </c>
      <c r="S1206" s="21">
        <f t="shared" si="185"/>
        <v>2893129.1958686681</v>
      </c>
      <c r="T1206" s="14">
        <f>IFERROR(INDEX(Cost_Components!$R$2:$R$27,MATCH(E1206,Cost_Components!$A$2:$A$27,0)),"")</f>
        <v>1</v>
      </c>
      <c r="U1206" s="24">
        <f>IFERROR(INDEX(Cost_Components!$Q$2:$Q$27,MATCH(E1206,Cost_Components!$A$2:$A$27,0)),"")</f>
        <v>2023</v>
      </c>
      <c r="V1206" s="28">
        <f>1/(1+Calculation_Assumptions!$B$5)^(B1206-Calculation_Assumptions!$B$2)</f>
        <v>0.78940923431393573</v>
      </c>
      <c r="W1206" s="21">
        <f t="shared" si="186"/>
        <v>4812263.05454229</v>
      </c>
      <c r="X1206" s="21">
        <f t="shared" si="187"/>
        <v>7096125.9578242684</v>
      </c>
      <c r="Y1206" s="21">
        <f t="shared" si="188"/>
        <v>2283862.9032819779</v>
      </c>
      <c r="Z1206" s="15">
        <f>IFERROR(INDEX(Cost_Components!$T$2:$T$27,MATCH(E1206,Cost_Components!$A$2:$A$27,0)),"")</f>
        <v>0.8</v>
      </c>
      <c r="AA1206" s="24">
        <f>IFERROR(INDEX(Cost_Components!$U$2:$U$27,MATCH(E1206,Cost_Components!$A$2:$A$27,0)),"")</f>
        <v>2025</v>
      </c>
      <c r="AB1206" s="24">
        <f>IFERROR(INDEX(Cost_Components!$V$2:$V$27,MATCH(E1206,Cost_Components!$A$2:$A$27,0)),"")</f>
        <v>2050</v>
      </c>
      <c r="AC1206" s="24">
        <f>IFERROR(INDEX(Cost_Components!$M$2:$M$27,MATCH(E1206,Cost_Components!$A$2:$A$27,0)),"")</f>
        <v>30</v>
      </c>
      <c r="AD1206" s="24">
        <f>IFERROR(INDEX(Cost_Components!$N$2:$N$27,MATCH(E1206,Cost_Components!$A$2:$A$27,0)),"")</f>
        <v>95</v>
      </c>
      <c r="AE1206" s="14" t="str">
        <f>IFERROR(INDEX(Cost_Components!$O$2:$O$27,MATCH(E1206,Cost_Components!$A$2:$A$27,0)),"")</f>
        <v>Both</v>
      </c>
      <c r="AF1206" s="11">
        <v>1060013.0528829701</v>
      </c>
      <c r="AG1206" s="11">
        <v>1112168.6998894</v>
      </c>
      <c r="AH1206" s="21">
        <f t="shared" si="189"/>
        <v>1</v>
      </c>
    </row>
    <row r="1207" spans="1:34" hidden="1">
      <c r="A1207" t="s">
        <v>75</v>
      </c>
      <c r="B1207" s="18">
        <v>2034</v>
      </c>
      <c r="C1207" t="s">
        <v>217</v>
      </c>
      <c r="D1207" t="s">
        <v>173</v>
      </c>
      <c r="E1207" s="20" t="s">
        <v>308</v>
      </c>
      <c r="F1207" s="20" t="s">
        <v>309</v>
      </c>
      <c r="G1207" s="20" t="s">
        <v>218</v>
      </c>
      <c r="H1207" s="20" t="s">
        <v>192</v>
      </c>
      <c r="I1207" s="20" t="s">
        <v>264</v>
      </c>
      <c r="J1207" s="15">
        <f>IFERROR(INDEX(Cost_Components!$K$2:$K$27,MATCH(E1207,Cost_Components!$A$2:$A$27,0)),"")</f>
        <v>0.5</v>
      </c>
      <c r="K1207" s="15">
        <f t="shared" si="180"/>
        <v>0.49846153846153851</v>
      </c>
      <c r="L1207" s="15">
        <f>IFERROR(INDEX(Cost_Components!$S$2:$S$27,MATCH(E1207,Cost_Components!$A$2:$A$27,0)),"")</f>
        <v>0.31</v>
      </c>
      <c r="M1207" s="26">
        <f>IFERROR(INDEX(Cost_Components!$L$2:$L$27,MATCH(E1207,Cost_Components!$A$2:$A$27,0)),"")</f>
        <v>1</v>
      </c>
      <c r="N1207" s="27">
        <f>IFERROR(INDEX(Cost_Components!$P$2:$P$27,MATCH(E1207,Cost_Components!$A$2:$A$27,0)),"")</f>
        <v>35.362648999999998</v>
      </c>
      <c r="O1207" s="21">
        <f t="shared" si="181"/>
        <v>532854.62262231996</v>
      </c>
      <c r="P1207" s="21">
        <f t="shared" si="182"/>
        <v>562914.69122867996</v>
      </c>
      <c r="Q1207" s="21">
        <f t="shared" si="183"/>
        <v>6170907.939287588</v>
      </c>
      <c r="R1207" s="21">
        <f t="shared" si="184"/>
        <v>9392586.0308520943</v>
      </c>
      <c r="S1207" s="21">
        <f t="shared" si="185"/>
        <v>3221678.0915645063</v>
      </c>
      <c r="T1207" s="14">
        <f>IFERROR(INDEX(Cost_Components!$R$2:$R$27,MATCH(E1207,Cost_Components!$A$2:$A$27,0)),"")</f>
        <v>1</v>
      </c>
      <c r="U1207" s="24">
        <f>IFERROR(INDEX(Cost_Components!$Q$2:$Q$27,MATCH(E1207,Cost_Components!$A$2:$A$27,0)),"")</f>
        <v>2023</v>
      </c>
      <c r="V1207" s="28">
        <f>1/(1+Calculation_Assumptions!$B$5)^(B1207-Calculation_Assumptions!$B$2)</f>
        <v>0.76641673234362695</v>
      </c>
      <c r="W1207" s="21">
        <f t="shared" si="186"/>
        <v>4729487.098422138</v>
      </c>
      <c r="X1207" s="21">
        <f t="shared" si="187"/>
        <v>7198635.0940220589</v>
      </c>
      <c r="Y1207" s="21">
        <f t="shared" si="188"/>
        <v>2469147.9955999213</v>
      </c>
      <c r="Z1207" s="15">
        <f>IFERROR(INDEX(Cost_Components!$T$2:$T$27,MATCH(E1207,Cost_Components!$A$2:$A$27,0)),"")</f>
        <v>0.8</v>
      </c>
      <c r="AA1207" s="24">
        <f>IFERROR(INDEX(Cost_Components!$U$2:$U$27,MATCH(E1207,Cost_Components!$A$2:$A$27,0)),"")</f>
        <v>2025</v>
      </c>
      <c r="AB1207" s="24">
        <f>IFERROR(INDEX(Cost_Components!$V$2:$V$27,MATCH(E1207,Cost_Components!$A$2:$A$27,0)),"")</f>
        <v>2050</v>
      </c>
      <c r="AC1207" s="24">
        <f>IFERROR(INDEX(Cost_Components!$M$2:$M$27,MATCH(E1207,Cost_Components!$A$2:$A$27,0)),"")</f>
        <v>30</v>
      </c>
      <c r="AD1207" s="24">
        <f>IFERROR(INDEX(Cost_Components!$N$2:$N$27,MATCH(E1207,Cost_Components!$A$2:$A$27,0)),"")</f>
        <v>95</v>
      </c>
      <c r="AE1207" s="14" t="str">
        <f>IFERROR(INDEX(Cost_Components!$O$2:$O$27,MATCH(E1207,Cost_Components!$A$2:$A$27,0)),"")</f>
        <v>Both</v>
      </c>
      <c r="AF1207" s="11">
        <v>1065709.2452446399</v>
      </c>
      <c r="AG1207" s="11">
        <v>1125829.3824573599</v>
      </c>
      <c r="AH1207" s="21">
        <f t="shared" si="189"/>
        <v>1</v>
      </c>
    </row>
    <row r="1208" spans="1:34" hidden="1">
      <c r="A1208" t="s">
        <v>75</v>
      </c>
      <c r="B1208" s="18">
        <v>2035</v>
      </c>
      <c r="C1208" t="s">
        <v>217</v>
      </c>
      <c r="D1208" t="s">
        <v>173</v>
      </c>
      <c r="E1208" s="20" t="s">
        <v>308</v>
      </c>
      <c r="F1208" s="20" t="s">
        <v>309</v>
      </c>
      <c r="G1208" s="20" t="s">
        <v>218</v>
      </c>
      <c r="H1208" s="20" t="s">
        <v>192</v>
      </c>
      <c r="I1208" s="20" t="s">
        <v>264</v>
      </c>
      <c r="J1208" s="15">
        <f>IFERROR(INDEX(Cost_Components!$K$2:$K$27,MATCH(E1208,Cost_Components!$A$2:$A$27,0)),"")</f>
        <v>0.5</v>
      </c>
      <c r="K1208" s="15">
        <f t="shared" si="180"/>
        <v>0.51730769230769236</v>
      </c>
      <c r="L1208" s="15">
        <f>IFERROR(INDEX(Cost_Components!$S$2:$S$27,MATCH(E1208,Cost_Components!$A$2:$A$27,0)),"")</f>
        <v>0.31</v>
      </c>
      <c r="M1208" s="26">
        <f>IFERROR(INDEX(Cost_Components!$L$2:$L$27,MATCH(E1208,Cost_Components!$A$2:$A$27,0)),"")</f>
        <v>1</v>
      </c>
      <c r="N1208" s="27">
        <f>IFERROR(INDEX(Cost_Components!$P$2:$P$27,MATCH(E1208,Cost_Components!$A$2:$A$27,0)),"")</f>
        <v>35.362648999999998</v>
      </c>
      <c r="O1208" s="21">
        <f t="shared" si="181"/>
        <v>535449.43849794497</v>
      </c>
      <c r="P1208" s="21">
        <f t="shared" si="182"/>
        <v>569583.09548001003</v>
      </c>
      <c r="Q1208" s="21">
        <f t="shared" si="183"/>
        <v>6244009.7953558546</v>
      </c>
      <c r="R1208" s="21">
        <f t="shared" si="184"/>
        <v>9795174.881112745</v>
      </c>
      <c r="S1208" s="21">
        <f t="shared" si="185"/>
        <v>3551165.0857568905</v>
      </c>
      <c r="T1208" s="14">
        <f>IFERROR(INDEX(Cost_Components!$R$2:$R$27,MATCH(E1208,Cost_Components!$A$2:$A$27,0)),"")</f>
        <v>1</v>
      </c>
      <c r="U1208" s="24">
        <f>IFERROR(INDEX(Cost_Components!$Q$2:$Q$27,MATCH(E1208,Cost_Components!$A$2:$A$27,0)),"")</f>
        <v>2023</v>
      </c>
      <c r="V1208" s="28">
        <f>1/(1+Calculation_Assumptions!$B$5)^(B1208-Calculation_Assumptions!$B$2)</f>
        <v>0.74409391489672516</v>
      </c>
      <c r="W1208" s="21">
        <f t="shared" si="186"/>
        <v>4646129.6932798373</v>
      </c>
      <c r="X1208" s="21">
        <f t="shared" si="187"/>
        <v>7288530.0243852464</v>
      </c>
      <c r="Y1208" s="21">
        <f t="shared" si="188"/>
        <v>2642400.3311054092</v>
      </c>
      <c r="Z1208" s="15">
        <f>IFERROR(INDEX(Cost_Components!$T$2:$T$27,MATCH(E1208,Cost_Components!$A$2:$A$27,0)),"")</f>
        <v>0.8</v>
      </c>
      <c r="AA1208" s="24">
        <f>IFERROR(INDEX(Cost_Components!$U$2:$U$27,MATCH(E1208,Cost_Components!$A$2:$A$27,0)),"")</f>
        <v>2025</v>
      </c>
      <c r="AB1208" s="24">
        <f>IFERROR(INDEX(Cost_Components!$V$2:$V$27,MATCH(E1208,Cost_Components!$A$2:$A$27,0)),"")</f>
        <v>2050</v>
      </c>
      <c r="AC1208" s="24">
        <f>IFERROR(INDEX(Cost_Components!$M$2:$M$27,MATCH(E1208,Cost_Components!$A$2:$A$27,0)),"")</f>
        <v>30</v>
      </c>
      <c r="AD1208" s="24">
        <f>IFERROR(INDEX(Cost_Components!$N$2:$N$27,MATCH(E1208,Cost_Components!$A$2:$A$27,0)),"")</f>
        <v>95</v>
      </c>
      <c r="AE1208" s="14" t="str">
        <f>IFERROR(INDEX(Cost_Components!$O$2:$O$27,MATCH(E1208,Cost_Components!$A$2:$A$27,0)),"")</f>
        <v>Both</v>
      </c>
      <c r="AF1208" s="11">
        <v>1070898.8769958899</v>
      </c>
      <c r="AG1208" s="11">
        <v>1139166.1909600201</v>
      </c>
      <c r="AH1208" s="21">
        <f t="shared" si="189"/>
        <v>1</v>
      </c>
    </row>
    <row r="1209" spans="1:34" hidden="1">
      <c r="A1209" t="s">
        <v>75</v>
      </c>
      <c r="B1209" s="18">
        <v>2036</v>
      </c>
      <c r="C1209" t="s">
        <v>217</v>
      </c>
      <c r="D1209" t="s">
        <v>173</v>
      </c>
      <c r="E1209" s="20" t="s">
        <v>308</v>
      </c>
      <c r="F1209" s="20" t="s">
        <v>309</v>
      </c>
      <c r="G1209" s="20" t="s">
        <v>218</v>
      </c>
      <c r="H1209" s="20" t="s">
        <v>192</v>
      </c>
      <c r="I1209" s="20" t="s">
        <v>264</v>
      </c>
      <c r="J1209" s="15">
        <f>IFERROR(INDEX(Cost_Components!$K$2:$K$27,MATCH(E1209,Cost_Components!$A$2:$A$27,0)),"")</f>
        <v>0.5</v>
      </c>
      <c r="K1209" s="15">
        <f t="shared" si="180"/>
        <v>0.5361538461538462</v>
      </c>
      <c r="L1209" s="15">
        <f>IFERROR(INDEX(Cost_Components!$S$2:$S$27,MATCH(E1209,Cost_Components!$A$2:$A$27,0)),"")</f>
        <v>0.31</v>
      </c>
      <c r="M1209" s="26">
        <f>IFERROR(INDEX(Cost_Components!$L$2:$L$27,MATCH(E1209,Cost_Components!$A$2:$A$27,0)),"")</f>
        <v>1</v>
      </c>
      <c r="N1209" s="27">
        <f>IFERROR(INDEX(Cost_Components!$P$2:$P$27,MATCH(E1209,Cost_Components!$A$2:$A$27,0)),"")</f>
        <v>35.362648999999998</v>
      </c>
      <c r="O1209" s="21">
        <f t="shared" si="181"/>
        <v>537818.56704862497</v>
      </c>
      <c r="P1209" s="21">
        <f t="shared" si="182"/>
        <v>576098.28276520001</v>
      </c>
      <c r="Q1209" s="21">
        <f t="shared" si="183"/>
        <v>6315432.0225078398</v>
      </c>
      <c r="R1209" s="21">
        <f t="shared" si="184"/>
        <v>10196943.369938286</v>
      </c>
      <c r="S1209" s="21">
        <f t="shared" si="185"/>
        <v>3881511.3474304462</v>
      </c>
      <c r="T1209" s="14">
        <f>IFERROR(INDEX(Cost_Components!$R$2:$R$27,MATCH(E1209,Cost_Components!$A$2:$A$27,0)),"")</f>
        <v>1</v>
      </c>
      <c r="U1209" s="24">
        <f>IFERROR(INDEX(Cost_Components!$Q$2:$Q$27,MATCH(E1209,Cost_Components!$A$2:$A$27,0)),"")</f>
        <v>2023</v>
      </c>
      <c r="V1209" s="28">
        <f>1/(1+Calculation_Assumptions!$B$5)^(B1209-Calculation_Assumptions!$B$2)</f>
        <v>0.72242127659876232</v>
      </c>
      <c r="W1209" s="21">
        <f t="shared" si="186"/>
        <v>4562402.4639728172</v>
      </c>
      <c r="X1209" s="21">
        <f t="shared" si="187"/>
        <v>7366488.8467161022</v>
      </c>
      <c r="Y1209" s="21">
        <f t="shared" si="188"/>
        <v>2804086.382743285</v>
      </c>
      <c r="Z1209" s="15">
        <f>IFERROR(INDEX(Cost_Components!$T$2:$T$27,MATCH(E1209,Cost_Components!$A$2:$A$27,0)),"")</f>
        <v>0.8</v>
      </c>
      <c r="AA1209" s="24">
        <f>IFERROR(INDEX(Cost_Components!$U$2:$U$27,MATCH(E1209,Cost_Components!$A$2:$A$27,0)),"")</f>
        <v>2025</v>
      </c>
      <c r="AB1209" s="24">
        <f>IFERROR(INDEX(Cost_Components!$V$2:$V$27,MATCH(E1209,Cost_Components!$A$2:$A$27,0)),"")</f>
        <v>2050</v>
      </c>
      <c r="AC1209" s="24">
        <f>IFERROR(INDEX(Cost_Components!$M$2:$M$27,MATCH(E1209,Cost_Components!$A$2:$A$27,0)),"")</f>
        <v>30</v>
      </c>
      <c r="AD1209" s="24">
        <f>IFERROR(INDEX(Cost_Components!$N$2:$N$27,MATCH(E1209,Cost_Components!$A$2:$A$27,0)),"")</f>
        <v>95</v>
      </c>
      <c r="AE1209" s="14" t="str">
        <f>IFERROR(INDEX(Cost_Components!$O$2:$O$27,MATCH(E1209,Cost_Components!$A$2:$A$27,0)),"")</f>
        <v>Both</v>
      </c>
      <c r="AF1209" s="11">
        <v>1075637.1340972499</v>
      </c>
      <c r="AG1209" s="11">
        <v>1152196.5655304</v>
      </c>
      <c r="AH1209" s="21">
        <f t="shared" si="189"/>
        <v>1</v>
      </c>
    </row>
    <row r="1210" spans="1:34" hidden="1">
      <c r="A1210" t="s">
        <v>75</v>
      </c>
      <c r="B1210" s="18">
        <v>2037</v>
      </c>
      <c r="C1210" t="s">
        <v>217</v>
      </c>
      <c r="D1210" t="s">
        <v>173</v>
      </c>
      <c r="E1210" s="20" t="s">
        <v>308</v>
      </c>
      <c r="F1210" s="20" t="s">
        <v>309</v>
      </c>
      <c r="G1210" s="20" t="s">
        <v>218</v>
      </c>
      <c r="H1210" s="20" t="s">
        <v>192</v>
      </c>
      <c r="I1210" s="20" t="s">
        <v>264</v>
      </c>
      <c r="J1210" s="15">
        <f>IFERROR(INDEX(Cost_Components!$K$2:$K$27,MATCH(E1210,Cost_Components!$A$2:$A$27,0)),"")</f>
        <v>0.5</v>
      </c>
      <c r="K1210" s="15">
        <f t="shared" si="180"/>
        <v>0.55500000000000005</v>
      </c>
      <c r="L1210" s="15">
        <f>IFERROR(INDEX(Cost_Components!$S$2:$S$27,MATCH(E1210,Cost_Components!$A$2:$A$27,0)),"")</f>
        <v>0.31</v>
      </c>
      <c r="M1210" s="26">
        <f>IFERROR(INDEX(Cost_Components!$L$2:$L$27,MATCH(E1210,Cost_Components!$A$2:$A$27,0)),"")</f>
        <v>1</v>
      </c>
      <c r="N1210" s="27">
        <f>IFERROR(INDEX(Cost_Components!$P$2:$P$27,MATCH(E1210,Cost_Components!$A$2:$A$27,0)),"")</f>
        <v>35.362648999999998</v>
      </c>
      <c r="O1210" s="21">
        <f t="shared" si="181"/>
        <v>539983.97310475004</v>
      </c>
      <c r="P1210" s="21">
        <f t="shared" si="182"/>
        <v>582467.54661059496</v>
      </c>
      <c r="Q1210" s="21">
        <f t="shared" si="183"/>
        <v>6385254.5754512977</v>
      </c>
      <c r="R1210" s="21">
        <f t="shared" si="184"/>
        <v>10597871.357123436</v>
      </c>
      <c r="S1210" s="21">
        <f t="shared" si="185"/>
        <v>4212616.7816721387</v>
      </c>
      <c r="T1210" s="14">
        <f>IFERROR(INDEX(Cost_Components!$R$2:$R$27,MATCH(E1210,Cost_Components!$A$2:$A$27,0)),"")</f>
        <v>1</v>
      </c>
      <c r="U1210" s="24">
        <f>IFERROR(INDEX(Cost_Components!$Q$2:$Q$27,MATCH(E1210,Cost_Components!$A$2:$A$27,0)),"")</f>
        <v>2023</v>
      </c>
      <c r="V1210" s="28">
        <f>1/(1+Calculation_Assumptions!$B$5)^(B1210-Calculation_Assumptions!$B$2)</f>
        <v>0.70137988019297326</v>
      </c>
      <c r="W1210" s="21">
        <f t="shared" si="186"/>
        <v>4478489.0891316654</v>
      </c>
      <c r="X1210" s="21">
        <f t="shared" si="187"/>
        <v>7433133.7427597791</v>
      </c>
      <c r="Y1210" s="21">
        <f t="shared" si="188"/>
        <v>2954644.6536281132</v>
      </c>
      <c r="Z1210" s="15">
        <f>IFERROR(INDEX(Cost_Components!$T$2:$T$27,MATCH(E1210,Cost_Components!$A$2:$A$27,0)),"")</f>
        <v>0.8</v>
      </c>
      <c r="AA1210" s="24">
        <f>IFERROR(INDEX(Cost_Components!$U$2:$U$27,MATCH(E1210,Cost_Components!$A$2:$A$27,0)),"")</f>
        <v>2025</v>
      </c>
      <c r="AB1210" s="24">
        <f>IFERROR(INDEX(Cost_Components!$V$2:$V$27,MATCH(E1210,Cost_Components!$A$2:$A$27,0)),"")</f>
        <v>2050</v>
      </c>
      <c r="AC1210" s="24">
        <f>IFERROR(INDEX(Cost_Components!$M$2:$M$27,MATCH(E1210,Cost_Components!$A$2:$A$27,0)),"")</f>
        <v>30</v>
      </c>
      <c r="AD1210" s="24">
        <f>IFERROR(INDEX(Cost_Components!$N$2:$N$27,MATCH(E1210,Cost_Components!$A$2:$A$27,0)),"")</f>
        <v>95</v>
      </c>
      <c r="AE1210" s="14" t="str">
        <f>IFERROR(INDEX(Cost_Components!$O$2:$O$27,MATCH(E1210,Cost_Components!$A$2:$A$27,0)),"")</f>
        <v>Both</v>
      </c>
      <c r="AF1210" s="11">
        <v>1079967.9462095001</v>
      </c>
      <c r="AG1210" s="11">
        <v>1164935.0932211899</v>
      </c>
      <c r="AH1210" s="21">
        <f t="shared" si="189"/>
        <v>1</v>
      </c>
    </row>
    <row r="1211" spans="1:34" hidden="1">
      <c r="A1211" t="s">
        <v>75</v>
      </c>
      <c r="B1211" s="18">
        <v>2038</v>
      </c>
      <c r="C1211" t="s">
        <v>217</v>
      </c>
      <c r="D1211" t="s">
        <v>173</v>
      </c>
      <c r="E1211" s="20" t="s">
        <v>308</v>
      </c>
      <c r="F1211" s="20" t="s">
        <v>309</v>
      </c>
      <c r="G1211" s="20" t="s">
        <v>218</v>
      </c>
      <c r="H1211" s="20" t="s">
        <v>192</v>
      </c>
      <c r="I1211" s="20" t="s">
        <v>264</v>
      </c>
      <c r="J1211" s="15">
        <f>IFERROR(INDEX(Cost_Components!$K$2:$K$27,MATCH(E1211,Cost_Components!$A$2:$A$27,0)),"")</f>
        <v>0.5</v>
      </c>
      <c r="K1211" s="15">
        <f t="shared" si="180"/>
        <v>0.57384615384615389</v>
      </c>
      <c r="L1211" s="15">
        <f>IFERROR(INDEX(Cost_Components!$S$2:$S$27,MATCH(E1211,Cost_Components!$A$2:$A$27,0)),"")</f>
        <v>0.31</v>
      </c>
      <c r="M1211" s="26">
        <f>IFERROR(INDEX(Cost_Components!$L$2:$L$27,MATCH(E1211,Cost_Components!$A$2:$A$27,0)),"")</f>
        <v>1</v>
      </c>
      <c r="N1211" s="27">
        <f>IFERROR(INDEX(Cost_Components!$P$2:$P$27,MATCH(E1211,Cost_Components!$A$2:$A$27,0)),"")</f>
        <v>35.362648999999998</v>
      </c>
      <c r="O1211" s="21">
        <f t="shared" si="181"/>
        <v>541929.00631436997</v>
      </c>
      <c r="P1211" s="21">
        <f t="shared" si="182"/>
        <v>588662.15841064998</v>
      </c>
      <c r="Q1211" s="21">
        <f t="shared" si="183"/>
        <v>6453162.5191120449</v>
      </c>
      <c r="R1211" s="21">
        <f t="shared" si="184"/>
        <v>10997213.649213485</v>
      </c>
      <c r="S1211" s="21">
        <f t="shared" si="185"/>
        <v>4544051.1301014405</v>
      </c>
      <c r="T1211" s="14">
        <f>IFERROR(INDEX(Cost_Components!$R$2:$R$27,MATCH(E1211,Cost_Components!$A$2:$A$27,0)),"")</f>
        <v>1</v>
      </c>
      <c r="U1211" s="24">
        <f>IFERROR(INDEX(Cost_Components!$Q$2:$Q$27,MATCH(E1211,Cost_Components!$A$2:$A$27,0)),"")</f>
        <v>2023</v>
      </c>
      <c r="V1211" s="28">
        <f>1/(1+Calculation_Assumptions!$B$5)^(B1211-Calculation_Assumptions!$B$2)</f>
        <v>0.68095133999317792</v>
      </c>
      <c r="W1211" s="21">
        <f t="shared" si="186"/>
        <v>4394289.6645830991</v>
      </c>
      <c r="X1211" s="21">
        <f t="shared" si="187"/>
        <v>7488567.370623189</v>
      </c>
      <c r="Y1211" s="21">
        <f t="shared" si="188"/>
        <v>3094277.7060400904</v>
      </c>
      <c r="Z1211" s="15">
        <f>IFERROR(INDEX(Cost_Components!$T$2:$T$27,MATCH(E1211,Cost_Components!$A$2:$A$27,0)),"")</f>
        <v>0.8</v>
      </c>
      <c r="AA1211" s="24">
        <f>IFERROR(INDEX(Cost_Components!$U$2:$U$27,MATCH(E1211,Cost_Components!$A$2:$A$27,0)),"")</f>
        <v>2025</v>
      </c>
      <c r="AB1211" s="24">
        <f>IFERROR(INDEX(Cost_Components!$V$2:$V$27,MATCH(E1211,Cost_Components!$A$2:$A$27,0)),"")</f>
        <v>2050</v>
      </c>
      <c r="AC1211" s="24">
        <f>IFERROR(INDEX(Cost_Components!$M$2:$M$27,MATCH(E1211,Cost_Components!$A$2:$A$27,0)),"")</f>
        <v>30</v>
      </c>
      <c r="AD1211" s="24">
        <f>IFERROR(INDEX(Cost_Components!$N$2:$N$27,MATCH(E1211,Cost_Components!$A$2:$A$27,0)),"")</f>
        <v>95</v>
      </c>
      <c r="AE1211" s="14" t="str">
        <f>IFERROR(INDEX(Cost_Components!$O$2:$O$27,MATCH(E1211,Cost_Components!$A$2:$A$27,0)),"")</f>
        <v>Both</v>
      </c>
      <c r="AF1211" s="11">
        <v>1083858.0126287399</v>
      </c>
      <c r="AG1211" s="11">
        <v>1177324.3168213</v>
      </c>
      <c r="AH1211" s="21">
        <f t="shared" si="189"/>
        <v>1</v>
      </c>
    </row>
    <row r="1212" spans="1:34" hidden="1">
      <c r="A1212" t="s">
        <v>75</v>
      </c>
      <c r="B1212" s="18">
        <v>2039</v>
      </c>
      <c r="C1212" t="s">
        <v>217</v>
      </c>
      <c r="D1212" t="s">
        <v>173</v>
      </c>
      <c r="E1212" s="20" t="s">
        <v>308</v>
      </c>
      <c r="F1212" s="20" t="s">
        <v>309</v>
      </c>
      <c r="G1212" s="20" t="s">
        <v>218</v>
      </c>
      <c r="H1212" s="20" t="s">
        <v>192</v>
      </c>
      <c r="I1212" s="20" t="s">
        <v>264</v>
      </c>
      <c r="J1212" s="15">
        <f>IFERROR(INDEX(Cost_Components!$K$2:$K$27,MATCH(E1212,Cost_Components!$A$2:$A$27,0)),"")</f>
        <v>0.5</v>
      </c>
      <c r="K1212" s="15">
        <f t="shared" si="180"/>
        <v>0.59269230769230763</v>
      </c>
      <c r="L1212" s="15">
        <f>IFERROR(INDEX(Cost_Components!$S$2:$S$27,MATCH(E1212,Cost_Components!$A$2:$A$27,0)),"")</f>
        <v>0.31</v>
      </c>
      <c r="M1212" s="26">
        <f>IFERROR(INDEX(Cost_Components!$L$2:$L$27,MATCH(E1212,Cost_Components!$A$2:$A$27,0)),"")</f>
        <v>1</v>
      </c>
      <c r="N1212" s="27">
        <f>IFERROR(INDEX(Cost_Components!$P$2:$P$27,MATCH(E1212,Cost_Components!$A$2:$A$27,0)),"")</f>
        <v>35.362648999999998</v>
      </c>
      <c r="O1212" s="21">
        <f t="shared" si="181"/>
        <v>543645.22862572502</v>
      </c>
      <c r="P1212" s="21">
        <f t="shared" si="182"/>
        <v>594663.262699735</v>
      </c>
      <c r="Q1212" s="21">
        <f t="shared" si="183"/>
        <v>6518949.1519341115</v>
      </c>
      <c r="R1212" s="21">
        <f t="shared" si="184"/>
        <v>11394352.789246716</v>
      </c>
      <c r="S1212" s="21">
        <f t="shared" si="185"/>
        <v>4875403.6373126041</v>
      </c>
      <c r="T1212" s="14">
        <f>IFERROR(INDEX(Cost_Components!$R$2:$R$27,MATCH(E1212,Cost_Components!$A$2:$A$27,0)),"")</f>
        <v>1</v>
      </c>
      <c r="U1212" s="24">
        <f>IFERROR(INDEX(Cost_Components!$Q$2:$Q$27,MATCH(E1212,Cost_Components!$A$2:$A$27,0)),"")</f>
        <v>2023</v>
      </c>
      <c r="V1212" s="28">
        <f>1/(1+Calculation_Assumptions!$B$5)^(B1212-Calculation_Assumptions!$B$2)</f>
        <v>0.66111780581861923</v>
      </c>
      <c r="W1212" s="21">
        <f t="shared" si="186"/>
        <v>4309793.359569828</v>
      </c>
      <c r="X1212" s="21">
        <f t="shared" si="187"/>
        <v>7533009.5147500522</v>
      </c>
      <c r="Y1212" s="21">
        <f t="shared" si="188"/>
        <v>3223216.1551802242</v>
      </c>
      <c r="Z1212" s="15">
        <f>IFERROR(INDEX(Cost_Components!$T$2:$T$27,MATCH(E1212,Cost_Components!$A$2:$A$27,0)),"")</f>
        <v>0.8</v>
      </c>
      <c r="AA1212" s="24">
        <f>IFERROR(INDEX(Cost_Components!$U$2:$U$27,MATCH(E1212,Cost_Components!$A$2:$A$27,0)),"")</f>
        <v>2025</v>
      </c>
      <c r="AB1212" s="24">
        <f>IFERROR(INDEX(Cost_Components!$V$2:$V$27,MATCH(E1212,Cost_Components!$A$2:$A$27,0)),"")</f>
        <v>2050</v>
      </c>
      <c r="AC1212" s="24">
        <f>IFERROR(INDEX(Cost_Components!$M$2:$M$27,MATCH(E1212,Cost_Components!$A$2:$A$27,0)),"")</f>
        <v>30</v>
      </c>
      <c r="AD1212" s="24">
        <f>IFERROR(INDEX(Cost_Components!$N$2:$N$27,MATCH(E1212,Cost_Components!$A$2:$A$27,0)),"")</f>
        <v>95</v>
      </c>
      <c r="AE1212" s="14" t="str">
        <f>IFERROR(INDEX(Cost_Components!$O$2:$O$27,MATCH(E1212,Cost_Components!$A$2:$A$27,0)),"")</f>
        <v>Both</v>
      </c>
      <c r="AF1212" s="11">
        <v>1087290.45725145</v>
      </c>
      <c r="AG1212" s="11">
        <v>1189326.52539947</v>
      </c>
      <c r="AH1212" s="21">
        <f t="shared" si="189"/>
        <v>1</v>
      </c>
    </row>
    <row r="1213" spans="1:34" hidden="1">
      <c r="A1213" t="s">
        <v>75</v>
      </c>
      <c r="B1213" s="18">
        <v>2040</v>
      </c>
      <c r="C1213" t="s">
        <v>217</v>
      </c>
      <c r="D1213" t="s">
        <v>173</v>
      </c>
      <c r="E1213" s="20" t="s">
        <v>308</v>
      </c>
      <c r="F1213" s="20" t="s">
        <v>309</v>
      </c>
      <c r="G1213" s="20" t="s">
        <v>218</v>
      </c>
      <c r="H1213" s="20" t="s">
        <v>192</v>
      </c>
      <c r="I1213" s="20" t="s">
        <v>264</v>
      </c>
      <c r="J1213" s="15">
        <f>IFERROR(INDEX(Cost_Components!$K$2:$K$27,MATCH(E1213,Cost_Components!$A$2:$A$27,0)),"")</f>
        <v>0.5</v>
      </c>
      <c r="K1213" s="15">
        <f t="shared" si="180"/>
        <v>0.61153846153846159</v>
      </c>
      <c r="L1213" s="15">
        <f>IFERROR(INDEX(Cost_Components!$S$2:$S$27,MATCH(E1213,Cost_Components!$A$2:$A$27,0)),"")</f>
        <v>0.31</v>
      </c>
      <c r="M1213" s="26">
        <f>IFERROR(INDEX(Cost_Components!$L$2:$L$27,MATCH(E1213,Cost_Components!$A$2:$A$27,0)),"")</f>
        <v>1</v>
      </c>
      <c r="N1213" s="27">
        <f>IFERROR(INDEX(Cost_Components!$P$2:$P$27,MATCH(E1213,Cost_Components!$A$2:$A$27,0)),"")</f>
        <v>35.362648999999998</v>
      </c>
      <c r="O1213" s="21">
        <f t="shared" si="181"/>
        <v>545268.796809135</v>
      </c>
      <c r="P1213" s="21">
        <f t="shared" si="182"/>
        <v>600603.94068132504</v>
      </c>
      <c r="Q1213" s="21">
        <f t="shared" si="183"/>
        <v>6584073.36612246</v>
      </c>
      <c r="R1213" s="21">
        <f t="shared" si="184"/>
        <v>11791775.778776877</v>
      </c>
      <c r="S1213" s="21">
        <f t="shared" si="185"/>
        <v>5207702.4126544166</v>
      </c>
      <c r="T1213" s="14">
        <f>IFERROR(INDEX(Cost_Components!$R$2:$R$27,MATCH(E1213,Cost_Components!$A$2:$A$27,0)),"")</f>
        <v>1</v>
      </c>
      <c r="U1213" s="24">
        <f>IFERROR(INDEX(Cost_Components!$Q$2:$Q$27,MATCH(E1213,Cost_Components!$A$2:$A$27,0)),"")</f>
        <v>2023</v>
      </c>
      <c r="V1213" s="28">
        <f>1/(1+Calculation_Assumptions!$B$5)^(B1213-Calculation_Assumptions!$B$2)</f>
        <v>0.64186194739671765</v>
      </c>
      <c r="W1213" s="21">
        <f t="shared" si="186"/>
        <v>4226066.1525822245</v>
      </c>
      <c r="X1213" s="21">
        <f t="shared" si="187"/>
        <v>7568692.164631173</v>
      </c>
      <c r="Y1213" s="21">
        <f t="shared" si="188"/>
        <v>3342626.0120489486</v>
      </c>
      <c r="Z1213" s="15">
        <f>IFERROR(INDEX(Cost_Components!$T$2:$T$27,MATCH(E1213,Cost_Components!$A$2:$A$27,0)),"")</f>
        <v>0.8</v>
      </c>
      <c r="AA1213" s="24">
        <f>IFERROR(INDEX(Cost_Components!$U$2:$U$27,MATCH(E1213,Cost_Components!$A$2:$A$27,0)),"")</f>
        <v>2025</v>
      </c>
      <c r="AB1213" s="24">
        <f>IFERROR(INDEX(Cost_Components!$V$2:$V$27,MATCH(E1213,Cost_Components!$A$2:$A$27,0)),"")</f>
        <v>2050</v>
      </c>
      <c r="AC1213" s="24">
        <f>IFERROR(INDEX(Cost_Components!$M$2:$M$27,MATCH(E1213,Cost_Components!$A$2:$A$27,0)),"")</f>
        <v>30</v>
      </c>
      <c r="AD1213" s="24">
        <f>IFERROR(INDEX(Cost_Components!$N$2:$N$27,MATCH(E1213,Cost_Components!$A$2:$A$27,0)),"")</f>
        <v>95</v>
      </c>
      <c r="AE1213" s="14" t="str">
        <f>IFERROR(INDEX(Cost_Components!$O$2:$O$27,MATCH(E1213,Cost_Components!$A$2:$A$27,0)),"")</f>
        <v>Both</v>
      </c>
      <c r="AF1213" s="11">
        <v>1090537.59361827</v>
      </c>
      <c r="AG1213" s="11">
        <v>1201207.8813626501</v>
      </c>
      <c r="AH1213" s="21">
        <f t="shared" si="189"/>
        <v>1</v>
      </c>
    </row>
    <row r="1214" spans="1:34" hidden="1">
      <c r="A1214" t="s">
        <v>75</v>
      </c>
      <c r="B1214" s="18">
        <v>2041</v>
      </c>
      <c r="C1214" t="s">
        <v>217</v>
      </c>
      <c r="D1214" t="s">
        <v>173</v>
      </c>
      <c r="E1214" s="20" t="s">
        <v>308</v>
      </c>
      <c r="F1214" s="20" t="s">
        <v>309</v>
      </c>
      <c r="G1214" s="20" t="s">
        <v>218</v>
      </c>
      <c r="H1214" s="20" t="s">
        <v>192</v>
      </c>
      <c r="I1214" s="20" t="s">
        <v>264</v>
      </c>
      <c r="J1214" s="15">
        <f>IFERROR(INDEX(Cost_Components!$K$2:$K$27,MATCH(E1214,Cost_Components!$A$2:$A$27,0)),"")</f>
        <v>0.5</v>
      </c>
      <c r="K1214" s="15">
        <f t="shared" si="180"/>
        <v>0.63038461538461543</v>
      </c>
      <c r="L1214" s="15">
        <f>IFERROR(INDEX(Cost_Components!$S$2:$S$27,MATCH(E1214,Cost_Components!$A$2:$A$27,0)),"")</f>
        <v>0.31</v>
      </c>
      <c r="M1214" s="26">
        <f>IFERROR(INDEX(Cost_Components!$L$2:$L$27,MATCH(E1214,Cost_Components!$A$2:$A$27,0)),"")</f>
        <v>1</v>
      </c>
      <c r="N1214" s="27">
        <f>IFERROR(INDEX(Cost_Components!$P$2:$P$27,MATCH(E1214,Cost_Components!$A$2:$A$27,0)),"")</f>
        <v>35.362648999999998</v>
      </c>
      <c r="O1214" s="21">
        <f t="shared" si="181"/>
        <v>546859.48462654999</v>
      </c>
      <c r="P1214" s="21">
        <f t="shared" si="182"/>
        <v>606538.96964380005</v>
      </c>
      <c r="Q1214" s="21">
        <f t="shared" si="183"/>
        <v>6649135.65338396</v>
      </c>
      <c r="R1214" s="21">
        <f t="shared" si="184"/>
        <v>12190629.850673441</v>
      </c>
      <c r="S1214" s="21">
        <f t="shared" si="185"/>
        <v>5541494.1972894808</v>
      </c>
      <c r="T1214" s="14">
        <f>IFERROR(INDEX(Cost_Components!$R$2:$R$27,MATCH(E1214,Cost_Components!$A$2:$A$27,0)),"")</f>
        <v>1</v>
      </c>
      <c r="U1214" s="24">
        <f>IFERROR(INDEX(Cost_Components!$Q$2:$Q$27,MATCH(E1214,Cost_Components!$A$2:$A$27,0)),"")</f>
        <v>2023</v>
      </c>
      <c r="V1214" s="28">
        <f>1/(1+Calculation_Assumptions!$B$5)^(B1214-Calculation_Assumptions!$B$2)</f>
        <v>0.62316693922011435</v>
      </c>
      <c r="W1214" s="21">
        <f t="shared" si="186"/>
        <v>4143521.5135786175</v>
      </c>
      <c r="X1214" s="21">
        <f t="shared" si="187"/>
        <v>7596797.4912095275</v>
      </c>
      <c r="Y1214" s="21">
        <f t="shared" si="188"/>
        <v>3453275.9776309105</v>
      </c>
      <c r="Z1214" s="15">
        <f>IFERROR(INDEX(Cost_Components!$T$2:$T$27,MATCH(E1214,Cost_Components!$A$2:$A$27,0)),"")</f>
        <v>0.8</v>
      </c>
      <c r="AA1214" s="24">
        <f>IFERROR(INDEX(Cost_Components!$U$2:$U$27,MATCH(E1214,Cost_Components!$A$2:$A$27,0)),"")</f>
        <v>2025</v>
      </c>
      <c r="AB1214" s="24">
        <f>IFERROR(INDEX(Cost_Components!$V$2:$V$27,MATCH(E1214,Cost_Components!$A$2:$A$27,0)),"")</f>
        <v>2050</v>
      </c>
      <c r="AC1214" s="24">
        <f>IFERROR(INDEX(Cost_Components!$M$2:$M$27,MATCH(E1214,Cost_Components!$A$2:$A$27,0)),"")</f>
        <v>30</v>
      </c>
      <c r="AD1214" s="24">
        <f>IFERROR(INDEX(Cost_Components!$N$2:$N$27,MATCH(E1214,Cost_Components!$A$2:$A$27,0)),"")</f>
        <v>95</v>
      </c>
      <c r="AE1214" s="14" t="str">
        <f>IFERROR(INDEX(Cost_Components!$O$2:$O$27,MATCH(E1214,Cost_Components!$A$2:$A$27,0)),"")</f>
        <v>Both</v>
      </c>
      <c r="AF1214" s="11">
        <v>1093718.9692531</v>
      </c>
      <c r="AG1214" s="11">
        <v>1213077.9392876001</v>
      </c>
      <c r="AH1214" s="21">
        <f t="shared" si="189"/>
        <v>1</v>
      </c>
    </row>
    <row r="1215" spans="1:34" hidden="1">
      <c r="A1215" t="s">
        <v>75</v>
      </c>
      <c r="B1215" s="18">
        <v>2042</v>
      </c>
      <c r="C1215" t="s">
        <v>217</v>
      </c>
      <c r="D1215" t="s">
        <v>173</v>
      </c>
      <c r="E1215" s="20" t="s">
        <v>308</v>
      </c>
      <c r="F1215" s="20" t="s">
        <v>309</v>
      </c>
      <c r="G1215" s="20" t="s">
        <v>218</v>
      </c>
      <c r="H1215" s="20" t="s">
        <v>192</v>
      </c>
      <c r="I1215" s="20" t="s">
        <v>264</v>
      </c>
      <c r="J1215" s="15">
        <f>IFERROR(INDEX(Cost_Components!$K$2:$K$27,MATCH(E1215,Cost_Components!$A$2:$A$27,0)),"")</f>
        <v>0.5</v>
      </c>
      <c r="K1215" s="15">
        <f t="shared" si="180"/>
        <v>0.64923076923076928</v>
      </c>
      <c r="L1215" s="15">
        <f>IFERROR(INDEX(Cost_Components!$S$2:$S$27,MATCH(E1215,Cost_Components!$A$2:$A$27,0)),"")</f>
        <v>0.31</v>
      </c>
      <c r="M1215" s="26">
        <f>IFERROR(INDEX(Cost_Components!$L$2:$L$27,MATCH(E1215,Cost_Components!$A$2:$A$27,0)),"")</f>
        <v>1</v>
      </c>
      <c r="N1215" s="27">
        <f>IFERROR(INDEX(Cost_Components!$P$2:$P$27,MATCH(E1215,Cost_Components!$A$2:$A$27,0)),"")</f>
        <v>35.362648999999998</v>
      </c>
      <c r="O1215" s="21">
        <f t="shared" si="181"/>
        <v>548368.86179659003</v>
      </c>
      <c r="P1215" s="21">
        <f t="shared" si="182"/>
        <v>612412.60439144506</v>
      </c>
      <c r="Q1215" s="21">
        <f t="shared" si="183"/>
        <v>6713524.9114038637</v>
      </c>
      <c r="R1215" s="21">
        <f t="shared" si="184"/>
        <v>12589737.378009632</v>
      </c>
      <c r="S1215" s="21">
        <f t="shared" si="185"/>
        <v>5876212.4666057685</v>
      </c>
      <c r="T1215" s="14">
        <f>IFERROR(INDEX(Cost_Components!$R$2:$R$27,MATCH(E1215,Cost_Components!$A$2:$A$27,0)),"")</f>
        <v>1</v>
      </c>
      <c r="U1215" s="24">
        <f>IFERROR(INDEX(Cost_Components!$Q$2:$Q$27,MATCH(E1215,Cost_Components!$A$2:$A$27,0)),"")</f>
        <v>2023</v>
      </c>
      <c r="V1215" s="28">
        <f>1/(1+Calculation_Assumptions!$B$5)^(B1215-Calculation_Assumptions!$B$2)</f>
        <v>0.60501644584477121</v>
      </c>
      <c r="W1215" s="21">
        <f t="shared" si="186"/>
        <v>4061792.9809878981</v>
      </c>
      <c r="X1215" s="21">
        <f t="shared" si="187"/>
        <v>7616998.1625624569</v>
      </c>
      <c r="Y1215" s="21">
        <f t="shared" si="188"/>
        <v>3555205.1815745584</v>
      </c>
      <c r="Z1215" s="15">
        <f>IFERROR(INDEX(Cost_Components!$T$2:$T$27,MATCH(E1215,Cost_Components!$A$2:$A$27,0)),"")</f>
        <v>0.8</v>
      </c>
      <c r="AA1215" s="24">
        <f>IFERROR(INDEX(Cost_Components!$U$2:$U$27,MATCH(E1215,Cost_Components!$A$2:$A$27,0)),"")</f>
        <v>2025</v>
      </c>
      <c r="AB1215" s="24">
        <f>IFERROR(INDEX(Cost_Components!$V$2:$V$27,MATCH(E1215,Cost_Components!$A$2:$A$27,0)),"")</f>
        <v>2050</v>
      </c>
      <c r="AC1215" s="24">
        <f>IFERROR(INDEX(Cost_Components!$M$2:$M$27,MATCH(E1215,Cost_Components!$A$2:$A$27,0)),"")</f>
        <v>30</v>
      </c>
      <c r="AD1215" s="24">
        <f>IFERROR(INDEX(Cost_Components!$N$2:$N$27,MATCH(E1215,Cost_Components!$A$2:$A$27,0)),"")</f>
        <v>95</v>
      </c>
      <c r="AE1215" s="14" t="str">
        <f>IFERROR(INDEX(Cost_Components!$O$2:$O$27,MATCH(E1215,Cost_Components!$A$2:$A$27,0)),"")</f>
        <v>Both</v>
      </c>
      <c r="AF1215" s="11">
        <v>1096737.7235931801</v>
      </c>
      <c r="AG1215" s="11">
        <v>1224825.2087828901</v>
      </c>
      <c r="AH1215" s="21">
        <f t="shared" si="189"/>
        <v>1</v>
      </c>
    </row>
    <row r="1216" spans="1:34" hidden="1">
      <c r="A1216" t="s">
        <v>75</v>
      </c>
      <c r="B1216" s="18">
        <v>2043</v>
      </c>
      <c r="C1216" t="s">
        <v>217</v>
      </c>
      <c r="D1216" t="s">
        <v>173</v>
      </c>
      <c r="E1216" s="20" t="s">
        <v>308</v>
      </c>
      <c r="F1216" s="20" t="s">
        <v>309</v>
      </c>
      <c r="G1216" s="20" t="s">
        <v>218</v>
      </c>
      <c r="H1216" s="20" t="s">
        <v>192</v>
      </c>
      <c r="I1216" s="20" t="s">
        <v>264</v>
      </c>
      <c r="J1216" s="15">
        <f>IFERROR(INDEX(Cost_Components!$K$2:$K$27,MATCH(E1216,Cost_Components!$A$2:$A$27,0)),"")</f>
        <v>0.5</v>
      </c>
      <c r="K1216" s="15">
        <f t="shared" si="180"/>
        <v>0.66807692307692301</v>
      </c>
      <c r="L1216" s="15">
        <f>IFERROR(INDEX(Cost_Components!$S$2:$S$27,MATCH(E1216,Cost_Components!$A$2:$A$27,0)),"")</f>
        <v>0.31</v>
      </c>
      <c r="M1216" s="26">
        <f>IFERROR(INDEX(Cost_Components!$L$2:$L$27,MATCH(E1216,Cost_Components!$A$2:$A$27,0)),"")</f>
        <v>1</v>
      </c>
      <c r="N1216" s="27">
        <f>IFERROR(INDEX(Cost_Components!$P$2:$P$27,MATCH(E1216,Cost_Components!$A$2:$A$27,0)),"")</f>
        <v>35.362648999999998</v>
      </c>
      <c r="O1216" s="21">
        <f t="shared" si="181"/>
        <v>549671.81331171002</v>
      </c>
      <c r="P1216" s="21">
        <f t="shared" si="182"/>
        <v>618098.13743520505</v>
      </c>
      <c r="Q1216" s="21">
        <f t="shared" si="183"/>
        <v>6775852.1193192238</v>
      </c>
      <c r="R1216" s="21">
        <f t="shared" si="184"/>
        <v>12985979.95409454</v>
      </c>
      <c r="S1216" s="21">
        <f t="shared" si="185"/>
        <v>6210127.8347753165</v>
      </c>
      <c r="T1216" s="14">
        <f>IFERROR(INDEX(Cost_Components!$R$2:$R$27,MATCH(E1216,Cost_Components!$A$2:$A$27,0)),"")</f>
        <v>1</v>
      </c>
      <c r="U1216" s="24">
        <f>IFERROR(INDEX(Cost_Components!$Q$2:$Q$27,MATCH(E1216,Cost_Components!$A$2:$A$27,0)),"")</f>
        <v>2023</v>
      </c>
      <c r="V1216" s="28">
        <f>1/(1+Calculation_Assumptions!$B$5)^(B1216-Calculation_Assumptions!$B$2)</f>
        <v>0.5873946076162827</v>
      </c>
      <c r="W1216" s="21">
        <f t="shared" si="186"/>
        <v>3980098.996893473</v>
      </c>
      <c r="X1216" s="21">
        <f t="shared" si="187"/>
        <v>7627894.5996482754</v>
      </c>
      <c r="Y1216" s="21">
        <f t="shared" si="188"/>
        <v>3647795.6027548024</v>
      </c>
      <c r="Z1216" s="15">
        <f>IFERROR(INDEX(Cost_Components!$T$2:$T$27,MATCH(E1216,Cost_Components!$A$2:$A$27,0)),"")</f>
        <v>0.8</v>
      </c>
      <c r="AA1216" s="24">
        <f>IFERROR(INDEX(Cost_Components!$U$2:$U$27,MATCH(E1216,Cost_Components!$A$2:$A$27,0)),"")</f>
        <v>2025</v>
      </c>
      <c r="AB1216" s="24">
        <f>IFERROR(INDEX(Cost_Components!$V$2:$V$27,MATCH(E1216,Cost_Components!$A$2:$A$27,0)),"")</f>
        <v>2050</v>
      </c>
      <c r="AC1216" s="24">
        <f>IFERROR(INDEX(Cost_Components!$M$2:$M$27,MATCH(E1216,Cost_Components!$A$2:$A$27,0)),"")</f>
        <v>30</v>
      </c>
      <c r="AD1216" s="24">
        <f>IFERROR(INDEX(Cost_Components!$N$2:$N$27,MATCH(E1216,Cost_Components!$A$2:$A$27,0)),"")</f>
        <v>95</v>
      </c>
      <c r="AE1216" s="14" t="str">
        <f>IFERROR(INDEX(Cost_Components!$O$2:$O$27,MATCH(E1216,Cost_Components!$A$2:$A$27,0)),"")</f>
        <v>Both</v>
      </c>
      <c r="AF1216" s="11">
        <v>1099343.62662342</v>
      </c>
      <c r="AG1216" s="11">
        <v>1236196.2748704101</v>
      </c>
      <c r="AH1216" s="21">
        <f t="shared" si="189"/>
        <v>1</v>
      </c>
    </row>
    <row r="1217" spans="1:34" hidden="1">
      <c r="A1217" t="s">
        <v>75</v>
      </c>
      <c r="B1217" s="18">
        <v>2044</v>
      </c>
      <c r="C1217" t="s">
        <v>217</v>
      </c>
      <c r="D1217" t="s">
        <v>173</v>
      </c>
      <c r="E1217" s="20" t="s">
        <v>308</v>
      </c>
      <c r="F1217" s="20" t="s">
        <v>309</v>
      </c>
      <c r="G1217" s="20" t="s">
        <v>218</v>
      </c>
      <c r="H1217" s="20" t="s">
        <v>192</v>
      </c>
      <c r="I1217" s="20" t="s">
        <v>264</v>
      </c>
      <c r="J1217" s="15">
        <f>IFERROR(INDEX(Cost_Components!$K$2:$K$27,MATCH(E1217,Cost_Components!$A$2:$A$27,0)),"")</f>
        <v>0.5</v>
      </c>
      <c r="K1217" s="15">
        <f t="shared" si="180"/>
        <v>0.68692307692307697</v>
      </c>
      <c r="L1217" s="15">
        <f>IFERROR(INDEX(Cost_Components!$S$2:$S$27,MATCH(E1217,Cost_Components!$A$2:$A$27,0)),"")</f>
        <v>0.31</v>
      </c>
      <c r="M1217" s="26">
        <f>IFERROR(INDEX(Cost_Components!$L$2:$L$27,MATCH(E1217,Cost_Components!$A$2:$A$27,0)),"")</f>
        <v>1</v>
      </c>
      <c r="N1217" s="27">
        <f>IFERROR(INDEX(Cost_Components!$P$2:$P$27,MATCH(E1217,Cost_Components!$A$2:$A$27,0)),"")</f>
        <v>35.362648999999998</v>
      </c>
      <c r="O1217" s="21">
        <f t="shared" si="181"/>
        <v>550686.08693667501</v>
      </c>
      <c r="P1217" s="21">
        <f t="shared" si="182"/>
        <v>623502.10899685498</v>
      </c>
      <c r="Q1217" s="21">
        <f t="shared" si="183"/>
        <v>6835092.7316768114</v>
      </c>
      <c r="R1217" s="21">
        <f t="shared" si="184"/>
        <v>13376946.838278411</v>
      </c>
      <c r="S1217" s="21">
        <f t="shared" si="185"/>
        <v>6541854.1066015996</v>
      </c>
      <c r="T1217" s="14">
        <f>IFERROR(INDEX(Cost_Components!$R$2:$R$27,MATCH(E1217,Cost_Components!$A$2:$A$27,0)),"")</f>
        <v>1</v>
      </c>
      <c r="U1217" s="24">
        <f>IFERROR(INDEX(Cost_Components!$Q$2:$Q$27,MATCH(E1217,Cost_Components!$A$2:$A$27,0)),"")</f>
        <v>2023</v>
      </c>
      <c r="V1217" s="28">
        <f>1/(1+Calculation_Assumptions!$B$5)^(B1217-Calculation_Assumptions!$B$2)</f>
        <v>0.57028602681192497</v>
      </c>
      <c r="W1217" s="21">
        <f t="shared" si="186"/>
        <v>3897957.8768390357</v>
      </c>
      <c r="X1217" s="21">
        <f t="shared" si="187"/>
        <v>7628685.863276137</v>
      </c>
      <c r="Y1217" s="21">
        <f t="shared" si="188"/>
        <v>3730727.9864371014</v>
      </c>
      <c r="Z1217" s="15">
        <f>IFERROR(INDEX(Cost_Components!$T$2:$T$27,MATCH(E1217,Cost_Components!$A$2:$A$27,0)),"")</f>
        <v>0.8</v>
      </c>
      <c r="AA1217" s="24">
        <f>IFERROR(INDEX(Cost_Components!$U$2:$U$27,MATCH(E1217,Cost_Components!$A$2:$A$27,0)),"")</f>
        <v>2025</v>
      </c>
      <c r="AB1217" s="24">
        <f>IFERROR(INDEX(Cost_Components!$V$2:$V$27,MATCH(E1217,Cost_Components!$A$2:$A$27,0)),"")</f>
        <v>2050</v>
      </c>
      <c r="AC1217" s="24">
        <f>IFERROR(INDEX(Cost_Components!$M$2:$M$27,MATCH(E1217,Cost_Components!$A$2:$A$27,0)),"")</f>
        <v>30</v>
      </c>
      <c r="AD1217" s="24">
        <f>IFERROR(INDEX(Cost_Components!$N$2:$N$27,MATCH(E1217,Cost_Components!$A$2:$A$27,0)),"")</f>
        <v>95</v>
      </c>
      <c r="AE1217" s="14" t="str">
        <f>IFERROR(INDEX(Cost_Components!$O$2:$O$27,MATCH(E1217,Cost_Components!$A$2:$A$27,0)),"")</f>
        <v>Both</v>
      </c>
      <c r="AF1217" s="11">
        <v>1101372.17387335</v>
      </c>
      <c r="AG1217" s="11">
        <v>1247004.21799371</v>
      </c>
      <c r="AH1217" s="21">
        <f t="shared" si="189"/>
        <v>1</v>
      </c>
    </row>
    <row r="1218" spans="1:34" hidden="1">
      <c r="A1218" t="s">
        <v>75</v>
      </c>
      <c r="B1218" s="18">
        <v>2045</v>
      </c>
      <c r="C1218" t="s">
        <v>217</v>
      </c>
      <c r="D1218" t="s">
        <v>173</v>
      </c>
      <c r="E1218" s="20" t="s">
        <v>308</v>
      </c>
      <c r="F1218" s="20" t="s">
        <v>309</v>
      </c>
      <c r="G1218" s="20" t="s">
        <v>218</v>
      </c>
      <c r="H1218" s="20" t="s">
        <v>192</v>
      </c>
      <c r="I1218" s="20" t="s">
        <v>264</v>
      </c>
      <c r="J1218" s="15">
        <f>IFERROR(INDEX(Cost_Components!$K$2:$K$27,MATCH(E1218,Cost_Components!$A$2:$A$27,0)),"")</f>
        <v>0.5</v>
      </c>
      <c r="K1218" s="15">
        <f t="shared" ref="K1218:K1281" si="190">IF(OR(L1218="",Z1218="",AA1218="",AB1218=""),"",IF(B1218&lt;AA1218,L1218,IF(B1218&gt;AB1218,Z1218,L1218+(Z1218-L1218)*MIN(MAX((B1218-AA1218+1)/MAX(AB1218-AA1218+1,1),0),1))))</f>
        <v>0.70576923076923082</v>
      </c>
      <c r="L1218" s="15">
        <f>IFERROR(INDEX(Cost_Components!$S$2:$S$27,MATCH(E1218,Cost_Components!$A$2:$A$27,0)),"")</f>
        <v>0.31</v>
      </c>
      <c r="M1218" s="26">
        <f>IFERROR(INDEX(Cost_Components!$L$2:$L$27,MATCH(E1218,Cost_Components!$A$2:$A$27,0)),"")</f>
        <v>1</v>
      </c>
      <c r="N1218" s="27">
        <f>IFERROR(INDEX(Cost_Components!$P$2:$P$27,MATCH(E1218,Cost_Components!$A$2:$A$27,0)),"")</f>
        <v>35.362648999999998</v>
      </c>
      <c r="O1218" s="21">
        <f t="shared" ref="O1218:O1281" si="191">AF1218*J1218</f>
        <v>551360.62676778506</v>
      </c>
      <c r="P1218" s="21">
        <f t="shared" ref="P1218:P1281" si="192">AG1218*J1218</f>
        <v>628559.84913604497</v>
      </c>
      <c r="Q1218" s="21">
        <f t="shared" ref="Q1218:Q1281" si="193">P1218*L1218*M1218*N1218</f>
        <v>6890537.8093521819</v>
      </c>
      <c r="R1218" s="21">
        <f t="shared" ref="R1218:R1281" si="194">O1218*K1218*M1218*N1218</f>
        <v>13760786.615901869</v>
      </c>
      <c r="S1218" s="21">
        <f t="shared" ref="S1218:S1281" si="195">R1218-Q1218</f>
        <v>6870248.8065496869</v>
      </c>
      <c r="T1218" s="14">
        <f>IFERROR(INDEX(Cost_Components!$R$2:$R$27,MATCH(E1218,Cost_Components!$A$2:$A$27,0)),"")</f>
        <v>1</v>
      </c>
      <c r="U1218" s="24">
        <f>IFERROR(INDEX(Cost_Components!$Q$2:$Q$27,MATCH(E1218,Cost_Components!$A$2:$A$27,0)),"")</f>
        <v>2023</v>
      </c>
      <c r="V1218" s="28">
        <f>1/(1+Calculation_Assumptions!$B$5)^(B1218-Calculation_Assumptions!$B$2)</f>
        <v>0.55367575418633497</v>
      </c>
      <c r="W1218" s="21">
        <f t="shared" ref="W1218:W1281" si="196">Q1218*V1218</f>
        <v>3815123.7183425259</v>
      </c>
      <c r="X1218" s="21">
        <f t="shared" ref="X1218:X1281" si="197">R1218*V1218</f>
        <v>7619013.9077566909</v>
      </c>
      <c r="Y1218" s="21">
        <f t="shared" ref="Y1218:Y1281" si="198">S1218*V1218</f>
        <v>3803890.1894141654</v>
      </c>
      <c r="Z1218" s="15">
        <f>IFERROR(INDEX(Cost_Components!$T$2:$T$27,MATCH(E1218,Cost_Components!$A$2:$A$27,0)),"")</f>
        <v>0.8</v>
      </c>
      <c r="AA1218" s="24">
        <f>IFERROR(INDEX(Cost_Components!$U$2:$U$27,MATCH(E1218,Cost_Components!$A$2:$A$27,0)),"")</f>
        <v>2025</v>
      </c>
      <c r="AB1218" s="24">
        <f>IFERROR(INDEX(Cost_Components!$V$2:$V$27,MATCH(E1218,Cost_Components!$A$2:$A$27,0)),"")</f>
        <v>2050</v>
      </c>
      <c r="AC1218" s="24">
        <f>IFERROR(INDEX(Cost_Components!$M$2:$M$27,MATCH(E1218,Cost_Components!$A$2:$A$27,0)),"")</f>
        <v>30</v>
      </c>
      <c r="AD1218" s="24">
        <f>IFERROR(INDEX(Cost_Components!$N$2:$N$27,MATCH(E1218,Cost_Components!$A$2:$A$27,0)),"")</f>
        <v>95</v>
      </c>
      <c r="AE1218" s="14" t="str">
        <f>IFERROR(INDEX(Cost_Components!$O$2:$O$27,MATCH(E1218,Cost_Components!$A$2:$A$27,0)),"")</f>
        <v>Both</v>
      </c>
      <c r="AF1218" s="11">
        <v>1102721.2535355701</v>
      </c>
      <c r="AG1218" s="11">
        <v>1257119.6982720899</v>
      </c>
      <c r="AH1218" s="21">
        <f t="shared" ref="AH1218:AH1281" si="199">IF(H1218="shared-count-once",COUNTIFS($A$2:$A$1353,A1218,$B$2:$B$1353,B1218,$E$2:$E$1353,E1218),1)</f>
        <v>1</v>
      </c>
    </row>
    <row r="1219" spans="1:34" hidden="1">
      <c r="A1219" t="s">
        <v>75</v>
      </c>
      <c r="B1219" s="18">
        <v>2046</v>
      </c>
      <c r="C1219" t="s">
        <v>217</v>
      </c>
      <c r="D1219" t="s">
        <v>173</v>
      </c>
      <c r="E1219" s="20" t="s">
        <v>308</v>
      </c>
      <c r="F1219" s="20" t="s">
        <v>309</v>
      </c>
      <c r="G1219" s="20" t="s">
        <v>218</v>
      </c>
      <c r="H1219" s="20" t="s">
        <v>192</v>
      </c>
      <c r="I1219" s="20" t="s">
        <v>264</v>
      </c>
      <c r="J1219" s="15">
        <f>IFERROR(INDEX(Cost_Components!$K$2:$K$27,MATCH(E1219,Cost_Components!$A$2:$A$27,0)),"")</f>
        <v>0.5</v>
      </c>
      <c r="K1219" s="15">
        <f t="shared" si="190"/>
        <v>0.72461538461538466</v>
      </c>
      <c r="L1219" s="15">
        <f>IFERROR(INDEX(Cost_Components!$S$2:$S$27,MATCH(E1219,Cost_Components!$A$2:$A$27,0)),"")</f>
        <v>0.31</v>
      </c>
      <c r="M1219" s="26">
        <f>IFERROR(INDEX(Cost_Components!$L$2:$L$27,MATCH(E1219,Cost_Components!$A$2:$A$27,0)),"")</f>
        <v>1</v>
      </c>
      <c r="N1219" s="27">
        <f>IFERROR(INDEX(Cost_Components!$P$2:$P$27,MATCH(E1219,Cost_Components!$A$2:$A$27,0)),"")</f>
        <v>35.362648999999998</v>
      </c>
      <c r="O1219" s="21">
        <f t="shared" si="191"/>
        <v>551732.58559141995</v>
      </c>
      <c r="P1219" s="21">
        <f t="shared" si="192"/>
        <v>633301.13632591499</v>
      </c>
      <c r="Q1219" s="21">
        <f t="shared" si="193"/>
        <v>6942513.7965102885</v>
      </c>
      <c r="R1219" s="21">
        <f t="shared" si="194"/>
        <v>14137772.055150919</v>
      </c>
      <c r="S1219" s="21">
        <f t="shared" si="195"/>
        <v>7195258.2586406302</v>
      </c>
      <c r="T1219" s="14">
        <f>IFERROR(INDEX(Cost_Components!$R$2:$R$27,MATCH(E1219,Cost_Components!$A$2:$A$27,0)),"")</f>
        <v>1</v>
      </c>
      <c r="U1219" s="24">
        <f>IFERROR(INDEX(Cost_Components!$Q$2:$Q$27,MATCH(E1219,Cost_Components!$A$2:$A$27,0)),"")</f>
        <v>2023</v>
      </c>
      <c r="V1219" s="28">
        <f>1/(1+Calculation_Assumptions!$B$5)^(B1219-Calculation_Assumptions!$B$2)</f>
        <v>0.5375492759090631</v>
      </c>
      <c r="W1219" s="21">
        <f t="shared" si="196"/>
        <v>3731943.264302786</v>
      </c>
      <c r="X1219" s="21">
        <f t="shared" si="197"/>
        <v>7599749.1312137628</v>
      </c>
      <c r="Y1219" s="21">
        <f t="shared" si="198"/>
        <v>3867805.8669109768</v>
      </c>
      <c r="Z1219" s="15">
        <f>IFERROR(INDEX(Cost_Components!$T$2:$T$27,MATCH(E1219,Cost_Components!$A$2:$A$27,0)),"")</f>
        <v>0.8</v>
      </c>
      <c r="AA1219" s="24">
        <f>IFERROR(INDEX(Cost_Components!$U$2:$U$27,MATCH(E1219,Cost_Components!$A$2:$A$27,0)),"")</f>
        <v>2025</v>
      </c>
      <c r="AB1219" s="24">
        <f>IFERROR(INDEX(Cost_Components!$V$2:$V$27,MATCH(E1219,Cost_Components!$A$2:$A$27,0)),"")</f>
        <v>2050</v>
      </c>
      <c r="AC1219" s="24">
        <f>IFERROR(INDEX(Cost_Components!$M$2:$M$27,MATCH(E1219,Cost_Components!$A$2:$A$27,0)),"")</f>
        <v>30</v>
      </c>
      <c r="AD1219" s="24">
        <f>IFERROR(INDEX(Cost_Components!$N$2:$N$27,MATCH(E1219,Cost_Components!$A$2:$A$27,0)),"")</f>
        <v>95</v>
      </c>
      <c r="AE1219" s="14" t="str">
        <f>IFERROR(INDEX(Cost_Components!$O$2:$O$27,MATCH(E1219,Cost_Components!$A$2:$A$27,0)),"")</f>
        <v>Both</v>
      </c>
      <c r="AF1219" s="11">
        <v>1103465.1711828399</v>
      </c>
      <c r="AG1219" s="11">
        <v>1266602.27265183</v>
      </c>
      <c r="AH1219" s="21">
        <f t="shared" si="199"/>
        <v>1</v>
      </c>
    </row>
    <row r="1220" spans="1:34" hidden="1">
      <c r="A1220" t="s">
        <v>75</v>
      </c>
      <c r="B1220" s="18">
        <v>2047</v>
      </c>
      <c r="C1220" t="s">
        <v>217</v>
      </c>
      <c r="D1220" t="s">
        <v>173</v>
      </c>
      <c r="E1220" s="20" t="s">
        <v>308</v>
      </c>
      <c r="F1220" s="20" t="s">
        <v>309</v>
      </c>
      <c r="G1220" s="20" t="s">
        <v>218</v>
      </c>
      <c r="H1220" s="20" t="s">
        <v>192</v>
      </c>
      <c r="I1220" s="20" t="s">
        <v>264</v>
      </c>
      <c r="J1220" s="15">
        <f>IFERROR(INDEX(Cost_Components!$K$2:$K$27,MATCH(E1220,Cost_Components!$A$2:$A$27,0)),"")</f>
        <v>0.5</v>
      </c>
      <c r="K1220" s="15">
        <f t="shared" si="190"/>
        <v>0.74346153846153851</v>
      </c>
      <c r="L1220" s="15">
        <f>IFERROR(INDEX(Cost_Components!$S$2:$S$27,MATCH(E1220,Cost_Components!$A$2:$A$27,0)),"")</f>
        <v>0.31</v>
      </c>
      <c r="M1220" s="26">
        <f>IFERROR(INDEX(Cost_Components!$L$2:$L$27,MATCH(E1220,Cost_Components!$A$2:$A$27,0)),"")</f>
        <v>1</v>
      </c>
      <c r="N1220" s="27">
        <f>IFERROR(INDEX(Cost_Components!$P$2:$P$27,MATCH(E1220,Cost_Components!$A$2:$A$27,0)),"")</f>
        <v>35.362648999999998</v>
      </c>
      <c r="O1220" s="21">
        <f t="shared" si="191"/>
        <v>551642.88321694499</v>
      </c>
      <c r="P1220" s="21">
        <f t="shared" si="192"/>
        <v>637557.12841660006</v>
      </c>
      <c r="Q1220" s="21">
        <f t="shared" si="193"/>
        <v>6989169.774389687</v>
      </c>
      <c r="R1220" s="21">
        <f t="shared" si="194"/>
        <v>14503115.850144947</v>
      </c>
      <c r="S1220" s="21">
        <f t="shared" si="195"/>
        <v>7513946.07575526</v>
      </c>
      <c r="T1220" s="14">
        <f>IFERROR(INDEX(Cost_Components!$R$2:$R$27,MATCH(E1220,Cost_Components!$A$2:$A$27,0)),"")</f>
        <v>1</v>
      </c>
      <c r="U1220" s="24">
        <f>IFERROR(INDEX(Cost_Components!$Q$2:$Q$27,MATCH(E1220,Cost_Components!$A$2:$A$27,0)),"")</f>
        <v>2023</v>
      </c>
      <c r="V1220" s="28">
        <f>1/(1+Calculation_Assumptions!$B$5)^(B1220-Calculation_Assumptions!$B$2)</f>
        <v>0.52189250088258554</v>
      </c>
      <c r="W1220" s="21">
        <f t="shared" si="196"/>
        <v>3647595.29264921</v>
      </c>
      <c r="X1220" s="21">
        <f t="shared" si="197"/>
        <v>7569067.4016220123</v>
      </c>
      <c r="Y1220" s="21">
        <f t="shared" si="198"/>
        <v>3921472.1089728023</v>
      </c>
      <c r="Z1220" s="15">
        <f>IFERROR(INDEX(Cost_Components!$T$2:$T$27,MATCH(E1220,Cost_Components!$A$2:$A$27,0)),"")</f>
        <v>0.8</v>
      </c>
      <c r="AA1220" s="24">
        <f>IFERROR(INDEX(Cost_Components!$U$2:$U$27,MATCH(E1220,Cost_Components!$A$2:$A$27,0)),"")</f>
        <v>2025</v>
      </c>
      <c r="AB1220" s="24">
        <f>IFERROR(INDEX(Cost_Components!$V$2:$V$27,MATCH(E1220,Cost_Components!$A$2:$A$27,0)),"")</f>
        <v>2050</v>
      </c>
      <c r="AC1220" s="24">
        <f>IFERROR(INDEX(Cost_Components!$M$2:$M$27,MATCH(E1220,Cost_Components!$A$2:$A$27,0)),"")</f>
        <v>30</v>
      </c>
      <c r="AD1220" s="24">
        <f>IFERROR(INDEX(Cost_Components!$N$2:$N$27,MATCH(E1220,Cost_Components!$A$2:$A$27,0)),"")</f>
        <v>95</v>
      </c>
      <c r="AE1220" s="14" t="str">
        <f>IFERROR(INDEX(Cost_Components!$O$2:$O$27,MATCH(E1220,Cost_Components!$A$2:$A$27,0)),"")</f>
        <v>Both</v>
      </c>
      <c r="AF1220" s="11">
        <v>1103285.76643389</v>
      </c>
      <c r="AG1220" s="11">
        <v>1275114.2568332001</v>
      </c>
      <c r="AH1220" s="21">
        <f t="shared" si="199"/>
        <v>1</v>
      </c>
    </row>
    <row r="1221" spans="1:34" hidden="1">
      <c r="A1221" t="s">
        <v>75</v>
      </c>
      <c r="B1221" s="18">
        <v>2048</v>
      </c>
      <c r="C1221" t="s">
        <v>217</v>
      </c>
      <c r="D1221" t="s">
        <v>173</v>
      </c>
      <c r="E1221" s="20" t="s">
        <v>308</v>
      </c>
      <c r="F1221" s="20" t="s">
        <v>309</v>
      </c>
      <c r="G1221" s="20" t="s">
        <v>218</v>
      </c>
      <c r="H1221" s="20" t="s">
        <v>192</v>
      </c>
      <c r="I1221" s="20" t="s">
        <v>264</v>
      </c>
      <c r="J1221" s="15">
        <f>IFERROR(INDEX(Cost_Components!$K$2:$K$27,MATCH(E1221,Cost_Components!$A$2:$A$27,0)),"")</f>
        <v>0.5</v>
      </c>
      <c r="K1221" s="15">
        <f t="shared" si="190"/>
        <v>0.76230769230769235</v>
      </c>
      <c r="L1221" s="15">
        <f>IFERROR(INDEX(Cost_Components!$S$2:$S$27,MATCH(E1221,Cost_Components!$A$2:$A$27,0)),"")</f>
        <v>0.31</v>
      </c>
      <c r="M1221" s="26">
        <f>IFERROR(INDEX(Cost_Components!$L$2:$L$27,MATCH(E1221,Cost_Components!$A$2:$A$27,0)),"")</f>
        <v>1</v>
      </c>
      <c r="N1221" s="27">
        <f>IFERROR(INDEX(Cost_Components!$P$2:$P$27,MATCH(E1221,Cost_Components!$A$2:$A$27,0)),"")</f>
        <v>35.362648999999998</v>
      </c>
      <c r="O1221" s="21">
        <f t="shared" si="191"/>
        <v>551301.78165262996</v>
      </c>
      <c r="P1221" s="21">
        <f t="shared" si="192"/>
        <v>641520.28922783502</v>
      </c>
      <c r="Q1221" s="21">
        <f t="shared" si="193"/>
        <v>7032615.612446147</v>
      </c>
      <c r="R1221" s="21">
        <f t="shared" si="194"/>
        <v>14861563.057752065</v>
      </c>
      <c r="S1221" s="21">
        <f t="shared" si="195"/>
        <v>7828947.4453059183</v>
      </c>
      <c r="T1221" s="14">
        <f>IFERROR(INDEX(Cost_Components!$R$2:$R$27,MATCH(E1221,Cost_Components!$A$2:$A$27,0)),"")</f>
        <v>1</v>
      </c>
      <c r="U1221" s="24">
        <f>IFERROR(INDEX(Cost_Components!$Q$2:$Q$27,MATCH(E1221,Cost_Components!$A$2:$A$27,0)),"")</f>
        <v>2023</v>
      </c>
      <c r="V1221" s="28">
        <f>1/(1+Calculation_Assumptions!$B$5)^(B1221-Calculation_Assumptions!$B$2)</f>
        <v>0.50669174842969467</v>
      </c>
      <c r="W1221" s="21">
        <f t="shared" si="196"/>
        <v>3563368.300704306</v>
      </c>
      <c r="X1221" s="21">
        <f t="shared" si="197"/>
        <v>7530231.3701305529</v>
      </c>
      <c r="Y1221" s="21">
        <f t="shared" si="198"/>
        <v>3966863.0694262469</v>
      </c>
      <c r="Z1221" s="15">
        <f>IFERROR(INDEX(Cost_Components!$T$2:$T$27,MATCH(E1221,Cost_Components!$A$2:$A$27,0)),"")</f>
        <v>0.8</v>
      </c>
      <c r="AA1221" s="24">
        <f>IFERROR(INDEX(Cost_Components!$U$2:$U$27,MATCH(E1221,Cost_Components!$A$2:$A$27,0)),"")</f>
        <v>2025</v>
      </c>
      <c r="AB1221" s="24">
        <f>IFERROR(INDEX(Cost_Components!$V$2:$V$27,MATCH(E1221,Cost_Components!$A$2:$A$27,0)),"")</f>
        <v>2050</v>
      </c>
      <c r="AC1221" s="24">
        <f>IFERROR(INDEX(Cost_Components!$M$2:$M$27,MATCH(E1221,Cost_Components!$A$2:$A$27,0)),"")</f>
        <v>30</v>
      </c>
      <c r="AD1221" s="24">
        <f>IFERROR(INDEX(Cost_Components!$N$2:$N$27,MATCH(E1221,Cost_Components!$A$2:$A$27,0)),"")</f>
        <v>95</v>
      </c>
      <c r="AE1221" s="14" t="str">
        <f>IFERROR(INDEX(Cost_Components!$O$2:$O$27,MATCH(E1221,Cost_Components!$A$2:$A$27,0)),"")</f>
        <v>Both</v>
      </c>
      <c r="AF1221" s="11">
        <v>1102603.5633052599</v>
      </c>
      <c r="AG1221" s="11">
        <v>1283040.57845567</v>
      </c>
      <c r="AH1221" s="21">
        <f t="shared" si="199"/>
        <v>1</v>
      </c>
    </row>
    <row r="1222" spans="1:34" hidden="1">
      <c r="A1222" t="s">
        <v>75</v>
      </c>
      <c r="B1222" s="18">
        <v>2049</v>
      </c>
      <c r="C1222" t="s">
        <v>217</v>
      </c>
      <c r="D1222" t="s">
        <v>173</v>
      </c>
      <c r="E1222" s="20" t="s">
        <v>308</v>
      </c>
      <c r="F1222" s="20" t="s">
        <v>309</v>
      </c>
      <c r="G1222" s="20" t="s">
        <v>218</v>
      </c>
      <c r="H1222" s="20" t="s">
        <v>192</v>
      </c>
      <c r="I1222" s="20" t="s">
        <v>264</v>
      </c>
      <c r="J1222" s="15">
        <f>IFERROR(INDEX(Cost_Components!$K$2:$K$27,MATCH(E1222,Cost_Components!$A$2:$A$27,0)),"")</f>
        <v>0.5</v>
      </c>
      <c r="K1222" s="15">
        <f t="shared" si="190"/>
        <v>0.7811538461538462</v>
      </c>
      <c r="L1222" s="15">
        <f>IFERROR(INDEX(Cost_Components!$S$2:$S$27,MATCH(E1222,Cost_Components!$A$2:$A$27,0)),"")</f>
        <v>0.31</v>
      </c>
      <c r="M1222" s="26">
        <f>IFERROR(INDEX(Cost_Components!$L$2:$L$27,MATCH(E1222,Cost_Components!$A$2:$A$27,0)),"")</f>
        <v>1</v>
      </c>
      <c r="N1222" s="27">
        <f>IFERROR(INDEX(Cost_Components!$P$2:$P$27,MATCH(E1222,Cost_Components!$A$2:$A$27,0)),"")</f>
        <v>35.362648999999998</v>
      </c>
      <c r="O1222" s="21">
        <f t="shared" si="191"/>
        <v>550721.75189305004</v>
      </c>
      <c r="P1222" s="21">
        <f t="shared" si="192"/>
        <v>645196.91716071498</v>
      </c>
      <c r="Q1222" s="21">
        <f t="shared" si="193"/>
        <v>7072920.3564052954</v>
      </c>
      <c r="R1222" s="21">
        <f t="shared" si="194"/>
        <v>15212955.537689485</v>
      </c>
      <c r="S1222" s="21">
        <f t="shared" si="195"/>
        <v>8140035.1812841892</v>
      </c>
      <c r="T1222" s="14">
        <f>IFERROR(INDEX(Cost_Components!$R$2:$R$27,MATCH(E1222,Cost_Components!$A$2:$A$27,0)),"")</f>
        <v>1</v>
      </c>
      <c r="U1222" s="24">
        <f>IFERROR(INDEX(Cost_Components!$Q$2:$Q$27,MATCH(E1222,Cost_Components!$A$2:$A$27,0)),"")</f>
        <v>2023</v>
      </c>
      <c r="V1222" s="28">
        <f>1/(1+Calculation_Assumptions!$B$5)^(B1222-Calculation_Assumptions!$B$2)</f>
        <v>0.49193373633950943</v>
      </c>
      <c r="W1222" s="21">
        <f t="shared" si="196"/>
        <v>3479408.1377582317</v>
      </c>
      <c r="X1222" s="21">
        <f t="shared" si="197"/>
        <v>7483766.0584224192</v>
      </c>
      <c r="Y1222" s="21">
        <f t="shared" si="198"/>
        <v>4004357.9206641871</v>
      </c>
      <c r="Z1222" s="15">
        <f>IFERROR(INDEX(Cost_Components!$T$2:$T$27,MATCH(E1222,Cost_Components!$A$2:$A$27,0)),"")</f>
        <v>0.8</v>
      </c>
      <c r="AA1222" s="24">
        <f>IFERROR(INDEX(Cost_Components!$U$2:$U$27,MATCH(E1222,Cost_Components!$A$2:$A$27,0)),"")</f>
        <v>2025</v>
      </c>
      <c r="AB1222" s="24">
        <f>IFERROR(INDEX(Cost_Components!$V$2:$V$27,MATCH(E1222,Cost_Components!$A$2:$A$27,0)),"")</f>
        <v>2050</v>
      </c>
      <c r="AC1222" s="24">
        <f>IFERROR(INDEX(Cost_Components!$M$2:$M$27,MATCH(E1222,Cost_Components!$A$2:$A$27,0)),"")</f>
        <v>30</v>
      </c>
      <c r="AD1222" s="24">
        <f>IFERROR(INDEX(Cost_Components!$N$2:$N$27,MATCH(E1222,Cost_Components!$A$2:$A$27,0)),"")</f>
        <v>95</v>
      </c>
      <c r="AE1222" s="14" t="str">
        <f>IFERROR(INDEX(Cost_Components!$O$2:$O$27,MATCH(E1222,Cost_Components!$A$2:$A$27,0)),"")</f>
        <v>Both</v>
      </c>
      <c r="AF1222" s="11">
        <v>1101443.5037861001</v>
      </c>
      <c r="AG1222" s="11">
        <v>1290393.83432143</v>
      </c>
      <c r="AH1222" s="21">
        <f t="shared" si="199"/>
        <v>1</v>
      </c>
    </row>
    <row r="1223" spans="1:34" hidden="1">
      <c r="A1223" t="s">
        <v>75</v>
      </c>
      <c r="B1223" s="18">
        <v>2050</v>
      </c>
      <c r="C1223" t="s">
        <v>217</v>
      </c>
      <c r="D1223" t="s">
        <v>173</v>
      </c>
      <c r="E1223" s="20" t="s">
        <v>308</v>
      </c>
      <c r="F1223" s="20" t="s">
        <v>309</v>
      </c>
      <c r="G1223" s="20" t="s">
        <v>218</v>
      </c>
      <c r="H1223" s="20" t="s">
        <v>192</v>
      </c>
      <c r="I1223" s="20" t="s">
        <v>264</v>
      </c>
      <c r="J1223" s="15">
        <f>IFERROR(INDEX(Cost_Components!$K$2:$K$27,MATCH(E1223,Cost_Components!$A$2:$A$27,0)),"")</f>
        <v>0.5</v>
      </c>
      <c r="K1223" s="15">
        <f t="shared" si="190"/>
        <v>0.8</v>
      </c>
      <c r="L1223" s="15">
        <f>IFERROR(INDEX(Cost_Components!$S$2:$S$27,MATCH(E1223,Cost_Components!$A$2:$A$27,0)),"")</f>
        <v>0.31</v>
      </c>
      <c r="M1223" s="26">
        <f>IFERROR(INDEX(Cost_Components!$L$2:$L$27,MATCH(E1223,Cost_Components!$A$2:$A$27,0)),"")</f>
        <v>1</v>
      </c>
      <c r="N1223" s="27">
        <f>IFERROR(INDEX(Cost_Components!$P$2:$P$27,MATCH(E1223,Cost_Components!$A$2:$A$27,0)),"")</f>
        <v>35.362648999999998</v>
      </c>
      <c r="O1223" s="21">
        <f t="shared" si="191"/>
        <v>549979.39948891499</v>
      </c>
      <c r="P1223" s="21">
        <f t="shared" si="192"/>
        <v>648668.86758336006</v>
      </c>
      <c r="Q1223" s="21">
        <f t="shared" si="193"/>
        <v>7110981.3392891297</v>
      </c>
      <c r="R1223" s="21">
        <f t="shared" si="194"/>
        <v>15558982.769085823</v>
      </c>
      <c r="S1223" s="21">
        <f t="shared" si="195"/>
        <v>8448001.429796692</v>
      </c>
      <c r="T1223" s="14">
        <f>IFERROR(INDEX(Cost_Components!$R$2:$R$27,MATCH(E1223,Cost_Components!$A$2:$A$27,0)),"")</f>
        <v>1</v>
      </c>
      <c r="U1223" s="24">
        <f>IFERROR(INDEX(Cost_Components!$Q$2:$Q$27,MATCH(E1223,Cost_Components!$A$2:$A$27,0)),"")</f>
        <v>2023</v>
      </c>
      <c r="V1223" s="28">
        <f>1/(1+Calculation_Assumptions!$B$5)^(B1223-Calculation_Assumptions!$B$2)</f>
        <v>0.47760556926165965</v>
      </c>
      <c r="W1223" s="21">
        <f t="shared" si="196"/>
        <v>3396244.2905602236</v>
      </c>
      <c r="X1223" s="21">
        <f t="shared" si="197"/>
        <v>7431056.8225615881</v>
      </c>
      <c r="Y1223" s="21">
        <f t="shared" si="198"/>
        <v>4034812.5320013636</v>
      </c>
      <c r="Z1223" s="15">
        <f>IFERROR(INDEX(Cost_Components!$T$2:$T$27,MATCH(E1223,Cost_Components!$A$2:$A$27,0)),"")</f>
        <v>0.8</v>
      </c>
      <c r="AA1223" s="24">
        <f>IFERROR(INDEX(Cost_Components!$U$2:$U$27,MATCH(E1223,Cost_Components!$A$2:$A$27,0)),"")</f>
        <v>2025</v>
      </c>
      <c r="AB1223" s="24">
        <f>IFERROR(INDEX(Cost_Components!$V$2:$V$27,MATCH(E1223,Cost_Components!$A$2:$A$27,0)),"")</f>
        <v>2050</v>
      </c>
      <c r="AC1223" s="24">
        <f>IFERROR(INDEX(Cost_Components!$M$2:$M$27,MATCH(E1223,Cost_Components!$A$2:$A$27,0)),"")</f>
        <v>30</v>
      </c>
      <c r="AD1223" s="24">
        <f>IFERROR(INDEX(Cost_Components!$N$2:$N$27,MATCH(E1223,Cost_Components!$A$2:$A$27,0)),"")</f>
        <v>95</v>
      </c>
      <c r="AE1223" s="14" t="str">
        <f>IFERROR(INDEX(Cost_Components!$O$2:$O$27,MATCH(E1223,Cost_Components!$A$2:$A$27,0)),"")</f>
        <v>Both</v>
      </c>
      <c r="AF1223" s="11">
        <v>1099958.79897783</v>
      </c>
      <c r="AG1223" s="11">
        <v>1297337.7351667201</v>
      </c>
      <c r="AH1223" s="21">
        <f t="shared" si="199"/>
        <v>1</v>
      </c>
    </row>
    <row r="1224" spans="1:34" hidden="1">
      <c r="A1224" t="s">
        <v>75</v>
      </c>
      <c r="B1224" s="18">
        <v>2025</v>
      </c>
      <c r="C1224" t="s">
        <v>217</v>
      </c>
      <c r="D1224" t="s">
        <v>173</v>
      </c>
      <c r="E1224" s="20" t="s">
        <v>310</v>
      </c>
      <c r="F1224" s="20" t="s">
        <v>311</v>
      </c>
      <c r="G1224" s="20" t="s">
        <v>218</v>
      </c>
      <c r="H1224" s="20" t="s">
        <v>192</v>
      </c>
      <c r="I1224" s="20" t="s">
        <v>264</v>
      </c>
      <c r="J1224" s="15">
        <f>IFERROR(INDEX(Cost_Components!$K$2:$K$27,MATCH(E1224,Cost_Components!$A$2:$A$27,0)),"")</f>
        <v>0.5</v>
      </c>
      <c r="K1224" s="15">
        <f t="shared" si="190"/>
        <v>0.32884615384615384</v>
      </c>
      <c r="L1224" s="15">
        <f>IFERROR(INDEX(Cost_Components!$S$2:$S$27,MATCH(E1224,Cost_Components!$A$2:$A$27,0)),"")</f>
        <v>0.31</v>
      </c>
      <c r="M1224" s="26">
        <f>IFERROR(INDEX(Cost_Components!$L$2:$L$27,MATCH(E1224,Cost_Components!$A$2:$A$27,0)),"")</f>
        <v>1</v>
      </c>
      <c r="N1224" s="27">
        <f>IFERROR(INDEX(Cost_Components!$P$2:$P$27,MATCH(E1224,Cost_Components!$A$2:$A$27,0)),"")</f>
        <v>119.721487</v>
      </c>
      <c r="O1224" s="21">
        <f t="shared" si="191"/>
        <v>489950.46099363751</v>
      </c>
      <c r="P1224" s="21">
        <f t="shared" si="192"/>
        <v>491166.00779476098</v>
      </c>
      <c r="Q1224" s="21">
        <f t="shared" si="193"/>
        <v>18228968.693283137</v>
      </c>
      <c r="R1224" s="21">
        <f t="shared" si="194"/>
        <v>19289325.4127893</v>
      </c>
      <c r="S1224" s="21">
        <f t="shared" si="195"/>
        <v>1060356.7195061632</v>
      </c>
      <c r="T1224" s="14">
        <f>IFERROR(INDEX(Cost_Components!$R$2:$R$27,MATCH(E1224,Cost_Components!$A$2:$A$27,0)),"")</f>
        <v>1</v>
      </c>
      <c r="U1224" s="24">
        <f>IFERROR(INDEX(Cost_Components!$Q$2:$Q$27,MATCH(E1224,Cost_Components!$A$2:$A$27,0)),"")</f>
        <v>2023</v>
      </c>
      <c r="V1224" s="28">
        <f>1/(1+Calculation_Assumptions!$B$5)^(B1224-Calculation_Assumptions!$B$2)</f>
        <v>1</v>
      </c>
      <c r="W1224" s="21">
        <f t="shared" si="196"/>
        <v>18228968.693283137</v>
      </c>
      <c r="X1224" s="21">
        <f t="shared" si="197"/>
        <v>19289325.4127893</v>
      </c>
      <c r="Y1224" s="21">
        <f t="shared" si="198"/>
        <v>1060356.7195061632</v>
      </c>
      <c r="Z1224" s="15">
        <f>IFERROR(INDEX(Cost_Components!$T$2:$T$27,MATCH(E1224,Cost_Components!$A$2:$A$27,0)),"")</f>
        <v>0.8</v>
      </c>
      <c r="AA1224" s="24">
        <f>IFERROR(INDEX(Cost_Components!$U$2:$U$27,MATCH(E1224,Cost_Components!$A$2:$A$27,0)),"")</f>
        <v>2025</v>
      </c>
      <c r="AB1224" s="24">
        <f>IFERROR(INDEX(Cost_Components!$V$2:$V$27,MATCH(E1224,Cost_Components!$A$2:$A$27,0)),"")</f>
        <v>2050</v>
      </c>
      <c r="AC1224" s="24">
        <f>IFERROR(INDEX(Cost_Components!$M$2:$M$27,MATCH(E1224,Cost_Components!$A$2:$A$27,0)),"")</f>
        <v>30</v>
      </c>
      <c r="AD1224" s="24">
        <f>IFERROR(INDEX(Cost_Components!$N$2:$N$27,MATCH(E1224,Cost_Components!$A$2:$A$27,0)),"")</f>
        <v>95</v>
      </c>
      <c r="AE1224" s="14" t="str">
        <f>IFERROR(INDEX(Cost_Components!$O$2:$O$27,MATCH(E1224,Cost_Components!$A$2:$A$27,0)),"")</f>
        <v>Both</v>
      </c>
      <c r="AF1224" s="11">
        <v>979900.92198727501</v>
      </c>
      <c r="AG1224" s="11">
        <v>982332.01558952197</v>
      </c>
      <c r="AH1224" s="21">
        <f t="shared" si="199"/>
        <v>1</v>
      </c>
    </row>
    <row r="1225" spans="1:34" hidden="1">
      <c r="A1225" t="s">
        <v>75</v>
      </c>
      <c r="B1225" s="18">
        <v>2026</v>
      </c>
      <c r="C1225" t="s">
        <v>217</v>
      </c>
      <c r="D1225" t="s">
        <v>173</v>
      </c>
      <c r="E1225" s="20" t="s">
        <v>310</v>
      </c>
      <c r="F1225" s="20" t="s">
        <v>311</v>
      </c>
      <c r="G1225" s="20" t="s">
        <v>218</v>
      </c>
      <c r="H1225" s="20" t="s">
        <v>192</v>
      </c>
      <c r="I1225" s="20" t="s">
        <v>264</v>
      </c>
      <c r="J1225" s="15">
        <f>IFERROR(INDEX(Cost_Components!$K$2:$K$27,MATCH(E1225,Cost_Components!$A$2:$A$27,0)),"")</f>
        <v>0.5</v>
      </c>
      <c r="K1225" s="15">
        <f t="shared" si="190"/>
        <v>0.34769230769230769</v>
      </c>
      <c r="L1225" s="15">
        <f>IFERROR(INDEX(Cost_Components!$S$2:$S$27,MATCH(E1225,Cost_Components!$A$2:$A$27,0)),"")</f>
        <v>0.31</v>
      </c>
      <c r="M1225" s="26">
        <f>IFERROR(INDEX(Cost_Components!$L$2:$L$27,MATCH(E1225,Cost_Components!$A$2:$A$27,0)),"")</f>
        <v>1</v>
      </c>
      <c r="N1225" s="27">
        <f>IFERROR(INDEX(Cost_Components!$P$2:$P$27,MATCH(E1225,Cost_Components!$A$2:$A$27,0)),"")</f>
        <v>119.721487</v>
      </c>
      <c r="O1225" s="21">
        <f t="shared" si="191"/>
        <v>496929.06924710801</v>
      </c>
      <c r="P1225" s="21">
        <f t="shared" si="192"/>
        <v>500079.81204225501</v>
      </c>
      <c r="Q1225" s="21">
        <f t="shared" si="193"/>
        <v>18559792.602077574</v>
      </c>
      <c r="R1225" s="21">
        <f t="shared" si="194"/>
        <v>20685288.746856123</v>
      </c>
      <c r="S1225" s="21">
        <f t="shared" si="195"/>
        <v>2125496.1447785497</v>
      </c>
      <c r="T1225" s="14">
        <f>IFERROR(INDEX(Cost_Components!$R$2:$R$27,MATCH(E1225,Cost_Components!$A$2:$A$27,0)),"")</f>
        <v>1</v>
      </c>
      <c r="U1225" s="24">
        <f>IFERROR(INDEX(Cost_Components!$Q$2:$Q$27,MATCH(E1225,Cost_Components!$A$2:$A$27,0)),"")</f>
        <v>2023</v>
      </c>
      <c r="V1225" s="28">
        <f>1/(1+Calculation_Assumptions!$B$5)^(B1225-Calculation_Assumptions!$B$2)</f>
        <v>0.970873786407767</v>
      </c>
      <c r="W1225" s="21">
        <f t="shared" si="196"/>
        <v>18019216.118521918</v>
      </c>
      <c r="X1225" s="21">
        <f t="shared" si="197"/>
        <v>20082804.608598176</v>
      </c>
      <c r="Y1225" s="21">
        <f t="shared" si="198"/>
        <v>2063588.4900762618</v>
      </c>
      <c r="Z1225" s="15">
        <f>IFERROR(INDEX(Cost_Components!$T$2:$T$27,MATCH(E1225,Cost_Components!$A$2:$A$27,0)),"")</f>
        <v>0.8</v>
      </c>
      <c r="AA1225" s="24">
        <f>IFERROR(INDEX(Cost_Components!$U$2:$U$27,MATCH(E1225,Cost_Components!$A$2:$A$27,0)),"")</f>
        <v>2025</v>
      </c>
      <c r="AB1225" s="24">
        <f>IFERROR(INDEX(Cost_Components!$V$2:$V$27,MATCH(E1225,Cost_Components!$A$2:$A$27,0)),"")</f>
        <v>2050</v>
      </c>
      <c r="AC1225" s="24">
        <f>IFERROR(INDEX(Cost_Components!$M$2:$M$27,MATCH(E1225,Cost_Components!$A$2:$A$27,0)),"")</f>
        <v>30</v>
      </c>
      <c r="AD1225" s="24">
        <f>IFERROR(INDEX(Cost_Components!$N$2:$N$27,MATCH(E1225,Cost_Components!$A$2:$A$27,0)),"")</f>
        <v>95</v>
      </c>
      <c r="AE1225" s="14" t="str">
        <f>IFERROR(INDEX(Cost_Components!$O$2:$O$27,MATCH(E1225,Cost_Components!$A$2:$A$27,0)),"")</f>
        <v>Both</v>
      </c>
      <c r="AF1225" s="11">
        <v>993858.13849421602</v>
      </c>
      <c r="AG1225" s="11">
        <v>1000159.62408451</v>
      </c>
      <c r="AH1225" s="21">
        <f t="shared" si="199"/>
        <v>1</v>
      </c>
    </row>
    <row r="1226" spans="1:34" hidden="1">
      <c r="A1226" t="s">
        <v>75</v>
      </c>
      <c r="B1226" s="18">
        <v>2027</v>
      </c>
      <c r="C1226" t="s">
        <v>217</v>
      </c>
      <c r="D1226" t="s">
        <v>173</v>
      </c>
      <c r="E1226" s="20" t="s">
        <v>310</v>
      </c>
      <c r="F1226" s="20" t="s">
        <v>311</v>
      </c>
      <c r="G1226" s="20" t="s">
        <v>218</v>
      </c>
      <c r="H1226" s="20" t="s">
        <v>192</v>
      </c>
      <c r="I1226" s="20" t="s">
        <v>264</v>
      </c>
      <c r="J1226" s="15">
        <f>IFERROR(INDEX(Cost_Components!$K$2:$K$27,MATCH(E1226,Cost_Components!$A$2:$A$27,0)),"")</f>
        <v>0.5</v>
      </c>
      <c r="K1226" s="15">
        <f t="shared" si="190"/>
        <v>0.36653846153846154</v>
      </c>
      <c r="L1226" s="15">
        <f>IFERROR(INDEX(Cost_Components!$S$2:$S$27,MATCH(E1226,Cost_Components!$A$2:$A$27,0)),"")</f>
        <v>0.31</v>
      </c>
      <c r="M1226" s="26">
        <f>IFERROR(INDEX(Cost_Components!$L$2:$L$27,MATCH(E1226,Cost_Components!$A$2:$A$27,0)),"")</f>
        <v>1</v>
      </c>
      <c r="N1226" s="27">
        <f>IFERROR(INDEX(Cost_Components!$P$2:$P$27,MATCH(E1226,Cost_Components!$A$2:$A$27,0)),"")</f>
        <v>119.721487</v>
      </c>
      <c r="O1226" s="21">
        <f t="shared" si="191"/>
        <v>503337.79775915999</v>
      </c>
      <c r="P1226" s="21">
        <f t="shared" si="192"/>
        <v>508929.77884367498</v>
      </c>
      <c r="Q1226" s="21">
        <f t="shared" si="193"/>
        <v>18888247.26954123</v>
      </c>
      <c r="R1226" s="21">
        <f t="shared" si="194"/>
        <v>22087735.838197462</v>
      </c>
      <c r="S1226" s="21">
        <f t="shared" si="195"/>
        <v>3199488.5686562322</v>
      </c>
      <c r="T1226" s="14">
        <f>IFERROR(INDEX(Cost_Components!$R$2:$R$27,MATCH(E1226,Cost_Components!$A$2:$A$27,0)),"")</f>
        <v>1</v>
      </c>
      <c r="U1226" s="24">
        <f>IFERROR(INDEX(Cost_Components!$Q$2:$Q$27,MATCH(E1226,Cost_Components!$A$2:$A$27,0)),"")</f>
        <v>2023</v>
      </c>
      <c r="V1226" s="28">
        <f>1/(1+Calculation_Assumptions!$B$5)^(B1226-Calculation_Assumptions!$B$2)</f>
        <v>0.94259590913375435</v>
      </c>
      <c r="W1226" s="21">
        <f t="shared" si="196"/>
        <v>17803984.606976368</v>
      </c>
      <c r="X1226" s="21">
        <f t="shared" si="197"/>
        <v>20819809.443111945</v>
      </c>
      <c r="Y1226" s="21">
        <f t="shared" si="198"/>
        <v>3015824.8361355755</v>
      </c>
      <c r="Z1226" s="15">
        <f>IFERROR(INDEX(Cost_Components!$T$2:$T$27,MATCH(E1226,Cost_Components!$A$2:$A$27,0)),"")</f>
        <v>0.8</v>
      </c>
      <c r="AA1226" s="24">
        <f>IFERROR(INDEX(Cost_Components!$U$2:$U$27,MATCH(E1226,Cost_Components!$A$2:$A$27,0)),"")</f>
        <v>2025</v>
      </c>
      <c r="AB1226" s="24">
        <f>IFERROR(INDEX(Cost_Components!$V$2:$V$27,MATCH(E1226,Cost_Components!$A$2:$A$27,0)),"")</f>
        <v>2050</v>
      </c>
      <c r="AC1226" s="24">
        <f>IFERROR(INDEX(Cost_Components!$M$2:$M$27,MATCH(E1226,Cost_Components!$A$2:$A$27,0)),"")</f>
        <v>30</v>
      </c>
      <c r="AD1226" s="24">
        <f>IFERROR(INDEX(Cost_Components!$N$2:$N$27,MATCH(E1226,Cost_Components!$A$2:$A$27,0)),"")</f>
        <v>95</v>
      </c>
      <c r="AE1226" s="14" t="str">
        <f>IFERROR(INDEX(Cost_Components!$O$2:$O$27,MATCH(E1226,Cost_Components!$A$2:$A$27,0)),"")</f>
        <v>Both</v>
      </c>
      <c r="AF1226" s="11">
        <v>1006675.59551832</v>
      </c>
      <c r="AG1226" s="11">
        <v>1017859.55768735</v>
      </c>
      <c r="AH1226" s="21">
        <f t="shared" si="199"/>
        <v>1</v>
      </c>
    </row>
    <row r="1227" spans="1:34" hidden="1">
      <c r="A1227" t="s">
        <v>75</v>
      </c>
      <c r="B1227" s="18">
        <v>2028</v>
      </c>
      <c r="C1227" t="s">
        <v>217</v>
      </c>
      <c r="D1227" t="s">
        <v>173</v>
      </c>
      <c r="E1227" s="20" t="s">
        <v>310</v>
      </c>
      <c r="F1227" s="20" t="s">
        <v>311</v>
      </c>
      <c r="G1227" s="20" t="s">
        <v>218</v>
      </c>
      <c r="H1227" s="20" t="s">
        <v>192</v>
      </c>
      <c r="I1227" s="20" t="s">
        <v>264</v>
      </c>
      <c r="J1227" s="15">
        <f>IFERROR(INDEX(Cost_Components!$K$2:$K$27,MATCH(E1227,Cost_Components!$A$2:$A$27,0)),"")</f>
        <v>0.5</v>
      </c>
      <c r="K1227" s="15">
        <f t="shared" si="190"/>
        <v>0.38538461538461538</v>
      </c>
      <c r="L1227" s="15">
        <f>IFERROR(INDEX(Cost_Components!$S$2:$S$27,MATCH(E1227,Cost_Components!$A$2:$A$27,0)),"")</f>
        <v>0.31</v>
      </c>
      <c r="M1227" s="26">
        <f>IFERROR(INDEX(Cost_Components!$L$2:$L$27,MATCH(E1227,Cost_Components!$A$2:$A$27,0)),"")</f>
        <v>1</v>
      </c>
      <c r="N1227" s="27">
        <f>IFERROR(INDEX(Cost_Components!$P$2:$P$27,MATCH(E1227,Cost_Components!$A$2:$A$27,0)),"")</f>
        <v>119.721487</v>
      </c>
      <c r="O1227" s="21">
        <f t="shared" si="191"/>
        <v>509182.33310151502</v>
      </c>
      <c r="P1227" s="21">
        <f t="shared" si="192"/>
        <v>517596.86272902502</v>
      </c>
      <c r="Q1227" s="21">
        <f t="shared" si="193"/>
        <v>19209914.482460663</v>
      </c>
      <c r="R1227" s="21">
        <f t="shared" si="194"/>
        <v>23493071.617380302</v>
      </c>
      <c r="S1227" s="21">
        <f t="shared" si="195"/>
        <v>4283157.1349196397</v>
      </c>
      <c r="T1227" s="14">
        <f>IFERROR(INDEX(Cost_Components!$R$2:$R$27,MATCH(E1227,Cost_Components!$A$2:$A$27,0)),"")</f>
        <v>1</v>
      </c>
      <c r="U1227" s="24">
        <f>IFERROR(INDEX(Cost_Components!$Q$2:$Q$27,MATCH(E1227,Cost_Components!$A$2:$A$27,0)),"")</f>
        <v>2023</v>
      </c>
      <c r="V1227" s="28">
        <f>1/(1+Calculation_Assumptions!$B$5)^(B1227-Calculation_Assumptions!$B$2)</f>
        <v>0.91514165935315961</v>
      </c>
      <c r="W1227" s="21">
        <f t="shared" si="196"/>
        <v>17579793.015511341</v>
      </c>
      <c r="X1227" s="21">
        <f t="shared" si="197"/>
        <v>21499488.543232027</v>
      </c>
      <c r="Y1227" s="21">
        <f t="shared" si="198"/>
        <v>3919695.5277206842</v>
      </c>
      <c r="Z1227" s="15">
        <f>IFERROR(INDEX(Cost_Components!$T$2:$T$27,MATCH(E1227,Cost_Components!$A$2:$A$27,0)),"")</f>
        <v>0.8</v>
      </c>
      <c r="AA1227" s="24">
        <f>IFERROR(INDEX(Cost_Components!$U$2:$U$27,MATCH(E1227,Cost_Components!$A$2:$A$27,0)),"")</f>
        <v>2025</v>
      </c>
      <c r="AB1227" s="24">
        <f>IFERROR(INDEX(Cost_Components!$V$2:$V$27,MATCH(E1227,Cost_Components!$A$2:$A$27,0)),"")</f>
        <v>2050</v>
      </c>
      <c r="AC1227" s="24">
        <f>IFERROR(INDEX(Cost_Components!$M$2:$M$27,MATCH(E1227,Cost_Components!$A$2:$A$27,0)),"")</f>
        <v>30</v>
      </c>
      <c r="AD1227" s="24">
        <f>IFERROR(INDEX(Cost_Components!$N$2:$N$27,MATCH(E1227,Cost_Components!$A$2:$A$27,0)),"")</f>
        <v>95</v>
      </c>
      <c r="AE1227" s="14" t="str">
        <f>IFERROR(INDEX(Cost_Components!$O$2:$O$27,MATCH(E1227,Cost_Components!$A$2:$A$27,0)),"")</f>
        <v>Both</v>
      </c>
      <c r="AF1227" s="11">
        <v>1018364.66620303</v>
      </c>
      <c r="AG1227" s="11">
        <v>1035193.72545805</v>
      </c>
      <c r="AH1227" s="21">
        <f t="shared" si="199"/>
        <v>1</v>
      </c>
    </row>
    <row r="1228" spans="1:34" hidden="1">
      <c r="A1228" t="s">
        <v>75</v>
      </c>
      <c r="B1228" s="18">
        <v>2029</v>
      </c>
      <c r="C1228" t="s">
        <v>217</v>
      </c>
      <c r="D1228" t="s">
        <v>173</v>
      </c>
      <c r="E1228" s="20" t="s">
        <v>310</v>
      </c>
      <c r="F1228" s="20" t="s">
        <v>311</v>
      </c>
      <c r="G1228" s="20" t="s">
        <v>218</v>
      </c>
      <c r="H1228" s="20" t="s">
        <v>192</v>
      </c>
      <c r="I1228" s="20" t="s">
        <v>264</v>
      </c>
      <c r="J1228" s="15">
        <f>IFERROR(INDEX(Cost_Components!$K$2:$K$27,MATCH(E1228,Cost_Components!$A$2:$A$27,0)),"")</f>
        <v>0.5</v>
      </c>
      <c r="K1228" s="15">
        <f t="shared" si="190"/>
        <v>0.40423076923076923</v>
      </c>
      <c r="L1228" s="15">
        <f>IFERROR(INDEX(Cost_Components!$S$2:$S$27,MATCH(E1228,Cost_Components!$A$2:$A$27,0)),"")</f>
        <v>0.31</v>
      </c>
      <c r="M1228" s="26">
        <f>IFERROR(INDEX(Cost_Components!$L$2:$L$27,MATCH(E1228,Cost_Components!$A$2:$A$27,0)),"")</f>
        <v>1</v>
      </c>
      <c r="N1228" s="27">
        <f>IFERROR(INDEX(Cost_Components!$P$2:$P$27,MATCH(E1228,Cost_Components!$A$2:$A$27,0)),"")</f>
        <v>119.721487</v>
      </c>
      <c r="O1228" s="21">
        <f t="shared" si="191"/>
        <v>514415.81579322502</v>
      </c>
      <c r="P1228" s="21">
        <f t="shared" si="192"/>
        <v>525952.86807197495</v>
      </c>
      <c r="Q1228" s="21">
        <f t="shared" si="193"/>
        <v>19520036.431822415</v>
      </c>
      <c r="R1228" s="21">
        <f t="shared" si="194"/>
        <v>24895209.365246236</v>
      </c>
      <c r="S1228" s="21">
        <f t="shared" si="195"/>
        <v>5375172.9334238209</v>
      </c>
      <c r="T1228" s="14">
        <f>IFERROR(INDEX(Cost_Components!$R$2:$R$27,MATCH(E1228,Cost_Components!$A$2:$A$27,0)),"")</f>
        <v>1</v>
      </c>
      <c r="U1228" s="24">
        <f>IFERROR(INDEX(Cost_Components!$Q$2:$Q$27,MATCH(E1228,Cost_Components!$A$2:$A$27,0)),"")</f>
        <v>2023</v>
      </c>
      <c r="V1228" s="28">
        <f>1/(1+Calculation_Assumptions!$B$5)^(B1228-Calculation_Assumptions!$B$2)</f>
        <v>0.888487047915689</v>
      </c>
      <c r="W1228" s="21">
        <f t="shared" si="196"/>
        <v>17343299.544516597</v>
      </c>
      <c r="X1228" s="21">
        <f t="shared" si="197"/>
        <v>22119071.076170642</v>
      </c>
      <c r="Y1228" s="21">
        <f t="shared" si="198"/>
        <v>4775771.531654045</v>
      </c>
      <c r="Z1228" s="15">
        <f>IFERROR(INDEX(Cost_Components!$T$2:$T$27,MATCH(E1228,Cost_Components!$A$2:$A$27,0)),"")</f>
        <v>0.8</v>
      </c>
      <c r="AA1228" s="24">
        <f>IFERROR(INDEX(Cost_Components!$U$2:$U$27,MATCH(E1228,Cost_Components!$A$2:$A$27,0)),"")</f>
        <v>2025</v>
      </c>
      <c r="AB1228" s="24">
        <f>IFERROR(INDEX(Cost_Components!$V$2:$V$27,MATCH(E1228,Cost_Components!$A$2:$A$27,0)),"")</f>
        <v>2050</v>
      </c>
      <c r="AC1228" s="24">
        <f>IFERROR(INDEX(Cost_Components!$M$2:$M$27,MATCH(E1228,Cost_Components!$A$2:$A$27,0)),"")</f>
        <v>30</v>
      </c>
      <c r="AD1228" s="24">
        <f>IFERROR(INDEX(Cost_Components!$N$2:$N$27,MATCH(E1228,Cost_Components!$A$2:$A$27,0)),"")</f>
        <v>95</v>
      </c>
      <c r="AE1228" s="14" t="str">
        <f>IFERROR(INDEX(Cost_Components!$O$2:$O$27,MATCH(E1228,Cost_Components!$A$2:$A$27,0)),"")</f>
        <v>Both</v>
      </c>
      <c r="AF1228" s="11">
        <v>1028831.63158645</v>
      </c>
      <c r="AG1228" s="11">
        <v>1051905.7361439499</v>
      </c>
      <c r="AH1228" s="21">
        <f t="shared" si="199"/>
        <v>1</v>
      </c>
    </row>
    <row r="1229" spans="1:34" hidden="1">
      <c r="A1229" t="s">
        <v>75</v>
      </c>
      <c r="B1229" s="18">
        <v>2030</v>
      </c>
      <c r="C1229" t="s">
        <v>217</v>
      </c>
      <c r="D1229" t="s">
        <v>173</v>
      </c>
      <c r="E1229" s="20" t="s">
        <v>310</v>
      </c>
      <c r="F1229" s="20" t="s">
        <v>311</v>
      </c>
      <c r="G1229" s="20" t="s">
        <v>218</v>
      </c>
      <c r="H1229" s="20" t="s">
        <v>192</v>
      </c>
      <c r="I1229" s="20" t="s">
        <v>264</v>
      </c>
      <c r="J1229" s="15">
        <f>IFERROR(INDEX(Cost_Components!$K$2:$K$27,MATCH(E1229,Cost_Components!$A$2:$A$27,0)),"")</f>
        <v>0.5</v>
      </c>
      <c r="K1229" s="15">
        <f t="shared" si="190"/>
        <v>0.42307692307692307</v>
      </c>
      <c r="L1229" s="15">
        <f>IFERROR(INDEX(Cost_Components!$S$2:$S$27,MATCH(E1229,Cost_Components!$A$2:$A$27,0)),"")</f>
        <v>0.31</v>
      </c>
      <c r="M1229" s="26">
        <f>IFERROR(INDEX(Cost_Components!$L$2:$L$27,MATCH(E1229,Cost_Components!$A$2:$A$27,0)),"")</f>
        <v>1</v>
      </c>
      <c r="N1229" s="27">
        <f>IFERROR(INDEX(Cost_Components!$P$2:$P$27,MATCH(E1229,Cost_Components!$A$2:$A$27,0)),"")</f>
        <v>119.721487</v>
      </c>
      <c r="O1229" s="21">
        <f t="shared" si="191"/>
        <v>519057.54471787502</v>
      </c>
      <c r="P1229" s="21">
        <f t="shared" si="192"/>
        <v>533960.83661125996</v>
      </c>
      <c r="Q1229" s="21">
        <f t="shared" si="193"/>
        <v>19817241.461247865</v>
      </c>
      <c r="R1229" s="21">
        <f t="shared" si="194"/>
        <v>26290990.462081648</v>
      </c>
      <c r="S1229" s="21">
        <f t="shared" si="195"/>
        <v>6473749.0008337833</v>
      </c>
      <c r="T1229" s="14">
        <f>IFERROR(INDEX(Cost_Components!$R$2:$R$27,MATCH(E1229,Cost_Components!$A$2:$A$27,0)),"")</f>
        <v>1</v>
      </c>
      <c r="U1229" s="24">
        <f>IFERROR(INDEX(Cost_Components!$Q$2:$Q$27,MATCH(E1229,Cost_Components!$A$2:$A$27,0)),"")</f>
        <v>2023</v>
      </c>
      <c r="V1229" s="28">
        <f>1/(1+Calculation_Assumptions!$B$5)^(B1229-Calculation_Assumptions!$B$2)</f>
        <v>0.86260878438416411</v>
      </c>
      <c r="W1229" s="21">
        <f t="shared" si="196"/>
        <v>17094526.566734478</v>
      </c>
      <c r="X1229" s="21">
        <f t="shared" si="197"/>
        <v>22678839.322751902</v>
      </c>
      <c r="Y1229" s="21">
        <f t="shared" si="198"/>
        <v>5584312.756017427</v>
      </c>
      <c r="Z1229" s="15">
        <f>IFERROR(INDEX(Cost_Components!$T$2:$T$27,MATCH(E1229,Cost_Components!$A$2:$A$27,0)),"")</f>
        <v>0.8</v>
      </c>
      <c r="AA1229" s="24">
        <f>IFERROR(INDEX(Cost_Components!$U$2:$U$27,MATCH(E1229,Cost_Components!$A$2:$A$27,0)),"")</f>
        <v>2025</v>
      </c>
      <c r="AB1229" s="24">
        <f>IFERROR(INDEX(Cost_Components!$V$2:$V$27,MATCH(E1229,Cost_Components!$A$2:$A$27,0)),"")</f>
        <v>2050</v>
      </c>
      <c r="AC1229" s="24">
        <f>IFERROR(INDEX(Cost_Components!$M$2:$M$27,MATCH(E1229,Cost_Components!$A$2:$A$27,0)),"")</f>
        <v>30</v>
      </c>
      <c r="AD1229" s="24">
        <f>IFERROR(INDEX(Cost_Components!$N$2:$N$27,MATCH(E1229,Cost_Components!$A$2:$A$27,0)),"")</f>
        <v>95</v>
      </c>
      <c r="AE1229" s="14" t="str">
        <f>IFERROR(INDEX(Cost_Components!$O$2:$O$27,MATCH(E1229,Cost_Components!$A$2:$A$27,0)),"")</f>
        <v>Both</v>
      </c>
      <c r="AF1229" s="11">
        <v>1038115.08943575</v>
      </c>
      <c r="AG1229" s="11">
        <v>1067921.6732225199</v>
      </c>
      <c r="AH1229" s="21">
        <f t="shared" si="199"/>
        <v>1</v>
      </c>
    </row>
    <row r="1230" spans="1:34" hidden="1">
      <c r="A1230" t="s">
        <v>75</v>
      </c>
      <c r="B1230" s="18">
        <v>2031</v>
      </c>
      <c r="C1230" t="s">
        <v>217</v>
      </c>
      <c r="D1230" t="s">
        <v>173</v>
      </c>
      <c r="E1230" s="20" t="s">
        <v>310</v>
      </c>
      <c r="F1230" s="20" t="s">
        <v>311</v>
      </c>
      <c r="G1230" s="20" t="s">
        <v>218</v>
      </c>
      <c r="H1230" s="20" t="s">
        <v>192</v>
      </c>
      <c r="I1230" s="20" t="s">
        <v>264</v>
      </c>
      <c r="J1230" s="15">
        <f>IFERROR(INDEX(Cost_Components!$K$2:$K$27,MATCH(E1230,Cost_Components!$A$2:$A$27,0)),"")</f>
        <v>0.5</v>
      </c>
      <c r="K1230" s="15">
        <f t="shared" si="190"/>
        <v>0.44192307692307692</v>
      </c>
      <c r="L1230" s="15">
        <f>IFERROR(INDEX(Cost_Components!$S$2:$S$27,MATCH(E1230,Cost_Components!$A$2:$A$27,0)),"")</f>
        <v>0.31</v>
      </c>
      <c r="M1230" s="26">
        <f>IFERROR(INDEX(Cost_Components!$L$2:$L$27,MATCH(E1230,Cost_Components!$A$2:$A$27,0)),"")</f>
        <v>1</v>
      </c>
      <c r="N1230" s="27">
        <f>IFERROR(INDEX(Cost_Components!$P$2:$P$27,MATCH(E1230,Cost_Components!$A$2:$A$27,0)),"")</f>
        <v>119.721487</v>
      </c>
      <c r="O1230" s="21">
        <f t="shared" si="191"/>
        <v>523179.960456545</v>
      </c>
      <c r="P1230" s="21">
        <f t="shared" si="192"/>
        <v>541652.49599249498</v>
      </c>
      <c r="Q1230" s="21">
        <f t="shared" si="193"/>
        <v>20102707.099819742</v>
      </c>
      <c r="R1230" s="21">
        <f t="shared" si="194"/>
        <v>27680242.067997355</v>
      </c>
      <c r="S1230" s="21">
        <f t="shared" si="195"/>
        <v>7577534.9681776129</v>
      </c>
      <c r="T1230" s="14">
        <f>IFERROR(INDEX(Cost_Components!$R$2:$R$27,MATCH(E1230,Cost_Components!$A$2:$A$27,0)),"")</f>
        <v>1</v>
      </c>
      <c r="U1230" s="24">
        <f>IFERROR(INDEX(Cost_Components!$Q$2:$Q$27,MATCH(E1230,Cost_Components!$A$2:$A$27,0)),"")</f>
        <v>2023</v>
      </c>
      <c r="V1230" s="28">
        <f>1/(1+Calculation_Assumptions!$B$5)^(B1230-Calculation_Assumptions!$B$2)</f>
        <v>0.83748425668365445</v>
      </c>
      <c r="W1230" s="21">
        <f t="shared" si="196"/>
        <v>16835700.712821759</v>
      </c>
      <c r="X1230" s="21">
        <f t="shared" si="197"/>
        <v>23181766.953140385</v>
      </c>
      <c r="Y1230" s="21">
        <f t="shared" si="198"/>
        <v>6346066.2403186271</v>
      </c>
      <c r="Z1230" s="15">
        <f>IFERROR(INDEX(Cost_Components!$T$2:$T$27,MATCH(E1230,Cost_Components!$A$2:$A$27,0)),"")</f>
        <v>0.8</v>
      </c>
      <c r="AA1230" s="24">
        <f>IFERROR(INDEX(Cost_Components!$U$2:$U$27,MATCH(E1230,Cost_Components!$A$2:$A$27,0)),"")</f>
        <v>2025</v>
      </c>
      <c r="AB1230" s="24">
        <f>IFERROR(INDEX(Cost_Components!$V$2:$V$27,MATCH(E1230,Cost_Components!$A$2:$A$27,0)),"")</f>
        <v>2050</v>
      </c>
      <c r="AC1230" s="24">
        <f>IFERROR(INDEX(Cost_Components!$M$2:$M$27,MATCH(E1230,Cost_Components!$A$2:$A$27,0)),"")</f>
        <v>30</v>
      </c>
      <c r="AD1230" s="24">
        <f>IFERROR(INDEX(Cost_Components!$N$2:$N$27,MATCH(E1230,Cost_Components!$A$2:$A$27,0)),"")</f>
        <v>95</v>
      </c>
      <c r="AE1230" s="14" t="str">
        <f>IFERROR(INDEX(Cost_Components!$O$2:$O$27,MATCH(E1230,Cost_Components!$A$2:$A$27,0)),"")</f>
        <v>Both</v>
      </c>
      <c r="AF1230" s="11">
        <v>1046359.92091309</v>
      </c>
      <c r="AG1230" s="11">
        <v>1083304.99198499</v>
      </c>
      <c r="AH1230" s="21">
        <f t="shared" si="199"/>
        <v>1</v>
      </c>
    </row>
    <row r="1231" spans="1:34" hidden="1">
      <c r="A1231" t="s">
        <v>75</v>
      </c>
      <c r="B1231" s="18">
        <v>2032</v>
      </c>
      <c r="C1231" t="s">
        <v>217</v>
      </c>
      <c r="D1231" t="s">
        <v>173</v>
      </c>
      <c r="E1231" s="20" t="s">
        <v>310</v>
      </c>
      <c r="F1231" s="20" t="s">
        <v>311</v>
      </c>
      <c r="G1231" s="20" t="s">
        <v>218</v>
      </c>
      <c r="H1231" s="20" t="s">
        <v>192</v>
      </c>
      <c r="I1231" s="20" t="s">
        <v>264</v>
      </c>
      <c r="J1231" s="15">
        <f>IFERROR(INDEX(Cost_Components!$K$2:$K$27,MATCH(E1231,Cost_Components!$A$2:$A$27,0)),"")</f>
        <v>0.5</v>
      </c>
      <c r="K1231" s="15">
        <f t="shared" si="190"/>
        <v>0.46076923076923082</v>
      </c>
      <c r="L1231" s="15">
        <f>IFERROR(INDEX(Cost_Components!$S$2:$S$27,MATCH(E1231,Cost_Components!$A$2:$A$27,0)),"")</f>
        <v>0.31</v>
      </c>
      <c r="M1231" s="26">
        <f>IFERROR(INDEX(Cost_Components!$L$2:$L$27,MATCH(E1231,Cost_Components!$A$2:$A$27,0)),"")</f>
        <v>1</v>
      </c>
      <c r="N1231" s="27">
        <f>IFERROR(INDEX(Cost_Components!$P$2:$P$27,MATCH(E1231,Cost_Components!$A$2:$A$27,0)),"")</f>
        <v>119.721487</v>
      </c>
      <c r="O1231" s="21">
        <f t="shared" si="191"/>
        <v>526815.23233684502</v>
      </c>
      <c r="P1231" s="21">
        <f t="shared" si="192"/>
        <v>549023.30766605504</v>
      </c>
      <c r="Q1231" s="21">
        <f t="shared" si="193"/>
        <v>20376264.905345969</v>
      </c>
      <c r="R1231" s="21">
        <f t="shared" si="194"/>
        <v>29061223.608293023</v>
      </c>
      <c r="S1231" s="21">
        <f t="shared" si="195"/>
        <v>8684958.7029470541</v>
      </c>
      <c r="T1231" s="14">
        <f>IFERROR(INDEX(Cost_Components!$R$2:$R$27,MATCH(E1231,Cost_Components!$A$2:$A$27,0)),"")</f>
        <v>1</v>
      </c>
      <c r="U1231" s="24">
        <f>IFERROR(INDEX(Cost_Components!$Q$2:$Q$27,MATCH(E1231,Cost_Components!$A$2:$A$27,0)),"")</f>
        <v>2023</v>
      </c>
      <c r="V1231" s="28">
        <f>1/(1+Calculation_Assumptions!$B$5)^(B1231-Calculation_Assumptions!$B$2)</f>
        <v>0.81309151134335378</v>
      </c>
      <c r="W1231" s="21">
        <f t="shared" si="196"/>
        <v>16567768.027420294</v>
      </c>
      <c r="X1231" s="21">
        <f t="shared" si="197"/>
        <v>23629434.225154128</v>
      </c>
      <c r="Y1231" s="21">
        <f t="shared" si="198"/>
        <v>7061666.1977338335</v>
      </c>
      <c r="Z1231" s="15">
        <f>IFERROR(INDEX(Cost_Components!$T$2:$T$27,MATCH(E1231,Cost_Components!$A$2:$A$27,0)),"")</f>
        <v>0.8</v>
      </c>
      <c r="AA1231" s="24">
        <f>IFERROR(INDEX(Cost_Components!$U$2:$U$27,MATCH(E1231,Cost_Components!$A$2:$A$27,0)),"")</f>
        <v>2025</v>
      </c>
      <c r="AB1231" s="24">
        <f>IFERROR(INDEX(Cost_Components!$V$2:$V$27,MATCH(E1231,Cost_Components!$A$2:$A$27,0)),"")</f>
        <v>2050</v>
      </c>
      <c r="AC1231" s="24">
        <f>IFERROR(INDEX(Cost_Components!$M$2:$M$27,MATCH(E1231,Cost_Components!$A$2:$A$27,0)),"")</f>
        <v>30</v>
      </c>
      <c r="AD1231" s="24">
        <f>IFERROR(INDEX(Cost_Components!$N$2:$N$27,MATCH(E1231,Cost_Components!$A$2:$A$27,0)),"")</f>
        <v>95</v>
      </c>
      <c r="AE1231" s="14" t="str">
        <f>IFERROR(INDEX(Cost_Components!$O$2:$O$27,MATCH(E1231,Cost_Components!$A$2:$A$27,0)),"")</f>
        <v>Both</v>
      </c>
      <c r="AF1231" s="11">
        <v>1053630.46467369</v>
      </c>
      <c r="AG1231" s="11">
        <v>1098046.6153321101</v>
      </c>
      <c r="AH1231" s="21">
        <f t="shared" si="199"/>
        <v>1</v>
      </c>
    </row>
    <row r="1232" spans="1:34" hidden="1">
      <c r="A1232" t="s">
        <v>75</v>
      </c>
      <c r="B1232" s="18">
        <v>2033</v>
      </c>
      <c r="C1232" t="s">
        <v>217</v>
      </c>
      <c r="D1232" t="s">
        <v>173</v>
      </c>
      <c r="E1232" s="20" t="s">
        <v>310</v>
      </c>
      <c r="F1232" s="20" t="s">
        <v>311</v>
      </c>
      <c r="G1232" s="20" t="s">
        <v>218</v>
      </c>
      <c r="H1232" s="20" t="s">
        <v>192</v>
      </c>
      <c r="I1232" s="20" t="s">
        <v>264</v>
      </c>
      <c r="J1232" s="15">
        <f>IFERROR(INDEX(Cost_Components!$K$2:$K$27,MATCH(E1232,Cost_Components!$A$2:$A$27,0)),"")</f>
        <v>0.5</v>
      </c>
      <c r="K1232" s="15">
        <f t="shared" si="190"/>
        <v>0.47961538461538467</v>
      </c>
      <c r="L1232" s="15">
        <f>IFERROR(INDEX(Cost_Components!$S$2:$S$27,MATCH(E1232,Cost_Components!$A$2:$A$27,0)),"")</f>
        <v>0.31</v>
      </c>
      <c r="M1232" s="26">
        <f>IFERROR(INDEX(Cost_Components!$L$2:$L$27,MATCH(E1232,Cost_Components!$A$2:$A$27,0)),"")</f>
        <v>1</v>
      </c>
      <c r="N1232" s="27">
        <f>IFERROR(INDEX(Cost_Components!$P$2:$P$27,MATCH(E1232,Cost_Components!$A$2:$A$27,0)),"")</f>
        <v>119.721487</v>
      </c>
      <c r="O1232" s="21">
        <f t="shared" si="191"/>
        <v>530006.52644148504</v>
      </c>
      <c r="P1232" s="21">
        <f t="shared" si="192"/>
        <v>556084.34994470002</v>
      </c>
      <c r="Q1232" s="21">
        <f t="shared" si="193"/>
        <v>20638326.034570433</v>
      </c>
      <c r="R1232" s="21">
        <f t="shared" si="194"/>
        <v>30433116.278155163</v>
      </c>
      <c r="S1232" s="21">
        <f t="shared" si="195"/>
        <v>9794790.2435847297</v>
      </c>
      <c r="T1232" s="14">
        <f>IFERROR(INDEX(Cost_Components!$R$2:$R$27,MATCH(E1232,Cost_Components!$A$2:$A$27,0)),"")</f>
        <v>1</v>
      </c>
      <c r="U1232" s="24">
        <f>IFERROR(INDEX(Cost_Components!$Q$2:$Q$27,MATCH(E1232,Cost_Components!$A$2:$A$27,0)),"")</f>
        <v>2023</v>
      </c>
      <c r="V1232" s="28">
        <f>1/(1+Calculation_Assumptions!$B$5)^(B1232-Calculation_Assumptions!$B$2)</f>
        <v>0.78940923431393573</v>
      </c>
      <c r="W1232" s="21">
        <f t="shared" si="196"/>
        <v>16292085.152471611</v>
      </c>
      <c r="X1232" s="21">
        <f t="shared" si="197"/>
        <v>24024183.01892544</v>
      </c>
      <c r="Y1232" s="21">
        <f t="shared" si="198"/>
        <v>7732097.8664538292</v>
      </c>
      <c r="Z1232" s="15">
        <f>IFERROR(INDEX(Cost_Components!$T$2:$T$27,MATCH(E1232,Cost_Components!$A$2:$A$27,0)),"")</f>
        <v>0.8</v>
      </c>
      <c r="AA1232" s="24">
        <f>IFERROR(INDEX(Cost_Components!$U$2:$U$27,MATCH(E1232,Cost_Components!$A$2:$A$27,0)),"")</f>
        <v>2025</v>
      </c>
      <c r="AB1232" s="24">
        <f>IFERROR(INDEX(Cost_Components!$V$2:$V$27,MATCH(E1232,Cost_Components!$A$2:$A$27,0)),"")</f>
        <v>2050</v>
      </c>
      <c r="AC1232" s="24">
        <f>IFERROR(INDEX(Cost_Components!$M$2:$M$27,MATCH(E1232,Cost_Components!$A$2:$A$27,0)),"")</f>
        <v>30</v>
      </c>
      <c r="AD1232" s="24">
        <f>IFERROR(INDEX(Cost_Components!$N$2:$N$27,MATCH(E1232,Cost_Components!$A$2:$A$27,0)),"")</f>
        <v>95</v>
      </c>
      <c r="AE1232" s="14" t="str">
        <f>IFERROR(INDEX(Cost_Components!$O$2:$O$27,MATCH(E1232,Cost_Components!$A$2:$A$27,0)),"")</f>
        <v>Both</v>
      </c>
      <c r="AF1232" s="11">
        <v>1060013.0528829701</v>
      </c>
      <c r="AG1232" s="11">
        <v>1112168.6998894</v>
      </c>
      <c r="AH1232" s="21">
        <f t="shared" si="199"/>
        <v>1</v>
      </c>
    </row>
    <row r="1233" spans="1:34" hidden="1">
      <c r="A1233" t="s">
        <v>75</v>
      </c>
      <c r="B1233" s="18">
        <v>2034</v>
      </c>
      <c r="C1233" t="s">
        <v>217</v>
      </c>
      <c r="D1233" t="s">
        <v>173</v>
      </c>
      <c r="E1233" s="20" t="s">
        <v>310</v>
      </c>
      <c r="F1233" s="20" t="s">
        <v>311</v>
      </c>
      <c r="G1233" s="20" t="s">
        <v>218</v>
      </c>
      <c r="H1233" s="20" t="s">
        <v>192</v>
      </c>
      <c r="I1233" s="20" t="s">
        <v>264</v>
      </c>
      <c r="J1233" s="15">
        <f>IFERROR(INDEX(Cost_Components!$K$2:$K$27,MATCH(E1233,Cost_Components!$A$2:$A$27,0)),"")</f>
        <v>0.5</v>
      </c>
      <c r="K1233" s="15">
        <f t="shared" si="190"/>
        <v>0.49846153846153851</v>
      </c>
      <c r="L1233" s="15">
        <f>IFERROR(INDEX(Cost_Components!$S$2:$S$27,MATCH(E1233,Cost_Components!$A$2:$A$27,0)),"")</f>
        <v>0.31</v>
      </c>
      <c r="M1233" s="26">
        <f>IFERROR(INDEX(Cost_Components!$L$2:$L$27,MATCH(E1233,Cost_Components!$A$2:$A$27,0)),"")</f>
        <v>1</v>
      </c>
      <c r="N1233" s="27">
        <f>IFERROR(INDEX(Cost_Components!$P$2:$P$27,MATCH(E1233,Cost_Components!$A$2:$A$27,0)),"")</f>
        <v>119.721487</v>
      </c>
      <c r="O1233" s="21">
        <f t="shared" si="191"/>
        <v>532854.62262231996</v>
      </c>
      <c r="P1233" s="21">
        <f t="shared" si="192"/>
        <v>562914.69122867996</v>
      </c>
      <c r="Q1233" s="21">
        <f t="shared" si="193"/>
        <v>20891825.005293462</v>
      </c>
      <c r="R1233" s="21">
        <f t="shared" si="194"/>
        <v>31798929.044852965</v>
      </c>
      <c r="S1233" s="21">
        <f t="shared" si="195"/>
        <v>10907104.039559502</v>
      </c>
      <c r="T1233" s="14">
        <f>IFERROR(INDEX(Cost_Components!$R$2:$R$27,MATCH(E1233,Cost_Components!$A$2:$A$27,0)),"")</f>
        <v>1</v>
      </c>
      <c r="U1233" s="24">
        <f>IFERROR(INDEX(Cost_Components!$Q$2:$Q$27,MATCH(E1233,Cost_Components!$A$2:$A$27,0)),"")</f>
        <v>2023</v>
      </c>
      <c r="V1233" s="28">
        <f>1/(1+Calculation_Assumptions!$B$5)^(B1233-Calculation_Assumptions!$B$2)</f>
        <v>0.76641673234362695</v>
      </c>
      <c r="W1233" s="21">
        <f t="shared" si="196"/>
        <v>16011844.253251892</v>
      </c>
      <c r="X1233" s="21">
        <f t="shared" si="197"/>
        <v>24371231.290583059</v>
      </c>
      <c r="Y1233" s="21">
        <f t="shared" si="198"/>
        <v>8359387.0373311676</v>
      </c>
      <c r="Z1233" s="15">
        <f>IFERROR(INDEX(Cost_Components!$T$2:$T$27,MATCH(E1233,Cost_Components!$A$2:$A$27,0)),"")</f>
        <v>0.8</v>
      </c>
      <c r="AA1233" s="24">
        <f>IFERROR(INDEX(Cost_Components!$U$2:$U$27,MATCH(E1233,Cost_Components!$A$2:$A$27,0)),"")</f>
        <v>2025</v>
      </c>
      <c r="AB1233" s="24">
        <f>IFERROR(INDEX(Cost_Components!$V$2:$V$27,MATCH(E1233,Cost_Components!$A$2:$A$27,0)),"")</f>
        <v>2050</v>
      </c>
      <c r="AC1233" s="24">
        <f>IFERROR(INDEX(Cost_Components!$M$2:$M$27,MATCH(E1233,Cost_Components!$A$2:$A$27,0)),"")</f>
        <v>30</v>
      </c>
      <c r="AD1233" s="24">
        <f>IFERROR(INDEX(Cost_Components!$N$2:$N$27,MATCH(E1233,Cost_Components!$A$2:$A$27,0)),"")</f>
        <v>95</v>
      </c>
      <c r="AE1233" s="14" t="str">
        <f>IFERROR(INDEX(Cost_Components!$O$2:$O$27,MATCH(E1233,Cost_Components!$A$2:$A$27,0)),"")</f>
        <v>Both</v>
      </c>
      <c r="AF1233" s="11">
        <v>1065709.2452446399</v>
      </c>
      <c r="AG1233" s="11">
        <v>1125829.3824573599</v>
      </c>
      <c r="AH1233" s="21">
        <f t="shared" si="199"/>
        <v>1</v>
      </c>
    </row>
    <row r="1234" spans="1:34" hidden="1">
      <c r="A1234" t="s">
        <v>75</v>
      </c>
      <c r="B1234" s="18">
        <v>2035</v>
      </c>
      <c r="C1234" t="s">
        <v>217</v>
      </c>
      <c r="D1234" t="s">
        <v>173</v>
      </c>
      <c r="E1234" s="20" t="s">
        <v>310</v>
      </c>
      <c r="F1234" s="20" t="s">
        <v>311</v>
      </c>
      <c r="G1234" s="20" t="s">
        <v>218</v>
      </c>
      <c r="H1234" s="20" t="s">
        <v>192</v>
      </c>
      <c r="I1234" s="20" t="s">
        <v>264</v>
      </c>
      <c r="J1234" s="15">
        <f>IFERROR(INDEX(Cost_Components!$K$2:$K$27,MATCH(E1234,Cost_Components!$A$2:$A$27,0)),"")</f>
        <v>0.5</v>
      </c>
      <c r="K1234" s="15">
        <f t="shared" si="190"/>
        <v>0.51730769230769236</v>
      </c>
      <c r="L1234" s="15">
        <f>IFERROR(INDEX(Cost_Components!$S$2:$S$27,MATCH(E1234,Cost_Components!$A$2:$A$27,0)),"")</f>
        <v>0.31</v>
      </c>
      <c r="M1234" s="26">
        <f>IFERROR(INDEX(Cost_Components!$L$2:$L$27,MATCH(E1234,Cost_Components!$A$2:$A$27,0)),"")</f>
        <v>1</v>
      </c>
      <c r="N1234" s="27">
        <f>IFERROR(INDEX(Cost_Components!$P$2:$P$27,MATCH(E1234,Cost_Components!$A$2:$A$27,0)),"")</f>
        <v>119.721487</v>
      </c>
      <c r="O1234" s="21">
        <f t="shared" si="191"/>
        <v>535449.43849794497</v>
      </c>
      <c r="P1234" s="21">
        <f t="shared" si="192"/>
        <v>569583.09548001003</v>
      </c>
      <c r="Q1234" s="21">
        <f t="shared" si="193"/>
        <v>21139313.899888229</v>
      </c>
      <c r="R1234" s="21">
        <f t="shared" si="194"/>
        <v>33161907.700745668</v>
      </c>
      <c r="S1234" s="21">
        <f t="shared" si="195"/>
        <v>12022593.80085744</v>
      </c>
      <c r="T1234" s="14">
        <f>IFERROR(INDEX(Cost_Components!$R$2:$R$27,MATCH(E1234,Cost_Components!$A$2:$A$27,0)),"")</f>
        <v>1</v>
      </c>
      <c r="U1234" s="24">
        <f>IFERROR(INDEX(Cost_Components!$Q$2:$Q$27,MATCH(E1234,Cost_Components!$A$2:$A$27,0)),"")</f>
        <v>2023</v>
      </c>
      <c r="V1234" s="28">
        <f>1/(1+Calculation_Assumptions!$B$5)^(B1234-Calculation_Assumptions!$B$2)</f>
        <v>0.74409391489672516</v>
      </c>
      <c r="W1234" s="21">
        <f t="shared" si="196"/>
        <v>15729634.837998591</v>
      </c>
      <c r="X1234" s="21">
        <f t="shared" si="197"/>
        <v>24675573.726491701</v>
      </c>
      <c r="Y1234" s="21">
        <f t="shared" si="198"/>
        <v>8945938.8884931114</v>
      </c>
      <c r="Z1234" s="15">
        <f>IFERROR(INDEX(Cost_Components!$T$2:$T$27,MATCH(E1234,Cost_Components!$A$2:$A$27,0)),"")</f>
        <v>0.8</v>
      </c>
      <c r="AA1234" s="24">
        <f>IFERROR(INDEX(Cost_Components!$U$2:$U$27,MATCH(E1234,Cost_Components!$A$2:$A$27,0)),"")</f>
        <v>2025</v>
      </c>
      <c r="AB1234" s="24">
        <f>IFERROR(INDEX(Cost_Components!$V$2:$V$27,MATCH(E1234,Cost_Components!$A$2:$A$27,0)),"")</f>
        <v>2050</v>
      </c>
      <c r="AC1234" s="24">
        <f>IFERROR(INDEX(Cost_Components!$M$2:$M$27,MATCH(E1234,Cost_Components!$A$2:$A$27,0)),"")</f>
        <v>30</v>
      </c>
      <c r="AD1234" s="24">
        <f>IFERROR(INDEX(Cost_Components!$N$2:$N$27,MATCH(E1234,Cost_Components!$A$2:$A$27,0)),"")</f>
        <v>95</v>
      </c>
      <c r="AE1234" s="14" t="str">
        <f>IFERROR(INDEX(Cost_Components!$O$2:$O$27,MATCH(E1234,Cost_Components!$A$2:$A$27,0)),"")</f>
        <v>Both</v>
      </c>
      <c r="AF1234" s="11">
        <v>1070898.8769958899</v>
      </c>
      <c r="AG1234" s="11">
        <v>1139166.1909600201</v>
      </c>
      <c r="AH1234" s="21">
        <f t="shared" si="199"/>
        <v>1</v>
      </c>
    </row>
    <row r="1235" spans="1:34" hidden="1">
      <c r="A1235" t="s">
        <v>75</v>
      </c>
      <c r="B1235" s="18">
        <v>2036</v>
      </c>
      <c r="C1235" t="s">
        <v>217</v>
      </c>
      <c r="D1235" t="s">
        <v>173</v>
      </c>
      <c r="E1235" s="20" t="s">
        <v>310</v>
      </c>
      <c r="F1235" s="20" t="s">
        <v>311</v>
      </c>
      <c r="G1235" s="20" t="s">
        <v>218</v>
      </c>
      <c r="H1235" s="20" t="s">
        <v>192</v>
      </c>
      <c r="I1235" s="20" t="s">
        <v>264</v>
      </c>
      <c r="J1235" s="15">
        <f>IFERROR(INDEX(Cost_Components!$K$2:$K$27,MATCH(E1235,Cost_Components!$A$2:$A$27,0)),"")</f>
        <v>0.5</v>
      </c>
      <c r="K1235" s="15">
        <f t="shared" si="190"/>
        <v>0.5361538461538462</v>
      </c>
      <c r="L1235" s="15">
        <f>IFERROR(INDEX(Cost_Components!$S$2:$S$27,MATCH(E1235,Cost_Components!$A$2:$A$27,0)),"")</f>
        <v>0.31</v>
      </c>
      <c r="M1235" s="26">
        <f>IFERROR(INDEX(Cost_Components!$L$2:$L$27,MATCH(E1235,Cost_Components!$A$2:$A$27,0)),"")</f>
        <v>1</v>
      </c>
      <c r="N1235" s="27">
        <f>IFERROR(INDEX(Cost_Components!$P$2:$P$27,MATCH(E1235,Cost_Components!$A$2:$A$27,0)),"")</f>
        <v>119.721487</v>
      </c>
      <c r="O1235" s="21">
        <f t="shared" si="191"/>
        <v>537818.56704862497</v>
      </c>
      <c r="P1235" s="21">
        <f t="shared" si="192"/>
        <v>576098.28276520001</v>
      </c>
      <c r="Q1235" s="21">
        <f t="shared" si="193"/>
        <v>21381116.351946827</v>
      </c>
      <c r="R1235" s="21">
        <f t="shared" si="194"/>
        <v>34522108.994261228</v>
      </c>
      <c r="S1235" s="21">
        <f t="shared" si="195"/>
        <v>13140992.642314401</v>
      </c>
      <c r="T1235" s="14">
        <f>IFERROR(INDEX(Cost_Components!$R$2:$R$27,MATCH(E1235,Cost_Components!$A$2:$A$27,0)),"")</f>
        <v>1</v>
      </c>
      <c r="U1235" s="24">
        <f>IFERROR(INDEX(Cost_Components!$Q$2:$Q$27,MATCH(E1235,Cost_Components!$A$2:$A$27,0)),"")</f>
        <v>2023</v>
      </c>
      <c r="V1235" s="28">
        <f>1/(1+Calculation_Assumptions!$B$5)^(B1235-Calculation_Assumptions!$B$2)</f>
        <v>0.72242127659876232</v>
      </c>
      <c r="W1235" s="21">
        <f t="shared" si="196"/>
        <v>15446173.370080099</v>
      </c>
      <c r="X1235" s="21">
        <f t="shared" si="197"/>
        <v>24939506.050515812</v>
      </c>
      <c r="Y1235" s="21">
        <f t="shared" si="198"/>
        <v>9493332.6804357115</v>
      </c>
      <c r="Z1235" s="15">
        <f>IFERROR(INDEX(Cost_Components!$T$2:$T$27,MATCH(E1235,Cost_Components!$A$2:$A$27,0)),"")</f>
        <v>0.8</v>
      </c>
      <c r="AA1235" s="24">
        <f>IFERROR(INDEX(Cost_Components!$U$2:$U$27,MATCH(E1235,Cost_Components!$A$2:$A$27,0)),"")</f>
        <v>2025</v>
      </c>
      <c r="AB1235" s="24">
        <f>IFERROR(INDEX(Cost_Components!$V$2:$V$27,MATCH(E1235,Cost_Components!$A$2:$A$27,0)),"")</f>
        <v>2050</v>
      </c>
      <c r="AC1235" s="24">
        <f>IFERROR(INDEX(Cost_Components!$M$2:$M$27,MATCH(E1235,Cost_Components!$A$2:$A$27,0)),"")</f>
        <v>30</v>
      </c>
      <c r="AD1235" s="24">
        <f>IFERROR(INDEX(Cost_Components!$N$2:$N$27,MATCH(E1235,Cost_Components!$A$2:$A$27,0)),"")</f>
        <v>95</v>
      </c>
      <c r="AE1235" s="14" t="str">
        <f>IFERROR(INDEX(Cost_Components!$O$2:$O$27,MATCH(E1235,Cost_Components!$A$2:$A$27,0)),"")</f>
        <v>Both</v>
      </c>
      <c r="AF1235" s="11">
        <v>1075637.1340972499</v>
      </c>
      <c r="AG1235" s="11">
        <v>1152196.5655304</v>
      </c>
      <c r="AH1235" s="21">
        <f t="shared" si="199"/>
        <v>1</v>
      </c>
    </row>
    <row r="1236" spans="1:34" hidden="1">
      <c r="A1236" t="s">
        <v>75</v>
      </c>
      <c r="B1236" s="18">
        <v>2037</v>
      </c>
      <c r="C1236" t="s">
        <v>217</v>
      </c>
      <c r="D1236" t="s">
        <v>173</v>
      </c>
      <c r="E1236" s="20" t="s">
        <v>310</v>
      </c>
      <c r="F1236" s="20" t="s">
        <v>311</v>
      </c>
      <c r="G1236" s="20" t="s">
        <v>218</v>
      </c>
      <c r="H1236" s="20" t="s">
        <v>192</v>
      </c>
      <c r="I1236" s="20" t="s">
        <v>264</v>
      </c>
      <c r="J1236" s="15">
        <f>IFERROR(INDEX(Cost_Components!$K$2:$K$27,MATCH(E1236,Cost_Components!$A$2:$A$27,0)),"")</f>
        <v>0.5</v>
      </c>
      <c r="K1236" s="15">
        <f t="shared" si="190"/>
        <v>0.55500000000000005</v>
      </c>
      <c r="L1236" s="15">
        <f>IFERROR(INDEX(Cost_Components!$S$2:$S$27,MATCH(E1236,Cost_Components!$A$2:$A$27,0)),"")</f>
        <v>0.31</v>
      </c>
      <c r="M1236" s="26">
        <f>IFERROR(INDEX(Cost_Components!$L$2:$L$27,MATCH(E1236,Cost_Components!$A$2:$A$27,0)),"")</f>
        <v>1</v>
      </c>
      <c r="N1236" s="27">
        <f>IFERROR(INDEX(Cost_Components!$P$2:$P$27,MATCH(E1236,Cost_Components!$A$2:$A$27,0)),"")</f>
        <v>119.721487</v>
      </c>
      <c r="O1236" s="21">
        <f t="shared" si="191"/>
        <v>539983.97310475004</v>
      </c>
      <c r="P1236" s="21">
        <f t="shared" si="192"/>
        <v>582467.54661059496</v>
      </c>
      <c r="Q1236" s="21">
        <f t="shared" si="193"/>
        <v>21617503.050933294</v>
      </c>
      <c r="R1236" s="21">
        <f t="shared" si="194"/>
        <v>35879464.740029119</v>
      </c>
      <c r="S1236" s="21">
        <f t="shared" si="195"/>
        <v>14261961.689095825</v>
      </c>
      <c r="T1236" s="14">
        <f>IFERROR(INDEX(Cost_Components!$R$2:$R$27,MATCH(E1236,Cost_Components!$A$2:$A$27,0)),"")</f>
        <v>1</v>
      </c>
      <c r="U1236" s="24">
        <f>IFERROR(INDEX(Cost_Components!$Q$2:$Q$27,MATCH(E1236,Cost_Components!$A$2:$A$27,0)),"")</f>
        <v>2023</v>
      </c>
      <c r="V1236" s="28">
        <f>1/(1+Calculation_Assumptions!$B$5)^(B1236-Calculation_Assumptions!$B$2)</f>
        <v>0.70137988019297326</v>
      </c>
      <c r="W1236" s="21">
        <f t="shared" si="196"/>
        <v>15162081.699934827</v>
      </c>
      <c r="X1236" s="21">
        <f t="shared" si="197"/>
        <v>25165134.680749632</v>
      </c>
      <c r="Y1236" s="21">
        <f t="shared" si="198"/>
        <v>10003052.980814803</v>
      </c>
      <c r="Z1236" s="15">
        <f>IFERROR(INDEX(Cost_Components!$T$2:$T$27,MATCH(E1236,Cost_Components!$A$2:$A$27,0)),"")</f>
        <v>0.8</v>
      </c>
      <c r="AA1236" s="24">
        <f>IFERROR(INDEX(Cost_Components!$U$2:$U$27,MATCH(E1236,Cost_Components!$A$2:$A$27,0)),"")</f>
        <v>2025</v>
      </c>
      <c r="AB1236" s="24">
        <f>IFERROR(INDEX(Cost_Components!$V$2:$V$27,MATCH(E1236,Cost_Components!$A$2:$A$27,0)),"")</f>
        <v>2050</v>
      </c>
      <c r="AC1236" s="24">
        <f>IFERROR(INDEX(Cost_Components!$M$2:$M$27,MATCH(E1236,Cost_Components!$A$2:$A$27,0)),"")</f>
        <v>30</v>
      </c>
      <c r="AD1236" s="24">
        <f>IFERROR(INDEX(Cost_Components!$N$2:$N$27,MATCH(E1236,Cost_Components!$A$2:$A$27,0)),"")</f>
        <v>95</v>
      </c>
      <c r="AE1236" s="14" t="str">
        <f>IFERROR(INDEX(Cost_Components!$O$2:$O$27,MATCH(E1236,Cost_Components!$A$2:$A$27,0)),"")</f>
        <v>Both</v>
      </c>
      <c r="AF1236" s="11">
        <v>1079967.9462095001</v>
      </c>
      <c r="AG1236" s="11">
        <v>1164935.0932211899</v>
      </c>
      <c r="AH1236" s="21">
        <f t="shared" si="199"/>
        <v>1</v>
      </c>
    </row>
    <row r="1237" spans="1:34" hidden="1">
      <c r="A1237" t="s">
        <v>75</v>
      </c>
      <c r="B1237" s="18">
        <v>2038</v>
      </c>
      <c r="C1237" t="s">
        <v>217</v>
      </c>
      <c r="D1237" t="s">
        <v>173</v>
      </c>
      <c r="E1237" s="20" t="s">
        <v>310</v>
      </c>
      <c r="F1237" s="20" t="s">
        <v>311</v>
      </c>
      <c r="G1237" s="20" t="s">
        <v>218</v>
      </c>
      <c r="H1237" s="20" t="s">
        <v>192</v>
      </c>
      <c r="I1237" s="20" t="s">
        <v>264</v>
      </c>
      <c r="J1237" s="15">
        <f>IFERROR(INDEX(Cost_Components!$K$2:$K$27,MATCH(E1237,Cost_Components!$A$2:$A$27,0)),"")</f>
        <v>0.5</v>
      </c>
      <c r="K1237" s="15">
        <f t="shared" si="190"/>
        <v>0.57384615384615389</v>
      </c>
      <c r="L1237" s="15">
        <f>IFERROR(INDEX(Cost_Components!$S$2:$S$27,MATCH(E1237,Cost_Components!$A$2:$A$27,0)),"")</f>
        <v>0.31</v>
      </c>
      <c r="M1237" s="26">
        <f>IFERROR(INDEX(Cost_Components!$L$2:$L$27,MATCH(E1237,Cost_Components!$A$2:$A$27,0)),"")</f>
        <v>1</v>
      </c>
      <c r="N1237" s="27">
        <f>IFERROR(INDEX(Cost_Components!$P$2:$P$27,MATCH(E1237,Cost_Components!$A$2:$A$27,0)),"")</f>
        <v>119.721487</v>
      </c>
      <c r="O1237" s="21">
        <f t="shared" si="191"/>
        <v>541929.00631436997</v>
      </c>
      <c r="P1237" s="21">
        <f t="shared" si="192"/>
        <v>588662.15841064998</v>
      </c>
      <c r="Q1237" s="21">
        <f t="shared" si="193"/>
        <v>21847407.773121297</v>
      </c>
      <c r="R1237" s="21">
        <f t="shared" si="194"/>
        <v>37231452.059503093</v>
      </c>
      <c r="S1237" s="21">
        <f t="shared" si="195"/>
        <v>15384044.286381796</v>
      </c>
      <c r="T1237" s="14">
        <f>IFERROR(INDEX(Cost_Components!$R$2:$R$27,MATCH(E1237,Cost_Components!$A$2:$A$27,0)),"")</f>
        <v>1</v>
      </c>
      <c r="U1237" s="24">
        <f>IFERROR(INDEX(Cost_Components!$Q$2:$Q$27,MATCH(E1237,Cost_Components!$A$2:$A$27,0)),"")</f>
        <v>2023</v>
      </c>
      <c r="V1237" s="28">
        <f>1/(1+Calculation_Assumptions!$B$5)^(B1237-Calculation_Assumptions!$B$2)</f>
        <v>0.68095133999317792</v>
      </c>
      <c r="W1237" s="21">
        <f t="shared" si="196"/>
        <v>14877021.598484319</v>
      </c>
      <c r="X1237" s="21">
        <f t="shared" si="197"/>
        <v>25352807.169810396</v>
      </c>
      <c r="Y1237" s="21">
        <f t="shared" si="198"/>
        <v>10475785.571326077</v>
      </c>
      <c r="Z1237" s="15">
        <f>IFERROR(INDEX(Cost_Components!$T$2:$T$27,MATCH(E1237,Cost_Components!$A$2:$A$27,0)),"")</f>
        <v>0.8</v>
      </c>
      <c r="AA1237" s="24">
        <f>IFERROR(INDEX(Cost_Components!$U$2:$U$27,MATCH(E1237,Cost_Components!$A$2:$A$27,0)),"")</f>
        <v>2025</v>
      </c>
      <c r="AB1237" s="24">
        <f>IFERROR(INDEX(Cost_Components!$V$2:$V$27,MATCH(E1237,Cost_Components!$A$2:$A$27,0)),"")</f>
        <v>2050</v>
      </c>
      <c r="AC1237" s="24">
        <f>IFERROR(INDEX(Cost_Components!$M$2:$M$27,MATCH(E1237,Cost_Components!$A$2:$A$27,0)),"")</f>
        <v>30</v>
      </c>
      <c r="AD1237" s="24">
        <f>IFERROR(INDEX(Cost_Components!$N$2:$N$27,MATCH(E1237,Cost_Components!$A$2:$A$27,0)),"")</f>
        <v>95</v>
      </c>
      <c r="AE1237" s="14" t="str">
        <f>IFERROR(INDEX(Cost_Components!$O$2:$O$27,MATCH(E1237,Cost_Components!$A$2:$A$27,0)),"")</f>
        <v>Both</v>
      </c>
      <c r="AF1237" s="11">
        <v>1083858.0126287399</v>
      </c>
      <c r="AG1237" s="11">
        <v>1177324.3168213</v>
      </c>
      <c r="AH1237" s="21">
        <f t="shared" si="199"/>
        <v>1</v>
      </c>
    </row>
    <row r="1238" spans="1:34" hidden="1">
      <c r="A1238" t="s">
        <v>75</v>
      </c>
      <c r="B1238" s="18">
        <v>2039</v>
      </c>
      <c r="C1238" t="s">
        <v>217</v>
      </c>
      <c r="D1238" t="s">
        <v>173</v>
      </c>
      <c r="E1238" s="20" t="s">
        <v>310</v>
      </c>
      <c r="F1238" s="20" t="s">
        <v>311</v>
      </c>
      <c r="G1238" s="20" t="s">
        <v>218</v>
      </c>
      <c r="H1238" s="20" t="s">
        <v>192</v>
      </c>
      <c r="I1238" s="20" t="s">
        <v>264</v>
      </c>
      <c r="J1238" s="15">
        <f>IFERROR(INDEX(Cost_Components!$K$2:$K$27,MATCH(E1238,Cost_Components!$A$2:$A$27,0)),"")</f>
        <v>0.5</v>
      </c>
      <c r="K1238" s="15">
        <f t="shared" si="190"/>
        <v>0.59269230769230763</v>
      </c>
      <c r="L1238" s="15">
        <f>IFERROR(INDEX(Cost_Components!$S$2:$S$27,MATCH(E1238,Cost_Components!$A$2:$A$27,0)),"")</f>
        <v>0.31</v>
      </c>
      <c r="M1238" s="26">
        <f>IFERROR(INDEX(Cost_Components!$L$2:$L$27,MATCH(E1238,Cost_Components!$A$2:$A$27,0)),"")</f>
        <v>1</v>
      </c>
      <c r="N1238" s="27">
        <f>IFERROR(INDEX(Cost_Components!$P$2:$P$27,MATCH(E1238,Cost_Components!$A$2:$A$27,0)),"")</f>
        <v>119.721487</v>
      </c>
      <c r="O1238" s="21">
        <f t="shared" si="191"/>
        <v>543645.22862572502</v>
      </c>
      <c r="P1238" s="21">
        <f t="shared" si="192"/>
        <v>594663.262699735</v>
      </c>
      <c r="Q1238" s="21">
        <f t="shared" si="193"/>
        <v>22070130.723152012</v>
      </c>
      <c r="R1238" s="21">
        <f t="shared" si="194"/>
        <v>38575980.530508742</v>
      </c>
      <c r="S1238" s="21">
        <f t="shared" si="195"/>
        <v>16505849.80735673</v>
      </c>
      <c r="T1238" s="14">
        <f>IFERROR(INDEX(Cost_Components!$R$2:$R$27,MATCH(E1238,Cost_Components!$A$2:$A$27,0)),"")</f>
        <v>1</v>
      </c>
      <c r="U1238" s="24">
        <f>IFERROR(INDEX(Cost_Components!$Q$2:$Q$27,MATCH(E1238,Cost_Components!$A$2:$A$27,0)),"")</f>
        <v>2023</v>
      </c>
      <c r="V1238" s="28">
        <f>1/(1+Calculation_Assumptions!$B$5)^(B1238-Calculation_Assumptions!$B$2)</f>
        <v>0.66111780581861923</v>
      </c>
      <c r="W1238" s="21">
        <f t="shared" si="196"/>
        <v>14590956.397820354</v>
      </c>
      <c r="X1238" s="21">
        <f t="shared" si="197"/>
        <v>25503267.605631713</v>
      </c>
      <c r="Y1238" s="21">
        <f t="shared" si="198"/>
        <v>10912311.207811361</v>
      </c>
      <c r="Z1238" s="15">
        <f>IFERROR(INDEX(Cost_Components!$T$2:$T$27,MATCH(E1238,Cost_Components!$A$2:$A$27,0)),"")</f>
        <v>0.8</v>
      </c>
      <c r="AA1238" s="24">
        <f>IFERROR(INDEX(Cost_Components!$U$2:$U$27,MATCH(E1238,Cost_Components!$A$2:$A$27,0)),"")</f>
        <v>2025</v>
      </c>
      <c r="AB1238" s="24">
        <f>IFERROR(INDEX(Cost_Components!$V$2:$V$27,MATCH(E1238,Cost_Components!$A$2:$A$27,0)),"")</f>
        <v>2050</v>
      </c>
      <c r="AC1238" s="24">
        <f>IFERROR(INDEX(Cost_Components!$M$2:$M$27,MATCH(E1238,Cost_Components!$A$2:$A$27,0)),"")</f>
        <v>30</v>
      </c>
      <c r="AD1238" s="24">
        <f>IFERROR(INDEX(Cost_Components!$N$2:$N$27,MATCH(E1238,Cost_Components!$A$2:$A$27,0)),"")</f>
        <v>95</v>
      </c>
      <c r="AE1238" s="14" t="str">
        <f>IFERROR(INDEX(Cost_Components!$O$2:$O$27,MATCH(E1238,Cost_Components!$A$2:$A$27,0)),"")</f>
        <v>Both</v>
      </c>
      <c r="AF1238" s="11">
        <v>1087290.45725145</v>
      </c>
      <c r="AG1238" s="11">
        <v>1189326.52539947</v>
      </c>
      <c r="AH1238" s="21">
        <f t="shared" si="199"/>
        <v>1</v>
      </c>
    </row>
    <row r="1239" spans="1:34" hidden="1">
      <c r="A1239" t="s">
        <v>75</v>
      </c>
      <c r="B1239" s="18">
        <v>2040</v>
      </c>
      <c r="C1239" t="s">
        <v>217</v>
      </c>
      <c r="D1239" t="s">
        <v>173</v>
      </c>
      <c r="E1239" s="20" t="s">
        <v>310</v>
      </c>
      <c r="F1239" s="20" t="s">
        <v>311</v>
      </c>
      <c r="G1239" s="20" t="s">
        <v>218</v>
      </c>
      <c r="H1239" s="20" t="s">
        <v>192</v>
      </c>
      <c r="I1239" s="20" t="s">
        <v>264</v>
      </c>
      <c r="J1239" s="15">
        <f>IFERROR(INDEX(Cost_Components!$K$2:$K$27,MATCH(E1239,Cost_Components!$A$2:$A$27,0)),"")</f>
        <v>0.5</v>
      </c>
      <c r="K1239" s="15">
        <f t="shared" si="190"/>
        <v>0.61153846153846159</v>
      </c>
      <c r="L1239" s="15">
        <f>IFERROR(INDEX(Cost_Components!$S$2:$S$27,MATCH(E1239,Cost_Components!$A$2:$A$27,0)),"")</f>
        <v>0.31</v>
      </c>
      <c r="M1239" s="26">
        <f>IFERROR(INDEX(Cost_Components!$L$2:$L$27,MATCH(E1239,Cost_Components!$A$2:$A$27,0)),"")</f>
        <v>1</v>
      </c>
      <c r="N1239" s="27">
        <f>IFERROR(INDEX(Cost_Components!$P$2:$P$27,MATCH(E1239,Cost_Components!$A$2:$A$27,0)),"")</f>
        <v>119.721487</v>
      </c>
      <c r="O1239" s="21">
        <f t="shared" si="191"/>
        <v>545268.796809135</v>
      </c>
      <c r="P1239" s="21">
        <f t="shared" si="192"/>
        <v>600603.94068132504</v>
      </c>
      <c r="Q1239" s="21">
        <f t="shared" si="193"/>
        <v>22290611.031692687</v>
      </c>
      <c r="R1239" s="21">
        <f t="shared" si="194"/>
        <v>39921469.983929962</v>
      </c>
      <c r="S1239" s="21">
        <f t="shared" si="195"/>
        <v>17630858.952237274</v>
      </c>
      <c r="T1239" s="14">
        <f>IFERROR(INDEX(Cost_Components!$R$2:$R$27,MATCH(E1239,Cost_Components!$A$2:$A$27,0)),"")</f>
        <v>1</v>
      </c>
      <c r="U1239" s="24">
        <f>IFERROR(INDEX(Cost_Components!$Q$2:$Q$27,MATCH(E1239,Cost_Components!$A$2:$A$27,0)),"")</f>
        <v>2023</v>
      </c>
      <c r="V1239" s="28">
        <f>1/(1+Calculation_Assumptions!$B$5)^(B1239-Calculation_Assumptions!$B$2)</f>
        <v>0.64186194739671765</v>
      </c>
      <c r="W1239" s="21">
        <f t="shared" si="196"/>
        <v>14307495.005465025</v>
      </c>
      <c r="X1239" s="21">
        <f t="shared" si="197"/>
        <v>25624072.466824897</v>
      </c>
      <c r="Y1239" s="21">
        <f t="shared" si="198"/>
        <v>11316577.46135987</v>
      </c>
      <c r="Z1239" s="15">
        <f>IFERROR(INDEX(Cost_Components!$T$2:$T$27,MATCH(E1239,Cost_Components!$A$2:$A$27,0)),"")</f>
        <v>0.8</v>
      </c>
      <c r="AA1239" s="24">
        <f>IFERROR(INDEX(Cost_Components!$U$2:$U$27,MATCH(E1239,Cost_Components!$A$2:$A$27,0)),"")</f>
        <v>2025</v>
      </c>
      <c r="AB1239" s="24">
        <f>IFERROR(INDEX(Cost_Components!$V$2:$V$27,MATCH(E1239,Cost_Components!$A$2:$A$27,0)),"")</f>
        <v>2050</v>
      </c>
      <c r="AC1239" s="24">
        <f>IFERROR(INDEX(Cost_Components!$M$2:$M$27,MATCH(E1239,Cost_Components!$A$2:$A$27,0)),"")</f>
        <v>30</v>
      </c>
      <c r="AD1239" s="24">
        <f>IFERROR(INDEX(Cost_Components!$N$2:$N$27,MATCH(E1239,Cost_Components!$A$2:$A$27,0)),"")</f>
        <v>95</v>
      </c>
      <c r="AE1239" s="14" t="str">
        <f>IFERROR(INDEX(Cost_Components!$O$2:$O$27,MATCH(E1239,Cost_Components!$A$2:$A$27,0)),"")</f>
        <v>Both</v>
      </c>
      <c r="AF1239" s="11">
        <v>1090537.59361827</v>
      </c>
      <c r="AG1239" s="11">
        <v>1201207.8813626501</v>
      </c>
      <c r="AH1239" s="21">
        <f t="shared" si="199"/>
        <v>1</v>
      </c>
    </row>
    <row r="1240" spans="1:34" hidden="1">
      <c r="A1240" t="s">
        <v>75</v>
      </c>
      <c r="B1240" s="18">
        <v>2041</v>
      </c>
      <c r="C1240" t="s">
        <v>217</v>
      </c>
      <c r="D1240" t="s">
        <v>173</v>
      </c>
      <c r="E1240" s="20" t="s">
        <v>310</v>
      </c>
      <c r="F1240" s="20" t="s">
        <v>311</v>
      </c>
      <c r="G1240" s="20" t="s">
        <v>218</v>
      </c>
      <c r="H1240" s="20" t="s">
        <v>192</v>
      </c>
      <c r="I1240" s="20" t="s">
        <v>264</v>
      </c>
      <c r="J1240" s="15">
        <f>IFERROR(INDEX(Cost_Components!$K$2:$K$27,MATCH(E1240,Cost_Components!$A$2:$A$27,0)),"")</f>
        <v>0.5</v>
      </c>
      <c r="K1240" s="15">
        <f t="shared" si="190"/>
        <v>0.63038461538461543</v>
      </c>
      <c r="L1240" s="15">
        <f>IFERROR(INDEX(Cost_Components!$S$2:$S$27,MATCH(E1240,Cost_Components!$A$2:$A$27,0)),"")</f>
        <v>0.31</v>
      </c>
      <c r="M1240" s="26">
        <f>IFERROR(INDEX(Cost_Components!$L$2:$L$27,MATCH(E1240,Cost_Components!$A$2:$A$27,0)),"")</f>
        <v>1</v>
      </c>
      <c r="N1240" s="27">
        <f>IFERROR(INDEX(Cost_Components!$P$2:$P$27,MATCH(E1240,Cost_Components!$A$2:$A$27,0)),"")</f>
        <v>119.721487</v>
      </c>
      <c r="O1240" s="21">
        <f t="shared" si="191"/>
        <v>546859.48462654999</v>
      </c>
      <c r="P1240" s="21">
        <f t="shared" si="192"/>
        <v>606538.96964380005</v>
      </c>
      <c r="Q1240" s="21">
        <f t="shared" si="193"/>
        <v>22510881.684453115</v>
      </c>
      <c r="R1240" s="21">
        <f t="shared" si="194"/>
        <v>41271804.416835748</v>
      </c>
      <c r="S1240" s="21">
        <f t="shared" si="195"/>
        <v>18760922.732382633</v>
      </c>
      <c r="T1240" s="14">
        <f>IFERROR(INDEX(Cost_Components!$R$2:$R$27,MATCH(E1240,Cost_Components!$A$2:$A$27,0)),"")</f>
        <v>1</v>
      </c>
      <c r="U1240" s="24">
        <f>IFERROR(INDEX(Cost_Components!$Q$2:$Q$27,MATCH(E1240,Cost_Components!$A$2:$A$27,0)),"")</f>
        <v>2023</v>
      </c>
      <c r="V1240" s="28">
        <f>1/(1+Calculation_Assumptions!$B$5)^(B1240-Calculation_Assumptions!$B$2)</f>
        <v>0.62316693922011435</v>
      </c>
      <c r="W1240" s="21">
        <f t="shared" si="196"/>
        <v>14028037.23844678</v>
      </c>
      <c r="X1240" s="21">
        <f t="shared" si="197"/>
        <v>25719224.034530729</v>
      </c>
      <c r="Y1240" s="21">
        <f t="shared" si="198"/>
        <v>11691186.79608395</v>
      </c>
      <c r="Z1240" s="15">
        <f>IFERROR(INDEX(Cost_Components!$T$2:$T$27,MATCH(E1240,Cost_Components!$A$2:$A$27,0)),"")</f>
        <v>0.8</v>
      </c>
      <c r="AA1240" s="24">
        <f>IFERROR(INDEX(Cost_Components!$U$2:$U$27,MATCH(E1240,Cost_Components!$A$2:$A$27,0)),"")</f>
        <v>2025</v>
      </c>
      <c r="AB1240" s="24">
        <f>IFERROR(INDEX(Cost_Components!$V$2:$V$27,MATCH(E1240,Cost_Components!$A$2:$A$27,0)),"")</f>
        <v>2050</v>
      </c>
      <c r="AC1240" s="24">
        <f>IFERROR(INDEX(Cost_Components!$M$2:$M$27,MATCH(E1240,Cost_Components!$A$2:$A$27,0)),"")</f>
        <v>30</v>
      </c>
      <c r="AD1240" s="24">
        <f>IFERROR(INDEX(Cost_Components!$N$2:$N$27,MATCH(E1240,Cost_Components!$A$2:$A$27,0)),"")</f>
        <v>95</v>
      </c>
      <c r="AE1240" s="14" t="str">
        <f>IFERROR(INDEX(Cost_Components!$O$2:$O$27,MATCH(E1240,Cost_Components!$A$2:$A$27,0)),"")</f>
        <v>Both</v>
      </c>
      <c r="AF1240" s="11">
        <v>1093718.9692531</v>
      </c>
      <c r="AG1240" s="11">
        <v>1213077.9392876001</v>
      </c>
      <c r="AH1240" s="21">
        <f t="shared" si="199"/>
        <v>1</v>
      </c>
    </row>
    <row r="1241" spans="1:34" hidden="1">
      <c r="A1241" t="s">
        <v>75</v>
      </c>
      <c r="B1241" s="18">
        <v>2042</v>
      </c>
      <c r="C1241" t="s">
        <v>217</v>
      </c>
      <c r="D1241" t="s">
        <v>173</v>
      </c>
      <c r="E1241" s="20" t="s">
        <v>310</v>
      </c>
      <c r="F1241" s="20" t="s">
        <v>311</v>
      </c>
      <c r="G1241" s="20" t="s">
        <v>218</v>
      </c>
      <c r="H1241" s="20" t="s">
        <v>192</v>
      </c>
      <c r="I1241" s="20" t="s">
        <v>264</v>
      </c>
      <c r="J1241" s="15">
        <f>IFERROR(INDEX(Cost_Components!$K$2:$K$27,MATCH(E1241,Cost_Components!$A$2:$A$27,0)),"")</f>
        <v>0.5</v>
      </c>
      <c r="K1241" s="15">
        <f t="shared" si="190"/>
        <v>0.64923076923076928</v>
      </c>
      <c r="L1241" s="15">
        <f>IFERROR(INDEX(Cost_Components!$S$2:$S$27,MATCH(E1241,Cost_Components!$A$2:$A$27,0)),"")</f>
        <v>0.31</v>
      </c>
      <c r="M1241" s="26">
        <f>IFERROR(INDEX(Cost_Components!$L$2:$L$27,MATCH(E1241,Cost_Components!$A$2:$A$27,0)),"")</f>
        <v>1</v>
      </c>
      <c r="N1241" s="27">
        <f>IFERROR(INDEX(Cost_Components!$P$2:$P$27,MATCH(E1241,Cost_Components!$A$2:$A$27,0)),"")</f>
        <v>119.721487</v>
      </c>
      <c r="O1241" s="21">
        <f t="shared" si="191"/>
        <v>548368.86179659003</v>
      </c>
      <c r="P1241" s="21">
        <f t="shared" si="192"/>
        <v>612412.60439144506</v>
      </c>
      <c r="Q1241" s="21">
        <f t="shared" si="193"/>
        <v>22728873.773138821</v>
      </c>
      <c r="R1241" s="21">
        <f t="shared" si="194"/>
        <v>42622996.932011351</v>
      </c>
      <c r="S1241" s="21">
        <f t="shared" si="195"/>
        <v>19894123.15887253</v>
      </c>
      <c r="T1241" s="14">
        <f>IFERROR(INDEX(Cost_Components!$R$2:$R$27,MATCH(E1241,Cost_Components!$A$2:$A$27,0)),"")</f>
        <v>1</v>
      </c>
      <c r="U1241" s="24">
        <f>IFERROR(INDEX(Cost_Components!$Q$2:$Q$27,MATCH(E1241,Cost_Components!$A$2:$A$27,0)),"")</f>
        <v>2023</v>
      </c>
      <c r="V1241" s="28">
        <f>1/(1+Calculation_Assumptions!$B$5)^(B1241-Calculation_Assumptions!$B$2)</f>
        <v>0.60501644584477121</v>
      </c>
      <c r="W1241" s="21">
        <f t="shared" si="196"/>
        <v>13751342.428278884</v>
      </c>
      <c r="X1241" s="21">
        <f t="shared" si="197"/>
        <v>25787614.115058094</v>
      </c>
      <c r="Y1241" s="21">
        <f t="shared" si="198"/>
        <v>12036271.68677921</v>
      </c>
      <c r="Z1241" s="15">
        <f>IFERROR(INDEX(Cost_Components!$T$2:$T$27,MATCH(E1241,Cost_Components!$A$2:$A$27,0)),"")</f>
        <v>0.8</v>
      </c>
      <c r="AA1241" s="24">
        <f>IFERROR(INDEX(Cost_Components!$U$2:$U$27,MATCH(E1241,Cost_Components!$A$2:$A$27,0)),"")</f>
        <v>2025</v>
      </c>
      <c r="AB1241" s="24">
        <f>IFERROR(INDEX(Cost_Components!$V$2:$V$27,MATCH(E1241,Cost_Components!$A$2:$A$27,0)),"")</f>
        <v>2050</v>
      </c>
      <c r="AC1241" s="24">
        <f>IFERROR(INDEX(Cost_Components!$M$2:$M$27,MATCH(E1241,Cost_Components!$A$2:$A$27,0)),"")</f>
        <v>30</v>
      </c>
      <c r="AD1241" s="24">
        <f>IFERROR(INDEX(Cost_Components!$N$2:$N$27,MATCH(E1241,Cost_Components!$A$2:$A$27,0)),"")</f>
        <v>95</v>
      </c>
      <c r="AE1241" s="14" t="str">
        <f>IFERROR(INDEX(Cost_Components!$O$2:$O$27,MATCH(E1241,Cost_Components!$A$2:$A$27,0)),"")</f>
        <v>Both</v>
      </c>
      <c r="AF1241" s="11">
        <v>1096737.7235931801</v>
      </c>
      <c r="AG1241" s="11">
        <v>1224825.2087828901</v>
      </c>
      <c r="AH1241" s="21">
        <f t="shared" si="199"/>
        <v>1</v>
      </c>
    </row>
    <row r="1242" spans="1:34" hidden="1">
      <c r="A1242" t="s">
        <v>75</v>
      </c>
      <c r="B1242" s="18">
        <v>2043</v>
      </c>
      <c r="C1242" t="s">
        <v>217</v>
      </c>
      <c r="D1242" t="s">
        <v>173</v>
      </c>
      <c r="E1242" s="20" t="s">
        <v>310</v>
      </c>
      <c r="F1242" s="20" t="s">
        <v>311</v>
      </c>
      <c r="G1242" s="20" t="s">
        <v>218</v>
      </c>
      <c r="H1242" s="20" t="s">
        <v>192</v>
      </c>
      <c r="I1242" s="20" t="s">
        <v>264</v>
      </c>
      <c r="J1242" s="15">
        <f>IFERROR(INDEX(Cost_Components!$K$2:$K$27,MATCH(E1242,Cost_Components!$A$2:$A$27,0)),"")</f>
        <v>0.5</v>
      </c>
      <c r="K1242" s="15">
        <f t="shared" si="190"/>
        <v>0.66807692307692301</v>
      </c>
      <c r="L1242" s="15">
        <f>IFERROR(INDEX(Cost_Components!$S$2:$S$27,MATCH(E1242,Cost_Components!$A$2:$A$27,0)),"")</f>
        <v>0.31</v>
      </c>
      <c r="M1242" s="26">
        <f>IFERROR(INDEX(Cost_Components!$L$2:$L$27,MATCH(E1242,Cost_Components!$A$2:$A$27,0)),"")</f>
        <v>1</v>
      </c>
      <c r="N1242" s="27">
        <f>IFERROR(INDEX(Cost_Components!$P$2:$P$27,MATCH(E1242,Cost_Components!$A$2:$A$27,0)),"")</f>
        <v>119.721487</v>
      </c>
      <c r="O1242" s="21">
        <f t="shared" si="191"/>
        <v>549671.81331171002</v>
      </c>
      <c r="P1242" s="21">
        <f t="shared" si="192"/>
        <v>618098.13743520505</v>
      </c>
      <c r="Q1242" s="21">
        <f t="shared" si="193"/>
        <v>22939884.718958665</v>
      </c>
      <c r="R1242" s="21">
        <f t="shared" si="194"/>
        <v>43964490.054361887</v>
      </c>
      <c r="S1242" s="21">
        <f t="shared" si="195"/>
        <v>21024605.335403223</v>
      </c>
      <c r="T1242" s="14">
        <f>IFERROR(INDEX(Cost_Components!$R$2:$R$27,MATCH(E1242,Cost_Components!$A$2:$A$27,0)),"")</f>
        <v>1</v>
      </c>
      <c r="U1242" s="24">
        <f>IFERROR(INDEX(Cost_Components!$Q$2:$Q$27,MATCH(E1242,Cost_Components!$A$2:$A$27,0)),"")</f>
        <v>2023</v>
      </c>
      <c r="V1242" s="28">
        <f>1/(1+Calculation_Assumptions!$B$5)^(B1242-Calculation_Assumptions!$B$2)</f>
        <v>0.5873946076162827</v>
      </c>
      <c r="W1242" s="21">
        <f t="shared" si="196"/>
        <v>13474764.583255485</v>
      </c>
      <c r="X1242" s="21">
        <f t="shared" si="197"/>
        <v>25824504.384531863</v>
      </c>
      <c r="Y1242" s="21">
        <f t="shared" si="198"/>
        <v>12349739.80127638</v>
      </c>
      <c r="Z1242" s="15">
        <f>IFERROR(INDEX(Cost_Components!$T$2:$T$27,MATCH(E1242,Cost_Components!$A$2:$A$27,0)),"")</f>
        <v>0.8</v>
      </c>
      <c r="AA1242" s="24">
        <f>IFERROR(INDEX(Cost_Components!$U$2:$U$27,MATCH(E1242,Cost_Components!$A$2:$A$27,0)),"")</f>
        <v>2025</v>
      </c>
      <c r="AB1242" s="24">
        <f>IFERROR(INDEX(Cost_Components!$V$2:$V$27,MATCH(E1242,Cost_Components!$A$2:$A$27,0)),"")</f>
        <v>2050</v>
      </c>
      <c r="AC1242" s="24">
        <f>IFERROR(INDEX(Cost_Components!$M$2:$M$27,MATCH(E1242,Cost_Components!$A$2:$A$27,0)),"")</f>
        <v>30</v>
      </c>
      <c r="AD1242" s="24">
        <f>IFERROR(INDEX(Cost_Components!$N$2:$N$27,MATCH(E1242,Cost_Components!$A$2:$A$27,0)),"")</f>
        <v>95</v>
      </c>
      <c r="AE1242" s="14" t="str">
        <f>IFERROR(INDEX(Cost_Components!$O$2:$O$27,MATCH(E1242,Cost_Components!$A$2:$A$27,0)),"")</f>
        <v>Both</v>
      </c>
      <c r="AF1242" s="11">
        <v>1099343.62662342</v>
      </c>
      <c r="AG1242" s="11">
        <v>1236196.2748704101</v>
      </c>
      <c r="AH1242" s="21">
        <f t="shared" si="199"/>
        <v>1</v>
      </c>
    </row>
    <row r="1243" spans="1:34" hidden="1">
      <c r="A1243" t="s">
        <v>75</v>
      </c>
      <c r="B1243" s="18">
        <v>2044</v>
      </c>
      <c r="C1243" t="s">
        <v>217</v>
      </c>
      <c r="D1243" t="s">
        <v>173</v>
      </c>
      <c r="E1243" s="20" t="s">
        <v>310</v>
      </c>
      <c r="F1243" s="20" t="s">
        <v>311</v>
      </c>
      <c r="G1243" s="20" t="s">
        <v>218</v>
      </c>
      <c r="H1243" s="20" t="s">
        <v>192</v>
      </c>
      <c r="I1243" s="20" t="s">
        <v>264</v>
      </c>
      <c r="J1243" s="15">
        <f>IFERROR(INDEX(Cost_Components!$K$2:$K$27,MATCH(E1243,Cost_Components!$A$2:$A$27,0)),"")</f>
        <v>0.5</v>
      </c>
      <c r="K1243" s="15">
        <f t="shared" si="190"/>
        <v>0.68692307692307697</v>
      </c>
      <c r="L1243" s="15">
        <f>IFERROR(INDEX(Cost_Components!$S$2:$S$27,MATCH(E1243,Cost_Components!$A$2:$A$27,0)),"")</f>
        <v>0.31</v>
      </c>
      <c r="M1243" s="26">
        <f>IFERROR(INDEX(Cost_Components!$L$2:$L$27,MATCH(E1243,Cost_Components!$A$2:$A$27,0)),"")</f>
        <v>1</v>
      </c>
      <c r="N1243" s="27">
        <f>IFERROR(INDEX(Cost_Components!$P$2:$P$27,MATCH(E1243,Cost_Components!$A$2:$A$27,0)),"")</f>
        <v>119.721487</v>
      </c>
      <c r="O1243" s="21">
        <f t="shared" si="191"/>
        <v>550686.08693667501</v>
      </c>
      <c r="P1243" s="21">
        <f t="shared" si="192"/>
        <v>623502.10899685498</v>
      </c>
      <c r="Q1243" s="21">
        <f t="shared" si="193"/>
        <v>23140445.887389261</v>
      </c>
      <c r="R1243" s="21">
        <f t="shared" si="194"/>
        <v>45288122.136965476</v>
      </c>
      <c r="S1243" s="21">
        <f t="shared" si="195"/>
        <v>22147676.249576215</v>
      </c>
      <c r="T1243" s="14">
        <f>IFERROR(INDEX(Cost_Components!$R$2:$R$27,MATCH(E1243,Cost_Components!$A$2:$A$27,0)),"")</f>
        <v>1</v>
      </c>
      <c r="U1243" s="24">
        <f>IFERROR(INDEX(Cost_Components!$Q$2:$Q$27,MATCH(E1243,Cost_Components!$A$2:$A$27,0)),"")</f>
        <v>2023</v>
      </c>
      <c r="V1243" s="28">
        <f>1/(1+Calculation_Assumptions!$B$5)^(B1243-Calculation_Assumptions!$B$2)</f>
        <v>0.57028602681192497</v>
      </c>
      <c r="W1243" s="21">
        <f t="shared" si="196"/>
        <v>13196672.943775572</v>
      </c>
      <c r="X1243" s="21">
        <f t="shared" si="197"/>
        <v>25827183.235263225</v>
      </c>
      <c r="Y1243" s="21">
        <f t="shared" si="198"/>
        <v>12630510.291487655</v>
      </c>
      <c r="Z1243" s="15">
        <f>IFERROR(INDEX(Cost_Components!$T$2:$T$27,MATCH(E1243,Cost_Components!$A$2:$A$27,0)),"")</f>
        <v>0.8</v>
      </c>
      <c r="AA1243" s="24">
        <f>IFERROR(INDEX(Cost_Components!$U$2:$U$27,MATCH(E1243,Cost_Components!$A$2:$A$27,0)),"")</f>
        <v>2025</v>
      </c>
      <c r="AB1243" s="24">
        <f>IFERROR(INDEX(Cost_Components!$V$2:$V$27,MATCH(E1243,Cost_Components!$A$2:$A$27,0)),"")</f>
        <v>2050</v>
      </c>
      <c r="AC1243" s="24">
        <f>IFERROR(INDEX(Cost_Components!$M$2:$M$27,MATCH(E1243,Cost_Components!$A$2:$A$27,0)),"")</f>
        <v>30</v>
      </c>
      <c r="AD1243" s="24">
        <f>IFERROR(INDEX(Cost_Components!$N$2:$N$27,MATCH(E1243,Cost_Components!$A$2:$A$27,0)),"")</f>
        <v>95</v>
      </c>
      <c r="AE1243" s="14" t="str">
        <f>IFERROR(INDEX(Cost_Components!$O$2:$O$27,MATCH(E1243,Cost_Components!$A$2:$A$27,0)),"")</f>
        <v>Both</v>
      </c>
      <c r="AF1243" s="11">
        <v>1101372.17387335</v>
      </c>
      <c r="AG1243" s="11">
        <v>1247004.21799371</v>
      </c>
      <c r="AH1243" s="21">
        <f t="shared" si="199"/>
        <v>1</v>
      </c>
    </row>
    <row r="1244" spans="1:34" hidden="1">
      <c r="A1244" t="s">
        <v>75</v>
      </c>
      <c r="B1244" s="18">
        <v>2045</v>
      </c>
      <c r="C1244" t="s">
        <v>217</v>
      </c>
      <c r="D1244" t="s">
        <v>173</v>
      </c>
      <c r="E1244" s="20" t="s">
        <v>310</v>
      </c>
      <c r="F1244" s="20" t="s">
        <v>311</v>
      </c>
      <c r="G1244" s="20" t="s">
        <v>218</v>
      </c>
      <c r="H1244" s="20" t="s">
        <v>192</v>
      </c>
      <c r="I1244" s="20" t="s">
        <v>264</v>
      </c>
      <c r="J1244" s="15">
        <f>IFERROR(INDEX(Cost_Components!$K$2:$K$27,MATCH(E1244,Cost_Components!$A$2:$A$27,0)),"")</f>
        <v>0.5</v>
      </c>
      <c r="K1244" s="15">
        <f t="shared" si="190"/>
        <v>0.70576923076923082</v>
      </c>
      <c r="L1244" s="15">
        <f>IFERROR(INDEX(Cost_Components!$S$2:$S$27,MATCH(E1244,Cost_Components!$A$2:$A$27,0)),"")</f>
        <v>0.31</v>
      </c>
      <c r="M1244" s="26">
        <f>IFERROR(INDEX(Cost_Components!$L$2:$L$27,MATCH(E1244,Cost_Components!$A$2:$A$27,0)),"")</f>
        <v>1</v>
      </c>
      <c r="N1244" s="27">
        <f>IFERROR(INDEX(Cost_Components!$P$2:$P$27,MATCH(E1244,Cost_Components!$A$2:$A$27,0)),"")</f>
        <v>119.721487</v>
      </c>
      <c r="O1244" s="21">
        <f t="shared" si="191"/>
        <v>551360.62676778506</v>
      </c>
      <c r="P1244" s="21">
        <f t="shared" si="192"/>
        <v>628559.84913604497</v>
      </c>
      <c r="Q1244" s="21">
        <f t="shared" si="193"/>
        <v>23328157.140189517</v>
      </c>
      <c r="R1244" s="21">
        <f t="shared" si="194"/>
        <v>46587625.150634773</v>
      </c>
      <c r="S1244" s="21">
        <f t="shared" si="195"/>
        <v>23259468.010445256</v>
      </c>
      <c r="T1244" s="14">
        <f>IFERROR(INDEX(Cost_Components!$R$2:$R$27,MATCH(E1244,Cost_Components!$A$2:$A$27,0)),"")</f>
        <v>1</v>
      </c>
      <c r="U1244" s="24">
        <f>IFERROR(INDEX(Cost_Components!$Q$2:$Q$27,MATCH(E1244,Cost_Components!$A$2:$A$27,0)),"")</f>
        <v>2023</v>
      </c>
      <c r="V1244" s="28">
        <f>1/(1+Calculation_Assumptions!$B$5)^(B1244-Calculation_Assumptions!$B$2)</f>
        <v>0.55367575418633497</v>
      </c>
      <c r="W1244" s="21">
        <f t="shared" si="196"/>
        <v>12916234.998371767</v>
      </c>
      <c r="X1244" s="21">
        <f t="shared" si="197"/>
        <v>25794438.491027974</v>
      </c>
      <c r="Y1244" s="21">
        <f t="shared" si="198"/>
        <v>12878203.492656209</v>
      </c>
      <c r="Z1244" s="15">
        <f>IFERROR(INDEX(Cost_Components!$T$2:$T$27,MATCH(E1244,Cost_Components!$A$2:$A$27,0)),"")</f>
        <v>0.8</v>
      </c>
      <c r="AA1244" s="24">
        <f>IFERROR(INDEX(Cost_Components!$U$2:$U$27,MATCH(E1244,Cost_Components!$A$2:$A$27,0)),"")</f>
        <v>2025</v>
      </c>
      <c r="AB1244" s="24">
        <f>IFERROR(INDEX(Cost_Components!$V$2:$V$27,MATCH(E1244,Cost_Components!$A$2:$A$27,0)),"")</f>
        <v>2050</v>
      </c>
      <c r="AC1244" s="24">
        <f>IFERROR(INDEX(Cost_Components!$M$2:$M$27,MATCH(E1244,Cost_Components!$A$2:$A$27,0)),"")</f>
        <v>30</v>
      </c>
      <c r="AD1244" s="24">
        <f>IFERROR(INDEX(Cost_Components!$N$2:$N$27,MATCH(E1244,Cost_Components!$A$2:$A$27,0)),"")</f>
        <v>95</v>
      </c>
      <c r="AE1244" s="14" t="str">
        <f>IFERROR(INDEX(Cost_Components!$O$2:$O$27,MATCH(E1244,Cost_Components!$A$2:$A$27,0)),"")</f>
        <v>Both</v>
      </c>
      <c r="AF1244" s="11">
        <v>1102721.2535355701</v>
      </c>
      <c r="AG1244" s="11">
        <v>1257119.6982720899</v>
      </c>
      <c r="AH1244" s="21">
        <f t="shared" si="199"/>
        <v>1</v>
      </c>
    </row>
    <row r="1245" spans="1:34" hidden="1">
      <c r="A1245" t="s">
        <v>75</v>
      </c>
      <c r="B1245" s="18">
        <v>2046</v>
      </c>
      <c r="C1245" t="s">
        <v>217</v>
      </c>
      <c r="D1245" t="s">
        <v>173</v>
      </c>
      <c r="E1245" s="20" t="s">
        <v>310</v>
      </c>
      <c r="F1245" s="20" t="s">
        <v>311</v>
      </c>
      <c r="G1245" s="20" t="s">
        <v>218</v>
      </c>
      <c r="H1245" s="20" t="s">
        <v>192</v>
      </c>
      <c r="I1245" s="20" t="s">
        <v>264</v>
      </c>
      <c r="J1245" s="15">
        <f>IFERROR(INDEX(Cost_Components!$K$2:$K$27,MATCH(E1245,Cost_Components!$A$2:$A$27,0)),"")</f>
        <v>0.5</v>
      </c>
      <c r="K1245" s="15">
        <f t="shared" si="190"/>
        <v>0.72461538461538466</v>
      </c>
      <c r="L1245" s="15">
        <f>IFERROR(INDEX(Cost_Components!$S$2:$S$27,MATCH(E1245,Cost_Components!$A$2:$A$27,0)),"")</f>
        <v>0.31</v>
      </c>
      <c r="M1245" s="26">
        <f>IFERROR(INDEX(Cost_Components!$L$2:$L$27,MATCH(E1245,Cost_Components!$A$2:$A$27,0)),"")</f>
        <v>1</v>
      </c>
      <c r="N1245" s="27">
        <f>IFERROR(INDEX(Cost_Components!$P$2:$P$27,MATCH(E1245,Cost_Components!$A$2:$A$27,0)),"")</f>
        <v>119.721487</v>
      </c>
      <c r="O1245" s="21">
        <f t="shared" si="191"/>
        <v>551732.58559141995</v>
      </c>
      <c r="P1245" s="21">
        <f t="shared" si="192"/>
        <v>633301.13632591499</v>
      </c>
      <c r="Q1245" s="21">
        <f t="shared" si="193"/>
        <v>23504123.665515758</v>
      </c>
      <c r="R1245" s="21">
        <f t="shared" si="194"/>
        <v>47863922.561619014</v>
      </c>
      <c r="S1245" s="21">
        <f t="shared" si="195"/>
        <v>24359798.896103255</v>
      </c>
      <c r="T1245" s="14">
        <f>IFERROR(INDEX(Cost_Components!$R$2:$R$27,MATCH(E1245,Cost_Components!$A$2:$A$27,0)),"")</f>
        <v>1</v>
      </c>
      <c r="U1245" s="24">
        <f>IFERROR(INDEX(Cost_Components!$Q$2:$Q$27,MATCH(E1245,Cost_Components!$A$2:$A$27,0)),"")</f>
        <v>2023</v>
      </c>
      <c r="V1245" s="28">
        <f>1/(1+Calculation_Assumptions!$B$5)^(B1245-Calculation_Assumptions!$B$2)</f>
        <v>0.5375492759090631</v>
      </c>
      <c r="W1245" s="21">
        <f t="shared" si="196"/>
        <v>12634624.65727507</v>
      </c>
      <c r="X1245" s="21">
        <f t="shared" si="197"/>
        <v>25729216.915165771</v>
      </c>
      <c r="Y1245" s="21">
        <f t="shared" si="198"/>
        <v>13094592.257890699</v>
      </c>
      <c r="Z1245" s="15">
        <f>IFERROR(INDEX(Cost_Components!$T$2:$T$27,MATCH(E1245,Cost_Components!$A$2:$A$27,0)),"")</f>
        <v>0.8</v>
      </c>
      <c r="AA1245" s="24">
        <f>IFERROR(INDEX(Cost_Components!$U$2:$U$27,MATCH(E1245,Cost_Components!$A$2:$A$27,0)),"")</f>
        <v>2025</v>
      </c>
      <c r="AB1245" s="24">
        <f>IFERROR(INDEX(Cost_Components!$V$2:$V$27,MATCH(E1245,Cost_Components!$A$2:$A$27,0)),"")</f>
        <v>2050</v>
      </c>
      <c r="AC1245" s="24">
        <f>IFERROR(INDEX(Cost_Components!$M$2:$M$27,MATCH(E1245,Cost_Components!$A$2:$A$27,0)),"")</f>
        <v>30</v>
      </c>
      <c r="AD1245" s="24">
        <f>IFERROR(INDEX(Cost_Components!$N$2:$N$27,MATCH(E1245,Cost_Components!$A$2:$A$27,0)),"")</f>
        <v>95</v>
      </c>
      <c r="AE1245" s="14" t="str">
        <f>IFERROR(INDEX(Cost_Components!$O$2:$O$27,MATCH(E1245,Cost_Components!$A$2:$A$27,0)),"")</f>
        <v>Both</v>
      </c>
      <c r="AF1245" s="11">
        <v>1103465.1711828399</v>
      </c>
      <c r="AG1245" s="11">
        <v>1266602.27265183</v>
      </c>
      <c r="AH1245" s="21">
        <f t="shared" si="199"/>
        <v>1</v>
      </c>
    </row>
    <row r="1246" spans="1:34" hidden="1">
      <c r="A1246" t="s">
        <v>75</v>
      </c>
      <c r="B1246" s="18">
        <v>2047</v>
      </c>
      <c r="C1246" t="s">
        <v>217</v>
      </c>
      <c r="D1246" t="s">
        <v>173</v>
      </c>
      <c r="E1246" s="20" t="s">
        <v>310</v>
      </c>
      <c r="F1246" s="20" t="s">
        <v>311</v>
      </c>
      <c r="G1246" s="20" t="s">
        <v>218</v>
      </c>
      <c r="H1246" s="20" t="s">
        <v>192</v>
      </c>
      <c r="I1246" s="20" t="s">
        <v>264</v>
      </c>
      <c r="J1246" s="15">
        <f>IFERROR(INDEX(Cost_Components!$K$2:$K$27,MATCH(E1246,Cost_Components!$A$2:$A$27,0)),"")</f>
        <v>0.5</v>
      </c>
      <c r="K1246" s="15">
        <f t="shared" si="190"/>
        <v>0.74346153846153851</v>
      </c>
      <c r="L1246" s="15">
        <f>IFERROR(INDEX(Cost_Components!$S$2:$S$27,MATCH(E1246,Cost_Components!$A$2:$A$27,0)),"")</f>
        <v>0.31</v>
      </c>
      <c r="M1246" s="26">
        <f>IFERROR(INDEX(Cost_Components!$L$2:$L$27,MATCH(E1246,Cost_Components!$A$2:$A$27,0)),"")</f>
        <v>1</v>
      </c>
      <c r="N1246" s="27">
        <f>IFERROR(INDEX(Cost_Components!$P$2:$P$27,MATCH(E1246,Cost_Components!$A$2:$A$27,0)),"")</f>
        <v>119.721487</v>
      </c>
      <c r="O1246" s="21">
        <f t="shared" si="191"/>
        <v>551642.88321694499</v>
      </c>
      <c r="P1246" s="21">
        <f t="shared" si="192"/>
        <v>637557.12841660006</v>
      </c>
      <c r="Q1246" s="21">
        <f t="shared" si="193"/>
        <v>23662079.113060445</v>
      </c>
      <c r="R1246" s="21">
        <f t="shared" si="194"/>
        <v>49100806.778152347</v>
      </c>
      <c r="S1246" s="21">
        <f t="shared" si="195"/>
        <v>25438727.665091902</v>
      </c>
      <c r="T1246" s="14">
        <f>IFERROR(INDEX(Cost_Components!$R$2:$R$27,MATCH(E1246,Cost_Components!$A$2:$A$27,0)),"")</f>
        <v>1</v>
      </c>
      <c r="U1246" s="24">
        <f>IFERROR(INDEX(Cost_Components!$Q$2:$Q$27,MATCH(E1246,Cost_Components!$A$2:$A$27,0)),"")</f>
        <v>2023</v>
      </c>
      <c r="V1246" s="28">
        <f>1/(1+Calculation_Assumptions!$B$5)^(B1246-Calculation_Assumptions!$B$2)</f>
        <v>0.52189250088258554</v>
      </c>
      <c r="W1246" s="21">
        <f t="shared" si="196"/>
        <v>12349061.644396707</v>
      </c>
      <c r="X1246" s="21">
        <f t="shared" si="197"/>
        <v>25625342.844802536</v>
      </c>
      <c r="Y1246" s="21">
        <f t="shared" si="198"/>
        <v>13276281.200405829</v>
      </c>
      <c r="Z1246" s="15">
        <f>IFERROR(INDEX(Cost_Components!$T$2:$T$27,MATCH(E1246,Cost_Components!$A$2:$A$27,0)),"")</f>
        <v>0.8</v>
      </c>
      <c r="AA1246" s="24">
        <f>IFERROR(INDEX(Cost_Components!$U$2:$U$27,MATCH(E1246,Cost_Components!$A$2:$A$27,0)),"")</f>
        <v>2025</v>
      </c>
      <c r="AB1246" s="24">
        <f>IFERROR(INDEX(Cost_Components!$V$2:$V$27,MATCH(E1246,Cost_Components!$A$2:$A$27,0)),"")</f>
        <v>2050</v>
      </c>
      <c r="AC1246" s="24">
        <f>IFERROR(INDEX(Cost_Components!$M$2:$M$27,MATCH(E1246,Cost_Components!$A$2:$A$27,0)),"")</f>
        <v>30</v>
      </c>
      <c r="AD1246" s="24">
        <f>IFERROR(INDEX(Cost_Components!$N$2:$N$27,MATCH(E1246,Cost_Components!$A$2:$A$27,0)),"")</f>
        <v>95</v>
      </c>
      <c r="AE1246" s="14" t="str">
        <f>IFERROR(INDEX(Cost_Components!$O$2:$O$27,MATCH(E1246,Cost_Components!$A$2:$A$27,0)),"")</f>
        <v>Both</v>
      </c>
      <c r="AF1246" s="11">
        <v>1103285.76643389</v>
      </c>
      <c r="AG1246" s="11">
        <v>1275114.2568332001</v>
      </c>
      <c r="AH1246" s="21">
        <f t="shared" si="199"/>
        <v>1</v>
      </c>
    </row>
    <row r="1247" spans="1:34" hidden="1">
      <c r="A1247" t="s">
        <v>75</v>
      </c>
      <c r="B1247" s="18">
        <v>2048</v>
      </c>
      <c r="C1247" t="s">
        <v>217</v>
      </c>
      <c r="D1247" t="s">
        <v>173</v>
      </c>
      <c r="E1247" s="20" t="s">
        <v>310</v>
      </c>
      <c r="F1247" s="20" t="s">
        <v>311</v>
      </c>
      <c r="G1247" s="20" t="s">
        <v>218</v>
      </c>
      <c r="H1247" s="20" t="s">
        <v>192</v>
      </c>
      <c r="I1247" s="20" t="s">
        <v>264</v>
      </c>
      <c r="J1247" s="15">
        <f>IFERROR(INDEX(Cost_Components!$K$2:$K$27,MATCH(E1247,Cost_Components!$A$2:$A$27,0)),"")</f>
        <v>0.5</v>
      </c>
      <c r="K1247" s="15">
        <f t="shared" si="190"/>
        <v>0.76230769230769235</v>
      </c>
      <c r="L1247" s="15">
        <f>IFERROR(INDEX(Cost_Components!$S$2:$S$27,MATCH(E1247,Cost_Components!$A$2:$A$27,0)),"")</f>
        <v>0.31</v>
      </c>
      <c r="M1247" s="26">
        <f>IFERROR(INDEX(Cost_Components!$L$2:$L$27,MATCH(E1247,Cost_Components!$A$2:$A$27,0)),"")</f>
        <v>1</v>
      </c>
      <c r="N1247" s="27">
        <f>IFERROR(INDEX(Cost_Components!$P$2:$P$27,MATCH(E1247,Cost_Components!$A$2:$A$27,0)),"")</f>
        <v>119.721487</v>
      </c>
      <c r="O1247" s="21">
        <f t="shared" si="191"/>
        <v>551301.78165262996</v>
      </c>
      <c r="P1247" s="21">
        <f t="shared" si="192"/>
        <v>641520.28922783502</v>
      </c>
      <c r="Q1247" s="21">
        <f t="shared" si="193"/>
        <v>23809166.519778211</v>
      </c>
      <c r="R1247" s="21">
        <f t="shared" si="194"/>
        <v>50314342.356488742</v>
      </c>
      <c r="S1247" s="21">
        <f t="shared" si="195"/>
        <v>26505175.836710531</v>
      </c>
      <c r="T1247" s="14">
        <f>IFERROR(INDEX(Cost_Components!$R$2:$R$27,MATCH(E1247,Cost_Components!$A$2:$A$27,0)),"")</f>
        <v>1</v>
      </c>
      <c r="U1247" s="24">
        <f>IFERROR(INDEX(Cost_Components!$Q$2:$Q$27,MATCH(E1247,Cost_Components!$A$2:$A$27,0)),"")</f>
        <v>2023</v>
      </c>
      <c r="V1247" s="28">
        <f>1/(1+Calculation_Assumptions!$B$5)^(B1247-Calculation_Assumptions!$B$2)</f>
        <v>0.50669174842969467</v>
      </c>
      <c r="W1247" s="21">
        <f t="shared" si="196"/>
        <v>12063908.212560169</v>
      </c>
      <c r="X1247" s="21">
        <f t="shared" si="197"/>
        <v>25493862.099699523</v>
      </c>
      <c r="Y1247" s="21">
        <f t="shared" si="198"/>
        <v>13429953.887139354</v>
      </c>
      <c r="Z1247" s="15">
        <f>IFERROR(INDEX(Cost_Components!$T$2:$T$27,MATCH(E1247,Cost_Components!$A$2:$A$27,0)),"")</f>
        <v>0.8</v>
      </c>
      <c r="AA1247" s="24">
        <f>IFERROR(INDEX(Cost_Components!$U$2:$U$27,MATCH(E1247,Cost_Components!$A$2:$A$27,0)),"")</f>
        <v>2025</v>
      </c>
      <c r="AB1247" s="24">
        <f>IFERROR(INDEX(Cost_Components!$V$2:$V$27,MATCH(E1247,Cost_Components!$A$2:$A$27,0)),"")</f>
        <v>2050</v>
      </c>
      <c r="AC1247" s="24">
        <f>IFERROR(INDEX(Cost_Components!$M$2:$M$27,MATCH(E1247,Cost_Components!$A$2:$A$27,0)),"")</f>
        <v>30</v>
      </c>
      <c r="AD1247" s="24">
        <f>IFERROR(INDEX(Cost_Components!$N$2:$N$27,MATCH(E1247,Cost_Components!$A$2:$A$27,0)),"")</f>
        <v>95</v>
      </c>
      <c r="AE1247" s="14" t="str">
        <f>IFERROR(INDEX(Cost_Components!$O$2:$O$27,MATCH(E1247,Cost_Components!$A$2:$A$27,0)),"")</f>
        <v>Both</v>
      </c>
      <c r="AF1247" s="11">
        <v>1102603.5633052599</v>
      </c>
      <c r="AG1247" s="11">
        <v>1283040.57845567</v>
      </c>
      <c r="AH1247" s="21">
        <f t="shared" si="199"/>
        <v>1</v>
      </c>
    </row>
    <row r="1248" spans="1:34" hidden="1">
      <c r="A1248" t="s">
        <v>75</v>
      </c>
      <c r="B1248" s="18">
        <v>2049</v>
      </c>
      <c r="C1248" t="s">
        <v>217</v>
      </c>
      <c r="D1248" t="s">
        <v>173</v>
      </c>
      <c r="E1248" s="20" t="s">
        <v>310</v>
      </c>
      <c r="F1248" s="20" t="s">
        <v>311</v>
      </c>
      <c r="G1248" s="20" t="s">
        <v>218</v>
      </c>
      <c r="H1248" s="20" t="s">
        <v>192</v>
      </c>
      <c r="I1248" s="20" t="s">
        <v>264</v>
      </c>
      <c r="J1248" s="15">
        <f>IFERROR(INDEX(Cost_Components!$K$2:$K$27,MATCH(E1248,Cost_Components!$A$2:$A$27,0)),"")</f>
        <v>0.5</v>
      </c>
      <c r="K1248" s="15">
        <f t="shared" si="190"/>
        <v>0.7811538461538462</v>
      </c>
      <c r="L1248" s="15">
        <f>IFERROR(INDEX(Cost_Components!$S$2:$S$27,MATCH(E1248,Cost_Components!$A$2:$A$27,0)),"")</f>
        <v>0.31</v>
      </c>
      <c r="M1248" s="26">
        <f>IFERROR(INDEX(Cost_Components!$L$2:$L$27,MATCH(E1248,Cost_Components!$A$2:$A$27,0)),"")</f>
        <v>1</v>
      </c>
      <c r="N1248" s="27">
        <f>IFERROR(INDEX(Cost_Components!$P$2:$P$27,MATCH(E1248,Cost_Components!$A$2:$A$27,0)),"")</f>
        <v>119.721487</v>
      </c>
      <c r="O1248" s="21">
        <f t="shared" si="191"/>
        <v>550721.75189305004</v>
      </c>
      <c r="P1248" s="21">
        <f t="shared" si="192"/>
        <v>645196.91716071498</v>
      </c>
      <c r="Q1248" s="21">
        <f t="shared" si="193"/>
        <v>23945619.64239195</v>
      </c>
      <c r="R1248" s="21">
        <f t="shared" si="194"/>
        <v>51503993.907160908</v>
      </c>
      <c r="S1248" s="21">
        <f t="shared" si="195"/>
        <v>27558374.264768958</v>
      </c>
      <c r="T1248" s="14">
        <f>IFERROR(INDEX(Cost_Components!$R$2:$R$27,MATCH(E1248,Cost_Components!$A$2:$A$27,0)),"")</f>
        <v>1</v>
      </c>
      <c r="U1248" s="24">
        <f>IFERROR(INDEX(Cost_Components!$Q$2:$Q$27,MATCH(E1248,Cost_Components!$A$2:$A$27,0)),"")</f>
        <v>2023</v>
      </c>
      <c r="V1248" s="28">
        <f>1/(1+Calculation_Assumptions!$B$5)^(B1248-Calculation_Assumptions!$B$2)</f>
        <v>0.49193373633950943</v>
      </c>
      <c r="W1248" s="21">
        <f t="shared" si="196"/>
        <v>11779658.13964662</v>
      </c>
      <c r="X1248" s="21">
        <f t="shared" si="197"/>
        <v>25336552.159156993</v>
      </c>
      <c r="Y1248" s="21">
        <f t="shared" si="198"/>
        <v>13556894.019510375</v>
      </c>
      <c r="Z1248" s="15">
        <f>IFERROR(INDEX(Cost_Components!$T$2:$T$27,MATCH(E1248,Cost_Components!$A$2:$A$27,0)),"")</f>
        <v>0.8</v>
      </c>
      <c r="AA1248" s="24">
        <f>IFERROR(INDEX(Cost_Components!$U$2:$U$27,MATCH(E1248,Cost_Components!$A$2:$A$27,0)),"")</f>
        <v>2025</v>
      </c>
      <c r="AB1248" s="24">
        <f>IFERROR(INDEX(Cost_Components!$V$2:$V$27,MATCH(E1248,Cost_Components!$A$2:$A$27,0)),"")</f>
        <v>2050</v>
      </c>
      <c r="AC1248" s="24">
        <f>IFERROR(INDEX(Cost_Components!$M$2:$M$27,MATCH(E1248,Cost_Components!$A$2:$A$27,0)),"")</f>
        <v>30</v>
      </c>
      <c r="AD1248" s="24">
        <f>IFERROR(INDEX(Cost_Components!$N$2:$N$27,MATCH(E1248,Cost_Components!$A$2:$A$27,0)),"")</f>
        <v>95</v>
      </c>
      <c r="AE1248" s="14" t="str">
        <f>IFERROR(INDEX(Cost_Components!$O$2:$O$27,MATCH(E1248,Cost_Components!$A$2:$A$27,0)),"")</f>
        <v>Both</v>
      </c>
      <c r="AF1248" s="11">
        <v>1101443.5037861001</v>
      </c>
      <c r="AG1248" s="11">
        <v>1290393.83432143</v>
      </c>
      <c r="AH1248" s="21">
        <f t="shared" si="199"/>
        <v>1</v>
      </c>
    </row>
    <row r="1249" spans="1:34" hidden="1">
      <c r="A1249" t="s">
        <v>75</v>
      </c>
      <c r="B1249" s="18">
        <v>2050</v>
      </c>
      <c r="C1249" t="s">
        <v>217</v>
      </c>
      <c r="D1249" t="s">
        <v>173</v>
      </c>
      <c r="E1249" s="20" t="s">
        <v>310</v>
      </c>
      <c r="F1249" s="20" t="s">
        <v>311</v>
      </c>
      <c r="G1249" s="20" t="s">
        <v>218</v>
      </c>
      <c r="H1249" s="20" t="s">
        <v>192</v>
      </c>
      <c r="I1249" s="20" t="s">
        <v>264</v>
      </c>
      <c r="J1249" s="15">
        <f>IFERROR(INDEX(Cost_Components!$K$2:$K$27,MATCH(E1249,Cost_Components!$A$2:$A$27,0)),"")</f>
        <v>0.5</v>
      </c>
      <c r="K1249" s="15">
        <f t="shared" si="190"/>
        <v>0.8</v>
      </c>
      <c r="L1249" s="15">
        <f>IFERROR(INDEX(Cost_Components!$S$2:$S$27,MATCH(E1249,Cost_Components!$A$2:$A$27,0)),"")</f>
        <v>0.31</v>
      </c>
      <c r="M1249" s="26">
        <f>IFERROR(INDEX(Cost_Components!$L$2:$L$27,MATCH(E1249,Cost_Components!$A$2:$A$27,0)),"")</f>
        <v>1</v>
      </c>
      <c r="N1249" s="27">
        <f>IFERROR(INDEX(Cost_Components!$P$2:$P$27,MATCH(E1249,Cost_Components!$A$2:$A$27,0)),"")</f>
        <v>119.721487</v>
      </c>
      <c r="O1249" s="21">
        <f t="shared" si="191"/>
        <v>549979.39948891499</v>
      </c>
      <c r="P1249" s="21">
        <f t="shared" si="192"/>
        <v>648668.86758336006</v>
      </c>
      <c r="Q1249" s="21">
        <f t="shared" si="193"/>
        <v>24074476.433282647</v>
      </c>
      <c r="R1249" s="21">
        <f t="shared" si="194"/>
        <v>52675481.220943958</v>
      </c>
      <c r="S1249" s="21">
        <f t="shared" si="195"/>
        <v>28601004.78766131</v>
      </c>
      <c r="T1249" s="14">
        <f>IFERROR(INDEX(Cost_Components!$R$2:$R$27,MATCH(E1249,Cost_Components!$A$2:$A$27,0)),"")</f>
        <v>1</v>
      </c>
      <c r="U1249" s="24">
        <f>IFERROR(INDEX(Cost_Components!$Q$2:$Q$27,MATCH(E1249,Cost_Components!$A$2:$A$27,0)),"")</f>
        <v>2023</v>
      </c>
      <c r="V1249" s="28">
        <f>1/(1+Calculation_Assumptions!$B$5)^(B1249-Calculation_Assumptions!$B$2)</f>
        <v>0.47760556926165965</v>
      </c>
      <c r="W1249" s="21">
        <f t="shared" si="196"/>
        <v>11498104.021594368</v>
      </c>
      <c r="X1249" s="21">
        <f t="shared" si="197"/>
        <v>25158103.194660801</v>
      </c>
      <c r="Y1249" s="21">
        <f t="shared" si="198"/>
        <v>13659999.173066434</v>
      </c>
      <c r="Z1249" s="15">
        <f>IFERROR(INDEX(Cost_Components!$T$2:$T$27,MATCH(E1249,Cost_Components!$A$2:$A$27,0)),"")</f>
        <v>0.8</v>
      </c>
      <c r="AA1249" s="24">
        <f>IFERROR(INDEX(Cost_Components!$U$2:$U$27,MATCH(E1249,Cost_Components!$A$2:$A$27,0)),"")</f>
        <v>2025</v>
      </c>
      <c r="AB1249" s="24">
        <f>IFERROR(INDEX(Cost_Components!$V$2:$V$27,MATCH(E1249,Cost_Components!$A$2:$A$27,0)),"")</f>
        <v>2050</v>
      </c>
      <c r="AC1249" s="24">
        <f>IFERROR(INDEX(Cost_Components!$M$2:$M$27,MATCH(E1249,Cost_Components!$A$2:$A$27,0)),"")</f>
        <v>30</v>
      </c>
      <c r="AD1249" s="24">
        <f>IFERROR(INDEX(Cost_Components!$N$2:$N$27,MATCH(E1249,Cost_Components!$A$2:$A$27,0)),"")</f>
        <v>95</v>
      </c>
      <c r="AE1249" s="14" t="str">
        <f>IFERROR(INDEX(Cost_Components!$O$2:$O$27,MATCH(E1249,Cost_Components!$A$2:$A$27,0)),"")</f>
        <v>Both</v>
      </c>
      <c r="AF1249" s="11">
        <v>1099958.79897783</v>
      </c>
      <c r="AG1249" s="11">
        <v>1297337.7351667201</v>
      </c>
      <c r="AH1249" s="21">
        <f t="shared" si="199"/>
        <v>1</v>
      </c>
    </row>
    <row r="1250" spans="1:34" hidden="1">
      <c r="A1250" t="s">
        <v>75</v>
      </c>
      <c r="B1250" s="18">
        <v>2025</v>
      </c>
      <c r="C1250" t="s">
        <v>217</v>
      </c>
      <c r="D1250" t="s">
        <v>181</v>
      </c>
      <c r="E1250" s="20" t="s">
        <v>313</v>
      </c>
      <c r="F1250" s="20" t="s">
        <v>314</v>
      </c>
      <c r="G1250" s="20" t="s">
        <v>221</v>
      </c>
      <c r="H1250" s="20" t="s">
        <v>192</v>
      </c>
      <c r="I1250" s="20" t="s">
        <v>167</v>
      </c>
      <c r="J1250" s="15">
        <f>IFERROR(INDEX(Cost_Components!$K$2:$K$27,MATCH(E1250,Cost_Components!$A$2:$A$27,0)),"")</f>
        <v>0.52</v>
      </c>
      <c r="K1250" s="15">
        <f t="shared" si="190"/>
        <v>0.32884615384615384</v>
      </c>
      <c r="L1250" s="15">
        <f>IFERROR(INDEX(Cost_Components!$S$2:$S$27,MATCH(E1250,Cost_Components!$A$2:$A$27,0)),"")</f>
        <v>0.31</v>
      </c>
      <c r="M1250" s="26">
        <f>IFERROR(INDEX(Cost_Components!$L$2:$L$27,MATCH(E1250,Cost_Components!$A$2:$A$27,0)),"")</f>
        <v>1</v>
      </c>
      <c r="N1250" s="27">
        <f>IFERROR(INDEX(Cost_Components!$P$2:$P$27,MATCH(E1250,Cost_Components!$A$2:$A$27,0)),"")</f>
        <v>186.479792</v>
      </c>
      <c r="O1250" s="21">
        <f t="shared" si="191"/>
        <v>197227.31739192561</v>
      </c>
      <c r="P1250" s="21">
        <f t="shared" si="192"/>
        <v>198920.09723332603</v>
      </c>
      <c r="Q1250" s="21">
        <f t="shared" si="193"/>
        <v>11499319.290574029</v>
      </c>
      <c r="R1250" s="21">
        <f t="shared" si="194"/>
        <v>12094602.808072867</v>
      </c>
      <c r="S1250" s="21">
        <f t="shared" si="195"/>
        <v>595283.51749883778</v>
      </c>
      <c r="T1250" s="14">
        <f>IFERROR(INDEX(Cost_Components!$R$2:$R$27,MATCH(E1250,Cost_Components!$A$2:$A$27,0)),"")</f>
        <v>1</v>
      </c>
      <c r="U1250" s="24">
        <f>IFERROR(INDEX(Cost_Components!$Q$2:$Q$27,MATCH(E1250,Cost_Components!$A$2:$A$27,0)),"")</f>
        <v>2023</v>
      </c>
      <c r="V1250" s="28">
        <f>1/(1+Calculation_Assumptions!$B$5)^(B1250-Calculation_Assumptions!$B$2)</f>
        <v>1</v>
      </c>
      <c r="W1250" s="21">
        <f t="shared" si="196"/>
        <v>11499319.290574029</v>
      </c>
      <c r="X1250" s="21">
        <f t="shared" si="197"/>
        <v>12094602.808072867</v>
      </c>
      <c r="Y1250" s="21">
        <f t="shared" si="198"/>
        <v>595283.51749883778</v>
      </c>
      <c r="Z1250" s="15">
        <f>IFERROR(INDEX(Cost_Components!$T$2:$T$27,MATCH(E1250,Cost_Components!$A$2:$A$27,0)),"")</f>
        <v>0.8</v>
      </c>
      <c r="AA1250" s="24">
        <f>IFERROR(INDEX(Cost_Components!$U$2:$U$27,MATCH(E1250,Cost_Components!$A$2:$A$27,0)),"")</f>
        <v>2025</v>
      </c>
      <c r="AB1250" s="24">
        <f>IFERROR(INDEX(Cost_Components!$V$2:$V$27,MATCH(E1250,Cost_Components!$A$2:$A$27,0)),"")</f>
        <v>2050</v>
      </c>
      <c r="AC1250" s="24">
        <f>IFERROR(INDEX(Cost_Components!$M$2:$M$27,MATCH(E1250,Cost_Components!$A$2:$A$27,0)),"")</f>
        <v>30</v>
      </c>
      <c r="AD1250" s="24">
        <f>IFERROR(INDEX(Cost_Components!$N$2:$N$27,MATCH(E1250,Cost_Components!$A$2:$A$27,0)),"")</f>
        <v>95</v>
      </c>
      <c r="AE1250" s="14" t="str">
        <f>IFERROR(INDEX(Cost_Components!$O$2:$O$27,MATCH(E1250,Cost_Components!$A$2:$A$27,0)),"")</f>
        <v>Both</v>
      </c>
      <c r="AF1250" s="11">
        <v>379283.30267677997</v>
      </c>
      <c r="AG1250" s="11">
        <v>382538.64852562698</v>
      </c>
      <c r="AH1250" s="21">
        <f t="shared" si="199"/>
        <v>1</v>
      </c>
    </row>
    <row r="1251" spans="1:34" hidden="1">
      <c r="A1251" t="s">
        <v>75</v>
      </c>
      <c r="B1251" s="18">
        <v>2026</v>
      </c>
      <c r="C1251" t="s">
        <v>217</v>
      </c>
      <c r="D1251" t="s">
        <v>181</v>
      </c>
      <c r="E1251" s="20" t="s">
        <v>313</v>
      </c>
      <c r="F1251" s="20" t="s">
        <v>314</v>
      </c>
      <c r="G1251" s="20" t="s">
        <v>221</v>
      </c>
      <c r="H1251" s="20" t="s">
        <v>192</v>
      </c>
      <c r="I1251" s="20" t="s">
        <v>167</v>
      </c>
      <c r="J1251" s="15">
        <f>IFERROR(INDEX(Cost_Components!$K$2:$K$27,MATCH(E1251,Cost_Components!$A$2:$A$27,0)),"")</f>
        <v>0.52</v>
      </c>
      <c r="K1251" s="15">
        <f t="shared" si="190"/>
        <v>0.34769230769230769</v>
      </c>
      <c r="L1251" s="15">
        <f>IFERROR(INDEX(Cost_Components!$S$2:$S$27,MATCH(E1251,Cost_Components!$A$2:$A$27,0)),"")</f>
        <v>0.31</v>
      </c>
      <c r="M1251" s="26">
        <f>IFERROR(INDEX(Cost_Components!$L$2:$L$27,MATCH(E1251,Cost_Components!$A$2:$A$27,0)),"")</f>
        <v>1</v>
      </c>
      <c r="N1251" s="27">
        <f>IFERROR(INDEX(Cost_Components!$P$2:$P$27,MATCH(E1251,Cost_Components!$A$2:$A$27,0)),"")</f>
        <v>186.479792</v>
      </c>
      <c r="O1251" s="21">
        <f t="shared" si="191"/>
        <v>202536.16264752523</v>
      </c>
      <c r="P1251" s="21">
        <f t="shared" si="192"/>
        <v>206000.22263656004</v>
      </c>
      <c r="Q1251" s="21">
        <f t="shared" si="193"/>
        <v>11908612.387458017</v>
      </c>
      <c r="R1251" s="21">
        <f t="shared" si="194"/>
        <v>13131956.515623754</v>
      </c>
      <c r="S1251" s="21">
        <f t="shared" si="195"/>
        <v>1223344.1281657368</v>
      </c>
      <c r="T1251" s="14">
        <f>IFERROR(INDEX(Cost_Components!$R$2:$R$27,MATCH(E1251,Cost_Components!$A$2:$A$27,0)),"")</f>
        <v>1</v>
      </c>
      <c r="U1251" s="24">
        <f>IFERROR(INDEX(Cost_Components!$Q$2:$Q$27,MATCH(E1251,Cost_Components!$A$2:$A$27,0)),"")</f>
        <v>2023</v>
      </c>
      <c r="V1251" s="28">
        <f>1/(1+Calculation_Assumptions!$B$5)^(B1251-Calculation_Assumptions!$B$2)</f>
        <v>0.970873786407767</v>
      </c>
      <c r="W1251" s="21">
        <f t="shared" si="196"/>
        <v>11561759.599473802</v>
      </c>
      <c r="X1251" s="21">
        <f t="shared" si="197"/>
        <v>12749472.345265782</v>
      </c>
      <c r="Y1251" s="21">
        <f t="shared" si="198"/>
        <v>1187712.7457919775</v>
      </c>
      <c r="Z1251" s="15">
        <f>IFERROR(INDEX(Cost_Components!$T$2:$T$27,MATCH(E1251,Cost_Components!$A$2:$A$27,0)),"")</f>
        <v>0.8</v>
      </c>
      <c r="AA1251" s="24">
        <f>IFERROR(INDEX(Cost_Components!$U$2:$U$27,MATCH(E1251,Cost_Components!$A$2:$A$27,0)),"")</f>
        <v>2025</v>
      </c>
      <c r="AB1251" s="24">
        <f>IFERROR(INDEX(Cost_Components!$V$2:$V$27,MATCH(E1251,Cost_Components!$A$2:$A$27,0)),"")</f>
        <v>2050</v>
      </c>
      <c r="AC1251" s="24">
        <f>IFERROR(INDEX(Cost_Components!$M$2:$M$27,MATCH(E1251,Cost_Components!$A$2:$A$27,0)),"")</f>
        <v>30</v>
      </c>
      <c r="AD1251" s="24">
        <f>IFERROR(INDEX(Cost_Components!$N$2:$N$27,MATCH(E1251,Cost_Components!$A$2:$A$27,0)),"")</f>
        <v>95</v>
      </c>
      <c r="AE1251" s="14" t="str">
        <f>IFERROR(INDEX(Cost_Components!$O$2:$O$27,MATCH(E1251,Cost_Components!$A$2:$A$27,0)),"")</f>
        <v>Both</v>
      </c>
      <c r="AF1251" s="11">
        <v>389492.62047601002</v>
      </c>
      <c r="AG1251" s="11">
        <v>396154.27430107701</v>
      </c>
      <c r="AH1251" s="21">
        <f t="shared" si="199"/>
        <v>1</v>
      </c>
    </row>
    <row r="1252" spans="1:34" hidden="1">
      <c r="A1252" t="s">
        <v>75</v>
      </c>
      <c r="B1252" s="18">
        <v>2027</v>
      </c>
      <c r="C1252" t="s">
        <v>217</v>
      </c>
      <c r="D1252" t="s">
        <v>181</v>
      </c>
      <c r="E1252" s="20" t="s">
        <v>313</v>
      </c>
      <c r="F1252" s="20" t="s">
        <v>314</v>
      </c>
      <c r="G1252" s="20" t="s">
        <v>221</v>
      </c>
      <c r="H1252" s="20" t="s">
        <v>192</v>
      </c>
      <c r="I1252" s="20" t="s">
        <v>167</v>
      </c>
      <c r="J1252" s="15">
        <f>IFERROR(INDEX(Cost_Components!$K$2:$K$27,MATCH(E1252,Cost_Components!$A$2:$A$27,0)),"")</f>
        <v>0.52</v>
      </c>
      <c r="K1252" s="15">
        <f t="shared" si="190"/>
        <v>0.36653846153846154</v>
      </c>
      <c r="L1252" s="15">
        <f>IFERROR(INDEX(Cost_Components!$S$2:$S$27,MATCH(E1252,Cost_Components!$A$2:$A$27,0)),"")</f>
        <v>0.31</v>
      </c>
      <c r="M1252" s="26">
        <f>IFERROR(INDEX(Cost_Components!$L$2:$L$27,MATCH(E1252,Cost_Components!$A$2:$A$27,0)),"")</f>
        <v>1</v>
      </c>
      <c r="N1252" s="27">
        <f>IFERROR(INDEX(Cost_Components!$P$2:$P$27,MATCH(E1252,Cost_Components!$A$2:$A$27,0)),"")</f>
        <v>186.479792</v>
      </c>
      <c r="O1252" s="21">
        <f t="shared" si="191"/>
        <v>207791.42163234315</v>
      </c>
      <c r="P1252" s="21">
        <f t="shared" si="192"/>
        <v>213101.79803124265</v>
      </c>
      <c r="Q1252" s="21">
        <f t="shared" si="193"/>
        <v>12319145.481224561</v>
      </c>
      <c r="R1252" s="21">
        <f t="shared" si="194"/>
        <v>14202962.590142546</v>
      </c>
      <c r="S1252" s="21">
        <f t="shared" si="195"/>
        <v>1883817.1089179851</v>
      </c>
      <c r="T1252" s="14">
        <f>IFERROR(INDEX(Cost_Components!$R$2:$R$27,MATCH(E1252,Cost_Components!$A$2:$A$27,0)),"")</f>
        <v>1</v>
      </c>
      <c r="U1252" s="24">
        <f>IFERROR(INDEX(Cost_Components!$Q$2:$Q$27,MATCH(E1252,Cost_Components!$A$2:$A$27,0)),"")</f>
        <v>2023</v>
      </c>
      <c r="V1252" s="28">
        <f>1/(1+Calculation_Assumptions!$B$5)^(B1252-Calculation_Assumptions!$B$2)</f>
        <v>0.94259590913375435</v>
      </c>
      <c r="W1252" s="21">
        <f t="shared" si="196"/>
        <v>11611976.134625847</v>
      </c>
      <c r="X1252" s="21">
        <f t="shared" si="197"/>
        <v>13387654.435048116</v>
      </c>
      <c r="Y1252" s="21">
        <f t="shared" si="198"/>
        <v>1775678.3004222689</v>
      </c>
      <c r="Z1252" s="15">
        <f>IFERROR(INDEX(Cost_Components!$T$2:$T$27,MATCH(E1252,Cost_Components!$A$2:$A$27,0)),"")</f>
        <v>0.8</v>
      </c>
      <c r="AA1252" s="24">
        <f>IFERROR(INDEX(Cost_Components!$U$2:$U$27,MATCH(E1252,Cost_Components!$A$2:$A$27,0)),"")</f>
        <v>2025</v>
      </c>
      <c r="AB1252" s="24">
        <f>IFERROR(INDEX(Cost_Components!$V$2:$V$27,MATCH(E1252,Cost_Components!$A$2:$A$27,0)),"")</f>
        <v>2050</v>
      </c>
      <c r="AC1252" s="24">
        <f>IFERROR(INDEX(Cost_Components!$M$2:$M$27,MATCH(E1252,Cost_Components!$A$2:$A$27,0)),"")</f>
        <v>30</v>
      </c>
      <c r="AD1252" s="24">
        <f>IFERROR(INDEX(Cost_Components!$N$2:$N$27,MATCH(E1252,Cost_Components!$A$2:$A$27,0)),"")</f>
        <v>95</v>
      </c>
      <c r="AE1252" s="14" t="str">
        <f>IFERROR(INDEX(Cost_Components!$O$2:$O$27,MATCH(E1252,Cost_Components!$A$2:$A$27,0)),"")</f>
        <v>Both</v>
      </c>
      <c r="AF1252" s="11">
        <v>399598.88775450602</v>
      </c>
      <c r="AG1252" s="11">
        <v>409811.15006008203</v>
      </c>
      <c r="AH1252" s="21">
        <f t="shared" si="199"/>
        <v>1</v>
      </c>
    </row>
    <row r="1253" spans="1:34" hidden="1">
      <c r="A1253" t="s">
        <v>75</v>
      </c>
      <c r="B1253" s="18">
        <v>2028</v>
      </c>
      <c r="C1253" t="s">
        <v>217</v>
      </c>
      <c r="D1253" t="s">
        <v>181</v>
      </c>
      <c r="E1253" s="20" t="s">
        <v>313</v>
      </c>
      <c r="F1253" s="20" t="s">
        <v>314</v>
      </c>
      <c r="G1253" s="20" t="s">
        <v>221</v>
      </c>
      <c r="H1253" s="20" t="s">
        <v>192</v>
      </c>
      <c r="I1253" s="20" t="s">
        <v>167</v>
      </c>
      <c r="J1253" s="15">
        <f>IFERROR(INDEX(Cost_Components!$K$2:$K$27,MATCH(E1253,Cost_Components!$A$2:$A$27,0)),"")</f>
        <v>0.52</v>
      </c>
      <c r="K1253" s="15">
        <f t="shared" si="190"/>
        <v>0.38538461538461538</v>
      </c>
      <c r="L1253" s="15">
        <f>IFERROR(INDEX(Cost_Components!$S$2:$S$27,MATCH(E1253,Cost_Components!$A$2:$A$27,0)),"")</f>
        <v>0.31</v>
      </c>
      <c r="M1253" s="26">
        <f>IFERROR(INDEX(Cost_Components!$L$2:$L$27,MATCH(E1253,Cost_Components!$A$2:$A$27,0)),"")</f>
        <v>1</v>
      </c>
      <c r="N1253" s="27">
        <f>IFERROR(INDEX(Cost_Components!$P$2:$P$27,MATCH(E1253,Cost_Components!$A$2:$A$27,0)),"")</f>
        <v>186.479792</v>
      </c>
      <c r="O1253" s="21">
        <f t="shared" si="191"/>
        <v>212978.85444783795</v>
      </c>
      <c r="P1253" s="21">
        <f t="shared" si="192"/>
        <v>220209.05324150721</v>
      </c>
      <c r="Q1253" s="21">
        <f t="shared" si="193"/>
        <v>12730006.917947888</v>
      </c>
      <c r="R1253" s="21">
        <f t="shared" si="194"/>
        <v>15306032.685687214</v>
      </c>
      <c r="S1253" s="21">
        <f t="shared" si="195"/>
        <v>2576025.7677393258</v>
      </c>
      <c r="T1253" s="14">
        <f>IFERROR(INDEX(Cost_Components!$R$2:$R$27,MATCH(E1253,Cost_Components!$A$2:$A$27,0)),"")</f>
        <v>1</v>
      </c>
      <c r="U1253" s="24">
        <f>IFERROR(INDEX(Cost_Components!$Q$2:$Q$27,MATCH(E1253,Cost_Components!$A$2:$A$27,0)),"")</f>
        <v>2023</v>
      </c>
      <c r="V1253" s="28">
        <f>1/(1+Calculation_Assumptions!$B$5)^(B1253-Calculation_Assumptions!$B$2)</f>
        <v>0.91514165935315961</v>
      </c>
      <c r="W1253" s="21">
        <f t="shared" si="196"/>
        <v>11649759.654468032</v>
      </c>
      <c r="X1253" s="21">
        <f t="shared" si="197"/>
        <v>14007188.150093496</v>
      </c>
      <c r="Y1253" s="21">
        <f t="shared" si="198"/>
        <v>2357428.4956254633</v>
      </c>
      <c r="Z1253" s="15">
        <f>IFERROR(INDEX(Cost_Components!$T$2:$T$27,MATCH(E1253,Cost_Components!$A$2:$A$27,0)),"")</f>
        <v>0.8</v>
      </c>
      <c r="AA1253" s="24">
        <f>IFERROR(INDEX(Cost_Components!$U$2:$U$27,MATCH(E1253,Cost_Components!$A$2:$A$27,0)),"")</f>
        <v>2025</v>
      </c>
      <c r="AB1253" s="24">
        <f>IFERROR(INDEX(Cost_Components!$V$2:$V$27,MATCH(E1253,Cost_Components!$A$2:$A$27,0)),"")</f>
        <v>2050</v>
      </c>
      <c r="AC1253" s="24">
        <f>IFERROR(INDEX(Cost_Components!$M$2:$M$27,MATCH(E1253,Cost_Components!$A$2:$A$27,0)),"")</f>
        <v>30</v>
      </c>
      <c r="AD1253" s="24">
        <f>IFERROR(INDEX(Cost_Components!$N$2:$N$27,MATCH(E1253,Cost_Components!$A$2:$A$27,0)),"")</f>
        <v>95</v>
      </c>
      <c r="AE1253" s="14" t="str">
        <f>IFERROR(INDEX(Cost_Components!$O$2:$O$27,MATCH(E1253,Cost_Components!$A$2:$A$27,0)),"")</f>
        <v>Both</v>
      </c>
      <c r="AF1253" s="11">
        <v>409574.72009199602</v>
      </c>
      <c r="AG1253" s="11">
        <v>423478.94854135998</v>
      </c>
      <c r="AH1253" s="21">
        <f t="shared" si="199"/>
        <v>1</v>
      </c>
    </row>
    <row r="1254" spans="1:34" hidden="1">
      <c r="A1254" t="s">
        <v>75</v>
      </c>
      <c r="B1254" s="18">
        <v>2029</v>
      </c>
      <c r="C1254" t="s">
        <v>217</v>
      </c>
      <c r="D1254" t="s">
        <v>181</v>
      </c>
      <c r="E1254" s="20" t="s">
        <v>313</v>
      </c>
      <c r="F1254" s="20" t="s">
        <v>314</v>
      </c>
      <c r="G1254" s="20" t="s">
        <v>221</v>
      </c>
      <c r="H1254" s="20" t="s">
        <v>192</v>
      </c>
      <c r="I1254" s="20" t="s">
        <v>167</v>
      </c>
      <c r="J1254" s="15">
        <f>IFERROR(INDEX(Cost_Components!$K$2:$K$27,MATCH(E1254,Cost_Components!$A$2:$A$27,0)),"")</f>
        <v>0.52</v>
      </c>
      <c r="K1254" s="15">
        <f t="shared" si="190"/>
        <v>0.40423076923076923</v>
      </c>
      <c r="L1254" s="15">
        <f>IFERROR(INDEX(Cost_Components!$S$2:$S$27,MATCH(E1254,Cost_Components!$A$2:$A$27,0)),"")</f>
        <v>0.31</v>
      </c>
      <c r="M1254" s="26">
        <f>IFERROR(INDEX(Cost_Components!$L$2:$L$27,MATCH(E1254,Cost_Components!$A$2:$A$27,0)),"")</f>
        <v>1</v>
      </c>
      <c r="N1254" s="27">
        <f>IFERROR(INDEX(Cost_Components!$P$2:$P$27,MATCH(E1254,Cost_Components!$A$2:$A$27,0)),"")</f>
        <v>186.479792</v>
      </c>
      <c r="O1254" s="21">
        <f t="shared" si="191"/>
        <v>218062.79899996647</v>
      </c>
      <c r="P1254" s="21">
        <f t="shared" si="192"/>
        <v>227285.27419571948</v>
      </c>
      <c r="Q1254" s="21">
        <f t="shared" si="193"/>
        <v>13139074.303571029</v>
      </c>
      <c r="R1254" s="21">
        <f t="shared" si="194"/>
        <v>16437763.452259457</v>
      </c>
      <c r="S1254" s="21">
        <f t="shared" si="195"/>
        <v>3298689.1486884281</v>
      </c>
      <c r="T1254" s="14">
        <f>IFERROR(INDEX(Cost_Components!$R$2:$R$27,MATCH(E1254,Cost_Components!$A$2:$A$27,0)),"")</f>
        <v>1</v>
      </c>
      <c r="U1254" s="24">
        <f>IFERROR(INDEX(Cost_Components!$Q$2:$Q$27,MATCH(E1254,Cost_Components!$A$2:$A$27,0)),"")</f>
        <v>2023</v>
      </c>
      <c r="V1254" s="28">
        <f>1/(1+Calculation_Assumptions!$B$5)^(B1254-Calculation_Assumptions!$B$2)</f>
        <v>0.888487047915689</v>
      </c>
      <c r="W1254" s="21">
        <f t="shared" si="196"/>
        <v>11673897.340324711</v>
      </c>
      <c r="X1254" s="21">
        <f t="shared" si="197"/>
        <v>14604739.924034409</v>
      </c>
      <c r="Y1254" s="21">
        <f t="shared" si="198"/>
        <v>2930842.5837096986</v>
      </c>
      <c r="Z1254" s="15">
        <f>IFERROR(INDEX(Cost_Components!$T$2:$T$27,MATCH(E1254,Cost_Components!$A$2:$A$27,0)),"")</f>
        <v>0.8</v>
      </c>
      <c r="AA1254" s="24">
        <f>IFERROR(INDEX(Cost_Components!$U$2:$U$27,MATCH(E1254,Cost_Components!$A$2:$A$27,0)),"")</f>
        <v>2025</v>
      </c>
      <c r="AB1254" s="24">
        <f>IFERROR(INDEX(Cost_Components!$V$2:$V$27,MATCH(E1254,Cost_Components!$A$2:$A$27,0)),"")</f>
        <v>2050</v>
      </c>
      <c r="AC1254" s="24">
        <f>IFERROR(INDEX(Cost_Components!$M$2:$M$27,MATCH(E1254,Cost_Components!$A$2:$A$27,0)),"")</f>
        <v>30</v>
      </c>
      <c r="AD1254" s="24">
        <f>IFERROR(INDEX(Cost_Components!$N$2:$N$27,MATCH(E1254,Cost_Components!$A$2:$A$27,0)),"")</f>
        <v>95</v>
      </c>
      <c r="AE1254" s="14" t="str">
        <f>IFERROR(INDEX(Cost_Components!$O$2:$O$27,MATCH(E1254,Cost_Components!$A$2:$A$27,0)),"")</f>
        <v>Both</v>
      </c>
      <c r="AF1254" s="11">
        <v>419351.53653839702</v>
      </c>
      <c r="AG1254" s="11">
        <v>437087.06576099899</v>
      </c>
      <c r="AH1254" s="21">
        <f t="shared" si="199"/>
        <v>1</v>
      </c>
    </row>
    <row r="1255" spans="1:34" hidden="1">
      <c r="A1255" t="s">
        <v>75</v>
      </c>
      <c r="B1255" s="18">
        <v>2030</v>
      </c>
      <c r="C1255" t="s">
        <v>217</v>
      </c>
      <c r="D1255" t="s">
        <v>181</v>
      </c>
      <c r="E1255" s="20" t="s">
        <v>313</v>
      </c>
      <c r="F1255" s="20" t="s">
        <v>314</v>
      </c>
      <c r="G1255" s="20" t="s">
        <v>221</v>
      </c>
      <c r="H1255" s="20" t="s">
        <v>192</v>
      </c>
      <c r="I1255" s="20" t="s">
        <v>167</v>
      </c>
      <c r="J1255" s="15">
        <f>IFERROR(INDEX(Cost_Components!$K$2:$K$27,MATCH(E1255,Cost_Components!$A$2:$A$27,0)),"")</f>
        <v>0.52</v>
      </c>
      <c r="K1255" s="15">
        <f t="shared" si="190"/>
        <v>0.42307692307692307</v>
      </c>
      <c r="L1255" s="15">
        <f>IFERROR(INDEX(Cost_Components!$S$2:$S$27,MATCH(E1255,Cost_Components!$A$2:$A$27,0)),"")</f>
        <v>0.31</v>
      </c>
      <c r="M1255" s="26">
        <f>IFERROR(INDEX(Cost_Components!$L$2:$L$27,MATCH(E1255,Cost_Components!$A$2:$A$27,0)),"")</f>
        <v>1</v>
      </c>
      <c r="N1255" s="27">
        <f>IFERROR(INDEX(Cost_Components!$P$2:$P$27,MATCH(E1255,Cost_Components!$A$2:$A$27,0)),"")</f>
        <v>186.479792</v>
      </c>
      <c r="O1255" s="21">
        <f t="shared" si="191"/>
        <v>223041.91523138565</v>
      </c>
      <c r="P1255" s="21">
        <f t="shared" si="192"/>
        <v>234329.00321047413</v>
      </c>
      <c r="Q1255" s="21">
        <f t="shared" si="193"/>
        <v>13546263.371259529</v>
      </c>
      <c r="R1255" s="21">
        <f t="shared" si="194"/>
        <v>17596958.059843644</v>
      </c>
      <c r="S1255" s="21">
        <f t="shared" si="195"/>
        <v>4050694.6885841154</v>
      </c>
      <c r="T1255" s="14">
        <f>IFERROR(INDEX(Cost_Components!$R$2:$R$27,MATCH(E1255,Cost_Components!$A$2:$A$27,0)),"")</f>
        <v>1</v>
      </c>
      <c r="U1255" s="24">
        <f>IFERROR(INDEX(Cost_Components!$Q$2:$Q$27,MATCH(E1255,Cost_Components!$A$2:$A$27,0)),"")</f>
        <v>2023</v>
      </c>
      <c r="V1255" s="28">
        <f>1/(1+Calculation_Assumptions!$B$5)^(B1255-Calculation_Assumptions!$B$2)</f>
        <v>0.86260878438416411</v>
      </c>
      <c r="W1255" s="21">
        <f t="shared" si="196"/>
        <v>11685125.77962991</v>
      </c>
      <c r="X1255" s="21">
        <f t="shared" si="197"/>
        <v>15179290.600860845</v>
      </c>
      <c r="Y1255" s="21">
        <f t="shared" si="198"/>
        <v>3494164.821230934</v>
      </c>
      <c r="Z1255" s="15">
        <f>IFERROR(INDEX(Cost_Components!$T$2:$T$27,MATCH(E1255,Cost_Components!$A$2:$A$27,0)),"")</f>
        <v>0.8</v>
      </c>
      <c r="AA1255" s="24">
        <f>IFERROR(INDEX(Cost_Components!$U$2:$U$27,MATCH(E1255,Cost_Components!$A$2:$A$27,0)),"")</f>
        <v>2025</v>
      </c>
      <c r="AB1255" s="24">
        <f>IFERROR(INDEX(Cost_Components!$V$2:$V$27,MATCH(E1255,Cost_Components!$A$2:$A$27,0)),"")</f>
        <v>2050</v>
      </c>
      <c r="AC1255" s="24">
        <f>IFERROR(INDEX(Cost_Components!$M$2:$M$27,MATCH(E1255,Cost_Components!$A$2:$A$27,0)),"")</f>
        <v>30</v>
      </c>
      <c r="AD1255" s="24">
        <f>IFERROR(INDEX(Cost_Components!$N$2:$N$27,MATCH(E1255,Cost_Components!$A$2:$A$27,0)),"")</f>
        <v>95</v>
      </c>
      <c r="AE1255" s="14" t="str">
        <f>IFERROR(INDEX(Cost_Components!$O$2:$O$27,MATCH(E1255,Cost_Components!$A$2:$A$27,0)),"")</f>
        <v>Both</v>
      </c>
      <c r="AF1255" s="11">
        <v>428926.76006035699</v>
      </c>
      <c r="AG1255" s="11">
        <v>450632.698481681</v>
      </c>
      <c r="AH1255" s="21">
        <f t="shared" si="199"/>
        <v>1</v>
      </c>
    </row>
    <row r="1256" spans="1:34" hidden="1">
      <c r="A1256" t="s">
        <v>75</v>
      </c>
      <c r="B1256" s="18">
        <v>2031</v>
      </c>
      <c r="C1256" t="s">
        <v>217</v>
      </c>
      <c r="D1256" t="s">
        <v>181</v>
      </c>
      <c r="E1256" s="20" t="s">
        <v>313</v>
      </c>
      <c r="F1256" s="20" t="s">
        <v>314</v>
      </c>
      <c r="G1256" s="20" t="s">
        <v>221</v>
      </c>
      <c r="H1256" s="20" t="s">
        <v>192</v>
      </c>
      <c r="I1256" s="20" t="s">
        <v>167</v>
      </c>
      <c r="J1256" s="15">
        <f>IFERROR(INDEX(Cost_Components!$K$2:$K$27,MATCH(E1256,Cost_Components!$A$2:$A$27,0)),"")</f>
        <v>0.52</v>
      </c>
      <c r="K1256" s="15">
        <f t="shared" si="190"/>
        <v>0.44192307692307692</v>
      </c>
      <c r="L1256" s="15">
        <f>IFERROR(INDEX(Cost_Components!$S$2:$S$27,MATCH(E1256,Cost_Components!$A$2:$A$27,0)),"")</f>
        <v>0.31</v>
      </c>
      <c r="M1256" s="26">
        <f>IFERROR(INDEX(Cost_Components!$L$2:$L$27,MATCH(E1256,Cost_Components!$A$2:$A$27,0)),"")</f>
        <v>1</v>
      </c>
      <c r="N1256" s="27">
        <f>IFERROR(INDEX(Cost_Components!$P$2:$P$27,MATCH(E1256,Cost_Components!$A$2:$A$27,0)),"")</f>
        <v>186.479792</v>
      </c>
      <c r="O1256" s="21">
        <f t="shared" si="191"/>
        <v>227869.81053747976</v>
      </c>
      <c r="P1256" s="21">
        <f t="shared" si="192"/>
        <v>241291.1144579754</v>
      </c>
      <c r="Q1256" s="21">
        <f t="shared" si="193"/>
        <v>13948734.219027149</v>
      </c>
      <c r="R1256" s="21">
        <f t="shared" si="194"/>
        <v>18778688.072328009</v>
      </c>
      <c r="S1256" s="21">
        <f t="shared" si="195"/>
        <v>4829953.8533008602</v>
      </c>
      <c r="T1256" s="14">
        <f>IFERROR(INDEX(Cost_Components!$R$2:$R$27,MATCH(E1256,Cost_Components!$A$2:$A$27,0)),"")</f>
        <v>1</v>
      </c>
      <c r="U1256" s="24">
        <f>IFERROR(INDEX(Cost_Components!$Q$2:$Q$27,MATCH(E1256,Cost_Components!$A$2:$A$27,0)),"")</f>
        <v>2023</v>
      </c>
      <c r="V1256" s="28">
        <f>1/(1+Calculation_Assumptions!$B$5)^(B1256-Calculation_Assumptions!$B$2)</f>
        <v>0.83748425668365445</v>
      </c>
      <c r="W1256" s="21">
        <f t="shared" si="196"/>
        <v>11681845.309099806</v>
      </c>
      <c r="X1256" s="21">
        <f t="shared" si="197"/>
        <v>15726855.621747831</v>
      </c>
      <c r="Y1256" s="21">
        <f t="shared" si="198"/>
        <v>4045010.3126480235</v>
      </c>
      <c r="Z1256" s="15">
        <f>IFERROR(INDEX(Cost_Components!$T$2:$T$27,MATCH(E1256,Cost_Components!$A$2:$A$27,0)),"")</f>
        <v>0.8</v>
      </c>
      <c r="AA1256" s="24">
        <f>IFERROR(INDEX(Cost_Components!$U$2:$U$27,MATCH(E1256,Cost_Components!$A$2:$A$27,0)),"")</f>
        <v>2025</v>
      </c>
      <c r="AB1256" s="24">
        <f>IFERROR(INDEX(Cost_Components!$V$2:$V$27,MATCH(E1256,Cost_Components!$A$2:$A$27,0)),"")</f>
        <v>2050</v>
      </c>
      <c r="AC1256" s="24">
        <f>IFERROR(INDEX(Cost_Components!$M$2:$M$27,MATCH(E1256,Cost_Components!$A$2:$A$27,0)),"")</f>
        <v>30</v>
      </c>
      <c r="AD1256" s="24">
        <f>IFERROR(INDEX(Cost_Components!$N$2:$N$27,MATCH(E1256,Cost_Components!$A$2:$A$27,0)),"")</f>
        <v>95</v>
      </c>
      <c r="AE1256" s="14" t="str">
        <f>IFERROR(INDEX(Cost_Components!$O$2:$O$27,MATCH(E1256,Cost_Components!$A$2:$A$27,0)),"")</f>
        <v>Both</v>
      </c>
      <c r="AF1256" s="11">
        <v>438211.17411053798</v>
      </c>
      <c r="AG1256" s="11">
        <v>464021.37395764497</v>
      </c>
      <c r="AH1256" s="21">
        <f t="shared" si="199"/>
        <v>1</v>
      </c>
    </row>
    <row r="1257" spans="1:34" hidden="1">
      <c r="A1257" t="s">
        <v>75</v>
      </c>
      <c r="B1257" s="18">
        <v>2032</v>
      </c>
      <c r="C1257" t="s">
        <v>217</v>
      </c>
      <c r="D1257" t="s">
        <v>181</v>
      </c>
      <c r="E1257" s="20" t="s">
        <v>313</v>
      </c>
      <c r="F1257" s="20" t="s">
        <v>314</v>
      </c>
      <c r="G1257" s="20" t="s">
        <v>221</v>
      </c>
      <c r="H1257" s="20" t="s">
        <v>192</v>
      </c>
      <c r="I1257" s="20" t="s">
        <v>167</v>
      </c>
      <c r="J1257" s="15">
        <f>IFERROR(INDEX(Cost_Components!$K$2:$K$27,MATCH(E1257,Cost_Components!$A$2:$A$27,0)),"")</f>
        <v>0.52</v>
      </c>
      <c r="K1257" s="15">
        <f t="shared" si="190"/>
        <v>0.46076923076923082</v>
      </c>
      <c r="L1257" s="15">
        <f>IFERROR(INDEX(Cost_Components!$S$2:$S$27,MATCH(E1257,Cost_Components!$A$2:$A$27,0)),"")</f>
        <v>0.31</v>
      </c>
      <c r="M1257" s="26">
        <f>IFERROR(INDEX(Cost_Components!$L$2:$L$27,MATCH(E1257,Cost_Components!$A$2:$A$27,0)),"")</f>
        <v>1</v>
      </c>
      <c r="N1257" s="27">
        <f>IFERROR(INDEX(Cost_Components!$P$2:$P$27,MATCH(E1257,Cost_Components!$A$2:$A$27,0)),"")</f>
        <v>186.479792</v>
      </c>
      <c r="O1257" s="21">
        <f t="shared" si="191"/>
        <v>232493.64215965004</v>
      </c>
      <c r="P1257" s="21">
        <f t="shared" si="192"/>
        <v>248105.86548155046</v>
      </c>
      <c r="Q1257" s="21">
        <f t="shared" si="193"/>
        <v>14342686.358583648</v>
      </c>
      <c r="R1257" s="21">
        <f t="shared" si="194"/>
        <v>19976818.655939333</v>
      </c>
      <c r="S1257" s="21">
        <f t="shared" si="195"/>
        <v>5634132.2973556854</v>
      </c>
      <c r="T1257" s="14">
        <f>IFERROR(INDEX(Cost_Components!$R$2:$R$27,MATCH(E1257,Cost_Components!$A$2:$A$27,0)),"")</f>
        <v>1</v>
      </c>
      <c r="U1257" s="24">
        <f>IFERROR(INDEX(Cost_Components!$Q$2:$Q$27,MATCH(E1257,Cost_Components!$A$2:$A$27,0)),"")</f>
        <v>2023</v>
      </c>
      <c r="V1257" s="28">
        <f>1/(1+Calculation_Assumptions!$B$5)^(B1257-Calculation_Assumptions!$B$2)</f>
        <v>0.81309151134335378</v>
      </c>
      <c r="W1257" s="21">
        <f t="shared" si="196"/>
        <v>11661916.528024482</v>
      </c>
      <c r="X1257" s="21">
        <f t="shared" si="197"/>
        <v>16242981.672789818</v>
      </c>
      <c r="Y1257" s="21">
        <f t="shared" si="198"/>
        <v>4581065.1447653361</v>
      </c>
      <c r="Z1257" s="15">
        <f>IFERROR(INDEX(Cost_Components!$T$2:$T$27,MATCH(E1257,Cost_Components!$A$2:$A$27,0)),"")</f>
        <v>0.8</v>
      </c>
      <c r="AA1257" s="24">
        <f>IFERROR(INDEX(Cost_Components!$U$2:$U$27,MATCH(E1257,Cost_Components!$A$2:$A$27,0)),"")</f>
        <v>2025</v>
      </c>
      <c r="AB1257" s="24">
        <f>IFERROR(INDEX(Cost_Components!$V$2:$V$27,MATCH(E1257,Cost_Components!$A$2:$A$27,0)),"")</f>
        <v>2050</v>
      </c>
      <c r="AC1257" s="24">
        <f>IFERROR(INDEX(Cost_Components!$M$2:$M$27,MATCH(E1257,Cost_Components!$A$2:$A$27,0)),"")</f>
        <v>30</v>
      </c>
      <c r="AD1257" s="24">
        <f>IFERROR(INDEX(Cost_Components!$N$2:$N$27,MATCH(E1257,Cost_Components!$A$2:$A$27,0)),"")</f>
        <v>95</v>
      </c>
      <c r="AE1257" s="14" t="str">
        <f>IFERROR(INDEX(Cost_Components!$O$2:$O$27,MATCH(E1257,Cost_Components!$A$2:$A$27,0)),"")</f>
        <v>Both</v>
      </c>
      <c r="AF1257" s="11">
        <v>447103.157999327</v>
      </c>
      <c r="AG1257" s="11">
        <v>477126.664387597</v>
      </c>
      <c r="AH1257" s="21">
        <f t="shared" si="199"/>
        <v>1</v>
      </c>
    </row>
    <row r="1258" spans="1:34" hidden="1">
      <c r="A1258" t="s">
        <v>75</v>
      </c>
      <c r="B1258" s="18">
        <v>2033</v>
      </c>
      <c r="C1258" t="s">
        <v>217</v>
      </c>
      <c r="D1258" t="s">
        <v>181</v>
      </c>
      <c r="E1258" s="20" t="s">
        <v>313</v>
      </c>
      <c r="F1258" s="20" t="s">
        <v>314</v>
      </c>
      <c r="G1258" s="20" t="s">
        <v>221</v>
      </c>
      <c r="H1258" s="20" t="s">
        <v>192</v>
      </c>
      <c r="I1258" s="20" t="s">
        <v>167</v>
      </c>
      <c r="J1258" s="15">
        <f>IFERROR(INDEX(Cost_Components!$K$2:$K$27,MATCH(E1258,Cost_Components!$A$2:$A$27,0)),"")</f>
        <v>0.52</v>
      </c>
      <c r="K1258" s="15">
        <f t="shared" si="190"/>
        <v>0.47961538461538467</v>
      </c>
      <c r="L1258" s="15">
        <f>IFERROR(INDEX(Cost_Components!$S$2:$S$27,MATCH(E1258,Cost_Components!$A$2:$A$27,0)),"")</f>
        <v>0.31</v>
      </c>
      <c r="M1258" s="26">
        <f>IFERROR(INDEX(Cost_Components!$L$2:$L$27,MATCH(E1258,Cost_Components!$A$2:$A$27,0)),"")</f>
        <v>1</v>
      </c>
      <c r="N1258" s="27">
        <f>IFERROR(INDEX(Cost_Components!$P$2:$P$27,MATCH(E1258,Cost_Components!$A$2:$A$27,0)),"")</f>
        <v>186.479792</v>
      </c>
      <c r="O1258" s="21">
        <f t="shared" si="191"/>
        <v>236937.36495078832</v>
      </c>
      <c r="P1258" s="21">
        <f t="shared" si="192"/>
        <v>254784.71305636078</v>
      </c>
      <c r="Q1258" s="21">
        <f t="shared" si="193"/>
        <v>14728782.09161425</v>
      </c>
      <c r="R1258" s="21">
        <f t="shared" si="194"/>
        <v>21191340.797967203</v>
      </c>
      <c r="S1258" s="21">
        <f t="shared" si="195"/>
        <v>6462558.7063529529</v>
      </c>
      <c r="T1258" s="14">
        <f>IFERROR(INDEX(Cost_Components!$R$2:$R$27,MATCH(E1258,Cost_Components!$A$2:$A$27,0)),"")</f>
        <v>1</v>
      </c>
      <c r="U1258" s="24">
        <f>IFERROR(INDEX(Cost_Components!$Q$2:$Q$27,MATCH(E1258,Cost_Components!$A$2:$A$27,0)),"")</f>
        <v>2023</v>
      </c>
      <c r="V1258" s="28">
        <f>1/(1+Calculation_Assumptions!$B$5)^(B1258-Calculation_Assumptions!$B$2)</f>
        <v>0.78940923431393573</v>
      </c>
      <c r="W1258" s="21">
        <f t="shared" si="196"/>
        <v>11627036.593318013</v>
      </c>
      <c r="X1258" s="21">
        <f t="shared" si="197"/>
        <v>16728640.113408957</v>
      </c>
      <c r="Y1258" s="21">
        <f t="shared" si="198"/>
        <v>5101603.5200909432</v>
      </c>
      <c r="Z1258" s="15">
        <f>IFERROR(INDEX(Cost_Components!$T$2:$T$27,MATCH(E1258,Cost_Components!$A$2:$A$27,0)),"")</f>
        <v>0.8</v>
      </c>
      <c r="AA1258" s="24">
        <f>IFERROR(INDEX(Cost_Components!$U$2:$U$27,MATCH(E1258,Cost_Components!$A$2:$A$27,0)),"")</f>
        <v>2025</v>
      </c>
      <c r="AB1258" s="24">
        <f>IFERROR(INDEX(Cost_Components!$V$2:$V$27,MATCH(E1258,Cost_Components!$A$2:$A$27,0)),"")</f>
        <v>2050</v>
      </c>
      <c r="AC1258" s="24">
        <f>IFERROR(INDEX(Cost_Components!$M$2:$M$27,MATCH(E1258,Cost_Components!$A$2:$A$27,0)),"")</f>
        <v>30</v>
      </c>
      <c r="AD1258" s="24">
        <f>IFERROR(INDEX(Cost_Components!$N$2:$N$27,MATCH(E1258,Cost_Components!$A$2:$A$27,0)),"")</f>
        <v>95</v>
      </c>
      <c r="AE1258" s="14" t="str">
        <f>IFERROR(INDEX(Cost_Components!$O$2:$O$27,MATCH(E1258,Cost_Components!$A$2:$A$27,0)),"")</f>
        <v>Both</v>
      </c>
      <c r="AF1258" s="11">
        <v>455648.77875151602</v>
      </c>
      <c r="AG1258" s="11">
        <v>489970.602031463</v>
      </c>
      <c r="AH1258" s="21">
        <f t="shared" si="199"/>
        <v>1</v>
      </c>
    </row>
    <row r="1259" spans="1:34" hidden="1">
      <c r="A1259" t="s">
        <v>75</v>
      </c>
      <c r="B1259" s="18">
        <v>2034</v>
      </c>
      <c r="C1259" t="s">
        <v>217</v>
      </c>
      <c r="D1259" t="s">
        <v>181</v>
      </c>
      <c r="E1259" s="20" t="s">
        <v>313</v>
      </c>
      <c r="F1259" s="20" t="s">
        <v>314</v>
      </c>
      <c r="G1259" s="20" t="s">
        <v>221</v>
      </c>
      <c r="H1259" s="20" t="s">
        <v>192</v>
      </c>
      <c r="I1259" s="20" t="s">
        <v>167</v>
      </c>
      <c r="J1259" s="15">
        <f>IFERROR(INDEX(Cost_Components!$K$2:$K$27,MATCH(E1259,Cost_Components!$A$2:$A$27,0)),"")</f>
        <v>0.52</v>
      </c>
      <c r="K1259" s="15">
        <f t="shared" si="190"/>
        <v>0.49846153846153851</v>
      </c>
      <c r="L1259" s="15">
        <f>IFERROR(INDEX(Cost_Components!$S$2:$S$27,MATCH(E1259,Cost_Components!$A$2:$A$27,0)),"")</f>
        <v>0.31</v>
      </c>
      <c r="M1259" s="26">
        <f>IFERROR(INDEX(Cost_Components!$L$2:$L$27,MATCH(E1259,Cost_Components!$A$2:$A$27,0)),"")</f>
        <v>1</v>
      </c>
      <c r="N1259" s="27">
        <f>IFERROR(INDEX(Cost_Components!$P$2:$P$27,MATCH(E1259,Cost_Components!$A$2:$A$27,0)),"")</f>
        <v>186.479792</v>
      </c>
      <c r="O1259" s="21">
        <f t="shared" si="191"/>
        <v>241244.12991539692</v>
      </c>
      <c r="P1259" s="21">
        <f t="shared" si="192"/>
        <v>261368.21203803908</v>
      </c>
      <c r="Q1259" s="21">
        <f t="shared" si="193"/>
        <v>15109365.843042282</v>
      </c>
      <c r="R1259" s="21">
        <f t="shared" si="194"/>
        <v>22424366.57597157</v>
      </c>
      <c r="S1259" s="21">
        <f t="shared" si="195"/>
        <v>7315000.7329292875</v>
      </c>
      <c r="T1259" s="14">
        <f>IFERROR(INDEX(Cost_Components!$R$2:$R$27,MATCH(E1259,Cost_Components!$A$2:$A$27,0)),"")</f>
        <v>1</v>
      </c>
      <c r="U1259" s="24">
        <f>IFERROR(INDEX(Cost_Components!$Q$2:$Q$27,MATCH(E1259,Cost_Components!$A$2:$A$27,0)),"")</f>
        <v>2023</v>
      </c>
      <c r="V1259" s="28">
        <f>1/(1+Calculation_Assumptions!$B$5)^(B1259-Calculation_Assumptions!$B$2)</f>
        <v>0.76641673234362695</v>
      </c>
      <c r="W1259" s="21">
        <f t="shared" si="196"/>
        <v>11580070.797208875</v>
      </c>
      <c r="X1259" s="21">
        <f t="shared" si="197"/>
        <v>17186409.756031778</v>
      </c>
      <c r="Y1259" s="21">
        <f t="shared" si="198"/>
        <v>5606338.9588229004</v>
      </c>
      <c r="Z1259" s="15">
        <f>IFERROR(INDEX(Cost_Components!$T$2:$T$27,MATCH(E1259,Cost_Components!$A$2:$A$27,0)),"")</f>
        <v>0.8</v>
      </c>
      <c r="AA1259" s="24">
        <f>IFERROR(INDEX(Cost_Components!$U$2:$U$27,MATCH(E1259,Cost_Components!$A$2:$A$27,0)),"")</f>
        <v>2025</v>
      </c>
      <c r="AB1259" s="24">
        <f>IFERROR(INDEX(Cost_Components!$V$2:$V$27,MATCH(E1259,Cost_Components!$A$2:$A$27,0)),"")</f>
        <v>2050</v>
      </c>
      <c r="AC1259" s="24">
        <f>IFERROR(INDEX(Cost_Components!$M$2:$M$27,MATCH(E1259,Cost_Components!$A$2:$A$27,0)),"")</f>
        <v>30</v>
      </c>
      <c r="AD1259" s="24">
        <f>IFERROR(INDEX(Cost_Components!$N$2:$N$27,MATCH(E1259,Cost_Components!$A$2:$A$27,0)),"")</f>
        <v>95</v>
      </c>
      <c r="AE1259" s="14" t="str">
        <f>IFERROR(INDEX(Cost_Components!$O$2:$O$27,MATCH(E1259,Cost_Components!$A$2:$A$27,0)),"")</f>
        <v>Both</v>
      </c>
      <c r="AF1259" s="11">
        <v>463931.01906807098</v>
      </c>
      <c r="AG1259" s="11">
        <v>502631.17699622898</v>
      </c>
      <c r="AH1259" s="21">
        <f t="shared" si="199"/>
        <v>1</v>
      </c>
    </row>
    <row r="1260" spans="1:34" hidden="1">
      <c r="A1260" t="s">
        <v>75</v>
      </c>
      <c r="B1260" s="18">
        <v>2035</v>
      </c>
      <c r="C1260" t="s">
        <v>217</v>
      </c>
      <c r="D1260" t="s">
        <v>181</v>
      </c>
      <c r="E1260" s="20" t="s">
        <v>313</v>
      </c>
      <c r="F1260" s="20" t="s">
        <v>314</v>
      </c>
      <c r="G1260" s="20" t="s">
        <v>221</v>
      </c>
      <c r="H1260" s="20" t="s">
        <v>192</v>
      </c>
      <c r="I1260" s="20" t="s">
        <v>167</v>
      </c>
      <c r="J1260" s="15">
        <f>IFERROR(INDEX(Cost_Components!$K$2:$K$27,MATCH(E1260,Cost_Components!$A$2:$A$27,0)),"")</f>
        <v>0.52</v>
      </c>
      <c r="K1260" s="15">
        <f t="shared" si="190"/>
        <v>0.51730769230769236</v>
      </c>
      <c r="L1260" s="15">
        <f>IFERROR(INDEX(Cost_Components!$S$2:$S$27,MATCH(E1260,Cost_Components!$A$2:$A$27,0)),"")</f>
        <v>0.31</v>
      </c>
      <c r="M1260" s="26">
        <f>IFERROR(INDEX(Cost_Components!$L$2:$L$27,MATCH(E1260,Cost_Components!$A$2:$A$27,0)),"")</f>
        <v>1</v>
      </c>
      <c r="N1260" s="27">
        <f>IFERROR(INDEX(Cost_Components!$P$2:$P$27,MATCH(E1260,Cost_Components!$A$2:$A$27,0)),"")</f>
        <v>186.479792</v>
      </c>
      <c r="O1260" s="21">
        <f t="shared" si="191"/>
        <v>245398.44950468381</v>
      </c>
      <c r="P1260" s="21">
        <f t="shared" si="192"/>
        <v>267833.91274010227</v>
      </c>
      <c r="Q1260" s="21">
        <f t="shared" si="193"/>
        <v>15483139.824879332</v>
      </c>
      <c r="R1260" s="21">
        <f t="shared" si="194"/>
        <v>23672957.961121827</v>
      </c>
      <c r="S1260" s="21">
        <f t="shared" si="195"/>
        <v>8189818.1362424958</v>
      </c>
      <c r="T1260" s="14">
        <f>IFERROR(INDEX(Cost_Components!$R$2:$R$27,MATCH(E1260,Cost_Components!$A$2:$A$27,0)),"")</f>
        <v>1</v>
      </c>
      <c r="U1260" s="24">
        <f>IFERROR(INDEX(Cost_Components!$Q$2:$Q$27,MATCH(E1260,Cost_Components!$A$2:$A$27,0)),"")</f>
        <v>2023</v>
      </c>
      <c r="V1260" s="28">
        <f>1/(1+Calculation_Assumptions!$B$5)^(B1260-Calculation_Assumptions!$B$2)</f>
        <v>0.74409391489672516</v>
      </c>
      <c r="W1260" s="21">
        <f t="shared" si="196"/>
        <v>11520910.127187857</v>
      </c>
      <c r="X1260" s="21">
        <f t="shared" si="197"/>
        <v>17614903.966476738</v>
      </c>
      <c r="Y1260" s="21">
        <f t="shared" si="198"/>
        <v>6093993.8392888801</v>
      </c>
      <c r="Z1260" s="15">
        <f>IFERROR(INDEX(Cost_Components!$T$2:$T$27,MATCH(E1260,Cost_Components!$A$2:$A$27,0)),"")</f>
        <v>0.8</v>
      </c>
      <c r="AA1260" s="24">
        <f>IFERROR(INDEX(Cost_Components!$U$2:$U$27,MATCH(E1260,Cost_Components!$A$2:$A$27,0)),"")</f>
        <v>2025</v>
      </c>
      <c r="AB1260" s="24">
        <f>IFERROR(INDEX(Cost_Components!$V$2:$V$27,MATCH(E1260,Cost_Components!$A$2:$A$27,0)),"")</f>
        <v>2050</v>
      </c>
      <c r="AC1260" s="24">
        <f>IFERROR(INDEX(Cost_Components!$M$2:$M$27,MATCH(E1260,Cost_Components!$A$2:$A$27,0)),"")</f>
        <v>30</v>
      </c>
      <c r="AD1260" s="24">
        <f>IFERROR(INDEX(Cost_Components!$N$2:$N$27,MATCH(E1260,Cost_Components!$A$2:$A$27,0)),"")</f>
        <v>95</v>
      </c>
      <c r="AE1260" s="14" t="str">
        <f>IFERROR(INDEX(Cost_Components!$O$2:$O$27,MATCH(E1260,Cost_Components!$A$2:$A$27,0)),"")</f>
        <v>Both</v>
      </c>
      <c r="AF1260" s="11">
        <v>471920.09520131501</v>
      </c>
      <c r="AG1260" s="11">
        <v>515065.216807889</v>
      </c>
      <c r="AH1260" s="21">
        <f t="shared" si="199"/>
        <v>1</v>
      </c>
    </row>
    <row r="1261" spans="1:34" hidden="1">
      <c r="A1261" t="s">
        <v>75</v>
      </c>
      <c r="B1261" s="18">
        <v>2036</v>
      </c>
      <c r="C1261" t="s">
        <v>217</v>
      </c>
      <c r="D1261" t="s">
        <v>181</v>
      </c>
      <c r="E1261" s="20" t="s">
        <v>313</v>
      </c>
      <c r="F1261" s="20" t="s">
        <v>314</v>
      </c>
      <c r="G1261" s="20" t="s">
        <v>221</v>
      </c>
      <c r="H1261" s="20" t="s">
        <v>192</v>
      </c>
      <c r="I1261" s="20" t="s">
        <v>167</v>
      </c>
      <c r="J1261" s="15">
        <f>IFERROR(INDEX(Cost_Components!$K$2:$K$27,MATCH(E1261,Cost_Components!$A$2:$A$27,0)),"")</f>
        <v>0.52</v>
      </c>
      <c r="K1261" s="15">
        <f t="shared" si="190"/>
        <v>0.5361538461538462</v>
      </c>
      <c r="L1261" s="15">
        <f>IFERROR(INDEX(Cost_Components!$S$2:$S$27,MATCH(E1261,Cost_Components!$A$2:$A$27,0)),"")</f>
        <v>0.31</v>
      </c>
      <c r="M1261" s="26">
        <f>IFERROR(INDEX(Cost_Components!$L$2:$L$27,MATCH(E1261,Cost_Components!$A$2:$A$27,0)),"")</f>
        <v>1</v>
      </c>
      <c r="N1261" s="27">
        <f>IFERROR(INDEX(Cost_Components!$P$2:$P$27,MATCH(E1261,Cost_Components!$A$2:$A$27,0)),"")</f>
        <v>186.479792</v>
      </c>
      <c r="O1261" s="21">
        <f t="shared" si="191"/>
        <v>249440.16442762405</v>
      </c>
      <c r="P1261" s="21">
        <f t="shared" si="192"/>
        <v>274214.65168902482</v>
      </c>
      <c r="Q1261" s="21">
        <f t="shared" si="193"/>
        <v>15852002.275199758</v>
      </c>
      <c r="R1261" s="21">
        <f t="shared" si="194"/>
        <v>24939491.027153589</v>
      </c>
      <c r="S1261" s="21">
        <f t="shared" si="195"/>
        <v>9087488.7519538309</v>
      </c>
      <c r="T1261" s="14">
        <f>IFERROR(INDEX(Cost_Components!$R$2:$R$27,MATCH(E1261,Cost_Components!$A$2:$A$27,0)),"")</f>
        <v>1</v>
      </c>
      <c r="U1261" s="24">
        <f>IFERROR(INDEX(Cost_Components!$Q$2:$Q$27,MATCH(E1261,Cost_Components!$A$2:$A$27,0)),"")</f>
        <v>2023</v>
      </c>
      <c r="V1261" s="28">
        <f>1/(1+Calculation_Assumptions!$B$5)^(B1261-Calculation_Assumptions!$B$2)</f>
        <v>0.72242127659876232</v>
      </c>
      <c r="W1261" s="21">
        <f t="shared" si="196"/>
        <v>11451823.720296293</v>
      </c>
      <c r="X1261" s="21">
        <f t="shared" si="197"/>
        <v>18016818.945559673</v>
      </c>
      <c r="Y1261" s="21">
        <f t="shared" si="198"/>
        <v>6564995.2252633795</v>
      </c>
      <c r="Z1261" s="15">
        <f>IFERROR(INDEX(Cost_Components!$T$2:$T$27,MATCH(E1261,Cost_Components!$A$2:$A$27,0)),"")</f>
        <v>0.8</v>
      </c>
      <c r="AA1261" s="24">
        <f>IFERROR(INDEX(Cost_Components!$U$2:$U$27,MATCH(E1261,Cost_Components!$A$2:$A$27,0)),"")</f>
        <v>2025</v>
      </c>
      <c r="AB1261" s="24">
        <f>IFERROR(INDEX(Cost_Components!$V$2:$V$27,MATCH(E1261,Cost_Components!$A$2:$A$27,0)),"")</f>
        <v>2050</v>
      </c>
      <c r="AC1261" s="24">
        <f>IFERROR(INDEX(Cost_Components!$M$2:$M$27,MATCH(E1261,Cost_Components!$A$2:$A$27,0)),"")</f>
        <v>30</v>
      </c>
      <c r="AD1261" s="24">
        <f>IFERROR(INDEX(Cost_Components!$N$2:$N$27,MATCH(E1261,Cost_Components!$A$2:$A$27,0)),"")</f>
        <v>95</v>
      </c>
      <c r="AE1261" s="14" t="str">
        <f>IFERROR(INDEX(Cost_Components!$O$2:$O$27,MATCH(E1261,Cost_Components!$A$2:$A$27,0)),"")</f>
        <v>Both</v>
      </c>
      <c r="AF1261" s="11">
        <v>479692.62389927701</v>
      </c>
      <c r="AG1261" s="11">
        <v>527335.86863273999</v>
      </c>
      <c r="AH1261" s="21">
        <f t="shared" si="199"/>
        <v>1</v>
      </c>
    </row>
    <row r="1262" spans="1:34" hidden="1">
      <c r="A1262" t="s">
        <v>75</v>
      </c>
      <c r="B1262" s="18">
        <v>2037</v>
      </c>
      <c r="C1262" t="s">
        <v>217</v>
      </c>
      <c r="D1262" t="s">
        <v>181</v>
      </c>
      <c r="E1262" s="20" t="s">
        <v>313</v>
      </c>
      <c r="F1262" s="20" t="s">
        <v>314</v>
      </c>
      <c r="G1262" s="20" t="s">
        <v>221</v>
      </c>
      <c r="H1262" s="20" t="s">
        <v>192</v>
      </c>
      <c r="I1262" s="20" t="s">
        <v>167</v>
      </c>
      <c r="J1262" s="15">
        <f>IFERROR(INDEX(Cost_Components!$K$2:$K$27,MATCH(E1262,Cost_Components!$A$2:$A$27,0)),"")</f>
        <v>0.52</v>
      </c>
      <c r="K1262" s="15">
        <f t="shared" si="190"/>
        <v>0.55500000000000005</v>
      </c>
      <c r="L1262" s="15">
        <f>IFERROR(INDEX(Cost_Components!$S$2:$S$27,MATCH(E1262,Cost_Components!$A$2:$A$27,0)),"")</f>
        <v>0.31</v>
      </c>
      <c r="M1262" s="26">
        <f>IFERROR(INDEX(Cost_Components!$L$2:$L$27,MATCH(E1262,Cost_Components!$A$2:$A$27,0)),"")</f>
        <v>1</v>
      </c>
      <c r="N1262" s="27">
        <f>IFERROR(INDEX(Cost_Components!$P$2:$P$27,MATCH(E1262,Cost_Components!$A$2:$A$27,0)),"")</f>
        <v>186.479792</v>
      </c>
      <c r="O1262" s="21">
        <f t="shared" si="191"/>
        <v>253447.15442680818</v>
      </c>
      <c r="P1262" s="21">
        <f t="shared" si="192"/>
        <v>280585.90390502365</v>
      </c>
      <c r="Q1262" s="21">
        <f t="shared" si="193"/>
        <v>16220316.309485646</v>
      </c>
      <c r="R1262" s="21">
        <f t="shared" si="194"/>
        <v>26230838.815479208</v>
      </c>
      <c r="S1262" s="21">
        <f t="shared" si="195"/>
        <v>10010522.505993562</v>
      </c>
      <c r="T1262" s="14">
        <f>IFERROR(INDEX(Cost_Components!$R$2:$R$27,MATCH(E1262,Cost_Components!$A$2:$A$27,0)),"")</f>
        <v>1</v>
      </c>
      <c r="U1262" s="24">
        <f>IFERROR(INDEX(Cost_Components!$Q$2:$Q$27,MATCH(E1262,Cost_Components!$A$2:$A$27,0)),"")</f>
        <v>2023</v>
      </c>
      <c r="V1262" s="28">
        <f>1/(1+Calculation_Assumptions!$B$5)^(B1262-Calculation_Assumptions!$B$2)</f>
        <v>0.70137988019297326</v>
      </c>
      <c r="W1262" s="21">
        <f t="shared" si="196"/>
        <v>11376603.509839173</v>
      </c>
      <c r="X1262" s="21">
        <f t="shared" si="197"/>
        <v>18397782.585761998</v>
      </c>
      <c r="Y1262" s="21">
        <f t="shared" si="198"/>
        <v>7021179.0759228272</v>
      </c>
      <c r="Z1262" s="15">
        <f>IFERROR(INDEX(Cost_Components!$T$2:$T$27,MATCH(E1262,Cost_Components!$A$2:$A$27,0)),"")</f>
        <v>0.8</v>
      </c>
      <c r="AA1262" s="24">
        <f>IFERROR(INDEX(Cost_Components!$U$2:$U$27,MATCH(E1262,Cost_Components!$A$2:$A$27,0)),"")</f>
        <v>2025</v>
      </c>
      <c r="AB1262" s="24">
        <f>IFERROR(INDEX(Cost_Components!$V$2:$V$27,MATCH(E1262,Cost_Components!$A$2:$A$27,0)),"")</f>
        <v>2050</v>
      </c>
      <c r="AC1262" s="24">
        <f>IFERROR(INDEX(Cost_Components!$M$2:$M$27,MATCH(E1262,Cost_Components!$A$2:$A$27,0)),"")</f>
        <v>30</v>
      </c>
      <c r="AD1262" s="24">
        <f>IFERROR(INDEX(Cost_Components!$N$2:$N$27,MATCH(E1262,Cost_Components!$A$2:$A$27,0)),"")</f>
        <v>95</v>
      </c>
      <c r="AE1262" s="14" t="str">
        <f>IFERROR(INDEX(Cost_Components!$O$2:$O$27,MATCH(E1262,Cost_Components!$A$2:$A$27,0)),"")</f>
        <v>Both</v>
      </c>
      <c r="AF1262" s="11">
        <v>487398.37389770802</v>
      </c>
      <c r="AG1262" s="11">
        <v>539588.27674043004</v>
      </c>
      <c r="AH1262" s="21">
        <f t="shared" si="199"/>
        <v>1</v>
      </c>
    </row>
    <row r="1263" spans="1:34" hidden="1">
      <c r="A1263" t="s">
        <v>75</v>
      </c>
      <c r="B1263" s="18">
        <v>2038</v>
      </c>
      <c r="C1263" t="s">
        <v>217</v>
      </c>
      <c r="D1263" t="s">
        <v>181</v>
      </c>
      <c r="E1263" s="20" t="s">
        <v>313</v>
      </c>
      <c r="F1263" s="20" t="s">
        <v>314</v>
      </c>
      <c r="G1263" s="20" t="s">
        <v>221</v>
      </c>
      <c r="H1263" s="20" t="s">
        <v>192</v>
      </c>
      <c r="I1263" s="20" t="s">
        <v>167</v>
      </c>
      <c r="J1263" s="15">
        <f>IFERROR(INDEX(Cost_Components!$K$2:$K$27,MATCH(E1263,Cost_Components!$A$2:$A$27,0)),"")</f>
        <v>0.52</v>
      </c>
      <c r="K1263" s="15">
        <f t="shared" si="190"/>
        <v>0.57384615384615389</v>
      </c>
      <c r="L1263" s="15">
        <f>IFERROR(INDEX(Cost_Components!$S$2:$S$27,MATCH(E1263,Cost_Components!$A$2:$A$27,0)),"")</f>
        <v>0.31</v>
      </c>
      <c r="M1263" s="26">
        <f>IFERROR(INDEX(Cost_Components!$L$2:$L$27,MATCH(E1263,Cost_Components!$A$2:$A$27,0)),"")</f>
        <v>1</v>
      </c>
      <c r="N1263" s="27">
        <f>IFERROR(INDEX(Cost_Components!$P$2:$P$27,MATCH(E1263,Cost_Components!$A$2:$A$27,0)),"")</f>
        <v>186.479792</v>
      </c>
      <c r="O1263" s="21">
        <f t="shared" si="191"/>
        <v>257397.56844795137</v>
      </c>
      <c r="P1263" s="21">
        <f t="shared" si="192"/>
        <v>286919.87409543328</v>
      </c>
      <c r="Q1263" s="21">
        <f t="shared" si="193"/>
        <v>16586475.117014604</v>
      </c>
      <c r="R1263" s="21">
        <f t="shared" si="194"/>
        <v>27544296.91462145</v>
      </c>
      <c r="S1263" s="21">
        <f t="shared" si="195"/>
        <v>10957821.797606846</v>
      </c>
      <c r="T1263" s="14">
        <f>IFERROR(INDEX(Cost_Components!$R$2:$R$27,MATCH(E1263,Cost_Components!$A$2:$A$27,0)),"")</f>
        <v>1</v>
      </c>
      <c r="U1263" s="24">
        <f>IFERROR(INDEX(Cost_Components!$Q$2:$Q$27,MATCH(E1263,Cost_Components!$A$2:$A$27,0)),"")</f>
        <v>2023</v>
      </c>
      <c r="V1263" s="28">
        <f>1/(1+Calculation_Assumptions!$B$5)^(B1263-Calculation_Assumptions!$B$2)</f>
        <v>0.68095133999317792</v>
      </c>
      <c r="W1263" s="21">
        <f t="shared" si="196"/>
        <v>11294582.456694597</v>
      </c>
      <c r="X1263" s="21">
        <f t="shared" si="197"/>
        <v>18756325.893181432</v>
      </c>
      <c r="Y1263" s="21">
        <f t="shared" si="198"/>
        <v>7461743.4364868356</v>
      </c>
      <c r="Z1263" s="15">
        <f>IFERROR(INDEX(Cost_Components!$T$2:$T$27,MATCH(E1263,Cost_Components!$A$2:$A$27,0)),"")</f>
        <v>0.8</v>
      </c>
      <c r="AA1263" s="24">
        <f>IFERROR(INDEX(Cost_Components!$U$2:$U$27,MATCH(E1263,Cost_Components!$A$2:$A$27,0)),"")</f>
        <v>2025</v>
      </c>
      <c r="AB1263" s="24">
        <f>IFERROR(INDEX(Cost_Components!$V$2:$V$27,MATCH(E1263,Cost_Components!$A$2:$A$27,0)),"")</f>
        <v>2050</v>
      </c>
      <c r="AC1263" s="24">
        <f>IFERROR(INDEX(Cost_Components!$M$2:$M$27,MATCH(E1263,Cost_Components!$A$2:$A$27,0)),"")</f>
        <v>30</v>
      </c>
      <c r="AD1263" s="24">
        <f>IFERROR(INDEX(Cost_Components!$N$2:$N$27,MATCH(E1263,Cost_Components!$A$2:$A$27,0)),"")</f>
        <v>95</v>
      </c>
      <c r="AE1263" s="14" t="str">
        <f>IFERROR(INDEX(Cost_Components!$O$2:$O$27,MATCH(E1263,Cost_Components!$A$2:$A$27,0)),"")</f>
        <v>Both</v>
      </c>
      <c r="AF1263" s="11">
        <v>494995.323938368</v>
      </c>
      <c r="AG1263" s="11">
        <v>551768.98864506395</v>
      </c>
      <c r="AH1263" s="21">
        <f t="shared" si="199"/>
        <v>1</v>
      </c>
    </row>
    <row r="1264" spans="1:34" hidden="1">
      <c r="A1264" t="s">
        <v>75</v>
      </c>
      <c r="B1264" s="18">
        <v>2039</v>
      </c>
      <c r="C1264" t="s">
        <v>217</v>
      </c>
      <c r="D1264" t="s">
        <v>181</v>
      </c>
      <c r="E1264" s="20" t="s">
        <v>313</v>
      </c>
      <c r="F1264" s="20" t="s">
        <v>314</v>
      </c>
      <c r="G1264" s="20" t="s">
        <v>221</v>
      </c>
      <c r="H1264" s="20" t="s">
        <v>192</v>
      </c>
      <c r="I1264" s="20" t="s">
        <v>167</v>
      </c>
      <c r="J1264" s="15">
        <f>IFERROR(INDEX(Cost_Components!$K$2:$K$27,MATCH(E1264,Cost_Components!$A$2:$A$27,0)),"")</f>
        <v>0.52</v>
      </c>
      <c r="K1264" s="15">
        <f t="shared" si="190"/>
        <v>0.59269230769230763</v>
      </c>
      <c r="L1264" s="15">
        <f>IFERROR(INDEX(Cost_Components!$S$2:$S$27,MATCH(E1264,Cost_Components!$A$2:$A$27,0)),"")</f>
        <v>0.31</v>
      </c>
      <c r="M1264" s="26">
        <f>IFERROR(INDEX(Cost_Components!$L$2:$L$27,MATCH(E1264,Cost_Components!$A$2:$A$27,0)),"")</f>
        <v>1</v>
      </c>
      <c r="N1264" s="27">
        <f>IFERROR(INDEX(Cost_Components!$P$2:$P$27,MATCH(E1264,Cost_Components!$A$2:$A$27,0)),"")</f>
        <v>186.479792</v>
      </c>
      <c r="O1264" s="21">
        <f t="shared" si="191"/>
        <v>261267.13038439263</v>
      </c>
      <c r="P1264" s="21">
        <f t="shared" si="192"/>
        <v>293183.41122909903</v>
      </c>
      <c r="Q1264" s="21">
        <f t="shared" si="193"/>
        <v>16948562.278594382</v>
      </c>
      <c r="R1264" s="21">
        <f t="shared" si="194"/>
        <v>28876585.708126489</v>
      </c>
      <c r="S1264" s="21">
        <f t="shared" si="195"/>
        <v>11928023.429532107</v>
      </c>
      <c r="T1264" s="14">
        <f>IFERROR(INDEX(Cost_Components!$R$2:$R$27,MATCH(E1264,Cost_Components!$A$2:$A$27,0)),"")</f>
        <v>1</v>
      </c>
      <c r="U1264" s="24">
        <f>IFERROR(INDEX(Cost_Components!$Q$2:$Q$27,MATCH(E1264,Cost_Components!$A$2:$A$27,0)),"")</f>
        <v>2023</v>
      </c>
      <c r="V1264" s="28">
        <f>1/(1+Calculation_Assumptions!$B$5)^(B1264-Calculation_Assumptions!$B$2)</f>
        <v>0.66111780581861923</v>
      </c>
      <c r="W1264" s="21">
        <f t="shared" si="196"/>
        <v>11204996.305404535</v>
      </c>
      <c r="X1264" s="21">
        <f t="shared" si="197"/>
        <v>19090824.982889883</v>
      </c>
      <c r="Y1264" s="21">
        <f t="shared" si="198"/>
        <v>7885828.6774853477</v>
      </c>
      <c r="Z1264" s="15">
        <f>IFERROR(INDEX(Cost_Components!$T$2:$T$27,MATCH(E1264,Cost_Components!$A$2:$A$27,0)),"")</f>
        <v>0.8</v>
      </c>
      <c r="AA1264" s="24">
        <f>IFERROR(INDEX(Cost_Components!$U$2:$U$27,MATCH(E1264,Cost_Components!$A$2:$A$27,0)),"")</f>
        <v>2025</v>
      </c>
      <c r="AB1264" s="24">
        <f>IFERROR(INDEX(Cost_Components!$V$2:$V$27,MATCH(E1264,Cost_Components!$A$2:$A$27,0)),"")</f>
        <v>2050</v>
      </c>
      <c r="AC1264" s="24">
        <f>IFERROR(INDEX(Cost_Components!$M$2:$M$27,MATCH(E1264,Cost_Components!$A$2:$A$27,0)),"")</f>
        <v>30</v>
      </c>
      <c r="AD1264" s="24">
        <f>IFERROR(INDEX(Cost_Components!$N$2:$N$27,MATCH(E1264,Cost_Components!$A$2:$A$27,0)),"")</f>
        <v>95</v>
      </c>
      <c r="AE1264" s="14" t="str">
        <f>IFERROR(INDEX(Cost_Components!$O$2:$O$27,MATCH(E1264,Cost_Components!$A$2:$A$27,0)),"")</f>
        <v>Both</v>
      </c>
      <c r="AF1264" s="11">
        <v>502436.78920075501</v>
      </c>
      <c r="AG1264" s="11">
        <v>563814.25236365199</v>
      </c>
      <c r="AH1264" s="21">
        <f t="shared" si="199"/>
        <v>1</v>
      </c>
    </row>
    <row r="1265" spans="1:34" hidden="1">
      <c r="A1265" t="s">
        <v>75</v>
      </c>
      <c r="B1265" s="18">
        <v>2040</v>
      </c>
      <c r="C1265" t="s">
        <v>217</v>
      </c>
      <c r="D1265" t="s">
        <v>181</v>
      </c>
      <c r="E1265" s="20" t="s">
        <v>313</v>
      </c>
      <c r="F1265" s="20" t="s">
        <v>314</v>
      </c>
      <c r="G1265" s="20" t="s">
        <v>221</v>
      </c>
      <c r="H1265" s="20" t="s">
        <v>192</v>
      </c>
      <c r="I1265" s="20" t="s">
        <v>167</v>
      </c>
      <c r="J1265" s="15">
        <f>IFERROR(INDEX(Cost_Components!$K$2:$K$27,MATCH(E1265,Cost_Components!$A$2:$A$27,0)),"")</f>
        <v>0.52</v>
      </c>
      <c r="K1265" s="15">
        <f t="shared" si="190"/>
        <v>0.61153846153846159</v>
      </c>
      <c r="L1265" s="15">
        <f>IFERROR(INDEX(Cost_Components!$S$2:$S$27,MATCH(E1265,Cost_Components!$A$2:$A$27,0)),"")</f>
        <v>0.31</v>
      </c>
      <c r="M1265" s="26">
        <f>IFERROR(INDEX(Cost_Components!$L$2:$L$27,MATCH(E1265,Cost_Components!$A$2:$A$27,0)),"")</f>
        <v>1</v>
      </c>
      <c r="N1265" s="27">
        <f>IFERROR(INDEX(Cost_Components!$P$2:$P$27,MATCH(E1265,Cost_Components!$A$2:$A$27,0)),"")</f>
        <v>186.479792</v>
      </c>
      <c r="O1265" s="21">
        <f t="shared" si="191"/>
        <v>265103.58717404742</v>
      </c>
      <c r="P1265" s="21">
        <f t="shared" si="192"/>
        <v>299420.23489974596</v>
      </c>
      <c r="Q1265" s="21">
        <f t="shared" si="193"/>
        <v>17309105.16865569</v>
      </c>
      <c r="R1265" s="21">
        <f t="shared" si="194"/>
        <v>30232297.789817568</v>
      </c>
      <c r="S1265" s="21">
        <f t="shared" si="195"/>
        <v>12923192.621161878</v>
      </c>
      <c r="T1265" s="14">
        <f>IFERROR(INDEX(Cost_Components!$R$2:$R$27,MATCH(E1265,Cost_Components!$A$2:$A$27,0)),"")</f>
        <v>1</v>
      </c>
      <c r="U1265" s="24">
        <f>IFERROR(INDEX(Cost_Components!$Q$2:$Q$27,MATCH(E1265,Cost_Components!$A$2:$A$27,0)),"")</f>
        <v>2023</v>
      </c>
      <c r="V1265" s="28">
        <f>1/(1+Calculation_Assumptions!$B$5)^(B1265-Calculation_Assumptions!$B$2)</f>
        <v>0.64186194739671765</v>
      </c>
      <c r="W1265" s="21">
        <f t="shared" si="196"/>
        <v>11110055.951247932</v>
      </c>
      <c r="X1265" s="21">
        <f t="shared" si="197"/>
        <v>19404961.533649787</v>
      </c>
      <c r="Y1265" s="21">
        <f t="shared" si="198"/>
        <v>8294905.5824018549</v>
      </c>
      <c r="Z1265" s="15">
        <f>IFERROR(INDEX(Cost_Components!$T$2:$T$27,MATCH(E1265,Cost_Components!$A$2:$A$27,0)),"")</f>
        <v>0.8</v>
      </c>
      <c r="AA1265" s="24">
        <f>IFERROR(INDEX(Cost_Components!$U$2:$U$27,MATCH(E1265,Cost_Components!$A$2:$A$27,0)),"")</f>
        <v>2025</v>
      </c>
      <c r="AB1265" s="24">
        <f>IFERROR(INDEX(Cost_Components!$V$2:$V$27,MATCH(E1265,Cost_Components!$A$2:$A$27,0)),"")</f>
        <v>2050</v>
      </c>
      <c r="AC1265" s="24">
        <f>IFERROR(INDEX(Cost_Components!$M$2:$M$27,MATCH(E1265,Cost_Components!$A$2:$A$27,0)),"")</f>
        <v>30</v>
      </c>
      <c r="AD1265" s="24">
        <f>IFERROR(INDEX(Cost_Components!$N$2:$N$27,MATCH(E1265,Cost_Components!$A$2:$A$27,0)),"")</f>
        <v>95</v>
      </c>
      <c r="AE1265" s="14" t="str">
        <f>IFERROR(INDEX(Cost_Components!$O$2:$O$27,MATCH(E1265,Cost_Components!$A$2:$A$27,0)),"")</f>
        <v>Both</v>
      </c>
      <c r="AF1265" s="11">
        <v>509814.59071932198</v>
      </c>
      <c r="AG1265" s="11">
        <v>575808.14403797302</v>
      </c>
      <c r="AH1265" s="21">
        <f t="shared" si="199"/>
        <v>1</v>
      </c>
    </row>
    <row r="1266" spans="1:34" hidden="1">
      <c r="A1266" t="s">
        <v>75</v>
      </c>
      <c r="B1266" s="18">
        <v>2041</v>
      </c>
      <c r="C1266" t="s">
        <v>217</v>
      </c>
      <c r="D1266" t="s">
        <v>181</v>
      </c>
      <c r="E1266" s="20" t="s">
        <v>313</v>
      </c>
      <c r="F1266" s="20" t="s">
        <v>314</v>
      </c>
      <c r="G1266" s="20" t="s">
        <v>221</v>
      </c>
      <c r="H1266" s="20" t="s">
        <v>192</v>
      </c>
      <c r="I1266" s="20" t="s">
        <v>167</v>
      </c>
      <c r="J1266" s="15">
        <f>IFERROR(INDEX(Cost_Components!$K$2:$K$27,MATCH(E1266,Cost_Components!$A$2:$A$27,0)),"")</f>
        <v>0.52</v>
      </c>
      <c r="K1266" s="15">
        <f t="shared" si="190"/>
        <v>0.63038461538461543</v>
      </c>
      <c r="L1266" s="15">
        <f>IFERROR(INDEX(Cost_Components!$S$2:$S$27,MATCH(E1266,Cost_Components!$A$2:$A$27,0)),"")</f>
        <v>0.31</v>
      </c>
      <c r="M1266" s="26">
        <f>IFERROR(INDEX(Cost_Components!$L$2:$L$27,MATCH(E1266,Cost_Components!$A$2:$A$27,0)),"")</f>
        <v>1</v>
      </c>
      <c r="N1266" s="27">
        <f>IFERROR(INDEX(Cost_Components!$P$2:$P$27,MATCH(E1266,Cost_Components!$A$2:$A$27,0)),"")</f>
        <v>186.479792</v>
      </c>
      <c r="O1266" s="21">
        <f t="shared" si="191"/>
        <v>268881.22230085271</v>
      </c>
      <c r="P1266" s="21">
        <f t="shared" si="192"/>
        <v>305594.41715631139</v>
      </c>
      <c r="Q1266" s="21">
        <f t="shared" si="193"/>
        <v>17666026.837777756</v>
      </c>
      <c r="R1266" s="21">
        <f t="shared" si="194"/>
        <v>31608061.043722089</v>
      </c>
      <c r="S1266" s="21">
        <f t="shared" si="195"/>
        <v>13942034.205944333</v>
      </c>
      <c r="T1266" s="14">
        <f>IFERROR(INDEX(Cost_Components!$R$2:$R$27,MATCH(E1266,Cost_Components!$A$2:$A$27,0)),"")</f>
        <v>1</v>
      </c>
      <c r="U1266" s="24">
        <f>IFERROR(INDEX(Cost_Components!$Q$2:$Q$27,MATCH(E1266,Cost_Components!$A$2:$A$27,0)),"")</f>
        <v>2023</v>
      </c>
      <c r="V1266" s="28">
        <f>1/(1+Calculation_Assumptions!$B$5)^(B1266-Calculation_Assumptions!$B$2)</f>
        <v>0.62316693922011435</v>
      </c>
      <c r="W1266" s="21">
        <f t="shared" si="196"/>
        <v>11008883.87267836</v>
      </c>
      <c r="X1266" s="21">
        <f t="shared" si="197"/>
        <v>19697098.655298829</v>
      </c>
      <c r="Y1266" s="21">
        <f t="shared" si="198"/>
        <v>8688214.7826204672</v>
      </c>
      <c r="Z1266" s="15">
        <f>IFERROR(INDEX(Cost_Components!$T$2:$T$27,MATCH(E1266,Cost_Components!$A$2:$A$27,0)),"")</f>
        <v>0.8</v>
      </c>
      <c r="AA1266" s="24">
        <f>IFERROR(INDEX(Cost_Components!$U$2:$U$27,MATCH(E1266,Cost_Components!$A$2:$A$27,0)),"")</f>
        <v>2025</v>
      </c>
      <c r="AB1266" s="24">
        <f>IFERROR(INDEX(Cost_Components!$V$2:$V$27,MATCH(E1266,Cost_Components!$A$2:$A$27,0)),"")</f>
        <v>2050</v>
      </c>
      <c r="AC1266" s="24">
        <f>IFERROR(INDEX(Cost_Components!$M$2:$M$27,MATCH(E1266,Cost_Components!$A$2:$A$27,0)),"")</f>
        <v>30</v>
      </c>
      <c r="AD1266" s="24">
        <f>IFERROR(INDEX(Cost_Components!$N$2:$N$27,MATCH(E1266,Cost_Components!$A$2:$A$27,0)),"")</f>
        <v>95</v>
      </c>
      <c r="AE1266" s="14" t="str">
        <f>IFERROR(INDEX(Cost_Components!$O$2:$O$27,MATCH(E1266,Cost_Components!$A$2:$A$27,0)),"")</f>
        <v>Both</v>
      </c>
      <c r="AF1266" s="11">
        <v>517079.273655486</v>
      </c>
      <c r="AG1266" s="11">
        <v>587681.57145444502</v>
      </c>
      <c r="AH1266" s="21">
        <f t="shared" si="199"/>
        <v>1</v>
      </c>
    </row>
    <row r="1267" spans="1:34" hidden="1">
      <c r="A1267" t="s">
        <v>75</v>
      </c>
      <c r="B1267" s="18">
        <v>2042</v>
      </c>
      <c r="C1267" t="s">
        <v>217</v>
      </c>
      <c r="D1267" t="s">
        <v>181</v>
      </c>
      <c r="E1267" s="20" t="s">
        <v>313</v>
      </c>
      <c r="F1267" s="20" t="s">
        <v>314</v>
      </c>
      <c r="G1267" s="20" t="s">
        <v>221</v>
      </c>
      <c r="H1267" s="20" t="s">
        <v>192</v>
      </c>
      <c r="I1267" s="20" t="s">
        <v>167</v>
      </c>
      <c r="J1267" s="15">
        <f>IFERROR(INDEX(Cost_Components!$K$2:$K$27,MATCH(E1267,Cost_Components!$A$2:$A$27,0)),"")</f>
        <v>0.52</v>
      </c>
      <c r="K1267" s="15">
        <f t="shared" si="190"/>
        <v>0.64923076923076928</v>
      </c>
      <c r="L1267" s="15">
        <f>IFERROR(INDEX(Cost_Components!$S$2:$S$27,MATCH(E1267,Cost_Components!$A$2:$A$27,0)),"")</f>
        <v>0.31</v>
      </c>
      <c r="M1267" s="26">
        <f>IFERROR(INDEX(Cost_Components!$L$2:$L$27,MATCH(E1267,Cost_Components!$A$2:$A$27,0)),"")</f>
        <v>1</v>
      </c>
      <c r="N1267" s="27">
        <f>IFERROR(INDEX(Cost_Components!$P$2:$P$27,MATCH(E1267,Cost_Components!$A$2:$A$27,0)),"")</f>
        <v>186.479792</v>
      </c>
      <c r="O1267" s="21">
        <f t="shared" si="191"/>
        <v>272541.86335099308</v>
      </c>
      <c r="P1267" s="21">
        <f t="shared" si="192"/>
        <v>311633.14190915506</v>
      </c>
      <c r="Q1267" s="21">
        <f t="shared" si="193"/>
        <v>18015117.879892971</v>
      </c>
      <c r="R1267" s="21">
        <f t="shared" si="194"/>
        <v>32996212.454387587</v>
      </c>
      <c r="S1267" s="21">
        <f t="shared" si="195"/>
        <v>14981094.574494615</v>
      </c>
      <c r="T1267" s="14">
        <f>IFERROR(INDEX(Cost_Components!$R$2:$R$27,MATCH(E1267,Cost_Components!$A$2:$A$27,0)),"")</f>
        <v>1</v>
      </c>
      <c r="U1267" s="24">
        <f>IFERROR(INDEX(Cost_Components!$Q$2:$Q$27,MATCH(E1267,Cost_Components!$A$2:$A$27,0)),"")</f>
        <v>2023</v>
      </c>
      <c r="V1267" s="28">
        <f>1/(1+Calculation_Assumptions!$B$5)^(B1267-Calculation_Assumptions!$B$2)</f>
        <v>0.60501644584477121</v>
      </c>
      <c r="W1267" s="21">
        <f t="shared" si="196"/>
        <v>10899442.591167435</v>
      </c>
      <c r="X1267" s="21">
        <f t="shared" si="197"/>
        <v>19963251.185492553</v>
      </c>
      <c r="Y1267" s="21">
        <f t="shared" si="198"/>
        <v>9063808.5943251178</v>
      </c>
      <c r="Z1267" s="15">
        <f>IFERROR(INDEX(Cost_Components!$T$2:$T$27,MATCH(E1267,Cost_Components!$A$2:$A$27,0)),"")</f>
        <v>0.8</v>
      </c>
      <c r="AA1267" s="24">
        <f>IFERROR(INDEX(Cost_Components!$U$2:$U$27,MATCH(E1267,Cost_Components!$A$2:$A$27,0)),"")</f>
        <v>2025</v>
      </c>
      <c r="AB1267" s="24">
        <f>IFERROR(INDEX(Cost_Components!$V$2:$V$27,MATCH(E1267,Cost_Components!$A$2:$A$27,0)),"")</f>
        <v>2050</v>
      </c>
      <c r="AC1267" s="24">
        <f>IFERROR(INDEX(Cost_Components!$M$2:$M$27,MATCH(E1267,Cost_Components!$A$2:$A$27,0)),"")</f>
        <v>30</v>
      </c>
      <c r="AD1267" s="24">
        <f>IFERROR(INDEX(Cost_Components!$N$2:$N$27,MATCH(E1267,Cost_Components!$A$2:$A$27,0)),"")</f>
        <v>95</v>
      </c>
      <c r="AE1267" s="14" t="str">
        <f>IFERROR(INDEX(Cost_Components!$O$2:$O$27,MATCH(E1267,Cost_Components!$A$2:$A$27,0)),"")</f>
        <v>Both</v>
      </c>
      <c r="AF1267" s="11">
        <v>524118.96798267902</v>
      </c>
      <c r="AG1267" s="11">
        <v>599294.50367145205</v>
      </c>
      <c r="AH1267" s="21">
        <f t="shared" si="199"/>
        <v>1</v>
      </c>
    </row>
    <row r="1268" spans="1:34" hidden="1">
      <c r="A1268" t="s">
        <v>75</v>
      </c>
      <c r="B1268" s="18">
        <v>2043</v>
      </c>
      <c r="C1268" t="s">
        <v>217</v>
      </c>
      <c r="D1268" t="s">
        <v>181</v>
      </c>
      <c r="E1268" s="20" t="s">
        <v>313</v>
      </c>
      <c r="F1268" s="20" t="s">
        <v>314</v>
      </c>
      <c r="G1268" s="20" t="s">
        <v>221</v>
      </c>
      <c r="H1268" s="20" t="s">
        <v>192</v>
      </c>
      <c r="I1268" s="20" t="s">
        <v>167</v>
      </c>
      <c r="J1268" s="15">
        <f>IFERROR(INDEX(Cost_Components!$K$2:$K$27,MATCH(E1268,Cost_Components!$A$2:$A$27,0)),"")</f>
        <v>0.52</v>
      </c>
      <c r="K1268" s="15">
        <f t="shared" si="190"/>
        <v>0.66807692307692301</v>
      </c>
      <c r="L1268" s="15">
        <f>IFERROR(INDEX(Cost_Components!$S$2:$S$27,MATCH(E1268,Cost_Components!$A$2:$A$27,0)),"")</f>
        <v>0.31</v>
      </c>
      <c r="M1268" s="26">
        <f>IFERROR(INDEX(Cost_Components!$L$2:$L$27,MATCH(E1268,Cost_Components!$A$2:$A$27,0)),"")</f>
        <v>1</v>
      </c>
      <c r="N1268" s="27">
        <f>IFERROR(INDEX(Cost_Components!$P$2:$P$27,MATCH(E1268,Cost_Components!$A$2:$A$27,0)),"")</f>
        <v>186.479792</v>
      </c>
      <c r="O1268" s="21">
        <f t="shared" si="191"/>
        <v>276105.39729904407</v>
      </c>
      <c r="P1268" s="21">
        <f t="shared" si="192"/>
        <v>317559.22980712372</v>
      </c>
      <c r="Q1268" s="21">
        <f t="shared" si="193"/>
        <v>18357697.527854916</v>
      </c>
      <c r="R1268" s="21">
        <f t="shared" si="194"/>
        <v>34397996.09632545</v>
      </c>
      <c r="S1268" s="21">
        <f t="shared" si="195"/>
        <v>16040298.568470534</v>
      </c>
      <c r="T1268" s="14">
        <f>IFERROR(INDEX(Cost_Components!$R$2:$R$27,MATCH(E1268,Cost_Components!$A$2:$A$27,0)),"")</f>
        <v>1</v>
      </c>
      <c r="U1268" s="24">
        <f>IFERROR(INDEX(Cost_Components!$Q$2:$Q$27,MATCH(E1268,Cost_Components!$A$2:$A$27,0)),"")</f>
        <v>2023</v>
      </c>
      <c r="V1268" s="28">
        <f>1/(1+Calculation_Assumptions!$B$5)^(B1268-Calculation_Assumptions!$B$2)</f>
        <v>0.5873946076162827</v>
      </c>
      <c r="W1268" s="21">
        <f t="shared" si="196"/>
        <v>10783212.536112741</v>
      </c>
      <c r="X1268" s="21">
        <f t="shared" si="197"/>
        <v>20205197.419787511</v>
      </c>
      <c r="Y1268" s="21">
        <f t="shared" si="198"/>
        <v>9421984.8836747706</v>
      </c>
      <c r="Z1268" s="15">
        <f>IFERROR(INDEX(Cost_Components!$T$2:$T$27,MATCH(E1268,Cost_Components!$A$2:$A$27,0)),"")</f>
        <v>0.8</v>
      </c>
      <c r="AA1268" s="24">
        <f>IFERROR(INDEX(Cost_Components!$U$2:$U$27,MATCH(E1268,Cost_Components!$A$2:$A$27,0)),"")</f>
        <v>2025</v>
      </c>
      <c r="AB1268" s="24">
        <f>IFERROR(INDEX(Cost_Components!$V$2:$V$27,MATCH(E1268,Cost_Components!$A$2:$A$27,0)),"")</f>
        <v>2050</v>
      </c>
      <c r="AC1268" s="24">
        <f>IFERROR(INDEX(Cost_Components!$M$2:$M$27,MATCH(E1268,Cost_Components!$A$2:$A$27,0)),"")</f>
        <v>30</v>
      </c>
      <c r="AD1268" s="24">
        <f>IFERROR(INDEX(Cost_Components!$N$2:$N$27,MATCH(E1268,Cost_Components!$A$2:$A$27,0)),"")</f>
        <v>95</v>
      </c>
      <c r="AE1268" s="14" t="str">
        <f>IFERROR(INDEX(Cost_Components!$O$2:$O$27,MATCH(E1268,Cost_Components!$A$2:$A$27,0)),"")</f>
        <v>Both</v>
      </c>
      <c r="AF1268" s="11">
        <v>530971.91788277705</v>
      </c>
      <c r="AG1268" s="11">
        <v>610690.82655216102</v>
      </c>
      <c r="AH1268" s="21">
        <f t="shared" si="199"/>
        <v>1</v>
      </c>
    </row>
    <row r="1269" spans="1:34" hidden="1">
      <c r="A1269" t="s">
        <v>75</v>
      </c>
      <c r="B1269" s="18">
        <v>2044</v>
      </c>
      <c r="C1269" t="s">
        <v>217</v>
      </c>
      <c r="D1269" t="s">
        <v>181</v>
      </c>
      <c r="E1269" s="20" t="s">
        <v>313</v>
      </c>
      <c r="F1269" s="20" t="s">
        <v>314</v>
      </c>
      <c r="G1269" s="20" t="s">
        <v>221</v>
      </c>
      <c r="H1269" s="20" t="s">
        <v>192</v>
      </c>
      <c r="I1269" s="20" t="s">
        <v>167</v>
      </c>
      <c r="J1269" s="15">
        <f>IFERROR(INDEX(Cost_Components!$K$2:$K$27,MATCH(E1269,Cost_Components!$A$2:$A$27,0)),"")</f>
        <v>0.52</v>
      </c>
      <c r="K1269" s="15">
        <f t="shared" si="190"/>
        <v>0.68692307692307697</v>
      </c>
      <c r="L1269" s="15">
        <f>IFERROR(INDEX(Cost_Components!$S$2:$S$27,MATCH(E1269,Cost_Components!$A$2:$A$27,0)),"")</f>
        <v>0.31</v>
      </c>
      <c r="M1269" s="26">
        <f>IFERROR(INDEX(Cost_Components!$L$2:$L$27,MATCH(E1269,Cost_Components!$A$2:$A$27,0)),"")</f>
        <v>1</v>
      </c>
      <c r="N1269" s="27">
        <f>IFERROR(INDEX(Cost_Components!$P$2:$P$27,MATCH(E1269,Cost_Components!$A$2:$A$27,0)),"")</f>
        <v>186.479792</v>
      </c>
      <c r="O1269" s="21">
        <f t="shared" si="191"/>
        <v>279568.9826228614</v>
      </c>
      <c r="P1269" s="21">
        <f t="shared" si="192"/>
        <v>323364.78795374313</v>
      </c>
      <c r="Q1269" s="21">
        <f t="shared" si="193"/>
        <v>18693309.503298819</v>
      </c>
      <c r="R1269" s="21">
        <f t="shared" si="194"/>
        <v>35812024.150878757</v>
      </c>
      <c r="S1269" s="21">
        <f t="shared" si="195"/>
        <v>17118714.647579938</v>
      </c>
      <c r="T1269" s="14">
        <f>IFERROR(INDEX(Cost_Components!$R$2:$R$27,MATCH(E1269,Cost_Components!$A$2:$A$27,0)),"")</f>
        <v>1</v>
      </c>
      <c r="U1269" s="24">
        <f>IFERROR(INDEX(Cost_Components!$Q$2:$Q$27,MATCH(E1269,Cost_Components!$A$2:$A$27,0)),"")</f>
        <v>2023</v>
      </c>
      <c r="V1269" s="28">
        <f>1/(1+Calculation_Assumptions!$B$5)^(B1269-Calculation_Assumptions!$B$2)</f>
        <v>0.57028602681192497</v>
      </c>
      <c r="W1269" s="21">
        <f t="shared" si="196"/>
        <v>10660533.204601882</v>
      </c>
      <c r="X1269" s="21">
        <f t="shared" si="197"/>
        <v>20423096.965097349</v>
      </c>
      <c r="Y1269" s="21">
        <f t="shared" si="198"/>
        <v>9762563.7604954652</v>
      </c>
      <c r="Z1269" s="15">
        <f>IFERROR(INDEX(Cost_Components!$T$2:$T$27,MATCH(E1269,Cost_Components!$A$2:$A$27,0)),"")</f>
        <v>0.8</v>
      </c>
      <c r="AA1269" s="24">
        <f>IFERROR(INDEX(Cost_Components!$U$2:$U$27,MATCH(E1269,Cost_Components!$A$2:$A$27,0)),"")</f>
        <v>2025</v>
      </c>
      <c r="AB1269" s="24">
        <f>IFERROR(INDEX(Cost_Components!$V$2:$V$27,MATCH(E1269,Cost_Components!$A$2:$A$27,0)),"")</f>
        <v>2050</v>
      </c>
      <c r="AC1269" s="24">
        <f>IFERROR(INDEX(Cost_Components!$M$2:$M$27,MATCH(E1269,Cost_Components!$A$2:$A$27,0)),"")</f>
        <v>30</v>
      </c>
      <c r="AD1269" s="24">
        <f>IFERROR(INDEX(Cost_Components!$N$2:$N$27,MATCH(E1269,Cost_Components!$A$2:$A$27,0)),"")</f>
        <v>95</v>
      </c>
      <c r="AE1269" s="14" t="str">
        <f>IFERROR(INDEX(Cost_Components!$O$2:$O$27,MATCH(E1269,Cost_Components!$A$2:$A$27,0)),"")</f>
        <v>Both</v>
      </c>
      <c r="AF1269" s="11">
        <v>537632.65889011801</v>
      </c>
      <c r="AG1269" s="11">
        <v>621855.36144950602</v>
      </c>
      <c r="AH1269" s="21">
        <f t="shared" si="199"/>
        <v>1</v>
      </c>
    </row>
    <row r="1270" spans="1:34" hidden="1">
      <c r="A1270" t="s">
        <v>75</v>
      </c>
      <c r="B1270" s="18">
        <v>2045</v>
      </c>
      <c r="C1270" t="s">
        <v>217</v>
      </c>
      <c r="D1270" t="s">
        <v>181</v>
      </c>
      <c r="E1270" s="20" t="s">
        <v>313</v>
      </c>
      <c r="F1270" s="20" t="s">
        <v>314</v>
      </c>
      <c r="G1270" s="20" t="s">
        <v>221</v>
      </c>
      <c r="H1270" s="20" t="s">
        <v>192</v>
      </c>
      <c r="I1270" s="20" t="s">
        <v>167</v>
      </c>
      <c r="J1270" s="15">
        <f>IFERROR(INDEX(Cost_Components!$K$2:$K$27,MATCH(E1270,Cost_Components!$A$2:$A$27,0)),"")</f>
        <v>0.52</v>
      </c>
      <c r="K1270" s="15">
        <f t="shared" si="190"/>
        <v>0.70576923076923082</v>
      </c>
      <c r="L1270" s="15">
        <f>IFERROR(INDEX(Cost_Components!$S$2:$S$27,MATCH(E1270,Cost_Components!$A$2:$A$27,0)),"")</f>
        <v>0.31</v>
      </c>
      <c r="M1270" s="26">
        <f>IFERROR(INDEX(Cost_Components!$L$2:$L$27,MATCH(E1270,Cost_Components!$A$2:$A$27,0)),"")</f>
        <v>1</v>
      </c>
      <c r="N1270" s="27">
        <f>IFERROR(INDEX(Cost_Components!$P$2:$P$27,MATCH(E1270,Cost_Components!$A$2:$A$27,0)),"")</f>
        <v>186.479792</v>
      </c>
      <c r="O1270" s="21">
        <f t="shared" si="191"/>
        <v>282876.69711381081</v>
      </c>
      <c r="P1270" s="21">
        <f t="shared" si="192"/>
        <v>328974.81033502077</v>
      </c>
      <c r="Q1270" s="21">
        <f t="shared" si="193"/>
        <v>19017617.803399377</v>
      </c>
      <c r="R1270" s="21">
        <f t="shared" si="194"/>
        <v>37229882.814751871</v>
      </c>
      <c r="S1270" s="21">
        <f t="shared" si="195"/>
        <v>18212265.011352494</v>
      </c>
      <c r="T1270" s="14">
        <f>IFERROR(INDEX(Cost_Components!$R$2:$R$27,MATCH(E1270,Cost_Components!$A$2:$A$27,0)),"")</f>
        <v>1</v>
      </c>
      <c r="U1270" s="24">
        <f>IFERROR(INDEX(Cost_Components!$Q$2:$Q$27,MATCH(E1270,Cost_Components!$A$2:$A$27,0)),"")</f>
        <v>2023</v>
      </c>
      <c r="V1270" s="28">
        <f>1/(1+Calculation_Assumptions!$B$5)^(B1270-Calculation_Assumptions!$B$2)</f>
        <v>0.55367575418633497</v>
      </c>
      <c r="W1270" s="21">
        <f t="shared" si="196"/>
        <v>10529593.880124621</v>
      </c>
      <c r="X1270" s="21">
        <f t="shared" si="197"/>
        <v>20613283.445726614</v>
      </c>
      <c r="Y1270" s="21">
        <f t="shared" si="198"/>
        <v>10083689.565601993</v>
      </c>
      <c r="Z1270" s="15">
        <f>IFERROR(INDEX(Cost_Components!$T$2:$T$27,MATCH(E1270,Cost_Components!$A$2:$A$27,0)),"")</f>
        <v>0.8</v>
      </c>
      <c r="AA1270" s="24">
        <f>IFERROR(INDEX(Cost_Components!$U$2:$U$27,MATCH(E1270,Cost_Components!$A$2:$A$27,0)),"")</f>
        <v>2025</v>
      </c>
      <c r="AB1270" s="24">
        <f>IFERROR(INDEX(Cost_Components!$V$2:$V$27,MATCH(E1270,Cost_Components!$A$2:$A$27,0)),"")</f>
        <v>2050</v>
      </c>
      <c r="AC1270" s="24">
        <f>IFERROR(INDEX(Cost_Components!$M$2:$M$27,MATCH(E1270,Cost_Components!$A$2:$A$27,0)),"")</f>
        <v>30</v>
      </c>
      <c r="AD1270" s="24">
        <f>IFERROR(INDEX(Cost_Components!$N$2:$N$27,MATCH(E1270,Cost_Components!$A$2:$A$27,0)),"")</f>
        <v>95</v>
      </c>
      <c r="AE1270" s="14" t="str">
        <f>IFERROR(INDEX(Cost_Components!$O$2:$O$27,MATCH(E1270,Cost_Components!$A$2:$A$27,0)),"")</f>
        <v>Both</v>
      </c>
      <c r="AF1270" s="11">
        <v>543993.64829578996</v>
      </c>
      <c r="AG1270" s="11">
        <v>632643.86602888606</v>
      </c>
      <c r="AH1270" s="21">
        <f t="shared" si="199"/>
        <v>1</v>
      </c>
    </row>
    <row r="1271" spans="1:34" hidden="1">
      <c r="A1271" t="s">
        <v>75</v>
      </c>
      <c r="B1271" s="18">
        <v>2046</v>
      </c>
      <c r="C1271" t="s">
        <v>217</v>
      </c>
      <c r="D1271" t="s">
        <v>181</v>
      </c>
      <c r="E1271" s="20" t="s">
        <v>313</v>
      </c>
      <c r="F1271" s="20" t="s">
        <v>314</v>
      </c>
      <c r="G1271" s="20" t="s">
        <v>221</v>
      </c>
      <c r="H1271" s="20" t="s">
        <v>192</v>
      </c>
      <c r="I1271" s="20" t="s">
        <v>167</v>
      </c>
      <c r="J1271" s="15">
        <f>IFERROR(INDEX(Cost_Components!$K$2:$K$27,MATCH(E1271,Cost_Components!$A$2:$A$27,0)),"")</f>
        <v>0.52</v>
      </c>
      <c r="K1271" s="15">
        <f t="shared" si="190"/>
        <v>0.72461538461538466</v>
      </c>
      <c r="L1271" s="15">
        <f>IFERROR(INDEX(Cost_Components!$S$2:$S$27,MATCH(E1271,Cost_Components!$A$2:$A$27,0)),"")</f>
        <v>0.31</v>
      </c>
      <c r="M1271" s="26">
        <f>IFERROR(INDEX(Cost_Components!$L$2:$L$27,MATCH(E1271,Cost_Components!$A$2:$A$27,0)),"")</f>
        <v>1</v>
      </c>
      <c r="N1271" s="27">
        <f>IFERROR(INDEX(Cost_Components!$P$2:$P$27,MATCH(E1271,Cost_Components!$A$2:$A$27,0)),"")</f>
        <v>186.479792</v>
      </c>
      <c r="O1271" s="21">
        <f t="shared" si="191"/>
        <v>286018.02447254711</v>
      </c>
      <c r="P1271" s="21">
        <f t="shared" si="192"/>
        <v>334364.7812489504</v>
      </c>
      <c r="Q1271" s="21">
        <f t="shared" si="193"/>
        <v>19329205.20642323</v>
      </c>
      <c r="R1271" s="21">
        <f t="shared" si="194"/>
        <v>38648507.671232149</v>
      </c>
      <c r="S1271" s="21">
        <f t="shared" si="195"/>
        <v>19319302.464808919</v>
      </c>
      <c r="T1271" s="14">
        <f>IFERROR(INDEX(Cost_Components!$R$2:$R$27,MATCH(E1271,Cost_Components!$A$2:$A$27,0)),"")</f>
        <v>1</v>
      </c>
      <c r="U1271" s="24">
        <f>IFERROR(INDEX(Cost_Components!$Q$2:$Q$27,MATCH(E1271,Cost_Components!$A$2:$A$27,0)),"")</f>
        <v>2023</v>
      </c>
      <c r="V1271" s="28">
        <f>1/(1+Calculation_Assumptions!$B$5)^(B1271-Calculation_Assumptions!$B$2)</f>
        <v>0.5375492759090631</v>
      </c>
      <c r="W1271" s="21">
        <f t="shared" si="196"/>
        <v>10390400.262610501</v>
      </c>
      <c r="X1271" s="21">
        <f t="shared" si="197"/>
        <v>20775477.313636713</v>
      </c>
      <c r="Y1271" s="21">
        <f t="shared" si="198"/>
        <v>10385077.051026212</v>
      </c>
      <c r="Z1271" s="15">
        <f>IFERROR(INDEX(Cost_Components!$T$2:$T$27,MATCH(E1271,Cost_Components!$A$2:$A$27,0)),"")</f>
        <v>0.8</v>
      </c>
      <c r="AA1271" s="24">
        <f>IFERROR(INDEX(Cost_Components!$U$2:$U$27,MATCH(E1271,Cost_Components!$A$2:$A$27,0)),"")</f>
        <v>2025</v>
      </c>
      <c r="AB1271" s="24">
        <f>IFERROR(INDEX(Cost_Components!$V$2:$V$27,MATCH(E1271,Cost_Components!$A$2:$A$27,0)),"")</f>
        <v>2050</v>
      </c>
      <c r="AC1271" s="24">
        <f>IFERROR(INDEX(Cost_Components!$M$2:$M$27,MATCH(E1271,Cost_Components!$A$2:$A$27,0)),"")</f>
        <v>30</v>
      </c>
      <c r="AD1271" s="24">
        <f>IFERROR(INDEX(Cost_Components!$N$2:$N$27,MATCH(E1271,Cost_Components!$A$2:$A$27,0)),"")</f>
        <v>95</v>
      </c>
      <c r="AE1271" s="14" t="str">
        <f>IFERROR(INDEX(Cost_Components!$O$2:$O$27,MATCH(E1271,Cost_Components!$A$2:$A$27,0)),"")</f>
        <v>Both</v>
      </c>
      <c r="AF1271" s="11">
        <v>550034.66244720598</v>
      </c>
      <c r="AG1271" s="11">
        <v>643009.19470951997</v>
      </c>
      <c r="AH1271" s="21">
        <f t="shared" si="199"/>
        <v>1</v>
      </c>
    </row>
    <row r="1272" spans="1:34" hidden="1">
      <c r="A1272" t="s">
        <v>75</v>
      </c>
      <c r="B1272" s="18">
        <v>2047</v>
      </c>
      <c r="C1272" t="s">
        <v>217</v>
      </c>
      <c r="D1272" t="s">
        <v>181</v>
      </c>
      <c r="E1272" s="20" t="s">
        <v>313</v>
      </c>
      <c r="F1272" s="20" t="s">
        <v>314</v>
      </c>
      <c r="G1272" s="20" t="s">
        <v>221</v>
      </c>
      <c r="H1272" s="20" t="s">
        <v>192</v>
      </c>
      <c r="I1272" s="20" t="s">
        <v>167</v>
      </c>
      <c r="J1272" s="15">
        <f>IFERROR(INDEX(Cost_Components!$K$2:$K$27,MATCH(E1272,Cost_Components!$A$2:$A$27,0)),"")</f>
        <v>0.52</v>
      </c>
      <c r="K1272" s="15">
        <f t="shared" si="190"/>
        <v>0.74346153846153851</v>
      </c>
      <c r="L1272" s="15">
        <f>IFERROR(INDEX(Cost_Components!$S$2:$S$27,MATCH(E1272,Cost_Components!$A$2:$A$27,0)),"")</f>
        <v>0.31</v>
      </c>
      <c r="M1272" s="26">
        <f>IFERROR(INDEX(Cost_Components!$L$2:$L$27,MATCH(E1272,Cost_Components!$A$2:$A$27,0)),"")</f>
        <v>1</v>
      </c>
      <c r="N1272" s="27">
        <f>IFERROR(INDEX(Cost_Components!$P$2:$P$27,MATCH(E1272,Cost_Components!$A$2:$A$27,0)),"")</f>
        <v>186.479792</v>
      </c>
      <c r="O1272" s="21">
        <f t="shared" si="191"/>
        <v>289003.94450979796</v>
      </c>
      <c r="P1272" s="21">
        <f t="shared" si="192"/>
        <v>339541.62808561377</v>
      </c>
      <c r="Q1272" s="21">
        <f t="shared" si="193"/>
        <v>19628472.176031452</v>
      </c>
      <c r="R1272" s="21">
        <f t="shared" si="194"/>
        <v>40067666.701136835</v>
      </c>
      <c r="S1272" s="21">
        <f t="shared" si="195"/>
        <v>20439194.525105383</v>
      </c>
      <c r="T1272" s="14">
        <f>IFERROR(INDEX(Cost_Components!$R$2:$R$27,MATCH(E1272,Cost_Components!$A$2:$A$27,0)),"")</f>
        <v>1</v>
      </c>
      <c r="U1272" s="24">
        <f>IFERROR(INDEX(Cost_Components!$Q$2:$Q$27,MATCH(E1272,Cost_Components!$A$2:$A$27,0)),"")</f>
        <v>2023</v>
      </c>
      <c r="V1272" s="28">
        <f>1/(1+Calculation_Assumptions!$B$5)^(B1272-Calculation_Assumptions!$B$2)</f>
        <v>0.52189250088258554</v>
      </c>
      <c r="W1272" s="21">
        <f t="shared" si="196"/>
        <v>10243952.432453301</v>
      </c>
      <c r="X1272" s="21">
        <f t="shared" si="197"/>
        <v>20911014.7791862</v>
      </c>
      <c r="Y1272" s="21">
        <f t="shared" si="198"/>
        <v>10667062.3467329</v>
      </c>
      <c r="Z1272" s="15">
        <f>IFERROR(INDEX(Cost_Components!$T$2:$T$27,MATCH(E1272,Cost_Components!$A$2:$A$27,0)),"")</f>
        <v>0.8</v>
      </c>
      <c r="AA1272" s="24">
        <f>IFERROR(INDEX(Cost_Components!$U$2:$U$27,MATCH(E1272,Cost_Components!$A$2:$A$27,0)),"")</f>
        <v>2025</v>
      </c>
      <c r="AB1272" s="24">
        <f>IFERROR(INDEX(Cost_Components!$V$2:$V$27,MATCH(E1272,Cost_Components!$A$2:$A$27,0)),"")</f>
        <v>2050</v>
      </c>
      <c r="AC1272" s="24">
        <f>IFERROR(INDEX(Cost_Components!$M$2:$M$27,MATCH(E1272,Cost_Components!$A$2:$A$27,0)),"")</f>
        <v>30</v>
      </c>
      <c r="AD1272" s="24">
        <f>IFERROR(INDEX(Cost_Components!$N$2:$N$27,MATCH(E1272,Cost_Components!$A$2:$A$27,0)),"")</f>
        <v>95</v>
      </c>
      <c r="AE1272" s="14" t="str">
        <f>IFERROR(INDEX(Cost_Components!$O$2:$O$27,MATCH(E1272,Cost_Components!$A$2:$A$27,0)),"")</f>
        <v>Both</v>
      </c>
      <c r="AF1272" s="11">
        <v>555776.81636499602</v>
      </c>
      <c r="AG1272" s="11">
        <v>652964.66939541104</v>
      </c>
      <c r="AH1272" s="21">
        <f t="shared" si="199"/>
        <v>1</v>
      </c>
    </row>
    <row r="1273" spans="1:34" hidden="1">
      <c r="A1273" t="s">
        <v>75</v>
      </c>
      <c r="B1273" s="18">
        <v>2048</v>
      </c>
      <c r="C1273" t="s">
        <v>217</v>
      </c>
      <c r="D1273" t="s">
        <v>181</v>
      </c>
      <c r="E1273" s="20" t="s">
        <v>313</v>
      </c>
      <c r="F1273" s="20" t="s">
        <v>314</v>
      </c>
      <c r="G1273" s="20" t="s">
        <v>221</v>
      </c>
      <c r="H1273" s="20" t="s">
        <v>192</v>
      </c>
      <c r="I1273" s="20" t="s">
        <v>167</v>
      </c>
      <c r="J1273" s="15">
        <f>IFERROR(INDEX(Cost_Components!$K$2:$K$27,MATCH(E1273,Cost_Components!$A$2:$A$27,0)),"")</f>
        <v>0.52</v>
      </c>
      <c r="K1273" s="15">
        <f t="shared" si="190"/>
        <v>0.76230769230769235</v>
      </c>
      <c r="L1273" s="15">
        <f>IFERROR(INDEX(Cost_Components!$S$2:$S$27,MATCH(E1273,Cost_Components!$A$2:$A$27,0)),"")</f>
        <v>0.31</v>
      </c>
      <c r="M1273" s="26">
        <f>IFERROR(INDEX(Cost_Components!$L$2:$L$27,MATCH(E1273,Cost_Components!$A$2:$A$27,0)),"")</f>
        <v>1</v>
      </c>
      <c r="N1273" s="27">
        <f>IFERROR(INDEX(Cost_Components!$P$2:$P$27,MATCH(E1273,Cost_Components!$A$2:$A$27,0)),"")</f>
        <v>186.479792</v>
      </c>
      <c r="O1273" s="21">
        <f t="shared" si="191"/>
        <v>291858.9691393901</v>
      </c>
      <c r="P1273" s="21">
        <f t="shared" si="192"/>
        <v>344523.06974311359</v>
      </c>
      <c r="Q1273" s="21">
        <f t="shared" si="193"/>
        <v>19916443.019318167</v>
      </c>
      <c r="R1273" s="21">
        <f t="shared" si="194"/>
        <v>41489205.892093733</v>
      </c>
      <c r="S1273" s="21">
        <f t="shared" si="195"/>
        <v>21572762.872775566</v>
      </c>
      <c r="T1273" s="14">
        <f>IFERROR(INDEX(Cost_Components!$R$2:$R$27,MATCH(E1273,Cost_Components!$A$2:$A$27,0)),"")</f>
        <v>1</v>
      </c>
      <c r="U1273" s="24">
        <f>IFERROR(INDEX(Cost_Components!$Q$2:$Q$27,MATCH(E1273,Cost_Components!$A$2:$A$27,0)),"")</f>
        <v>2023</v>
      </c>
      <c r="V1273" s="28">
        <f>1/(1+Calculation_Assumptions!$B$5)^(B1273-Calculation_Assumptions!$B$2)</f>
        <v>0.50669174842969467</v>
      </c>
      <c r="W1273" s="21">
        <f t="shared" si="196"/>
        <v>10091497.33595871</v>
      </c>
      <c r="X1273" s="21">
        <f t="shared" si="197"/>
        <v>21022238.274424564</v>
      </c>
      <c r="Y1273" s="21">
        <f t="shared" si="198"/>
        <v>10930740.938465854</v>
      </c>
      <c r="Z1273" s="15">
        <f>IFERROR(INDEX(Cost_Components!$T$2:$T$27,MATCH(E1273,Cost_Components!$A$2:$A$27,0)),"")</f>
        <v>0.8</v>
      </c>
      <c r="AA1273" s="24">
        <f>IFERROR(INDEX(Cost_Components!$U$2:$U$27,MATCH(E1273,Cost_Components!$A$2:$A$27,0)),"")</f>
        <v>2025</v>
      </c>
      <c r="AB1273" s="24">
        <f>IFERROR(INDEX(Cost_Components!$V$2:$V$27,MATCH(E1273,Cost_Components!$A$2:$A$27,0)),"")</f>
        <v>2050</v>
      </c>
      <c r="AC1273" s="24">
        <f>IFERROR(INDEX(Cost_Components!$M$2:$M$27,MATCH(E1273,Cost_Components!$A$2:$A$27,0)),"")</f>
        <v>30</v>
      </c>
      <c r="AD1273" s="24">
        <f>IFERROR(INDEX(Cost_Components!$N$2:$N$27,MATCH(E1273,Cost_Components!$A$2:$A$27,0)),"")</f>
        <v>95</v>
      </c>
      <c r="AE1273" s="14" t="str">
        <f>IFERROR(INDEX(Cost_Components!$O$2:$O$27,MATCH(E1273,Cost_Components!$A$2:$A$27,0)),"")</f>
        <v>Both</v>
      </c>
      <c r="AF1273" s="11">
        <v>561267.248344981</v>
      </c>
      <c r="AG1273" s="11">
        <v>662544.364890603</v>
      </c>
      <c r="AH1273" s="21">
        <f t="shared" si="199"/>
        <v>1</v>
      </c>
    </row>
    <row r="1274" spans="1:34" hidden="1">
      <c r="A1274" t="s">
        <v>75</v>
      </c>
      <c r="B1274" s="18">
        <v>2049</v>
      </c>
      <c r="C1274" t="s">
        <v>217</v>
      </c>
      <c r="D1274" t="s">
        <v>181</v>
      </c>
      <c r="E1274" s="20" t="s">
        <v>313</v>
      </c>
      <c r="F1274" s="20" t="s">
        <v>314</v>
      </c>
      <c r="G1274" s="20" t="s">
        <v>221</v>
      </c>
      <c r="H1274" s="20" t="s">
        <v>192</v>
      </c>
      <c r="I1274" s="20" t="s">
        <v>167</v>
      </c>
      <c r="J1274" s="15">
        <f>IFERROR(INDEX(Cost_Components!$K$2:$K$27,MATCH(E1274,Cost_Components!$A$2:$A$27,0)),"")</f>
        <v>0.52</v>
      </c>
      <c r="K1274" s="15">
        <f t="shared" si="190"/>
        <v>0.7811538461538462</v>
      </c>
      <c r="L1274" s="15">
        <f>IFERROR(INDEX(Cost_Components!$S$2:$S$27,MATCH(E1274,Cost_Components!$A$2:$A$27,0)),"")</f>
        <v>0.31</v>
      </c>
      <c r="M1274" s="26">
        <f>IFERROR(INDEX(Cost_Components!$L$2:$L$27,MATCH(E1274,Cost_Components!$A$2:$A$27,0)),"")</f>
        <v>1</v>
      </c>
      <c r="N1274" s="27">
        <f>IFERROR(INDEX(Cost_Components!$P$2:$P$27,MATCH(E1274,Cost_Components!$A$2:$A$27,0)),"")</f>
        <v>186.479792</v>
      </c>
      <c r="O1274" s="21">
        <f t="shared" si="191"/>
        <v>294596.09804313938</v>
      </c>
      <c r="P1274" s="21">
        <f t="shared" si="192"/>
        <v>349335.03109550657</v>
      </c>
      <c r="Q1274" s="21">
        <f t="shared" si="193"/>
        <v>20194616.420471117</v>
      </c>
      <c r="R1274" s="21">
        <f t="shared" si="194"/>
        <v>42913638.833035566</v>
      </c>
      <c r="S1274" s="21">
        <f t="shared" si="195"/>
        <v>22719022.412564449</v>
      </c>
      <c r="T1274" s="14">
        <f>IFERROR(INDEX(Cost_Components!$R$2:$R$27,MATCH(E1274,Cost_Components!$A$2:$A$27,0)),"")</f>
        <v>1</v>
      </c>
      <c r="U1274" s="24">
        <f>IFERROR(INDEX(Cost_Components!$Q$2:$Q$27,MATCH(E1274,Cost_Components!$A$2:$A$27,0)),"")</f>
        <v>2023</v>
      </c>
      <c r="V1274" s="28">
        <f>1/(1+Calculation_Assumptions!$B$5)^(B1274-Calculation_Assumptions!$B$2)</f>
        <v>0.49193373633950943</v>
      </c>
      <c r="W1274" s="21">
        <f t="shared" si="196"/>
        <v>9934413.1096655671</v>
      </c>
      <c r="X1274" s="21">
        <f t="shared" si="197"/>
        <v>21110666.691059452</v>
      </c>
      <c r="Y1274" s="21">
        <f t="shared" si="198"/>
        <v>11176253.581393884</v>
      </c>
      <c r="Z1274" s="15">
        <f>IFERROR(INDEX(Cost_Components!$T$2:$T$27,MATCH(E1274,Cost_Components!$A$2:$A$27,0)),"")</f>
        <v>0.8</v>
      </c>
      <c r="AA1274" s="24">
        <f>IFERROR(INDEX(Cost_Components!$U$2:$U$27,MATCH(E1274,Cost_Components!$A$2:$A$27,0)),"")</f>
        <v>2025</v>
      </c>
      <c r="AB1274" s="24">
        <f>IFERROR(INDEX(Cost_Components!$V$2:$V$27,MATCH(E1274,Cost_Components!$A$2:$A$27,0)),"")</f>
        <v>2050</v>
      </c>
      <c r="AC1274" s="24">
        <f>IFERROR(INDEX(Cost_Components!$M$2:$M$27,MATCH(E1274,Cost_Components!$A$2:$A$27,0)),"")</f>
        <v>30</v>
      </c>
      <c r="AD1274" s="24">
        <f>IFERROR(INDEX(Cost_Components!$N$2:$N$27,MATCH(E1274,Cost_Components!$A$2:$A$27,0)),"")</f>
        <v>95</v>
      </c>
      <c r="AE1274" s="14" t="str">
        <f>IFERROR(INDEX(Cost_Components!$O$2:$O$27,MATCH(E1274,Cost_Components!$A$2:$A$27,0)),"")</f>
        <v>Both</v>
      </c>
      <c r="AF1274" s="11">
        <v>566530.95777526801</v>
      </c>
      <c r="AG1274" s="11">
        <v>671798.13672212802</v>
      </c>
      <c r="AH1274" s="21">
        <f t="shared" si="199"/>
        <v>1</v>
      </c>
    </row>
    <row r="1275" spans="1:34" hidden="1">
      <c r="A1275" t="s">
        <v>75</v>
      </c>
      <c r="B1275" s="18">
        <v>2050</v>
      </c>
      <c r="C1275" t="s">
        <v>217</v>
      </c>
      <c r="D1275" t="s">
        <v>181</v>
      </c>
      <c r="E1275" s="20" t="s">
        <v>313</v>
      </c>
      <c r="F1275" s="20" t="s">
        <v>314</v>
      </c>
      <c r="G1275" s="20" t="s">
        <v>221</v>
      </c>
      <c r="H1275" s="20" t="s">
        <v>192</v>
      </c>
      <c r="I1275" s="20" t="s">
        <v>167</v>
      </c>
      <c r="J1275" s="15">
        <f>IFERROR(INDEX(Cost_Components!$K$2:$K$27,MATCH(E1275,Cost_Components!$A$2:$A$27,0)),"")</f>
        <v>0.52</v>
      </c>
      <c r="K1275" s="15">
        <f t="shared" si="190"/>
        <v>0.8</v>
      </c>
      <c r="L1275" s="15">
        <f>IFERROR(INDEX(Cost_Components!$S$2:$S$27,MATCH(E1275,Cost_Components!$A$2:$A$27,0)),"")</f>
        <v>0.31</v>
      </c>
      <c r="M1275" s="26">
        <f>IFERROR(INDEX(Cost_Components!$L$2:$L$27,MATCH(E1275,Cost_Components!$A$2:$A$27,0)),"")</f>
        <v>1</v>
      </c>
      <c r="N1275" s="27">
        <f>IFERROR(INDEX(Cost_Components!$P$2:$P$27,MATCH(E1275,Cost_Components!$A$2:$A$27,0)),"")</f>
        <v>186.479792</v>
      </c>
      <c r="O1275" s="21">
        <f t="shared" si="191"/>
        <v>297250.02751734579</v>
      </c>
      <c r="P1275" s="21">
        <f t="shared" si="192"/>
        <v>354028.81306537683</v>
      </c>
      <c r="Q1275" s="21">
        <f t="shared" si="193"/>
        <v>20465958.02095589</v>
      </c>
      <c r="R1275" s="21">
        <f t="shared" si="194"/>
        <v>44344898.64274314</v>
      </c>
      <c r="S1275" s="21">
        <f t="shared" si="195"/>
        <v>23878940.62178725</v>
      </c>
      <c r="T1275" s="14">
        <f>IFERROR(INDEX(Cost_Components!$R$2:$R$27,MATCH(E1275,Cost_Components!$A$2:$A$27,0)),"")</f>
        <v>1</v>
      </c>
      <c r="U1275" s="24">
        <f>IFERROR(INDEX(Cost_Components!$Q$2:$Q$27,MATCH(E1275,Cost_Components!$A$2:$A$27,0)),"")</f>
        <v>2023</v>
      </c>
      <c r="V1275" s="28">
        <f>1/(1+Calculation_Assumptions!$B$5)^(B1275-Calculation_Assumptions!$B$2)</f>
        <v>0.47760556926165965</v>
      </c>
      <c r="W1275" s="21">
        <f t="shared" si="196"/>
        <v>9774655.531083867</v>
      </c>
      <c r="X1275" s="21">
        <f t="shared" si="197"/>
        <v>21179370.560117938</v>
      </c>
      <c r="Y1275" s="21">
        <f t="shared" si="198"/>
        <v>11404715.029034069</v>
      </c>
      <c r="Z1275" s="15">
        <f>IFERROR(INDEX(Cost_Components!$T$2:$T$27,MATCH(E1275,Cost_Components!$A$2:$A$27,0)),"")</f>
        <v>0.8</v>
      </c>
      <c r="AA1275" s="24">
        <f>IFERROR(INDEX(Cost_Components!$U$2:$U$27,MATCH(E1275,Cost_Components!$A$2:$A$27,0)),"")</f>
        <v>2025</v>
      </c>
      <c r="AB1275" s="24">
        <f>IFERROR(INDEX(Cost_Components!$V$2:$V$27,MATCH(E1275,Cost_Components!$A$2:$A$27,0)),"")</f>
        <v>2050</v>
      </c>
      <c r="AC1275" s="24">
        <f>IFERROR(INDEX(Cost_Components!$M$2:$M$27,MATCH(E1275,Cost_Components!$A$2:$A$27,0)),"")</f>
        <v>30</v>
      </c>
      <c r="AD1275" s="24">
        <f>IFERROR(INDEX(Cost_Components!$N$2:$N$27,MATCH(E1275,Cost_Components!$A$2:$A$27,0)),"")</f>
        <v>95</v>
      </c>
      <c r="AE1275" s="14" t="str">
        <f>IFERROR(INDEX(Cost_Components!$O$2:$O$27,MATCH(E1275,Cost_Components!$A$2:$A$27,0)),"")</f>
        <v>Both</v>
      </c>
      <c r="AF1275" s="11">
        <v>571634.66830258805</v>
      </c>
      <c r="AG1275" s="11">
        <v>680824.64051033999</v>
      </c>
      <c r="AH1275" s="21">
        <f t="shared" si="199"/>
        <v>1</v>
      </c>
    </row>
    <row r="1276" spans="1:34" hidden="1">
      <c r="A1276" t="s">
        <v>75</v>
      </c>
      <c r="B1276" s="18">
        <v>2025</v>
      </c>
      <c r="C1276" t="s">
        <v>217</v>
      </c>
      <c r="D1276" t="s">
        <v>181</v>
      </c>
      <c r="E1276" s="20" t="s">
        <v>315</v>
      </c>
      <c r="F1276" s="20" t="s">
        <v>316</v>
      </c>
      <c r="G1276" s="20" t="s">
        <v>221</v>
      </c>
      <c r="H1276" s="20" t="s">
        <v>192</v>
      </c>
      <c r="I1276" s="20" t="s">
        <v>264</v>
      </c>
      <c r="J1276" s="15">
        <f>IFERROR(INDEX(Cost_Components!$K$2:$K$27,MATCH(E1276,Cost_Components!$A$2:$A$27,0)),"")</f>
        <v>0.5</v>
      </c>
      <c r="K1276" s="15">
        <f t="shared" si="190"/>
        <v>0.32884615384615384</v>
      </c>
      <c r="L1276" s="15">
        <f>IFERROR(INDEX(Cost_Components!$S$2:$S$27,MATCH(E1276,Cost_Components!$A$2:$A$27,0)),"")</f>
        <v>0.31</v>
      </c>
      <c r="M1276" s="26">
        <f>IFERROR(INDEX(Cost_Components!$L$2:$L$27,MATCH(E1276,Cost_Components!$A$2:$A$27,0)),"")</f>
        <v>1</v>
      </c>
      <c r="N1276" s="27">
        <f>IFERROR(INDEX(Cost_Components!$P$2:$P$27,MATCH(E1276,Cost_Components!$A$2:$A$27,0)),"")</f>
        <v>35.362648999999998</v>
      </c>
      <c r="O1276" s="21">
        <f t="shared" si="191"/>
        <v>1701920.22889187</v>
      </c>
      <c r="P1276" s="21">
        <f t="shared" si="192"/>
        <v>1703486.5640634249</v>
      </c>
      <c r="Q1276" s="21">
        <f t="shared" si="193"/>
        <v>18674337.206769183</v>
      </c>
      <c r="R1276" s="21">
        <f t="shared" si="194"/>
        <v>19791410.987176515</v>
      </c>
      <c r="S1276" s="21">
        <f t="shared" si="195"/>
        <v>1117073.7804073319</v>
      </c>
      <c r="T1276" s="14">
        <f>IFERROR(INDEX(Cost_Components!$R$2:$R$27,MATCH(E1276,Cost_Components!$A$2:$A$27,0)),"")</f>
        <v>1</v>
      </c>
      <c r="U1276" s="24">
        <f>IFERROR(INDEX(Cost_Components!$Q$2:$Q$27,MATCH(E1276,Cost_Components!$A$2:$A$27,0)),"")</f>
        <v>2023</v>
      </c>
      <c r="V1276" s="28">
        <f>1/(1+Calculation_Assumptions!$B$5)^(B1276-Calculation_Assumptions!$B$2)</f>
        <v>1</v>
      </c>
      <c r="W1276" s="21">
        <f t="shared" si="196"/>
        <v>18674337.206769183</v>
      </c>
      <c r="X1276" s="21">
        <f t="shared" si="197"/>
        <v>19791410.987176515</v>
      </c>
      <c r="Y1276" s="21">
        <f t="shared" si="198"/>
        <v>1117073.7804073319</v>
      </c>
      <c r="Z1276" s="15">
        <f>IFERROR(INDEX(Cost_Components!$T$2:$T$27,MATCH(E1276,Cost_Components!$A$2:$A$27,0)),"")</f>
        <v>0.8</v>
      </c>
      <c r="AA1276" s="24">
        <f>IFERROR(INDEX(Cost_Components!$U$2:$U$27,MATCH(E1276,Cost_Components!$A$2:$A$27,0)),"")</f>
        <v>2025</v>
      </c>
      <c r="AB1276" s="24">
        <f>IFERROR(INDEX(Cost_Components!$V$2:$V$27,MATCH(E1276,Cost_Components!$A$2:$A$27,0)),"")</f>
        <v>2050</v>
      </c>
      <c r="AC1276" s="24">
        <f>IFERROR(INDEX(Cost_Components!$M$2:$M$27,MATCH(E1276,Cost_Components!$A$2:$A$27,0)),"")</f>
        <v>30</v>
      </c>
      <c r="AD1276" s="24">
        <f>IFERROR(INDEX(Cost_Components!$N$2:$N$27,MATCH(E1276,Cost_Components!$A$2:$A$27,0)),"")</f>
        <v>95</v>
      </c>
      <c r="AE1276" s="14" t="str">
        <f>IFERROR(INDEX(Cost_Components!$O$2:$O$27,MATCH(E1276,Cost_Components!$A$2:$A$27,0)),"")</f>
        <v>Both</v>
      </c>
      <c r="AF1276" s="11">
        <v>3403840.45778374</v>
      </c>
      <c r="AG1276" s="11">
        <v>3406973.1281268499</v>
      </c>
      <c r="AH1276" s="21">
        <f t="shared" si="199"/>
        <v>1</v>
      </c>
    </row>
    <row r="1277" spans="1:34" hidden="1">
      <c r="A1277" t="s">
        <v>75</v>
      </c>
      <c r="B1277" s="18">
        <v>2026</v>
      </c>
      <c r="C1277" t="s">
        <v>217</v>
      </c>
      <c r="D1277" t="s">
        <v>181</v>
      </c>
      <c r="E1277" s="20" t="s">
        <v>315</v>
      </c>
      <c r="F1277" s="20" t="s">
        <v>316</v>
      </c>
      <c r="G1277" s="20" t="s">
        <v>221</v>
      </c>
      <c r="H1277" s="20" t="s">
        <v>192</v>
      </c>
      <c r="I1277" s="20" t="s">
        <v>264</v>
      </c>
      <c r="J1277" s="15">
        <f>IFERROR(INDEX(Cost_Components!$K$2:$K$27,MATCH(E1277,Cost_Components!$A$2:$A$27,0)),"")</f>
        <v>0.5</v>
      </c>
      <c r="K1277" s="15">
        <f t="shared" si="190"/>
        <v>0.34769230769230769</v>
      </c>
      <c r="L1277" s="15">
        <f>IFERROR(INDEX(Cost_Components!$S$2:$S$27,MATCH(E1277,Cost_Components!$A$2:$A$27,0)),"")</f>
        <v>0.31</v>
      </c>
      <c r="M1277" s="26">
        <f>IFERROR(INDEX(Cost_Components!$L$2:$L$27,MATCH(E1277,Cost_Components!$A$2:$A$27,0)),"")</f>
        <v>1</v>
      </c>
      <c r="N1277" s="27">
        <f>IFERROR(INDEX(Cost_Components!$P$2:$P$27,MATCH(E1277,Cost_Components!$A$2:$A$27,0)),"")</f>
        <v>35.362648999999998</v>
      </c>
      <c r="O1277" s="21">
        <f t="shared" si="191"/>
        <v>1757243.8167300399</v>
      </c>
      <c r="P1277" s="21">
        <f t="shared" si="192"/>
        <v>1761903.9857134901</v>
      </c>
      <c r="Q1277" s="21">
        <f t="shared" si="193"/>
        <v>19314733.587731019</v>
      </c>
      <c r="R1277" s="21">
        <f t="shared" si="194"/>
        <v>21605876.866843861</v>
      </c>
      <c r="S1277" s="21">
        <f t="shared" si="195"/>
        <v>2291143.2791128419</v>
      </c>
      <c r="T1277" s="14">
        <f>IFERROR(INDEX(Cost_Components!$R$2:$R$27,MATCH(E1277,Cost_Components!$A$2:$A$27,0)),"")</f>
        <v>1</v>
      </c>
      <c r="U1277" s="24">
        <f>IFERROR(INDEX(Cost_Components!$Q$2:$Q$27,MATCH(E1277,Cost_Components!$A$2:$A$27,0)),"")</f>
        <v>2023</v>
      </c>
      <c r="V1277" s="28">
        <f>1/(1+Calculation_Assumptions!$B$5)^(B1277-Calculation_Assumptions!$B$2)</f>
        <v>0.970873786407767</v>
      </c>
      <c r="W1277" s="21">
        <f t="shared" si="196"/>
        <v>18752168.531777687</v>
      </c>
      <c r="X1277" s="21">
        <f t="shared" si="197"/>
        <v>20976579.482372679</v>
      </c>
      <c r="Y1277" s="21">
        <f t="shared" si="198"/>
        <v>2224410.9505949924</v>
      </c>
      <c r="Z1277" s="15">
        <f>IFERROR(INDEX(Cost_Components!$T$2:$T$27,MATCH(E1277,Cost_Components!$A$2:$A$27,0)),"")</f>
        <v>0.8</v>
      </c>
      <c r="AA1277" s="24">
        <f>IFERROR(INDEX(Cost_Components!$U$2:$U$27,MATCH(E1277,Cost_Components!$A$2:$A$27,0)),"")</f>
        <v>2025</v>
      </c>
      <c r="AB1277" s="24">
        <f>IFERROR(INDEX(Cost_Components!$V$2:$V$27,MATCH(E1277,Cost_Components!$A$2:$A$27,0)),"")</f>
        <v>2050</v>
      </c>
      <c r="AC1277" s="24">
        <f>IFERROR(INDEX(Cost_Components!$M$2:$M$27,MATCH(E1277,Cost_Components!$A$2:$A$27,0)),"")</f>
        <v>30</v>
      </c>
      <c r="AD1277" s="24">
        <f>IFERROR(INDEX(Cost_Components!$N$2:$N$27,MATCH(E1277,Cost_Components!$A$2:$A$27,0)),"")</f>
        <v>95</v>
      </c>
      <c r="AE1277" s="14" t="str">
        <f>IFERROR(INDEX(Cost_Components!$O$2:$O$27,MATCH(E1277,Cost_Components!$A$2:$A$27,0)),"")</f>
        <v>Both</v>
      </c>
      <c r="AF1277" s="11">
        <v>3514487.6334600798</v>
      </c>
      <c r="AG1277" s="11">
        <v>3523807.9714269801</v>
      </c>
      <c r="AH1277" s="21">
        <f t="shared" si="199"/>
        <v>1</v>
      </c>
    </row>
    <row r="1278" spans="1:34" hidden="1">
      <c r="A1278" t="s">
        <v>75</v>
      </c>
      <c r="B1278" s="18">
        <v>2027</v>
      </c>
      <c r="C1278" t="s">
        <v>217</v>
      </c>
      <c r="D1278" t="s">
        <v>181</v>
      </c>
      <c r="E1278" s="20" t="s">
        <v>315</v>
      </c>
      <c r="F1278" s="20" t="s">
        <v>316</v>
      </c>
      <c r="G1278" s="20" t="s">
        <v>221</v>
      </c>
      <c r="H1278" s="20" t="s">
        <v>192</v>
      </c>
      <c r="I1278" s="20" t="s">
        <v>264</v>
      </c>
      <c r="J1278" s="15">
        <f>IFERROR(INDEX(Cost_Components!$K$2:$K$27,MATCH(E1278,Cost_Components!$A$2:$A$27,0)),"")</f>
        <v>0.5</v>
      </c>
      <c r="K1278" s="15">
        <f t="shared" si="190"/>
        <v>0.36653846153846154</v>
      </c>
      <c r="L1278" s="15">
        <f>IFERROR(INDEX(Cost_Components!$S$2:$S$27,MATCH(E1278,Cost_Components!$A$2:$A$27,0)),"")</f>
        <v>0.31</v>
      </c>
      <c r="M1278" s="26">
        <f>IFERROR(INDEX(Cost_Components!$L$2:$L$27,MATCH(E1278,Cost_Components!$A$2:$A$27,0)),"")</f>
        <v>1</v>
      </c>
      <c r="N1278" s="27">
        <f>IFERROR(INDEX(Cost_Components!$P$2:$P$27,MATCH(E1278,Cost_Components!$A$2:$A$27,0)),"")</f>
        <v>35.362648999999998</v>
      </c>
      <c r="O1278" s="21">
        <f t="shared" si="191"/>
        <v>1810712.8449763099</v>
      </c>
      <c r="P1278" s="21">
        <f t="shared" si="192"/>
        <v>1819950.91682366</v>
      </c>
      <c r="Q1278" s="21">
        <f t="shared" si="193"/>
        <v>19951068.495347615</v>
      </c>
      <c r="R1278" s="21">
        <f t="shared" si="194"/>
        <v>23470045.171609342</v>
      </c>
      <c r="S1278" s="21">
        <f t="shared" si="195"/>
        <v>3518976.6762617268</v>
      </c>
      <c r="T1278" s="14">
        <f>IFERROR(INDEX(Cost_Components!$R$2:$R$27,MATCH(E1278,Cost_Components!$A$2:$A$27,0)),"")</f>
        <v>1</v>
      </c>
      <c r="U1278" s="24">
        <f>IFERROR(INDEX(Cost_Components!$Q$2:$Q$27,MATCH(E1278,Cost_Components!$A$2:$A$27,0)),"")</f>
        <v>2023</v>
      </c>
      <c r="V1278" s="28">
        <f>1/(1+Calculation_Assumptions!$B$5)^(B1278-Calculation_Assumptions!$B$2)</f>
        <v>0.94259590913375435</v>
      </c>
      <c r="W1278" s="21">
        <f t="shared" si="196"/>
        <v>18805795.54656199</v>
      </c>
      <c r="X1278" s="21">
        <f t="shared" si="197"/>
        <v>22122768.56594339</v>
      </c>
      <c r="Y1278" s="21">
        <f t="shared" si="198"/>
        <v>3316973.0193813997</v>
      </c>
      <c r="Z1278" s="15">
        <f>IFERROR(INDEX(Cost_Components!$T$2:$T$27,MATCH(E1278,Cost_Components!$A$2:$A$27,0)),"")</f>
        <v>0.8</v>
      </c>
      <c r="AA1278" s="24">
        <f>IFERROR(INDEX(Cost_Components!$U$2:$U$27,MATCH(E1278,Cost_Components!$A$2:$A$27,0)),"")</f>
        <v>2025</v>
      </c>
      <c r="AB1278" s="24">
        <f>IFERROR(INDEX(Cost_Components!$V$2:$V$27,MATCH(E1278,Cost_Components!$A$2:$A$27,0)),"")</f>
        <v>2050</v>
      </c>
      <c r="AC1278" s="24">
        <f>IFERROR(INDEX(Cost_Components!$M$2:$M$27,MATCH(E1278,Cost_Components!$A$2:$A$27,0)),"")</f>
        <v>30</v>
      </c>
      <c r="AD1278" s="24">
        <f>IFERROR(INDEX(Cost_Components!$N$2:$N$27,MATCH(E1278,Cost_Components!$A$2:$A$27,0)),"")</f>
        <v>95</v>
      </c>
      <c r="AE1278" s="14" t="str">
        <f>IFERROR(INDEX(Cost_Components!$O$2:$O$27,MATCH(E1278,Cost_Components!$A$2:$A$27,0)),"")</f>
        <v>Both</v>
      </c>
      <c r="AF1278" s="11">
        <v>3621425.6899526198</v>
      </c>
      <c r="AG1278" s="11">
        <v>3639901.83364732</v>
      </c>
      <c r="AH1278" s="21">
        <f t="shared" si="199"/>
        <v>1</v>
      </c>
    </row>
    <row r="1279" spans="1:34" hidden="1">
      <c r="A1279" t="s">
        <v>75</v>
      </c>
      <c r="B1279" s="18">
        <v>2028</v>
      </c>
      <c r="C1279" t="s">
        <v>217</v>
      </c>
      <c r="D1279" t="s">
        <v>181</v>
      </c>
      <c r="E1279" s="20" t="s">
        <v>315</v>
      </c>
      <c r="F1279" s="20" t="s">
        <v>316</v>
      </c>
      <c r="G1279" s="20" t="s">
        <v>221</v>
      </c>
      <c r="H1279" s="20" t="s">
        <v>192</v>
      </c>
      <c r="I1279" s="20" t="s">
        <v>264</v>
      </c>
      <c r="J1279" s="15">
        <f>IFERROR(INDEX(Cost_Components!$K$2:$K$27,MATCH(E1279,Cost_Components!$A$2:$A$27,0)),"")</f>
        <v>0.5</v>
      </c>
      <c r="K1279" s="15">
        <f t="shared" si="190"/>
        <v>0.38538461538461538</v>
      </c>
      <c r="L1279" s="15">
        <f>IFERROR(INDEX(Cost_Components!$S$2:$S$27,MATCH(E1279,Cost_Components!$A$2:$A$27,0)),"")</f>
        <v>0.31</v>
      </c>
      <c r="M1279" s="26">
        <f>IFERROR(INDEX(Cost_Components!$L$2:$L$27,MATCH(E1279,Cost_Components!$A$2:$A$27,0)),"")</f>
        <v>1</v>
      </c>
      <c r="N1279" s="27">
        <f>IFERROR(INDEX(Cost_Components!$P$2:$P$27,MATCH(E1279,Cost_Components!$A$2:$A$27,0)),"")</f>
        <v>35.362648999999998</v>
      </c>
      <c r="O1279" s="21">
        <f t="shared" si="191"/>
        <v>1862427.3868246849</v>
      </c>
      <c r="P1279" s="21">
        <f t="shared" si="192"/>
        <v>1877682.3623644749</v>
      </c>
      <c r="Q1279" s="21">
        <f t="shared" si="193"/>
        <v>20583944.917273574</v>
      </c>
      <c r="R1279" s="21">
        <f t="shared" si="194"/>
        <v>25381571.807771187</v>
      </c>
      <c r="S1279" s="21">
        <f t="shared" si="195"/>
        <v>4797626.8904976137</v>
      </c>
      <c r="T1279" s="14">
        <f>IFERROR(INDEX(Cost_Components!$R$2:$R$27,MATCH(E1279,Cost_Components!$A$2:$A$27,0)),"")</f>
        <v>1</v>
      </c>
      <c r="U1279" s="24">
        <f>IFERROR(INDEX(Cost_Components!$Q$2:$Q$27,MATCH(E1279,Cost_Components!$A$2:$A$27,0)),"")</f>
        <v>2023</v>
      </c>
      <c r="V1279" s="28">
        <f>1/(1+Calculation_Assumptions!$B$5)^(B1279-Calculation_Assumptions!$B$2)</f>
        <v>0.91514165935315961</v>
      </c>
      <c r="W1279" s="21">
        <f t="shared" si="196"/>
        <v>18837225.507627774</v>
      </c>
      <c r="X1279" s="21">
        <f t="shared" si="197"/>
        <v>23227733.741155099</v>
      </c>
      <c r="Y1279" s="21">
        <f t="shared" si="198"/>
        <v>4390508.233527326</v>
      </c>
      <c r="Z1279" s="15">
        <f>IFERROR(INDEX(Cost_Components!$T$2:$T$27,MATCH(E1279,Cost_Components!$A$2:$A$27,0)),"")</f>
        <v>0.8</v>
      </c>
      <c r="AA1279" s="24">
        <f>IFERROR(INDEX(Cost_Components!$U$2:$U$27,MATCH(E1279,Cost_Components!$A$2:$A$27,0)),"")</f>
        <v>2025</v>
      </c>
      <c r="AB1279" s="24">
        <f>IFERROR(INDEX(Cost_Components!$V$2:$V$27,MATCH(E1279,Cost_Components!$A$2:$A$27,0)),"")</f>
        <v>2050</v>
      </c>
      <c r="AC1279" s="24">
        <f>IFERROR(INDEX(Cost_Components!$M$2:$M$27,MATCH(E1279,Cost_Components!$A$2:$A$27,0)),"")</f>
        <v>30</v>
      </c>
      <c r="AD1279" s="24">
        <f>IFERROR(INDEX(Cost_Components!$N$2:$N$27,MATCH(E1279,Cost_Components!$A$2:$A$27,0)),"")</f>
        <v>95</v>
      </c>
      <c r="AE1279" s="14" t="str">
        <f>IFERROR(INDEX(Cost_Components!$O$2:$O$27,MATCH(E1279,Cost_Components!$A$2:$A$27,0)),"")</f>
        <v>Both</v>
      </c>
      <c r="AF1279" s="11">
        <v>3724854.7736493698</v>
      </c>
      <c r="AG1279" s="11">
        <v>3755364.7247289498</v>
      </c>
      <c r="AH1279" s="21">
        <f t="shared" si="199"/>
        <v>1</v>
      </c>
    </row>
    <row r="1280" spans="1:34" hidden="1">
      <c r="A1280" t="s">
        <v>75</v>
      </c>
      <c r="B1280" s="18">
        <v>2029</v>
      </c>
      <c r="C1280" t="s">
        <v>217</v>
      </c>
      <c r="D1280" t="s">
        <v>181</v>
      </c>
      <c r="E1280" s="20" t="s">
        <v>315</v>
      </c>
      <c r="F1280" s="20" t="s">
        <v>316</v>
      </c>
      <c r="G1280" s="20" t="s">
        <v>221</v>
      </c>
      <c r="H1280" s="20" t="s">
        <v>192</v>
      </c>
      <c r="I1280" s="20" t="s">
        <v>264</v>
      </c>
      <c r="J1280" s="15">
        <f>IFERROR(INDEX(Cost_Components!$K$2:$K$27,MATCH(E1280,Cost_Components!$A$2:$A$27,0)),"")</f>
        <v>0.5</v>
      </c>
      <c r="K1280" s="15">
        <f t="shared" si="190"/>
        <v>0.40423076923076923</v>
      </c>
      <c r="L1280" s="15">
        <f>IFERROR(INDEX(Cost_Components!$S$2:$S$27,MATCH(E1280,Cost_Components!$A$2:$A$27,0)),"")</f>
        <v>0.31</v>
      </c>
      <c r="M1280" s="26">
        <f>IFERROR(INDEX(Cost_Components!$L$2:$L$27,MATCH(E1280,Cost_Components!$A$2:$A$27,0)),"")</f>
        <v>1</v>
      </c>
      <c r="N1280" s="27">
        <f>IFERROR(INDEX(Cost_Components!$P$2:$P$27,MATCH(E1280,Cost_Components!$A$2:$A$27,0)),"")</f>
        <v>35.362648999999998</v>
      </c>
      <c r="O1280" s="21">
        <f t="shared" si="191"/>
        <v>1912358.3065657599</v>
      </c>
      <c r="P1280" s="21">
        <f t="shared" si="192"/>
        <v>1935023.6340378199</v>
      </c>
      <c r="Q1280" s="21">
        <f t="shared" si="193"/>
        <v>21212544.088927004</v>
      </c>
      <c r="R1280" s="21">
        <f t="shared" si="194"/>
        <v>27336532.457977939</v>
      </c>
      <c r="S1280" s="21">
        <f t="shared" si="195"/>
        <v>6123988.3690509349</v>
      </c>
      <c r="T1280" s="14">
        <f>IFERROR(INDEX(Cost_Components!$R$2:$R$27,MATCH(E1280,Cost_Components!$A$2:$A$27,0)),"")</f>
        <v>1</v>
      </c>
      <c r="U1280" s="24">
        <f>IFERROR(INDEX(Cost_Components!$Q$2:$Q$27,MATCH(E1280,Cost_Components!$A$2:$A$27,0)),"")</f>
        <v>2023</v>
      </c>
      <c r="V1280" s="28">
        <f>1/(1+Calculation_Assumptions!$B$5)^(B1280-Calculation_Assumptions!$B$2)</f>
        <v>0.888487047915689</v>
      </c>
      <c r="W1280" s="21">
        <f t="shared" si="196"/>
        <v>18847070.676352154</v>
      </c>
      <c r="X1280" s="21">
        <f t="shared" si="197"/>
        <v>24288155.023840234</v>
      </c>
      <c r="Y1280" s="21">
        <f t="shared" si="198"/>
        <v>5441084.3474880802</v>
      </c>
      <c r="Z1280" s="15">
        <f>IFERROR(INDEX(Cost_Components!$T$2:$T$27,MATCH(E1280,Cost_Components!$A$2:$A$27,0)),"")</f>
        <v>0.8</v>
      </c>
      <c r="AA1280" s="24">
        <f>IFERROR(INDEX(Cost_Components!$U$2:$U$27,MATCH(E1280,Cost_Components!$A$2:$A$27,0)),"")</f>
        <v>2025</v>
      </c>
      <c r="AB1280" s="24">
        <f>IFERROR(INDEX(Cost_Components!$V$2:$V$27,MATCH(E1280,Cost_Components!$A$2:$A$27,0)),"")</f>
        <v>2050</v>
      </c>
      <c r="AC1280" s="24">
        <f>IFERROR(INDEX(Cost_Components!$M$2:$M$27,MATCH(E1280,Cost_Components!$A$2:$A$27,0)),"")</f>
        <v>30</v>
      </c>
      <c r="AD1280" s="24">
        <f>IFERROR(INDEX(Cost_Components!$N$2:$N$27,MATCH(E1280,Cost_Components!$A$2:$A$27,0)),"")</f>
        <v>95</v>
      </c>
      <c r="AE1280" s="14" t="str">
        <f>IFERROR(INDEX(Cost_Components!$O$2:$O$27,MATCH(E1280,Cost_Components!$A$2:$A$27,0)),"")</f>
        <v>Both</v>
      </c>
      <c r="AF1280" s="11">
        <v>3824716.6131315199</v>
      </c>
      <c r="AG1280" s="11">
        <v>3870047.2680756398</v>
      </c>
      <c r="AH1280" s="21">
        <f t="shared" si="199"/>
        <v>1</v>
      </c>
    </row>
    <row r="1281" spans="1:34" hidden="1">
      <c r="A1281" t="s">
        <v>75</v>
      </c>
      <c r="B1281" s="18">
        <v>2030</v>
      </c>
      <c r="C1281" t="s">
        <v>217</v>
      </c>
      <c r="D1281" t="s">
        <v>181</v>
      </c>
      <c r="E1281" s="20" t="s">
        <v>315</v>
      </c>
      <c r="F1281" s="20" t="s">
        <v>316</v>
      </c>
      <c r="G1281" s="20" t="s">
        <v>221</v>
      </c>
      <c r="H1281" s="20" t="s">
        <v>192</v>
      </c>
      <c r="I1281" s="20" t="s">
        <v>264</v>
      </c>
      <c r="J1281" s="15">
        <f>IFERROR(INDEX(Cost_Components!$K$2:$K$27,MATCH(E1281,Cost_Components!$A$2:$A$27,0)),"")</f>
        <v>0.5</v>
      </c>
      <c r="K1281" s="15">
        <f t="shared" si="190"/>
        <v>0.42307692307692307</v>
      </c>
      <c r="L1281" s="15">
        <f>IFERROR(INDEX(Cost_Components!$S$2:$S$27,MATCH(E1281,Cost_Components!$A$2:$A$27,0)),"")</f>
        <v>0.31</v>
      </c>
      <c r="M1281" s="26">
        <f>IFERROR(INDEX(Cost_Components!$L$2:$L$27,MATCH(E1281,Cost_Components!$A$2:$A$27,0)),"")</f>
        <v>1</v>
      </c>
      <c r="N1281" s="27">
        <f>IFERROR(INDEX(Cost_Components!$P$2:$P$27,MATCH(E1281,Cost_Components!$A$2:$A$27,0)),"")</f>
        <v>35.362648999999998</v>
      </c>
      <c r="O1281" s="21">
        <f t="shared" si="191"/>
        <v>1960590.231058175</v>
      </c>
      <c r="P1281" s="21">
        <f t="shared" si="192"/>
        <v>1992013.9711835899</v>
      </c>
      <c r="Q1281" s="21">
        <f t="shared" si="193"/>
        <v>21837296.168479033</v>
      </c>
      <c r="R1281" s="21">
        <f t="shared" si="194"/>
        <v>29332627.150428098</v>
      </c>
      <c r="S1281" s="21">
        <f t="shared" si="195"/>
        <v>7495330.9819490649</v>
      </c>
      <c r="T1281" s="14">
        <f>IFERROR(INDEX(Cost_Components!$R$2:$R$27,MATCH(E1281,Cost_Components!$A$2:$A$27,0)),"")</f>
        <v>1</v>
      </c>
      <c r="U1281" s="24">
        <f>IFERROR(INDEX(Cost_Components!$Q$2:$Q$27,MATCH(E1281,Cost_Components!$A$2:$A$27,0)),"")</f>
        <v>2023</v>
      </c>
      <c r="V1281" s="28">
        <f>1/(1+Calculation_Assumptions!$B$5)^(B1281-Calculation_Assumptions!$B$2)</f>
        <v>0.86260878438416411</v>
      </c>
      <c r="W1281" s="21">
        <f t="shared" si="196"/>
        <v>18837043.502128664</v>
      </c>
      <c r="X1281" s="21">
        <f t="shared" si="197"/>
        <v>25302581.849024709</v>
      </c>
      <c r="Y1281" s="21">
        <f t="shared" si="198"/>
        <v>6465538.3468960458</v>
      </c>
      <c r="Z1281" s="15">
        <f>IFERROR(INDEX(Cost_Components!$T$2:$T$27,MATCH(E1281,Cost_Components!$A$2:$A$27,0)),"")</f>
        <v>0.8</v>
      </c>
      <c r="AA1281" s="24">
        <f>IFERROR(INDEX(Cost_Components!$U$2:$U$27,MATCH(E1281,Cost_Components!$A$2:$A$27,0)),"")</f>
        <v>2025</v>
      </c>
      <c r="AB1281" s="24">
        <f>IFERROR(INDEX(Cost_Components!$V$2:$V$27,MATCH(E1281,Cost_Components!$A$2:$A$27,0)),"")</f>
        <v>2050</v>
      </c>
      <c r="AC1281" s="24">
        <f>IFERROR(INDEX(Cost_Components!$M$2:$M$27,MATCH(E1281,Cost_Components!$A$2:$A$27,0)),"")</f>
        <v>30</v>
      </c>
      <c r="AD1281" s="24">
        <f>IFERROR(INDEX(Cost_Components!$N$2:$N$27,MATCH(E1281,Cost_Components!$A$2:$A$27,0)),"")</f>
        <v>95</v>
      </c>
      <c r="AE1281" s="14" t="str">
        <f>IFERROR(INDEX(Cost_Components!$O$2:$O$27,MATCH(E1281,Cost_Components!$A$2:$A$27,0)),"")</f>
        <v>Both</v>
      </c>
      <c r="AF1281" s="11">
        <v>3921180.46211635</v>
      </c>
      <c r="AG1281" s="11">
        <v>3984027.9423671798</v>
      </c>
      <c r="AH1281" s="21">
        <f t="shared" si="199"/>
        <v>1</v>
      </c>
    </row>
    <row r="1282" spans="1:34" hidden="1">
      <c r="A1282" t="s">
        <v>75</v>
      </c>
      <c r="B1282" s="18">
        <v>2031</v>
      </c>
      <c r="C1282" t="s">
        <v>217</v>
      </c>
      <c r="D1282" t="s">
        <v>181</v>
      </c>
      <c r="E1282" s="20" t="s">
        <v>315</v>
      </c>
      <c r="F1282" s="20" t="s">
        <v>316</v>
      </c>
      <c r="G1282" s="20" t="s">
        <v>221</v>
      </c>
      <c r="H1282" s="20" t="s">
        <v>192</v>
      </c>
      <c r="I1282" s="20" t="s">
        <v>264</v>
      </c>
      <c r="J1282" s="15">
        <f>IFERROR(INDEX(Cost_Components!$K$2:$K$27,MATCH(E1282,Cost_Components!$A$2:$A$27,0)),"")</f>
        <v>0.5</v>
      </c>
      <c r="K1282" s="15">
        <f t="shared" ref="K1282:K1345" si="200">IF(OR(L1282="",Z1282="",AA1282="",AB1282=""),"",IF(B1282&lt;AA1282,L1282,IF(B1282&gt;AB1282,Z1282,L1282+(Z1282-L1282)*MIN(MAX((B1282-AA1282+1)/MAX(AB1282-AA1282+1,1),0),1))))</f>
        <v>0.44192307692307692</v>
      </c>
      <c r="L1282" s="15">
        <f>IFERROR(INDEX(Cost_Components!$S$2:$S$27,MATCH(E1282,Cost_Components!$A$2:$A$27,0)),"")</f>
        <v>0.31</v>
      </c>
      <c r="M1282" s="26">
        <f>IFERROR(INDEX(Cost_Components!$L$2:$L$27,MATCH(E1282,Cost_Components!$A$2:$A$27,0)),"")</f>
        <v>1</v>
      </c>
      <c r="N1282" s="27">
        <f>IFERROR(INDEX(Cost_Components!$P$2:$P$27,MATCH(E1282,Cost_Components!$A$2:$A$27,0)),"")</f>
        <v>35.362648999999998</v>
      </c>
      <c r="O1282" s="21">
        <f t="shared" ref="O1282:O1345" si="201">AF1282*J1282</f>
        <v>2007217.74885526</v>
      </c>
      <c r="P1282" s="21">
        <f t="shared" ref="P1282:P1345" si="202">AG1282*J1282</f>
        <v>2048699.4216127051</v>
      </c>
      <c r="Q1282" s="21">
        <f t="shared" ref="Q1282:Q1345" si="203">P1282*L1282*M1282*N1282</f>
        <v>22458705.951427862</v>
      </c>
      <c r="R1282" s="21">
        <f t="shared" ref="R1282:R1345" si="204">O1282*K1282*M1282*N1282</f>
        <v>31367937.188661601</v>
      </c>
      <c r="S1282" s="21">
        <f t="shared" ref="S1282:S1345" si="205">R1282-Q1282</f>
        <v>8909231.2372337393</v>
      </c>
      <c r="T1282" s="14">
        <f>IFERROR(INDEX(Cost_Components!$R$2:$R$27,MATCH(E1282,Cost_Components!$A$2:$A$27,0)),"")</f>
        <v>1</v>
      </c>
      <c r="U1282" s="24">
        <f>IFERROR(INDEX(Cost_Components!$Q$2:$Q$27,MATCH(E1282,Cost_Components!$A$2:$A$27,0)),"")</f>
        <v>2023</v>
      </c>
      <c r="V1282" s="28">
        <f>1/(1+Calculation_Assumptions!$B$5)^(B1282-Calculation_Assumptions!$B$2)</f>
        <v>0.83748425668365445</v>
      </c>
      <c r="W1282" s="21">
        <f t="shared" ref="W1282:W1345" si="206">Q1282*V1282</f>
        <v>18808812.65980833</v>
      </c>
      <c r="X1282" s="21">
        <f t="shared" ref="X1282:X1345" si="207">R1282*V1282</f>
        <v>26270153.560145821</v>
      </c>
      <c r="Y1282" s="21">
        <f t="shared" ref="Y1282:Y1345" si="208">S1282*V1282</f>
        <v>7461340.900337493</v>
      </c>
      <c r="Z1282" s="15">
        <f>IFERROR(INDEX(Cost_Components!$T$2:$T$27,MATCH(E1282,Cost_Components!$A$2:$A$27,0)),"")</f>
        <v>0.8</v>
      </c>
      <c r="AA1282" s="24">
        <f>IFERROR(INDEX(Cost_Components!$U$2:$U$27,MATCH(E1282,Cost_Components!$A$2:$A$27,0)),"")</f>
        <v>2025</v>
      </c>
      <c r="AB1282" s="24">
        <f>IFERROR(INDEX(Cost_Components!$V$2:$V$27,MATCH(E1282,Cost_Components!$A$2:$A$27,0)),"")</f>
        <v>2050</v>
      </c>
      <c r="AC1282" s="24">
        <f>IFERROR(INDEX(Cost_Components!$M$2:$M$27,MATCH(E1282,Cost_Components!$A$2:$A$27,0)),"")</f>
        <v>30</v>
      </c>
      <c r="AD1282" s="24">
        <f>IFERROR(INDEX(Cost_Components!$N$2:$N$27,MATCH(E1282,Cost_Components!$A$2:$A$27,0)),"")</f>
        <v>95</v>
      </c>
      <c r="AE1282" s="14" t="str">
        <f>IFERROR(INDEX(Cost_Components!$O$2:$O$27,MATCH(E1282,Cost_Components!$A$2:$A$27,0)),"")</f>
        <v>Both</v>
      </c>
      <c r="AF1282" s="11">
        <v>4014435.4977105199</v>
      </c>
      <c r="AG1282" s="11">
        <v>4097398.8432254102</v>
      </c>
      <c r="AH1282" s="21">
        <f t="shared" ref="AH1282:AH1345" si="209">IF(H1282="shared-count-once",COUNTIFS($A$2:$A$1353,A1282,$B$2:$B$1353,B1282,$E$2:$E$1353,E1282),1)</f>
        <v>1</v>
      </c>
    </row>
    <row r="1283" spans="1:34" hidden="1">
      <c r="A1283" t="s">
        <v>75</v>
      </c>
      <c r="B1283" s="18">
        <v>2032</v>
      </c>
      <c r="C1283" t="s">
        <v>217</v>
      </c>
      <c r="D1283" t="s">
        <v>181</v>
      </c>
      <c r="E1283" s="20" t="s">
        <v>315</v>
      </c>
      <c r="F1283" s="20" t="s">
        <v>316</v>
      </c>
      <c r="G1283" s="20" t="s">
        <v>221</v>
      </c>
      <c r="H1283" s="20" t="s">
        <v>192</v>
      </c>
      <c r="I1283" s="20" t="s">
        <v>264</v>
      </c>
      <c r="J1283" s="15">
        <f>IFERROR(INDEX(Cost_Components!$K$2:$K$27,MATCH(E1283,Cost_Components!$A$2:$A$27,0)),"")</f>
        <v>0.5</v>
      </c>
      <c r="K1283" s="15">
        <f t="shared" si="200"/>
        <v>0.46076923076923082</v>
      </c>
      <c r="L1283" s="15">
        <f>IFERROR(INDEX(Cost_Components!$S$2:$S$27,MATCH(E1283,Cost_Components!$A$2:$A$27,0)),"")</f>
        <v>0.31</v>
      </c>
      <c r="M1283" s="26">
        <f>IFERROR(INDEX(Cost_Components!$L$2:$L$27,MATCH(E1283,Cost_Components!$A$2:$A$27,0)),"")</f>
        <v>1</v>
      </c>
      <c r="N1283" s="27">
        <f>IFERROR(INDEX(Cost_Components!$P$2:$P$27,MATCH(E1283,Cost_Components!$A$2:$A$27,0)),"")</f>
        <v>35.362648999999998</v>
      </c>
      <c r="O1283" s="21">
        <f t="shared" si="201"/>
        <v>2052151.6408871701</v>
      </c>
      <c r="P1283" s="21">
        <f t="shared" si="202"/>
        <v>2104929.2770836349</v>
      </c>
      <c r="Q1283" s="21">
        <f t="shared" si="203"/>
        <v>23075121.310553018</v>
      </c>
      <c r="R1283" s="21">
        <f t="shared" si="204"/>
        <v>33437801.065160587</v>
      </c>
      <c r="S1283" s="21">
        <f t="shared" si="205"/>
        <v>10362679.754607569</v>
      </c>
      <c r="T1283" s="14">
        <f>IFERROR(INDEX(Cost_Components!$R$2:$R$27,MATCH(E1283,Cost_Components!$A$2:$A$27,0)),"")</f>
        <v>1</v>
      </c>
      <c r="U1283" s="24">
        <f>IFERROR(INDEX(Cost_Components!$Q$2:$Q$27,MATCH(E1283,Cost_Components!$A$2:$A$27,0)),"")</f>
        <v>2023</v>
      </c>
      <c r="V1283" s="28">
        <f>1/(1+Calculation_Assumptions!$B$5)^(B1283-Calculation_Assumptions!$B$2)</f>
        <v>0.81309151134335378</v>
      </c>
      <c r="W1283" s="21">
        <f t="shared" si="206"/>
        <v>18762185.260828786</v>
      </c>
      <c r="X1283" s="21">
        <f t="shared" si="207"/>
        <v>27187992.204069827</v>
      </c>
      <c r="Y1283" s="21">
        <f t="shared" si="208"/>
        <v>8425806.943241043</v>
      </c>
      <c r="Z1283" s="15">
        <f>IFERROR(INDEX(Cost_Components!$T$2:$T$27,MATCH(E1283,Cost_Components!$A$2:$A$27,0)),"")</f>
        <v>0.8</v>
      </c>
      <c r="AA1283" s="24">
        <f>IFERROR(INDEX(Cost_Components!$U$2:$U$27,MATCH(E1283,Cost_Components!$A$2:$A$27,0)),"")</f>
        <v>2025</v>
      </c>
      <c r="AB1283" s="24">
        <f>IFERROR(INDEX(Cost_Components!$V$2:$V$27,MATCH(E1283,Cost_Components!$A$2:$A$27,0)),"")</f>
        <v>2050</v>
      </c>
      <c r="AC1283" s="24">
        <f>IFERROR(INDEX(Cost_Components!$M$2:$M$27,MATCH(E1283,Cost_Components!$A$2:$A$27,0)),"")</f>
        <v>30</v>
      </c>
      <c r="AD1283" s="24">
        <f>IFERROR(INDEX(Cost_Components!$N$2:$N$27,MATCH(E1283,Cost_Components!$A$2:$A$27,0)),"")</f>
        <v>95</v>
      </c>
      <c r="AE1283" s="14" t="str">
        <f>IFERROR(INDEX(Cost_Components!$O$2:$O$27,MATCH(E1283,Cost_Components!$A$2:$A$27,0)),"")</f>
        <v>Both</v>
      </c>
      <c r="AF1283" s="11">
        <v>4104303.2817743402</v>
      </c>
      <c r="AG1283" s="11">
        <v>4209858.5541672697</v>
      </c>
      <c r="AH1283" s="21">
        <f t="shared" si="209"/>
        <v>1</v>
      </c>
    </row>
    <row r="1284" spans="1:34" hidden="1">
      <c r="A1284" t="s">
        <v>75</v>
      </c>
      <c r="B1284" s="18">
        <v>2033</v>
      </c>
      <c r="C1284" t="s">
        <v>217</v>
      </c>
      <c r="D1284" t="s">
        <v>181</v>
      </c>
      <c r="E1284" s="20" t="s">
        <v>315</v>
      </c>
      <c r="F1284" s="20" t="s">
        <v>316</v>
      </c>
      <c r="G1284" s="20" t="s">
        <v>221</v>
      </c>
      <c r="H1284" s="20" t="s">
        <v>192</v>
      </c>
      <c r="I1284" s="20" t="s">
        <v>264</v>
      </c>
      <c r="J1284" s="15">
        <f>IFERROR(INDEX(Cost_Components!$K$2:$K$27,MATCH(E1284,Cost_Components!$A$2:$A$27,0)),"")</f>
        <v>0.5</v>
      </c>
      <c r="K1284" s="15">
        <f t="shared" si="200"/>
        <v>0.47961538461538467</v>
      </c>
      <c r="L1284" s="15">
        <f>IFERROR(INDEX(Cost_Components!$S$2:$S$27,MATCH(E1284,Cost_Components!$A$2:$A$27,0)),"")</f>
        <v>0.31</v>
      </c>
      <c r="M1284" s="26">
        <f>IFERROR(INDEX(Cost_Components!$L$2:$L$27,MATCH(E1284,Cost_Components!$A$2:$A$27,0)),"")</f>
        <v>1</v>
      </c>
      <c r="N1284" s="27">
        <f>IFERROR(INDEX(Cost_Components!$P$2:$P$27,MATCH(E1284,Cost_Components!$A$2:$A$27,0)),"")</f>
        <v>35.362648999999998</v>
      </c>
      <c r="O1284" s="21">
        <f t="shared" si="201"/>
        <v>2095189.07504736</v>
      </c>
      <c r="P1284" s="21">
        <f t="shared" si="202"/>
        <v>2160430.7980448301</v>
      </c>
      <c r="Q1284" s="21">
        <f t="shared" si="203"/>
        <v>23683552.360015254</v>
      </c>
      <c r="R1284" s="21">
        <f t="shared" si="204"/>
        <v>35535392.501680568</v>
      </c>
      <c r="S1284" s="21">
        <f t="shared" si="205"/>
        <v>11851840.141665313</v>
      </c>
      <c r="T1284" s="14">
        <f>IFERROR(INDEX(Cost_Components!$R$2:$R$27,MATCH(E1284,Cost_Components!$A$2:$A$27,0)),"")</f>
        <v>1</v>
      </c>
      <c r="U1284" s="24">
        <f>IFERROR(INDEX(Cost_Components!$Q$2:$Q$27,MATCH(E1284,Cost_Components!$A$2:$A$27,0)),"")</f>
        <v>2023</v>
      </c>
      <c r="V1284" s="28">
        <f>1/(1+Calculation_Assumptions!$B$5)^(B1284-Calculation_Assumptions!$B$2)</f>
        <v>0.78940923431393573</v>
      </c>
      <c r="W1284" s="21">
        <f t="shared" si="206"/>
        <v>18696014.934353646</v>
      </c>
      <c r="X1284" s="21">
        <f t="shared" si="207"/>
        <v>28051966.985796832</v>
      </c>
      <c r="Y1284" s="21">
        <f t="shared" si="208"/>
        <v>9355952.0514431819</v>
      </c>
      <c r="Z1284" s="15">
        <f>IFERROR(INDEX(Cost_Components!$T$2:$T$27,MATCH(E1284,Cost_Components!$A$2:$A$27,0)),"")</f>
        <v>0.8</v>
      </c>
      <c r="AA1284" s="24">
        <f>IFERROR(INDEX(Cost_Components!$U$2:$U$27,MATCH(E1284,Cost_Components!$A$2:$A$27,0)),"")</f>
        <v>2025</v>
      </c>
      <c r="AB1284" s="24">
        <f>IFERROR(INDEX(Cost_Components!$V$2:$V$27,MATCH(E1284,Cost_Components!$A$2:$A$27,0)),"")</f>
        <v>2050</v>
      </c>
      <c r="AC1284" s="24">
        <f>IFERROR(INDEX(Cost_Components!$M$2:$M$27,MATCH(E1284,Cost_Components!$A$2:$A$27,0)),"")</f>
        <v>30</v>
      </c>
      <c r="AD1284" s="24">
        <f>IFERROR(INDEX(Cost_Components!$N$2:$N$27,MATCH(E1284,Cost_Components!$A$2:$A$27,0)),"")</f>
        <v>95</v>
      </c>
      <c r="AE1284" s="14" t="str">
        <f>IFERROR(INDEX(Cost_Components!$O$2:$O$27,MATCH(E1284,Cost_Components!$A$2:$A$27,0)),"")</f>
        <v>Both</v>
      </c>
      <c r="AF1284" s="11">
        <v>4190378.1500947201</v>
      </c>
      <c r="AG1284" s="11">
        <v>4320861.5960896602</v>
      </c>
      <c r="AH1284" s="21">
        <f t="shared" si="209"/>
        <v>1</v>
      </c>
    </row>
    <row r="1285" spans="1:34" hidden="1">
      <c r="A1285" t="s">
        <v>75</v>
      </c>
      <c r="B1285" s="18">
        <v>2034</v>
      </c>
      <c r="C1285" t="s">
        <v>217</v>
      </c>
      <c r="D1285" t="s">
        <v>181</v>
      </c>
      <c r="E1285" s="20" t="s">
        <v>315</v>
      </c>
      <c r="F1285" s="20" t="s">
        <v>316</v>
      </c>
      <c r="G1285" s="20" t="s">
        <v>221</v>
      </c>
      <c r="H1285" s="20" t="s">
        <v>192</v>
      </c>
      <c r="I1285" s="20" t="s">
        <v>264</v>
      </c>
      <c r="J1285" s="15">
        <f>IFERROR(INDEX(Cost_Components!$K$2:$K$27,MATCH(E1285,Cost_Components!$A$2:$A$27,0)),"")</f>
        <v>0.5</v>
      </c>
      <c r="K1285" s="15">
        <f t="shared" si="200"/>
        <v>0.49846153846153851</v>
      </c>
      <c r="L1285" s="15">
        <f>IFERROR(INDEX(Cost_Components!$S$2:$S$27,MATCH(E1285,Cost_Components!$A$2:$A$27,0)),"")</f>
        <v>0.31</v>
      </c>
      <c r="M1285" s="26">
        <f>IFERROR(INDEX(Cost_Components!$L$2:$L$27,MATCH(E1285,Cost_Components!$A$2:$A$27,0)),"")</f>
        <v>1</v>
      </c>
      <c r="N1285" s="27">
        <f>IFERROR(INDEX(Cost_Components!$P$2:$P$27,MATCH(E1285,Cost_Components!$A$2:$A$27,0)),"")</f>
        <v>35.362648999999998</v>
      </c>
      <c r="O1285" s="21">
        <f t="shared" si="201"/>
        <v>2136295.4992620549</v>
      </c>
      <c r="P1285" s="21">
        <f t="shared" si="202"/>
        <v>2215101.3819678351</v>
      </c>
      <c r="Q1285" s="21">
        <f t="shared" si="203"/>
        <v>24282874.32768248</v>
      </c>
      <c r="R1285" s="21">
        <f t="shared" si="204"/>
        <v>37656310.768956237</v>
      </c>
      <c r="S1285" s="21">
        <f t="shared" si="205"/>
        <v>13373436.441273756</v>
      </c>
      <c r="T1285" s="14">
        <f>IFERROR(INDEX(Cost_Components!$R$2:$R$27,MATCH(E1285,Cost_Components!$A$2:$A$27,0)),"")</f>
        <v>1</v>
      </c>
      <c r="U1285" s="24">
        <f>IFERROR(INDEX(Cost_Components!$Q$2:$Q$27,MATCH(E1285,Cost_Components!$A$2:$A$27,0)),"")</f>
        <v>2023</v>
      </c>
      <c r="V1285" s="28">
        <f>1/(1+Calculation_Assumptions!$B$5)^(B1285-Calculation_Assumptions!$B$2)</f>
        <v>0.76641673234362695</v>
      </c>
      <c r="W1285" s="21">
        <f t="shared" si="206"/>
        <v>18610801.194133352</v>
      </c>
      <c r="X1285" s="21">
        <f t="shared" si="207"/>
        <v>28860426.651659571</v>
      </c>
      <c r="Y1285" s="21">
        <f t="shared" si="208"/>
        <v>10249625.457526216</v>
      </c>
      <c r="Z1285" s="15">
        <f>IFERROR(INDEX(Cost_Components!$T$2:$T$27,MATCH(E1285,Cost_Components!$A$2:$A$27,0)),"")</f>
        <v>0.8</v>
      </c>
      <c r="AA1285" s="24">
        <f>IFERROR(INDEX(Cost_Components!$U$2:$U$27,MATCH(E1285,Cost_Components!$A$2:$A$27,0)),"")</f>
        <v>2025</v>
      </c>
      <c r="AB1285" s="24">
        <f>IFERROR(INDEX(Cost_Components!$V$2:$V$27,MATCH(E1285,Cost_Components!$A$2:$A$27,0)),"")</f>
        <v>2050</v>
      </c>
      <c r="AC1285" s="24">
        <f>IFERROR(INDEX(Cost_Components!$M$2:$M$27,MATCH(E1285,Cost_Components!$A$2:$A$27,0)),"")</f>
        <v>30</v>
      </c>
      <c r="AD1285" s="24">
        <f>IFERROR(INDEX(Cost_Components!$N$2:$N$27,MATCH(E1285,Cost_Components!$A$2:$A$27,0)),"")</f>
        <v>95</v>
      </c>
      <c r="AE1285" s="14" t="str">
        <f>IFERROR(INDEX(Cost_Components!$O$2:$O$27,MATCH(E1285,Cost_Components!$A$2:$A$27,0)),"")</f>
        <v>Both</v>
      </c>
      <c r="AF1285" s="11">
        <v>4272590.9985241098</v>
      </c>
      <c r="AG1285" s="11">
        <v>4430202.7639356703</v>
      </c>
      <c r="AH1285" s="21">
        <f t="shared" si="209"/>
        <v>1</v>
      </c>
    </row>
    <row r="1286" spans="1:34" hidden="1">
      <c r="A1286" t="s">
        <v>75</v>
      </c>
      <c r="B1286" s="18">
        <v>2035</v>
      </c>
      <c r="C1286" t="s">
        <v>217</v>
      </c>
      <c r="D1286" t="s">
        <v>181</v>
      </c>
      <c r="E1286" s="20" t="s">
        <v>315</v>
      </c>
      <c r="F1286" s="20" t="s">
        <v>316</v>
      </c>
      <c r="G1286" s="20" t="s">
        <v>221</v>
      </c>
      <c r="H1286" s="20" t="s">
        <v>192</v>
      </c>
      <c r="I1286" s="20" t="s">
        <v>264</v>
      </c>
      <c r="J1286" s="15">
        <f>IFERROR(INDEX(Cost_Components!$K$2:$K$27,MATCH(E1286,Cost_Components!$A$2:$A$27,0)),"")</f>
        <v>0.5</v>
      </c>
      <c r="K1286" s="15">
        <f t="shared" si="200"/>
        <v>0.51730769230769236</v>
      </c>
      <c r="L1286" s="15">
        <f>IFERROR(INDEX(Cost_Components!$S$2:$S$27,MATCH(E1286,Cost_Components!$A$2:$A$27,0)),"")</f>
        <v>0.31</v>
      </c>
      <c r="M1286" s="26">
        <f>IFERROR(INDEX(Cost_Components!$L$2:$L$27,MATCH(E1286,Cost_Components!$A$2:$A$27,0)),"")</f>
        <v>1</v>
      </c>
      <c r="N1286" s="27">
        <f>IFERROR(INDEX(Cost_Components!$P$2:$P$27,MATCH(E1286,Cost_Components!$A$2:$A$27,0)),"")</f>
        <v>35.362648999999998</v>
      </c>
      <c r="O1286" s="21">
        <f t="shared" si="201"/>
        <v>2175472.0369080799</v>
      </c>
      <c r="P1286" s="21">
        <f t="shared" si="202"/>
        <v>2268872.7736903951</v>
      </c>
      <c r="Q1286" s="21">
        <f t="shared" si="203"/>
        <v>24872338.971717659</v>
      </c>
      <c r="R1286" s="21">
        <f t="shared" si="204"/>
        <v>39796715.653044775</v>
      </c>
      <c r="S1286" s="21">
        <f t="shared" si="205"/>
        <v>14924376.681327116</v>
      </c>
      <c r="T1286" s="14">
        <f>IFERROR(INDEX(Cost_Components!$R$2:$R$27,MATCH(E1286,Cost_Components!$A$2:$A$27,0)),"")</f>
        <v>1</v>
      </c>
      <c r="U1286" s="24">
        <f>IFERROR(INDEX(Cost_Components!$Q$2:$Q$27,MATCH(E1286,Cost_Components!$A$2:$A$27,0)),"")</f>
        <v>2023</v>
      </c>
      <c r="V1286" s="28">
        <f>1/(1+Calculation_Assumptions!$B$5)^(B1286-Calculation_Assumptions!$B$2)</f>
        <v>0.74409391489672516</v>
      </c>
      <c r="W1286" s="21">
        <f t="shared" si="206"/>
        <v>18507356.078103781</v>
      </c>
      <c r="X1286" s="21">
        <f t="shared" si="207"/>
        <v>29612493.950305868</v>
      </c>
      <c r="Y1286" s="21">
        <f t="shared" si="208"/>
        <v>11105137.872202089</v>
      </c>
      <c r="Z1286" s="15">
        <f>IFERROR(INDEX(Cost_Components!$T$2:$T$27,MATCH(E1286,Cost_Components!$A$2:$A$27,0)),"")</f>
        <v>0.8</v>
      </c>
      <c r="AA1286" s="24">
        <f>IFERROR(INDEX(Cost_Components!$U$2:$U$27,MATCH(E1286,Cost_Components!$A$2:$A$27,0)),"")</f>
        <v>2025</v>
      </c>
      <c r="AB1286" s="24">
        <f>IFERROR(INDEX(Cost_Components!$V$2:$V$27,MATCH(E1286,Cost_Components!$A$2:$A$27,0)),"")</f>
        <v>2050</v>
      </c>
      <c r="AC1286" s="24">
        <f>IFERROR(INDEX(Cost_Components!$M$2:$M$27,MATCH(E1286,Cost_Components!$A$2:$A$27,0)),"")</f>
        <v>30</v>
      </c>
      <c r="AD1286" s="24">
        <f>IFERROR(INDEX(Cost_Components!$N$2:$N$27,MATCH(E1286,Cost_Components!$A$2:$A$27,0)),"")</f>
        <v>95</v>
      </c>
      <c r="AE1286" s="14" t="str">
        <f>IFERROR(INDEX(Cost_Components!$O$2:$O$27,MATCH(E1286,Cost_Components!$A$2:$A$27,0)),"")</f>
        <v>Both</v>
      </c>
      <c r="AF1286" s="11">
        <v>4350944.0738161597</v>
      </c>
      <c r="AG1286" s="11">
        <v>4537745.5473807901</v>
      </c>
      <c r="AH1286" s="21">
        <f t="shared" si="209"/>
        <v>1</v>
      </c>
    </row>
    <row r="1287" spans="1:34" hidden="1">
      <c r="A1287" t="s">
        <v>75</v>
      </c>
      <c r="B1287" s="18">
        <v>2036</v>
      </c>
      <c r="C1287" t="s">
        <v>217</v>
      </c>
      <c r="D1287" t="s">
        <v>181</v>
      </c>
      <c r="E1287" s="20" t="s">
        <v>315</v>
      </c>
      <c r="F1287" s="20" t="s">
        <v>316</v>
      </c>
      <c r="G1287" s="20" t="s">
        <v>221</v>
      </c>
      <c r="H1287" s="20" t="s">
        <v>192</v>
      </c>
      <c r="I1287" s="20" t="s">
        <v>264</v>
      </c>
      <c r="J1287" s="15">
        <f>IFERROR(INDEX(Cost_Components!$K$2:$K$27,MATCH(E1287,Cost_Components!$A$2:$A$27,0)),"")</f>
        <v>0.5</v>
      </c>
      <c r="K1287" s="15">
        <f t="shared" si="200"/>
        <v>0.5361538461538462</v>
      </c>
      <c r="L1287" s="15">
        <f>IFERROR(INDEX(Cost_Components!$S$2:$S$27,MATCH(E1287,Cost_Components!$A$2:$A$27,0)),"")</f>
        <v>0.31</v>
      </c>
      <c r="M1287" s="26">
        <f>IFERROR(INDEX(Cost_Components!$L$2:$L$27,MATCH(E1287,Cost_Components!$A$2:$A$27,0)),"")</f>
        <v>1</v>
      </c>
      <c r="N1287" s="27">
        <f>IFERROR(INDEX(Cost_Components!$P$2:$P$27,MATCH(E1287,Cost_Components!$A$2:$A$27,0)),"")</f>
        <v>35.362648999999998</v>
      </c>
      <c r="O1287" s="21">
        <f t="shared" si="201"/>
        <v>2212690.7687805048</v>
      </c>
      <c r="P1287" s="21">
        <f t="shared" si="202"/>
        <v>2321646.4260249049</v>
      </c>
      <c r="Q1287" s="21">
        <f t="shared" si="203"/>
        <v>25450865.976343185</v>
      </c>
      <c r="R1287" s="21">
        <f t="shared" si="204"/>
        <v>41952219.292570643</v>
      </c>
      <c r="S1287" s="21">
        <f t="shared" si="205"/>
        <v>16501353.316227458</v>
      </c>
      <c r="T1287" s="14">
        <f>IFERROR(INDEX(Cost_Components!$R$2:$R$27,MATCH(E1287,Cost_Components!$A$2:$A$27,0)),"")</f>
        <v>1</v>
      </c>
      <c r="U1287" s="24">
        <f>IFERROR(INDEX(Cost_Components!$Q$2:$Q$27,MATCH(E1287,Cost_Components!$A$2:$A$27,0)),"")</f>
        <v>2023</v>
      </c>
      <c r="V1287" s="28">
        <f>1/(1+Calculation_Assumptions!$B$5)^(B1287-Calculation_Assumptions!$B$2)</f>
        <v>0.72242127659876232</v>
      </c>
      <c r="W1287" s="21">
        <f t="shared" si="206"/>
        <v>18386247.08917385</v>
      </c>
      <c r="X1287" s="21">
        <f t="shared" si="207"/>
        <v>30307175.817490108</v>
      </c>
      <c r="Y1287" s="21">
        <f t="shared" si="208"/>
        <v>11920928.728316261</v>
      </c>
      <c r="Z1287" s="15">
        <f>IFERROR(INDEX(Cost_Components!$T$2:$T$27,MATCH(E1287,Cost_Components!$A$2:$A$27,0)),"")</f>
        <v>0.8</v>
      </c>
      <c r="AA1287" s="24">
        <f>IFERROR(INDEX(Cost_Components!$U$2:$U$27,MATCH(E1287,Cost_Components!$A$2:$A$27,0)),"")</f>
        <v>2025</v>
      </c>
      <c r="AB1287" s="24">
        <f>IFERROR(INDEX(Cost_Components!$V$2:$V$27,MATCH(E1287,Cost_Components!$A$2:$A$27,0)),"")</f>
        <v>2050</v>
      </c>
      <c r="AC1287" s="24">
        <f>IFERROR(INDEX(Cost_Components!$M$2:$M$27,MATCH(E1287,Cost_Components!$A$2:$A$27,0)),"")</f>
        <v>30</v>
      </c>
      <c r="AD1287" s="24">
        <f>IFERROR(INDEX(Cost_Components!$N$2:$N$27,MATCH(E1287,Cost_Components!$A$2:$A$27,0)),"")</f>
        <v>95</v>
      </c>
      <c r="AE1287" s="14" t="str">
        <f>IFERROR(INDEX(Cost_Components!$O$2:$O$27,MATCH(E1287,Cost_Components!$A$2:$A$27,0)),"")</f>
        <v>Both</v>
      </c>
      <c r="AF1287" s="11">
        <v>4425381.5375610096</v>
      </c>
      <c r="AG1287" s="11">
        <v>4643292.8520498099</v>
      </c>
      <c r="AH1287" s="21">
        <f t="shared" si="209"/>
        <v>1</v>
      </c>
    </row>
    <row r="1288" spans="1:34" hidden="1">
      <c r="A1288" t="s">
        <v>75</v>
      </c>
      <c r="B1288" s="18">
        <v>2037</v>
      </c>
      <c r="C1288" t="s">
        <v>217</v>
      </c>
      <c r="D1288" t="s">
        <v>181</v>
      </c>
      <c r="E1288" s="20" t="s">
        <v>315</v>
      </c>
      <c r="F1288" s="20" t="s">
        <v>316</v>
      </c>
      <c r="G1288" s="20" t="s">
        <v>221</v>
      </c>
      <c r="H1288" s="20" t="s">
        <v>192</v>
      </c>
      <c r="I1288" s="20" t="s">
        <v>264</v>
      </c>
      <c r="J1288" s="15">
        <f>IFERROR(INDEX(Cost_Components!$K$2:$K$27,MATCH(E1288,Cost_Components!$A$2:$A$27,0)),"")</f>
        <v>0.5</v>
      </c>
      <c r="K1288" s="15">
        <f t="shared" si="200"/>
        <v>0.55500000000000005</v>
      </c>
      <c r="L1288" s="15">
        <f>IFERROR(INDEX(Cost_Components!$S$2:$S$27,MATCH(E1288,Cost_Components!$A$2:$A$27,0)),"")</f>
        <v>0.31</v>
      </c>
      <c r="M1288" s="26">
        <f>IFERROR(INDEX(Cost_Components!$L$2:$L$27,MATCH(E1288,Cost_Components!$A$2:$A$27,0)),"")</f>
        <v>1</v>
      </c>
      <c r="N1288" s="27">
        <f>IFERROR(INDEX(Cost_Components!$P$2:$P$27,MATCH(E1288,Cost_Components!$A$2:$A$27,0)),"")</f>
        <v>35.362648999999998</v>
      </c>
      <c r="O1288" s="21">
        <f t="shared" si="201"/>
        <v>2247944.3840481699</v>
      </c>
      <c r="P1288" s="21">
        <f t="shared" si="202"/>
        <v>2373348.357711555</v>
      </c>
      <c r="Q1288" s="21">
        <f t="shared" si="203"/>
        <v>26017644.327828851</v>
      </c>
      <c r="R1288" s="21">
        <f t="shared" si="204"/>
        <v>44118763.86466223</v>
      </c>
      <c r="S1288" s="21">
        <f t="shared" si="205"/>
        <v>18101119.536833379</v>
      </c>
      <c r="T1288" s="14">
        <f>IFERROR(INDEX(Cost_Components!$R$2:$R$27,MATCH(E1288,Cost_Components!$A$2:$A$27,0)),"")</f>
        <v>1</v>
      </c>
      <c r="U1288" s="24">
        <f>IFERROR(INDEX(Cost_Components!$Q$2:$Q$27,MATCH(E1288,Cost_Components!$A$2:$A$27,0)),"")</f>
        <v>2023</v>
      </c>
      <c r="V1288" s="28">
        <f>1/(1+Calculation_Assumptions!$B$5)^(B1288-Calculation_Assumptions!$B$2)</f>
        <v>0.70137988019297326</v>
      </c>
      <c r="W1288" s="21">
        <f t="shared" si="206"/>
        <v>18248252.261555988</v>
      </c>
      <c r="X1288" s="21">
        <f t="shared" si="207"/>
        <v>30944013.313658874</v>
      </c>
      <c r="Y1288" s="21">
        <f t="shared" si="208"/>
        <v>12695761.052102882</v>
      </c>
      <c r="Z1288" s="15">
        <f>IFERROR(INDEX(Cost_Components!$T$2:$T$27,MATCH(E1288,Cost_Components!$A$2:$A$27,0)),"")</f>
        <v>0.8</v>
      </c>
      <c r="AA1288" s="24">
        <f>IFERROR(INDEX(Cost_Components!$U$2:$U$27,MATCH(E1288,Cost_Components!$A$2:$A$27,0)),"")</f>
        <v>2025</v>
      </c>
      <c r="AB1288" s="24">
        <f>IFERROR(INDEX(Cost_Components!$V$2:$V$27,MATCH(E1288,Cost_Components!$A$2:$A$27,0)),"")</f>
        <v>2050</v>
      </c>
      <c r="AC1288" s="24">
        <f>IFERROR(INDEX(Cost_Components!$M$2:$M$27,MATCH(E1288,Cost_Components!$A$2:$A$27,0)),"")</f>
        <v>30</v>
      </c>
      <c r="AD1288" s="24">
        <f>IFERROR(INDEX(Cost_Components!$N$2:$N$27,MATCH(E1288,Cost_Components!$A$2:$A$27,0)),"")</f>
        <v>95</v>
      </c>
      <c r="AE1288" s="14" t="str">
        <f>IFERROR(INDEX(Cost_Components!$O$2:$O$27,MATCH(E1288,Cost_Components!$A$2:$A$27,0)),"")</f>
        <v>Both</v>
      </c>
      <c r="AF1288" s="11">
        <v>4495888.7680963399</v>
      </c>
      <c r="AG1288" s="11">
        <v>4746696.7154231099</v>
      </c>
      <c r="AH1288" s="21">
        <f t="shared" si="209"/>
        <v>1</v>
      </c>
    </row>
    <row r="1289" spans="1:34" hidden="1">
      <c r="A1289" t="s">
        <v>75</v>
      </c>
      <c r="B1289" s="18">
        <v>2038</v>
      </c>
      <c r="C1289" t="s">
        <v>217</v>
      </c>
      <c r="D1289" t="s">
        <v>181</v>
      </c>
      <c r="E1289" s="20" t="s">
        <v>315</v>
      </c>
      <c r="F1289" s="20" t="s">
        <v>316</v>
      </c>
      <c r="G1289" s="20" t="s">
        <v>221</v>
      </c>
      <c r="H1289" s="20" t="s">
        <v>192</v>
      </c>
      <c r="I1289" s="20" t="s">
        <v>264</v>
      </c>
      <c r="J1289" s="15">
        <f>IFERROR(INDEX(Cost_Components!$K$2:$K$27,MATCH(E1289,Cost_Components!$A$2:$A$27,0)),"")</f>
        <v>0.5</v>
      </c>
      <c r="K1289" s="15">
        <f t="shared" si="200"/>
        <v>0.57384615384615389</v>
      </c>
      <c r="L1289" s="15">
        <f>IFERROR(INDEX(Cost_Components!$S$2:$S$27,MATCH(E1289,Cost_Components!$A$2:$A$27,0)),"")</f>
        <v>0.31</v>
      </c>
      <c r="M1289" s="26">
        <f>IFERROR(INDEX(Cost_Components!$L$2:$L$27,MATCH(E1289,Cost_Components!$A$2:$A$27,0)),"")</f>
        <v>1</v>
      </c>
      <c r="N1289" s="27">
        <f>IFERROR(INDEX(Cost_Components!$P$2:$P$27,MATCH(E1289,Cost_Components!$A$2:$A$27,0)),"")</f>
        <v>35.362648999999998</v>
      </c>
      <c r="O1289" s="21">
        <f t="shared" si="201"/>
        <v>2281245.0809726152</v>
      </c>
      <c r="P1289" s="21">
        <f t="shared" si="202"/>
        <v>2423925.167415835</v>
      </c>
      <c r="Q1289" s="21">
        <f t="shared" si="203"/>
        <v>26572088.618253645</v>
      </c>
      <c r="R1289" s="21">
        <f t="shared" si="204"/>
        <v>46292667.949794404</v>
      </c>
      <c r="S1289" s="21">
        <f t="shared" si="205"/>
        <v>19720579.33154076</v>
      </c>
      <c r="T1289" s="14">
        <f>IFERROR(INDEX(Cost_Components!$R$2:$R$27,MATCH(E1289,Cost_Components!$A$2:$A$27,0)),"")</f>
        <v>1</v>
      </c>
      <c r="U1289" s="24">
        <f>IFERROR(INDEX(Cost_Components!$Q$2:$Q$27,MATCH(E1289,Cost_Components!$A$2:$A$27,0)),"")</f>
        <v>2023</v>
      </c>
      <c r="V1289" s="28">
        <f>1/(1+Calculation_Assumptions!$B$5)^(B1289-Calculation_Assumptions!$B$2)</f>
        <v>0.68095133999317792</v>
      </c>
      <c r="W1289" s="21">
        <f t="shared" si="206"/>
        <v>18094299.351017293</v>
      </c>
      <c r="X1289" s="21">
        <f t="shared" si="207"/>
        <v>31523054.272271741</v>
      </c>
      <c r="Y1289" s="21">
        <f t="shared" si="208"/>
        <v>13428754.921254449</v>
      </c>
      <c r="Z1289" s="15">
        <f>IFERROR(INDEX(Cost_Components!$T$2:$T$27,MATCH(E1289,Cost_Components!$A$2:$A$27,0)),"")</f>
        <v>0.8</v>
      </c>
      <c r="AA1289" s="24">
        <f>IFERROR(INDEX(Cost_Components!$U$2:$U$27,MATCH(E1289,Cost_Components!$A$2:$A$27,0)),"")</f>
        <v>2025</v>
      </c>
      <c r="AB1289" s="24">
        <f>IFERROR(INDEX(Cost_Components!$V$2:$V$27,MATCH(E1289,Cost_Components!$A$2:$A$27,0)),"")</f>
        <v>2050</v>
      </c>
      <c r="AC1289" s="24">
        <f>IFERROR(INDEX(Cost_Components!$M$2:$M$27,MATCH(E1289,Cost_Components!$A$2:$A$27,0)),"")</f>
        <v>30</v>
      </c>
      <c r="AD1289" s="24">
        <f>IFERROR(INDEX(Cost_Components!$N$2:$N$27,MATCH(E1289,Cost_Components!$A$2:$A$27,0)),"")</f>
        <v>95</v>
      </c>
      <c r="AE1289" s="14" t="str">
        <f>IFERROR(INDEX(Cost_Components!$O$2:$O$27,MATCH(E1289,Cost_Components!$A$2:$A$27,0)),"")</f>
        <v>Both</v>
      </c>
      <c r="AF1289" s="11">
        <v>4562490.1619452303</v>
      </c>
      <c r="AG1289" s="11">
        <v>4847850.3348316699</v>
      </c>
      <c r="AH1289" s="21">
        <f t="shared" si="209"/>
        <v>1</v>
      </c>
    </row>
    <row r="1290" spans="1:34" hidden="1">
      <c r="A1290" t="s">
        <v>75</v>
      </c>
      <c r="B1290" s="18">
        <v>2039</v>
      </c>
      <c r="C1290" t="s">
        <v>217</v>
      </c>
      <c r="D1290" t="s">
        <v>181</v>
      </c>
      <c r="E1290" s="20" t="s">
        <v>315</v>
      </c>
      <c r="F1290" s="20" t="s">
        <v>316</v>
      </c>
      <c r="G1290" s="20" t="s">
        <v>221</v>
      </c>
      <c r="H1290" s="20" t="s">
        <v>192</v>
      </c>
      <c r="I1290" s="20" t="s">
        <v>264</v>
      </c>
      <c r="J1290" s="15">
        <f>IFERROR(INDEX(Cost_Components!$K$2:$K$27,MATCH(E1290,Cost_Components!$A$2:$A$27,0)),"")</f>
        <v>0.5</v>
      </c>
      <c r="K1290" s="15">
        <f t="shared" si="200"/>
        <v>0.59269230769230763</v>
      </c>
      <c r="L1290" s="15">
        <f>IFERROR(INDEX(Cost_Components!$S$2:$S$27,MATCH(E1290,Cost_Components!$A$2:$A$27,0)),"")</f>
        <v>0.31</v>
      </c>
      <c r="M1290" s="26">
        <f>IFERROR(INDEX(Cost_Components!$L$2:$L$27,MATCH(E1290,Cost_Components!$A$2:$A$27,0)),"")</f>
        <v>1</v>
      </c>
      <c r="N1290" s="27">
        <f>IFERROR(INDEX(Cost_Components!$P$2:$P$27,MATCH(E1290,Cost_Components!$A$2:$A$27,0)),"")</f>
        <v>35.362648999999998</v>
      </c>
      <c r="O1290" s="21">
        <f t="shared" si="201"/>
        <v>2312567.60565237</v>
      </c>
      <c r="P1290" s="21">
        <f t="shared" si="202"/>
        <v>2473283.6949525201</v>
      </c>
      <c r="Q1290" s="21">
        <f t="shared" si="203"/>
        <v>27113177.586429</v>
      </c>
      <c r="R1290" s="21">
        <f t="shared" si="204"/>
        <v>48469497.680310927</v>
      </c>
      <c r="S1290" s="21">
        <f t="shared" si="205"/>
        <v>21356320.093881927</v>
      </c>
      <c r="T1290" s="14">
        <f>IFERROR(INDEX(Cost_Components!$R$2:$R$27,MATCH(E1290,Cost_Components!$A$2:$A$27,0)),"")</f>
        <v>1</v>
      </c>
      <c r="U1290" s="24">
        <f>IFERROR(INDEX(Cost_Components!$Q$2:$Q$27,MATCH(E1290,Cost_Components!$A$2:$A$27,0)),"")</f>
        <v>2023</v>
      </c>
      <c r="V1290" s="28">
        <f>1/(1+Calculation_Assumptions!$B$5)^(B1290-Calculation_Assumptions!$B$2)</f>
        <v>0.66111780581861923</v>
      </c>
      <c r="W1290" s="21">
        <f t="shared" si="206"/>
        <v>17925004.474710505</v>
      </c>
      <c r="X1290" s="21">
        <f t="shared" si="207"/>
        <v>32044047.955537815</v>
      </c>
      <c r="Y1290" s="21">
        <f t="shared" si="208"/>
        <v>14119043.480827307</v>
      </c>
      <c r="Z1290" s="15">
        <f>IFERROR(INDEX(Cost_Components!$T$2:$T$27,MATCH(E1290,Cost_Components!$A$2:$A$27,0)),"")</f>
        <v>0.8</v>
      </c>
      <c r="AA1290" s="24">
        <f>IFERROR(INDEX(Cost_Components!$U$2:$U$27,MATCH(E1290,Cost_Components!$A$2:$A$27,0)),"")</f>
        <v>2025</v>
      </c>
      <c r="AB1290" s="24">
        <f>IFERROR(INDEX(Cost_Components!$V$2:$V$27,MATCH(E1290,Cost_Components!$A$2:$A$27,0)),"")</f>
        <v>2050</v>
      </c>
      <c r="AC1290" s="24">
        <f>IFERROR(INDEX(Cost_Components!$M$2:$M$27,MATCH(E1290,Cost_Components!$A$2:$A$27,0)),"")</f>
        <v>30</v>
      </c>
      <c r="AD1290" s="24">
        <f>IFERROR(INDEX(Cost_Components!$N$2:$N$27,MATCH(E1290,Cost_Components!$A$2:$A$27,0)),"")</f>
        <v>95</v>
      </c>
      <c r="AE1290" s="14" t="str">
        <f>IFERROR(INDEX(Cost_Components!$O$2:$O$27,MATCH(E1290,Cost_Components!$A$2:$A$27,0)),"")</f>
        <v>Both</v>
      </c>
      <c r="AF1290" s="11">
        <v>4625135.21130474</v>
      </c>
      <c r="AG1290" s="11">
        <v>4946567.3899050402</v>
      </c>
      <c r="AH1290" s="21">
        <f t="shared" si="209"/>
        <v>1</v>
      </c>
    </row>
    <row r="1291" spans="1:34" hidden="1">
      <c r="A1291" t="s">
        <v>75</v>
      </c>
      <c r="B1291" s="18">
        <v>2040</v>
      </c>
      <c r="C1291" t="s">
        <v>217</v>
      </c>
      <c r="D1291" t="s">
        <v>181</v>
      </c>
      <c r="E1291" s="20" t="s">
        <v>315</v>
      </c>
      <c r="F1291" s="20" t="s">
        <v>316</v>
      </c>
      <c r="G1291" s="20" t="s">
        <v>221</v>
      </c>
      <c r="H1291" s="20" t="s">
        <v>192</v>
      </c>
      <c r="I1291" s="20" t="s">
        <v>264</v>
      </c>
      <c r="J1291" s="15">
        <f>IFERROR(INDEX(Cost_Components!$K$2:$K$27,MATCH(E1291,Cost_Components!$A$2:$A$27,0)),"")</f>
        <v>0.5</v>
      </c>
      <c r="K1291" s="15">
        <f t="shared" si="200"/>
        <v>0.61153846153846159</v>
      </c>
      <c r="L1291" s="15">
        <f>IFERROR(INDEX(Cost_Components!$S$2:$S$27,MATCH(E1291,Cost_Components!$A$2:$A$27,0)),"")</f>
        <v>0.31</v>
      </c>
      <c r="M1291" s="26">
        <f>IFERROR(INDEX(Cost_Components!$L$2:$L$27,MATCH(E1291,Cost_Components!$A$2:$A$27,0)),"")</f>
        <v>1</v>
      </c>
      <c r="N1291" s="27">
        <f>IFERROR(INDEX(Cost_Components!$P$2:$P$27,MATCH(E1291,Cost_Components!$A$2:$A$27,0)),"")</f>
        <v>35.362648999999998</v>
      </c>
      <c r="O1291" s="21">
        <f t="shared" si="201"/>
        <v>2342023.2410179549</v>
      </c>
      <c r="P1291" s="21">
        <f t="shared" si="202"/>
        <v>2521470.0766744148</v>
      </c>
      <c r="Q1291" s="21">
        <f t="shared" si="203"/>
        <v>27641416.998486526</v>
      </c>
      <c r="R1291" s="21">
        <f t="shared" si="204"/>
        <v>50647704.560352668</v>
      </c>
      <c r="S1291" s="21">
        <f t="shared" si="205"/>
        <v>23006287.561866142</v>
      </c>
      <c r="T1291" s="14">
        <f>IFERROR(INDEX(Cost_Components!$R$2:$R$27,MATCH(E1291,Cost_Components!$A$2:$A$27,0)),"")</f>
        <v>1</v>
      </c>
      <c r="U1291" s="24">
        <f>IFERROR(INDEX(Cost_Components!$Q$2:$Q$27,MATCH(E1291,Cost_Components!$A$2:$A$27,0)),"")</f>
        <v>2023</v>
      </c>
      <c r="V1291" s="28">
        <f>1/(1+Calculation_Assumptions!$B$5)^(B1291-Calculation_Assumptions!$B$2)</f>
        <v>0.64186194739671765</v>
      </c>
      <c r="W1291" s="21">
        <f t="shared" si="206"/>
        <v>17741973.743453294</v>
      </c>
      <c r="X1291" s="21">
        <f t="shared" si="207"/>
        <v>32508834.280281581</v>
      </c>
      <c r="Y1291" s="21">
        <f t="shared" si="208"/>
        <v>14766860.536828285</v>
      </c>
      <c r="Z1291" s="15">
        <f>IFERROR(INDEX(Cost_Components!$T$2:$T$27,MATCH(E1291,Cost_Components!$A$2:$A$27,0)),"")</f>
        <v>0.8</v>
      </c>
      <c r="AA1291" s="24">
        <f>IFERROR(INDEX(Cost_Components!$U$2:$U$27,MATCH(E1291,Cost_Components!$A$2:$A$27,0)),"")</f>
        <v>2025</v>
      </c>
      <c r="AB1291" s="24">
        <f>IFERROR(INDEX(Cost_Components!$V$2:$V$27,MATCH(E1291,Cost_Components!$A$2:$A$27,0)),"")</f>
        <v>2050</v>
      </c>
      <c r="AC1291" s="24">
        <f>IFERROR(INDEX(Cost_Components!$M$2:$M$27,MATCH(E1291,Cost_Components!$A$2:$A$27,0)),"")</f>
        <v>30</v>
      </c>
      <c r="AD1291" s="24">
        <f>IFERROR(INDEX(Cost_Components!$N$2:$N$27,MATCH(E1291,Cost_Components!$A$2:$A$27,0)),"")</f>
        <v>95</v>
      </c>
      <c r="AE1291" s="14" t="str">
        <f>IFERROR(INDEX(Cost_Components!$O$2:$O$27,MATCH(E1291,Cost_Components!$A$2:$A$27,0)),"")</f>
        <v>Both</v>
      </c>
      <c r="AF1291" s="11">
        <v>4684046.4820359098</v>
      </c>
      <c r="AG1291" s="11">
        <v>5042940.1533488296</v>
      </c>
      <c r="AH1291" s="21">
        <f t="shared" si="209"/>
        <v>1</v>
      </c>
    </row>
    <row r="1292" spans="1:34" hidden="1">
      <c r="A1292" t="s">
        <v>75</v>
      </c>
      <c r="B1292" s="18">
        <v>2041</v>
      </c>
      <c r="C1292" t="s">
        <v>217</v>
      </c>
      <c r="D1292" t="s">
        <v>181</v>
      </c>
      <c r="E1292" s="20" t="s">
        <v>315</v>
      </c>
      <c r="F1292" s="20" t="s">
        <v>316</v>
      </c>
      <c r="G1292" s="20" t="s">
        <v>221</v>
      </c>
      <c r="H1292" s="20" t="s">
        <v>192</v>
      </c>
      <c r="I1292" s="20" t="s">
        <v>264</v>
      </c>
      <c r="J1292" s="15">
        <f>IFERROR(INDEX(Cost_Components!$K$2:$K$27,MATCH(E1292,Cost_Components!$A$2:$A$27,0)),"")</f>
        <v>0.5</v>
      </c>
      <c r="K1292" s="15">
        <f t="shared" si="200"/>
        <v>0.63038461538461543</v>
      </c>
      <c r="L1292" s="15">
        <f>IFERROR(INDEX(Cost_Components!$S$2:$S$27,MATCH(E1292,Cost_Components!$A$2:$A$27,0)),"")</f>
        <v>0.31</v>
      </c>
      <c r="M1292" s="26">
        <f>IFERROR(INDEX(Cost_Components!$L$2:$L$27,MATCH(E1292,Cost_Components!$A$2:$A$27,0)),"")</f>
        <v>1</v>
      </c>
      <c r="N1292" s="27">
        <f>IFERROR(INDEX(Cost_Components!$P$2:$P$27,MATCH(E1292,Cost_Components!$A$2:$A$27,0)),"")</f>
        <v>35.362648999999998</v>
      </c>
      <c r="O1292" s="21">
        <f t="shared" si="201"/>
        <v>2369633.021468915</v>
      </c>
      <c r="P1292" s="21">
        <f t="shared" si="202"/>
        <v>2568438.3190627601</v>
      </c>
      <c r="Q1292" s="21">
        <f t="shared" si="203"/>
        <v>28156302.65410158</v>
      </c>
      <c r="R1292" s="21">
        <f t="shared" si="204"/>
        <v>52824024.925502732</v>
      </c>
      <c r="S1292" s="21">
        <f t="shared" si="205"/>
        <v>24667722.271401152</v>
      </c>
      <c r="T1292" s="14">
        <f>IFERROR(INDEX(Cost_Components!$R$2:$R$27,MATCH(E1292,Cost_Components!$A$2:$A$27,0)),"")</f>
        <v>1</v>
      </c>
      <c r="U1292" s="24">
        <f>IFERROR(INDEX(Cost_Components!$Q$2:$Q$27,MATCH(E1292,Cost_Components!$A$2:$A$27,0)),"")</f>
        <v>2023</v>
      </c>
      <c r="V1292" s="28">
        <f>1/(1+Calculation_Assumptions!$B$5)^(B1292-Calculation_Assumptions!$B$2)</f>
        <v>0.62316693922011435</v>
      </c>
      <c r="W1292" s="21">
        <f t="shared" si="206"/>
        <v>17546076.944711663</v>
      </c>
      <c r="X1292" s="21">
        <f t="shared" si="207"/>
        <v>32918185.930112567</v>
      </c>
      <c r="Y1292" s="21">
        <f t="shared" si="208"/>
        <v>15372108.985400902</v>
      </c>
      <c r="Z1292" s="15">
        <f>IFERROR(INDEX(Cost_Components!$T$2:$T$27,MATCH(E1292,Cost_Components!$A$2:$A$27,0)),"")</f>
        <v>0.8</v>
      </c>
      <c r="AA1292" s="24">
        <f>IFERROR(INDEX(Cost_Components!$U$2:$U$27,MATCH(E1292,Cost_Components!$A$2:$A$27,0)),"")</f>
        <v>2025</v>
      </c>
      <c r="AB1292" s="24">
        <f>IFERROR(INDEX(Cost_Components!$V$2:$V$27,MATCH(E1292,Cost_Components!$A$2:$A$27,0)),"")</f>
        <v>2050</v>
      </c>
      <c r="AC1292" s="24">
        <f>IFERROR(INDEX(Cost_Components!$M$2:$M$27,MATCH(E1292,Cost_Components!$A$2:$A$27,0)),"")</f>
        <v>30</v>
      </c>
      <c r="AD1292" s="24">
        <f>IFERROR(INDEX(Cost_Components!$N$2:$N$27,MATCH(E1292,Cost_Components!$A$2:$A$27,0)),"")</f>
        <v>95</v>
      </c>
      <c r="AE1292" s="14" t="str">
        <f>IFERROR(INDEX(Cost_Components!$O$2:$O$27,MATCH(E1292,Cost_Components!$A$2:$A$27,0)),"")</f>
        <v>Both</v>
      </c>
      <c r="AF1292" s="11">
        <v>4739266.0429378301</v>
      </c>
      <c r="AG1292" s="11">
        <v>5136876.6381255202</v>
      </c>
      <c r="AH1292" s="21">
        <f t="shared" si="209"/>
        <v>1</v>
      </c>
    </row>
    <row r="1293" spans="1:34" hidden="1">
      <c r="A1293" t="s">
        <v>75</v>
      </c>
      <c r="B1293" s="18">
        <v>2042</v>
      </c>
      <c r="C1293" t="s">
        <v>217</v>
      </c>
      <c r="D1293" t="s">
        <v>181</v>
      </c>
      <c r="E1293" s="20" t="s">
        <v>315</v>
      </c>
      <c r="F1293" s="20" t="s">
        <v>316</v>
      </c>
      <c r="G1293" s="20" t="s">
        <v>221</v>
      </c>
      <c r="H1293" s="20" t="s">
        <v>192</v>
      </c>
      <c r="I1293" s="20" t="s">
        <v>264</v>
      </c>
      <c r="J1293" s="15">
        <f>IFERROR(INDEX(Cost_Components!$K$2:$K$27,MATCH(E1293,Cost_Components!$A$2:$A$27,0)),"")</f>
        <v>0.5</v>
      </c>
      <c r="K1293" s="15">
        <f t="shared" si="200"/>
        <v>0.64923076923076928</v>
      </c>
      <c r="L1293" s="15">
        <f>IFERROR(INDEX(Cost_Components!$S$2:$S$27,MATCH(E1293,Cost_Components!$A$2:$A$27,0)),"")</f>
        <v>0.31</v>
      </c>
      <c r="M1293" s="26">
        <f>IFERROR(INDEX(Cost_Components!$L$2:$L$27,MATCH(E1293,Cost_Components!$A$2:$A$27,0)),"")</f>
        <v>1</v>
      </c>
      <c r="N1293" s="27">
        <f>IFERROR(INDEX(Cost_Components!$P$2:$P$27,MATCH(E1293,Cost_Components!$A$2:$A$27,0)),"")</f>
        <v>35.362648999999998</v>
      </c>
      <c r="O1293" s="21">
        <f t="shared" si="201"/>
        <v>2395246.321125715</v>
      </c>
      <c r="P1293" s="21">
        <f t="shared" si="202"/>
        <v>2613966.2705694651</v>
      </c>
      <c r="Q1293" s="21">
        <f t="shared" si="203"/>
        <v>28655399.234435976</v>
      </c>
      <c r="R1293" s="21">
        <f t="shared" si="204"/>
        <v>54991310.118921846</v>
      </c>
      <c r="S1293" s="21">
        <f t="shared" si="205"/>
        <v>26335910.884485871</v>
      </c>
      <c r="T1293" s="14">
        <f>IFERROR(INDEX(Cost_Components!$R$2:$R$27,MATCH(E1293,Cost_Components!$A$2:$A$27,0)),"")</f>
        <v>1</v>
      </c>
      <c r="U1293" s="24">
        <f>IFERROR(INDEX(Cost_Components!$Q$2:$Q$27,MATCH(E1293,Cost_Components!$A$2:$A$27,0)),"")</f>
        <v>2023</v>
      </c>
      <c r="V1293" s="28">
        <f>1/(1+Calculation_Assumptions!$B$5)^(B1293-Calculation_Assumptions!$B$2)</f>
        <v>0.60501644584477121</v>
      </c>
      <c r="W1293" s="21">
        <f t="shared" si="206"/>
        <v>17336987.799081434</v>
      </c>
      <c r="X1293" s="21">
        <f t="shared" si="207"/>
        <v>33270647.000497699</v>
      </c>
      <c r="Y1293" s="21">
        <f t="shared" si="208"/>
        <v>15933659.201416267</v>
      </c>
      <c r="Z1293" s="15">
        <f>IFERROR(INDEX(Cost_Components!$T$2:$T$27,MATCH(E1293,Cost_Components!$A$2:$A$27,0)),"")</f>
        <v>0.8</v>
      </c>
      <c r="AA1293" s="24">
        <f>IFERROR(INDEX(Cost_Components!$U$2:$U$27,MATCH(E1293,Cost_Components!$A$2:$A$27,0)),"")</f>
        <v>2025</v>
      </c>
      <c r="AB1293" s="24">
        <f>IFERROR(INDEX(Cost_Components!$V$2:$V$27,MATCH(E1293,Cost_Components!$A$2:$A$27,0)),"")</f>
        <v>2050</v>
      </c>
      <c r="AC1293" s="24">
        <f>IFERROR(INDEX(Cost_Components!$M$2:$M$27,MATCH(E1293,Cost_Components!$A$2:$A$27,0)),"")</f>
        <v>30</v>
      </c>
      <c r="AD1293" s="24">
        <f>IFERROR(INDEX(Cost_Components!$N$2:$N$27,MATCH(E1293,Cost_Components!$A$2:$A$27,0)),"")</f>
        <v>95</v>
      </c>
      <c r="AE1293" s="14" t="str">
        <f>IFERROR(INDEX(Cost_Components!$O$2:$O$27,MATCH(E1293,Cost_Components!$A$2:$A$27,0)),"")</f>
        <v>Both</v>
      </c>
      <c r="AF1293" s="11">
        <v>4790492.6422514301</v>
      </c>
      <c r="AG1293" s="11">
        <v>5227932.5411389302</v>
      </c>
      <c r="AH1293" s="21">
        <f t="shared" si="209"/>
        <v>1</v>
      </c>
    </row>
    <row r="1294" spans="1:34" hidden="1">
      <c r="A1294" t="s">
        <v>75</v>
      </c>
      <c r="B1294" s="18">
        <v>2043</v>
      </c>
      <c r="C1294" t="s">
        <v>217</v>
      </c>
      <c r="D1294" t="s">
        <v>181</v>
      </c>
      <c r="E1294" s="20" t="s">
        <v>315</v>
      </c>
      <c r="F1294" s="20" t="s">
        <v>316</v>
      </c>
      <c r="G1294" s="20" t="s">
        <v>221</v>
      </c>
      <c r="H1294" s="20" t="s">
        <v>192</v>
      </c>
      <c r="I1294" s="20" t="s">
        <v>264</v>
      </c>
      <c r="J1294" s="15">
        <f>IFERROR(INDEX(Cost_Components!$K$2:$K$27,MATCH(E1294,Cost_Components!$A$2:$A$27,0)),"")</f>
        <v>0.5</v>
      </c>
      <c r="K1294" s="15">
        <f t="shared" si="200"/>
        <v>0.66807692307692301</v>
      </c>
      <c r="L1294" s="15">
        <f>IFERROR(INDEX(Cost_Components!$S$2:$S$27,MATCH(E1294,Cost_Components!$A$2:$A$27,0)),"")</f>
        <v>0.31</v>
      </c>
      <c r="M1294" s="26">
        <f>IFERROR(INDEX(Cost_Components!$L$2:$L$27,MATCH(E1294,Cost_Components!$A$2:$A$27,0)),"")</f>
        <v>1</v>
      </c>
      <c r="N1294" s="27">
        <f>IFERROR(INDEX(Cost_Components!$P$2:$P$27,MATCH(E1294,Cost_Components!$A$2:$A$27,0)),"")</f>
        <v>35.362648999999998</v>
      </c>
      <c r="O1294" s="21">
        <f t="shared" si="201"/>
        <v>2418619.1517312452</v>
      </c>
      <c r="P1294" s="21">
        <f t="shared" si="202"/>
        <v>2657749.904765055</v>
      </c>
      <c r="Q1294" s="21">
        <f t="shared" si="203"/>
        <v>29135373.873716921</v>
      </c>
      <c r="R1294" s="21">
        <f t="shared" si="204"/>
        <v>57139804.262002513</v>
      </c>
      <c r="S1294" s="21">
        <f t="shared" si="205"/>
        <v>28004430.388285592</v>
      </c>
      <c r="T1294" s="14">
        <f>IFERROR(INDEX(Cost_Components!$R$2:$R$27,MATCH(E1294,Cost_Components!$A$2:$A$27,0)),"")</f>
        <v>1</v>
      </c>
      <c r="U1294" s="24">
        <f>IFERROR(INDEX(Cost_Components!$Q$2:$Q$27,MATCH(E1294,Cost_Components!$A$2:$A$27,0)),"")</f>
        <v>2023</v>
      </c>
      <c r="V1294" s="28">
        <f>1/(1+Calculation_Assumptions!$B$5)^(B1294-Calculation_Assumptions!$B$2)</f>
        <v>0.5873946076162827</v>
      </c>
      <c r="W1294" s="21">
        <f t="shared" si="206"/>
        <v>17113961.504305646</v>
      </c>
      <c r="X1294" s="21">
        <f t="shared" si="207"/>
        <v>33563612.903750166</v>
      </c>
      <c r="Y1294" s="21">
        <f t="shared" si="208"/>
        <v>16449651.399444519</v>
      </c>
      <c r="Z1294" s="15">
        <f>IFERROR(INDEX(Cost_Components!$T$2:$T$27,MATCH(E1294,Cost_Components!$A$2:$A$27,0)),"")</f>
        <v>0.8</v>
      </c>
      <c r="AA1294" s="24">
        <f>IFERROR(INDEX(Cost_Components!$U$2:$U$27,MATCH(E1294,Cost_Components!$A$2:$A$27,0)),"")</f>
        <v>2025</v>
      </c>
      <c r="AB1294" s="24">
        <f>IFERROR(INDEX(Cost_Components!$V$2:$V$27,MATCH(E1294,Cost_Components!$A$2:$A$27,0)),"")</f>
        <v>2050</v>
      </c>
      <c r="AC1294" s="24">
        <f>IFERROR(INDEX(Cost_Components!$M$2:$M$27,MATCH(E1294,Cost_Components!$A$2:$A$27,0)),"")</f>
        <v>30</v>
      </c>
      <c r="AD1294" s="24">
        <f>IFERROR(INDEX(Cost_Components!$N$2:$N$27,MATCH(E1294,Cost_Components!$A$2:$A$27,0)),"")</f>
        <v>95</v>
      </c>
      <c r="AE1294" s="14" t="str">
        <f>IFERROR(INDEX(Cost_Components!$O$2:$O$27,MATCH(E1294,Cost_Components!$A$2:$A$27,0)),"")</f>
        <v>Both</v>
      </c>
      <c r="AF1294" s="11">
        <v>4837238.3034624904</v>
      </c>
      <c r="AG1294" s="11">
        <v>5315499.8095301101</v>
      </c>
      <c r="AH1294" s="21">
        <f t="shared" si="209"/>
        <v>1</v>
      </c>
    </row>
    <row r="1295" spans="1:34" hidden="1">
      <c r="A1295" t="s">
        <v>75</v>
      </c>
      <c r="B1295" s="18">
        <v>2044</v>
      </c>
      <c r="C1295" t="s">
        <v>217</v>
      </c>
      <c r="D1295" t="s">
        <v>181</v>
      </c>
      <c r="E1295" s="20" t="s">
        <v>315</v>
      </c>
      <c r="F1295" s="20" t="s">
        <v>316</v>
      </c>
      <c r="G1295" s="20" t="s">
        <v>221</v>
      </c>
      <c r="H1295" s="20" t="s">
        <v>192</v>
      </c>
      <c r="I1295" s="20" t="s">
        <v>264</v>
      </c>
      <c r="J1295" s="15">
        <f>IFERROR(INDEX(Cost_Components!$K$2:$K$27,MATCH(E1295,Cost_Components!$A$2:$A$27,0)),"")</f>
        <v>0.5</v>
      </c>
      <c r="K1295" s="15">
        <f t="shared" si="200"/>
        <v>0.68692307692307697</v>
      </c>
      <c r="L1295" s="15">
        <f>IFERROR(INDEX(Cost_Components!$S$2:$S$27,MATCH(E1295,Cost_Components!$A$2:$A$27,0)),"")</f>
        <v>0.31</v>
      </c>
      <c r="M1295" s="26">
        <f>IFERROR(INDEX(Cost_Components!$L$2:$L$27,MATCH(E1295,Cost_Components!$A$2:$A$27,0)),"")</f>
        <v>1</v>
      </c>
      <c r="N1295" s="27">
        <f>IFERROR(INDEX(Cost_Components!$P$2:$P$27,MATCH(E1295,Cost_Components!$A$2:$A$27,0)),"")</f>
        <v>35.362648999999998</v>
      </c>
      <c r="O1295" s="21">
        <f t="shared" si="201"/>
        <v>2439681.9949094001</v>
      </c>
      <c r="P1295" s="21">
        <f t="shared" si="202"/>
        <v>2699661.6525276452</v>
      </c>
      <c r="Q1295" s="21">
        <f t="shared" si="203"/>
        <v>29594828.105499472</v>
      </c>
      <c r="R1295" s="21">
        <f t="shared" si="204"/>
        <v>59263339.173413537</v>
      </c>
      <c r="S1295" s="21">
        <f t="shared" si="205"/>
        <v>29668511.067914065</v>
      </c>
      <c r="T1295" s="14">
        <f>IFERROR(INDEX(Cost_Components!$R$2:$R$27,MATCH(E1295,Cost_Components!$A$2:$A$27,0)),"")</f>
        <v>1</v>
      </c>
      <c r="U1295" s="24">
        <f>IFERROR(INDEX(Cost_Components!$Q$2:$Q$27,MATCH(E1295,Cost_Components!$A$2:$A$27,0)),"")</f>
        <v>2023</v>
      </c>
      <c r="V1295" s="28">
        <f>1/(1+Calculation_Assumptions!$B$5)^(B1295-Calculation_Assumptions!$B$2)</f>
        <v>0.57028602681192497</v>
      </c>
      <c r="W1295" s="21">
        <f t="shared" si="206"/>
        <v>16877516.934467182</v>
      </c>
      <c r="X1295" s="21">
        <f t="shared" si="207"/>
        <v>33797054.232813515</v>
      </c>
      <c r="Y1295" s="21">
        <f t="shared" si="208"/>
        <v>16919537.298346333</v>
      </c>
      <c r="Z1295" s="15">
        <f>IFERROR(INDEX(Cost_Components!$T$2:$T$27,MATCH(E1295,Cost_Components!$A$2:$A$27,0)),"")</f>
        <v>0.8</v>
      </c>
      <c r="AA1295" s="24">
        <f>IFERROR(INDEX(Cost_Components!$U$2:$U$27,MATCH(E1295,Cost_Components!$A$2:$A$27,0)),"")</f>
        <v>2025</v>
      </c>
      <c r="AB1295" s="24">
        <f>IFERROR(INDEX(Cost_Components!$V$2:$V$27,MATCH(E1295,Cost_Components!$A$2:$A$27,0)),"")</f>
        <v>2050</v>
      </c>
      <c r="AC1295" s="24">
        <f>IFERROR(INDEX(Cost_Components!$M$2:$M$27,MATCH(E1295,Cost_Components!$A$2:$A$27,0)),"")</f>
        <v>30</v>
      </c>
      <c r="AD1295" s="24">
        <f>IFERROR(INDEX(Cost_Components!$N$2:$N$27,MATCH(E1295,Cost_Components!$A$2:$A$27,0)),"")</f>
        <v>95</v>
      </c>
      <c r="AE1295" s="14" t="str">
        <f>IFERROR(INDEX(Cost_Components!$O$2:$O$27,MATCH(E1295,Cost_Components!$A$2:$A$27,0)),"")</f>
        <v>Both</v>
      </c>
      <c r="AF1295" s="11">
        <v>4879363.9898188002</v>
      </c>
      <c r="AG1295" s="11">
        <v>5399323.3050552905</v>
      </c>
      <c r="AH1295" s="21">
        <f t="shared" si="209"/>
        <v>1</v>
      </c>
    </row>
    <row r="1296" spans="1:34" hidden="1">
      <c r="A1296" t="s">
        <v>75</v>
      </c>
      <c r="B1296" s="18">
        <v>2045</v>
      </c>
      <c r="C1296" t="s">
        <v>217</v>
      </c>
      <c r="D1296" t="s">
        <v>181</v>
      </c>
      <c r="E1296" s="20" t="s">
        <v>315</v>
      </c>
      <c r="F1296" s="20" t="s">
        <v>316</v>
      </c>
      <c r="G1296" s="20" t="s">
        <v>221</v>
      </c>
      <c r="H1296" s="20" t="s">
        <v>192</v>
      </c>
      <c r="I1296" s="20" t="s">
        <v>264</v>
      </c>
      <c r="J1296" s="15">
        <f>IFERROR(INDEX(Cost_Components!$K$2:$K$27,MATCH(E1296,Cost_Components!$A$2:$A$27,0)),"")</f>
        <v>0.5</v>
      </c>
      <c r="K1296" s="15">
        <f t="shared" si="200"/>
        <v>0.70576923076923082</v>
      </c>
      <c r="L1296" s="15">
        <f>IFERROR(INDEX(Cost_Components!$S$2:$S$27,MATCH(E1296,Cost_Components!$A$2:$A$27,0)),"")</f>
        <v>0.31</v>
      </c>
      <c r="M1296" s="26">
        <f>IFERROR(INDEX(Cost_Components!$L$2:$L$27,MATCH(E1296,Cost_Components!$A$2:$A$27,0)),"")</f>
        <v>1</v>
      </c>
      <c r="N1296" s="27">
        <f>IFERROR(INDEX(Cost_Components!$P$2:$P$27,MATCH(E1296,Cost_Components!$A$2:$A$27,0)),"")</f>
        <v>35.362648999999998</v>
      </c>
      <c r="O1296" s="21">
        <f t="shared" si="201"/>
        <v>2458401.0695814001</v>
      </c>
      <c r="P1296" s="21">
        <f t="shared" si="202"/>
        <v>2739599.0162048452</v>
      </c>
      <c r="Q1296" s="21">
        <f t="shared" si="203"/>
        <v>30032638.307347145</v>
      </c>
      <c r="R1296" s="21">
        <f t="shared" si="204"/>
        <v>61356453.27656386</v>
      </c>
      <c r="S1296" s="21">
        <f t="shared" si="205"/>
        <v>31323814.969216716</v>
      </c>
      <c r="T1296" s="14">
        <f>IFERROR(INDEX(Cost_Components!$R$2:$R$27,MATCH(E1296,Cost_Components!$A$2:$A$27,0)),"")</f>
        <v>1</v>
      </c>
      <c r="U1296" s="24">
        <f>IFERROR(INDEX(Cost_Components!$Q$2:$Q$27,MATCH(E1296,Cost_Components!$A$2:$A$27,0)),"")</f>
        <v>2023</v>
      </c>
      <c r="V1296" s="28">
        <f>1/(1+Calculation_Assumptions!$B$5)^(B1296-Calculation_Assumptions!$B$2)</f>
        <v>0.55367575418633497</v>
      </c>
      <c r="W1296" s="21">
        <f t="shared" si="206"/>
        <v>16628343.665025845</v>
      </c>
      <c r="X1296" s="21">
        <f t="shared" si="207"/>
        <v>33971580.542100117</v>
      </c>
      <c r="Y1296" s="21">
        <f t="shared" si="208"/>
        <v>17343236.877074275</v>
      </c>
      <c r="Z1296" s="15">
        <f>IFERROR(INDEX(Cost_Components!$T$2:$T$27,MATCH(E1296,Cost_Components!$A$2:$A$27,0)),"")</f>
        <v>0.8</v>
      </c>
      <c r="AA1296" s="24">
        <f>IFERROR(INDEX(Cost_Components!$U$2:$U$27,MATCH(E1296,Cost_Components!$A$2:$A$27,0)),"")</f>
        <v>2025</v>
      </c>
      <c r="AB1296" s="24">
        <f>IFERROR(INDEX(Cost_Components!$V$2:$V$27,MATCH(E1296,Cost_Components!$A$2:$A$27,0)),"")</f>
        <v>2050</v>
      </c>
      <c r="AC1296" s="24">
        <f>IFERROR(INDEX(Cost_Components!$M$2:$M$27,MATCH(E1296,Cost_Components!$A$2:$A$27,0)),"")</f>
        <v>30</v>
      </c>
      <c r="AD1296" s="24">
        <f>IFERROR(INDEX(Cost_Components!$N$2:$N$27,MATCH(E1296,Cost_Components!$A$2:$A$27,0)),"")</f>
        <v>95</v>
      </c>
      <c r="AE1296" s="14" t="str">
        <f>IFERROR(INDEX(Cost_Components!$O$2:$O$27,MATCH(E1296,Cost_Components!$A$2:$A$27,0)),"")</f>
        <v>Both</v>
      </c>
      <c r="AF1296" s="11">
        <v>4916802.1391628003</v>
      </c>
      <c r="AG1296" s="11">
        <v>5479198.0324096903</v>
      </c>
      <c r="AH1296" s="21">
        <f t="shared" si="209"/>
        <v>1</v>
      </c>
    </row>
    <row r="1297" spans="1:34" hidden="1">
      <c r="A1297" t="s">
        <v>75</v>
      </c>
      <c r="B1297" s="18">
        <v>2046</v>
      </c>
      <c r="C1297" t="s">
        <v>217</v>
      </c>
      <c r="D1297" t="s">
        <v>181</v>
      </c>
      <c r="E1297" s="20" t="s">
        <v>315</v>
      </c>
      <c r="F1297" s="20" t="s">
        <v>316</v>
      </c>
      <c r="G1297" s="20" t="s">
        <v>221</v>
      </c>
      <c r="H1297" s="20" t="s">
        <v>192</v>
      </c>
      <c r="I1297" s="20" t="s">
        <v>264</v>
      </c>
      <c r="J1297" s="15">
        <f>IFERROR(INDEX(Cost_Components!$K$2:$K$27,MATCH(E1297,Cost_Components!$A$2:$A$27,0)),"")</f>
        <v>0.5</v>
      </c>
      <c r="K1297" s="15">
        <f t="shared" si="200"/>
        <v>0.72461538461538466</v>
      </c>
      <c r="L1297" s="15">
        <f>IFERROR(INDEX(Cost_Components!$S$2:$S$27,MATCH(E1297,Cost_Components!$A$2:$A$27,0)),"")</f>
        <v>0.31</v>
      </c>
      <c r="M1297" s="26">
        <f>IFERROR(INDEX(Cost_Components!$L$2:$L$27,MATCH(E1297,Cost_Components!$A$2:$A$27,0)),"")</f>
        <v>1</v>
      </c>
      <c r="N1297" s="27">
        <f>IFERROR(INDEX(Cost_Components!$P$2:$P$27,MATCH(E1297,Cost_Components!$A$2:$A$27,0)),"")</f>
        <v>35.362648999999998</v>
      </c>
      <c r="O1297" s="21">
        <f t="shared" si="201"/>
        <v>2474727.3368011098</v>
      </c>
      <c r="P1297" s="21">
        <f t="shared" si="202"/>
        <v>2777438.9682708001</v>
      </c>
      <c r="Q1297" s="21">
        <f t="shared" si="203"/>
        <v>30447455.799703553</v>
      </c>
      <c r="R1297" s="21">
        <f t="shared" si="204"/>
        <v>63413203.968804836</v>
      </c>
      <c r="S1297" s="21">
        <f t="shared" si="205"/>
        <v>32965748.169101283</v>
      </c>
      <c r="T1297" s="14">
        <f>IFERROR(INDEX(Cost_Components!$R$2:$R$27,MATCH(E1297,Cost_Components!$A$2:$A$27,0)),"")</f>
        <v>1</v>
      </c>
      <c r="U1297" s="24">
        <f>IFERROR(INDEX(Cost_Components!$Q$2:$Q$27,MATCH(E1297,Cost_Components!$A$2:$A$27,0)),"")</f>
        <v>2023</v>
      </c>
      <c r="V1297" s="28">
        <f>1/(1+Calculation_Assumptions!$B$5)^(B1297-Calculation_Assumptions!$B$2)</f>
        <v>0.5375492759090631</v>
      </c>
      <c r="W1297" s="21">
        <f t="shared" si="206"/>
        <v>16367007.818403849</v>
      </c>
      <c r="X1297" s="21">
        <f t="shared" si="207"/>
        <v>34087721.876504764</v>
      </c>
      <c r="Y1297" s="21">
        <f t="shared" si="208"/>
        <v>17720714.058100916</v>
      </c>
      <c r="Z1297" s="15">
        <f>IFERROR(INDEX(Cost_Components!$T$2:$T$27,MATCH(E1297,Cost_Components!$A$2:$A$27,0)),"")</f>
        <v>0.8</v>
      </c>
      <c r="AA1297" s="24">
        <f>IFERROR(INDEX(Cost_Components!$U$2:$U$27,MATCH(E1297,Cost_Components!$A$2:$A$27,0)),"")</f>
        <v>2025</v>
      </c>
      <c r="AB1297" s="24">
        <f>IFERROR(INDEX(Cost_Components!$V$2:$V$27,MATCH(E1297,Cost_Components!$A$2:$A$27,0)),"")</f>
        <v>2050</v>
      </c>
      <c r="AC1297" s="24">
        <f>IFERROR(INDEX(Cost_Components!$M$2:$M$27,MATCH(E1297,Cost_Components!$A$2:$A$27,0)),"")</f>
        <v>30</v>
      </c>
      <c r="AD1297" s="24">
        <f>IFERROR(INDEX(Cost_Components!$N$2:$N$27,MATCH(E1297,Cost_Components!$A$2:$A$27,0)),"")</f>
        <v>95</v>
      </c>
      <c r="AE1297" s="14" t="str">
        <f>IFERROR(INDEX(Cost_Components!$O$2:$O$27,MATCH(E1297,Cost_Components!$A$2:$A$27,0)),"")</f>
        <v>Both</v>
      </c>
      <c r="AF1297" s="11">
        <v>4949454.6736022197</v>
      </c>
      <c r="AG1297" s="11">
        <v>5554877.9365416002</v>
      </c>
      <c r="AH1297" s="21">
        <f t="shared" si="209"/>
        <v>1</v>
      </c>
    </row>
    <row r="1298" spans="1:34" hidden="1">
      <c r="A1298" t="s">
        <v>75</v>
      </c>
      <c r="B1298" s="18">
        <v>2047</v>
      </c>
      <c r="C1298" t="s">
        <v>217</v>
      </c>
      <c r="D1298" t="s">
        <v>181</v>
      </c>
      <c r="E1298" s="20" t="s">
        <v>315</v>
      </c>
      <c r="F1298" s="20" t="s">
        <v>316</v>
      </c>
      <c r="G1298" s="20" t="s">
        <v>221</v>
      </c>
      <c r="H1298" s="20" t="s">
        <v>192</v>
      </c>
      <c r="I1298" s="20" t="s">
        <v>264</v>
      </c>
      <c r="J1298" s="15">
        <f>IFERROR(INDEX(Cost_Components!$K$2:$K$27,MATCH(E1298,Cost_Components!$A$2:$A$27,0)),"")</f>
        <v>0.5</v>
      </c>
      <c r="K1298" s="15">
        <f t="shared" si="200"/>
        <v>0.74346153846153851</v>
      </c>
      <c r="L1298" s="15">
        <f>IFERROR(INDEX(Cost_Components!$S$2:$S$27,MATCH(E1298,Cost_Components!$A$2:$A$27,0)),"")</f>
        <v>0.31</v>
      </c>
      <c r="M1298" s="26">
        <f>IFERROR(INDEX(Cost_Components!$L$2:$L$27,MATCH(E1298,Cost_Components!$A$2:$A$27,0)),"")</f>
        <v>1</v>
      </c>
      <c r="N1298" s="27">
        <f>IFERROR(INDEX(Cost_Components!$P$2:$P$27,MATCH(E1298,Cost_Components!$A$2:$A$27,0)),"")</f>
        <v>35.362648999999998</v>
      </c>
      <c r="O1298" s="21">
        <f t="shared" si="201"/>
        <v>2488382.3124690251</v>
      </c>
      <c r="P1298" s="21">
        <f t="shared" si="202"/>
        <v>2812834.7331009549</v>
      </c>
      <c r="Q1298" s="21">
        <f t="shared" si="203"/>
        <v>30835479.082113903</v>
      </c>
      <c r="R1298" s="21">
        <f t="shared" si="204"/>
        <v>65421485.629856288</v>
      </c>
      <c r="S1298" s="21">
        <f t="shared" si="205"/>
        <v>34586006.547742382</v>
      </c>
      <c r="T1298" s="14">
        <f>IFERROR(INDEX(Cost_Components!$R$2:$R$27,MATCH(E1298,Cost_Components!$A$2:$A$27,0)),"")</f>
        <v>1</v>
      </c>
      <c r="U1298" s="24">
        <f>IFERROR(INDEX(Cost_Components!$Q$2:$Q$27,MATCH(E1298,Cost_Components!$A$2:$A$27,0)),"")</f>
        <v>2023</v>
      </c>
      <c r="V1298" s="28">
        <f>1/(1+Calculation_Assumptions!$B$5)^(B1298-Calculation_Assumptions!$B$2)</f>
        <v>0.52189250088258554</v>
      </c>
      <c r="W1298" s="21">
        <f t="shared" si="206"/>
        <v>16092805.294077078</v>
      </c>
      <c r="X1298" s="21">
        <f t="shared" si="207"/>
        <v>34142982.746819831</v>
      </c>
      <c r="Y1298" s="21">
        <f t="shared" si="208"/>
        <v>18050177.452742752</v>
      </c>
      <c r="Z1298" s="15">
        <f>IFERROR(INDEX(Cost_Components!$T$2:$T$27,MATCH(E1298,Cost_Components!$A$2:$A$27,0)),"")</f>
        <v>0.8</v>
      </c>
      <c r="AA1298" s="24">
        <f>IFERROR(INDEX(Cost_Components!$U$2:$U$27,MATCH(E1298,Cost_Components!$A$2:$A$27,0)),"")</f>
        <v>2025</v>
      </c>
      <c r="AB1298" s="24">
        <f>IFERROR(INDEX(Cost_Components!$V$2:$V$27,MATCH(E1298,Cost_Components!$A$2:$A$27,0)),"")</f>
        <v>2050</v>
      </c>
      <c r="AC1298" s="24">
        <f>IFERROR(INDEX(Cost_Components!$M$2:$M$27,MATCH(E1298,Cost_Components!$A$2:$A$27,0)),"")</f>
        <v>30</v>
      </c>
      <c r="AD1298" s="24">
        <f>IFERROR(INDEX(Cost_Components!$N$2:$N$27,MATCH(E1298,Cost_Components!$A$2:$A$27,0)),"")</f>
        <v>95</v>
      </c>
      <c r="AE1298" s="14" t="str">
        <f>IFERROR(INDEX(Cost_Components!$O$2:$O$27,MATCH(E1298,Cost_Components!$A$2:$A$27,0)),"")</f>
        <v>Both</v>
      </c>
      <c r="AF1298" s="11">
        <v>4976764.6249380503</v>
      </c>
      <c r="AG1298" s="11">
        <v>5625669.4662019098</v>
      </c>
      <c r="AH1298" s="21">
        <f t="shared" si="209"/>
        <v>1</v>
      </c>
    </row>
    <row r="1299" spans="1:34" hidden="1">
      <c r="A1299" t="s">
        <v>75</v>
      </c>
      <c r="B1299" s="18">
        <v>2048</v>
      </c>
      <c r="C1299" t="s">
        <v>217</v>
      </c>
      <c r="D1299" t="s">
        <v>181</v>
      </c>
      <c r="E1299" s="20" t="s">
        <v>315</v>
      </c>
      <c r="F1299" s="20" t="s">
        <v>316</v>
      </c>
      <c r="G1299" s="20" t="s">
        <v>221</v>
      </c>
      <c r="H1299" s="20" t="s">
        <v>192</v>
      </c>
      <c r="I1299" s="20" t="s">
        <v>264</v>
      </c>
      <c r="J1299" s="15">
        <f>IFERROR(INDEX(Cost_Components!$K$2:$K$27,MATCH(E1299,Cost_Components!$A$2:$A$27,0)),"")</f>
        <v>0.5</v>
      </c>
      <c r="K1299" s="15">
        <f t="shared" si="200"/>
        <v>0.76230769230769235</v>
      </c>
      <c r="L1299" s="15">
        <f>IFERROR(INDEX(Cost_Components!$S$2:$S$27,MATCH(E1299,Cost_Components!$A$2:$A$27,0)),"")</f>
        <v>0.31</v>
      </c>
      <c r="M1299" s="26">
        <f>IFERROR(INDEX(Cost_Components!$L$2:$L$27,MATCH(E1299,Cost_Components!$A$2:$A$27,0)),"")</f>
        <v>1</v>
      </c>
      <c r="N1299" s="27">
        <f>IFERROR(INDEX(Cost_Components!$P$2:$P$27,MATCH(E1299,Cost_Components!$A$2:$A$27,0)),"")</f>
        <v>35.362648999999998</v>
      </c>
      <c r="O1299" s="21">
        <f t="shared" si="201"/>
        <v>2499823.2886612201</v>
      </c>
      <c r="P1299" s="21">
        <f t="shared" si="202"/>
        <v>2846179.575408835</v>
      </c>
      <c r="Q1299" s="21">
        <f t="shared" si="203"/>
        <v>31201019.28800701</v>
      </c>
      <c r="R1299" s="21">
        <f t="shared" si="204"/>
        <v>67388284.736370638</v>
      </c>
      <c r="S1299" s="21">
        <f t="shared" si="205"/>
        <v>36187265.448363632</v>
      </c>
      <c r="T1299" s="14">
        <f>IFERROR(INDEX(Cost_Components!$R$2:$R$27,MATCH(E1299,Cost_Components!$A$2:$A$27,0)),"")</f>
        <v>1</v>
      </c>
      <c r="U1299" s="24">
        <f>IFERROR(INDEX(Cost_Components!$Q$2:$Q$27,MATCH(E1299,Cost_Components!$A$2:$A$27,0)),"")</f>
        <v>2023</v>
      </c>
      <c r="V1299" s="28">
        <f>1/(1+Calculation_Assumptions!$B$5)^(B1299-Calculation_Assumptions!$B$2)</f>
        <v>0.50669174842969467</v>
      </c>
      <c r="W1299" s="21">
        <f t="shared" si="206"/>
        <v>15809299.015828898</v>
      </c>
      <c r="X1299" s="21">
        <f t="shared" si="207"/>
        <v>34145087.816749744</v>
      </c>
      <c r="Y1299" s="21">
        <f t="shared" si="208"/>
        <v>18335788.800920848</v>
      </c>
      <c r="Z1299" s="15">
        <f>IFERROR(INDEX(Cost_Components!$T$2:$T$27,MATCH(E1299,Cost_Components!$A$2:$A$27,0)),"")</f>
        <v>0.8</v>
      </c>
      <c r="AA1299" s="24">
        <f>IFERROR(INDEX(Cost_Components!$U$2:$U$27,MATCH(E1299,Cost_Components!$A$2:$A$27,0)),"")</f>
        <v>2025</v>
      </c>
      <c r="AB1299" s="24">
        <f>IFERROR(INDEX(Cost_Components!$V$2:$V$27,MATCH(E1299,Cost_Components!$A$2:$A$27,0)),"")</f>
        <v>2050</v>
      </c>
      <c r="AC1299" s="24">
        <f>IFERROR(INDEX(Cost_Components!$M$2:$M$27,MATCH(E1299,Cost_Components!$A$2:$A$27,0)),"")</f>
        <v>30</v>
      </c>
      <c r="AD1299" s="24">
        <f>IFERROR(INDEX(Cost_Components!$N$2:$N$27,MATCH(E1299,Cost_Components!$A$2:$A$27,0)),"")</f>
        <v>95</v>
      </c>
      <c r="AE1299" s="14" t="str">
        <f>IFERROR(INDEX(Cost_Components!$O$2:$O$27,MATCH(E1299,Cost_Components!$A$2:$A$27,0)),"")</f>
        <v>Both</v>
      </c>
      <c r="AF1299" s="11">
        <v>4999646.5773224402</v>
      </c>
      <c r="AG1299" s="11">
        <v>5692359.1508176699</v>
      </c>
      <c r="AH1299" s="21">
        <f t="shared" si="209"/>
        <v>1</v>
      </c>
    </row>
    <row r="1300" spans="1:34" hidden="1">
      <c r="A1300" t="s">
        <v>75</v>
      </c>
      <c r="B1300" s="18">
        <v>2049</v>
      </c>
      <c r="C1300" t="s">
        <v>217</v>
      </c>
      <c r="D1300" t="s">
        <v>181</v>
      </c>
      <c r="E1300" s="20" t="s">
        <v>315</v>
      </c>
      <c r="F1300" s="20" t="s">
        <v>316</v>
      </c>
      <c r="G1300" s="20" t="s">
        <v>221</v>
      </c>
      <c r="H1300" s="20" t="s">
        <v>192</v>
      </c>
      <c r="I1300" s="20" t="s">
        <v>264</v>
      </c>
      <c r="J1300" s="15">
        <f>IFERROR(INDEX(Cost_Components!$K$2:$K$27,MATCH(E1300,Cost_Components!$A$2:$A$27,0)),"")</f>
        <v>0.5</v>
      </c>
      <c r="K1300" s="15">
        <f t="shared" si="200"/>
        <v>0.7811538461538462</v>
      </c>
      <c r="L1300" s="15">
        <f>IFERROR(INDEX(Cost_Components!$S$2:$S$27,MATCH(E1300,Cost_Components!$A$2:$A$27,0)),"")</f>
        <v>0.31</v>
      </c>
      <c r="M1300" s="26">
        <f>IFERROR(INDEX(Cost_Components!$L$2:$L$27,MATCH(E1300,Cost_Components!$A$2:$A$27,0)),"")</f>
        <v>1</v>
      </c>
      <c r="N1300" s="27">
        <f>IFERROR(INDEX(Cost_Components!$P$2:$P$27,MATCH(E1300,Cost_Components!$A$2:$A$27,0)),"")</f>
        <v>35.362648999999998</v>
      </c>
      <c r="O1300" s="21">
        <f t="shared" si="201"/>
        <v>2509179.5761737502</v>
      </c>
      <c r="P1300" s="21">
        <f t="shared" si="202"/>
        <v>2877561.9052454098</v>
      </c>
      <c r="Q1300" s="21">
        <f t="shared" si="203"/>
        <v>31545045.605599049</v>
      </c>
      <c r="R1300" s="21">
        <f t="shared" si="204"/>
        <v>69312746.76766862</v>
      </c>
      <c r="S1300" s="21">
        <f t="shared" si="205"/>
        <v>37767701.162069574</v>
      </c>
      <c r="T1300" s="14">
        <f>IFERROR(INDEX(Cost_Components!$R$2:$R$27,MATCH(E1300,Cost_Components!$A$2:$A$27,0)),"")</f>
        <v>1</v>
      </c>
      <c r="U1300" s="24">
        <f>IFERROR(INDEX(Cost_Components!$Q$2:$Q$27,MATCH(E1300,Cost_Components!$A$2:$A$27,0)),"")</f>
        <v>2023</v>
      </c>
      <c r="V1300" s="28">
        <f>1/(1+Calculation_Assumptions!$B$5)^(B1300-Calculation_Assumptions!$B$2)</f>
        <v>0.49193373633950943</v>
      </c>
      <c r="W1300" s="21">
        <f t="shared" si="206"/>
        <v>15518072.147762563</v>
      </c>
      <c r="X1300" s="21">
        <f t="shared" si="207"/>
        <v>34097278.493373476</v>
      </c>
      <c r="Y1300" s="21">
        <f t="shared" si="208"/>
        <v>18579206.345610917</v>
      </c>
      <c r="Z1300" s="15">
        <f>IFERROR(INDEX(Cost_Components!$T$2:$T$27,MATCH(E1300,Cost_Components!$A$2:$A$27,0)),"")</f>
        <v>0.8</v>
      </c>
      <c r="AA1300" s="24">
        <f>IFERROR(INDEX(Cost_Components!$U$2:$U$27,MATCH(E1300,Cost_Components!$A$2:$A$27,0)),"")</f>
        <v>2025</v>
      </c>
      <c r="AB1300" s="24">
        <f>IFERROR(INDEX(Cost_Components!$V$2:$V$27,MATCH(E1300,Cost_Components!$A$2:$A$27,0)),"")</f>
        <v>2050</v>
      </c>
      <c r="AC1300" s="24">
        <f>IFERROR(INDEX(Cost_Components!$M$2:$M$27,MATCH(E1300,Cost_Components!$A$2:$A$27,0)),"")</f>
        <v>30</v>
      </c>
      <c r="AD1300" s="24">
        <f>IFERROR(INDEX(Cost_Components!$N$2:$N$27,MATCH(E1300,Cost_Components!$A$2:$A$27,0)),"")</f>
        <v>95</v>
      </c>
      <c r="AE1300" s="14" t="str">
        <f>IFERROR(INDEX(Cost_Components!$O$2:$O$27,MATCH(E1300,Cost_Components!$A$2:$A$27,0)),"")</f>
        <v>Both</v>
      </c>
      <c r="AF1300" s="11">
        <v>5018359.1523475004</v>
      </c>
      <c r="AG1300" s="11">
        <v>5755123.8104908196</v>
      </c>
      <c r="AH1300" s="21">
        <f t="shared" si="209"/>
        <v>1</v>
      </c>
    </row>
    <row r="1301" spans="1:34" hidden="1">
      <c r="A1301" t="s">
        <v>75</v>
      </c>
      <c r="B1301" s="18">
        <v>2050</v>
      </c>
      <c r="C1301" t="s">
        <v>217</v>
      </c>
      <c r="D1301" t="s">
        <v>181</v>
      </c>
      <c r="E1301" s="20" t="s">
        <v>315</v>
      </c>
      <c r="F1301" s="20" t="s">
        <v>316</v>
      </c>
      <c r="G1301" s="20" t="s">
        <v>221</v>
      </c>
      <c r="H1301" s="20" t="s">
        <v>192</v>
      </c>
      <c r="I1301" s="20" t="s">
        <v>264</v>
      </c>
      <c r="J1301" s="15">
        <f>IFERROR(INDEX(Cost_Components!$K$2:$K$27,MATCH(E1301,Cost_Components!$A$2:$A$27,0)),"")</f>
        <v>0.5</v>
      </c>
      <c r="K1301" s="15">
        <f t="shared" si="200"/>
        <v>0.8</v>
      </c>
      <c r="L1301" s="15">
        <f>IFERROR(INDEX(Cost_Components!$S$2:$S$27,MATCH(E1301,Cost_Components!$A$2:$A$27,0)),"")</f>
        <v>0.31</v>
      </c>
      <c r="M1301" s="26">
        <f>IFERROR(INDEX(Cost_Components!$L$2:$L$27,MATCH(E1301,Cost_Components!$A$2:$A$27,0)),"")</f>
        <v>1</v>
      </c>
      <c r="N1301" s="27">
        <f>IFERROR(INDEX(Cost_Components!$P$2:$P$27,MATCH(E1301,Cost_Components!$A$2:$A$27,0)),"")</f>
        <v>35.362648999999998</v>
      </c>
      <c r="O1301" s="21">
        <f t="shared" si="201"/>
        <v>2516623.4700095202</v>
      </c>
      <c r="P1301" s="21">
        <f t="shared" si="202"/>
        <v>2907132.4074879298</v>
      </c>
      <c r="Q1301" s="21">
        <f t="shared" si="203"/>
        <v>31869209.905981392</v>
      </c>
      <c r="R1301" s="21">
        <f t="shared" si="204"/>
        <v>71195577.948086947</v>
      </c>
      <c r="S1301" s="21">
        <f t="shared" si="205"/>
        <v>39326368.042105556</v>
      </c>
      <c r="T1301" s="14">
        <f>IFERROR(INDEX(Cost_Components!$R$2:$R$27,MATCH(E1301,Cost_Components!$A$2:$A$27,0)),"")</f>
        <v>1</v>
      </c>
      <c r="U1301" s="24">
        <f>IFERROR(INDEX(Cost_Components!$Q$2:$Q$27,MATCH(E1301,Cost_Components!$A$2:$A$27,0)),"")</f>
        <v>2023</v>
      </c>
      <c r="V1301" s="28">
        <f>1/(1+Calculation_Assumptions!$B$5)^(B1301-Calculation_Assumptions!$B$2)</f>
        <v>0.47760556926165965</v>
      </c>
      <c r="W1301" s="21">
        <f t="shared" si="206"/>
        <v>15220912.139065566</v>
      </c>
      <c r="X1301" s="21">
        <f t="shared" si="207"/>
        <v>34003404.534808926</v>
      </c>
      <c r="Y1301" s="21">
        <f t="shared" si="208"/>
        <v>18782492.395743363</v>
      </c>
      <c r="Z1301" s="15">
        <f>IFERROR(INDEX(Cost_Components!$T$2:$T$27,MATCH(E1301,Cost_Components!$A$2:$A$27,0)),"")</f>
        <v>0.8</v>
      </c>
      <c r="AA1301" s="24">
        <f>IFERROR(INDEX(Cost_Components!$U$2:$U$27,MATCH(E1301,Cost_Components!$A$2:$A$27,0)),"")</f>
        <v>2025</v>
      </c>
      <c r="AB1301" s="24">
        <f>IFERROR(INDEX(Cost_Components!$V$2:$V$27,MATCH(E1301,Cost_Components!$A$2:$A$27,0)),"")</f>
        <v>2050</v>
      </c>
      <c r="AC1301" s="24">
        <f>IFERROR(INDEX(Cost_Components!$M$2:$M$27,MATCH(E1301,Cost_Components!$A$2:$A$27,0)),"")</f>
        <v>30</v>
      </c>
      <c r="AD1301" s="24">
        <f>IFERROR(INDEX(Cost_Components!$N$2:$N$27,MATCH(E1301,Cost_Components!$A$2:$A$27,0)),"")</f>
        <v>95</v>
      </c>
      <c r="AE1301" s="14" t="str">
        <f>IFERROR(INDEX(Cost_Components!$O$2:$O$27,MATCH(E1301,Cost_Components!$A$2:$A$27,0)),"")</f>
        <v>Both</v>
      </c>
      <c r="AF1301" s="11">
        <v>5033246.9400190404</v>
      </c>
      <c r="AG1301" s="11">
        <v>5814264.8149758596</v>
      </c>
      <c r="AH1301" s="21">
        <f t="shared" si="209"/>
        <v>1</v>
      </c>
    </row>
    <row r="1302" spans="1:34" hidden="1">
      <c r="A1302" t="s">
        <v>75</v>
      </c>
      <c r="B1302" s="18">
        <v>2025</v>
      </c>
      <c r="C1302" t="s">
        <v>217</v>
      </c>
      <c r="D1302" t="s">
        <v>181</v>
      </c>
      <c r="E1302" s="20" t="s">
        <v>317</v>
      </c>
      <c r="F1302" s="20" t="s">
        <v>318</v>
      </c>
      <c r="G1302" s="20" t="s">
        <v>221</v>
      </c>
      <c r="H1302" s="20" t="s">
        <v>192</v>
      </c>
      <c r="I1302" s="20" t="s">
        <v>264</v>
      </c>
      <c r="J1302" s="15">
        <f>IFERROR(INDEX(Cost_Components!$K$2:$K$27,MATCH(E1302,Cost_Components!$A$2:$A$27,0)),"")</f>
        <v>0.5</v>
      </c>
      <c r="K1302" s="15">
        <f t="shared" si="200"/>
        <v>0.32884615384615384</v>
      </c>
      <c r="L1302" s="15">
        <f>IFERROR(INDEX(Cost_Components!$S$2:$S$27,MATCH(E1302,Cost_Components!$A$2:$A$27,0)),"")</f>
        <v>0.31</v>
      </c>
      <c r="M1302" s="26">
        <f>IFERROR(INDEX(Cost_Components!$L$2:$L$27,MATCH(E1302,Cost_Components!$A$2:$A$27,0)),"")</f>
        <v>1</v>
      </c>
      <c r="N1302" s="27">
        <f>IFERROR(INDEX(Cost_Components!$P$2:$P$27,MATCH(E1302,Cost_Components!$A$2:$A$27,0)),"")</f>
        <v>119.721487</v>
      </c>
      <c r="O1302" s="21">
        <f t="shared" si="201"/>
        <v>1701920.22889187</v>
      </c>
      <c r="P1302" s="21">
        <f t="shared" si="202"/>
        <v>1703486.5640634249</v>
      </c>
      <c r="Q1302" s="21">
        <f t="shared" si="203"/>
        <v>63222622.805600137</v>
      </c>
      <c r="R1302" s="21">
        <f t="shared" si="204"/>
        <v>67004515.222061284</v>
      </c>
      <c r="S1302" s="21">
        <f t="shared" si="205"/>
        <v>3781892.4164611474</v>
      </c>
      <c r="T1302" s="14">
        <f>IFERROR(INDEX(Cost_Components!$R$2:$R$27,MATCH(E1302,Cost_Components!$A$2:$A$27,0)),"")</f>
        <v>1</v>
      </c>
      <c r="U1302" s="24">
        <f>IFERROR(INDEX(Cost_Components!$Q$2:$Q$27,MATCH(E1302,Cost_Components!$A$2:$A$27,0)),"")</f>
        <v>2023</v>
      </c>
      <c r="V1302" s="28">
        <f>1/(1+Calculation_Assumptions!$B$5)^(B1302-Calculation_Assumptions!$B$2)</f>
        <v>1</v>
      </c>
      <c r="W1302" s="21">
        <f t="shared" si="206"/>
        <v>63222622.805600137</v>
      </c>
      <c r="X1302" s="21">
        <f t="shared" si="207"/>
        <v>67004515.222061284</v>
      </c>
      <c r="Y1302" s="21">
        <f t="shared" si="208"/>
        <v>3781892.4164611474</v>
      </c>
      <c r="Z1302" s="15">
        <f>IFERROR(INDEX(Cost_Components!$T$2:$T$27,MATCH(E1302,Cost_Components!$A$2:$A$27,0)),"")</f>
        <v>0.8</v>
      </c>
      <c r="AA1302" s="24">
        <f>IFERROR(INDEX(Cost_Components!$U$2:$U$27,MATCH(E1302,Cost_Components!$A$2:$A$27,0)),"")</f>
        <v>2025</v>
      </c>
      <c r="AB1302" s="24">
        <f>IFERROR(INDEX(Cost_Components!$V$2:$V$27,MATCH(E1302,Cost_Components!$A$2:$A$27,0)),"")</f>
        <v>2050</v>
      </c>
      <c r="AC1302" s="24">
        <f>IFERROR(INDEX(Cost_Components!$M$2:$M$27,MATCH(E1302,Cost_Components!$A$2:$A$27,0)),"")</f>
        <v>30</v>
      </c>
      <c r="AD1302" s="24">
        <f>IFERROR(INDEX(Cost_Components!$N$2:$N$27,MATCH(E1302,Cost_Components!$A$2:$A$27,0)),"")</f>
        <v>95</v>
      </c>
      <c r="AE1302" s="14" t="str">
        <f>IFERROR(INDEX(Cost_Components!$O$2:$O$27,MATCH(E1302,Cost_Components!$A$2:$A$27,0)),"")</f>
        <v>Both</v>
      </c>
      <c r="AF1302" s="11">
        <v>3403840.45778374</v>
      </c>
      <c r="AG1302" s="11">
        <v>3406973.1281268499</v>
      </c>
      <c r="AH1302" s="21">
        <f t="shared" si="209"/>
        <v>1</v>
      </c>
    </row>
    <row r="1303" spans="1:34" hidden="1">
      <c r="A1303" t="s">
        <v>75</v>
      </c>
      <c r="B1303" s="18">
        <v>2026</v>
      </c>
      <c r="C1303" t="s">
        <v>217</v>
      </c>
      <c r="D1303" t="s">
        <v>181</v>
      </c>
      <c r="E1303" s="20" t="s">
        <v>317</v>
      </c>
      <c r="F1303" s="20" t="s">
        <v>318</v>
      </c>
      <c r="G1303" s="20" t="s">
        <v>221</v>
      </c>
      <c r="H1303" s="20" t="s">
        <v>192</v>
      </c>
      <c r="I1303" s="20" t="s">
        <v>264</v>
      </c>
      <c r="J1303" s="15">
        <f>IFERROR(INDEX(Cost_Components!$K$2:$K$27,MATCH(E1303,Cost_Components!$A$2:$A$27,0)),"")</f>
        <v>0.5</v>
      </c>
      <c r="K1303" s="15">
        <f t="shared" si="200"/>
        <v>0.34769230769230769</v>
      </c>
      <c r="L1303" s="15">
        <f>IFERROR(INDEX(Cost_Components!$S$2:$S$27,MATCH(E1303,Cost_Components!$A$2:$A$27,0)),"")</f>
        <v>0.31</v>
      </c>
      <c r="M1303" s="26">
        <f>IFERROR(INDEX(Cost_Components!$L$2:$L$27,MATCH(E1303,Cost_Components!$A$2:$A$27,0)),"")</f>
        <v>1</v>
      </c>
      <c r="N1303" s="27">
        <f>IFERROR(INDEX(Cost_Components!$P$2:$P$27,MATCH(E1303,Cost_Components!$A$2:$A$27,0)),"")</f>
        <v>119.721487</v>
      </c>
      <c r="O1303" s="21">
        <f t="shared" si="201"/>
        <v>1757243.8167300399</v>
      </c>
      <c r="P1303" s="21">
        <f t="shared" si="202"/>
        <v>1761903.9857134901</v>
      </c>
      <c r="Q1303" s="21">
        <f t="shared" si="203"/>
        <v>65390707.187462188</v>
      </c>
      <c r="R1303" s="21">
        <f t="shared" si="204"/>
        <v>73147453.021334678</v>
      </c>
      <c r="S1303" s="21">
        <f t="shared" si="205"/>
        <v>7756745.8338724896</v>
      </c>
      <c r="T1303" s="14">
        <f>IFERROR(INDEX(Cost_Components!$R$2:$R$27,MATCH(E1303,Cost_Components!$A$2:$A$27,0)),"")</f>
        <v>1</v>
      </c>
      <c r="U1303" s="24">
        <f>IFERROR(INDEX(Cost_Components!$Q$2:$Q$27,MATCH(E1303,Cost_Components!$A$2:$A$27,0)),"")</f>
        <v>2023</v>
      </c>
      <c r="V1303" s="28">
        <f>1/(1+Calculation_Assumptions!$B$5)^(B1303-Calculation_Assumptions!$B$2)</f>
        <v>0.970873786407767</v>
      </c>
      <c r="W1303" s="21">
        <f t="shared" si="206"/>
        <v>63486123.482973002</v>
      </c>
      <c r="X1303" s="21">
        <f t="shared" si="207"/>
        <v>71016944.680907458</v>
      </c>
      <c r="Y1303" s="21">
        <f t="shared" si="208"/>
        <v>7530821.1979344562</v>
      </c>
      <c r="Z1303" s="15">
        <f>IFERROR(INDEX(Cost_Components!$T$2:$T$27,MATCH(E1303,Cost_Components!$A$2:$A$27,0)),"")</f>
        <v>0.8</v>
      </c>
      <c r="AA1303" s="24">
        <f>IFERROR(INDEX(Cost_Components!$U$2:$U$27,MATCH(E1303,Cost_Components!$A$2:$A$27,0)),"")</f>
        <v>2025</v>
      </c>
      <c r="AB1303" s="24">
        <f>IFERROR(INDEX(Cost_Components!$V$2:$V$27,MATCH(E1303,Cost_Components!$A$2:$A$27,0)),"")</f>
        <v>2050</v>
      </c>
      <c r="AC1303" s="24">
        <f>IFERROR(INDEX(Cost_Components!$M$2:$M$27,MATCH(E1303,Cost_Components!$A$2:$A$27,0)),"")</f>
        <v>30</v>
      </c>
      <c r="AD1303" s="24">
        <f>IFERROR(INDEX(Cost_Components!$N$2:$N$27,MATCH(E1303,Cost_Components!$A$2:$A$27,0)),"")</f>
        <v>95</v>
      </c>
      <c r="AE1303" s="14" t="str">
        <f>IFERROR(INDEX(Cost_Components!$O$2:$O$27,MATCH(E1303,Cost_Components!$A$2:$A$27,0)),"")</f>
        <v>Both</v>
      </c>
      <c r="AF1303" s="11">
        <v>3514487.6334600798</v>
      </c>
      <c r="AG1303" s="11">
        <v>3523807.9714269801</v>
      </c>
      <c r="AH1303" s="21">
        <f t="shared" si="209"/>
        <v>1</v>
      </c>
    </row>
    <row r="1304" spans="1:34" hidden="1">
      <c r="A1304" t="s">
        <v>75</v>
      </c>
      <c r="B1304" s="18">
        <v>2027</v>
      </c>
      <c r="C1304" t="s">
        <v>217</v>
      </c>
      <c r="D1304" t="s">
        <v>181</v>
      </c>
      <c r="E1304" s="20" t="s">
        <v>317</v>
      </c>
      <c r="F1304" s="20" t="s">
        <v>318</v>
      </c>
      <c r="G1304" s="20" t="s">
        <v>221</v>
      </c>
      <c r="H1304" s="20" t="s">
        <v>192</v>
      </c>
      <c r="I1304" s="20" t="s">
        <v>264</v>
      </c>
      <c r="J1304" s="15">
        <f>IFERROR(INDEX(Cost_Components!$K$2:$K$27,MATCH(E1304,Cost_Components!$A$2:$A$27,0)),"")</f>
        <v>0.5</v>
      </c>
      <c r="K1304" s="15">
        <f t="shared" si="200"/>
        <v>0.36653846153846154</v>
      </c>
      <c r="L1304" s="15">
        <f>IFERROR(INDEX(Cost_Components!$S$2:$S$27,MATCH(E1304,Cost_Components!$A$2:$A$27,0)),"")</f>
        <v>0.31</v>
      </c>
      <c r="M1304" s="26">
        <f>IFERROR(INDEX(Cost_Components!$L$2:$L$27,MATCH(E1304,Cost_Components!$A$2:$A$27,0)),"")</f>
        <v>1</v>
      </c>
      <c r="N1304" s="27">
        <f>IFERROR(INDEX(Cost_Components!$P$2:$P$27,MATCH(E1304,Cost_Components!$A$2:$A$27,0)),"")</f>
        <v>119.721487</v>
      </c>
      <c r="O1304" s="21">
        <f t="shared" si="201"/>
        <v>1810712.8449763099</v>
      </c>
      <c r="P1304" s="21">
        <f t="shared" si="202"/>
        <v>1819950.91682366</v>
      </c>
      <c r="Q1304" s="21">
        <f t="shared" si="203"/>
        <v>67545041.309033975</v>
      </c>
      <c r="R1304" s="21">
        <f t="shared" si="204"/>
        <v>79458660.121933758</v>
      </c>
      <c r="S1304" s="21">
        <f t="shared" si="205"/>
        <v>11913618.812899783</v>
      </c>
      <c r="T1304" s="14">
        <f>IFERROR(INDEX(Cost_Components!$R$2:$R$27,MATCH(E1304,Cost_Components!$A$2:$A$27,0)),"")</f>
        <v>1</v>
      </c>
      <c r="U1304" s="24">
        <f>IFERROR(INDEX(Cost_Components!$Q$2:$Q$27,MATCH(E1304,Cost_Components!$A$2:$A$27,0)),"")</f>
        <v>2023</v>
      </c>
      <c r="V1304" s="28">
        <f>1/(1+Calculation_Assumptions!$B$5)^(B1304-Calculation_Assumptions!$B$2)</f>
        <v>0.94259590913375435</v>
      </c>
      <c r="W1304" s="21">
        <f t="shared" si="206"/>
        <v>63667679.62016587</v>
      </c>
      <c r="X1304" s="21">
        <f t="shared" si="207"/>
        <v>74897407.976184145</v>
      </c>
      <c r="Y1304" s="21">
        <f t="shared" si="208"/>
        <v>11229728.356018271</v>
      </c>
      <c r="Z1304" s="15">
        <f>IFERROR(INDEX(Cost_Components!$T$2:$T$27,MATCH(E1304,Cost_Components!$A$2:$A$27,0)),"")</f>
        <v>0.8</v>
      </c>
      <c r="AA1304" s="24">
        <f>IFERROR(INDEX(Cost_Components!$U$2:$U$27,MATCH(E1304,Cost_Components!$A$2:$A$27,0)),"")</f>
        <v>2025</v>
      </c>
      <c r="AB1304" s="24">
        <f>IFERROR(INDEX(Cost_Components!$V$2:$V$27,MATCH(E1304,Cost_Components!$A$2:$A$27,0)),"")</f>
        <v>2050</v>
      </c>
      <c r="AC1304" s="24">
        <f>IFERROR(INDEX(Cost_Components!$M$2:$M$27,MATCH(E1304,Cost_Components!$A$2:$A$27,0)),"")</f>
        <v>30</v>
      </c>
      <c r="AD1304" s="24">
        <f>IFERROR(INDEX(Cost_Components!$N$2:$N$27,MATCH(E1304,Cost_Components!$A$2:$A$27,0)),"")</f>
        <v>95</v>
      </c>
      <c r="AE1304" s="14" t="str">
        <f>IFERROR(INDEX(Cost_Components!$O$2:$O$27,MATCH(E1304,Cost_Components!$A$2:$A$27,0)),"")</f>
        <v>Both</v>
      </c>
      <c r="AF1304" s="11">
        <v>3621425.6899526198</v>
      </c>
      <c r="AG1304" s="11">
        <v>3639901.83364732</v>
      </c>
      <c r="AH1304" s="21">
        <f t="shared" si="209"/>
        <v>1</v>
      </c>
    </row>
    <row r="1305" spans="1:34" hidden="1">
      <c r="A1305" t="s">
        <v>75</v>
      </c>
      <c r="B1305" s="18">
        <v>2028</v>
      </c>
      <c r="C1305" t="s">
        <v>217</v>
      </c>
      <c r="D1305" t="s">
        <v>181</v>
      </c>
      <c r="E1305" s="20" t="s">
        <v>317</v>
      </c>
      <c r="F1305" s="20" t="s">
        <v>318</v>
      </c>
      <c r="G1305" s="20" t="s">
        <v>221</v>
      </c>
      <c r="H1305" s="20" t="s">
        <v>192</v>
      </c>
      <c r="I1305" s="20" t="s">
        <v>264</v>
      </c>
      <c r="J1305" s="15">
        <f>IFERROR(INDEX(Cost_Components!$K$2:$K$27,MATCH(E1305,Cost_Components!$A$2:$A$27,0)),"")</f>
        <v>0.5</v>
      </c>
      <c r="K1305" s="15">
        <f t="shared" si="200"/>
        <v>0.38538461538461538</v>
      </c>
      <c r="L1305" s="15">
        <f>IFERROR(INDEX(Cost_Components!$S$2:$S$27,MATCH(E1305,Cost_Components!$A$2:$A$27,0)),"")</f>
        <v>0.31</v>
      </c>
      <c r="M1305" s="26">
        <f>IFERROR(INDEX(Cost_Components!$L$2:$L$27,MATCH(E1305,Cost_Components!$A$2:$A$27,0)),"")</f>
        <v>1</v>
      </c>
      <c r="N1305" s="27">
        <f>IFERROR(INDEX(Cost_Components!$P$2:$P$27,MATCH(E1305,Cost_Components!$A$2:$A$27,0)),"")</f>
        <v>119.721487</v>
      </c>
      <c r="O1305" s="21">
        <f t="shared" si="201"/>
        <v>1862427.3868246849</v>
      </c>
      <c r="P1305" s="21">
        <f t="shared" si="202"/>
        <v>1877682.3623644749</v>
      </c>
      <c r="Q1305" s="21">
        <f t="shared" si="203"/>
        <v>69687666.606143802</v>
      </c>
      <c r="R1305" s="21">
        <f t="shared" si="204"/>
        <v>85930200.512513772</v>
      </c>
      <c r="S1305" s="21">
        <f t="shared" si="205"/>
        <v>16242533.906369969</v>
      </c>
      <c r="T1305" s="14">
        <f>IFERROR(INDEX(Cost_Components!$R$2:$R$27,MATCH(E1305,Cost_Components!$A$2:$A$27,0)),"")</f>
        <v>1</v>
      </c>
      <c r="U1305" s="24">
        <f>IFERROR(INDEX(Cost_Components!$Q$2:$Q$27,MATCH(E1305,Cost_Components!$A$2:$A$27,0)),"")</f>
        <v>2023</v>
      </c>
      <c r="V1305" s="28">
        <f>1/(1+Calculation_Assumptions!$B$5)^(B1305-Calculation_Assumptions!$B$2)</f>
        <v>0.91514165935315961</v>
      </c>
      <c r="W1305" s="21">
        <f t="shared" si="206"/>
        <v>63774086.854396209</v>
      </c>
      <c r="X1305" s="21">
        <f t="shared" si="207"/>
        <v>78638306.285571575</v>
      </c>
      <c r="Y1305" s="21">
        <f t="shared" si="208"/>
        <v>14864219.431175372</v>
      </c>
      <c r="Z1305" s="15">
        <f>IFERROR(INDEX(Cost_Components!$T$2:$T$27,MATCH(E1305,Cost_Components!$A$2:$A$27,0)),"")</f>
        <v>0.8</v>
      </c>
      <c r="AA1305" s="24">
        <f>IFERROR(INDEX(Cost_Components!$U$2:$U$27,MATCH(E1305,Cost_Components!$A$2:$A$27,0)),"")</f>
        <v>2025</v>
      </c>
      <c r="AB1305" s="24">
        <f>IFERROR(INDEX(Cost_Components!$V$2:$V$27,MATCH(E1305,Cost_Components!$A$2:$A$27,0)),"")</f>
        <v>2050</v>
      </c>
      <c r="AC1305" s="24">
        <f>IFERROR(INDEX(Cost_Components!$M$2:$M$27,MATCH(E1305,Cost_Components!$A$2:$A$27,0)),"")</f>
        <v>30</v>
      </c>
      <c r="AD1305" s="24">
        <f>IFERROR(INDEX(Cost_Components!$N$2:$N$27,MATCH(E1305,Cost_Components!$A$2:$A$27,0)),"")</f>
        <v>95</v>
      </c>
      <c r="AE1305" s="14" t="str">
        <f>IFERROR(INDEX(Cost_Components!$O$2:$O$27,MATCH(E1305,Cost_Components!$A$2:$A$27,0)),"")</f>
        <v>Both</v>
      </c>
      <c r="AF1305" s="11">
        <v>3724854.7736493698</v>
      </c>
      <c r="AG1305" s="11">
        <v>3755364.7247289498</v>
      </c>
      <c r="AH1305" s="21">
        <f t="shared" si="209"/>
        <v>1</v>
      </c>
    </row>
    <row r="1306" spans="1:34" hidden="1">
      <c r="A1306" t="s">
        <v>75</v>
      </c>
      <c r="B1306" s="18">
        <v>2029</v>
      </c>
      <c r="C1306" t="s">
        <v>217</v>
      </c>
      <c r="D1306" t="s">
        <v>181</v>
      </c>
      <c r="E1306" s="20" t="s">
        <v>317</v>
      </c>
      <c r="F1306" s="20" t="s">
        <v>318</v>
      </c>
      <c r="G1306" s="20" t="s">
        <v>221</v>
      </c>
      <c r="H1306" s="20" t="s">
        <v>192</v>
      </c>
      <c r="I1306" s="20" t="s">
        <v>264</v>
      </c>
      <c r="J1306" s="15">
        <f>IFERROR(INDEX(Cost_Components!$K$2:$K$27,MATCH(E1306,Cost_Components!$A$2:$A$27,0)),"")</f>
        <v>0.5</v>
      </c>
      <c r="K1306" s="15">
        <f t="shared" si="200"/>
        <v>0.40423076923076923</v>
      </c>
      <c r="L1306" s="15">
        <f>IFERROR(INDEX(Cost_Components!$S$2:$S$27,MATCH(E1306,Cost_Components!$A$2:$A$27,0)),"")</f>
        <v>0.31</v>
      </c>
      <c r="M1306" s="26">
        <f>IFERROR(INDEX(Cost_Components!$L$2:$L$27,MATCH(E1306,Cost_Components!$A$2:$A$27,0)),"")</f>
        <v>1</v>
      </c>
      <c r="N1306" s="27">
        <f>IFERROR(INDEX(Cost_Components!$P$2:$P$27,MATCH(E1306,Cost_Components!$A$2:$A$27,0)),"")</f>
        <v>119.721487</v>
      </c>
      <c r="O1306" s="21">
        <f t="shared" si="201"/>
        <v>1912358.3065657599</v>
      </c>
      <c r="P1306" s="21">
        <f t="shared" si="202"/>
        <v>1935023.6340378199</v>
      </c>
      <c r="Q1306" s="21">
        <f t="shared" si="203"/>
        <v>71815811.122617006</v>
      </c>
      <c r="R1306" s="21">
        <f t="shared" si="204"/>
        <v>92548788.279206231</v>
      </c>
      <c r="S1306" s="21">
        <f t="shared" si="205"/>
        <v>20732977.156589225</v>
      </c>
      <c r="T1306" s="14">
        <f>IFERROR(INDEX(Cost_Components!$R$2:$R$27,MATCH(E1306,Cost_Components!$A$2:$A$27,0)),"")</f>
        <v>1</v>
      </c>
      <c r="U1306" s="24">
        <f>IFERROR(INDEX(Cost_Components!$Q$2:$Q$27,MATCH(E1306,Cost_Components!$A$2:$A$27,0)),"")</f>
        <v>2023</v>
      </c>
      <c r="V1306" s="28">
        <f>1/(1+Calculation_Assumptions!$B$5)^(B1306-Calculation_Assumptions!$B$2)</f>
        <v>0.888487047915689</v>
      </c>
      <c r="W1306" s="21">
        <f t="shared" si="206"/>
        <v>63807418.018004686</v>
      </c>
      <c r="X1306" s="21">
        <f t="shared" si="207"/>
        <v>82228399.686366066</v>
      </c>
      <c r="Y1306" s="21">
        <f t="shared" si="208"/>
        <v>18420981.668361377</v>
      </c>
      <c r="Z1306" s="15">
        <f>IFERROR(INDEX(Cost_Components!$T$2:$T$27,MATCH(E1306,Cost_Components!$A$2:$A$27,0)),"")</f>
        <v>0.8</v>
      </c>
      <c r="AA1306" s="24">
        <f>IFERROR(INDEX(Cost_Components!$U$2:$U$27,MATCH(E1306,Cost_Components!$A$2:$A$27,0)),"")</f>
        <v>2025</v>
      </c>
      <c r="AB1306" s="24">
        <f>IFERROR(INDEX(Cost_Components!$V$2:$V$27,MATCH(E1306,Cost_Components!$A$2:$A$27,0)),"")</f>
        <v>2050</v>
      </c>
      <c r="AC1306" s="24">
        <f>IFERROR(INDEX(Cost_Components!$M$2:$M$27,MATCH(E1306,Cost_Components!$A$2:$A$27,0)),"")</f>
        <v>30</v>
      </c>
      <c r="AD1306" s="24">
        <f>IFERROR(INDEX(Cost_Components!$N$2:$N$27,MATCH(E1306,Cost_Components!$A$2:$A$27,0)),"")</f>
        <v>95</v>
      </c>
      <c r="AE1306" s="14" t="str">
        <f>IFERROR(INDEX(Cost_Components!$O$2:$O$27,MATCH(E1306,Cost_Components!$A$2:$A$27,0)),"")</f>
        <v>Both</v>
      </c>
      <c r="AF1306" s="11">
        <v>3824716.6131315199</v>
      </c>
      <c r="AG1306" s="11">
        <v>3870047.2680756398</v>
      </c>
      <c r="AH1306" s="21">
        <f t="shared" si="209"/>
        <v>1</v>
      </c>
    </row>
    <row r="1307" spans="1:34" hidden="1">
      <c r="A1307" t="s">
        <v>75</v>
      </c>
      <c r="B1307" s="18">
        <v>2030</v>
      </c>
      <c r="C1307" t="s">
        <v>217</v>
      </c>
      <c r="D1307" t="s">
        <v>181</v>
      </c>
      <c r="E1307" s="20" t="s">
        <v>317</v>
      </c>
      <c r="F1307" s="20" t="s">
        <v>318</v>
      </c>
      <c r="G1307" s="20" t="s">
        <v>221</v>
      </c>
      <c r="H1307" s="20" t="s">
        <v>192</v>
      </c>
      <c r="I1307" s="20" t="s">
        <v>264</v>
      </c>
      <c r="J1307" s="15">
        <f>IFERROR(INDEX(Cost_Components!$K$2:$K$27,MATCH(E1307,Cost_Components!$A$2:$A$27,0)),"")</f>
        <v>0.5</v>
      </c>
      <c r="K1307" s="15">
        <f t="shared" si="200"/>
        <v>0.42307692307692307</v>
      </c>
      <c r="L1307" s="15">
        <f>IFERROR(INDEX(Cost_Components!$S$2:$S$27,MATCH(E1307,Cost_Components!$A$2:$A$27,0)),"")</f>
        <v>0.31</v>
      </c>
      <c r="M1307" s="26">
        <f>IFERROR(INDEX(Cost_Components!$L$2:$L$27,MATCH(E1307,Cost_Components!$A$2:$A$27,0)),"")</f>
        <v>1</v>
      </c>
      <c r="N1307" s="27">
        <f>IFERROR(INDEX(Cost_Components!$P$2:$P$27,MATCH(E1307,Cost_Components!$A$2:$A$27,0)),"")</f>
        <v>119.721487</v>
      </c>
      <c r="O1307" s="21">
        <f t="shared" si="201"/>
        <v>1960590.231058175</v>
      </c>
      <c r="P1307" s="21">
        <f t="shared" si="202"/>
        <v>1992013.9711835899</v>
      </c>
      <c r="Q1307" s="21">
        <f t="shared" si="203"/>
        <v>73930931.174011096</v>
      </c>
      <c r="R1307" s="21">
        <f t="shared" si="204"/>
        <v>99306636.786905423</v>
      </c>
      <c r="S1307" s="21">
        <f t="shared" si="205"/>
        <v>25375705.612894326</v>
      </c>
      <c r="T1307" s="14">
        <f>IFERROR(INDEX(Cost_Components!$R$2:$R$27,MATCH(E1307,Cost_Components!$A$2:$A$27,0)),"")</f>
        <v>1</v>
      </c>
      <c r="U1307" s="24">
        <f>IFERROR(INDEX(Cost_Components!$Q$2:$Q$27,MATCH(E1307,Cost_Components!$A$2:$A$27,0)),"")</f>
        <v>2023</v>
      </c>
      <c r="V1307" s="28">
        <f>1/(1+Calculation_Assumptions!$B$5)^(B1307-Calculation_Assumptions!$B$2)</f>
        <v>0.86260878438416411</v>
      </c>
      <c r="W1307" s="21">
        <f t="shared" si="206"/>
        <v>63773470.668403015</v>
      </c>
      <c r="X1307" s="21">
        <f t="shared" si="207"/>
        <v>85662777.240032196</v>
      </c>
      <c r="Y1307" s="21">
        <f t="shared" si="208"/>
        <v>21889306.571629185</v>
      </c>
      <c r="Z1307" s="15">
        <f>IFERROR(INDEX(Cost_Components!$T$2:$T$27,MATCH(E1307,Cost_Components!$A$2:$A$27,0)),"")</f>
        <v>0.8</v>
      </c>
      <c r="AA1307" s="24">
        <f>IFERROR(INDEX(Cost_Components!$U$2:$U$27,MATCH(E1307,Cost_Components!$A$2:$A$27,0)),"")</f>
        <v>2025</v>
      </c>
      <c r="AB1307" s="24">
        <f>IFERROR(INDEX(Cost_Components!$V$2:$V$27,MATCH(E1307,Cost_Components!$A$2:$A$27,0)),"")</f>
        <v>2050</v>
      </c>
      <c r="AC1307" s="24">
        <f>IFERROR(INDEX(Cost_Components!$M$2:$M$27,MATCH(E1307,Cost_Components!$A$2:$A$27,0)),"")</f>
        <v>30</v>
      </c>
      <c r="AD1307" s="24">
        <f>IFERROR(INDEX(Cost_Components!$N$2:$N$27,MATCH(E1307,Cost_Components!$A$2:$A$27,0)),"")</f>
        <v>95</v>
      </c>
      <c r="AE1307" s="14" t="str">
        <f>IFERROR(INDEX(Cost_Components!$O$2:$O$27,MATCH(E1307,Cost_Components!$A$2:$A$27,0)),"")</f>
        <v>Both</v>
      </c>
      <c r="AF1307" s="11">
        <v>3921180.46211635</v>
      </c>
      <c r="AG1307" s="11">
        <v>3984027.9423671798</v>
      </c>
      <c r="AH1307" s="21">
        <f t="shared" si="209"/>
        <v>1</v>
      </c>
    </row>
    <row r="1308" spans="1:34" hidden="1">
      <c r="A1308" t="s">
        <v>75</v>
      </c>
      <c r="B1308" s="18">
        <v>2031</v>
      </c>
      <c r="C1308" t="s">
        <v>217</v>
      </c>
      <c r="D1308" t="s">
        <v>181</v>
      </c>
      <c r="E1308" s="20" t="s">
        <v>317</v>
      </c>
      <c r="F1308" s="20" t="s">
        <v>318</v>
      </c>
      <c r="G1308" s="20" t="s">
        <v>221</v>
      </c>
      <c r="H1308" s="20" t="s">
        <v>192</v>
      </c>
      <c r="I1308" s="20" t="s">
        <v>264</v>
      </c>
      <c r="J1308" s="15">
        <f>IFERROR(INDEX(Cost_Components!$K$2:$K$27,MATCH(E1308,Cost_Components!$A$2:$A$27,0)),"")</f>
        <v>0.5</v>
      </c>
      <c r="K1308" s="15">
        <f t="shared" si="200"/>
        <v>0.44192307692307692</v>
      </c>
      <c r="L1308" s="15">
        <f>IFERROR(INDEX(Cost_Components!$S$2:$S$27,MATCH(E1308,Cost_Components!$A$2:$A$27,0)),"")</f>
        <v>0.31</v>
      </c>
      <c r="M1308" s="26">
        <f>IFERROR(INDEX(Cost_Components!$L$2:$L$27,MATCH(E1308,Cost_Components!$A$2:$A$27,0)),"")</f>
        <v>1</v>
      </c>
      <c r="N1308" s="27">
        <f>IFERROR(INDEX(Cost_Components!$P$2:$P$27,MATCH(E1308,Cost_Components!$A$2:$A$27,0)),"")</f>
        <v>119.721487</v>
      </c>
      <c r="O1308" s="21">
        <f t="shared" si="201"/>
        <v>2007217.74885526</v>
      </c>
      <c r="P1308" s="21">
        <f t="shared" si="202"/>
        <v>2048699.4216127051</v>
      </c>
      <c r="Q1308" s="21">
        <f t="shared" si="203"/>
        <v>76034735.76316902</v>
      </c>
      <c r="R1308" s="21">
        <f t="shared" si="204"/>
        <v>106197250.22153082</v>
      </c>
      <c r="S1308" s="21">
        <f t="shared" si="205"/>
        <v>30162514.458361804</v>
      </c>
      <c r="T1308" s="14">
        <f>IFERROR(INDEX(Cost_Components!$R$2:$R$27,MATCH(E1308,Cost_Components!$A$2:$A$27,0)),"")</f>
        <v>1</v>
      </c>
      <c r="U1308" s="24">
        <f>IFERROR(INDEX(Cost_Components!$Q$2:$Q$27,MATCH(E1308,Cost_Components!$A$2:$A$27,0)),"")</f>
        <v>2023</v>
      </c>
      <c r="V1308" s="28">
        <f>1/(1+Calculation_Assumptions!$B$5)^(B1308-Calculation_Assumptions!$B$2)</f>
        <v>0.83748425668365445</v>
      </c>
      <c r="W1308" s="21">
        <f t="shared" si="206"/>
        <v>63677894.162755683</v>
      </c>
      <c r="X1308" s="21">
        <f t="shared" si="207"/>
        <v>88938525.163626805</v>
      </c>
      <c r="Y1308" s="21">
        <f t="shared" si="208"/>
        <v>25260631.000871114</v>
      </c>
      <c r="Z1308" s="15">
        <f>IFERROR(INDEX(Cost_Components!$T$2:$T$27,MATCH(E1308,Cost_Components!$A$2:$A$27,0)),"")</f>
        <v>0.8</v>
      </c>
      <c r="AA1308" s="24">
        <f>IFERROR(INDEX(Cost_Components!$U$2:$U$27,MATCH(E1308,Cost_Components!$A$2:$A$27,0)),"")</f>
        <v>2025</v>
      </c>
      <c r="AB1308" s="24">
        <f>IFERROR(INDEX(Cost_Components!$V$2:$V$27,MATCH(E1308,Cost_Components!$A$2:$A$27,0)),"")</f>
        <v>2050</v>
      </c>
      <c r="AC1308" s="24">
        <f>IFERROR(INDEX(Cost_Components!$M$2:$M$27,MATCH(E1308,Cost_Components!$A$2:$A$27,0)),"")</f>
        <v>30</v>
      </c>
      <c r="AD1308" s="24">
        <f>IFERROR(INDEX(Cost_Components!$N$2:$N$27,MATCH(E1308,Cost_Components!$A$2:$A$27,0)),"")</f>
        <v>95</v>
      </c>
      <c r="AE1308" s="14" t="str">
        <f>IFERROR(INDEX(Cost_Components!$O$2:$O$27,MATCH(E1308,Cost_Components!$A$2:$A$27,0)),"")</f>
        <v>Both</v>
      </c>
      <c r="AF1308" s="11">
        <v>4014435.4977105199</v>
      </c>
      <c r="AG1308" s="11">
        <v>4097398.8432254102</v>
      </c>
      <c r="AH1308" s="21">
        <f t="shared" si="209"/>
        <v>1</v>
      </c>
    </row>
    <row r="1309" spans="1:34" hidden="1">
      <c r="A1309" t="s">
        <v>75</v>
      </c>
      <c r="B1309" s="18">
        <v>2032</v>
      </c>
      <c r="C1309" t="s">
        <v>217</v>
      </c>
      <c r="D1309" t="s">
        <v>181</v>
      </c>
      <c r="E1309" s="20" t="s">
        <v>317</v>
      </c>
      <c r="F1309" s="20" t="s">
        <v>318</v>
      </c>
      <c r="G1309" s="20" t="s">
        <v>221</v>
      </c>
      <c r="H1309" s="20" t="s">
        <v>192</v>
      </c>
      <c r="I1309" s="20" t="s">
        <v>264</v>
      </c>
      <c r="J1309" s="15">
        <f>IFERROR(INDEX(Cost_Components!$K$2:$K$27,MATCH(E1309,Cost_Components!$A$2:$A$27,0)),"")</f>
        <v>0.5</v>
      </c>
      <c r="K1309" s="15">
        <f t="shared" si="200"/>
        <v>0.46076923076923082</v>
      </c>
      <c r="L1309" s="15">
        <f>IFERROR(INDEX(Cost_Components!$S$2:$S$27,MATCH(E1309,Cost_Components!$A$2:$A$27,0)),"")</f>
        <v>0.31</v>
      </c>
      <c r="M1309" s="26">
        <f>IFERROR(INDEX(Cost_Components!$L$2:$L$27,MATCH(E1309,Cost_Components!$A$2:$A$27,0)),"")</f>
        <v>1</v>
      </c>
      <c r="N1309" s="27">
        <f>IFERROR(INDEX(Cost_Components!$P$2:$P$27,MATCH(E1309,Cost_Components!$A$2:$A$27,0)),"")</f>
        <v>119.721487</v>
      </c>
      <c r="O1309" s="21">
        <f t="shared" si="201"/>
        <v>2052151.6408871701</v>
      </c>
      <c r="P1309" s="21">
        <f t="shared" si="202"/>
        <v>2104929.2770836349</v>
      </c>
      <c r="Q1309" s="21">
        <f t="shared" si="203"/>
        <v>78121631.55550921</v>
      </c>
      <c r="R1309" s="21">
        <f t="shared" si="204"/>
        <v>113204846.88608055</v>
      </c>
      <c r="S1309" s="21">
        <f t="shared" si="205"/>
        <v>35083215.330571339</v>
      </c>
      <c r="T1309" s="14">
        <f>IFERROR(INDEX(Cost_Components!$R$2:$R$27,MATCH(E1309,Cost_Components!$A$2:$A$27,0)),"")</f>
        <v>1</v>
      </c>
      <c r="U1309" s="24">
        <f>IFERROR(INDEX(Cost_Components!$Q$2:$Q$27,MATCH(E1309,Cost_Components!$A$2:$A$27,0)),"")</f>
        <v>2023</v>
      </c>
      <c r="V1309" s="28">
        <f>1/(1+Calculation_Assumptions!$B$5)^(B1309-Calculation_Assumptions!$B$2)</f>
        <v>0.81309151134335378</v>
      </c>
      <c r="W1309" s="21">
        <f t="shared" si="206"/>
        <v>63520035.470077619</v>
      </c>
      <c r="X1309" s="21">
        <f t="shared" si="207"/>
        <v>92045900.045996189</v>
      </c>
      <c r="Y1309" s="21">
        <f t="shared" si="208"/>
        <v>28525864.57591857</v>
      </c>
      <c r="Z1309" s="15">
        <f>IFERROR(INDEX(Cost_Components!$T$2:$T$27,MATCH(E1309,Cost_Components!$A$2:$A$27,0)),"")</f>
        <v>0.8</v>
      </c>
      <c r="AA1309" s="24">
        <f>IFERROR(INDEX(Cost_Components!$U$2:$U$27,MATCH(E1309,Cost_Components!$A$2:$A$27,0)),"")</f>
        <v>2025</v>
      </c>
      <c r="AB1309" s="24">
        <f>IFERROR(INDEX(Cost_Components!$V$2:$V$27,MATCH(E1309,Cost_Components!$A$2:$A$27,0)),"")</f>
        <v>2050</v>
      </c>
      <c r="AC1309" s="24">
        <f>IFERROR(INDEX(Cost_Components!$M$2:$M$27,MATCH(E1309,Cost_Components!$A$2:$A$27,0)),"")</f>
        <v>30</v>
      </c>
      <c r="AD1309" s="24">
        <f>IFERROR(INDEX(Cost_Components!$N$2:$N$27,MATCH(E1309,Cost_Components!$A$2:$A$27,0)),"")</f>
        <v>95</v>
      </c>
      <c r="AE1309" s="14" t="str">
        <f>IFERROR(INDEX(Cost_Components!$O$2:$O$27,MATCH(E1309,Cost_Components!$A$2:$A$27,0)),"")</f>
        <v>Both</v>
      </c>
      <c r="AF1309" s="11">
        <v>4104303.2817743402</v>
      </c>
      <c r="AG1309" s="11">
        <v>4209858.5541672697</v>
      </c>
      <c r="AH1309" s="21">
        <f t="shared" si="209"/>
        <v>1</v>
      </c>
    </row>
    <row r="1310" spans="1:34" hidden="1">
      <c r="A1310" t="s">
        <v>75</v>
      </c>
      <c r="B1310" s="18">
        <v>2033</v>
      </c>
      <c r="C1310" t="s">
        <v>217</v>
      </c>
      <c r="D1310" t="s">
        <v>181</v>
      </c>
      <c r="E1310" s="20" t="s">
        <v>317</v>
      </c>
      <c r="F1310" s="20" t="s">
        <v>318</v>
      </c>
      <c r="G1310" s="20" t="s">
        <v>221</v>
      </c>
      <c r="H1310" s="20" t="s">
        <v>192</v>
      </c>
      <c r="I1310" s="20" t="s">
        <v>264</v>
      </c>
      <c r="J1310" s="15">
        <f>IFERROR(INDEX(Cost_Components!$K$2:$K$27,MATCH(E1310,Cost_Components!$A$2:$A$27,0)),"")</f>
        <v>0.5</v>
      </c>
      <c r="K1310" s="15">
        <f t="shared" si="200"/>
        <v>0.47961538461538467</v>
      </c>
      <c r="L1310" s="15">
        <f>IFERROR(INDEX(Cost_Components!$S$2:$S$27,MATCH(E1310,Cost_Components!$A$2:$A$27,0)),"")</f>
        <v>0.31</v>
      </c>
      <c r="M1310" s="26">
        <f>IFERROR(INDEX(Cost_Components!$L$2:$L$27,MATCH(E1310,Cost_Components!$A$2:$A$27,0)),"")</f>
        <v>1</v>
      </c>
      <c r="N1310" s="27">
        <f>IFERROR(INDEX(Cost_Components!$P$2:$P$27,MATCH(E1310,Cost_Components!$A$2:$A$27,0)),"")</f>
        <v>119.721487</v>
      </c>
      <c r="O1310" s="21">
        <f t="shared" si="201"/>
        <v>2095189.07504736</v>
      </c>
      <c r="P1310" s="21">
        <f t="shared" si="202"/>
        <v>2160430.7980448301</v>
      </c>
      <c r="Q1310" s="21">
        <f t="shared" si="203"/>
        <v>80181496.187782362</v>
      </c>
      <c r="R1310" s="21">
        <f t="shared" si="204"/>
        <v>120306316.1764224</v>
      </c>
      <c r="S1310" s="21">
        <f t="shared" si="205"/>
        <v>40124819.98864004</v>
      </c>
      <c r="T1310" s="14">
        <f>IFERROR(INDEX(Cost_Components!$R$2:$R$27,MATCH(E1310,Cost_Components!$A$2:$A$27,0)),"")</f>
        <v>1</v>
      </c>
      <c r="U1310" s="24">
        <f>IFERROR(INDEX(Cost_Components!$Q$2:$Q$27,MATCH(E1310,Cost_Components!$A$2:$A$27,0)),"")</f>
        <v>2023</v>
      </c>
      <c r="V1310" s="28">
        <f>1/(1+Calculation_Assumptions!$B$5)^(B1310-Calculation_Assumptions!$B$2)</f>
        <v>0.78940923431393573</v>
      </c>
      <c r="W1310" s="21">
        <f t="shared" si="206"/>
        <v>63296013.511743031</v>
      </c>
      <c r="X1310" s="21">
        <f t="shared" si="207"/>
        <v>94970916.935959876</v>
      </c>
      <c r="Y1310" s="21">
        <f t="shared" si="208"/>
        <v>31674903.424216837</v>
      </c>
      <c r="Z1310" s="15">
        <f>IFERROR(INDEX(Cost_Components!$T$2:$T$27,MATCH(E1310,Cost_Components!$A$2:$A$27,0)),"")</f>
        <v>0.8</v>
      </c>
      <c r="AA1310" s="24">
        <f>IFERROR(INDEX(Cost_Components!$U$2:$U$27,MATCH(E1310,Cost_Components!$A$2:$A$27,0)),"")</f>
        <v>2025</v>
      </c>
      <c r="AB1310" s="24">
        <f>IFERROR(INDEX(Cost_Components!$V$2:$V$27,MATCH(E1310,Cost_Components!$A$2:$A$27,0)),"")</f>
        <v>2050</v>
      </c>
      <c r="AC1310" s="24">
        <f>IFERROR(INDEX(Cost_Components!$M$2:$M$27,MATCH(E1310,Cost_Components!$A$2:$A$27,0)),"")</f>
        <v>30</v>
      </c>
      <c r="AD1310" s="24">
        <f>IFERROR(INDEX(Cost_Components!$N$2:$N$27,MATCH(E1310,Cost_Components!$A$2:$A$27,0)),"")</f>
        <v>95</v>
      </c>
      <c r="AE1310" s="14" t="str">
        <f>IFERROR(INDEX(Cost_Components!$O$2:$O$27,MATCH(E1310,Cost_Components!$A$2:$A$27,0)),"")</f>
        <v>Both</v>
      </c>
      <c r="AF1310" s="11">
        <v>4190378.1500947201</v>
      </c>
      <c r="AG1310" s="11">
        <v>4320861.5960896602</v>
      </c>
      <c r="AH1310" s="21">
        <f t="shared" si="209"/>
        <v>1</v>
      </c>
    </row>
    <row r="1311" spans="1:34" hidden="1">
      <c r="A1311" t="s">
        <v>75</v>
      </c>
      <c r="B1311" s="18">
        <v>2034</v>
      </c>
      <c r="C1311" t="s">
        <v>217</v>
      </c>
      <c r="D1311" t="s">
        <v>181</v>
      </c>
      <c r="E1311" s="20" t="s">
        <v>317</v>
      </c>
      <c r="F1311" s="20" t="s">
        <v>318</v>
      </c>
      <c r="G1311" s="20" t="s">
        <v>221</v>
      </c>
      <c r="H1311" s="20" t="s">
        <v>192</v>
      </c>
      <c r="I1311" s="20" t="s">
        <v>264</v>
      </c>
      <c r="J1311" s="15">
        <f>IFERROR(INDEX(Cost_Components!$K$2:$K$27,MATCH(E1311,Cost_Components!$A$2:$A$27,0)),"")</f>
        <v>0.5</v>
      </c>
      <c r="K1311" s="15">
        <f t="shared" si="200"/>
        <v>0.49846153846153851</v>
      </c>
      <c r="L1311" s="15">
        <f>IFERROR(INDEX(Cost_Components!$S$2:$S$27,MATCH(E1311,Cost_Components!$A$2:$A$27,0)),"")</f>
        <v>0.31</v>
      </c>
      <c r="M1311" s="26">
        <f>IFERROR(INDEX(Cost_Components!$L$2:$L$27,MATCH(E1311,Cost_Components!$A$2:$A$27,0)),"")</f>
        <v>1</v>
      </c>
      <c r="N1311" s="27">
        <f>IFERROR(INDEX(Cost_Components!$P$2:$P$27,MATCH(E1311,Cost_Components!$A$2:$A$27,0)),"")</f>
        <v>119.721487</v>
      </c>
      <c r="O1311" s="21">
        <f t="shared" si="201"/>
        <v>2136295.4992620549</v>
      </c>
      <c r="P1311" s="21">
        <f t="shared" si="202"/>
        <v>2215101.3819678351</v>
      </c>
      <c r="Q1311" s="21">
        <f t="shared" si="203"/>
        <v>82210521.704532713</v>
      </c>
      <c r="R1311" s="21">
        <f t="shared" si="204"/>
        <v>127486759.26946408</v>
      </c>
      <c r="S1311" s="21">
        <f t="shared" si="205"/>
        <v>45276237.564931363</v>
      </c>
      <c r="T1311" s="14">
        <f>IFERROR(INDEX(Cost_Components!$R$2:$R$27,MATCH(E1311,Cost_Components!$A$2:$A$27,0)),"")</f>
        <v>1</v>
      </c>
      <c r="U1311" s="24">
        <f>IFERROR(INDEX(Cost_Components!$Q$2:$Q$27,MATCH(E1311,Cost_Components!$A$2:$A$27,0)),"")</f>
        <v>2023</v>
      </c>
      <c r="V1311" s="28">
        <f>1/(1+Calculation_Assumptions!$B$5)^(B1311-Calculation_Assumptions!$B$2)</f>
        <v>0.76641673234362695</v>
      </c>
      <c r="W1311" s="21">
        <f t="shared" si="206"/>
        <v>63007519.409052782</v>
      </c>
      <c r="X1311" s="21">
        <f t="shared" si="207"/>
        <v>97707985.456381246</v>
      </c>
      <c r="Y1311" s="21">
        <f t="shared" si="208"/>
        <v>34700466.047328465</v>
      </c>
      <c r="Z1311" s="15">
        <f>IFERROR(INDEX(Cost_Components!$T$2:$T$27,MATCH(E1311,Cost_Components!$A$2:$A$27,0)),"")</f>
        <v>0.8</v>
      </c>
      <c r="AA1311" s="24">
        <f>IFERROR(INDEX(Cost_Components!$U$2:$U$27,MATCH(E1311,Cost_Components!$A$2:$A$27,0)),"")</f>
        <v>2025</v>
      </c>
      <c r="AB1311" s="24">
        <f>IFERROR(INDEX(Cost_Components!$V$2:$V$27,MATCH(E1311,Cost_Components!$A$2:$A$27,0)),"")</f>
        <v>2050</v>
      </c>
      <c r="AC1311" s="24">
        <f>IFERROR(INDEX(Cost_Components!$M$2:$M$27,MATCH(E1311,Cost_Components!$A$2:$A$27,0)),"")</f>
        <v>30</v>
      </c>
      <c r="AD1311" s="24">
        <f>IFERROR(INDEX(Cost_Components!$N$2:$N$27,MATCH(E1311,Cost_Components!$A$2:$A$27,0)),"")</f>
        <v>95</v>
      </c>
      <c r="AE1311" s="14" t="str">
        <f>IFERROR(INDEX(Cost_Components!$O$2:$O$27,MATCH(E1311,Cost_Components!$A$2:$A$27,0)),"")</f>
        <v>Both</v>
      </c>
      <c r="AF1311" s="11">
        <v>4272590.9985241098</v>
      </c>
      <c r="AG1311" s="11">
        <v>4430202.7639356703</v>
      </c>
      <c r="AH1311" s="21">
        <f t="shared" si="209"/>
        <v>1</v>
      </c>
    </row>
    <row r="1312" spans="1:34" hidden="1">
      <c r="A1312" t="s">
        <v>75</v>
      </c>
      <c r="B1312" s="18">
        <v>2035</v>
      </c>
      <c r="C1312" t="s">
        <v>217</v>
      </c>
      <c r="D1312" t="s">
        <v>181</v>
      </c>
      <c r="E1312" s="20" t="s">
        <v>317</v>
      </c>
      <c r="F1312" s="20" t="s">
        <v>318</v>
      </c>
      <c r="G1312" s="20" t="s">
        <v>221</v>
      </c>
      <c r="H1312" s="20" t="s">
        <v>192</v>
      </c>
      <c r="I1312" s="20" t="s">
        <v>264</v>
      </c>
      <c r="J1312" s="15">
        <f>IFERROR(INDEX(Cost_Components!$K$2:$K$27,MATCH(E1312,Cost_Components!$A$2:$A$27,0)),"")</f>
        <v>0.5</v>
      </c>
      <c r="K1312" s="15">
        <f t="shared" si="200"/>
        <v>0.51730769230769236</v>
      </c>
      <c r="L1312" s="15">
        <f>IFERROR(INDEX(Cost_Components!$S$2:$S$27,MATCH(E1312,Cost_Components!$A$2:$A$27,0)),"")</f>
        <v>0.31</v>
      </c>
      <c r="M1312" s="26">
        <f>IFERROR(INDEX(Cost_Components!$L$2:$L$27,MATCH(E1312,Cost_Components!$A$2:$A$27,0)),"")</f>
        <v>1</v>
      </c>
      <c r="N1312" s="27">
        <f>IFERROR(INDEX(Cost_Components!$P$2:$P$27,MATCH(E1312,Cost_Components!$A$2:$A$27,0)),"")</f>
        <v>119.721487</v>
      </c>
      <c r="O1312" s="21">
        <f t="shared" si="201"/>
        <v>2175472.0369080799</v>
      </c>
      <c r="P1312" s="21">
        <f t="shared" si="202"/>
        <v>2268872.7736903951</v>
      </c>
      <c r="Q1312" s="21">
        <f t="shared" si="203"/>
        <v>84206174.906808853</v>
      </c>
      <c r="R1312" s="21">
        <f t="shared" si="204"/>
        <v>134733174.98637325</v>
      </c>
      <c r="S1312" s="21">
        <f t="shared" si="205"/>
        <v>50527000.079564393</v>
      </c>
      <c r="T1312" s="14">
        <f>IFERROR(INDEX(Cost_Components!$R$2:$R$27,MATCH(E1312,Cost_Components!$A$2:$A$27,0)),"")</f>
        <v>1</v>
      </c>
      <c r="U1312" s="24">
        <f>IFERROR(INDEX(Cost_Components!$Q$2:$Q$27,MATCH(E1312,Cost_Components!$A$2:$A$27,0)),"")</f>
        <v>2023</v>
      </c>
      <c r="V1312" s="28">
        <f>1/(1+Calculation_Assumptions!$B$5)^(B1312-Calculation_Assumptions!$B$2)</f>
        <v>0.74409391489672516</v>
      </c>
      <c r="W1312" s="21">
        <f t="shared" si="206"/>
        <v>62657302.344885781</v>
      </c>
      <c r="X1312" s="21">
        <f t="shared" si="207"/>
        <v>100254135.642076</v>
      </c>
      <c r="Y1312" s="21">
        <f t="shared" si="208"/>
        <v>37596833.297190212</v>
      </c>
      <c r="Z1312" s="15">
        <f>IFERROR(INDEX(Cost_Components!$T$2:$T$27,MATCH(E1312,Cost_Components!$A$2:$A$27,0)),"")</f>
        <v>0.8</v>
      </c>
      <c r="AA1312" s="24">
        <f>IFERROR(INDEX(Cost_Components!$U$2:$U$27,MATCH(E1312,Cost_Components!$A$2:$A$27,0)),"")</f>
        <v>2025</v>
      </c>
      <c r="AB1312" s="24">
        <f>IFERROR(INDEX(Cost_Components!$V$2:$V$27,MATCH(E1312,Cost_Components!$A$2:$A$27,0)),"")</f>
        <v>2050</v>
      </c>
      <c r="AC1312" s="24">
        <f>IFERROR(INDEX(Cost_Components!$M$2:$M$27,MATCH(E1312,Cost_Components!$A$2:$A$27,0)),"")</f>
        <v>30</v>
      </c>
      <c r="AD1312" s="24">
        <f>IFERROR(INDEX(Cost_Components!$N$2:$N$27,MATCH(E1312,Cost_Components!$A$2:$A$27,0)),"")</f>
        <v>95</v>
      </c>
      <c r="AE1312" s="14" t="str">
        <f>IFERROR(INDEX(Cost_Components!$O$2:$O$27,MATCH(E1312,Cost_Components!$A$2:$A$27,0)),"")</f>
        <v>Both</v>
      </c>
      <c r="AF1312" s="11">
        <v>4350944.0738161597</v>
      </c>
      <c r="AG1312" s="11">
        <v>4537745.5473807901</v>
      </c>
      <c r="AH1312" s="21">
        <f t="shared" si="209"/>
        <v>1</v>
      </c>
    </row>
    <row r="1313" spans="1:34" hidden="1">
      <c r="A1313" t="s">
        <v>75</v>
      </c>
      <c r="B1313" s="18">
        <v>2036</v>
      </c>
      <c r="C1313" t="s">
        <v>217</v>
      </c>
      <c r="D1313" t="s">
        <v>181</v>
      </c>
      <c r="E1313" s="20" t="s">
        <v>317</v>
      </c>
      <c r="F1313" s="20" t="s">
        <v>318</v>
      </c>
      <c r="G1313" s="20" t="s">
        <v>221</v>
      </c>
      <c r="H1313" s="20" t="s">
        <v>192</v>
      </c>
      <c r="I1313" s="20" t="s">
        <v>264</v>
      </c>
      <c r="J1313" s="15">
        <f>IFERROR(INDEX(Cost_Components!$K$2:$K$27,MATCH(E1313,Cost_Components!$A$2:$A$27,0)),"")</f>
        <v>0.5</v>
      </c>
      <c r="K1313" s="15">
        <f t="shared" si="200"/>
        <v>0.5361538461538462</v>
      </c>
      <c r="L1313" s="15">
        <f>IFERROR(INDEX(Cost_Components!$S$2:$S$27,MATCH(E1313,Cost_Components!$A$2:$A$27,0)),"")</f>
        <v>0.31</v>
      </c>
      <c r="M1313" s="26">
        <f>IFERROR(INDEX(Cost_Components!$L$2:$L$27,MATCH(E1313,Cost_Components!$A$2:$A$27,0)),"")</f>
        <v>1</v>
      </c>
      <c r="N1313" s="27">
        <f>IFERROR(INDEX(Cost_Components!$P$2:$P$27,MATCH(E1313,Cost_Components!$A$2:$A$27,0)),"")</f>
        <v>119.721487</v>
      </c>
      <c r="O1313" s="21">
        <f t="shared" si="201"/>
        <v>2212690.7687805048</v>
      </c>
      <c r="P1313" s="21">
        <f t="shared" si="202"/>
        <v>2321646.4260249049</v>
      </c>
      <c r="Q1313" s="21">
        <f t="shared" si="203"/>
        <v>86164798.347700506</v>
      </c>
      <c r="R1313" s="21">
        <f t="shared" si="204"/>
        <v>142030708.06874919</v>
      </c>
      <c r="S1313" s="21">
        <f t="shared" si="205"/>
        <v>55865909.721048683</v>
      </c>
      <c r="T1313" s="14">
        <f>IFERROR(INDEX(Cost_Components!$R$2:$R$27,MATCH(E1313,Cost_Components!$A$2:$A$27,0)),"")</f>
        <v>1</v>
      </c>
      <c r="U1313" s="24">
        <f>IFERROR(INDEX(Cost_Components!$Q$2:$Q$27,MATCH(E1313,Cost_Components!$A$2:$A$27,0)),"")</f>
        <v>2023</v>
      </c>
      <c r="V1313" s="28">
        <f>1/(1+Calculation_Assumptions!$B$5)^(B1313-Calculation_Assumptions!$B$2)</f>
        <v>0.72242127659876232</v>
      </c>
      <c r="W1313" s="21">
        <f t="shared" si="206"/>
        <v>62247283.620220728</v>
      </c>
      <c r="X1313" s="21">
        <f t="shared" si="207"/>
        <v>102606005.43925191</v>
      </c>
      <c r="Y1313" s="21">
        <f t="shared" si="208"/>
        <v>40358721.819031194</v>
      </c>
      <c r="Z1313" s="15">
        <f>IFERROR(INDEX(Cost_Components!$T$2:$T$27,MATCH(E1313,Cost_Components!$A$2:$A$27,0)),"")</f>
        <v>0.8</v>
      </c>
      <c r="AA1313" s="24">
        <f>IFERROR(INDEX(Cost_Components!$U$2:$U$27,MATCH(E1313,Cost_Components!$A$2:$A$27,0)),"")</f>
        <v>2025</v>
      </c>
      <c r="AB1313" s="24">
        <f>IFERROR(INDEX(Cost_Components!$V$2:$V$27,MATCH(E1313,Cost_Components!$A$2:$A$27,0)),"")</f>
        <v>2050</v>
      </c>
      <c r="AC1313" s="24">
        <f>IFERROR(INDEX(Cost_Components!$M$2:$M$27,MATCH(E1313,Cost_Components!$A$2:$A$27,0)),"")</f>
        <v>30</v>
      </c>
      <c r="AD1313" s="24">
        <f>IFERROR(INDEX(Cost_Components!$N$2:$N$27,MATCH(E1313,Cost_Components!$A$2:$A$27,0)),"")</f>
        <v>95</v>
      </c>
      <c r="AE1313" s="14" t="str">
        <f>IFERROR(INDEX(Cost_Components!$O$2:$O$27,MATCH(E1313,Cost_Components!$A$2:$A$27,0)),"")</f>
        <v>Both</v>
      </c>
      <c r="AF1313" s="11">
        <v>4425381.5375610096</v>
      </c>
      <c r="AG1313" s="11">
        <v>4643292.8520498099</v>
      </c>
      <c r="AH1313" s="21">
        <f t="shared" si="209"/>
        <v>1</v>
      </c>
    </row>
    <row r="1314" spans="1:34" hidden="1">
      <c r="A1314" t="s">
        <v>75</v>
      </c>
      <c r="B1314" s="18">
        <v>2037</v>
      </c>
      <c r="C1314" t="s">
        <v>217</v>
      </c>
      <c r="D1314" t="s">
        <v>181</v>
      </c>
      <c r="E1314" s="20" t="s">
        <v>317</v>
      </c>
      <c r="F1314" s="20" t="s">
        <v>318</v>
      </c>
      <c r="G1314" s="20" t="s">
        <v>221</v>
      </c>
      <c r="H1314" s="20" t="s">
        <v>192</v>
      </c>
      <c r="I1314" s="20" t="s">
        <v>264</v>
      </c>
      <c r="J1314" s="15">
        <f>IFERROR(INDEX(Cost_Components!$K$2:$K$27,MATCH(E1314,Cost_Components!$A$2:$A$27,0)),"")</f>
        <v>0.5</v>
      </c>
      <c r="K1314" s="15">
        <f t="shared" si="200"/>
        <v>0.55500000000000005</v>
      </c>
      <c r="L1314" s="15">
        <f>IFERROR(INDEX(Cost_Components!$S$2:$S$27,MATCH(E1314,Cost_Components!$A$2:$A$27,0)),"")</f>
        <v>0.31</v>
      </c>
      <c r="M1314" s="26">
        <f>IFERROR(INDEX(Cost_Components!$L$2:$L$27,MATCH(E1314,Cost_Components!$A$2:$A$27,0)),"")</f>
        <v>1</v>
      </c>
      <c r="N1314" s="27">
        <f>IFERROR(INDEX(Cost_Components!$P$2:$P$27,MATCH(E1314,Cost_Components!$A$2:$A$27,0)),"")</f>
        <v>119.721487</v>
      </c>
      <c r="O1314" s="21">
        <f t="shared" si="201"/>
        <v>2247944.3840481699</v>
      </c>
      <c r="P1314" s="21">
        <f t="shared" si="202"/>
        <v>2373348.357711555</v>
      </c>
      <c r="Q1314" s="21">
        <f t="shared" si="203"/>
        <v>88083646.311812937</v>
      </c>
      <c r="R1314" s="21">
        <f t="shared" si="204"/>
        <v>149365620.61510804</v>
      </c>
      <c r="S1314" s="21">
        <f t="shared" si="205"/>
        <v>61281974.303295106</v>
      </c>
      <c r="T1314" s="14">
        <f>IFERROR(INDEX(Cost_Components!$R$2:$R$27,MATCH(E1314,Cost_Components!$A$2:$A$27,0)),"")</f>
        <v>1</v>
      </c>
      <c r="U1314" s="24">
        <f>IFERROR(INDEX(Cost_Components!$Q$2:$Q$27,MATCH(E1314,Cost_Components!$A$2:$A$27,0)),"")</f>
        <v>2023</v>
      </c>
      <c r="V1314" s="28">
        <f>1/(1+Calculation_Assumptions!$B$5)^(B1314-Calculation_Assumptions!$B$2)</f>
        <v>0.70137988019297326</v>
      </c>
      <c r="W1314" s="21">
        <f t="shared" si="206"/>
        <v>61780097.297139592</v>
      </c>
      <c r="X1314" s="21">
        <f t="shared" si="207"/>
        <v>104762041.09197357</v>
      </c>
      <c r="Y1314" s="21">
        <f t="shared" si="208"/>
        <v>42981943.794833988</v>
      </c>
      <c r="Z1314" s="15">
        <f>IFERROR(INDEX(Cost_Components!$T$2:$T$27,MATCH(E1314,Cost_Components!$A$2:$A$27,0)),"")</f>
        <v>0.8</v>
      </c>
      <c r="AA1314" s="24">
        <f>IFERROR(INDEX(Cost_Components!$U$2:$U$27,MATCH(E1314,Cost_Components!$A$2:$A$27,0)),"")</f>
        <v>2025</v>
      </c>
      <c r="AB1314" s="24">
        <f>IFERROR(INDEX(Cost_Components!$V$2:$V$27,MATCH(E1314,Cost_Components!$A$2:$A$27,0)),"")</f>
        <v>2050</v>
      </c>
      <c r="AC1314" s="24">
        <f>IFERROR(INDEX(Cost_Components!$M$2:$M$27,MATCH(E1314,Cost_Components!$A$2:$A$27,0)),"")</f>
        <v>30</v>
      </c>
      <c r="AD1314" s="24">
        <f>IFERROR(INDEX(Cost_Components!$N$2:$N$27,MATCH(E1314,Cost_Components!$A$2:$A$27,0)),"")</f>
        <v>95</v>
      </c>
      <c r="AE1314" s="14" t="str">
        <f>IFERROR(INDEX(Cost_Components!$O$2:$O$27,MATCH(E1314,Cost_Components!$A$2:$A$27,0)),"")</f>
        <v>Both</v>
      </c>
      <c r="AF1314" s="11">
        <v>4495888.7680963399</v>
      </c>
      <c r="AG1314" s="11">
        <v>4746696.7154231099</v>
      </c>
      <c r="AH1314" s="21">
        <f t="shared" si="209"/>
        <v>1</v>
      </c>
    </row>
    <row r="1315" spans="1:34" hidden="1">
      <c r="A1315" t="s">
        <v>75</v>
      </c>
      <c r="B1315" s="18">
        <v>2038</v>
      </c>
      <c r="C1315" t="s">
        <v>217</v>
      </c>
      <c r="D1315" t="s">
        <v>181</v>
      </c>
      <c r="E1315" s="20" t="s">
        <v>317</v>
      </c>
      <c r="F1315" s="20" t="s">
        <v>318</v>
      </c>
      <c r="G1315" s="20" t="s">
        <v>221</v>
      </c>
      <c r="H1315" s="20" t="s">
        <v>192</v>
      </c>
      <c r="I1315" s="20" t="s">
        <v>264</v>
      </c>
      <c r="J1315" s="15">
        <f>IFERROR(INDEX(Cost_Components!$K$2:$K$27,MATCH(E1315,Cost_Components!$A$2:$A$27,0)),"")</f>
        <v>0.5</v>
      </c>
      <c r="K1315" s="15">
        <f t="shared" si="200"/>
        <v>0.57384615384615389</v>
      </c>
      <c r="L1315" s="15">
        <f>IFERROR(INDEX(Cost_Components!$S$2:$S$27,MATCH(E1315,Cost_Components!$A$2:$A$27,0)),"")</f>
        <v>0.31</v>
      </c>
      <c r="M1315" s="26">
        <f>IFERROR(INDEX(Cost_Components!$L$2:$L$27,MATCH(E1315,Cost_Components!$A$2:$A$27,0)),"")</f>
        <v>1</v>
      </c>
      <c r="N1315" s="27">
        <f>IFERROR(INDEX(Cost_Components!$P$2:$P$27,MATCH(E1315,Cost_Components!$A$2:$A$27,0)),"")</f>
        <v>119.721487</v>
      </c>
      <c r="O1315" s="21">
        <f t="shared" si="201"/>
        <v>2281245.0809726152</v>
      </c>
      <c r="P1315" s="21">
        <f t="shared" si="202"/>
        <v>2423925.167415835</v>
      </c>
      <c r="Q1315" s="21">
        <f t="shared" si="203"/>
        <v>89960736.880121782</v>
      </c>
      <c r="R1315" s="21">
        <f t="shared" si="204"/>
        <v>156725449.05068135</v>
      </c>
      <c r="S1315" s="21">
        <f t="shared" si="205"/>
        <v>66764712.17055957</v>
      </c>
      <c r="T1315" s="14">
        <f>IFERROR(INDEX(Cost_Components!$R$2:$R$27,MATCH(E1315,Cost_Components!$A$2:$A$27,0)),"")</f>
        <v>1</v>
      </c>
      <c r="U1315" s="24">
        <f>IFERROR(INDEX(Cost_Components!$Q$2:$Q$27,MATCH(E1315,Cost_Components!$A$2:$A$27,0)),"")</f>
        <v>2023</v>
      </c>
      <c r="V1315" s="28">
        <f>1/(1+Calculation_Assumptions!$B$5)^(B1315-Calculation_Assumptions!$B$2)</f>
        <v>0.68095133999317792</v>
      </c>
      <c r="W1315" s="21">
        <f t="shared" si="206"/>
        <v>61258884.325292625</v>
      </c>
      <c r="X1315" s="21">
        <f t="shared" si="207"/>
        <v>106722404.54209401</v>
      </c>
      <c r="Y1315" s="21">
        <f t="shared" si="208"/>
        <v>45463520.216801375</v>
      </c>
      <c r="Z1315" s="15">
        <f>IFERROR(INDEX(Cost_Components!$T$2:$T$27,MATCH(E1315,Cost_Components!$A$2:$A$27,0)),"")</f>
        <v>0.8</v>
      </c>
      <c r="AA1315" s="24">
        <f>IFERROR(INDEX(Cost_Components!$U$2:$U$27,MATCH(E1315,Cost_Components!$A$2:$A$27,0)),"")</f>
        <v>2025</v>
      </c>
      <c r="AB1315" s="24">
        <f>IFERROR(INDEX(Cost_Components!$V$2:$V$27,MATCH(E1315,Cost_Components!$A$2:$A$27,0)),"")</f>
        <v>2050</v>
      </c>
      <c r="AC1315" s="24">
        <f>IFERROR(INDEX(Cost_Components!$M$2:$M$27,MATCH(E1315,Cost_Components!$A$2:$A$27,0)),"")</f>
        <v>30</v>
      </c>
      <c r="AD1315" s="24">
        <f>IFERROR(INDEX(Cost_Components!$N$2:$N$27,MATCH(E1315,Cost_Components!$A$2:$A$27,0)),"")</f>
        <v>95</v>
      </c>
      <c r="AE1315" s="14" t="str">
        <f>IFERROR(INDEX(Cost_Components!$O$2:$O$27,MATCH(E1315,Cost_Components!$A$2:$A$27,0)),"")</f>
        <v>Both</v>
      </c>
      <c r="AF1315" s="11">
        <v>4562490.1619452303</v>
      </c>
      <c r="AG1315" s="11">
        <v>4847850.3348316699</v>
      </c>
      <c r="AH1315" s="21">
        <f t="shared" si="209"/>
        <v>1</v>
      </c>
    </row>
    <row r="1316" spans="1:34" hidden="1">
      <c r="A1316" t="s">
        <v>75</v>
      </c>
      <c r="B1316" s="18">
        <v>2039</v>
      </c>
      <c r="C1316" t="s">
        <v>217</v>
      </c>
      <c r="D1316" t="s">
        <v>181</v>
      </c>
      <c r="E1316" s="20" t="s">
        <v>317</v>
      </c>
      <c r="F1316" s="20" t="s">
        <v>318</v>
      </c>
      <c r="G1316" s="20" t="s">
        <v>221</v>
      </c>
      <c r="H1316" s="20" t="s">
        <v>192</v>
      </c>
      <c r="I1316" s="20" t="s">
        <v>264</v>
      </c>
      <c r="J1316" s="15">
        <f>IFERROR(INDEX(Cost_Components!$K$2:$K$27,MATCH(E1316,Cost_Components!$A$2:$A$27,0)),"")</f>
        <v>0.5</v>
      </c>
      <c r="K1316" s="15">
        <f t="shared" si="200"/>
        <v>0.59269230769230763</v>
      </c>
      <c r="L1316" s="15">
        <f>IFERROR(INDEX(Cost_Components!$S$2:$S$27,MATCH(E1316,Cost_Components!$A$2:$A$27,0)),"")</f>
        <v>0.31</v>
      </c>
      <c r="M1316" s="26">
        <f>IFERROR(INDEX(Cost_Components!$L$2:$L$27,MATCH(E1316,Cost_Components!$A$2:$A$27,0)),"")</f>
        <v>1</v>
      </c>
      <c r="N1316" s="27">
        <f>IFERROR(INDEX(Cost_Components!$P$2:$P$27,MATCH(E1316,Cost_Components!$A$2:$A$27,0)),"")</f>
        <v>119.721487</v>
      </c>
      <c r="O1316" s="21">
        <f t="shared" si="201"/>
        <v>2312567.60565237</v>
      </c>
      <c r="P1316" s="21">
        <f t="shared" si="202"/>
        <v>2473283.6949525201</v>
      </c>
      <c r="Q1316" s="21">
        <f t="shared" si="203"/>
        <v>91792612.537096739</v>
      </c>
      <c r="R1316" s="21">
        <f t="shared" si="204"/>
        <v>164095182.36119345</v>
      </c>
      <c r="S1316" s="21">
        <f t="shared" si="205"/>
        <v>72302569.824096709</v>
      </c>
      <c r="T1316" s="14">
        <f>IFERROR(INDEX(Cost_Components!$R$2:$R$27,MATCH(E1316,Cost_Components!$A$2:$A$27,0)),"")</f>
        <v>1</v>
      </c>
      <c r="U1316" s="24">
        <f>IFERROR(INDEX(Cost_Components!$Q$2:$Q$27,MATCH(E1316,Cost_Components!$A$2:$A$27,0)),"")</f>
        <v>2023</v>
      </c>
      <c r="V1316" s="28">
        <f>1/(1+Calculation_Assumptions!$B$5)^(B1316-Calculation_Assumptions!$B$2)</f>
        <v>0.66111780581861923</v>
      </c>
      <c r="W1316" s="21">
        <f t="shared" si="206"/>
        <v>60685730.590884075</v>
      </c>
      <c r="X1316" s="21">
        <f t="shared" si="207"/>
        <v>108486246.90803841</v>
      </c>
      <c r="Y1316" s="21">
        <f t="shared" si="208"/>
        <v>47800516.317154326</v>
      </c>
      <c r="Z1316" s="15">
        <f>IFERROR(INDEX(Cost_Components!$T$2:$T$27,MATCH(E1316,Cost_Components!$A$2:$A$27,0)),"")</f>
        <v>0.8</v>
      </c>
      <c r="AA1316" s="24">
        <f>IFERROR(INDEX(Cost_Components!$U$2:$U$27,MATCH(E1316,Cost_Components!$A$2:$A$27,0)),"")</f>
        <v>2025</v>
      </c>
      <c r="AB1316" s="24">
        <f>IFERROR(INDEX(Cost_Components!$V$2:$V$27,MATCH(E1316,Cost_Components!$A$2:$A$27,0)),"")</f>
        <v>2050</v>
      </c>
      <c r="AC1316" s="24">
        <f>IFERROR(INDEX(Cost_Components!$M$2:$M$27,MATCH(E1316,Cost_Components!$A$2:$A$27,0)),"")</f>
        <v>30</v>
      </c>
      <c r="AD1316" s="24">
        <f>IFERROR(INDEX(Cost_Components!$N$2:$N$27,MATCH(E1316,Cost_Components!$A$2:$A$27,0)),"")</f>
        <v>95</v>
      </c>
      <c r="AE1316" s="14" t="str">
        <f>IFERROR(INDEX(Cost_Components!$O$2:$O$27,MATCH(E1316,Cost_Components!$A$2:$A$27,0)),"")</f>
        <v>Both</v>
      </c>
      <c r="AF1316" s="11">
        <v>4625135.21130474</v>
      </c>
      <c r="AG1316" s="11">
        <v>4946567.3899050402</v>
      </c>
      <c r="AH1316" s="21">
        <f t="shared" si="209"/>
        <v>1</v>
      </c>
    </row>
    <row r="1317" spans="1:34" hidden="1">
      <c r="A1317" t="s">
        <v>75</v>
      </c>
      <c r="B1317" s="18">
        <v>2040</v>
      </c>
      <c r="C1317" t="s">
        <v>217</v>
      </c>
      <c r="D1317" t="s">
        <v>181</v>
      </c>
      <c r="E1317" s="20" t="s">
        <v>317</v>
      </c>
      <c r="F1317" s="20" t="s">
        <v>318</v>
      </c>
      <c r="G1317" s="20" t="s">
        <v>221</v>
      </c>
      <c r="H1317" s="20" t="s">
        <v>192</v>
      </c>
      <c r="I1317" s="20" t="s">
        <v>264</v>
      </c>
      <c r="J1317" s="15">
        <f>IFERROR(INDEX(Cost_Components!$K$2:$K$27,MATCH(E1317,Cost_Components!$A$2:$A$27,0)),"")</f>
        <v>0.5</v>
      </c>
      <c r="K1317" s="15">
        <f t="shared" si="200"/>
        <v>0.61153846153846159</v>
      </c>
      <c r="L1317" s="15">
        <f>IFERROR(INDEX(Cost_Components!$S$2:$S$27,MATCH(E1317,Cost_Components!$A$2:$A$27,0)),"")</f>
        <v>0.31</v>
      </c>
      <c r="M1317" s="26">
        <f>IFERROR(INDEX(Cost_Components!$L$2:$L$27,MATCH(E1317,Cost_Components!$A$2:$A$27,0)),"")</f>
        <v>1</v>
      </c>
      <c r="N1317" s="27">
        <f>IFERROR(INDEX(Cost_Components!$P$2:$P$27,MATCH(E1317,Cost_Components!$A$2:$A$27,0)),"")</f>
        <v>119.721487</v>
      </c>
      <c r="O1317" s="21">
        <f t="shared" si="201"/>
        <v>2342023.2410179549</v>
      </c>
      <c r="P1317" s="21">
        <f t="shared" si="202"/>
        <v>2521470.0766744148</v>
      </c>
      <c r="Q1317" s="21">
        <f t="shared" si="203"/>
        <v>93580985.571694136</v>
      </c>
      <c r="R1317" s="21">
        <f t="shared" si="204"/>
        <v>171469578.05966693</v>
      </c>
      <c r="S1317" s="21">
        <f t="shared" si="205"/>
        <v>77888592.487972796</v>
      </c>
      <c r="T1317" s="14">
        <f>IFERROR(INDEX(Cost_Components!$R$2:$R$27,MATCH(E1317,Cost_Components!$A$2:$A$27,0)),"")</f>
        <v>1</v>
      </c>
      <c r="U1317" s="24">
        <f>IFERROR(INDEX(Cost_Components!$Q$2:$Q$27,MATCH(E1317,Cost_Components!$A$2:$A$27,0)),"")</f>
        <v>2023</v>
      </c>
      <c r="V1317" s="28">
        <f>1/(1+Calculation_Assumptions!$B$5)^(B1317-Calculation_Assumptions!$B$2)</f>
        <v>0.64186194739671765</v>
      </c>
      <c r="W1317" s="21">
        <f t="shared" si="206"/>
        <v>60066073.638351731</v>
      </c>
      <c r="X1317" s="21">
        <f t="shared" si="207"/>
        <v>110059797.29267131</v>
      </c>
      <c r="Y1317" s="21">
        <f t="shared" si="208"/>
        <v>49993723.654319569</v>
      </c>
      <c r="Z1317" s="15">
        <f>IFERROR(INDEX(Cost_Components!$T$2:$T$27,MATCH(E1317,Cost_Components!$A$2:$A$27,0)),"")</f>
        <v>0.8</v>
      </c>
      <c r="AA1317" s="24">
        <f>IFERROR(INDEX(Cost_Components!$U$2:$U$27,MATCH(E1317,Cost_Components!$A$2:$A$27,0)),"")</f>
        <v>2025</v>
      </c>
      <c r="AB1317" s="24">
        <f>IFERROR(INDEX(Cost_Components!$V$2:$V$27,MATCH(E1317,Cost_Components!$A$2:$A$27,0)),"")</f>
        <v>2050</v>
      </c>
      <c r="AC1317" s="24">
        <f>IFERROR(INDEX(Cost_Components!$M$2:$M$27,MATCH(E1317,Cost_Components!$A$2:$A$27,0)),"")</f>
        <v>30</v>
      </c>
      <c r="AD1317" s="24">
        <f>IFERROR(INDEX(Cost_Components!$N$2:$N$27,MATCH(E1317,Cost_Components!$A$2:$A$27,0)),"")</f>
        <v>95</v>
      </c>
      <c r="AE1317" s="14" t="str">
        <f>IFERROR(INDEX(Cost_Components!$O$2:$O$27,MATCH(E1317,Cost_Components!$A$2:$A$27,0)),"")</f>
        <v>Both</v>
      </c>
      <c r="AF1317" s="11">
        <v>4684046.4820359098</v>
      </c>
      <c r="AG1317" s="11">
        <v>5042940.1533488296</v>
      </c>
      <c r="AH1317" s="21">
        <f t="shared" si="209"/>
        <v>1</v>
      </c>
    </row>
    <row r="1318" spans="1:34" hidden="1">
      <c r="A1318" t="s">
        <v>75</v>
      </c>
      <c r="B1318" s="18">
        <v>2041</v>
      </c>
      <c r="C1318" t="s">
        <v>217</v>
      </c>
      <c r="D1318" t="s">
        <v>181</v>
      </c>
      <c r="E1318" s="20" t="s">
        <v>317</v>
      </c>
      <c r="F1318" s="20" t="s">
        <v>318</v>
      </c>
      <c r="G1318" s="20" t="s">
        <v>221</v>
      </c>
      <c r="H1318" s="20" t="s">
        <v>192</v>
      </c>
      <c r="I1318" s="20" t="s">
        <v>264</v>
      </c>
      <c r="J1318" s="15">
        <f>IFERROR(INDEX(Cost_Components!$K$2:$K$27,MATCH(E1318,Cost_Components!$A$2:$A$27,0)),"")</f>
        <v>0.5</v>
      </c>
      <c r="K1318" s="15">
        <f t="shared" si="200"/>
        <v>0.63038461538461543</v>
      </c>
      <c r="L1318" s="15">
        <f>IFERROR(INDEX(Cost_Components!$S$2:$S$27,MATCH(E1318,Cost_Components!$A$2:$A$27,0)),"")</f>
        <v>0.31</v>
      </c>
      <c r="M1318" s="26">
        <f>IFERROR(INDEX(Cost_Components!$L$2:$L$27,MATCH(E1318,Cost_Components!$A$2:$A$27,0)),"")</f>
        <v>1</v>
      </c>
      <c r="N1318" s="27">
        <f>IFERROR(INDEX(Cost_Components!$P$2:$P$27,MATCH(E1318,Cost_Components!$A$2:$A$27,0)),"")</f>
        <v>119.721487</v>
      </c>
      <c r="O1318" s="21">
        <f t="shared" si="201"/>
        <v>2369633.021468915</v>
      </c>
      <c r="P1318" s="21">
        <f t="shared" si="202"/>
        <v>2568438.3190627601</v>
      </c>
      <c r="Q1318" s="21">
        <f t="shared" si="203"/>
        <v>95324148.996051967</v>
      </c>
      <c r="R1318" s="21">
        <f t="shared" si="204"/>
        <v>178837586.89588699</v>
      </c>
      <c r="S1318" s="21">
        <f t="shared" si="205"/>
        <v>83513437.89983502</v>
      </c>
      <c r="T1318" s="14">
        <f>IFERROR(INDEX(Cost_Components!$R$2:$R$27,MATCH(E1318,Cost_Components!$A$2:$A$27,0)),"")</f>
        <v>1</v>
      </c>
      <c r="U1318" s="24">
        <f>IFERROR(INDEX(Cost_Components!$Q$2:$Q$27,MATCH(E1318,Cost_Components!$A$2:$A$27,0)),"")</f>
        <v>2023</v>
      </c>
      <c r="V1318" s="28">
        <f>1/(1+Calculation_Assumptions!$B$5)^(B1318-Calculation_Assumptions!$B$2)</f>
        <v>0.62316693922011435</v>
      </c>
      <c r="W1318" s="21">
        <f t="shared" si="206"/>
        <v>59402858.163631842</v>
      </c>
      <c r="X1318" s="21">
        <f t="shared" si="207"/>
        <v>111445671.64342113</v>
      </c>
      <c r="Y1318" s="21">
        <f t="shared" si="208"/>
        <v>52042813.479789287</v>
      </c>
      <c r="Z1318" s="15">
        <f>IFERROR(INDEX(Cost_Components!$T$2:$T$27,MATCH(E1318,Cost_Components!$A$2:$A$27,0)),"")</f>
        <v>0.8</v>
      </c>
      <c r="AA1318" s="24">
        <f>IFERROR(INDEX(Cost_Components!$U$2:$U$27,MATCH(E1318,Cost_Components!$A$2:$A$27,0)),"")</f>
        <v>2025</v>
      </c>
      <c r="AB1318" s="24">
        <f>IFERROR(INDEX(Cost_Components!$V$2:$V$27,MATCH(E1318,Cost_Components!$A$2:$A$27,0)),"")</f>
        <v>2050</v>
      </c>
      <c r="AC1318" s="24">
        <f>IFERROR(INDEX(Cost_Components!$M$2:$M$27,MATCH(E1318,Cost_Components!$A$2:$A$27,0)),"")</f>
        <v>30</v>
      </c>
      <c r="AD1318" s="24">
        <f>IFERROR(INDEX(Cost_Components!$N$2:$N$27,MATCH(E1318,Cost_Components!$A$2:$A$27,0)),"")</f>
        <v>95</v>
      </c>
      <c r="AE1318" s="14" t="str">
        <f>IFERROR(INDEX(Cost_Components!$O$2:$O$27,MATCH(E1318,Cost_Components!$A$2:$A$27,0)),"")</f>
        <v>Both</v>
      </c>
      <c r="AF1318" s="11">
        <v>4739266.0429378301</v>
      </c>
      <c r="AG1318" s="11">
        <v>5136876.6381255202</v>
      </c>
      <c r="AH1318" s="21">
        <f t="shared" si="209"/>
        <v>1</v>
      </c>
    </row>
    <row r="1319" spans="1:34" hidden="1">
      <c r="A1319" t="s">
        <v>75</v>
      </c>
      <c r="B1319" s="18">
        <v>2042</v>
      </c>
      <c r="C1319" t="s">
        <v>217</v>
      </c>
      <c r="D1319" t="s">
        <v>181</v>
      </c>
      <c r="E1319" s="20" t="s">
        <v>317</v>
      </c>
      <c r="F1319" s="20" t="s">
        <v>318</v>
      </c>
      <c r="G1319" s="20" t="s">
        <v>221</v>
      </c>
      <c r="H1319" s="20" t="s">
        <v>192</v>
      </c>
      <c r="I1319" s="20" t="s">
        <v>264</v>
      </c>
      <c r="J1319" s="15">
        <f>IFERROR(INDEX(Cost_Components!$K$2:$K$27,MATCH(E1319,Cost_Components!$A$2:$A$27,0)),"")</f>
        <v>0.5</v>
      </c>
      <c r="K1319" s="15">
        <f t="shared" si="200"/>
        <v>0.64923076923076928</v>
      </c>
      <c r="L1319" s="15">
        <f>IFERROR(INDEX(Cost_Components!$S$2:$S$27,MATCH(E1319,Cost_Components!$A$2:$A$27,0)),"")</f>
        <v>0.31</v>
      </c>
      <c r="M1319" s="26">
        <f>IFERROR(INDEX(Cost_Components!$L$2:$L$27,MATCH(E1319,Cost_Components!$A$2:$A$27,0)),"")</f>
        <v>1</v>
      </c>
      <c r="N1319" s="27">
        <f>IFERROR(INDEX(Cost_Components!$P$2:$P$27,MATCH(E1319,Cost_Components!$A$2:$A$27,0)),"")</f>
        <v>119.721487</v>
      </c>
      <c r="O1319" s="21">
        <f t="shared" si="201"/>
        <v>2395246.321125715</v>
      </c>
      <c r="P1319" s="21">
        <f t="shared" si="202"/>
        <v>2613966.2705694651</v>
      </c>
      <c r="Q1319" s="21">
        <f t="shared" si="203"/>
        <v>97013857.952930421</v>
      </c>
      <c r="R1319" s="21">
        <f t="shared" si="204"/>
        <v>186175006.84169534</v>
      </c>
      <c r="S1319" s="21">
        <f t="shared" si="205"/>
        <v>89161148.888764918</v>
      </c>
      <c r="T1319" s="14">
        <f>IFERROR(INDEX(Cost_Components!$R$2:$R$27,MATCH(E1319,Cost_Components!$A$2:$A$27,0)),"")</f>
        <v>1</v>
      </c>
      <c r="U1319" s="24">
        <f>IFERROR(INDEX(Cost_Components!$Q$2:$Q$27,MATCH(E1319,Cost_Components!$A$2:$A$27,0)),"")</f>
        <v>2023</v>
      </c>
      <c r="V1319" s="28">
        <f>1/(1+Calculation_Assumptions!$B$5)^(B1319-Calculation_Assumptions!$B$2)</f>
        <v>0.60501644584477121</v>
      </c>
      <c r="W1319" s="21">
        <f t="shared" si="206"/>
        <v>58694979.536371455</v>
      </c>
      <c r="X1319" s="21">
        <f t="shared" si="207"/>
        <v>112638940.94448848</v>
      </c>
      <c r="Y1319" s="21">
        <f t="shared" si="208"/>
        <v>53943961.408117026</v>
      </c>
      <c r="Z1319" s="15">
        <f>IFERROR(INDEX(Cost_Components!$T$2:$T$27,MATCH(E1319,Cost_Components!$A$2:$A$27,0)),"")</f>
        <v>0.8</v>
      </c>
      <c r="AA1319" s="24">
        <f>IFERROR(INDEX(Cost_Components!$U$2:$U$27,MATCH(E1319,Cost_Components!$A$2:$A$27,0)),"")</f>
        <v>2025</v>
      </c>
      <c r="AB1319" s="24">
        <f>IFERROR(INDEX(Cost_Components!$V$2:$V$27,MATCH(E1319,Cost_Components!$A$2:$A$27,0)),"")</f>
        <v>2050</v>
      </c>
      <c r="AC1319" s="24">
        <f>IFERROR(INDEX(Cost_Components!$M$2:$M$27,MATCH(E1319,Cost_Components!$A$2:$A$27,0)),"")</f>
        <v>30</v>
      </c>
      <c r="AD1319" s="24">
        <f>IFERROR(INDEX(Cost_Components!$N$2:$N$27,MATCH(E1319,Cost_Components!$A$2:$A$27,0)),"")</f>
        <v>95</v>
      </c>
      <c r="AE1319" s="14" t="str">
        <f>IFERROR(INDEX(Cost_Components!$O$2:$O$27,MATCH(E1319,Cost_Components!$A$2:$A$27,0)),"")</f>
        <v>Both</v>
      </c>
      <c r="AF1319" s="11">
        <v>4790492.6422514301</v>
      </c>
      <c r="AG1319" s="11">
        <v>5227932.5411389302</v>
      </c>
      <c r="AH1319" s="21">
        <f t="shared" si="209"/>
        <v>1</v>
      </c>
    </row>
    <row r="1320" spans="1:34" hidden="1">
      <c r="A1320" t="s">
        <v>75</v>
      </c>
      <c r="B1320" s="18">
        <v>2043</v>
      </c>
      <c r="C1320" t="s">
        <v>217</v>
      </c>
      <c r="D1320" t="s">
        <v>181</v>
      </c>
      <c r="E1320" s="20" t="s">
        <v>317</v>
      </c>
      <c r="F1320" s="20" t="s">
        <v>318</v>
      </c>
      <c r="G1320" s="20" t="s">
        <v>221</v>
      </c>
      <c r="H1320" s="20" t="s">
        <v>192</v>
      </c>
      <c r="I1320" s="20" t="s">
        <v>264</v>
      </c>
      <c r="J1320" s="15">
        <f>IFERROR(INDEX(Cost_Components!$K$2:$K$27,MATCH(E1320,Cost_Components!$A$2:$A$27,0)),"")</f>
        <v>0.5</v>
      </c>
      <c r="K1320" s="15">
        <f t="shared" si="200"/>
        <v>0.66807692307692301</v>
      </c>
      <c r="L1320" s="15">
        <f>IFERROR(INDEX(Cost_Components!$S$2:$S$27,MATCH(E1320,Cost_Components!$A$2:$A$27,0)),"")</f>
        <v>0.31</v>
      </c>
      <c r="M1320" s="26">
        <f>IFERROR(INDEX(Cost_Components!$L$2:$L$27,MATCH(E1320,Cost_Components!$A$2:$A$27,0)),"")</f>
        <v>1</v>
      </c>
      <c r="N1320" s="27">
        <f>IFERROR(INDEX(Cost_Components!$P$2:$P$27,MATCH(E1320,Cost_Components!$A$2:$A$27,0)),"")</f>
        <v>119.721487</v>
      </c>
      <c r="O1320" s="21">
        <f t="shared" si="201"/>
        <v>2418619.1517312452</v>
      </c>
      <c r="P1320" s="21">
        <f t="shared" si="202"/>
        <v>2657749.904765055</v>
      </c>
      <c r="Q1320" s="21">
        <f t="shared" si="203"/>
        <v>98638828.908500031</v>
      </c>
      <c r="R1320" s="21">
        <f t="shared" si="204"/>
        <v>193448809.0283021</v>
      </c>
      <c r="S1320" s="21">
        <f t="shared" si="205"/>
        <v>94809980.119802073</v>
      </c>
      <c r="T1320" s="14">
        <f>IFERROR(INDEX(Cost_Components!$R$2:$R$27,MATCH(E1320,Cost_Components!$A$2:$A$27,0)),"")</f>
        <v>1</v>
      </c>
      <c r="U1320" s="24">
        <f>IFERROR(INDEX(Cost_Components!$Q$2:$Q$27,MATCH(E1320,Cost_Components!$A$2:$A$27,0)),"")</f>
        <v>2023</v>
      </c>
      <c r="V1320" s="28">
        <f>1/(1+Calculation_Assumptions!$B$5)^(B1320-Calculation_Assumptions!$B$2)</f>
        <v>0.5873946076162827</v>
      </c>
      <c r="W1320" s="21">
        <f t="shared" si="206"/>
        <v>57939916.202438019</v>
      </c>
      <c r="X1320" s="21">
        <f t="shared" si="207"/>
        <v>113630787.27301672</v>
      </c>
      <c r="Y1320" s="21">
        <f t="shared" si="208"/>
        <v>55690871.070578702</v>
      </c>
      <c r="Z1320" s="15">
        <f>IFERROR(INDEX(Cost_Components!$T$2:$T$27,MATCH(E1320,Cost_Components!$A$2:$A$27,0)),"")</f>
        <v>0.8</v>
      </c>
      <c r="AA1320" s="24">
        <f>IFERROR(INDEX(Cost_Components!$U$2:$U$27,MATCH(E1320,Cost_Components!$A$2:$A$27,0)),"")</f>
        <v>2025</v>
      </c>
      <c r="AB1320" s="24">
        <f>IFERROR(INDEX(Cost_Components!$V$2:$V$27,MATCH(E1320,Cost_Components!$A$2:$A$27,0)),"")</f>
        <v>2050</v>
      </c>
      <c r="AC1320" s="24">
        <f>IFERROR(INDEX(Cost_Components!$M$2:$M$27,MATCH(E1320,Cost_Components!$A$2:$A$27,0)),"")</f>
        <v>30</v>
      </c>
      <c r="AD1320" s="24">
        <f>IFERROR(INDEX(Cost_Components!$N$2:$N$27,MATCH(E1320,Cost_Components!$A$2:$A$27,0)),"")</f>
        <v>95</v>
      </c>
      <c r="AE1320" s="14" t="str">
        <f>IFERROR(INDEX(Cost_Components!$O$2:$O$27,MATCH(E1320,Cost_Components!$A$2:$A$27,0)),"")</f>
        <v>Both</v>
      </c>
      <c r="AF1320" s="11">
        <v>4837238.3034624904</v>
      </c>
      <c r="AG1320" s="11">
        <v>5315499.8095301101</v>
      </c>
      <c r="AH1320" s="21">
        <f t="shared" si="209"/>
        <v>1</v>
      </c>
    </row>
    <row r="1321" spans="1:34" hidden="1">
      <c r="A1321" t="s">
        <v>75</v>
      </c>
      <c r="B1321" s="18">
        <v>2044</v>
      </c>
      <c r="C1321" t="s">
        <v>217</v>
      </c>
      <c r="D1321" t="s">
        <v>181</v>
      </c>
      <c r="E1321" s="20" t="s">
        <v>317</v>
      </c>
      <c r="F1321" s="20" t="s">
        <v>318</v>
      </c>
      <c r="G1321" s="20" t="s">
        <v>221</v>
      </c>
      <c r="H1321" s="20" t="s">
        <v>192</v>
      </c>
      <c r="I1321" s="20" t="s">
        <v>264</v>
      </c>
      <c r="J1321" s="15">
        <f>IFERROR(INDEX(Cost_Components!$K$2:$K$27,MATCH(E1321,Cost_Components!$A$2:$A$27,0)),"")</f>
        <v>0.5</v>
      </c>
      <c r="K1321" s="15">
        <f t="shared" si="200"/>
        <v>0.68692307692307697</v>
      </c>
      <c r="L1321" s="15">
        <f>IFERROR(INDEX(Cost_Components!$S$2:$S$27,MATCH(E1321,Cost_Components!$A$2:$A$27,0)),"")</f>
        <v>0.31</v>
      </c>
      <c r="M1321" s="26">
        <f>IFERROR(INDEX(Cost_Components!$L$2:$L$27,MATCH(E1321,Cost_Components!$A$2:$A$27,0)),"")</f>
        <v>1</v>
      </c>
      <c r="N1321" s="27">
        <f>IFERROR(INDEX(Cost_Components!$P$2:$P$27,MATCH(E1321,Cost_Components!$A$2:$A$27,0)),"")</f>
        <v>119.721487</v>
      </c>
      <c r="O1321" s="21">
        <f t="shared" si="201"/>
        <v>2439681.9949094001</v>
      </c>
      <c r="P1321" s="21">
        <f t="shared" si="202"/>
        <v>2699661.6525276452</v>
      </c>
      <c r="Q1321" s="21">
        <f t="shared" si="203"/>
        <v>100194327.30562097</v>
      </c>
      <c r="R1321" s="21">
        <f t="shared" si="204"/>
        <v>200638110.86172929</v>
      </c>
      <c r="S1321" s="21">
        <f t="shared" si="205"/>
        <v>100443783.55610833</v>
      </c>
      <c r="T1321" s="14">
        <f>IFERROR(INDEX(Cost_Components!$R$2:$R$27,MATCH(E1321,Cost_Components!$A$2:$A$27,0)),"")</f>
        <v>1</v>
      </c>
      <c r="U1321" s="24">
        <f>IFERROR(INDEX(Cost_Components!$Q$2:$Q$27,MATCH(E1321,Cost_Components!$A$2:$A$27,0)),"")</f>
        <v>2023</v>
      </c>
      <c r="V1321" s="28">
        <f>1/(1+Calculation_Assumptions!$B$5)^(B1321-Calculation_Assumptions!$B$2)</f>
        <v>0.57028602681192497</v>
      </c>
      <c r="W1321" s="21">
        <f t="shared" si="206"/>
        <v>57139424.828216143</v>
      </c>
      <c r="X1321" s="21">
        <f t="shared" si="207"/>
        <v>114421111.07038613</v>
      </c>
      <c r="Y1321" s="21">
        <f t="shared" si="208"/>
        <v>57281686.242169984</v>
      </c>
      <c r="Z1321" s="15">
        <f>IFERROR(INDEX(Cost_Components!$T$2:$T$27,MATCH(E1321,Cost_Components!$A$2:$A$27,0)),"")</f>
        <v>0.8</v>
      </c>
      <c r="AA1321" s="24">
        <f>IFERROR(INDEX(Cost_Components!$U$2:$U$27,MATCH(E1321,Cost_Components!$A$2:$A$27,0)),"")</f>
        <v>2025</v>
      </c>
      <c r="AB1321" s="24">
        <f>IFERROR(INDEX(Cost_Components!$V$2:$V$27,MATCH(E1321,Cost_Components!$A$2:$A$27,0)),"")</f>
        <v>2050</v>
      </c>
      <c r="AC1321" s="24">
        <f>IFERROR(INDEX(Cost_Components!$M$2:$M$27,MATCH(E1321,Cost_Components!$A$2:$A$27,0)),"")</f>
        <v>30</v>
      </c>
      <c r="AD1321" s="24">
        <f>IFERROR(INDEX(Cost_Components!$N$2:$N$27,MATCH(E1321,Cost_Components!$A$2:$A$27,0)),"")</f>
        <v>95</v>
      </c>
      <c r="AE1321" s="14" t="str">
        <f>IFERROR(INDEX(Cost_Components!$O$2:$O$27,MATCH(E1321,Cost_Components!$A$2:$A$27,0)),"")</f>
        <v>Both</v>
      </c>
      <c r="AF1321" s="11">
        <v>4879363.9898188002</v>
      </c>
      <c r="AG1321" s="11">
        <v>5399323.3050552905</v>
      </c>
      <c r="AH1321" s="21">
        <f t="shared" si="209"/>
        <v>1</v>
      </c>
    </row>
    <row r="1322" spans="1:34" hidden="1">
      <c r="A1322" t="s">
        <v>75</v>
      </c>
      <c r="B1322" s="18">
        <v>2045</v>
      </c>
      <c r="C1322" t="s">
        <v>217</v>
      </c>
      <c r="D1322" t="s">
        <v>181</v>
      </c>
      <c r="E1322" s="20" t="s">
        <v>317</v>
      </c>
      <c r="F1322" s="20" t="s">
        <v>318</v>
      </c>
      <c r="G1322" s="20" t="s">
        <v>221</v>
      </c>
      <c r="H1322" s="20" t="s">
        <v>192</v>
      </c>
      <c r="I1322" s="20" t="s">
        <v>264</v>
      </c>
      <c r="J1322" s="15">
        <f>IFERROR(INDEX(Cost_Components!$K$2:$K$27,MATCH(E1322,Cost_Components!$A$2:$A$27,0)),"")</f>
        <v>0.5</v>
      </c>
      <c r="K1322" s="15">
        <f t="shared" si="200"/>
        <v>0.70576923076923082</v>
      </c>
      <c r="L1322" s="15">
        <f>IFERROR(INDEX(Cost_Components!$S$2:$S$27,MATCH(E1322,Cost_Components!$A$2:$A$27,0)),"")</f>
        <v>0.31</v>
      </c>
      <c r="M1322" s="26">
        <f>IFERROR(INDEX(Cost_Components!$L$2:$L$27,MATCH(E1322,Cost_Components!$A$2:$A$27,0)),"")</f>
        <v>1</v>
      </c>
      <c r="N1322" s="27">
        <f>IFERROR(INDEX(Cost_Components!$P$2:$P$27,MATCH(E1322,Cost_Components!$A$2:$A$27,0)),"")</f>
        <v>119.721487</v>
      </c>
      <c r="O1322" s="21">
        <f t="shared" si="201"/>
        <v>2458401.0695814001</v>
      </c>
      <c r="P1322" s="21">
        <f t="shared" si="202"/>
        <v>2739599.0162048452</v>
      </c>
      <c r="Q1322" s="21">
        <f t="shared" si="203"/>
        <v>101676549.08117215</v>
      </c>
      <c r="R1322" s="21">
        <f t="shared" si="204"/>
        <v>207724421.98309997</v>
      </c>
      <c r="S1322" s="21">
        <f t="shared" si="205"/>
        <v>106047872.90192781</v>
      </c>
      <c r="T1322" s="14">
        <f>IFERROR(INDEX(Cost_Components!$R$2:$R$27,MATCH(E1322,Cost_Components!$A$2:$A$27,0)),"")</f>
        <v>1</v>
      </c>
      <c r="U1322" s="24">
        <f>IFERROR(INDEX(Cost_Components!$Q$2:$Q$27,MATCH(E1322,Cost_Components!$A$2:$A$27,0)),"")</f>
        <v>2023</v>
      </c>
      <c r="V1322" s="28">
        <f>1/(1+Calculation_Assumptions!$B$5)^(B1322-Calculation_Assumptions!$B$2)</f>
        <v>0.55367575418633497</v>
      </c>
      <c r="W1322" s="21">
        <f t="shared" si="206"/>
        <v>56295839.995581895</v>
      </c>
      <c r="X1322" s="21">
        <f t="shared" si="207"/>
        <v>115011976.00441337</v>
      </c>
      <c r="Y1322" s="21">
        <f t="shared" si="208"/>
        <v>58716136.008831479</v>
      </c>
      <c r="Z1322" s="15">
        <f>IFERROR(INDEX(Cost_Components!$T$2:$T$27,MATCH(E1322,Cost_Components!$A$2:$A$27,0)),"")</f>
        <v>0.8</v>
      </c>
      <c r="AA1322" s="24">
        <f>IFERROR(INDEX(Cost_Components!$U$2:$U$27,MATCH(E1322,Cost_Components!$A$2:$A$27,0)),"")</f>
        <v>2025</v>
      </c>
      <c r="AB1322" s="24">
        <f>IFERROR(INDEX(Cost_Components!$V$2:$V$27,MATCH(E1322,Cost_Components!$A$2:$A$27,0)),"")</f>
        <v>2050</v>
      </c>
      <c r="AC1322" s="24">
        <f>IFERROR(INDEX(Cost_Components!$M$2:$M$27,MATCH(E1322,Cost_Components!$A$2:$A$27,0)),"")</f>
        <v>30</v>
      </c>
      <c r="AD1322" s="24">
        <f>IFERROR(INDEX(Cost_Components!$N$2:$N$27,MATCH(E1322,Cost_Components!$A$2:$A$27,0)),"")</f>
        <v>95</v>
      </c>
      <c r="AE1322" s="14" t="str">
        <f>IFERROR(INDEX(Cost_Components!$O$2:$O$27,MATCH(E1322,Cost_Components!$A$2:$A$27,0)),"")</f>
        <v>Both</v>
      </c>
      <c r="AF1322" s="11">
        <v>4916802.1391628003</v>
      </c>
      <c r="AG1322" s="11">
        <v>5479198.0324096903</v>
      </c>
      <c r="AH1322" s="21">
        <f t="shared" si="209"/>
        <v>1</v>
      </c>
    </row>
    <row r="1323" spans="1:34" hidden="1">
      <c r="A1323" t="s">
        <v>75</v>
      </c>
      <c r="B1323" s="18">
        <v>2046</v>
      </c>
      <c r="C1323" t="s">
        <v>217</v>
      </c>
      <c r="D1323" t="s">
        <v>181</v>
      </c>
      <c r="E1323" s="20" t="s">
        <v>317</v>
      </c>
      <c r="F1323" s="20" t="s">
        <v>318</v>
      </c>
      <c r="G1323" s="20" t="s">
        <v>221</v>
      </c>
      <c r="H1323" s="20" t="s">
        <v>192</v>
      </c>
      <c r="I1323" s="20" t="s">
        <v>264</v>
      </c>
      <c r="J1323" s="15">
        <f>IFERROR(INDEX(Cost_Components!$K$2:$K$27,MATCH(E1323,Cost_Components!$A$2:$A$27,0)),"")</f>
        <v>0.5</v>
      </c>
      <c r="K1323" s="15">
        <f t="shared" si="200"/>
        <v>0.72461538461538466</v>
      </c>
      <c r="L1323" s="15">
        <f>IFERROR(INDEX(Cost_Components!$S$2:$S$27,MATCH(E1323,Cost_Components!$A$2:$A$27,0)),"")</f>
        <v>0.31</v>
      </c>
      <c r="M1323" s="26">
        <f>IFERROR(INDEX(Cost_Components!$L$2:$L$27,MATCH(E1323,Cost_Components!$A$2:$A$27,0)),"")</f>
        <v>1</v>
      </c>
      <c r="N1323" s="27">
        <f>IFERROR(INDEX(Cost_Components!$P$2:$P$27,MATCH(E1323,Cost_Components!$A$2:$A$27,0)),"")</f>
        <v>119.721487</v>
      </c>
      <c r="O1323" s="21">
        <f t="shared" si="201"/>
        <v>2474727.3368011098</v>
      </c>
      <c r="P1323" s="21">
        <f t="shared" si="202"/>
        <v>2777438.9682708001</v>
      </c>
      <c r="Q1323" s="21">
        <f t="shared" si="203"/>
        <v>103080928.23326905</v>
      </c>
      <c r="R1323" s="21">
        <f t="shared" si="204"/>
        <v>214687623.50296825</v>
      </c>
      <c r="S1323" s="21">
        <f t="shared" si="205"/>
        <v>111606695.2696992</v>
      </c>
      <c r="T1323" s="14">
        <f>IFERROR(INDEX(Cost_Components!$R$2:$R$27,MATCH(E1323,Cost_Components!$A$2:$A$27,0)),"")</f>
        <v>1</v>
      </c>
      <c r="U1323" s="24">
        <f>IFERROR(INDEX(Cost_Components!$Q$2:$Q$27,MATCH(E1323,Cost_Components!$A$2:$A$27,0)),"")</f>
        <v>2023</v>
      </c>
      <c r="V1323" s="28">
        <f>1/(1+Calculation_Assumptions!$B$5)^(B1323-Calculation_Assumptions!$B$2)</f>
        <v>0.5375492759090631</v>
      </c>
      <c r="W1323" s="21">
        <f t="shared" si="206"/>
        <v>55411078.331827879</v>
      </c>
      <c r="X1323" s="21">
        <f t="shared" si="207"/>
        <v>115405176.56065814</v>
      </c>
      <c r="Y1323" s="21">
        <f t="shared" si="208"/>
        <v>59994098.228830263</v>
      </c>
      <c r="Z1323" s="15">
        <f>IFERROR(INDEX(Cost_Components!$T$2:$T$27,MATCH(E1323,Cost_Components!$A$2:$A$27,0)),"")</f>
        <v>0.8</v>
      </c>
      <c r="AA1323" s="24">
        <f>IFERROR(INDEX(Cost_Components!$U$2:$U$27,MATCH(E1323,Cost_Components!$A$2:$A$27,0)),"")</f>
        <v>2025</v>
      </c>
      <c r="AB1323" s="24">
        <f>IFERROR(INDEX(Cost_Components!$V$2:$V$27,MATCH(E1323,Cost_Components!$A$2:$A$27,0)),"")</f>
        <v>2050</v>
      </c>
      <c r="AC1323" s="24">
        <f>IFERROR(INDEX(Cost_Components!$M$2:$M$27,MATCH(E1323,Cost_Components!$A$2:$A$27,0)),"")</f>
        <v>30</v>
      </c>
      <c r="AD1323" s="24">
        <f>IFERROR(INDEX(Cost_Components!$N$2:$N$27,MATCH(E1323,Cost_Components!$A$2:$A$27,0)),"")</f>
        <v>95</v>
      </c>
      <c r="AE1323" s="14" t="str">
        <f>IFERROR(INDEX(Cost_Components!$O$2:$O$27,MATCH(E1323,Cost_Components!$A$2:$A$27,0)),"")</f>
        <v>Both</v>
      </c>
      <c r="AF1323" s="11">
        <v>4949454.6736022197</v>
      </c>
      <c r="AG1323" s="11">
        <v>5554877.9365416002</v>
      </c>
      <c r="AH1323" s="21">
        <f t="shared" si="209"/>
        <v>1</v>
      </c>
    </row>
    <row r="1324" spans="1:34" hidden="1">
      <c r="A1324" t="s">
        <v>75</v>
      </c>
      <c r="B1324" s="18">
        <v>2047</v>
      </c>
      <c r="C1324" t="s">
        <v>217</v>
      </c>
      <c r="D1324" t="s">
        <v>181</v>
      </c>
      <c r="E1324" s="20" t="s">
        <v>317</v>
      </c>
      <c r="F1324" s="20" t="s">
        <v>318</v>
      </c>
      <c r="G1324" s="20" t="s">
        <v>221</v>
      </c>
      <c r="H1324" s="20" t="s">
        <v>192</v>
      </c>
      <c r="I1324" s="20" t="s">
        <v>264</v>
      </c>
      <c r="J1324" s="15">
        <f>IFERROR(INDEX(Cost_Components!$K$2:$K$27,MATCH(E1324,Cost_Components!$A$2:$A$27,0)),"")</f>
        <v>0.5</v>
      </c>
      <c r="K1324" s="15">
        <f t="shared" si="200"/>
        <v>0.74346153846153851</v>
      </c>
      <c r="L1324" s="15">
        <f>IFERROR(INDEX(Cost_Components!$S$2:$S$27,MATCH(E1324,Cost_Components!$A$2:$A$27,0)),"")</f>
        <v>0.31</v>
      </c>
      <c r="M1324" s="26">
        <f>IFERROR(INDEX(Cost_Components!$L$2:$L$27,MATCH(E1324,Cost_Components!$A$2:$A$27,0)),"")</f>
        <v>1</v>
      </c>
      <c r="N1324" s="27">
        <f>IFERROR(INDEX(Cost_Components!$P$2:$P$27,MATCH(E1324,Cost_Components!$A$2:$A$27,0)),"")</f>
        <v>119.721487</v>
      </c>
      <c r="O1324" s="21">
        <f t="shared" si="201"/>
        <v>2488382.3124690251</v>
      </c>
      <c r="P1324" s="21">
        <f t="shared" si="202"/>
        <v>2812834.7331009549</v>
      </c>
      <c r="Q1324" s="21">
        <f t="shared" si="203"/>
        <v>104394594.64894928</v>
      </c>
      <c r="R1324" s="21">
        <f t="shared" si="204"/>
        <v>221486731.41979626</v>
      </c>
      <c r="S1324" s="21">
        <f t="shared" si="205"/>
        <v>117092136.77084698</v>
      </c>
      <c r="T1324" s="14">
        <f>IFERROR(INDEX(Cost_Components!$R$2:$R$27,MATCH(E1324,Cost_Components!$A$2:$A$27,0)),"")</f>
        <v>1</v>
      </c>
      <c r="U1324" s="24">
        <f>IFERROR(INDEX(Cost_Components!$Q$2:$Q$27,MATCH(E1324,Cost_Components!$A$2:$A$27,0)),"")</f>
        <v>2023</v>
      </c>
      <c r="V1324" s="28">
        <f>1/(1+Calculation_Assumptions!$B$5)^(B1324-Calculation_Assumptions!$B$2)</f>
        <v>0.52189250088258554</v>
      </c>
      <c r="W1324" s="21">
        <f t="shared" si="206"/>
        <v>54482756.079963923</v>
      </c>
      <c r="X1324" s="21">
        <f t="shared" si="207"/>
        <v>115592264.172987</v>
      </c>
      <c r="Y1324" s="21">
        <f t="shared" si="208"/>
        <v>61109508.093023084</v>
      </c>
      <c r="Z1324" s="15">
        <f>IFERROR(INDEX(Cost_Components!$T$2:$T$27,MATCH(E1324,Cost_Components!$A$2:$A$27,0)),"")</f>
        <v>0.8</v>
      </c>
      <c r="AA1324" s="24">
        <f>IFERROR(INDEX(Cost_Components!$U$2:$U$27,MATCH(E1324,Cost_Components!$A$2:$A$27,0)),"")</f>
        <v>2025</v>
      </c>
      <c r="AB1324" s="24">
        <f>IFERROR(INDEX(Cost_Components!$V$2:$V$27,MATCH(E1324,Cost_Components!$A$2:$A$27,0)),"")</f>
        <v>2050</v>
      </c>
      <c r="AC1324" s="24">
        <f>IFERROR(INDEX(Cost_Components!$M$2:$M$27,MATCH(E1324,Cost_Components!$A$2:$A$27,0)),"")</f>
        <v>30</v>
      </c>
      <c r="AD1324" s="24">
        <f>IFERROR(INDEX(Cost_Components!$N$2:$N$27,MATCH(E1324,Cost_Components!$A$2:$A$27,0)),"")</f>
        <v>95</v>
      </c>
      <c r="AE1324" s="14" t="str">
        <f>IFERROR(INDEX(Cost_Components!$O$2:$O$27,MATCH(E1324,Cost_Components!$A$2:$A$27,0)),"")</f>
        <v>Both</v>
      </c>
      <c r="AF1324" s="11">
        <v>4976764.6249380503</v>
      </c>
      <c r="AG1324" s="11">
        <v>5625669.4662019098</v>
      </c>
      <c r="AH1324" s="21">
        <f t="shared" si="209"/>
        <v>1</v>
      </c>
    </row>
    <row r="1325" spans="1:34" hidden="1">
      <c r="A1325" t="s">
        <v>75</v>
      </c>
      <c r="B1325" s="18">
        <v>2048</v>
      </c>
      <c r="C1325" t="s">
        <v>217</v>
      </c>
      <c r="D1325" t="s">
        <v>181</v>
      </c>
      <c r="E1325" s="20" t="s">
        <v>317</v>
      </c>
      <c r="F1325" s="20" t="s">
        <v>318</v>
      </c>
      <c r="G1325" s="20" t="s">
        <v>221</v>
      </c>
      <c r="H1325" s="20" t="s">
        <v>192</v>
      </c>
      <c r="I1325" s="20" t="s">
        <v>264</v>
      </c>
      <c r="J1325" s="15">
        <f>IFERROR(INDEX(Cost_Components!$K$2:$K$27,MATCH(E1325,Cost_Components!$A$2:$A$27,0)),"")</f>
        <v>0.5</v>
      </c>
      <c r="K1325" s="15">
        <f t="shared" si="200"/>
        <v>0.76230769230769235</v>
      </c>
      <c r="L1325" s="15">
        <f>IFERROR(INDEX(Cost_Components!$S$2:$S$27,MATCH(E1325,Cost_Components!$A$2:$A$27,0)),"")</f>
        <v>0.31</v>
      </c>
      <c r="M1325" s="26">
        <f>IFERROR(INDEX(Cost_Components!$L$2:$L$27,MATCH(E1325,Cost_Components!$A$2:$A$27,0)),"")</f>
        <v>1</v>
      </c>
      <c r="N1325" s="27">
        <f>IFERROR(INDEX(Cost_Components!$P$2:$P$27,MATCH(E1325,Cost_Components!$A$2:$A$27,0)),"")</f>
        <v>119.721487</v>
      </c>
      <c r="O1325" s="21">
        <f t="shared" si="201"/>
        <v>2499823.2886612201</v>
      </c>
      <c r="P1325" s="21">
        <f t="shared" si="202"/>
        <v>2846179.575408835</v>
      </c>
      <c r="Q1325" s="21">
        <f t="shared" si="203"/>
        <v>105632143.82146204</v>
      </c>
      <c r="R1325" s="21">
        <f t="shared" si="204"/>
        <v>228145398.69503826</v>
      </c>
      <c r="S1325" s="21">
        <f t="shared" si="205"/>
        <v>122513254.87357622</v>
      </c>
      <c r="T1325" s="14">
        <f>IFERROR(INDEX(Cost_Components!$R$2:$R$27,MATCH(E1325,Cost_Components!$A$2:$A$27,0)),"")</f>
        <v>1</v>
      </c>
      <c r="U1325" s="24">
        <f>IFERROR(INDEX(Cost_Components!$Q$2:$Q$27,MATCH(E1325,Cost_Components!$A$2:$A$27,0)),"")</f>
        <v>2023</v>
      </c>
      <c r="V1325" s="28">
        <f>1/(1+Calculation_Assumptions!$B$5)^(B1325-Calculation_Assumptions!$B$2)</f>
        <v>0.50669174842969467</v>
      </c>
      <c r="W1325" s="21">
        <f t="shared" si="206"/>
        <v>53522935.64327357</v>
      </c>
      <c r="X1325" s="21">
        <f t="shared" si="207"/>
        <v>115599390.96097872</v>
      </c>
      <c r="Y1325" s="21">
        <f t="shared" si="208"/>
        <v>62076455.317705147</v>
      </c>
      <c r="Z1325" s="15">
        <f>IFERROR(INDEX(Cost_Components!$T$2:$T$27,MATCH(E1325,Cost_Components!$A$2:$A$27,0)),"")</f>
        <v>0.8</v>
      </c>
      <c r="AA1325" s="24">
        <f>IFERROR(INDEX(Cost_Components!$U$2:$U$27,MATCH(E1325,Cost_Components!$A$2:$A$27,0)),"")</f>
        <v>2025</v>
      </c>
      <c r="AB1325" s="24">
        <f>IFERROR(INDEX(Cost_Components!$V$2:$V$27,MATCH(E1325,Cost_Components!$A$2:$A$27,0)),"")</f>
        <v>2050</v>
      </c>
      <c r="AC1325" s="24">
        <f>IFERROR(INDEX(Cost_Components!$M$2:$M$27,MATCH(E1325,Cost_Components!$A$2:$A$27,0)),"")</f>
        <v>30</v>
      </c>
      <c r="AD1325" s="24">
        <f>IFERROR(INDEX(Cost_Components!$N$2:$N$27,MATCH(E1325,Cost_Components!$A$2:$A$27,0)),"")</f>
        <v>95</v>
      </c>
      <c r="AE1325" s="14" t="str">
        <f>IFERROR(INDEX(Cost_Components!$O$2:$O$27,MATCH(E1325,Cost_Components!$A$2:$A$27,0)),"")</f>
        <v>Both</v>
      </c>
      <c r="AF1325" s="11">
        <v>4999646.5773224402</v>
      </c>
      <c r="AG1325" s="11">
        <v>5692359.1508176699</v>
      </c>
      <c r="AH1325" s="21">
        <f t="shared" si="209"/>
        <v>1</v>
      </c>
    </row>
    <row r="1326" spans="1:34" hidden="1">
      <c r="A1326" t="s">
        <v>75</v>
      </c>
      <c r="B1326" s="18">
        <v>2049</v>
      </c>
      <c r="C1326" t="s">
        <v>217</v>
      </c>
      <c r="D1326" t="s">
        <v>181</v>
      </c>
      <c r="E1326" s="20" t="s">
        <v>317</v>
      </c>
      <c r="F1326" s="20" t="s">
        <v>318</v>
      </c>
      <c r="G1326" s="20" t="s">
        <v>221</v>
      </c>
      <c r="H1326" s="20" t="s">
        <v>192</v>
      </c>
      <c r="I1326" s="20" t="s">
        <v>264</v>
      </c>
      <c r="J1326" s="15">
        <f>IFERROR(INDEX(Cost_Components!$K$2:$K$27,MATCH(E1326,Cost_Components!$A$2:$A$27,0)),"")</f>
        <v>0.5</v>
      </c>
      <c r="K1326" s="15">
        <f t="shared" si="200"/>
        <v>0.7811538461538462</v>
      </c>
      <c r="L1326" s="15">
        <f>IFERROR(INDEX(Cost_Components!$S$2:$S$27,MATCH(E1326,Cost_Components!$A$2:$A$27,0)),"")</f>
        <v>0.31</v>
      </c>
      <c r="M1326" s="26">
        <f>IFERROR(INDEX(Cost_Components!$L$2:$L$27,MATCH(E1326,Cost_Components!$A$2:$A$27,0)),"")</f>
        <v>1</v>
      </c>
      <c r="N1326" s="27">
        <f>IFERROR(INDEX(Cost_Components!$P$2:$P$27,MATCH(E1326,Cost_Components!$A$2:$A$27,0)),"")</f>
        <v>119.721487</v>
      </c>
      <c r="O1326" s="21">
        <f t="shared" si="201"/>
        <v>2509179.5761737502</v>
      </c>
      <c r="P1326" s="21">
        <f t="shared" si="202"/>
        <v>2877561.9052454098</v>
      </c>
      <c r="Q1326" s="21">
        <f t="shared" si="203"/>
        <v>106796856.97146539</v>
      </c>
      <c r="R1326" s="21">
        <f t="shared" si="204"/>
        <v>234660732.31899938</v>
      </c>
      <c r="S1326" s="21">
        <f t="shared" si="205"/>
        <v>127863875.34753399</v>
      </c>
      <c r="T1326" s="14">
        <f>IFERROR(INDEX(Cost_Components!$R$2:$R$27,MATCH(E1326,Cost_Components!$A$2:$A$27,0)),"")</f>
        <v>1</v>
      </c>
      <c r="U1326" s="24">
        <f>IFERROR(INDEX(Cost_Components!$Q$2:$Q$27,MATCH(E1326,Cost_Components!$A$2:$A$27,0)),"")</f>
        <v>2023</v>
      </c>
      <c r="V1326" s="28">
        <f>1/(1+Calculation_Assumptions!$B$5)^(B1326-Calculation_Assumptions!$B$2)</f>
        <v>0.49193373633950943</v>
      </c>
      <c r="W1326" s="21">
        <f t="shared" si="206"/>
        <v>52536976.879289158</v>
      </c>
      <c r="X1326" s="21">
        <f t="shared" si="207"/>
        <v>115437530.82185084</v>
      </c>
      <c r="Y1326" s="21">
        <f t="shared" si="208"/>
        <v>62900553.942561686</v>
      </c>
      <c r="Z1326" s="15">
        <f>IFERROR(INDEX(Cost_Components!$T$2:$T$27,MATCH(E1326,Cost_Components!$A$2:$A$27,0)),"")</f>
        <v>0.8</v>
      </c>
      <c r="AA1326" s="24">
        <f>IFERROR(INDEX(Cost_Components!$U$2:$U$27,MATCH(E1326,Cost_Components!$A$2:$A$27,0)),"")</f>
        <v>2025</v>
      </c>
      <c r="AB1326" s="24">
        <f>IFERROR(INDEX(Cost_Components!$V$2:$V$27,MATCH(E1326,Cost_Components!$A$2:$A$27,0)),"")</f>
        <v>2050</v>
      </c>
      <c r="AC1326" s="24">
        <f>IFERROR(INDEX(Cost_Components!$M$2:$M$27,MATCH(E1326,Cost_Components!$A$2:$A$27,0)),"")</f>
        <v>30</v>
      </c>
      <c r="AD1326" s="24">
        <f>IFERROR(INDEX(Cost_Components!$N$2:$N$27,MATCH(E1326,Cost_Components!$A$2:$A$27,0)),"")</f>
        <v>95</v>
      </c>
      <c r="AE1326" s="14" t="str">
        <f>IFERROR(INDEX(Cost_Components!$O$2:$O$27,MATCH(E1326,Cost_Components!$A$2:$A$27,0)),"")</f>
        <v>Both</v>
      </c>
      <c r="AF1326" s="11">
        <v>5018359.1523475004</v>
      </c>
      <c r="AG1326" s="11">
        <v>5755123.8104908196</v>
      </c>
      <c r="AH1326" s="21">
        <f t="shared" si="209"/>
        <v>1</v>
      </c>
    </row>
    <row r="1327" spans="1:34" hidden="1">
      <c r="A1327" t="s">
        <v>75</v>
      </c>
      <c r="B1327" s="18">
        <v>2050</v>
      </c>
      <c r="C1327" t="s">
        <v>217</v>
      </c>
      <c r="D1327" t="s">
        <v>181</v>
      </c>
      <c r="E1327" s="20" t="s">
        <v>317</v>
      </c>
      <c r="F1327" s="20" t="s">
        <v>318</v>
      </c>
      <c r="G1327" s="20" t="s">
        <v>221</v>
      </c>
      <c r="H1327" s="20" t="s">
        <v>192</v>
      </c>
      <c r="I1327" s="20" t="s">
        <v>264</v>
      </c>
      <c r="J1327" s="15">
        <f>IFERROR(INDEX(Cost_Components!$K$2:$K$27,MATCH(E1327,Cost_Components!$A$2:$A$27,0)),"")</f>
        <v>0.5</v>
      </c>
      <c r="K1327" s="15">
        <f t="shared" si="200"/>
        <v>0.8</v>
      </c>
      <c r="L1327" s="15">
        <f>IFERROR(INDEX(Cost_Components!$S$2:$S$27,MATCH(E1327,Cost_Components!$A$2:$A$27,0)),"")</f>
        <v>0.31</v>
      </c>
      <c r="M1327" s="26">
        <f>IFERROR(INDEX(Cost_Components!$L$2:$L$27,MATCH(E1327,Cost_Components!$A$2:$A$27,0)),"")</f>
        <v>1</v>
      </c>
      <c r="N1327" s="27">
        <f>IFERROR(INDEX(Cost_Components!$P$2:$P$27,MATCH(E1327,Cost_Components!$A$2:$A$27,0)),"")</f>
        <v>119.721487</v>
      </c>
      <c r="O1327" s="21">
        <f t="shared" si="201"/>
        <v>2516623.4700095202</v>
      </c>
      <c r="P1327" s="21">
        <f t="shared" si="202"/>
        <v>2907132.4074879298</v>
      </c>
      <c r="Q1327" s="21">
        <f t="shared" si="203"/>
        <v>107894326.56640691</v>
      </c>
      <c r="R1327" s="21">
        <f t="shared" si="204"/>
        <v>241035123.23891172</v>
      </c>
      <c r="S1327" s="21">
        <f t="shared" si="205"/>
        <v>133140796.67250481</v>
      </c>
      <c r="T1327" s="14">
        <f>IFERROR(INDEX(Cost_Components!$R$2:$R$27,MATCH(E1327,Cost_Components!$A$2:$A$27,0)),"")</f>
        <v>1</v>
      </c>
      <c r="U1327" s="24">
        <f>IFERROR(INDEX(Cost_Components!$Q$2:$Q$27,MATCH(E1327,Cost_Components!$A$2:$A$27,0)),"")</f>
        <v>2023</v>
      </c>
      <c r="V1327" s="28">
        <f>1/(1+Calculation_Assumptions!$B$5)^(B1327-Calculation_Assumptions!$B$2)</f>
        <v>0.47760556926165965</v>
      </c>
      <c r="W1327" s="21">
        <f t="shared" si="206"/>
        <v>51530931.259852178</v>
      </c>
      <c r="X1327" s="21">
        <f t="shared" si="207"/>
        <v>115119717.24657471</v>
      </c>
      <c r="Y1327" s="21">
        <f t="shared" si="208"/>
        <v>63588785.986722544</v>
      </c>
      <c r="Z1327" s="15">
        <f>IFERROR(INDEX(Cost_Components!$T$2:$T$27,MATCH(E1327,Cost_Components!$A$2:$A$27,0)),"")</f>
        <v>0.8</v>
      </c>
      <c r="AA1327" s="24">
        <f>IFERROR(INDEX(Cost_Components!$U$2:$U$27,MATCH(E1327,Cost_Components!$A$2:$A$27,0)),"")</f>
        <v>2025</v>
      </c>
      <c r="AB1327" s="24">
        <f>IFERROR(INDEX(Cost_Components!$V$2:$V$27,MATCH(E1327,Cost_Components!$A$2:$A$27,0)),"")</f>
        <v>2050</v>
      </c>
      <c r="AC1327" s="24">
        <f>IFERROR(INDEX(Cost_Components!$M$2:$M$27,MATCH(E1327,Cost_Components!$A$2:$A$27,0)),"")</f>
        <v>30</v>
      </c>
      <c r="AD1327" s="24">
        <f>IFERROR(INDEX(Cost_Components!$N$2:$N$27,MATCH(E1327,Cost_Components!$A$2:$A$27,0)),"")</f>
        <v>95</v>
      </c>
      <c r="AE1327" s="14" t="str">
        <f>IFERROR(INDEX(Cost_Components!$O$2:$O$27,MATCH(E1327,Cost_Components!$A$2:$A$27,0)),"")</f>
        <v>Both</v>
      </c>
      <c r="AF1327" s="11">
        <v>5033246.9400190404</v>
      </c>
      <c r="AG1327" s="11">
        <v>5814264.8149758596</v>
      </c>
      <c r="AH1327" s="21">
        <f t="shared" si="209"/>
        <v>1</v>
      </c>
    </row>
    <row r="1328" spans="1:34" hidden="1">
      <c r="A1328" t="s">
        <v>75</v>
      </c>
      <c r="B1328" s="18">
        <v>2025</v>
      </c>
      <c r="C1328" t="s">
        <v>223</v>
      </c>
      <c r="D1328" t="s">
        <v>227</v>
      </c>
      <c r="E1328" s="20" t="s">
        <v>319</v>
      </c>
      <c r="F1328" s="20" t="s">
        <v>320</v>
      </c>
      <c r="G1328" s="20" t="s">
        <v>224</v>
      </c>
      <c r="H1328" s="20" t="s">
        <v>192</v>
      </c>
      <c r="I1328" s="20" t="s">
        <v>264</v>
      </c>
      <c r="J1328" s="15">
        <f>IFERROR(INDEX(Cost_Components!$K$2:$K$27,MATCH(E1328,Cost_Components!$A$2:$A$27,0)),"")</f>
        <v>0.8</v>
      </c>
      <c r="K1328" s="15">
        <f t="shared" si="200"/>
        <v>0.32884615384615384</v>
      </c>
      <c r="L1328" s="15">
        <f>IFERROR(INDEX(Cost_Components!$S$2:$S$27,MATCH(E1328,Cost_Components!$A$2:$A$27,0)),"")</f>
        <v>0.31</v>
      </c>
      <c r="M1328" s="26">
        <f>IFERROR(INDEX(Cost_Components!$L$2:$L$27,MATCH(E1328,Cost_Components!$A$2:$A$27,0)),"")</f>
        <v>1</v>
      </c>
      <c r="N1328" s="27">
        <f>IFERROR(INDEX(Cost_Components!$P$2:$P$27,MATCH(E1328,Cost_Components!$A$2:$A$27,0)),"")</f>
        <v>176.67</v>
      </c>
      <c r="O1328" s="21">
        <f t="shared" si="201"/>
        <v>13266185.973540321</v>
      </c>
      <c r="P1328" s="21">
        <f t="shared" si="202"/>
        <v>13265587.769600481</v>
      </c>
      <c r="Q1328" s="21">
        <f t="shared" si="203"/>
        <v>726525731.28914821</v>
      </c>
      <c r="R1328" s="21">
        <f t="shared" si="204"/>
        <v>770728923.05126536</v>
      </c>
      <c r="S1328" s="21">
        <f t="shared" si="205"/>
        <v>44203191.762117147</v>
      </c>
      <c r="T1328" s="14">
        <f>IFERROR(INDEX(Cost_Components!$R$2:$R$27,MATCH(E1328,Cost_Components!$A$2:$A$27,0)),"")</f>
        <v>0</v>
      </c>
      <c r="U1328" s="24">
        <f>IFERROR(INDEX(Cost_Components!$Q$2:$Q$27,MATCH(E1328,Cost_Components!$A$2:$A$27,0)),"")</f>
        <v>2014</v>
      </c>
      <c r="V1328" s="28">
        <f>1/(1+Calculation_Assumptions!$B$5)^(B1328-Calculation_Assumptions!$B$2)</f>
        <v>1</v>
      </c>
      <c r="W1328" s="21">
        <f t="shared" si="206"/>
        <v>726525731.28914821</v>
      </c>
      <c r="X1328" s="21">
        <f t="shared" si="207"/>
        <v>770728923.05126536</v>
      </c>
      <c r="Y1328" s="21">
        <f t="shared" si="208"/>
        <v>44203191.762117147</v>
      </c>
      <c r="Z1328" s="15">
        <f>IFERROR(INDEX(Cost_Components!$T$2:$T$27,MATCH(E1328,Cost_Components!$A$2:$A$27,0)),"")</f>
        <v>0.8</v>
      </c>
      <c r="AA1328" s="24">
        <f>IFERROR(INDEX(Cost_Components!$U$2:$U$27,MATCH(E1328,Cost_Components!$A$2:$A$27,0)),"")</f>
        <v>2025</v>
      </c>
      <c r="AB1328" s="24">
        <f>IFERROR(INDEX(Cost_Components!$V$2:$V$27,MATCH(E1328,Cost_Components!$A$2:$A$27,0)),"")</f>
        <v>2050</v>
      </c>
      <c r="AC1328" s="24">
        <f>IFERROR(INDEX(Cost_Components!$M$2:$M$27,MATCH(E1328,Cost_Components!$A$2:$A$27,0)),"")</f>
        <v>0</v>
      </c>
      <c r="AD1328" s="24">
        <f>IFERROR(INDEX(Cost_Components!$N$2:$N$27,MATCH(E1328,Cost_Components!$A$2:$A$27,0)),"")</f>
        <v>95</v>
      </c>
      <c r="AE1328" s="14" t="str">
        <f>IFERROR(INDEX(Cost_Components!$O$2:$O$27,MATCH(E1328,Cost_Components!$A$2:$A$27,0)),"")</f>
        <v>Both</v>
      </c>
      <c r="AF1328" s="11">
        <v>16582732.466925399</v>
      </c>
      <c r="AG1328" s="11">
        <v>16581984.712000599</v>
      </c>
      <c r="AH1328" s="21">
        <f t="shared" si="209"/>
        <v>1</v>
      </c>
    </row>
    <row r="1329" spans="1:34" hidden="1">
      <c r="A1329" t="s">
        <v>75</v>
      </c>
      <c r="B1329" s="18">
        <v>2026</v>
      </c>
      <c r="C1329" t="s">
        <v>223</v>
      </c>
      <c r="D1329" t="s">
        <v>227</v>
      </c>
      <c r="E1329" s="20" t="s">
        <v>319</v>
      </c>
      <c r="F1329" s="20" t="s">
        <v>320</v>
      </c>
      <c r="G1329" s="20" t="s">
        <v>224</v>
      </c>
      <c r="H1329" s="20" t="s">
        <v>192</v>
      </c>
      <c r="I1329" s="20" t="s">
        <v>264</v>
      </c>
      <c r="J1329" s="15">
        <f>IFERROR(INDEX(Cost_Components!$K$2:$K$27,MATCH(E1329,Cost_Components!$A$2:$A$27,0)),"")</f>
        <v>0.8</v>
      </c>
      <c r="K1329" s="15">
        <f t="shared" si="200"/>
        <v>0.34769230769230769</v>
      </c>
      <c r="L1329" s="15">
        <f>IFERROR(INDEX(Cost_Components!$S$2:$S$27,MATCH(E1329,Cost_Components!$A$2:$A$27,0)),"")</f>
        <v>0.31</v>
      </c>
      <c r="M1329" s="26">
        <f>IFERROR(INDEX(Cost_Components!$L$2:$L$27,MATCH(E1329,Cost_Components!$A$2:$A$27,0)),"")</f>
        <v>1</v>
      </c>
      <c r="N1329" s="27">
        <f>IFERROR(INDEX(Cost_Components!$P$2:$P$27,MATCH(E1329,Cost_Components!$A$2:$A$27,0)),"")</f>
        <v>176.67</v>
      </c>
      <c r="O1329" s="21">
        <f t="shared" si="201"/>
        <v>13778888.1085712</v>
      </c>
      <c r="P1329" s="21">
        <f t="shared" si="202"/>
        <v>13777041.328389762</v>
      </c>
      <c r="Q1329" s="21">
        <f t="shared" si="203"/>
        <v>754536866.36085188</v>
      </c>
      <c r="R1329" s="21">
        <f t="shared" si="204"/>
        <v>846393004.0675813</v>
      </c>
      <c r="S1329" s="21">
        <f t="shared" si="205"/>
        <v>91856137.706729412</v>
      </c>
      <c r="T1329" s="14">
        <f>IFERROR(INDEX(Cost_Components!$R$2:$R$27,MATCH(E1329,Cost_Components!$A$2:$A$27,0)),"")</f>
        <v>0</v>
      </c>
      <c r="U1329" s="24">
        <f>IFERROR(INDEX(Cost_Components!$Q$2:$Q$27,MATCH(E1329,Cost_Components!$A$2:$A$27,0)),"")</f>
        <v>2014</v>
      </c>
      <c r="V1329" s="28">
        <f>1/(1+Calculation_Assumptions!$B$5)^(B1329-Calculation_Assumptions!$B$2)</f>
        <v>0.970873786407767</v>
      </c>
      <c r="W1329" s="21">
        <f t="shared" si="206"/>
        <v>732560064.42801154</v>
      </c>
      <c r="X1329" s="21">
        <f t="shared" si="207"/>
        <v>821740780.64813721</v>
      </c>
      <c r="Y1329" s="21">
        <f t="shared" si="208"/>
        <v>89180716.220125645</v>
      </c>
      <c r="Z1329" s="15">
        <f>IFERROR(INDEX(Cost_Components!$T$2:$T$27,MATCH(E1329,Cost_Components!$A$2:$A$27,0)),"")</f>
        <v>0.8</v>
      </c>
      <c r="AA1329" s="24">
        <f>IFERROR(INDEX(Cost_Components!$U$2:$U$27,MATCH(E1329,Cost_Components!$A$2:$A$27,0)),"")</f>
        <v>2025</v>
      </c>
      <c r="AB1329" s="24">
        <f>IFERROR(INDEX(Cost_Components!$V$2:$V$27,MATCH(E1329,Cost_Components!$A$2:$A$27,0)),"")</f>
        <v>2050</v>
      </c>
      <c r="AC1329" s="24">
        <f>IFERROR(INDEX(Cost_Components!$M$2:$M$27,MATCH(E1329,Cost_Components!$A$2:$A$27,0)),"")</f>
        <v>0</v>
      </c>
      <c r="AD1329" s="24">
        <f>IFERROR(INDEX(Cost_Components!$N$2:$N$27,MATCH(E1329,Cost_Components!$A$2:$A$27,0)),"")</f>
        <v>95</v>
      </c>
      <c r="AE1329" s="14" t="str">
        <f>IFERROR(INDEX(Cost_Components!$O$2:$O$27,MATCH(E1329,Cost_Components!$A$2:$A$27,0)),"")</f>
        <v>Both</v>
      </c>
      <c r="AF1329" s="11">
        <v>17223610.135713998</v>
      </c>
      <c r="AG1329" s="11">
        <v>17221301.660487201</v>
      </c>
      <c r="AH1329" s="21">
        <f t="shared" si="209"/>
        <v>1</v>
      </c>
    </row>
    <row r="1330" spans="1:34" hidden="1">
      <c r="A1330" t="s">
        <v>75</v>
      </c>
      <c r="B1330" s="18">
        <v>2027</v>
      </c>
      <c r="C1330" t="s">
        <v>223</v>
      </c>
      <c r="D1330" t="s">
        <v>227</v>
      </c>
      <c r="E1330" s="20" t="s">
        <v>319</v>
      </c>
      <c r="F1330" s="20" t="s">
        <v>320</v>
      </c>
      <c r="G1330" s="20" t="s">
        <v>224</v>
      </c>
      <c r="H1330" s="20" t="s">
        <v>192</v>
      </c>
      <c r="I1330" s="20" t="s">
        <v>264</v>
      </c>
      <c r="J1330" s="15">
        <f>IFERROR(INDEX(Cost_Components!$K$2:$K$27,MATCH(E1330,Cost_Components!$A$2:$A$27,0)),"")</f>
        <v>0.8</v>
      </c>
      <c r="K1330" s="15">
        <f t="shared" si="200"/>
        <v>0.36653846153846154</v>
      </c>
      <c r="L1330" s="15">
        <f>IFERROR(INDEX(Cost_Components!$S$2:$S$27,MATCH(E1330,Cost_Components!$A$2:$A$27,0)),"")</f>
        <v>0.31</v>
      </c>
      <c r="M1330" s="26">
        <f>IFERROR(INDEX(Cost_Components!$L$2:$L$27,MATCH(E1330,Cost_Components!$A$2:$A$27,0)),"")</f>
        <v>1</v>
      </c>
      <c r="N1330" s="27">
        <f>IFERROR(INDEX(Cost_Components!$P$2:$P$27,MATCH(E1330,Cost_Components!$A$2:$A$27,0)),"")</f>
        <v>176.67</v>
      </c>
      <c r="O1330" s="21">
        <f t="shared" si="201"/>
        <v>14284590.041906802</v>
      </c>
      <c r="P1330" s="21">
        <f t="shared" si="202"/>
        <v>14280784.652698079</v>
      </c>
      <c r="Q1330" s="21">
        <f t="shared" si="203"/>
        <v>782125729.62357259</v>
      </c>
      <c r="R1330" s="21">
        <f t="shared" si="204"/>
        <v>925017912.36023152</v>
      </c>
      <c r="S1330" s="21">
        <f t="shared" si="205"/>
        <v>142892182.73665893</v>
      </c>
      <c r="T1330" s="14">
        <f>IFERROR(INDEX(Cost_Components!$R$2:$R$27,MATCH(E1330,Cost_Components!$A$2:$A$27,0)),"")</f>
        <v>0</v>
      </c>
      <c r="U1330" s="24">
        <f>IFERROR(INDEX(Cost_Components!$Q$2:$Q$27,MATCH(E1330,Cost_Components!$A$2:$A$27,0)),"")</f>
        <v>2014</v>
      </c>
      <c r="V1330" s="28">
        <f>1/(1+Calculation_Assumptions!$B$5)^(B1330-Calculation_Assumptions!$B$2)</f>
        <v>0.94259590913375435</v>
      </c>
      <c r="W1330" s="21">
        <f t="shared" si="206"/>
        <v>737228513.17143238</v>
      </c>
      <c r="X1330" s="21">
        <f t="shared" si="207"/>
        <v>871918100.0661999</v>
      </c>
      <c r="Y1330" s="21">
        <f t="shared" si="208"/>
        <v>134689586.89476758</v>
      </c>
      <c r="Z1330" s="15">
        <f>IFERROR(INDEX(Cost_Components!$T$2:$T$27,MATCH(E1330,Cost_Components!$A$2:$A$27,0)),"")</f>
        <v>0.8</v>
      </c>
      <c r="AA1330" s="24">
        <f>IFERROR(INDEX(Cost_Components!$U$2:$U$27,MATCH(E1330,Cost_Components!$A$2:$A$27,0)),"")</f>
        <v>2025</v>
      </c>
      <c r="AB1330" s="24">
        <f>IFERROR(INDEX(Cost_Components!$V$2:$V$27,MATCH(E1330,Cost_Components!$A$2:$A$27,0)),"")</f>
        <v>2050</v>
      </c>
      <c r="AC1330" s="24">
        <f>IFERROR(INDEX(Cost_Components!$M$2:$M$27,MATCH(E1330,Cost_Components!$A$2:$A$27,0)),"")</f>
        <v>0</v>
      </c>
      <c r="AD1330" s="24">
        <f>IFERROR(INDEX(Cost_Components!$N$2:$N$27,MATCH(E1330,Cost_Components!$A$2:$A$27,0)),"")</f>
        <v>95</v>
      </c>
      <c r="AE1330" s="14" t="str">
        <f>IFERROR(INDEX(Cost_Components!$O$2:$O$27,MATCH(E1330,Cost_Components!$A$2:$A$27,0)),"")</f>
        <v>Both</v>
      </c>
      <c r="AF1330" s="11">
        <v>17855737.552383501</v>
      </c>
      <c r="AG1330" s="11">
        <v>17850980.815872598</v>
      </c>
      <c r="AH1330" s="21">
        <f t="shared" si="209"/>
        <v>1</v>
      </c>
    </row>
    <row r="1331" spans="1:34" hidden="1">
      <c r="A1331" t="s">
        <v>75</v>
      </c>
      <c r="B1331" s="18">
        <v>2028</v>
      </c>
      <c r="C1331" t="s">
        <v>223</v>
      </c>
      <c r="D1331" t="s">
        <v>227</v>
      </c>
      <c r="E1331" s="20" t="s">
        <v>319</v>
      </c>
      <c r="F1331" s="20" t="s">
        <v>320</v>
      </c>
      <c r="G1331" s="20" t="s">
        <v>224</v>
      </c>
      <c r="H1331" s="20" t="s">
        <v>192</v>
      </c>
      <c r="I1331" s="20" t="s">
        <v>264</v>
      </c>
      <c r="J1331" s="15">
        <f>IFERROR(INDEX(Cost_Components!$K$2:$K$27,MATCH(E1331,Cost_Components!$A$2:$A$27,0)),"")</f>
        <v>0.8</v>
      </c>
      <c r="K1331" s="15">
        <f t="shared" si="200"/>
        <v>0.38538461538461538</v>
      </c>
      <c r="L1331" s="15">
        <f>IFERROR(INDEX(Cost_Components!$S$2:$S$27,MATCH(E1331,Cost_Components!$A$2:$A$27,0)),"")</f>
        <v>0.31</v>
      </c>
      <c r="M1331" s="26">
        <f>IFERROR(INDEX(Cost_Components!$L$2:$L$27,MATCH(E1331,Cost_Components!$A$2:$A$27,0)),"")</f>
        <v>1</v>
      </c>
      <c r="N1331" s="27">
        <f>IFERROR(INDEX(Cost_Components!$P$2:$P$27,MATCH(E1331,Cost_Components!$A$2:$A$27,0)),"")</f>
        <v>176.67</v>
      </c>
      <c r="O1331" s="21">
        <f t="shared" si="201"/>
        <v>14782645.227768881</v>
      </c>
      <c r="P1331" s="21">
        <f t="shared" si="202"/>
        <v>14776108.6874568</v>
      </c>
      <c r="Q1331" s="21">
        <f t="shared" si="203"/>
        <v>809253487.76202774</v>
      </c>
      <c r="R1331" s="21">
        <f t="shared" si="204"/>
        <v>1006489704.7133492</v>
      </c>
      <c r="S1331" s="21">
        <f t="shared" si="205"/>
        <v>197236216.95132148</v>
      </c>
      <c r="T1331" s="14">
        <f>IFERROR(INDEX(Cost_Components!$R$2:$R$27,MATCH(E1331,Cost_Components!$A$2:$A$27,0)),"")</f>
        <v>0</v>
      </c>
      <c r="U1331" s="24">
        <f>IFERROR(INDEX(Cost_Components!$Q$2:$Q$27,MATCH(E1331,Cost_Components!$A$2:$A$27,0)),"")</f>
        <v>2014</v>
      </c>
      <c r="V1331" s="28">
        <f>1/(1+Calculation_Assumptions!$B$5)^(B1331-Calculation_Assumptions!$B$2)</f>
        <v>0.91514165935315961</v>
      </c>
      <c r="W1331" s="21">
        <f t="shared" si="206"/>
        <v>740581579.6278739</v>
      </c>
      <c r="X1331" s="21">
        <f t="shared" si="207"/>
        <v>921080658.49324608</v>
      </c>
      <c r="Y1331" s="21">
        <f t="shared" si="208"/>
        <v>180499078.86537212</v>
      </c>
      <c r="Z1331" s="15">
        <f>IFERROR(INDEX(Cost_Components!$T$2:$T$27,MATCH(E1331,Cost_Components!$A$2:$A$27,0)),"")</f>
        <v>0.8</v>
      </c>
      <c r="AA1331" s="24">
        <f>IFERROR(INDEX(Cost_Components!$U$2:$U$27,MATCH(E1331,Cost_Components!$A$2:$A$27,0)),"")</f>
        <v>2025</v>
      </c>
      <c r="AB1331" s="24">
        <f>IFERROR(INDEX(Cost_Components!$V$2:$V$27,MATCH(E1331,Cost_Components!$A$2:$A$27,0)),"")</f>
        <v>2050</v>
      </c>
      <c r="AC1331" s="24">
        <f>IFERROR(INDEX(Cost_Components!$M$2:$M$27,MATCH(E1331,Cost_Components!$A$2:$A$27,0)),"")</f>
        <v>0</v>
      </c>
      <c r="AD1331" s="24">
        <f>IFERROR(INDEX(Cost_Components!$N$2:$N$27,MATCH(E1331,Cost_Components!$A$2:$A$27,0)),"")</f>
        <v>95</v>
      </c>
      <c r="AE1331" s="14" t="str">
        <f>IFERROR(INDEX(Cost_Components!$O$2:$O$27,MATCH(E1331,Cost_Components!$A$2:$A$27,0)),"")</f>
        <v>Both</v>
      </c>
      <c r="AF1331" s="11">
        <v>18478306.5347111</v>
      </c>
      <c r="AG1331" s="11">
        <v>18470135.859320998</v>
      </c>
      <c r="AH1331" s="21">
        <f t="shared" si="209"/>
        <v>1</v>
      </c>
    </row>
    <row r="1332" spans="1:34" hidden="1">
      <c r="A1332" t="s">
        <v>75</v>
      </c>
      <c r="B1332" s="18">
        <v>2029</v>
      </c>
      <c r="C1332" t="s">
        <v>223</v>
      </c>
      <c r="D1332" t="s">
        <v>227</v>
      </c>
      <c r="E1332" s="20" t="s">
        <v>319</v>
      </c>
      <c r="F1332" s="20" t="s">
        <v>320</v>
      </c>
      <c r="G1332" s="20" t="s">
        <v>224</v>
      </c>
      <c r="H1332" s="20" t="s">
        <v>192</v>
      </c>
      <c r="I1332" s="20" t="s">
        <v>264</v>
      </c>
      <c r="J1332" s="15">
        <f>IFERROR(INDEX(Cost_Components!$K$2:$K$27,MATCH(E1332,Cost_Components!$A$2:$A$27,0)),"")</f>
        <v>0.8</v>
      </c>
      <c r="K1332" s="15">
        <f t="shared" si="200"/>
        <v>0.40423076923076923</v>
      </c>
      <c r="L1332" s="15">
        <f>IFERROR(INDEX(Cost_Components!$S$2:$S$27,MATCH(E1332,Cost_Components!$A$2:$A$27,0)),"")</f>
        <v>0.31</v>
      </c>
      <c r="M1332" s="26">
        <f>IFERROR(INDEX(Cost_Components!$L$2:$L$27,MATCH(E1332,Cost_Components!$A$2:$A$27,0)),"")</f>
        <v>1</v>
      </c>
      <c r="N1332" s="27">
        <f>IFERROR(INDEX(Cost_Components!$P$2:$P$27,MATCH(E1332,Cost_Components!$A$2:$A$27,0)),"")</f>
        <v>176.67</v>
      </c>
      <c r="O1332" s="21">
        <f t="shared" si="201"/>
        <v>15272480.25808616</v>
      </c>
      <c r="P1332" s="21">
        <f t="shared" si="202"/>
        <v>15262376.230902482</v>
      </c>
      <c r="Q1332" s="21">
        <f t="shared" si="203"/>
        <v>835885242.70119786</v>
      </c>
      <c r="R1332" s="21">
        <f t="shared" si="204"/>
        <v>1090691050.2473392</v>
      </c>
      <c r="S1332" s="21">
        <f t="shared" si="205"/>
        <v>254805807.54614139</v>
      </c>
      <c r="T1332" s="14">
        <f>IFERROR(INDEX(Cost_Components!$R$2:$R$27,MATCH(E1332,Cost_Components!$A$2:$A$27,0)),"")</f>
        <v>0</v>
      </c>
      <c r="U1332" s="24">
        <f>IFERROR(INDEX(Cost_Components!$Q$2:$Q$27,MATCH(E1332,Cost_Components!$A$2:$A$27,0)),"")</f>
        <v>2014</v>
      </c>
      <c r="V1332" s="28">
        <f>1/(1+Calculation_Assumptions!$B$5)^(B1332-Calculation_Assumptions!$B$2)</f>
        <v>0.888487047915689</v>
      </c>
      <c r="W1332" s="21">
        <f t="shared" si="206"/>
        <v>742673211.68387651</v>
      </c>
      <c r="X1332" s="21">
        <f t="shared" si="207"/>
        <v>969064871.42232084</v>
      </c>
      <c r="Y1332" s="21">
        <f t="shared" si="208"/>
        <v>226391659.73844436</v>
      </c>
      <c r="Z1332" s="15">
        <f>IFERROR(INDEX(Cost_Components!$T$2:$T$27,MATCH(E1332,Cost_Components!$A$2:$A$27,0)),"")</f>
        <v>0.8</v>
      </c>
      <c r="AA1332" s="24">
        <f>IFERROR(INDEX(Cost_Components!$U$2:$U$27,MATCH(E1332,Cost_Components!$A$2:$A$27,0)),"")</f>
        <v>2025</v>
      </c>
      <c r="AB1332" s="24">
        <f>IFERROR(INDEX(Cost_Components!$V$2:$V$27,MATCH(E1332,Cost_Components!$A$2:$A$27,0)),"")</f>
        <v>2050</v>
      </c>
      <c r="AC1332" s="24">
        <f>IFERROR(INDEX(Cost_Components!$M$2:$M$27,MATCH(E1332,Cost_Components!$A$2:$A$27,0)),"")</f>
        <v>0</v>
      </c>
      <c r="AD1332" s="24">
        <f>IFERROR(INDEX(Cost_Components!$N$2:$N$27,MATCH(E1332,Cost_Components!$A$2:$A$27,0)),"")</f>
        <v>95</v>
      </c>
      <c r="AE1332" s="14" t="str">
        <f>IFERROR(INDEX(Cost_Components!$O$2:$O$27,MATCH(E1332,Cost_Components!$A$2:$A$27,0)),"")</f>
        <v>Both</v>
      </c>
      <c r="AF1332" s="11">
        <v>19090600.3226077</v>
      </c>
      <c r="AG1332" s="11">
        <v>19077970.288628101</v>
      </c>
      <c r="AH1332" s="21">
        <f t="shared" si="209"/>
        <v>1</v>
      </c>
    </row>
    <row r="1333" spans="1:34" hidden="1">
      <c r="A1333" t="s">
        <v>75</v>
      </c>
      <c r="B1333" s="18">
        <v>2030</v>
      </c>
      <c r="C1333" t="s">
        <v>223</v>
      </c>
      <c r="D1333" t="s">
        <v>227</v>
      </c>
      <c r="E1333" s="20" t="s">
        <v>319</v>
      </c>
      <c r="F1333" s="20" t="s">
        <v>320</v>
      </c>
      <c r="G1333" s="20" t="s">
        <v>224</v>
      </c>
      <c r="H1333" s="20" t="s">
        <v>192</v>
      </c>
      <c r="I1333" s="20" t="s">
        <v>264</v>
      </c>
      <c r="J1333" s="15">
        <f>IFERROR(INDEX(Cost_Components!$K$2:$K$27,MATCH(E1333,Cost_Components!$A$2:$A$27,0)),"")</f>
        <v>0.8</v>
      </c>
      <c r="K1333" s="15">
        <f t="shared" si="200"/>
        <v>0.42307692307692307</v>
      </c>
      <c r="L1333" s="15">
        <f>IFERROR(INDEX(Cost_Components!$S$2:$S$27,MATCH(E1333,Cost_Components!$A$2:$A$27,0)),"")</f>
        <v>0.31</v>
      </c>
      <c r="M1333" s="26">
        <f>IFERROR(INDEX(Cost_Components!$L$2:$L$27,MATCH(E1333,Cost_Components!$A$2:$A$27,0)),"")</f>
        <v>1</v>
      </c>
      <c r="N1333" s="27">
        <f>IFERROR(INDEX(Cost_Components!$P$2:$P$27,MATCH(E1333,Cost_Components!$A$2:$A$27,0)),"")</f>
        <v>176.67</v>
      </c>
      <c r="O1333" s="21">
        <f t="shared" si="201"/>
        <v>15753531.107458482</v>
      </c>
      <c r="P1333" s="21">
        <f t="shared" si="202"/>
        <v>15738959.51159424</v>
      </c>
      <c r="Q1333" s="21">
        <f t="shared" si="203"/>
        <v>861986612.84313977</v>
      </c>
      <c r="R1333" s="21">
        <f t="shared" si="204"/>
        <v>1177497682.6269841</v>
      </c>
      <c r="S1333" s="21">
        <f t="shared" si="205"/>
        <v>315511069.78384435</v>
      </c>
      <c r="T1333" s="14">
        <f>IFERROR(INDEX(Cost_Components!$R$2:$R$27,MATCH(E1333,Cost_Components!$A$2:$A$27,0)),"")</f>
        <v>0</v>
      </c>
      <c r="U1333" s="24">
        <f>IFERROR(INDEX(Cost_Components!$Q$2:$Q$27,MATCH(E1333,Cost_Components!$A$2:$A$27,0)),"")</f>
        <v>2014</v>
      </c>
      <c r="V1333" s="28">
        <f>1/(1+Calculation_Assumptions!$B$5)^(B1333-Calculation_Assumptions!$B$2)</f>
        <v>0.86260878438416411</v>
      </c>
      <c r="W1333" s="21">
        <f t="shared" si="206"/>
        <v>743557224.26004386</v>
      </c>
      <c r="X1333" s="21">
        <f t="shared" si="207"/>
        <v>1015719844.6260331</v>
      </c>
      <c r="Y1333" s="21">
        <f t="shared" si="208"/>
        <v>272162620.36598915</v>
      </c>
      <c r="Z1333" s="15">
        <f>IFERROR(INDEX(Cost_Components!$T$2:$T$27,MATCH(E1333,Cost_Components!$A$2:$A$27,0)),"")</f>
        <v>0.8</v>
      </c>
      <c r="AA1333" s="24">
        <f>IFERROR(INDEX(Cost_Components!$U$2:$U$27,MATCH(E1333,Cost_Components!$A$2:$A$27,0)),"")</f>
        <v>2025</v>
      </c>
      <c r="AB1333" s="24">
        <f>IFERROR(INDEX(Cost_Components!$V$2:$V$27,MATCH(E1333,Cost_Components!$A$2:$A$27,0)),"")</f>
        <v>2050</v>
      </c>
      <c r="AC1333" s="24">
        <f>IFERROR(INDEX(Cost_Components!$M$2:$M$27,MATCH(E1333,Cost_Components!$A$2:$A$27,0)),"")</f>
        <v>0</v>
      </c>
      <c r="AD1333" s="24">
        <f>IFERROR(INDEX(Cost_Components!$N$2:$N$27,MATCH(E1333,Cost_Components!$A$2:$A$27,0)),"")</f>
        <v>95</v>
      </c>
      <c r="AE1333" s="14" t="str">
        <f>IFERROR(INDEX(Cost_Components!$O$2:$O$27,MATCH(E1333,Cost_Components!$A$2:$A$27,0)),"")</f>
        <v>Both</v>
      </c>
      <c r="AF1333" s="11">
        <v>19691913.884323101</v>
      </c>
      <c r="AG1333" s="11">
        <v>19673699.389492799</v>
      </c>
      <c r="AH1333" s="21">
        <f t="shared" si="209"/>
        <v>1</v>
      </c>
    </row>
    <row r="1334" spans="1:34" hidden="1">
      <c r="A1334" t="s">
        <v>75</v>
      </c>
      <c r="B1334" s="18">
        <v>2031</v>
      </c>
      <c r="C1334" t="s">
        <v>223</v>
      </c>
      <c r="D1334" t="s">
        <v>227</v>
      </c>
      <c r="E1334" s="20" t="s">
        <v>319</v>
      </c>
      <c r="F1334" s="20" t="s">
        <v>320</v>
      </c>
      <c r="G1334" s="20" t="s">
        <v>224</v>
      </c>
      <c r="H1334" s="20" t="s">
        <v>192</v>
      </c>
      <c r="I1334" s="20" t="s">
        <v>264</v>
      </c>
      <c r="J1334" s="15">
        <f>IFERROR(INDEX(Cost_Components!$K$2:$K$27,MATCH(E1334,Cost_Components!$A$2:$A$27,0)),"")</f>
        <v>0.8</v>
      </c>
      <c r="K1334" s="15">
        <f t="shared" si="200"/>
        <v>0.44192307692307692</v>
      </c>
      <c r="L1334" s="15">
        <f>IFERROR(INDEX(Cost_Components!$S$2:$S$27,MATCH(E1334,Cost_Components!$A$2:$A$27,0)),"")</f>
        <v>0.31</v>
      </c>
      <c r="M1334" s="26">
        <f>IFERROR(INDEX(Cost_Components!$L$2:$L$27,MATCH(E1334,Cost_Components!$A$2:$A$27,0)),"")</f>
        <v>1</v>
      </c>
      <c r="N1334" s="27">
        <f>IFERROR(INDEX(Cost_Components!$P$2:$P$27,MATCH(E1334,Cost_Components!$A$2:$A$27,0)),"")</f>
        <v>176.67</v>
      </c>
      <c r="O1334" s="21">
        <f t="shared" si="201"/>
        <v>16225202.147779522</v>
      </c>
      <c r="P1334" s="21">
        <f t="shared" si="202"/>
        <v>16205200.519363441</v>
      </c>
      <c r="Q1334" s="21">
        <f t="shared" si="203"/>
        <v>887521560.48434103</v>
      </c>
      <c r="R1334" s="21">
        <f t="shared" si="204"/>
        <v>1266775356.3469195</v>
      </c>
      <c r="S1334" s="21">
        <f t="shared" si="205"/>
        <v>379253795.86257851</v>
      </c>
      <c r="T1334" s="14">
        <f>IFERROR(INDEX(Cost_Components!$R$2:$R$27,MATCH(E1334,Cost_Components!$A$2:$A$27,0)),"")</f>
        <v>0</v>
      </c>
      <c r="U1334" s="24">
        <f>IFERROR(INDEX(Cost_Components!$Q$2:$Q$27,MATCH(E1334,Cost_Components!$A$2:$A$27,0)),"")</f>
        <v>2014</v>
      </c>
      <c r="V1334" s="28">
        <f>1/(1+Calculation_Assumptions!$B$5)^(B1334-Calculation_Assumptions!$B$2)</f>
        <v>0.83748425668365445</v>
      </c>
      <c r="W1334" s="21">
        <f t="shared" si="206"/>
        <v>743285334.37294543</v>
      </c>
      <c r="X1334" s="21">
        <f t="shared" si="207"/>
        <v>1060904417.6953714</v>
      </c>
      <c r="Y1334" s="21">
        <f t="shared" si="208"/>
        <v>317619083.32242596</v>
      </c>
      <c r="Z1334" s="15">
        <f>IFERROR(INDEX(Cost_Components!$T$2:$T$27,MATCH(E1334,Cost_Components!$A$2:$A$27,0)),"")</f>
        <v>0.8</v>
      </c>
      <c r="AA1334" s="24">
        <f>IFERROR(INDEX(Cost_Components!$U$2:$U$27,MATCH(E1334,Cost_Components!$A$2:$A$27,0)),"")</f>
        <v>2025</v>
      </c>
      <c r="AB1334" s="24">
        <f>IFERROR(INDEX(Cost_Components!$V$2:$V$27,MATCH(E1334,Cost_Components!$A$2:$A$27,0)),"")</f>
        <v>2050</v>
      </c>
      <c r="AC1334" s="24">
        <f>IFERROR(INDEX(Cost_Components!$M$2:$M$27,MATCH(E1334,Cost_Components!$A$2:$A$27,0)),"")</f>
        <v>0</v>
      </c>
      <c r="AD1334" s="24">
        <f>IFERROR(INDEX(Cost_Components!$N$2:$N$27,MATCH(E1334,Cost_Components!$A$2:$A$27,0)),"")</f>
        <v>95</v>
      </c>
      <c r="AE1334" s="14" t="str">
        <f>IFERROR(INDEX(Cost_Components!$O$2:$O$27,MATCH(E1334,Cost_Components!$A$2:$A$27,0)),"")</f>
        <v>Both</v>
      </c>
      <c r="AF1334" s="11">
        <v>20281502.684724402</v>
      </c>
      <c r="AG1334" s="11">
        <v>20256500.649204299</v>
      </c>
      <c r="AH1334" s="21">
        <f t="shared" si="209"/>
        <v>1</v>
      </c>
    </row>
    <row r="1335" spans="1:34" hidden="1">
      <c r="A1335" t="s">
        <v>75</v>
      </c>
      <c r="B1335" s="18">
        <v>2032</v>
      </c>
      <c r="C1335" t="s">
        <v>223</v>
      </c>
      <c r="D1335" t="s">
        <v>227</v>
      </c>
      <c r="E1335" s="20" t="s">
        <v>319</v>
      </c>
      <c r="F1335" s="20" t="s">
        <v>320</v>
      </c>
      <c r="G1335" s="20" t="s">
        <v>224</v>
      </c>
      <c r="H1335" s="20" t="s">
        <v>192</v>
      </c>
      <c r="I1335" s="20" t="s">
        <v>264</v>
      </c>
      <c r="J1335" s="15">
        <f>IFERROR(INDEX(Cost_Components!$K$2:$K$27,MATCH(E1335,Cost_Components!$A$2:$A$27,0)),"")</f>
        <v>0.8</v>
      </c>
      <c r="K1335" s="15">
        <f t="shared" si="200"/>
        <v>0.46076923076923082</v>
      </c>
      <c r="L1335" s="15">
        <f>IFERROR(INDEX(Cost_Components!$S$2:$S$27,MATCH(E1335,Cost_Components!$A$2:$A$27,0)),"")</f>
        <v>0.31</v>
      </c>
      <c r="M1335" s="26">
        <f>IFERROR(INDEX(Cost_Components!$L$2:$L$27,MATCH(E1335,Cost_Components!$A$2:$A$27,0)),"")</f>
        <v>1</v>
      </c>
      <c r="N1335" s="27">
        <f>IFERROR(INDEX(Cost_Components!$P$2:$P$27,MATCH(E1335,Cost_Components!$A$2:$A$27,0)),"")</f>
        <v>176.67</v>
      </c>
      <c r="O1335" s="21">
        <f t="shared" si="201"/>
        <v>16686936.270532001</v>
      </c>
      <c r="P1335" s="21">
        <f t="shared" si="202"/>
        <v>16660481.93478976</v>
      </c>
      <c r="Q1335" s="21">
        <f t="shared" si="203"/>
        <v>912456276.45998514</v>
      </c>
      <c r="R1335" s="21">
        <f t="shared" si="204"/>
        <v>1358385028.8600142</v>
      </c>
      <c r="S1335" s="21">
        <f t="shared" si="205"/>
        <v>445928752.40002906</v>
      </c>
      <c r="T1335" s="14">
        <f>IFERROR(INDEX(Cost_Components!$R$2:$R$27,MATCH(E1335,Cost_Components!$A$2:$A$27,0)),"")</f>
        <v>0</v>
      </c>
      <c r="U1335" s="24">
        <f>IFERROR(INDEX(Cost_Components!$Q$2:$Q$27,MATCH(E1335,Cost_Components!$A$2:$A$27,0)),"")</f>
        <v>2014</v>
      </c>
      <c r="V1335" s="28">
        <f>1/(1+Calculation_Assumptions!$B$5)^(B1335-Calculation_Assumptions!$B$2)</f>
        <v>0.81309151134335378</v>
      </c>
      <c r="W1335" s="21">
        <f t="shared" si="206"/>
        <v>741910452.86157835</v>
      </c>
      <c r="X1335" s="21">
        <f t="shared" si="207"/>
        <v>1104491336.1019742</v>
      </c>
      <c r="Y1335" s="21">
        <f t="shared" si="208"/>
        <v>362580883.24039584</v>
      </c>
      <c r="Z1335" s="15">
        <f>IFERROR(INDEX(Cost_Components!$T$2:$T$27,MATCH(E1335,Cost_Components!$A$2:$A$27,0)),"")</f>
        <v>0.8</v>
      </c>
      <c r="AA1335" s="24">
        <f>IFERROR(INDEX(Cost_Components!$U$2:$U$27,MATCH(E1335,Cost_Components!$A$2:$A$27,0)),"")</f>
        <v>2025</v>
      </c>
      <c r="AB1335" s="24">
        <f>IFERROR(INDEX(Cost_Components!$V$2:$V$27,MATCH(E1335,Cost_Components!$A$2:$A$27,0)),"")</f>
        <v>2050</v>
      </c>
      <c r="AC1335" s="24">
        <f>IFERROR(INDEX(Cost_Components!$M$2:$M$27,MATCH(E1335,Cost_Components!$A$2:$A$27,0)),"")</f>
        <v>0</v>
      </c>
      <c r="AD1335" s="24">
        <f>IFERROR(INDEX(Cost_Components!$N$2:$N$27,MATCH(E1335,Cost_Components!$A$2:$A$27,0)),"")</f>
        <v>95</v>
      </c>
      <c r="AE1335" s="14" t="str">
        <f>IFERROR(INDEX(Cost_Components!$O$2:$O$27,MATCH(E1335,Cost_Components!$A$2:$A$27,0)),"")</f>
        <v>Both</v>
      </c>
      <c r="AF1335" s="11">
        <v>20858670.338165</v>
      </c>
      <c r="AG1335" s="11">
        <v>20825602.418487199</v>
      </c>
      <c r="AH1335" s="21">
        <f t="shared" si="209"/>
        <v>1</v>
      </c>
    </row>
    <row r="1336" spans="1:34" hidden="1">
      <c r="A1336" t="s">
        <v>75</v>
      </c>
      <c r="B1336" s="18">
        <v>2033</v>
      </c>
      <c r="C1336" t="s">
        <v>223</v>
      </c>
      <c r="D1336" t="s">
        <v>227</v>
      </c>
      <c r="E1336" s="20" t="s">
        <v>319</v>
      </c>
      <c r="F1336" s="20" t="s">
        <v>320</v>
      </c>
      <c r="G1336" s="20" t="s">
        <v>224</v>
      </c>
      <c r="H1336" s="20" t="s">
        <v>192</v>
      </c>
      <c r="I1336" s="20" t="s">
        <v>264</v>
      </c>
      <c r="J1336" s="15">
        <f>IFERROR(INDEX(Cost_Components!$K$2:$K$27,MATCH(E1336,Cost_Components!$A$2:$A$27,0)),"")</f>
        <v>0.8</v>
      </c>
      <c r="K1336" s="15">
        <f t="shared" si="200"/>
        <v>0.47961538461538467</v>
      </c>
      <c r="L1336" s="15">
        <f>IFERROR(INDEX(Cost_Components!$S$2:$S$27,MATCH(E1336,Cost_Components!$A$2:$A$27,0)),"")</f>
        <v>0.31</v>
      </c>
      <c r="M1336" s="26">
        <f>IFERROR(INDEX(Cost_Components!$L$2:$L$27,MATCH(E1336,Cost_Components!$A$2:$A$27,0)),"")</f>
        <v>1</v>
      </c>
      <c r="N1336" s="27">
        <f>IFERROR(INDEX(Cost_Components!$P$2:$P$27,MATCH(E1336,Cost_Components!$A$2:$A$27,0)),"")</f>
        <v>176.67</v>
      </c>
      <c r="O1336" s="21">
        <f t="shared" si="201"/>
        <v>17138134.443057202</v>
      </c>
      <c r="P1336" s="21">
        <f t="shared" si="202"/>
        <v>17104146.815432001</v>
      </c>
      <c r="Q1336" s="21">
        <f t="shared" si="203"/>
        <v>936754781.54353511</v>
      </c>
      <c r="R1336" s="21">
        <f t="shared" si="204"/>
        <v>1452176685.5509539</v>
      </c>
      <c r="S1336" s="21">
        <f t="shared" si="205"/>
        <v>515421904.00741875</v>
      </c>
      <c r="T1336" s="14">
        <f>IFERROR(INDEX(Cost_Components!$R$2:$R$27,MATCH(E1336,Cost_Components!$A$2:$A$27,0)),"")</f>
        <v>0</v>
      </c>
      <c r="U1336" s="24">
        <f>IFERROR(INDEX(Cost_Components!$Q$2:$Q$27,MATCH(E1336,Cost_Components!$A$2:$A$27,0)),"")</f>
        <v>2014</v>
      </c>
      <c r="V1336" s="28">
        <f>1/(1+Calculation_Assumptions!$B$5)^(B1336-Calculation_Assumptions!$B$2)</f>
        <v>0.78940923431393573</v>
      </c>
      <c r="W1336" s="21">
        <f t="shared" si="206"/>
        <v>739482874.83820021</v>
      </c>
      <c r="X1336" s="21">
        <f t="shared" si="207"/>
        <v>1146361685.4293275</v>
      </c>
      <c r="Y1336" s="21">
        <f t="shared" si="208"/>
        <v>406878810.59112734</v>
      </c>
      <c r="Z1336" s="15">
        <f>IFERROR(INDEX(Cost_Components!$T$2:$T$27,MATCH(E1336,Cost_Components!$A$2:$A$27,0)),"")</f>
        <v>0.8</v>
      </c>
      <c r="AA1336" s="24">
        <f>IFERROR(INDEX(Cost_Components!$U$2:$U$27,MATCH(E1336,Cost_Components!$A$2:$A$27,0)),"")</f>
        <v>2025</v>
      </c>
      <c r="AB1336" s="24">
        <f>IFERROR(INDEX(Cost_Components!$V$2:$V$27,MATCH(E1336,Cost_Components!$A$2:$A$27,0)),"")</f>
        <v>2050</v>
      </c>
      <c r="AC1336" s="24">
        <f>IFERROR(INDEX(Cost_Components!$M$2:$M$27,MATCH(E1336,Cost_Components!$A$2:$A$27,0)),"")</f>
        <v>0</v>
      </c>
      <c r="AD1336" s="24">
        <f>IFERROR(INDEX(Cost_Components!$N$2:$N$27,MATCH(E1336,Cost_Components!$A$2:$A$27,0)),"")</f>
        <v>95</v>
      </c>
      <c r="AE1336" s="14" t="str">
        <f>IFERROR(INDEX(Cost_Components!$O$2:$O$27,MATCH(E1336,Cost_Components!$A$2:$A$27,0)),"")</f>
        <v>Both</v>
      </c>
      <c r="AF1336" s="11">
        <v>21422668.0538215</v>
      </c>
      <c r="AG1336" s="11">
        <v>21380183.51929</v>
      </c>
      <c r="AH1336" s="21">
        <f t="shared" si="209"/>
        <v>1</v>
      </c>
    </row>
    <row r="1337" spans="1:34" hidden="1">
      <c r="A1337" t="s">
        <v>75</v>
      </c>
      <c r="B1337" s="18">
        <v>2034</v>
      </c>
      <c r="C1337" t="s">
        <v>223</v>
      </c>
      <c r="D1337" t="s">
        <v>227</v>
      </c>
      <c r="E1337" s="20" t="s">
        <v>319</v>
      </c>
      <c r="F1337" s="20" t="s">
        <v>320</v>
      </c>
      <c r="G1337" s="20" t="s">
        <v>224</v>
      </c>
      <c r="H1337" s="20" t="s">
        <v>192</v>
      </c>
      <c r="I1337" s="20" t="s">
        <v>264</v>
      </c>
      <c r="J1337" s="15">
        <f>IFERROR(INDEX(Cost_Components!$K$2:$K$27,MATCH(E1337,Cost_Components!$A$2:$A$27,0)),"")</f>
        <v>0.8</v>
      </c>
      <c r="K1337" s="15">
        <f t="shared" si="200"/>
        <v>0.49846153846153851</v>
      </c>
      <c r="L1337" s="15">
        <f>IFERROR(INDEX(Cost_Components!$S$2:$S$27,MATCH(E1337,Cost_Components!$A$2:$A$27,0)),"")</f>
        <v>0.31</v>
      </c>
      <c r="M1337" s="26">
        <f>IFERROR(INDEX(Cost_Components!$L$2:$L$27,MATCH(E1337,Cost_Components!$A$2:$A$27,0)),"")</f>
        <v>1</v>
      </c>
      <c r="N1337" s="27">
        <f>IFERROR(INDEX(Cost_Components!$P$2:$P$27,MATCH(E1337,Cost_Components!$A$2:$A$27,0)),"")</f>
        <v>176.67</v>
      </c>
      <c r="O1337" s="21">
        <f t="shared" si="201"/>
        <v>17578294.67364784</v>
      </c>
      <c r="P1337" s="21">
        <f t="shared" si="202"/>
        <v>17535639.728236642</v>
      </c>
      <c r="Q1337" s="21">
        <f t="shared" si="203"/>
        <v>960386655.94414592</v>
      </c>
      <c r="R1337" s="21">
        <f t="shared" si="204"/>
        <v>1548000879.5043845</v>
      </c>
      <c r="S1337" s="21">
        <f t="shared" si="205"/>
        <v>587614223.5602386</v>
      </c>
      <c r="T1337" s="14">
        <f>IFERROR(INDEX(Cost_Components!$R$2:$R$27,MATCH(E1337,Cost_Components!$A$2:$A$27,0)),"")</f>
        <v>0</v>
      </c>
      <c r="U1337" s="24">
        <f>IFERROR(INDEX(Cost_Components!$Q$2:$Q$27,MATCH(E1337,Cost_Components!$A$2:$A$27,0)),"")</f>
        <v>2014</v>
      </c>
      <c r="V1337" s="28">
        <f>1/(1+Calculation_Assumptions!$B$5)^(B1337-Calculation_Assumptions!$B$2)</f>
        <v>0.76641673234362695</v>
      </c>
      <c r="W1337" s="21">
        <f t="shared" si="206"/>
        <v>736056402.63513541</v>
      </c>
      <c r="X1337" s="21">
        <f t="shared" si="207"/>
        <v>1186413775.7348111</v>
      </c>
      <c r="Y1337" s="21">
        <f t="shared" si="208"/>
        <v>450357373.09967554</v>
      </c>
      <c r="Z1337" s="15">
        <f>IFERROR(INDEX(Cost_Components!$T$2:$T$27,MATCH(E1337,Cost_Components!$A$2:$A$27,0)),"")</f>
        <v>0.8</v>
      </c>
      <c r="AA1337" s="24">
        <f>IFERROR(INDEX(Cost_Components!$U$2:$U$27,MATCH(E1337,Cost_Components!$A$2:$A$27,0)),"")</f>
        <v>2025</v>
      </c>
      <c r="AB1337" s="24">
        <f>IFERROR(INDEX(Cost_Components!$V$2:$V$27,MATCH(E1337,Cost_Components!$A$2:$A$27,0)),"")</f>
        <v>2050</v>
      </c>
      <c r="AC1337" s="24">
        <f>IFERROR(INDEX(Cost_Components!$M$2:$M$27,MATCH(E1337,Cost_Components!$A$2:$A$27,0)),"")</f>
        <v>0</v>
      </c>
      <c r="AD1337" s="24">
        <f>IFERROR(INDEX(Cost_Components!$N$2:$N$27,MATCH(E1337,Cost_Components!$A$2:$A$27,0)),"")</f>
        <v>95</v>
      </c>
      <c r="AE1337" s="14" t="str">
        <f>IFERROR(INDEX(Cost_Components!$O$2:$O$27,MATCH(E1337,Cost_Components!$A$2:$A$27,0)),"")</f>
        <v>Both</v>
      </c>
      <c r="AF1337" s="11">
        <v>21972868.342059799</v>
      </c>
      <c r="AG1337" s="11">
        <v>21919549.660295799</v>
      </c>
      <c r="AH1337" s="21">
        <f t="shared" si="209"/>
        <v>1</v>
      </c>
    </row>
    <row r="1338" spans="1:34" hidden="1">
      <c r="A1338" t="s">
        <v>75</v>
      </c>
      <c r="B1338" s="18">
        <v>2035</v>
      </c>
      <c r="C1338" t="s">
        <v>223</v>
      </c>
      <c r="D1338" t="s">
        <v>227</v>
      </c>
      <c r="E1338" s="20" t="s">
        <v>319</v>
      </c>
      <c r="F1338" s="20" t="s">
        <v>320</v>
      </c>
      <c r="G1338" s="20" t="s">
        <v>224</v>
      </c>
      <c r="H1338" s="20" t="s">
        <v>192</v>
      </c>
      <c r="I1338" s="20" t="s">
        <v>264</v>
      </c>
      <c r="J1338" s="15">
        <f>IFERROR(INDEX(Cost_Components!$K$2:$K$27,MATCH(E1338,Cost_Components!$A$2:$A$27,0)),"")</f>
        <v>0.8</v>
      </c>
      <c r="K1338" s="15">
        <f t="shared" si="200"/>
        <v>0.51730769230769236</v>
      </c>
      <c r="L1338" s="15">
        <f>IFERROR(INDEX(Cost_Components!$S$2:$S$27,MATCH(E1338,Cost_Components!$A$2:$A$27,0)),"")</f>
        <v>0.31</v>
      </c>
      <c r="M1338" s="26">
        <f>IFERROR(INDEX(Cost_Components!$L$2:$L$27,MATCH(E1338,Cost_Components!$A$2:$A$27,0)),"")</f>
        <v>1</v>
      </c>
      <c r="N1338" s="27">
        <f>IFERROR(INDEX(Cost_Components!$P$2:$P$27,MATCH(E1338,Cost_Components!$A$2:$A$27,0)),"")</f>
        <v>176.67</v>
      </c>
      <c r="O1338" s="21">
        <f t="shared" si="201"/>
        <v>18007042.007926479</v>
      </c>
      <c r="P1338" s="21">
        <f t="shared" si="202"/>
        <v>17954536.4272612</v>
      </c>
      <c r="Q1338" s="21">
        <f t="shared" si="203"/>
        <v>983328664.68731308</v>
      </c>
      <c r="R1338" s="21">
        <f t="shared" si="204"/>
        <v>1645713088.4699228</v>
      </c>
      <c r="S1338" s="21">
        <f t="shared" si="205"/>
        <v>662384423.7826097</v>
      </c>
      <c r="T1338" s="14">
        <f>IFERROR(INDEX(Cost_Components!$R$2:$R$27,MATCH(E1338,Cost_Components!$A$2:$A$27,0)),"")</f>
        <v>0</v>
      </c>
      <c r="U1338" s="24">
        <f>IFERROR(INDEX(Cost_Components!$Q$2:$Q$27,MATCH(E1338,Cost_Components!$A$2:$A$27,0)),"")</f>
        <v>2014</v>
      </c>
      <c r="V1338" s="28">
        <f>1/(1+Calculation_Assumptions!$B$5)^(B1338-Calculation_Assumptions!$B$2)</f>
        <v>0.74409391489672516</v>
      </c>
      <c r="W1338" s="21">
        <f t="shared" si="206"/>
        <v>731688875.73735189</v>
      </c>
      <c r="X1338" s="21">
        <f t="shared" si="207"/>
        <v>1224565094.7963655</v>
      </c>
      <c r="Y1338" s="21">
        <f t="shared" si="208"/>
        <v>492876219.05901355</v>
      </c>
      <c r="Z1338" s="15">
        <f>IFERROR(INDEX(Cost_Components!$T$2:$T$27,MATCH(E1338,Cost_Components!$A$2:$A$27,0)),"")</f>
        <v>0.8</v>
      </c>
      <c r="AA1338" s="24">
        <f>IFERROR(INDEX(Cost_Components!$U$2:$U$27,MATCH(E1338,Cost_Components!$A$2:$A$27,0)),"")</f>
        <v>2025</v>
      </c>
      <c r="AB1338" s="24">
        <f>IFERROR(INDEX(Cost_Components!$V$2:$V$27,MATCH(E1338,Cost_Components!$A$2:$A$27,0)),"")</f>
        <v>2050</v>
      </c>
      <c r="AC1338" s="24">
        <f>IFERROR(INDEX(Cost_Components!$M$2:$M$27,MATCH(E1338,Cost_Components!$A$2:$A$27,0)),"")</f>
        <v>0</v>
      </c>
      <c r="AD1338" s="24">
        <f>IFERROR(INDEX(Cost_Components!$N$2:$N$27,MATCH(E1338,Cost_Components!$A$2:$A$27,0)),"")</f>
        <v>95</v>
      </c>
      <c r="AE1338" s="14" t="str">
        <f>IFERROR(INDEX(Cost_Components!$O$2:$O$27,MATCH(E1338,Cost_Components!$A$2:$A$27,0)),"")</f>
        <v>Both</v>
      </c>
      <c r="AF1338" s="11">
        <v>22508802.509908099</v>
      </c>
      <c r="AG1338" s="11">
        <v>22443170.534076501</v>
      </c>
      <c r="AH1338" s="21">
        <f t="shared" si="209"/>
        <v>1</v>
      </c>
    </row>
    <row r="1339" spans="1:34" hidden="1">
      <c r="A1339" t="s">
        <v>75</v>
      </c>
      <c r="B1339" s="18">
        <v>2036</v>
      </c>
      <c r="C1339" t="s">
        <v>223</v>
      </c>
      <c r="D1339" t="s">
        <v>227</v>
      </c>
      <c r="E1339" s="20" t="s">
        <v>319</v>
      </c>
      <c r="F1339" s="20" t="s">
        <v>320</v>
      </c>
      <c r="G1339" s="20" t="s">
        <v>224</v>
      </c>
      <c r="H1339" s="20" t="s">
        <v>192</v>
      </c>
      <c r="I1339" s="20" t="s">
        <v>264</v>
      </c>
      <c r="J1339" s="15">
        <f>IFERROR(INDEX(Cost_Components!$K$2:$K$27,MATCH(E1339,Cost_Components!$A$2:$A$27,0)),"")</f>
        <v>0.8</v>
      </c>
      <c r="K1339" s="15">
        <f t="shared" si="200"/>
        <v>0.5361538461538462</v>
      </c>
      <c r="L1339" s="15">
        <f>IFERROR(INDEX(Cost_Components!$S$2:$S$27,MATCH(E1339,Cost_Components!$A$2:$A$27,0)),"")</f>
        <v>0.31</v>
      </c>
      <c r="M1339" s="26">
        <f>IFERROR(INDEX(Cost_Components!$L$2:$L$27,MATCH(E1339,Cost_Components!$A$2:$A$27,0)),"")</f>
        <v>1</v>
      </c>
      <c r="N1339" s="27">
        <f>IFERROR(INDEX(Cost_Components!$P$2:$P$27,MATCH(E1339,Cost_Components!$A$2:$A$27,0)),"")</f>
        <v>176.67</v>
      </c>
      <c r="O1339" s="21">
        <f t="shared" si="201"/>
        <v>18424176.690575201</v>
      </c>
      <c r="P1339" s="21">
        <f t="shared" si="202"/>
        <v>18360592.242004078</v>
      </c>
      <c r="Q1339" s="21">
        <f t="shared" si="203"/>
        <v>1005567407.7324066</v>
      </c>
      <c r="R1339" s="21">
        <f t="shared" si="204"/>
        <v>1745180391.7376714</v>
      </c>
      <c r="S1339" s="21">
        <f t="shared" si="205"/>
        <v>739612984.00526476</v>
      </c>
      <c r="T1339" s="14">
        <f>IFERROR(INDEX(Cost_Components!$R$2:$R$27,MATCH(E1339,Cost_Components!$A$2:$A$27,0)),"")</f>
        <v>0</v>
      </c>
      <c r="U1339" s="24">
        <f>IFERROR(INDEX(Cost_Components!$Q$2:$Q$27,MATCH(E1339,Cost_Components!$A$2:$A$27,0)),"")</f>
        <v>2014</v>
      </c>
      <c r="V1339" s="28">
        <f>1/(1+Calculation_Assumptions!$B$5)^(B1339-Calculation_Assumptions!$B$2)</f>
        <v>0.72242127659876232</v>
      </c>
      <c r="W1339" s="21">
        <f t="shared" si="206"/>
        <v>726443290.40015328</v>
      </c>
      <c r="X1339" s="21">
        <f t="shared" si="207"/>
        <v>1260755446.4942567</v>
      </c>
      <c r="Y1339" s="21">
        <f t="shared" si="208"/>
        <v>534312156.09410334</v>
      </c>
      <c r="Z1339" s="15">
        <f>IFERROR(INDEX(Cost_Components!$T$2:$T$27,MATCH(E1339,Cost_Components!$A$2:$A$27,0)),"")</f>
        <v>0.8</v>
      </c>
      <c r="AA1339" s="24">
        <f>IFERROR(INDEX(Cost_Components!$U$2:$U$27,MATCH(E1339,Cost_Components!$A$2:$A$27,0)),"")</f>
        <v>2025</v>
      </c>
      <c r="AB1339" s="24">
        <f>IFERROR(INDEX(Cost_Components!$V$2:$V$27,MATCH(E1339,Cost_Components!$A$2:$A$27,0)),"")</f>
        <v>2050</v>
      </c>
      <c r="AC1339" s="24">
        <f>IFERROR(INDEX(Cost_Components!$M$2:$M$27,MATCH(E1339,Cost_Components!$A$2:$A$27,0)),"")</f>
        <v>0</v>
      </c>
      <c r="AD1339" s="24">
        <f>IFERROR(INDEX(Cost_Components!$N$2:$N$27,MATCH(E1339,Cost_Components!$A$2:$A$27,0)),"")</f>
        <v>95</v>
      </c>
      <c r="AE1339" s="14" t="str">
        <f>IFERROR(INDEX(Cost_Components!$O$2:$O$27,MATCH(E1339,Cost_Components!$A$2:$A$27,0)),"")</f>
        <v>Both</v>
      </c>
      <c r="AF1339" s="11">
        <v>23030220.863219</v>
      </c>
      <c r="AG1339" s="11">
        <v>22950740.302505098</v>
      </c>
      <c r="AH1339" s="21">
        <f t="shared" si="209"/>
        <v>1</v>
      </c>
    </row>
    <row r="1340" spans="1:34" hidden="1">
      <c r="A1340" t="s">
        <v>75</v>
      </c>
      <c r="B1340" s="18">
        <v>2037</v>
      </c>
      <c r="C1340" t="s">
        <v>223</v>
      </c>
      <c r="D1340" t="s">
        <v>227</v>
      </c>
      <c r="E1340" s="20" t="s">
        <v>319</v>
      </c>
      <c r="F1340" s="20" t="s">
        <v>320</v>
      </c>
      <c r="G1340" s="20" t="s">
        <v>224</v>
      </c>
      <c r="H1340" s="20" t="s">
        <v>192</v>
      </c>
      <c r="I1340" s="20" t="s">
        <v>264</v>
      </c>
      <c r="J1340" s="15">
        <f>IFERROR(INDEX(Cost_Components!$K$2:$K$27,MATCH(E1340,Cost_Components!$A$2:$A$27,0)),"")</f>
        <v>0.8</v>
      </c>
      <c r="K1340" s="15">
        <f t="shared" si="200"/>
        <v>0.55500000000000005</v>
      </c>
      <c r="L1340" s="15">
        <f>IFERROR(INDEX(Cost_Components!$S$2:$S$27,MATCH(E1340,Cost_Components!$A$2:$A$27,0)),"")</f>
        <v>0.31</v>
      </c>
      <c r="M1340" s="26">
        <f>IFERROR(INDEX(Cost_Components!$L$2:$L$27,MATCH(E1340,Cost_Components!$A$2:$A$27,0)),"")</f>
        <v>1</v>
      </c>
      <c r="N1340" s="27">
        <f>IFERROR(INDEX(Cost_Components!$P$2:$P$27,MATCH(E1340,Cost_Components!$A$2:$A$27,0)),"")</f>
        <v>176.67</v>
      </c>
      <c r="O1340" s="21">
        <f t="shared" si="201"/>
        <v>18829626.512307283</v>
      </c>
      <c r="P1340" s="21">
        <f t="shared" si="202"/>
        <v>18753694.617201041</v>
      </c>
      <c r="Q1340" s="21">
        <f t="shared" si="203"/>
        <v>1027096720.6864815</v>
      </c>
      <c r="R1340" s="21">
        <f t="shared" si="204"/>
        <v>1846279714.3407769</v>
      </c>
      <c r="S1340" s="21">
        <f t="shared" si="205"/>
        <v>819182993.65429544</v>
      </c>
      <c r="T1340" s="14">
        <f>IFERROR(INDEX(Cost_Components!$R$2:$R$27,MATCH(E1340,Cost_Components!$A$2:$A$27,0)),"")</f>
        <v>0</v>
      </c>
      <c r="U1340" s="24">
        <f>IFERROR(INDEX(Cost_Components!$Q$2:$Q$27,MATCH(E1340,Cost_Components!$A$2:$A$27,0)),"")</f>
        <v>2014</v>
      </c>
      <c r="V1340" s="28">
        <f>1/(1+Calculation_Assumptions!$B$5)^(B1340-Calculation_Assumptions!$B$2)</f>
        <v>0.70137988019297326</v>
      </c>
      <c r="W1340" s="21">
        <f t="shared" si="206"/>
        <v>720384974.90168011</v>
      </c>
      <c r="X1340" s="21">
        <f t="shared" si="207"/>
        <v>1294943444.8470509</v>
      </c>
      <c r="Y1340" s="21">
        <f t="shared" si="208"/>
        <v>574558469.94537091</v>
      </c>
      <c r="Z1340" s="15">
        <f>IFERROR(INDEX(Cost_Components!$T$2:$T$27,MATCH(E1340,Cost_Components!$A$2:$A$27,0)),"")</f>
        <v>0.8</v>
      </c>
      <c r="AA1340" s="24">
        <f>IFERROR(INDEX(Cost_Components!$U$2:$U$27,MATCH(E1340,Cost_Components!$A$2:$A$27,0)),"")</f>
        <v>2025</v>
      </c>
      <c r="AB1340" s="24">
        <f>IFERROR(INDEX(Cost_Components!$V$2:$V$27,MATCH(E1340,Cost_Components!$A$2:$A$27,0)),"")</f>
        <v>2050</v>
      </c>
      <c r="AC1340" s="24">
        <f>IFERROR(INDEX(Cost_Components!$M$2:$M$27,MATCH(E1340,Cost_Components!$A$2:$A$27,0)),"")</f>
        <v>0</v>
      </c>
      <c r="AD1340" s="24">
        <f>IFERROR(INDEX(Cost_Components!$N$2:$N$27,MATCH(E1340,Cost_Components!$A$2:$A$27,0)),"")</f>
        <v>95</v>
      </c>
      <c r="AE1340" s="14" t="str">
        <f>IFERROR(INDEX(Cost_Components!$O$2:$O$27,MATCH(E1340,Cost_Components!$A$2:$A$27,0)),"")</f>
        <v>Both</v>
      </c>
      <c r="AF1340" s="11">
        <v>23537033.1403841</v>
      </c>
      <c r="AG1340" s="11">
        <v>23442118.271501299</v>
      </c>
      <c r="AH1340" s="21">
        <f t="shared" si="209"/>
        <v>1</v>
      </c>
    </row>
    <row r="1341" spans="1:34" hidden="1">
      <c r="A1341" t="s">
        <v>75</v>
      </c>
      <c r="B1341" s="18">
        <v>2038</v>
      </c>
      <c r="C1341" t="s">
        <v>223</v>
      </c>
      <c r="D1341" t="s">
        <v>227</v>
      </c>
      <c r="E1341" s="20" t="s">
        <v>319</v>
      </c>
      <c r="F1341" s="20" t="s">
        <v>320</v>
      </c>
      <c r="G1341" s="20" t="s">
        <v>224</v>
      </c>
      <c r="H1341" s="20" t="s">
        <v>192</v>
      </c>
      <c r="I1341" s="20" t="s">
        <v>264</v>
      </c>
      <c r="J1341" s="15">
        <f>IFERROR(INDEX(Cost_Components!$K$2:$K$27,MATCH(E1341,Cost_Components!$A$2:$A$27,0)),"")</f>
        <v>0.8</v>
      </c>
      <c r="K1341" s="15">
        <f t="shared" si="200"/>
        <v>0.57384615384615389</v>
      </c>
      <c r="L1341" s="15">
        <f>IFERROR(INDEX(Cost_Components!$S$2:$S$27,MATCH(E1341,Cost_Components!$A$2:$A$27,0)),"")</f>
        <v>0.31</v>
      </c>
      <c r="M1341" s="26">
        <f>IFERROR(INDEX(Cost_Components!$L$2:$L$27,MATCH(E1341,Cost_Components!$A$2:$A$27,0)),"")</f>
        <v>1</v>
      </c>
      <c r="N1341" s="27">
        <f>IFERROR(INDEX(Cost_Components!$P$2:$P$27,MATCH(E1341,Cost_Components!$A$2:$A$27,0)),"")</f>
        <v>176.67</v>
      </c>
      <c r="O1341" s="21">
        <f t="shared" si="201"/>
        <v>19223351.383084401</v>
      </c>
      <c r="P1341" s="21">
        <f t="shared" si="202"/>
        <v>19133768.72236624</v>
      </c>
      <c r="Q1341" s="21">
        <f t="shared" si="203"/>
        <v>1047912505.2559375</v>
      </c>
      <c r="R1341" s="21">
        <f t="shared" si="204"/>
        <v>1948890275.9090331</v>
      </c>
      <c r="S1341" s="21">
        <f t="shared" si="205"/>
        <v>900977770.6530956</v>
      </c>
      <c r="T1341" s="14">
        <f>IFERROR(INDEX(Cost_Components!$R$2:$R$27,MATCH(E1341,Cost_Components!$A$2:$A$27,0)),"")</f>
        <v>0</v>
      </c>
      <c r="U1341" s="24">
        <f>IFERROR(INDEX(Cost_Components!$Q$2:$Q$27,MATCH(E1341,Cost_Components!$A$2:$A$27,0)),"")</f>
        <v>2014</v>
      </c>
      <c r="V1341" s="28">
        <f>1/(1+Calculation_Assumptions!$B$5)^(B1341-Calculation_Assumptions!$B$2)</f>
        <v>0.68095133999317792</v>
      </c>
      <c r="W1341" s="21">
        <f t="shared" si="206"/>
        <v>713577424.64963865</v>
      </c>
      <c r="X1341" s="21">
        <f t="shared" si="207"/>
        <v>1327099444.8799303</v>
      </c>
      <c r="Y1341" s="21">
        <f t="shared" si="208"/>
        <v>613522020.2302916</v>
      </c>
      <c r="Z1341" s="15">
        <f>IFERROR(INDEX(Cost_Components!$T$2:$T$27,MATCH(E1341,Cost_Components!$A$2:$A$27,0)),"")</f>
        <v>0.8</v>
      </c>
      <c r="AA1341" s="24">
        <f>IFERROR(INDEX(Cost_Components!$U$2:$U$27,MATCH(E1341,Cost_Components!$A$2:$A$27,0)),"")</f>
        <v>2025</v>
      </c>
      <c r="AB1341" s="24">
        <f>IFERROR(INDEX(Cost_Components!$V$2:$V$27,MATCH(E1341,Cost_Components!$A$2:$A$27,0)),"")</f>
        <v>2050</v>
      </c>
      <c r="AC1341" s="24">
        <f>IFERROR(INDEX(Cost_Components!$M$2:$M$27,MATCH(E1341,Cost_Components!$A$2:$A$27,0)),"")</f>
        <v>0</v>
      </c>
      <c r="AD1341" s="24">
        <f>IFERROR(INDEX(Cost_Components!$N$2:$N$27,MATCH(E1341,Cost_Components!$A$2:$A$27,0)),"")</f>
        <v>95</v>
      </c>
      <c r="AE1341" s="14" t="str">
        <f>IFERROR(INDEX(Cost_Components!$O$2:$O$27,MATCH(E1341,Cost_Components!$A$2:$A$27,0)),"")</f>
        <v>Both</v>
      </c>
      <c r="AF1341" s="11">
        <v>24029189.228855502</v>
      </c>
      <c r="AG1341" s="11">
        <v>23917210.902957801</v>
      </c>
      <c r="AH1341" s="21">
        <f t="shared" si="209"/>
        <v>1</v>
      </c>
    </row>
    <row r="1342" spans="1:34" hidden="1">
      <c r="A1342" t="s">
        <v>75</v>
      </c>
      <c r="B1342" s="18">
        <v>2039</v>
      </c>
      <c r="C1342" t="s">
        <v>223</v>
      </c>
      <c r="D1342" t="s">
        <v>227</v>
      </c>
      <c r="E1342" s="20" t="s">
        <v>319</v>
      </c>
      <c r="F1342" s="20" t="s">
        <v>320</v>
      </c>
      <c r="G1342" s="20" t="s">
        <v>224</v>
      </c>
      <c r="H1342" s="20" t="s">
        <v>192</v>
      </c>
      <c r="I1342" s="20" t="s">
        <v>264</v>
      </c>
      <c r="J1342" s="15">
        <f>IFERROR(INDEX(Cost_Components!$K$2:$K$27,MATCH(E1342,Cost_Components!$A$2:$A$27,0)),"")</f>
        <v>0.8</v>
      </c>
      <c r="K1342" s="15">
        <f t="shared" si="200"/>
        <v>0.59269230769230763</v>
      </c>
      <c r="L1342" s="15">
        <f>IFERROR(INDEX(Cost_Components!$S$2:$S$27,MATCH(E1342,Cost_Components!$A$2:$A$27,0)),"")</f>
        <v>0.31</v>
      </c>
      <c r="M1342" s="26">
        <f>IFERROR(INDEX(Cost_Components!$L$2:$L$27,MATCH(E1342,Cost_Components!$A$2:$A$27,0)),"")</f>
        <v>1</v>
      </c>
      <c r="N1342" s="27">
        <f>IFERROR(INDEX(Cost_Components!$P$2:$P$27,MATCH(E1342,Cost_Components!$A$2:$A$27,0)),"")</f>
        <v>176.67</v>
      </c>
      <c r="O1342" s="21">
        <f t="shared" si="201"/>
        <v>19605063.479685042</v>
      </c>
      <c r="P1342" s="21">
        <f t="shared" si="202"/>
        <v>19500496.252941281</v>
      </c>
      <c r="Q1342" s="21">
        <f t="shared" si="203"/>
        <v>1067997328.632212</v>
      </c>
      <c r="R1342" s="21">
        <f t="shared" si="204"/>
        <v>2052864821.768126</v>
      </c>
      <c r="S1342" s="21">
        <f t="shared" si="205"/>
        <v>984867493.13591397</v>
      </c>
      <c r="T1342" s="14">
        <f>IFERROR(INDEX(Cost_Components!$R$2:$R$27,MATCH(E1342,Cost_Components!$A$2:$A$27,0)),"")</f>
        <v>0</v>
      </c>
      <c r="U1342" s="24">
        <f>IFERROR(INDEX(Cost_Components!$Q$2:$Q$27,MATCH(E1342,Cost_Components!$A$2:$A$27,0)),"")</f>
        <v>2014</v>
      </c>
      <c r="V1342" s="28">
        <f>1/(1+Calculation_Assumptions!$B$5)^(B1342-Calculation_Assumptions!$B$2)</f>
        <v>0.66111780581861923</v>
      </c>
      <c r="W1342" s="21">
        <f t="shared" si="206"/>
        <v>706072050.52547479</v>
      </c>
      <c r="X1342" s="21">
        <f t="shared" si="207"/>
        <v>1357185486.6095743</v>
      </c>
      <c r="Y1342" s="21">
        <f t="shared" si="208"/>
        <v>651113436.08409953</v>
      </c>
      <c r="Z1342" s="15">
        <f>IFERROR(INDEX(Cost_Components!$T$2:$T$27,MATCH(E1342,Cost_Components!$A$2:$A$27,0)),"")</f>
        <v>0.8</v>
      </c>
      <c r="AA1342" s="24">
        <f>IFERROR(INDEX(Cost_Components!$U$2:$U$27,MATCH(E1342,Cost_Components!$A$2:$A$27,0)),"")</f>
        <v>2025</v>
      </c>
      <c r="AB1342" s="24">
        <f>IFERROR(INDEX(Cost_Components!$V$2:$V$27,MATCH(E1342,Cost_Components!$A$2:$A$27,0)),"")</f>
        <v>2050</v>
      </c>
      <c r="AC1342" s="24">
        <f>IFERROR(INDEX(Cost_Components!$M$2:$M$27,MATCH(E1342,Cost_Components!$A$2:$A$27,0)),"")</f>
        <v>0</v>
      </c>
      <c r="AD1342" s="24">
        <f>IFERROR(INDEX(Cost_Components!$N$2:$N$27,MATCH(E1342,Cost_Components!$A$2:$A$27,0)),"")</f>
        <v>95</v>
      </c>
      <c r="AE1342" s="14" t="str">
        <f>IFERROR(INDEX(Cost_Components!$O$2:$O$27,MATCH(E1342,Cost_Components!$A$2:$A$27,0)),"")</f>
        <v>Both</v>
      </c>
      <c r="AF1342" s="11">
        <v>24506329.349606302</v>
      </c>
      <c r="AG1342" s="11">
        <v>24375620.316176601</v>
      </c>
      <c r="AH1342" s="21">
        <f t="shared" si="209"/>
        <v>1</v>
      </c>
    </row>
    <row r="1343" spans="1:34" hidden="1">
      <c r="A1343" t="s">
        <v>75</v>
      </c>
      <c r="B1343" s="18">
        <v>2040</v>
      </c>
      <c r="C1343" t="s">
        <v>223</v>
      </c>
      <c r="D1343" t="s">
        <v>227</v>
      </c>
      <c r="E1343" s="20" t="s">
        <v>319</v>
      </c>
      <c r="F1343" s="20" t="s">
        <v>320</v>
      </c>
      <c r="G1343" s="20" t="s">
        <v>224</v>
      </c>
      <c r="H1343" s="20" t="s">
        <v>192</v>
      </c>
      <c r="I1343" s="20" t="s">
        <v>264</v>
      </c>
      <c r="J1343" s="15">
        <f>IFERROR(INDEX(Cost_Components!$K$2:$K$27,MATCH(E1343,Cost_Components!$A$2:$A$27,0)),"")</f>
        <v>0.8</v>
      </c>
      <c r="K1343" s="15">
        <f t="shared" si="200"/>
        <v>0.61153846153846159</v>
      </c>
      <c r="L1343" s="15">
        <f>IFERROR(INDEX(Cost_Components!$S$2:$S$27,MATCH(E1343,Cost_Components!$A$2:$A$27,0)),"")</f>
        <v>0.31</v>
      </c>
      <c r="M1343" s="26">
        <f>IFERROR(INDEX(Cost_Components!$L$2:$L$27,MATCH(E1343,Cost_Components!$A$2:$A$27,0)),"")</f>
        <v>1</v>
      </c>
      <c r="N1343" s="27">
        <f>IFERROR(INDEX(Cost_Components!$P$2:$P$27,MATCH(E1343,Cost_Components!$A$2:$A$27,0)),"")</f>
        <v>176.67</v>
      </c>
      <c r="O1343" s="21">
        <f t="shared" si="201"/>
        <v>19974423.225145921</v>
      </c>
      <c r="P1343" s="21">
        <f t="shared" si="202"/>
        <v>19853513.721413042</v>
      </c>
      <c r="Q1343" s="21">
        <f t="shared" si="203"/>
        <v>1087331283.440233</v>
      </c>
      <c r="R1343" s="21">
        <f t="shared" si="204"/>
        <v>2158046672.456378</v>
      </c>
      <c r="S1343" s="21">
        <f t="shared" si="205"/>
        <v>1070715389.016145</v>
      </c>
      <c r="T1343" s="14">
        <f>IFERROR(INDEX(Cost_Components!$R$2:$R$27,MATCH(E1343,Cost_Components!$A$2:$A$27,0)),"")</f>
        <v>0</v>
      </c>
      <c r="U1343" s="24">
        <f>IFERROR(INDEX(Cost_Components!$Q$2:$Q$27,MATCH(E1343,Cost_Components!$A$2:$A$27,0)),"")</f>
        <v>2014</v>
      </c>
      <c r="V1343" s="28">
        <f>1/(1+Calculation_Assumptions!$B$5)^(B1343-Calculation_Assumptions!$B$2)</f>
        <v>0.64186194739671765</v>
      </c>
      <c r="W1343" s="21">
        <f t="shared" si="206"/>
        <v>697916575.05432034</v>
      </c>
      <c r="X1343" s="21">
        <f t="shared" si="207"/>
        <v>1385168039.7558572</v>
      </c>
      <c r="Y1343" s="21">
        <f t="shared" si="208"/>
        <v>687251464.70153689</v>
      </c>
      <c r="Z1343" s="15">
        <f>IFERROR(INDEX(Cost_Components!$T$2:$T$27,MATCH(E1343,Cost_Components!$A$2:$A$27,0)),"")</f>
        <v>0.8</v>
      </c>
      <c r="AA1343" s="24">
        <f>IFERROR(INDEX(Cost_Components!$U$2:$U$27,MATCH(E1343,Cost_Components!$A$2:$A$27,0)),"")</f>
        <v>2025</v>
      </c>
      <c r="AB1343" s="24">
        <f>IFERROR(INDEX(Cost_Components!$V$2:$V$27,MATCH(E1343,Cost_Components!$A$2:$A$27,0)),"")</f>
        <v>2050</v>
      </c>
      <c r="AC1343" s="24">
        <f>IFERROR(INDEX(Cost_Components!$M$2:$M$27,MATCH(E1343,Cost_Components!$A$2:$A$27,0)),"")</f>
        <v>0</v>
      </c>
      <c r="AD1343" s="24">
        <f>IFERROR(INDEX(Cost_Components!$N$2:$N$27,MATCH(E1343,Cost_Components!$A$2:$A$27,0)),"")</f>
        <v>95</v>
      </c>
      <c r="AE1343" s="14" t="str">
        <f>IFERROR(INDEX(Cost_Components!$O$2:$O$27,MATCH(E1343,Cost_Components!$A$2:$A$27,0)),"")</f>
        <v>Both</v>
      </c>
      <c r="AF1343" s="11">
        <v>24968029.031432401</v>
      </c>
      <c r="AG1343" s="11">
        <v>24816892.1517663</v>
      </c>
      <c r="AH1343" s="21">
        <f t="shared" si="209"/>
        <v>1</v>
      </c>
    </row>
    <row r="1344" spans="1:34" hidden="1">
      <c r="A1344" t="s">
        <v>75</v>
      </c>
      <c r="B1344" s="18">
        <v>2041</v>
      </c>
      <c r="C1344" t="s">
        <v>223</v>
      </c>
      <c r="D1344" t="s">
        <v>227</v>
      </c>
      <c r="E1344" s="20" t="s">
        <v>319</v>
      </c>
      <c r="F1344" s="20" t="s">
        <v>320</v>
      </c>
      <c r="G1344" s="20" t="s">
        <v>224</v>
      </c>
      <c r="H1344" s="20" t="s">
        <v>192</v>
      </c>
      <c r="I1344" s="20" t="s">
        <v>264</v>
      </c>
      <c r="J1344" s="15">
        <f>IFERROR(INDEX(Cost_Components!$K$2:$K$27,MATCH(E1344,Cost_Components!$A$2:$A$27,0)),"")</f>
        <v>0.8</v>
      </c>
      <c r="K1344" s="15">
        <f t="shared" si="200"/>
        <v>0.63038461538461543</v>
      </c>
      <c r="L1344" s="15">
        <f>IFERROR(INDEX(Cost_Components!$S$2:$S$27,MATCH(E1344,Cost_Components!$A$2:$A$27,0)),"")</f>
        <v>0.31</v>
      </c>
      <c r="M1344" s="26">
        <f>IFERROR(INDEX(Cost_Components!$L$2:$L$27,MATCH(E1344,Cost_Components!$A$2:$A$27,0)),"")</f>
        <v>1</v>
      </c>
      <c r="N1344" s="27">
        <f>IFERROR(INDEX(Cost_Components!$P$2:$P$27,MATCH(E1344,Cost_Components!$A$2:$A$27,0)),"")</f>
        <v>176.67</v>
      </c>
      <c r="O1344" s="21">
        <f t="shared" si="201"/>
        <v>20331097.35458976</v>
      </c>
      <c r="P1344" s="21">
        <f t="shared" si="202"/>
        <v>20192468.219434481</v>
      </c>
      <c r="Q1344" s="21">
        <f t="shared" si="203"/>
        <v>1105895041.7015219</v>
      </c>
      <c r="R1344" s="21">
        <f t="shared" si="204"/>
        <v>2264275328.9355292</v>
      </c>
      <c r="S1344" s="21">
        <f t="shared" si="205"/>
        <v>1158380287.2340074</v>
      </c>
      <c r="T1344" s="14">
        <f>IFERROR(INDEX(Cost_Components!$R$2:$R$27,MATCH(E1344,Cost_Components!$A$2:$A$27,0)),"")</f>
        <v>0</v>
      </c>
      <c r="U1344" s="24">
        <f>IFERROR(INDEX(Cost_Components!$Q$2:$Q$27,MATCH(E1344,Cost_Components!$A$2:$A$27,0)),"")</f>
        <v>2014</v>
      </c>
      <c r="V1344" s="28">
        <f>1/(1+Calculation_Assumptions!$B$5)^(B1344-Calculation_Assumptions!$B$2)</f>
        <v>0.62316693922011435</v>
      </c>
      <c r="W1344" s="21">
        <f t="shared" si="206"/>
        <v>689157228.23583806</v>
      </c>
      <c r="X1344" s="21">
        <f t="shared" si="207"/>
        <v>1411021526.2843714</v>
      </c>
      <c r="Y1344" s="21">
        <f t="shared" si="208"/>
        <v>721864298.04853332</v>
      </c>
      <c r="Z1344" s="15">
        <f>IFERROR(INDEX(Cost_Components!$T$2:$T$27,MATCH(E1344,Cost_Components!$A$2:$A$27,0)),"")</f>
        <v>0.8</v>
      </c>
      <c r="AA1344" s="24">
        <f>IFERROR(INDEX(Cost_Components!$U$2:$U$27,MATCH(E1344,Cost_Components!$A$2:$A$27,0)),"")</f>
        <v>2025</v>
      </c>
      <c r="AB1344" s="24">
        <f>IFERROR(INDEX(Cost_Components!$V$2:$V$27,MATCH(E1344,Cost_Components!$A$2:$A$27,0)),"")</f>
        <v>2050</v>
      </c>
      <c r="AC1344" s="24">
        <f>IFERROR(INDEX(Cost_Components!$M$2:$M$27,MATCH(E1344,Cost_Components!$A$2:$A$27,0)),"")</f>
        <v>0</v>
      </c>
      <c r="AD1344" s="24">
        <f>IFERROR(INDEX(Cost_Components!$N$2:$N$27,MATCH(E1344,Cost_Components!$A$2:$A$27,0)),"")</f>
        <v>95</v>
      </c>
      <c r="AE1344" s="14" t="str">
        <f>IFERROR(INDEX(Cost_Components!$O$2:$O$27,MATCH(E1344,Cost_Components!$A$2:$A$27,0)),"")</f>
        <v>Both</v>
      </c>
      <c r="AF1344" s="11">
        <v>25413871.6932372</v>
      </c>
      <c r="AG1344" s="11">
        <v>25240585.274293099</v>
      </c>
      <c r="AH1344" s="21">
        <f t="shared" si="209"/>
        <v>1</v>
      </c>
    </row>
    <row r="1345" spans="1:34" hidden="1">
      <c r="A1345" t="s">
        <v>75</v>
      </c>
      <c r="B1345" s="18">
        <v>2042</v>
      </c>
      <c r="C1345" t="s">
        <v>223</v>
      </c>
      <c r="D1345" t="s">
        <v>227</v>
      </c>
      <c r="E1345" s="20" t="s">
        <v>319</v>
      </c>
      <c r="F1345" s="20" t="s">
        <v>320</v>
      </c>
      <c r="G1345" s="20" t="s">
        <v>224</v>
      </c>
      <c r="H1345" s="20" t="s">
        <v>192</v>
      </c>
      <c r="I1345" s="20" t="s">
        <v>264</v>
      </c>
      <c r="J1345" s="15">
        <f>IFERROR(INDEX(Cost_Components!$K$2:$K$27,MATCH(E1345,Cost_Components!$A$2:$A$27,0)),"")</f>
        <v>0.8</v>
      </c>
      <c r="K1345" s="15">
        <f t="shared" si="200"/>
        <v>0.64923076923076928</v>
      </c>
      <c r="L1345" s="15">
        <f>IFERROR(INDEX(Cost_Components!$S$2:$S$27,MATCH(E1345,Cost_Components!$A$2:$A$27,0)),"")</f>
        <v>0.31</v>
      </c>
      <c r="M1345" s="26">
        <f>IFERROR(INDEX(Cost_Components!$L$2:$L$27,MATCH(E1345,Cost_Components!$A$2:$A$27,0)),"")</f>
        <v>1</v>
      </c>
      <c r="N1345" s="27">
        <f>IFERROR(INDEX(Cost_Components!$P$2:$P$27,MATCH(E1345,Cost_Components!$A$2:$A$27,0)),"")</f>
        <v>176.67</v>
      </c>
      <c r="O1345" s="21">
        <f t="shared" si="201"/>
        <v>20674744.37881792</v>
      </c>
      <c r="P1345" s="21">
        <f t="shared" si="202"/>
        <v>20517002.014246881</v>
      </c>
      <c r="Q1345" s="21">
        <f t="shared" si="203"/>
        <v>1123669011.2156687</v>
      </c>
      <c r="R1345" s="21">
        <f t="shared" si="204"/>
        <v>2371384910.352664</v>
      </c>
      <c r="S1345" s="21">
        <f t="shared" si="205"/>
        <v>1247715899.1369953</v>
      </c>
      <c r="T1345" s="14">
        <f>IFERROR(INDEX(Cost_Components!$R$2:$R$27,MATCH(E1345,Cost_Components!$A$2:$A$27,0)),"")</f>
        <v>0</v>
      </c>
      <c r="U1345" s="24">
        <f>IFERROR(INDEX(Cost_Components!$Q$2:$Q$27,MATCH(E1345,Cost_Components!$A$2:$A$27,0)),"")</f>
        <v>2014</v>
      </c>
      <c r="V1345" s="28">
        <f>1/(1+Calculation_Assumptions!$B$5)^(B1345-Calculation_Assumptions!$B$2)</f>
        <v>0.60501644584477121</v>
      </c>
      <c r="W1345" s="21">
        <f t="shared" si="206"/>
        <v>679838231.47161222</v>
      </c>
      <c r="X1345" s="21">
        <f t="shared" si="207"/>
        <v>1434726870.1914902</v>
      </c>
      <c r="Y1345" s="21">
        <f t="shared" si="208"/>
        <v>754888638.71987796</v>
      </c>
      <c r="Z1345" s="15">
        <f>IFERROR(INDEX(Cost_Components!$T$2:$T$27,MATCH(E1345,Cost_Components!$A$2:$A$27,0)),"")</f>
        <v>0.8</v>
      </c>
      <c r="AA1345" s="24">
        <f>IFERROR(INDEX(Cost_Components!$U$2:$U$27,MATCH(E1345,Cost_Components!$A$2:$A$27,0)),"")</f>
        <v>2025</v>
      </c>
      <c r="AB1345" s="24">
        <f>IFERROR(INDEX(Cost_Components!$V$2:$V$27,MATCH(E1345,Cost_Components!$A$2:$A$27,0)),"")</f>
        <v>2050</v>
      </c>
      <c r="AC1345" s="24">
        <f>IFERROR(INDEX(Cost_Components!$M$2:$M$27,MATCH(E1345,Cost_Components!$A$2:$A$27,0)),"")</f>
        <v>0</v>
      </c>
      <c r="AD1345" s="24">
        <f>IFERROR(INDEX(Cost_Components!$N$2:$N$27,MATCH(E1345,Cost_Components!$A$2:$A$27,0)),"")</f>
        <v>95</v>
      </c>
      <c r="AE1345" s="14" t="str">
        <f>IFERROR(INDEX(Cost_Components!$O$2:$O$27,MATCH(E1345,Cost_Components!$A$2:$A$27,0)),"")</f>
        <v>Both</v>
      </c>
      <c r="AF1345" s="11">
        <v>25843430.473522399</v>
      </c>
      <c r="AG1345" s="11">
        <v>25646252.517808601</v>
      </c>
      <c r="AH1345" s="21">
        <f t="shared" si="209"/>
        <v>1</v>
      </c>
    </row>
    <row r="1346" spans="1:34" hidden="1">
      <c r="A1346" t="s">
        <v>75</v>
      </c>
      <c r="B1346" s="18">
        <v>2043</v>
      </c>
      <c r="C1346" t="s">
        <v>223</v>
      </c>
      <c r="D1346" t="s">
        <v>227</v>
      </c>
      <c r="E1346" s="20" t="s">
        <v>319</v>
      </c>
      <c r="F1346" s="20" t="s">
        <v>320</v>
      </c>
      <c r="G1346" s="20" t="s">
        <v>224</v>
      </c>
      <c r="H1346" s="20" t="s">
        <v>192</v>
      </c>
      <c r="I1346" s="20" t="s">
        <v>264</v>
      </c>
      <c r="J1346" s="15">
        <f>IFERROR(INDEX(Cost_Components!$K$2:$K$27,MATCH(E1346,Cost_Components!$A$2:$A$27,0)),"")</f>
        <v>0.8</v>
      </c>
      <c r="K1346" s="15">
        <f t="shared" ref="K1346:K1409" si="210">IF(OR(L1346="",Z1346="",AA1346="",AB1346=""),"",IF(B1346&lt;AA1346,L1346,IF(B1346&gt;AB1346,Z1346,L1346+(Z1346-L1346)*MIN(MAX((B1346-AA1346+1)/MAX(AB1346-AA1346+1,1),0),1))))</f>
        <v>0.66807692307692301</v>
      </c>
      <c r="L1346" s="15">
        <f>IFERROR(INDEX(Cost_Components!$S$2:$S$27,MATCH(E1346,Cost_Components!$A$2:$A$27,0)),"")</f>
        <v>0.31</v>
      </c>
      <c r="M1346" s="26">
        <f>IFERROR(INDEX(Cost_Components!$L$2:$L$27,MATCH(E1346,Cost_Components!$A$2:$A$27,0)),"")</f>
        <v>1</v>
      </c>
      <c r="N1346" s="27">
        <f>IFERROR(INDEX(Cost_Components!$P$2:$P$27,MATCH(E1346,Cost_Components!$A$2:$A$27,0)),"")</f>
        <v>176.67</v>
      </c>
      <c r="O1346" s="21">
        <f t="shared" ref="O1346:O1353" si="211">AF1346*J1346</f>
        <v>21005056.191866964</v>
      </c>
      <c r="P1346" s="21">
        <f t="shared" ref="P1346:P1353" si="212">AG1346*J1346</f>
        <v>20826798.017962243</v>
      </c>
      <c r="Q1346" s="21">
        <f t="shared" ref="Q1346:Q1409" si="213">P1346*L1346*M1346*N1346</f>
        <v>1140635825.8083508</v>
      </c>
      <c r="R1346" s="21">
        <f t="shared" ref="R1346:R1353" si="214">O1346*K1346*M1346*N1346</f>
        <v>2479208928.0282941</v>
      </c>
      <c r="S1346" s="21">
        <f t="shared" ref="S1346:S1409" si="215">R1346-Q1346</f>
        <v>1338573102.2199433</v>
      </c>
      <c r="T1346" s="14">
        <f>IFERROR(INDEX(Cost_Components!$R$2:$R$27,MATCH(E1346,Cost_Components!$A$2:$A$27,0)),"")</f>
        <v>0</v>
      </c>
      <c r="U1346" s="24">
        <f>IFERROR(INDEX(Cost_Components!$Q$2:$Q$27,MATCH(E1346,Cost_Components!$A$2:$A$27,0)),"")</f>
        <v>2014</v>
      </c>
      <c r="V1346" s="28">
        <f>1/(1+Calculation_Assumptions!$B$5)^(B1346-Calculation_Assumptions!$B$2)</f>
        <v>0.5873946076162827</v>
      </c>
      <c r="W1346" s="21">
        <f t="shared" ref="W1346:W1409" si="216">Q1346*V1346</f>
        <v>670003333.33377075</v>
      </c>
      <c r="X1346" s="21">
        <f t="shared" ref="X1346:X1353" si="217">R1346*V1346</f>
        <v>1456273955.4779646</v>
      </c>
      <c r="Y1346" s="21">
        <f t="shared" ref="Y1346:Y1353" si="218">S1346*V1346</f>
        <v>786270622.14419389</v>
      </c>
      <c r="Z1346" s="15">
        <f>IFERROR(INDEX(Cost_Components!$T$2:$T$27,MATCH(E1346,Cost_Components!$A$2:$A$27,0)),"")</f>
        <v>0.8</v>
      </c>
      <c r="AA1346" s="24">
        <f>IFERROR(INDEX(Cost_Components!$U$2:$U$27,MATCH(E1346,Cost_Components!$A$2:$A$27,0)),"")</f>
        <v>2025</v>
      </c>
      <c r="AB1346" s="24">
        <f>IFERROR(INDEX(Cost_Components!$V$2:$V$27,MATCH(E1346,Cost_Components!$A$2:$A$27,0)),"")</f>
        <v>2050</v>
      </c>
      <c r="AC1346" s="24">
        <f>IFERROR(INDEX(Cost_Components!$M$2:$M$27,MATCH(E1346,Cost_Components!$A$2:$A$27,0)),"")</f>
        <v>0</v>
      </c>
      <c r="AD1346" s="24">
        <f>IFERROR(INDEX(Cost_Components!$N$2:$N$27,MATCH(E1346,Cost_Components!$A$2:$A$27,0)),"")</f>
        <v>95</v>
      </c>
      <c r="AE1346" s="14" t="str">
        <f>IFERROR(INDEX(Cost_Components!$O$2:$O$27,MATCH(E1346,Cost_Components!$A$2:$A$27,0)),"")</f>
        <v>Both</v>
      </c>
      <c r="AF1346" s="11">
        <v>26256320.239833701</v>
      </c>
      <c r="AG1346" s="11">
        <v>26033497.522452801</v>
      </c>
      <c r="AH1346" s="21">
        <f t="shared" ref="AH1346:AH1353" si="219">IF(H1346="shared-count-once",COUNTIFS($A$2:$A$1353,A1346,$B$2:$B$1353,B1346,$E$2:$E$1353,E1346),1)</f>
        <v>1</v>
      </c>
    </row>
    <row r="1347" spans="1:34" hidden="1">
      <c r="A1347" t="s">
        <v>75</v>
      </c>
      <c r="B1347" s="18">
        <v>2044</v>
      </c>
      <c r="C1347" t="s">
        <v>223</v>
      </c>
      <c r="D1347" t="s">
        <v>227</v>
      </c>
      <c r="E1347" s="20" t="s">
        <v>319</v>
      </c>
      <c r="F1347" s="20" t="s">
        <v>320</v>
      </c>
      <c r="G1347" s="20" t="s">
        <v>224</v>
      </c>
      <c r="H1347" s="20" t="s">
        <v>192</v>
      </c>
      <c r="I1347" s="20" t="s">
        <v>264</v>
      </c>
      <c r="J1347" s="15">
        <f>IFERROR(INDEX(Cost_Components!$K$2:$K$27,MATCH(E1347,Cost_Components!$A$2:$A$27,0)),"")</f>
        <v>0.8</v>
      </c>
      <c r="K1347" s="15">
        <f t="shared" si="210"/>
        <v>0.68692307692307697</v>
      </c>
      <c r="L1347" s="15">
        <f>IFERROR(INDEX(Cost_Components!$S$2:$S$27,MATCH(E1347,Cost_Components!$A$2:$A$27,0)),"")</f>
        <v>0.31</v>
      </c>
      <c r="M1347" s="26">
        <f>IFERROR(INDEX(Cost_Components!$L$2:$L$27,MATCH(E1347,Cost_Components!$A$2:$A$27,0)),"")</f>
        <v>1</v>
      </c>
      <c r="N1347" s="27">
        <f>IFERROR(INDEX(Cost_Components!$P$2:$P$27,MATCH(E1347,Cost_Components!$A$2:$A$27,0)),"")</f>
        <v>176.67</v>
      </c>
      <c r="O1347" s="21">
        <f t="shared" si="211"/>
        <v>21321995.5109476</v>
      </c>
      <c r="P1347" s="21">
        <f t="shared" si="212"/>
        <v>21121822.907069601</v>
      </c>
      <c r="Q1347" s="21">
        <f t="shared" si="213"/>
        <v>1156793660.4275157</v>
      </c>
      <c r="R1347" s="21">
        <f t="shared" si="214"/>
        <v>2587609656.6144366</v>
      </c>
      <c r="S1347" s="21">
        <f t="shared" si="215"/>
        <v>1430815996.1869209</v>
      </c>
      <c r="T1347" s="14">
        <f>IFERROR(INDEX(Cost_Components!$R$2:$R$27,MATCH(E1347,Cost_Components!$A$2:$A$27,0)),"")</f>
        <v>0</v>
      </c>
      <c r="U1347" s="24">
        <f>IFERROR(INDEX(Cost_Components!$Q$2:$Q$27,MATCH(E1347,Cost_Components!$A$2:$A$27,0)),"")</f>
        <v>2014</v>
      </c>
      <c r="V1347" s="28">
        <f>1/(1+Calculation_Assumptions!$B$5)^(B1347-Calculation_Assumptions!$B$2)</f>
        <v>0.57028602681192497</v>
      </c>
      <c r="W1347" s="21">
        <f t="shared" si="216"/>
        <v>659703260.44643104</v>
      </c>
      <c r="X1347" s="21">
        <f t="shared" si="217"/>
        <v>1475677630.0108166</v>
      </c>
      <c r="Y1347" s="21">
        <f t="shared" si="218"/>
        <v>815974369.56438553</v>
      </c>
      <c r="Z1347" s="15">
        <f>IFERROR(INDEX(Cost_Components!$T$2:$T$27,MATCH(E1347,Cost_Components!$A$2:$A$27,0)),"")</f>
        <v>0.8</v>
      </c>
      <c r="AA1347" s="24">
        <f>IFERROR(INDEX(Cost_Components!$U$2:$U$27,MATCH(E1347,Cost_Components!$A$2:$A$27,0)),"")</f>
        <v>2025</v>
      </c>
      <c r="AB1347" s="24">
        <f>IFERROR(INDEX(Cost_Components!$V$2:$V$27,MATCH(E1347,Cost_Components!$A$2:$A$27,0)),"")</f>
        <v>2050</v>
      </c>
      <c r="AC1347" s="24">
        <f>IFERROR(INDEX(Cost_Components!$M$2:$M$27,MATCH(E1347,Cost_Components!$A$2:$A$27,0)),"")</f>
        <v>0</v>
      </c>
      <c r="AD1347" s="24">
        <f>IFERROR(INDEX(Cost_Components!$N$2:$N$27,MATCH(E1347,Cost_Components!$A$2:$A$27,0)),"")</f>
        <v>95</v>
      </c>
      <c r="AE1347" s="14" t="str">
        <f>IFERROR(INDEX(Cost_Components!$O$2:$O$27,MATCH(E1347,Cost_Components!$A$2:$A$27,0)),"")</f>
        <v>Both</v>
      </c>
      <c r="AF1347" s="11">
        <v>26652494.3886845</v>
      </c>
      <c r="AG1347" s="11">
        <v>26402278.633837</v>
      </c>
      <c r="AH1347" s="21">
        <f t="shared" si="219"/>
        <v>1</v>
      </c>
    </row>
    <row r="1348" spans="1:34" hidden="1">
      <c r="A1348" t="s">
        <v>75</v>
      </c>
      <c r="B1348" s="18">
        <v>2045</v>
      </c>
      <c r="C1348" t="s">
        <v>223</v>
      </c>
      <c r="D1348" t="s">
        <v>227</v>
      </c>
      <c r="E1348" s="20" t="s">
        <v>319</v>
      </c>
      <c r="F1348" s="20" t="s">
        <v>320</v>
      </c>
      <c r="G1348" s="20" t="s">
        <v>224</v>
      </c>
      <c r="H1348" s="20" t="s">
        <v>192</v>
      </c>
      <c r="I1348" s="20" t="s">
        <v>264</v>
      </c>
      <c r="J1348" s="15">
        <f>IFERROR(INDEX(Cost_Components!$K$2:$K$27,MATCH(E1348,Cost_Components!$A$2:$A$27,0)),"")</f>
        <v>0.8</v>
      </c>
      <c r="K1348" s="15">
        <f t="shared" si="210"/>
        <v>0.70576923076923082</v>
      </c>
      <c r="L1348" s="15">
        <f>IFERROR(INDEX(Cost_Components!$S$2:$S$27,MATCH(E1348,Cost_Components!$A$2:$A$27,0)),"")</f>
        <v>0.31</v>
      </c>
      <c r="M1348" s="26">
        <f>IFERROR(INDEX(Cost_Components!$L$2:$L$27,MATCH(E1348,Cost_Components!$A$2:$A$27,0)),"")</f>
        <v>1</v>
      </c>
      <c r="N1348" s="27">
        <f>IFERROR(INDEX(Cost_Components!$P$2:$P$27,MATCH(E1348,Cost_Components!$A$2:$A$27,0)),"")</f>
        <v>176.67</v>
      </c>
      <c r="O1348" s="21">
        <f t="shared" si="211"/>
        <v>21625579.775311761</v>
      </c>
      <c r="P1348" s="21">
        <f t="shared" si="212"/>
        <v>21402110.423285041</v>
      </c>
      <c r="Q1348" s="21">
        <f t="shared" si="213"/>
        <v>1172144363.0293479</v>
      </c>
      <c r="R1348" s="21">
        <f t="shared" si="214"/>
        <v>2696455697.4190164</v>
      </c>
      <c r="S1348" s="21">
        <f t="shared" si="215"/>
        <v>1524311334.3896685</v>
      </c>
      <c r="T1348" s="14">
        <f>IFERROR(INDEX(Cost_Components!$R$2:$R$27,MATCH(E1348,Cost_Components!$A$2:$A$27,0)),"")</f>
        <v>0</v>
      </c>
      <c r="U1348" s="24">
        <f>IFERROR(INDEX(Cost_Components!$Q$2:$Q$27,MATCH(E1348,Cost_Components!$A$2:$A$27,0)),"")</f>
        <v>2014</v>
      </c>
      <c r="V1348" s="28">
        <f>1/(1+Calculation_Assumptions!$B$5)^(B1348-Calculation_Assumptions!$B$2)</f>
        <v>0.55367575418633497</v>
      </c>
      <c r="W1348" s="21">
        <f t="shared" si="216"/>
        <v>648987914.2155354</v>
      </c>
      <c r="X1348" s="21">
        <f t="shared" si="217"/>
        <v>1492962141.8985138</v>
      </c>
      <c r="Y1348" s="21">
        <f t="shared" si="218"/>
        <v>843974227.68297827</v>
      </c>
      <c r="Z1348" s="15">
        <f>IFERROR(INDEX(Cost_Components!$T$2:$T$27,MATCH(E1348,Cost_Components!$A$2:$A$27,0)),"")</f>
        <v>0.8</v>
      </c>
      <c r="AA1348" s="24">
        <f>IFERROR(INDEX(Cost_Components!$U$2:$U$27,MATCH(E1348,Cost_Components!$A$2:$A$27,0)),"")</f>
        <v>2025</v>
      </c>
      <c r="AB1348" s="24">
        <f>IFERROR(INDEX(Cost_Components!$V$2:$V$27,MATCH(E1348,Cost_Components!$A$2:$A$27,0)),"")</f>
        <v>2050</v>
      </c>
      <c r="AC1348" s="24">
        <f>IFERROR(INDEX(Cost_Components!$M$2:$M$27,MATCH(E1348,Cost_Components!$A$2:$A$27,0)),"")</f>
        <v>0</v>
      </c>
      <c r="AD1348" s="24">
        <f>IFERROR(INDEX(Cost_Components!$N$2:$N$27,MATCH(E1348,Cost_Components!$A$2:$A$27,0)),"")</f>
        <v>95</v>
      </c>
      <c r="AE1348" s="14" t="str">
        <f>IFERROR(INDEX(Cost_Components!$O$2:$O$27,MATCH(E1348,Cost_Components!$A$2:$A$27,0)),"")</f>
        <v>Both</v>
      </c>
      <c r="AF1348" s="11">
        <v>27031974.719139699</v>
      </c>
      <c r="AG1348" s="11">
        <v>26752638.0291063</v>
      </c>
      <c r="AH1348" s="21">
        <f t="shared" si="219"/>
        <v>1</v>
      </c>
    </row>
    <row r="1349" spans="1:34" hidden="1">
      <c r="A1349" t="s">
        <v>75</v>
      </c>
      <c r="B1349" s="18">
        <v>2046</v>
      </c>
      <c r="C1349" t="s">
        <v>223</v>
      </c>
      <c r="D1349" t="s">
        <v>227</v>
      </c>
      <c r="E1349" s="20" t="s">
        <v>319</v>
      </c>
      <c r="F1349" s="20" t="s">
        <v>320</v>
      </c>
      <c r="G1349" s="20" t="s">
        <v>224</v>
      </c>
      <c r="H1349" s="20" t="s">
        <v>192</v>
      </c>
      <c r="I1349" s="20" t="s">
        <v>264</v>
      </c>
      <c r="J1349" s="15">
        <f>IFERROR(INDEX(Cost_Components!$K$2:$K$27,MATCH(E1349,Cost_Components!$A$2:$A$27,0)),"")</f>
        <v>0.8</v>
      </c>
      <c r="K1349" s="15">
        <f t="shared" si="210"/>
        <v>0.72461538461538466</v>
      </c>
      <c r="L1349" s="15">
        <f>IFERROR(INDEX(Cost_Components!$S$2:$S$27,MATCH(E1349,Cost_Components!$A$2:$A$27,0)),"")</f>
        <v>0.31</v>
      </c>
      <c r="M1349" s="26">
        <f>IFERROR(INDEX(Cost_Components!$L$2:$L$27,MATCH(E1349,Cost_Components!$A$2:$A$27,0)),"")</f>
        <v>1</v>
      </c>
      <c r="N1349" s="27">
        <f>IFERROR(INDEX(Cost_Components!$P$2:$P$27,MATCH(E1349,Cost_Components!$A$2:$A$27,0)),"")</f>
        <v>176.67</v>
      </c>
      <c r="O1349" s="21">
        <f t="shared" si="211"/>
        <v>21915896.487826802</v>
      </c>
      <c r="P1349" s="21">
        <f t="shared" si="212"/>
        <v>21667776.896118481</v>
      </c>
      <c r="Q1349" s="21">
        <f t="shared" si="213"/>
        <v>1186694304.7135479</v>
      </c>
      <c r="R1349" s="21">
        <f t="shared" si="214"/>
        <v>2805624853.3993139</v>
      </c>
      <c r="S1349" s="21">
        <f t="shared" si="215"/>
        <v>1618930548.685766</v>
      </c>
      <c r="T1349" s="14">
        <f>IFERROR(INDEX(Cost_Components!$R$2:$R$27,MATCH(E1349,Cost_Components!$A$2:$A$27,0)),"")</f>
        <v>0</v>
      </c>
      <c r="U1349" s="24">
        <f>IFERROR(INDEX(Cost_Components!$Q$2:$Q$27,MATCH(E1349,Cost_Components!$A$2:$A$27,0)),"")</f>
        <v>2014</v>
      </c>
      <c r="V1349" s="28">
        <f>1/(1+Calculation_Assumptions!$B$5)^(B1349-Calculation_Assumptions!$B$2)</f>
        <v>0.5375492759090631</v>
      </c>
      <c r="W1349" s="21">
        <f t="shared" si="216"/>
        <v>637906664.22417676</v>
      </c>
      <c r="X1349" s="21">
        <f t="shared" si="217"/>
        <v>1508161608.4172726</v>
      </c>
      <c r="Y1349" s="21">
        <f t="shared" si="218"/>
        <v>870254944.19309568</v>
      </c>
      <c r="Z1349" s="15">
        <f>IFERROR(INDEX(Cost_Components!$T$2:$T$27,MATCH(E1349,Cost_Components!$A$2:$A$27,0)),"")</f>
        <v>0.8</v>
      </c>
      <c r="AA1349" s="24">
        <f>IFERROR(INDEX(Cost_Components!$U$2:$U$27,MATCH(E1349,Cost_Components!$A$2:$A$27,0)),"")</f>
        <v>2025</v>
      </c>
      <c r="AB1349" s="24">
        <f>IFERROR(INDEX(Cost_Components!$V$2:$V$27,MATCH(E1349,Cost_Components!$A$2:$A$27,0)),"")</f>
        <v>2050</v>
      </c>
      <c r="AC1349" s="24">
        <f>IFERROR(INDEX(Cost_Components!$M$2:$M$27,MATCH(E1349,Cost_Components!$A$2:$A$27,0)),"")</f>
        <v>0</v>
      </c>
      <c r="AD1349" s="24">
        <f>IFERROR(INDEX(Cost_Components!$N$2:$N$27,MATCH(E1349,Cost_Components!$A$2:$A$27,0)),"")</f>
        <v>95</v>
      </c>
      <c r="AE1349" s="14" t="str">
        <f>IFERROR(INDEX(Cost_Components!$O$2:$O$27,MATCH(E1349,Cost_Components!$A$2:$A$27,0)),"")</f>
        <v>Both</v>
      </c>
      <c r="AF1349" s="11">
        <v>27394870.6097835</v>
      </c>
      <c r="AG1349" s="11">
        <v>27084721.1201481</v>
      </c>
      <c r="AH1349" s="21">
        <f t="shared" si="219"/>
        <v>1</v>
      </c>
    </row>
    <row r="1350" spans="1:34" hidden="1">
      <c r="A1350" t="s">
        <v>75</v>
      </c>
      <c r="B1350" s="18">
        <v>2047</v>
      </c>
      <c r="C1350" t="s">
        <v>223</v>
      </c>
      <c r="D1350" t="s">
        <v>227</v>
      </c>
      <c r="E1350" s="20" t="s">
        <v>319</v>
      </c>
      <c r="F1350" s="20" t="s">
        <v>320</v>
      </c>
      <c r="G1350" s="20" t="s">
        <v>224</v>
      </c>
      <c r="H1350" s="20" t="s">
        <v>192</v>
      </c>
      <c r="I1350" s="20" t="s">
        <v>264</v>
      </c>
      <c r="J1350" s="15">
        <f>IFERROR(INDEX(Cost_Components!$K$2:$K$27,MATCH(E1350,Cost_Components!$A$2:$A$27,0)),"")</f>
        <v>0.8</v>
      </c>
      <c r="K1350" s="15">
        <f t="shared" si="210"/>
        <v>0.74346153846153851</v>
      </c>
      <c r="L1350" s="15">
        <f>IFERROR(INDEX(Cost_Components!$S$2:$S$27,MATCH(E1350,Cost_Components!$A$2:$A$27,0)),"")</f>
        <v>0.31</v>
      </c>
      <c r="M1350" s="26">
        <f>IFERROR(INDEX(Cost_Components!$L$2:$L$27,MATCH(E1350,Cost_Components!$A$2:$A$27,0)),"")</f>
        <v>1</v>
      </c>
      <c r="N1350" s="27">
        <f>IFERROR(INDEX(Cost_Components!$P$2:$P$27,MATCH(E1350,Cost_Components!$A$2:$A$27,0)),"")</f>
        <v>176.67</v>
      </c>
      <c r="O1350" s="21">
        <f t="shared" si="211"/>
        <v>22193043.987198401</v>
      </c>
      <c r="P1350" s="21">
        <f t="shared" si="212"/>
        <v>21918961.503149681</v>
      </c>
      <c r="Q1350" s="21">
        <f t="shared" si="213"/>
        <v>1200451107.9160507</v>
      </c>
      <c r="R1350" s="21">
        <f t="shared" si="214"/>
        <v>2914997516.1519442</v>
      </c>
      <c r="S1350" s="21">
        <f t="shared" si="215"/>
        <v>1714546408.2358935</v>
      </c>
      <c r="T1350" s="14">
        <f>IFERROR(INDEX(Cost_Components!$R$2:$R$27,MATCH(E1350,Cost_Components!$A$2:$A$27,0)),"")</f>
        <v>0</v>
      </c>
      <c r="U1350" s="24">
        <f>IFERROR(INDEX(Cost_Components!$Q$2:$Q$27,MATCH(E1350,Cost_Components!$A$2:$A$27,0)),"")</f>
        <v>2014</v>
      </c>
      <c r="V1350" s="28">
        <f>1/(1+Calculation_Assumptions!$B$5)^(B1350-Calculation_Assumptions!$B$2)</f>
        <v>0.52189250088258554</v>
      </c>
      <c r="W1350" s="21">
        <f t="shared" si="216"/>
        <v>626506430.89757824</v>
      </c>
      <c r="X1350" s="21">
        <f t="shared" si="217"/>
        <v>1521315343.7710631</v>
      </c>
      <c r="Y1350" s="21">
        <f t="shared" si="218"/>
        <v>894808912.87348497</v>
      </c>
      <c r="Z1350" s="15">
        <f>IFERROR(INDEX(Cost_Components!$T$2:$T$27,MATCH(E1350,Cost_Components!$A$2:$A$27,0)),"")</f>
        <v>0.8</v>
      </c>
      <c r="AA1350" s="24">
        <f>IFERROR(INDEX(Cost_Components!$U$2:$U$27,MATCH(E1350,Cost_Components!$A$2:$A$27,0)),"")</f>
        <v>2025</v>
      </c>
      <c r="AB1350" s="24">
        <f>IFERROR(INDEX(Cost_Components!$V$2:$V$27,MATCH(E1350,Cost_Components!$A$2:$A$27,0)),"")</f>
        <v>2050</v>
      </c>
      <c r="AC1350" s="24">
        <f>IFERROR(INDEX(Cost_Components!$M$2:$M$27,MATCH(E1350,Cost_Components!$A$2:$A$27,0)),"")</f>
        <v>0</v>
      </c>
      <c r="AD1350" s="24">
        <f>IFERROR(INDEX(Cost_Components!$N$2:$N$27,MATCH(E1350,Cost_Components!$A$2:$A$27,0)),"")</f>
        <v>95</v>
      </c>
      <c r="AE1350" s="14" t="str">
        <f>IFERROR(INDEX(Cost_Components!$O$2:$O$27,MATCH(E1350,Cost_Components!$A$2:$A$27,0)),"")</f>
        <v>Both</v>
      </c>
      <c r="AF1350" s="11">
        <v>27741304.983998001</v>
      </c>
      <c r="AG1350" s="11">
        <v>27398701.878937099</v>
      </c>
      <c r="AH1350" s="21">
        <f t="shared" si="219"/>
        <v>1</v>
      </c>
    </row>
    <row r="1351" spans="1:34" hidden="1">
      <c r="A1351" t="s">
        <v>75</v>
      </c>
      <c r="B1351" s="18">
        <v>2048</v>
      </c>
      <c r="C1351" t="s">
        <v>223</v>
      </c>
      <c r="D1351" t="s">
        <v>227</v>
      </c>
      <c r="E1351" s="20" t="s">
        <v>319</v>
      </c>
      <c r="F1351" s="20" t="s">
        <v>320</v>
      </c>
      <c r="G1351" s="20" t="s">
        <v>224</v>
      </c>
      <c r="H1351" s="20" t="s">
        <v>192</v>
      </c>
      <c r="I1351" s="20" t="s">
        <v>264</v>
      </c>
      <c r="J1351" s="15">
        <f>IFERROR(INDEX(Cost_Components!$K$2:$K$27,MATCH(E1351,Cost_Components!$A$2:$A$27,0)),"")</f>
        <v>0.8</v>
      </c>
      <c r="K1351" s="15">
        <f t="shared" si="210"/>
        <v>0.76230769230769235</v>
      </c>
      <c r="L1351" s="15">
        <f>IFERROR(INDEX(Cost_Components!$S$2:$S$27,MATCH(E1351,Cost_Components!$A$2:$A$27,0)),"")</f>
        <v>0.31</v>
      </c>
      <c r="M1351" s="26">
        <f>IFERROR(INDEX(Cost_Components!$L$2:$L$27,MATCH(E1351,Cost_Components!$A$2:$A$27,0)),"")</f>
        <v>1</v>
      </c>
      <c r="N1351" s="27">
        <f>IFERROR(INDEX(Cost_Components!$P$2:$P$27,MATCH(E1351,Cost_Components!$A$2:$A$27,0)),"")</f>
        <v>176.67</v>
      </c>
      <c r="O1351" s="21">
        <f t="shared" si="211"/>
        <v>22457250.183476642</v>
      </c>
      <c r="P1351" s="21">
        <f t="shared" si="212"/>
        <v>22155938.698232159</v>
      </c>
      <c r="Q1351" s="21">
        <f t="shared" si="213"/>
        <v>1213429803.8431692</v>
      </c>
      <c r="R1351" s="21">
        <f t="shared" si="214"/>
        <v>3024472837.2350655</v>
      </c>
      <c r="S1351" s="21">
        <f t="shared" si="215"/>
        <v>1811043033.3918962</v>
      </c>
      <c r="T1351" s="14">
        <f>IFERROR(INDEX(Cost_Components!$R$2:$R$27,MATCH(E1351,Cost_Components!$A$2:$A$27,0)),"")</f>
        <v>0</v>
      </c>
      <c r="U1351" s="24">
        <f>IFERROR(INDEX(Cost_Components!$Q$2:$Q$27,MATCH(E1351,Cost_Components!$A$2:$A$27,0)),"")</f>
        <v>2014</v>
      </c>
      <c r="V1351" s="28">
        <f>1/(1+Calculation_Assumptions!$B$5)^(B1351-Calculation_Assumptions!$B$2)</f>
        <v>0.50669174842969467</v>
      </c>
      <c r="W1351" s="21">
        <f t="shared" si="216"/>
        <v>614834868.9059968</v>
      </c>
      <c r="X1351" s="21">
        <f t="shared" si="217"/>
        <v>1532475429.9767547</v>
      </c>
      <c r="Y1351" s="21">
        <f t="shared" si="218"/>
        <v>917640561.07075787</v>
      </c>
      <c r="Z1351" s="15">
        <f>IFERROR(INDEX(Cost_Components!$T$2:$T$27,MATCH(E1351,Cost_Components!$A$2:$A$27,0)),"")</f>
        <v>0.8</v>
      </c>
      <c r="AA1351" s="24">
        <f>IFERROR(INDEX(Cost_Components!$U$2:$U$27,MATCH(E1351,Cost_Components!$A$2:$A$27,0)),"")</f>
        <v>2025</v>
      </c>
      <c r="AB1351" s="24">
        <f>IFERROR(INDEX(Cost_Components!$V$2:$V$27,MATCH(E1351,Cost_Components!$A$2:$A$27,0)),"")</f>
        <v>2050</v>
      </c>
      <c r="AC1351" s="24">
        <f>IFERROR(INDEX(Cost_Components!$M$2:$M$27,MATCH(E1351,Cost_Components!$A$2:$A$27,0)),"")</f>
        <v>0</v>
      </c>
      <c r="AD1351" s="24">
        <f>IFERROR(INDEX(Cost_Components!$N$2:$N$27,MATCH(E1351,Cost_Components!$A$2:$A$27,0)),"")</f>
        <v>95</v>
      </c>
      <c r="AE1351" s="14" t="str">
        <f>IFERROR(INDEX(Cost_Components!$O$2:$O$27,MATCH(E1351,Cost_Components!$A$2:$A$27,0)),"")</f>
        <v>Both</v>
      </c>
      <c r="AF1351" s="11">
        <v>28071562.729345798</v>
      </c>
      <c r="AG1351" s="11">
        <v>27694923.372790199</v>
      </c>
      <c r="AH1351" s="21">
        <f t="shared" si="219"/>
        <v>1</v>
      </c>
    </row>
    <row r="1352" spans="1:34" hidden="1">
      <c r="A1352" t="s">
        <v>75</v>
      </c>
      <c r="B1352" s="18">
        <v>2049</v>
      </c>
      <c r="C1352" t="s">
        <v>223</v>
      </c>
      <c r="D1352" t="s">
        <v>227</v>
      </c>
      <c r="E1352" s="20" t="s">
        <v>319</v>
      </c>
      <c r="F1352" s="20" t="s">
        <v>320</v>
      </c>
      <c r="G1352" s="20" t="s">
        <v>224</v>
      </c>
      <c r="H1352" s="20" t="s">
        <v>192</v>
      </c>
      <c r="I1352" s="20" t="s">
        <v>264</v>
      </c>
      <c r="J1352" s="15">
        <f>IFERROR(INDEX(Cost_Components!$K$2:$K$27,MATCH(E1352,Cost_Components!$A$2:$A$27,0)),"")</f>
        <v>0.8</v>
      </c>
      <c r="K1352" s="15">
        <f t="shared" si="210"/>
        <v>0.7811538461538462</v>
      </c>
      <c r="L1352" s="15">
        <f>IFERROR(INDEX(Cost_Components!$S$2:$S$27,MATCH(E1352,Cost_Components!$A$2:$A$27,0)),"")</f>
        <v>0.31</v>
      </c>
      <c r="M1352" s="26">
        <f>IFERROR(INDEX(Cost_Components!$L$2:$L$27,MATCH(E1352,Cost_Components!$A$2:$A$27,0)),"")</f>
        <v>1</v>
      </c>
      <c r="N1352" s="27">
        <f>IFERROR(INDEX(Cost_Components!$P$2:$P$27,MATCH(E1352,Cost_Components!$A$2:$A$27,0)),"")</f>
        <v>176.67</v>
      </c>
      <c r="O1352" s="21">
        <f t="shared" si="211"/>
        <v>22708799.418348163</v>
      </c>
      <c r="P1352" s="21">
        <f t="shared" si="212"/>
        <v>22379041.285793521</v>
      </c>
      <c r="Q1352" s="21">
        <f t="shared" si="213"/>
        <v>1225648619.4279537</v>
      </c>
      <c r="R1352" s="21">
        <f t="shared" si="214"/>
        <v>3133960791.4882946</v>
      </c>
      <c r="S1352" s="21">
        <f t="shared" si="215"/>
        <v>1908312172.0603409</v>
      </c>
      <c r="T1352" s="14">
        <f>IFERROR(INDEX(Cost_Components!$R$2:$R$27,MATCH(E1352,Cost_Components!$A$2:$A$27,0)),"")</f>
        <v>0</v>
      </c>
      <c r="U1352" s="24">
        <f>IFERROR(INDEX(Cost_Components!$Q$2:$Q$27,MATCH(E1352,Cost_Components!$A$2:$A$27,0)),"")</f>
        <v>2014</v>
      </c>
      <c r="V1352" s="28">
        <f>1/(1+Calculation_Assumptions!$B$5)^(B1352-Calculation_Assumptions!$B$2)</f>
        <v>0.49193373633950943</v>
      </c>
      <c r="W1352" s="21">
        <f t="shared" si="216"/>
        <v>602937904.79455471</v>
      </c>
      <c r="X1352" s="21">
        <f t="shared" si="217"/>
        <v>1541701041.6983631</v>
      </c>
      <c r="Y1352" s="21">
        <f t="shared" si="218"/>
        <v>938763136.90380824</v>
      </c>
      <c r="Z1352" s="15">
        <f>IFERROR(INDEX(Cost_Components!$T$2:$T$27,MATCH(E1352,Cost_Components!$A$2:$A$27,0)),"")</f>
        <v>0.8</v>
      </c>
      <c r="AA1352" s="24">
        <f>IFERROR(INDEX(Cost_Components!$U$2:$U$27,MATCH(E1352,Cost_Components!$A$2:$A$27,0)),"")</f>
        <v>2025</v>
      </c>
      <c r="AB1352" s="24">
        <f>IFERROR(INDEX(Cost_Components!$V$2:$V$27,MATCH(E1352,Cost_Components!$A$2:$A$27,0)),"")</f>
        <v>2050</v>
      </c>
      <c r="AC1352" s="24">
        <f>IFERROR(INDEX(Cost_Components!$M$2:$M$27,MATCH(E1352,Cost_Components!$A$2:$A$27,0)),"")</f>
        <v>0</v>
      </c>
      <c r="AD1352" s="24">
        <f>IFERROR(INDEX(Cost_Components!$N$2:$N$27,MATCH(E1352,Cost_Components!$A$2:$A$27,0)),"")</f>
        <v>95</v>
      </c>
      <c r="AE1352" s="14" t="str">
        <f>IFERROR(INDEX(Cost_Components!$O$2:$O$27,MATCH(E1352,Cost_Components!$A$2:$A$27,0)),"")</f>
        <v>Both</v>
      </c>
      <c r="AF1352" s="11">
        <v>28385999.2729352</v>
      </c>
      <c r="AG1352" s="11">
        <v>27973801.607241899</v>
      </c>
      <c r="AH1352" s="21">
        <f t="shared" si="219"/>
        <v>1</v>
      </c>
    </row>
    <row r="1353" spans="1:34" hidden="1">
      <c r="A1353" t="s">
        <v>75</v>
      </c>
      <c r="B1353" s="18">
        <v>2050</v>
      </c>
      <c r="C1353" t="s">
        <v>223</v>
      </c>
      <c r="D1353" t="s">
        <v>227</v>
      </c>
      <c r="E1353" s="20" t="s">
        <v>319</v>
      </c>
      <c r="F1353" s="20" t="s">
        <v>320</v>
      </c>
      <c r="G1353" s="20" t="s">
        <v>224</v>
      </c>
      <c r="H1353" s="20" t="s">
        <v>192</v>
      </c>
      <c r="I1353" s="20" t="s">
        <v>264</v>
      </c>
      <c r="J1353" s="15">
        <f>IFERROR(INDEX(Cost_Components!$K$2:$K$27,MATCH(E1353,Cost_Components!$A$2:$A$27,0)),"")</f>
        <v>0.8</v>
      </c>
      <c r="K1353" s="15">
        <f t="shared" si="210"/>
        <v>0.8</v>
      </c>
      <c r="L1353" s="15">
        <f>IFERROR(INDEX(Cost_Components!$S$2:$S$27,MATCH(E1353,Cost_Components!$A$2:$A$27,0)),"")</f>
        <v>0.31</v>
      </c>
      <c r="M1353" s="26">
        <f>IFERROR(INDEX(Cost_Components!$L$2:$L$27,MATCH(E1353,Cost_Components!$A$2:$A$27,0)),"")</f>
        <v>1</v>
      </c>
      <c r="N1353" s="27">
        <f>IFERROR(INDEX(Cost_Components!$P$2:$P$27,MATCH(E1353,Cost_Components!$A$2:$A$27,0)),"")</f>
        <v>176.67</v>
      </c>
      <c r="O1353" s="21">
        <f t="shared" si="211"/>
        <v>22948061.92480192</v>
      </c>
      <c r="P1353" s="21">
        <f t="shared" si="212"/>
        <v>22588690.726170644</v>
      </c>
      <c r="Q1353" s="21">
        <f t="shared" si="213"/>
        <v>1237130637.0836959</v>
      </c>
      <c r="R1353" s="21">
        <f t="shared" si="214"/>
        <v>3243387280.203804</v>
      </c>
      <c r="S1353" s="21">
        <f t="shared" si="215"/>
        <v>2006256643.1201081</v>
      </c>
      <c r="T1353" s="14">
        <f>IFERROR(INDEX(Cost_Components!$R$2:$R$27,MATCH(E1353,Cost_Components!$A$2:$A$27,0)),"")</f>
        <v>0</v>
      </c>
      <c r="U1353" s="24">
        <f>IFERROR(INDEX(Cost_Components!$Q$2:$Q$27,MATCH(E1353,Cost_Components!$A$2:$A$27,0)),"")</f>
        <v>2014</v>
      </c>
      <c r="V1353" s="28">
        <f>1/(1+Calculation_Assumptions!$B$5)^(B1353-Calculation_Assumptions!$B$2)</f>
        <v>0.47760556926165965</v>
      </c>
      <c r="W1353" s="21">
        <f t="shared" si="216"/>
        <v>590860482.17539823</v>
      </c>
      <c r="X1353" s="21">
        <f t="shared" si="217"/>
        <v>1549059828.2977638</v>
      </c>
      <c r="Y1353" s="21">
        <f t="shared" si="218"/>
        <v>958199346.12236559</v>
      </c>
      <c r="Z1353" s="15">
        <f>IFERROR(INDEX(Cost_Components!$T$2:$T$27,MATCH(E1353,Cost_Components!$A$2:$A$27,0)),"")</f>
        <v>0.8</v>
      </c>
      <c r="AA1353" s="24">
        <f>IFERROR(INDEX(Cost_Components!$U$2:$U$27,MATCH(E1353,Cost_Components!$A$2:$A$27,0)),"")</f>
        <v>2025</v>
      </c>
      <c r="AB1353" s="24">
        <f>IFERROR(INDEX(Cost_Components!$V$2:$V$27,MATCH(E1353,Cost_Components!$A$2:$A$27,0)),"")</f>
        <v>2050</v>
      </c>
      <c r="AC1353" s="24">
        <f>IFERROR(INDEX(Cost_Components!$M$2:$M$27,MATCH(E1353,Cost_Components!$A$2:$A$27,0)),"")</f>
        <v>0</v>
      </c>
      <c r="AD1353" s="24">
        <f>IFERROR(INDEX(Cost_Components!$N$2:$N$27,MATCH(E1353,Cost_Components!$A$2:$A$27,0)),"")</f>
        <v>95</v>
      </c>
      <c r="AE1353" s="14" t="str">
        <f>IFERROR(INDEX(Cost_Components!$O$2:$O$27,MATCH(E1353,Cost_Components!$A$2:$A$27,0)),"")</f>
        <v>Both</v>
      </c>
      <c r="AF1353" s="11">
        <v>28685077.406002399</v>
      </c>
      <c r="AG1353" s="11">
        <v>28235863.407713301</v>
      </c>
      <c r="AH1353" s="21">
        <f t="shared" si="219"/>
        <v>1</v>
      </c>
    </row>
  </sheetData>
  <autoFilter ref="A1:AH1353" xr:uid="{00000000-0009-0000-0000-000005000000}">
    <filterColumn colId="2">
      <filters>
        <filter val="I_RHD_SECONDARY"/>
        <filter val="I_RHD_SURGERY"/>
      </filters>
    </filterColumn>
  </autoFilter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35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2" width="11.69921875" customWidth="1"/>
    <col min="3" max="4" width="15.69921875" customWidth="1"/>
    <col min="5" max="5" width="18.69921875" customWidth="1"/>
    <col min="6" max="6" width="23.69921875" customWidth="1"/>
    <col min="7" max="7" width="29.69921875" customWidth="1"/>
    <col min="8" max="8" width="34.69921875" customWidth="1"/>
  </cols>
  <sheetData>
    <row r="1" spans="1:8" ht="28.05" customHeight="1">
      <c r="A1" s="1" t="s">
        <v>322</v>
      </c>
      <c r="B1" s="1" t="s">
        <v>25</v>
      </c>
      <c r="C1" s="1" t="s">
        <v>347</v>
      </c>
      <c r="D1" s="1" t="s">
        <v>348</v>
      </c>
      <c r="E1" s="1" t="s">
        <v>349</v>
      </c>
      <c r="F1" s="1" t="s">
        <v>350</v>
      </c>
      <c r="G1" s="1" t="s">
        <v>351</v>
      </c>
      <c r="H1" s="1" t="s">
        <v>352</v>
      </c>
    </row>
    <row r="2" spans="1:8">
      <c r="A2" t="s">
        <v>159</v>
      </c>
      <c r="B2" s="18">
        <v>2025</v>
      </c>
      <c r="C2" s="21">
        <f>SUMIFS(Annual_Cost!$Q$2:$Q$1353,Annual_Cost!$A$2:$A$1353,A2,Annual_Cost!$B$2:$B$1353,B2)</f>
        <v>74932794.052189559</v>
      </c>
      <c r="D2" s="21">
        <f>SUMIFS(Annual_Cost!$R$2:$R$1353,Annual_Cost!$A$2:$A$1353,A2,Annual_Cost!$B$2:$B$1353,B2)</f>
        <v>79488261.680672556</v>
      </c>
      <c r="E2" s="21">
        <f>SUMIFS(Annual_Cost!$S$2:$S$1353,Annual_Cost!$A$2:$A$1353,A2,Annual_Cost!$B$2:$B$1353,B2)</f>
        <v>4555467.6284829956</v>
      </c>
      <c r="F2" s="21">
        <f>SUMIFS(Annual_Cost!$Y$2:$Y$1353,Annual_Cost!$A$2:$A$1353,A2,Annual_Cost!$B$2:$B$1353,B2)</f>
        <v>4555467.6284829956</v>
      </c>
      <c r="G2" s="21">
        <f>SUMIFS($E$2:E2,$A$2:A2,A2)</f>
        <v>4555467.6284829956</v>
      </c>
      <c r="H2" s="21">
        <f>SUMIFS($F$2:F2,$A$2:A2,A2)</f>
        <v>4555467.6284829956</v>
      </c>
    </row>
    <row r="3" spans="1:8">
      <c r="A3" t="s">
        <v>159</v>
      </c>
      <c r="B3" s="18">
        <v>2026</v>
      </c>
      <c r="C3" s="21">
        <f>SUMIFS(Annual_Cost!$Q$2:$Q$1353,Annual_Cost!$A$2:$A$1353,A3,Annual_Cost!$B$2:$B$1353,B3)</f>
        <v>76061908.571147159</v>
      </c>
      <c r="D3" s="21">
        <f>SUMIFS(Annual_Cost!$R$2:$R$1353,Annual_Cost!$A$2:$A$1353,A3,Annual_Cost!$B$2:$B$1353,B3)</f>
        <v>85310130.705107972</v>
      </c>
      <c r="E3" s="21">
        <f>SUMIFS(Annual_Cost!$S$2:$S$1353,Annual_Cost!$A$2:$A$1353,A3,Annual_Cost!$B$2:$B$1353,B3)</f>
        <v>9248222.1339608207</v>
      </c>
      <c r="F3" s="21">
        <f>SUMIFS(Annual_Cost!$Y$2:$Y$1353,Annual_Cost!$A$2:$A$1353,A3,Annual_Cost!$B$2:$B$1353,B3)</f>
        <v>8978856.4407386612</v>
      </c>
      <c r="G3" s="21">
        <f>SUMIFS($E$2:E3,$A$2:A3,A3)</f>
        <v>13803689.762443816</v>
      </c>
      <c r="H3" s="21">
        <f>SUMIFS($F$2:F3,$A$2:A3,A3)</f>
        <v>13534324.069221657</v>
      </c>
    </row>
    <row r="4" spans="1:8">
      <c r="A4" t="s">
        <v>159</v>
      </c>
      <c r="B4" s="18">
        <v>2027</v>
      </c>
      <c r="C4" s="21">
        <f>SUMIFS(Annual_Cost!$Q$2:$Q$1353,Annual_Cost!$A$2:$A$1353,A4,Annual_Cost!$B$2:$B$1353,B4)</f>
        <v>77218927.213395059</v>
      </c>
      <c r="D4" s="21">
        <f>SUMIFS(Annual_Cost!$R$2:$R$1353,Annual_Cost!$A$2:$A$1353,A4,Annual_Cost!$B$2:$B$1353,B4)</f>
        <v>91128976.686583623</v>
      </c>
      <c r="E4" s="21">
        <f>SUMIFS(Annual_Cost!$S$2:$S$1353,Annual_Cost!$A$2:$A$1353,A4,Annual_Cost!$B$2:$B$1353,B4)</f>
        <v>13910049.473188568</v>
      </c>
      <c r="F4" s="21">
        <f>SUMIFS(Annual_Cost!$Y$2:$Y$1353,Annual_Cost!$A$2:$A$1353,A4,Annual_Cost!$B$2:$B$1353,B4)</f>
        <v>13111555.729275677</v>
      </c>
      <c r="G4" s="21">
        <f>SUMIFS($E$2:E4,$A$2:A4,A4)</f>
        <v>27713739.235632382</v>
      </c>
      <c r="H4" s="21">
        <f>SUMIFS($F$2:F4,$A$2:A4,A4)</f>
        <v>26645879.798497334</v>
      </c>
    </row>
    <row r="5" spans="1:8">
      <c r="A5" t="s">
        <v>159</v>
      </c>
      <c r="B5" s="18">
        <v>2028</v>
      </c>
      <c r="C5" s="21">
        <f>SUMIFS(Annual_Cost!$Q$2:$Q$1353,Annual_Cost!$A$2:$A$1353,A5,Annual_Cost!$B$2:$B$1353,B5)</f>
        <v>78338118.198032737</v>
      </c>
      <c r="D5" s="21">
        <f>SUMIFS(Annual_Cost!$R$2:$R$1353,Annual_Cost!$A$2:$A$1353,A5,Annual_Cost!$B$2:$B$1353,B5)</f>
        <v>97219769.66155985</v>
      </c>
      <c r="E5" s="21">
        <f>SUMIFS(Annual_Cost!$S$2:$S$1353,Annual_Cost!$A$2:$A$1353,A5,Annual_Cost!$B$2:$B$1353,B5)</f>
        <v>18881651.463527102</v>
      </c>
      <c r="F5" s="21">
        <f>SUMIFS(Annual_Cost!$Y$2:$Y$1353,Annual_Cost!$A$2:$A$1353,A5,Annual_Cost!$B$2:$B$1353,B5)</f>
        <v>17279385.851660207</v>
      </c>
      <c r="G5" s="21">
        <f>SUMIFS($E$2:E5,$A$2:A5,A5)</f>
        <v>46595390.699159488</v>
      </c>
      <c r="H5" s="21">
        <f>SUMIFS($F$2:F5,$A$2:A5,A5)</f>
        <v>43925265.650157541</v>
      </c>
    </row>
    <row r="6" spans="1:8">
      <c r="A6" t="s">
        <v>159</v>
      </c>
      <c r="B6" s="18">
        <v>2029</v>
      </c>
      <c r="C6" s="21">
        <f>SUMIFS(Annual_Cost!$Q$2:$Q$1353,Annual_Cost!$A$2:$A$1353,A6,Annual_Cost!$B$2:$B$1353,B6)</f>
        <v>79412478.432869121</v>
      </c>
      <c r="D6" s="21">
        <f>SUMIFS(Annual_Cost!$R$2:$R$1353,Annual_Cost!$A$2:$A$1353,A6,Annual_Cost!$B$2:$B$1353,B6)</f>
        <v>103391996.53420191</v>
      </c>
      <c r="E6" s="21">
        <f>SUMIFS(Annual_Cost!$S$2:$S$1353,Annual_Cost!$A$2:$A$1353,A6,Annual_Cost!$B$2:$B$1353,B6)</f>
        <v>23979518.101332784</v>
      </c>
      <c r="F6" s="21">
        <f>SUMIFS(Annual_Cost!$Y$2:$Y$1353,Annual_Cost!$A$2:$A$1353,A6,Annual_Cost!$B$2:$B$1353,B6)</f>
        <v>21305491.248293996</v>
      </c>
      <c r="G6" s="21">
        <f>SUMIFS($E$2:E6,$A$2:A6,A6)</f>
        <v>70574908.800492272</v>
      </c>
      <c r="H6" s="21">
        <f>SUMIFS($F$2:F6,$A$2:A6,A6)</f>
        <v>65230756.898451537</v>
      </c>
    </row>
    <row r="7" spans="1:8">
      <c r="A7" t="s">
        <v>159</v>
      </c>
      <c r="B7" s="18">
        <v>2030</v>
      </c>
      <c r="C7" s="21">
        <f>SUMIFS(Annual_Cost!$Q$2:$Q$1353,Annual_Cost!$A$2:$A$1353,A7,Annual_Cost!$B$2:$B$1353,B7)</f>
        <v>80418572.605391651</v>
      </c>
      <c r="D7" s="21">
        <f>SUMIFS(Annual_Cost!$R$2:$R$1353,Annual_Cost!$A$2:$A$1353,A7,Annual_Cost!$B$2:$B$1353,B7)</f>
        <v>109606410.76188844</v>
      </c>
      <c r="E7" s="21">
        <f>SUMIFS(Annual_Cost!$S$2:$S$1353,Annual_Cost!$A$2:$A$1353,A7,Annual_Cost!$B$2:$B$1353,B7)</f>
        <v>29187838.156496786</v>
      </c>
      <c r="F7" s="21">
        <f>SUMIFS(Annual_Cost!$Y$2:$Y$1353,Annual_Cost!$A$2:$A$1353,A7,Annual_Cost!$B$2:$B$1353,B7)</f>
        <v>25177685.590977412</v>
      </c>
      <c r="G7" s="21">
        <f>SUMIFS($E$2:E7,$A$2:A7,A7)</f>
        <v>99762746.95698905</v>
      </c>
      <c r="H7" s="21">
        <f>SUMIFS($F$2:F7,$A$2:A7,A7)</f>
        <v>90408442.489428952</v>
      </c>
    </row>
    <row r="8" spans="1:8">
      <c r="A8" t="s">
        <v>159</v>
      </c>
      <c r="B8" s="18">
        <v>2031</v>
      </c>
      <c r="C8" s="21">
        <f>SUMIFS(Annual_Cost!$Q$2:$Q$1353,Annual_Cost!$A$2:$A$1353,A8,Annual_Cost!$B$2:$B$1353,B8)</f>
        <v>81385906.467101395</v>
      </c>
      <c r="D8" s="21">
        <f>SUMIFS(Annual_Cost!$R$2:$R$1353,Annual_Cost!$A$2:$A$1353,A8,Annual_Cost!$B$2:$B$1353,B8)</f>
        <v>115893514.86690277</v>
      </c>
      <c r="E8" s="21">
        <f>SUMIFS(Annual_Cost!$S$2:$S$1353,Annual_Cost!$A$2:$A$1353,A8,Annual_Cost!$B$2:$B$1353,B8)</f>
        <v>34507608.399801388</v>
      </c>
      <c r="F8" s="21">
        <f>SUMIFS(Annual_Cost!$Y$2:$Y$1353,Annual_Cost!$A$2:$A$1353,A8,Annual_Cost!$B$2:$B$1353,B8)</f>
        <v>28899578.770638295</v>
      </c>
      <c r="G8" s="21">
        <f>SUMIFS($E$2:E8,$A$2:A8,A8)</f>
        <v>134270355.35679042</v>
      </c>
      <c r="H8" s="21">
        <f>SUMIFS($F$2:F8,$A$2:A8,A8)</f>
        <v>119308021.26006725</v>
      </c>
    </row>
    <row r="9" spans="1:8">
      <c r="A9" t="s">
        <v>159</v>
      </c>
      <c r="B9" s="18">
        <v>2032</v>
      </c>
      <c r="C9" s="21">
        <f>SUMIFS(Annual_Cost!$Q$2:$Q$1353,Annual_Cost!$A$2:$A$1353,A9,Annual_Cost!$B$2:$B$1353,B9)</f>
        <v>82325193.63794677</v>
      </c>
      <c r="D9" s="21">
        <f>SUMIFS(Annual_Cost!$R$2:$R$1353,Annual_Cost!$A$2:$A$1353,A9,Annual_Cost!$B$2:$B$1353,B9)</f>
        <v>122262556.03109905</v>
      </c>
      <c r="E9" s="21">
        <f>SUMIFS(Annual_Cost!$S$2:$S$1353,Annual_Cost!$A$2:$A$1353,A9,Annual_Cost!$B$2:$B$1353,B9)</f>
        <v>39937362.393152267</v>
      </c>
      <c r="F9" s="21">
        <f>SUMIFS(Annual_Cost!$Y$2:$Y$1353,Annual_Cost!$A$2:$A$1353,A9,Annual_Cost!$B$2:$B$1353,B9)</f>
        <v>32472730.347315401</v>
      </c>
      <c r="G9" s="21">
        <f>SUMIFS($E$2:E9,$A$2:A9,A9)</f>
        <v>174207717.74994269</v>
      </c>
      <c r="H9" s="21">
        <f>SUMIFS($F$2:F9,$A$2:A9,A9)</f>
        <v>151780751.60738266</v>
      </c>
    </row>
    <row r="10" spans="1:8">
      <c r="A10" t="s">
        <v>159</v>
      </c>
      <c r="B10" s="18">
        <v>2033</v>
      </c>
      <c r="C10" s="21">
        <f>SUMIFS(Annual_Cost!$Q$2:$Q$1353,Annual_Cost!$A$2:$A$1353,A10,Annual_Cost!$B$2:$B$1353,B10)</f>
        <v>83236973.988890588</v>
      </c>
      <c r="D10" s="21">
        <f>SUMIFS(Annual_Cost!$R$2:$R$1353,Annual_Cost!$A$2:$A$1353,A10,Annual_Cost!$B$2:$B$1353,B10)</f>
        <v>128710212.7374026</v>
      </c>
      <c r="E10" s="21">
        <f>SUMIFS(Annual_Cost!$S$2:$S$1353,Annual_Cost!$A$2:$A$1353,A10,Annual_Cost!$B$2:$B$1353,B10)</f>
        <v>45473238.748512015</v>
      </c>
      <c r="F10" s="21">
        <f>SUMIFS(Annual_Cost!$Y$2:$Y$1353,Annual_Cost!$A$2:$A$1353,A10,Annual_Cost!$B$2:$B$1353,B10)</f>
        <v>35896994.582237661</v>
      </c>
      <c r="G10" s="21">
        <f>SUMIFS($E$2:E10,$A$2:A10,A10)</f>
        <v>219680956.49845469</v>
      </c>
      <c r="H10" s="21">
        <f>SUMIFS($F$2:F10,$A$2:A10,A10)</f>
        <v>187677746.18962032</v>
      </c>
    </row>
    <row r="11" spans="1:8">
      <c r="A11" t="s">
        <v>159</v>
      </c>
      <c r="B11" s="18">
        <v>2034</v>
      </c>
      <c r="C11" s="21">
        <f>SUMIFS(Annual_Cost!$Q$2:$Q$1353,Annual_Cost!$A$2:$A$1353,A11,Annual_Cost!$B$2:$B$1353,B11)</f>
        <v>84133046.10107623</v>
      </c>
      <c r="D11" s="21">
        <f>SUMIFS(Annual_Cost!$R$2:$R$1353,Annual_Cost!$A$2:$A$1353,A11,Annual_Cost!$B$2:$B$1353,B11)</f>
        <v>135251294.02515039</v>
      </c>
      <c r="E11" s="21">
        <f>SUMIFS(Annual_Cost!$S$2:$S$1353,Annual_Cost!$A$2:$A$1353,A11,Annual_Cost!$B$2:$B$1353,B11)</f>
        <v>51118247.924074151</v>
      </c>
      <c r="F11" s="21">
        <f>SUMIFS(Annual_Cost!$Y$2:$Y$1353,Annual_Cost!$A$2:$A$1353,A11,Annual_Cost!$B$2:$B$1353,B11)</f>
        <v>39177880.5371003</v>
      </c>
      <c r="G11" s="21">
        <f>SUMIFS($E$2:E11,$A$2:A11,A11)</f>
        <v>270799204.42252886</v>
      </c>
      <c r="H11" s="21">
        <f>SUMIFS($F$2:F11,$A$2:A11,A11)</f>
        <v>226855626.72672063</v>
      </c>
    </row>
    <row r="12" spans="1:8">
      <c r="A12" t="s">
        <v>159</v>
      </c>
      <c r="B12" s="18">
        <v>2035</v>
      </c>
      <c r="C12" s="21">
        <f>SUMIFS(Annual_Cost!$Q$2:$Q$1353,Annual_Cost!$A$2:$A$1353,A12,Annual_Cost!$B$2:$B$1353,B12)</f>
        <v>85040202.433630079</v>
      </c>
      <c r="D12" s="21">
        <f>SUMIFS(Annual_Cost!$R$2:$R$1353,Annual_Cost!$A$2:$A$1353,A12,Annual_Cost!$B$2:$B$1353,B12)</f>
        <v>141929852.73429099</v>
      </c>
      <c r="E12" s="21">
        <f>SUMIFS(Annual_Cost!$S$2:$S$1353,Annual_Cost!$A$2:$A$1353,A12,Annual_Cost!$B$2:$B$1353,B12)</f>
        <v>56889650.300660923</v>
      </c>
      <c r="F12" s="21">
        <f>SUMIFS(Annual_Cost!$Y$2:$Y$1353,Annual_Cost!$A$2:$A$1353,A12,Annual_Cost!$B$2:$B$1353,B12)</f>
        <v>42331242.609324448</v>
      </c>
      <c r="G12" s="21">
        <f>SUMIFS($E$2:E12,$A$2:A12,A12)</f>
        <v>327688854.72318977</v>
      </c>
      <c r="H12" s="21">
        <f>SUMIFS($F$2:F12,$A$2:A12,A12)</f>
        <v>269186869.33604509</v>
      </c>
    </row>
    <row r="13" spans="1:8">
      <c r="A13" t="s">
        <v>159</v>
      </c>
      <c r="B13" s="18">
        <v>2036</v>
      </c>
      <c r="C13" s="21">
        <f>SUMIFS(Annual_Cost!$Q$2:$Q$1353,Annual_Cost!$A$2:$A$1353,A13,Annual_Cost!$B$2:$B$1353,B13)</f>
        <v>85958015.437006801</v>
      </c>
      <c r="D13" s="21">
        <f>SUMIFS(Annual_Cost!$R$2:$R$1353,Annual_Cost!$A$2:$A$1353,A13,Annual_Cost!$B$2:$B$1353,B13)</f>
        <v>148746372.45643312</v>
      </c>
      <c r="E13" s="21">
        <f>SUMIFS(Annual_Cost!$S$2:$S$1353,Annual_Cost!$A$2:$A$1353,A13,Annual_Cost!$B$2:$B$1353,B13)</f>
        <v>62788357.019426323</v>
      </c>
      <c r="F13" s="21">
        <f>SUMIFS(Annual_Cost!$Y$2:$Y$1353,Annual_Cost!$A$2:$A$1353,A13,Annual_Cost!$B$2:$B$1353,B13)</f>
        <v>45359645.033512823</v>
      </c>
      <c r="G13" s="21">
        <f>SUMIFS($E$2:E13,$A$2:A13,A13)</f>
        <v>390477211.74261612</v>
      </c>
      <c r="H13" s="21">
        <f>SUMIFS($F$2:F13,$A$2:A13,A13)</f>
        <v>314546514.36955792</v>
      </c>
    </row>
    <row r="14" spans="1:8">
      <c r="A14" t="s">
        <v>159</v>
      </c>
      <c r="B14" s="18">
        <v>2037</v>
      </c>
      <c r="C14" s="21">
        <f>SUMIFS(Annual_Cost!$Q$2:$Q$1353,Annual_Cost!$A$2:$A$1353,A14,Annual_Cost!$B$2:$B$1353,B14)</f>
        <v>86875624.66776754</v>
      </c>
      <c r="D14" s="21">
        <f>SUMIFS(Annual_Cost!$R$2:$R$1353,Annual_Cost!$A$2:$A$1353,A14,Annual_Cost!$B$2:$B$1353,B14)</f>
        <v>155684208.06341082</v>
      </c>
      <c r="E14" s="21">
        <f>SUMIFS(Annual_Cost!$S$2:$S$1353,Annual_Cost!$A$2:$A$1353,A14,Annual_Cost!$B$2:$B$1353,B14)</f>
        <v>68808583.395643294</v>
      </c>
      <c r="F14" s="21">
        <f>SUMIFS(Annual_Cost!$Y$2:$Y$1353,Annual_Cost!$A$2:$A$1353,A14,Annual_Cost!$B$2:$B$1353,B14)</f>
        <v>48260955.978284501</v>
      </c>
      <c r="G14" s="21">
        <f>SUMIFS($E$2:E14,$A$2:A14,A14)</f>
        <v>459285795.13825941</v>
      </c>
      <c r="H14" s="21">
        <f>SUMIFS($F$2:F14,$A$2:A14,A14)</f>
        <v>362807470.3478424</v>
      </c>
    </row>
    <row r="15" spans="1:8">
      <c r="A15" t="s">
        <v>159</v>
      </c>
      <c r="B15" s="18">
        <v>2038</v>
      </c>
      <c r="C15" s="21">
        <f>SUMIFS(Annual_Cost!$Q$2:$Q$1353,Annual_Cost!$A$2:$A$1353,A15,Annual_Cost!$B$2:$B$1353,B15)</f>
        <v>87771282.384549573</v>
      </c>
      <c r="D15" s="21">
        <f>SUMIFS(Annual_Cost!$R$2:$R$1353,Annual_Cost!$A$2:$A$1353,A15,Annual_Cost!$B$2:$B$1353,B15)</f>
        <v>162704709.77738571</v>
      </c>
      <c r="E15" s="21">
        <f>SUMIFS(Annual_Cost!$S$2:$S$1353,Annual_Cost!$A$2:$A$1353,A15,Annual_Cost!$B$2:$B$1353,B15)</f>
        <v>74933427.392836124</v>
      </c>
      <c r="F15" s="21">
        <f>SUMIFS(Annual_Cost!$Y$2:$Y$1353,Annual_Cost!$A$2:$A$1353,A15,Annual_Cost!$B$2:$B$1353,B15)</f>
        <v>51026017.793433271</v>
      </c>
      <c r="G15" s="21">
        <f>SUMIFS($E$2:E15,$A$2:A15,A15)</f>
        <v>534219222.5310955</v>
      </c>
      <c r="H15" s="21">
        <f>SUMIFS($F$2:F15,$A$2:A15,A15)</f>
        <v>413833488.14127564</v>
      </c>
    </row>
    <row r="16" spans="1:8">
      <c r="A16" t="s">
        <v>159</v>
      </c>
      <c r="B16" s="18">
        <v>2039</v>
      </c>
      <c r="C16" s="21">
        <f>SUMIFS(Annual_Cost!$Q$2:$Q$1353,Annual_Cost!$A$2:$A$1353,A16,Annual_Cost!$B$2:$B$1353,B16)</f>
        <v>88635982.462946832</v>
      </c>
      <c r="D16" s="21">
        <f>SUMIFS(Annual_Cost!$R$2:$R$1353,Annual_Cost!$A$2:$A$1353,A16,Annual_Cost!$B$2:$B$1353,B16)</f>
        <v>169787267.69114938</v>
      </c>
      <c r="E16" s="21">
        <f>SUMIFS(Annual_Cost!$S$2:$S$1353,Annual_Cost!$A$2:$A$1353,A16,Annual_Cost!$B$2:$B$1353,B16)</f>
        <v>81151285.228202552</v>
      </c>
      <c r="F16" s="21">
        <f>SUMIFS(Annual_Cost!$Y$2:$Y$1353,Annual_Cost!$A$2:$A$1353,A16,Annual_Cost!$B$2:$B$1353,B16)</f>
        <v>53650559.629430197</v>
      </c>
      <c r="G16" s="21">
        <f>SUMIFS($E$2:E16,$A$2:A16,A16)</f>
        <v>615370507.75929809</v>
      </c>
      <c r="H16" s="21">
        <f>SUMIFS($F$2:F16,$A$2:A16,A16)</f>
        <v>467484047.77070582</v>
      </c>
    </row>
    <row r="17" spans="1:8">
      <c r="A17" t="s">
        <v>159</v>
      </c>
      <c r="B17" s="18">
        <v>2040</v>
      </c>
      <c r="C17" s="21">
        <f>SUMIFS(Annual_Cost!$Q$2:$Q$1353,Annual_Cost!$A$2:$A$1353,A17,Annual_Cost!$B$2:$B$1353,B17)</f>
        <v>89495224.369050592</v>
      </c>
      <c r="D17" s="21">
        <f>SUMIFS(Annual_Cost!$R$2:$R$1353,Annual_Cost!$A$2:$A$1353,A17,Annual_Cost!$B$2:$B$1353,B17)</f>
        <v>176847856.73775893</v>
      </c>
      <c r="E17" s="21">
        <f>SUMIFS(Annual_Cost!$S$2:$S$1353,Annual_Cost!$A$2:$A$1353,A17,Annual_Cost!$B$2:$B$1353,B17)</f>
        <v>87352632.368708327</v>
      </c>
      <c r="F17" s="21">
        <f>SUMIFS(Annual_Cost!$Y$2:$Y$1353,Annual_Cost!$A$2:$A$1353,A17,Annual_Cost!$B$2:$B$1353,B17)</f>
        <v>56068330.722408682</v>
      </c>
      <c r="G17" s="21">
        <f>SUMIFS($E$2:E17,$A$2:A17,A17)</f>
        <v>702723140.12800646</v>
      </c>
      <c r="H17" s="21">
        <f>SUMIFS($F$2:F17,$A$2:A17,A17)</f>
        <v>523552378.49311447</v>
      </c>
    </row>
    <row r="18" spans="1:8">
      <c r="A18" t="s">
        <v>159</v>
      </c>
      <c r="B18" s="18">
        <v>2041</v>
      </c>
      <c r="C18" s="21">
        <f>SUMIFS(Annual_Cost!$Q$2:$Q$1353,Annual_Cost!$A$2:$A$1353,A18,Annual_Cost!$B$2:$B$1353,B18)</f>
        <v>90370643.429717734</v>
      </c>
      <c r="D18" s="21">
        <f>SUMIFS(Annual_Cost!$R$2:$R$1353,Annual_Cost!$A$2:$A$1353,A18,Annual_Cost!$B$2:$B$1353,B18)</f>
        <v>184315934.90769216</v>
      </c>
      <c r="E18" s="21">
        <f>SUMIFS(Annual_Cost!$S$2:$S$1353,Annual_Cost!$A$2:$A$1353,A18,Annual_Cost!$B$2:$B$1353,B18)</f>
        <v>93945291.47797443</v>
      </c>
      <c r="F18" s="21">
        <f>SUMIFS(Annual_Cost!$Y$2:$Y$1353,Annual_Cost!$A$2:$A$1353,A18,Annual_Cost!$B$2:$B$1353,B18)</f>
        <v>58543599.744470812</v>
      </c>
      <c r="G18" s="21">
        <f>SUMIFS($E$2:E18,$A$2:A18,A18)</f>
        <v>796668431.60598087</v>
      </c>
      <c r="H18" s="21">
        <f>SUMIFS($F$2:F18,$A$2:A18,A18)</f>
        <v>582095978.23758531</v>
      </c>
    </row>
    <row r="19" spans="1:8">
      <c r="A19" t="s">
        <v>159</v>
      </c>
      <c r="B19" s="18">
        <v>2042</v>
      </c>
      <c r="C19" s="21">
        <f>SUMIFS(Annual_Cost!$Q$2:$Q$1353,Annual_Cost!$A$2:$A$1353,A19,Annual_Cost!$B$2:$B$1353,B19)</f>
        <v>91182418.047502071</v>
      </c>
      <c r="D19" s="21">
        <f>SUMIFS(Annual_Cost!$R$2:$R$1353,Annual_Cost!$A$2:$A$1353,A19,Annual_Cost!$B$2:$B$1353,B19)</f>
        <v>191789545.60695586</v>
      </c>
      <c r="E19" s="21">
        <f>SUMIFS(Annual_Cost!$S$2:$S$1353,Annual_Cost!$A$2:$A$1353,A19,Annual_Cost!$B$2:$B$1353,B19)</f>
        <v>100607127.55945379</v>
      </c>
      <c r="F19" s="21">
        <f>SUMIFS(Annual_Cost!$Y$2:$Y$1353,Annual_Cost!$A$2:$A$1353,A19,Annual_Cost!$B$2:$B$1353,B19)</f>
        <v>60868966.742672265</v>
      </c>
      <c r="G19" s="21">
        <f>SUMIFS($E$2:E19,$A$2:A19,A19)</f>
        <v>897275559.1654346</v>
      </c>
      <c r="H19" s="21">
        <f>SUMIFS($F$2:F19,$A$2:A19,A19)</f>
        <v>642964944.98025751</v>
      </c>
    </row>
    <row r="20" spans="1:8">
      <c r="A20" t="s">
        <v>159</v>
      </c>
      <c r="B20" s="18">
        <v>2043</v>
      </c>
      <c r="C20" s="21">
        <f>SUMIFS(Annual_Cost!$Q$2:$Q$1353,Annual_Cost!$A$2:$A$1353,A20,Annual_Cost!$B$2:$B$1353,B20)</f>
        <v>92057877.063767567</v>
      </c>
      <c r="D20" s="21">
        <f>SUMIFS(Annual_Cost!$R$2:$R$1353,Annual_Cost!$A$2:$A$1353,A20,Annual_Cost!$B$2:$B$1353,B20)</f>
        <v>199267962.3713305</v>
      </c>
      <c r="E20" s="21">
        <f>SUMIFS(Annual_Cost!$S$2:$S$1353,Annual_Cost!$A$2:$A$1353,A20,Annual_Cost!$B$2:$B$1353,B20)</f>
        <v>107210085.30756295</v>
      </c>
      <c r="F20" s="21">
        <f>SUMIFS(Annual_Cost!$Y$2:$Y$1353,Annual_Cost!$A$2:$A$1353,A20,Annual_Cost!$B$2:$B$1353,B20)</f>
        <v>62974625.991744131</v>
      </c>
      <c r="G20" s="21">
        <f>SUMIFS($E$2:E20,$A$2:A20,A20)</f>
        <v>1004485644.4729975</v>
      </c>
      <c r="H20" s="21">
        <f>SUMIFS($F$2:F20,$A$2:A20,A20)</f>
        <v>705939570.97200167</v>
      </c>
    </row>
    <row r="21" spans="1:8">
      <c r="A21" t="s">
        <v>159</v>
      </c>
      <c r="B21" s="18">
        <v>2044</v>
      </c>
      <c r="C21" s="21">
        <f>SUMIFS(Annual_Cost!$Q$2:$Q$1353,Annual_Cost!$A$2:$A$1353,A21,Annual_Cost!$B$2:$B$1353,B21)</f>
        <v>92811606.599295378</v>
      </c>
      <c r="D21" s="21">
        <f>SUMIFS(Annual_Cost!$R$2:$R$1353,Annual_Cost!$A$2:$A$1353,A21,Annual_Cost!$B$2:$B$1353,B21)</f>
        <v>206690768.85711092</v>
      </c>
      <c r="E21" s="21">
        <f>SUMIFS(Annual_Cost!$S$2:$S$1353,Annual_Cost!$A$2:$A$1353,A21,Annual_Cost!$B$2:$B$1353,B21)</f>
        <v>113879162.25781554</v>
      </c>
      <c r="F21" s="21">
        <f>SUMIFS(Annual_Cost!$Y$2:$Y$1353,Annual_Cost!$A$2:$A$1353,A21,Annual_Cost!$B$2:$B$1353,B21)</f>
        <v>64943694.980680153</v>
      </c>
      <c r="G21" s="21">
        <f>SUMIFS($E$2:E21,$A$2:A21,A21)</f>
        <v>1118364806.730813</v>
      </c>
      <c r="H21" s="21">
        <f>SUMIFS($F$2:F21,$A$2:A21,A21)</f>
        <v>770883265.95268178</v>
      </c>
    </row>
    <row r="22" spans="1:8">
      <c r="A22" t="s">
        <v>159</v>
      </c>
      <c r="B22" s="18">
        <v>2045</v>
      </c>
      <c r="C22" s="21">
        <f>SUMIFS(Annual_Cost!$Q$2:$Q$1353,Annual_Cost!$A$2:$A$1353,A22,Annual_Cost!$B$2:$B$1353,B22)</f>
        <v>93498052.787161976</v>
      </c>
      <c r="D22" s="21">
        <f>SUMIFS(Annual_Cost!$R$2:$R$1353,Annual_Cost!$A$2:$A$1353,A22,Annual_Cost!$B$2:$B$1353,B22)</f>
        <v>214069236.41282478</v>
      </c>
      <c r="E22" s="21">
        <f>SUMIFS(Annual_Cost!$S$2:$S$1353,Annual_Cost!$A$2:$A$1353,A22,Annual_Cost!$B$2:$B$1353,B22)</f>
        <v>120571183.6256628</v>
      </c>
      <c r="F22" s="21">
        <f>SUMIFS(Annual_Cost!$Y$2:$Y$1353,Annual_Cost!$A$2:$A$1353,A22,Annual_Cost!$B$2:$B$1353,B22)</f>
        <v>66757341.027077943</v>
      </c>
      <c r="G22" s="21">
        <f>SUMIFS($E$2:E22,$A$2:A22,A22)</f>
        <v>1238935990.3564758</v>
      </c>
      <c r="H22" s="21">
        <f>SUMIFS($F$2:F22,$A$2:A22,A22)</f>
        <v>837640606.97975969</v>
      </c>
    </row>
    <row r="23" spans="1:8">
      <c r="A23" t="s">
        <v>159</v>
      </c>
      <c r="B23" s="18">
        <v>2046</v>
      </c>
      <c r="C23" s="21">
        <f>SUMIFS(Annual_Cost!$Q$2:$Q$1353,Annual_Cost!$A$2:$A$1353,A23,Annual_Cost!$B$2:$B$1353,B23)</f>
        <v>94122453.821412623</v>
      </c>
      <c r="D23" s="21">
        <f>SUMIFS(Annual_Cost!$R$2:$R$1353,Annual_Cost!$A$2:$A$1353,A23,Annual_Cost!$B$2:$B$1353,B23)</f>
        <v>221216525.32138851</v>
      </c>
      <c r="E23" s="21">
        <f>SUMIFS(Annual_Cost!$S$2:$S$1353,Annual_Cost!$A$2:$A$1353,A23,Annual_Cost!$B$2:$B$1353,B23)</f>
        <v>127094071.49997589</v>
      </c>
      <c r="F23" s="21">
        <f>SUMIFS(Annual_Cost!$Y$2:$Y$1353,Annual_Cost!$A$2:$A$1353,A23,Annual_Cost!$B$2:$B$1353,B23)</f>
        <v>68319326.10714674</v>
      </c>
      <c r="G23" s="21">
        <f>SUMIFS($E$2:E23,$A$2:A23,A23)</f>
        <v>1366030061.8564517</v>
      </c>
      <c r="H23" s="21">
        <f>SUMIFS($F$2:F23,$A$2:A23,A23)</f>
        <v>905959933.08690643</v>
      </c>
    </row>
    <row r="24" spans="1:8">
      <c r="A24" t="s">
        <v>159</v>
      </c>
      <c r="B24" s="18">
        <v>2047</v>
      </c>
      <c r="C24" s="21">
        <f>SUMIFS(Annual_Cost!$Q$2:$Q$1353,Annual_Cost!$A$2:$A$1353,A24,Annual_Cost!$B$2:$B$1353,B24)</f>
        <v>94599949.24568522</v>
      </c>
      <c r="D24" s="21">
        <f>SUMIFS(Annual_Cost!$R$2:$R$1353,Annual_Cost!$A$2:$A$1353,A24,Annual_Cost!$B$2:$B$1353,B24)</f>
        <v>228278315.37944874</v>
      </c>
      <c r="E24" s="21">
        <f>SUMIFS(Annual_Cost!$S$2:$S$1353,Annual_Cost!$A$2:$A$1353,A24,Annual_Cost!$B$2:$B$1353,B24)</f>
        <v>133678366.13376352</v>
      </c>
      <c r="F24" s="21">
        <f>SUMIFS(Annual_Cost!$Y$2:$Y$1353,Annual_Cost!$A$2:$A$1353,A24,Annual_Cost!$B$2:$B$1353,B24)</f>
        <v>69765736.815447778</v>
      </c>
      <c r="G24" s="21">
        <f>SUMIFS($E$2:E24,$A$2:A24,A24)</f>
        <v>1499708427.9902153</v>
      </c>
      <c r="H24" s="21">
        <f>SUMIFS($F$2:F24,$A$2:A24,A24)</f>
        <v>975725669.90235424</v>
      </c>
    </row>
    <row r="25" spans="1:8">
      <c r="A25" t="s">
        <v>159</v>
      </c>
      <c r="B25" s="18">
        <v>2048</v>
      </c>
      <c r="C25" s="21">
        <f>SUMIFS(Annual_Cost!$Q$2:$Q$1353,Annual_Cost!$A$2:$A$1353,A25,Annual_Cost!$B$2:$B$1353,B25)</f>
        <v>95015389.829852998</v>
      </c>
      <c r="D25" s="21">
        <f>SUMIFS(Annual_Cost!$R$2:$R$1353,Annual_Cost!$A$2:$A$1353,A25,Annual_Cost!$B$2:$B$1353,B25)</f>
        <v>235262772.57816422</v>
      </c>
      <c r="E25" s="21">
        <f>SUMIFS(Annual_Cost!$S$2:$S$1353,Annual_Cost!$A$2:$A$1353,A25,Annual_Cost!$B$2:$B$1353,B25)</f>
        <v>140247382.74831119</v>
      </c>
      <c r="F25" s="21">
        <f>SUMIFS(Annual_Cost!$Y$2:$Y$1353,Annual_Cost!$A$2:$A$1353,A25,Annual_Cost!$B$2:$B$1353,B25)</f>
        <v>71062191.577430397</v>
      </c>
      <c r="G25" s="21">
        <f>SUMIFS($E$2:E25,$A$2:A25,A25)</f>
        <v>1639955810.7385266</v>
      </c>
      <c r="H25" s="21">
        <f>SUMIFS($F$2:F25,$A$2:A25,A25)</f>
        <v>1046787861.4797846</v>
      </c>
    </row>
    <row r="26" spans="1:8">
      <c r="A26" t="s">
        <v>159</v>
      </c>
      <c r="B26" s="18">
        <v>2049</v>
      </c>
      <c r="C26" s="21">
        <f>SUMIFS(Annual_Cost!$Q$2:$Q$1353,Annual_Cost!$A$2:$A$1353,A26,Annual_Cost!$B$2:$B$1353,B26)</f>
        <v>95384330.543017775</v>
      </c>
      <c r="D26" s="21">
        <f>SUMIFS(Annual_Cost!$R$2:$R$1353,Annual_Cost!$A$2:$A$1353,A26,Annual_Cost!$B$2:$B$1353,B26)</f>
        <v>242198295.97045928</v>
      </c>
      <c r="E26" s="21">
        <f>SUMIFS(Annual_Cost!$S$2:$S$1353,Annual_Cost!$A$2:$A$1353,A26,Annual_Cost!$B$2:$B$1353,B26)</f>
        <v>146813965.42744148</v>
      </c>
      <c r="F26" s="21">
        <f>SUMIFS(Annual_Cost!$Y$2:$Y$1353,Annual_Cost!$A$2:$A$1353,A26,Annual_Cost!$B$2:$B$1353,B26)</f>
        <v>72222742.559540853</v>
      </c>
      <c r="G26" s="21">
        <f>SUMIFS($E$2:E26,$A$2:A26,A26)</f>
        <v>1786769776.1659679</v>
      </c>
      <c r="H26" s="21">
        <f>SUMIFS($F$2:F26,$A$2:A26,A26)</f>
        <v>1119010604.0393255</v>
      </c>
    </row>
    <row r="27" spans="1:8">
      <c r="A27" t="s">
        <v>159</v>
      </c>
      <c r="B27" s="18">
        <v>2050</v>
      </c>
      <c r="C27" s="21">
        <f>SUMIFS(Annual_Cost!$Q$2:$Q$1353,Annual_Cost!$A$2:$A$1353,A27,Annual_Cost!$B$2:$B$1353,B27)</f>
        <v>95729213.737030178</v>
      </c>
      <c r="D27" s="21">
        <f>SUMIFS(Annual_Cost!$R$2:$R$1353,Annual_Cost!$A$2:$A$1353,A27,Annual_Cost!$B$2:$B$1353,B27)</f>
        <v>249134778.81653693</v>
      </c>
      <c r="E27" s="21">
        <f>SUMIFS(Annual_Cost!$S$2:$S$1353,Annual_Cost!$A$2:$A$1353,A27,Annual_Cost!$B$2:$B$1353,B27)</f>
        <v>153405565.07950675</v>
      </c>
      <c r="F27" s="21">
        <f>SUMIFS(Annual_Cost!$Y$2:$Y$1353,Annual_Cost!$A$2:$A$1353,A27,Annual_Cost!$B$2:$B$1353,B27)</f>
        <v>73267352.237704396</v>
      </c>
      <c r="G27" s="21">
        <f>SUMIFS($E$2:E27,$A$2:A27,A27)</f>
        <v>1940175341.2454748</v>
      </c>
      <c r="H27" s="21">
        <f>SUMIFS($F$2:F27,$A$2:A27,A27)</f>
        <v>1192277956.27703</v>
      </c>
    </row>
    <row r="28" spans="1:8">
      <c r="A28" t="s">
        <v>183</v>
      </c>
      <c r="B28" s="18">
        <v>2025</v>
      </c>
      <c r="C28" s="21">
        <f>SUMIFS(Annual_Cost!$Q$2:$Q$1353,Annual_Cost!$A$2:$A$1353,A28,Annual_Cost!$B$2:$B$1353,B28)</f>
        <v>66743861.634165481</v>
      </c>
      <c r="D28" s="21">
        <f>SUMIFS(Annual_Cost!$R$2:$R$1353,Annual_Cost!$A$2:$A$1353,A28,Annual_Cost!$B$2:$B$1353,B28)</f>
        <v>70813928.286502272</v>
      </c>
      <c r="E28" s="21">
        <f>SUMIFS(Annual_Cost!$S$2:$S$1353,Annual_Cost!$A$2:$A$1353,A28,Annual_Cost!$B$2:$B$1353,B28)</f>
        <v>4070066.6523367888</v>
      </c>
      <c r="F28" s="21">
        <f>SUMIFS(Annual_Cost!$Y$2:$Y$1353,Annual_Cost!$A$2:$A$1353,A28,Annual_Cost!$B$2:$B$1353,B28)</f>
        <v>4070066.6523367888</v>
      </c>
      <c r="G28" s="21">
        <f>SUMIFS($E$2:E28,$A$2:A28,A28)</f>
        <v>4070066.6523367888</v>
      </c>
      <c r="H28" s="21">
        <f>SUMIFS($F$2:F28,$A$2:A28,A28)</f>
        <v>4070066.6523367888</v>
      </c>
    </row>
    <row r="29" spans="1:8">
      <c r="A29" t="s">
        <v>183</v>
      </c>
      <c r="B29" s="18">
        <v>2026</v>
      </c>
      <c r="C29" s="21">
        <f>SUMIFS(Annual_Cost!$Q$2:$Q$1353,Annual_Cost!$A$2:$A$1353,A29,Annual_Cost!$B$2:$B$1353,B29)</f>
        <v>68518087.441435084</v>
      </c>
      <c r="D29" s="21">
        <f>SUMIFS(Annual_Cost!$R$2:$R$1353,Annual_Cost!$A$2:$A$1353,A29,Annual_Cost!$B$2:$B$1353,B29)</f>
        <v>76886561.332171336</v>
      </c>
      <c r="E29" s="21">
        <f>SUMIFS(Annual_Cost!$S$2:$S$1353,Annual_Cost!$A$2:$A$1353,A29,Annual_Cost!$B$2:$B$1353,B29)</f>
        <v>8368473.8907362502</v>
      </c>
      <c r="F29" s="21">
        <f>SUMIFS(Annual_Cost!$Y$2:$Y$1353,Annual_Cost!$A$2:$A$1353,A29,Annual_Cost!$B$2:$B$1353,B29)</f>
        <v>8124731.9327536412</v>
      </c>
      <c r="G29" s="21">
        <f>SUMIFS($E$2:E29,$A$2:A29,A29)</f>
        <v>12438540.54307304</v>
      </c>
      <c r="H29" s="21">
        <f>SUMIFS($F$2:F29,$A$2:A29,A29)</f>
        <v>12194798.58509043</v>
      </c>
    </row>
    <row r="30" spans="1:8">
      <c r="A30" t="s">
        <v>183</v>
      </c>
      <c r="B30" s="18">
        <v>2027</v>
      </c>
      <c r="C30" s="21">
        <f>SUMIFS(Annual_Cost!$Q$2:$Q$1353,Annual_Cost!$A$2:$A$1353,A30,Annual_Cost!$B$2:$B$1353,B30)</f>
        <v>70316172.817838281</v>
      </c>
      <c r="D30" s="21">
        <f>SUMIFS(Annual_Cost!$R$2:$R$1353,Annual_Cost!$A$2:$A$1353,A30,Annual_Cost!$B$2:$B$1353,B30)</f>
        <v>83216061.166925922</v>
      </c>
      <c r="E30" s="21">
        <f>SUMIFS(Annual_Cost!$S$2:$S$1353,Annual_Cost!$A$2:$A$1353,A30,Annual_Cost!$B$2:$B$1353,B30)</f>
        <v>12899888.349087633</v>
      </c>
      <c r="F30" s="21">
        <f>SUMIFS(Annual_Cost!$Y$2:$Y$1353,Annual_Cost!$A$2:$A$1353,A30,Annual_Cost!$B$2:$B$1353,B30)</f>
        <v>12159381.986132184</v>
      </c>
      <c r="G30" s="21">
        <f>SUMIFS($E$2:E30,$A$2:A30,A30)</f>
        <v>25338428.892160673</v>
      </c>
      <c r="H30" s="21">
        <f>SUMIFS($F$2:F30,$A$2:A30,A30)</f>
        <v>24354180.571222614</v>
      </c>
    </row>
    <row r="31" spans="1:8">
      <c r="A31" t="s">
        <v>183</v>
      </c>
      <c r="B31" s="18">
        <v>2028</v>
      </c>
      <c r="C31" s="21">
        <f>SUMIFS(Annual_Cost!$Q$2:$Q$1353,Annual_Cost!$A$2:$A$1353,A31,Annual_Cost!$B$2:$B$1353,B31)</f>
        <v>72122332.495349154</v>
      </c>
      <c r="D31" s="21">
        <f>SUMIFS(Annual_Cost!$R$2:$R$1353,Annual_Cost!$A$2:$A$1353,A31,Annual_Cost!$B$2:$B$1353,B31)</f>
        <v>89787579.032177001</v>
      </c>
      <c r="E31" s="21">
        <f>SUMIFS(Annual_Cost!$S$2:$S$1353,Annual_Cost!$A$2:$A$1353,A31,Annual_Cost!$B$2:$B$1353,B31)</f>
        <v>17665246.536827851</v>
      </c>
      <c r="F31" s="21">
        <f>SUMIFS(Annual_Cost!$Y$2:$Y$1353,Annual_Cost!$A$2:$A$1353,A31,Annual_Cost!$B$2:$B$1353,B31)</f>
        <v>16166203.028595295</v>
      </c>
      <c r="G31" s="21">
        <f>SUMIFS($E$2:E31,$A$2:A31,A31)</f>
        <v>43003675.428988524</v>
      </c>
      <c r="H31" s="21">
        <f>SUMIFS($F$2:F31,$A$2:A31,A31)</f>
        <v>40520383.599817909</v>
      </c>
    </row>
    <row r="32" spans="1:8">
      <c r="A32" t="s">
        <v>183</v>
      </c>
      <c r="B32" s="18">
        <v>2029</v>
      </c>
      <c r="C32" s="21">
        <f>SUMIFS(Annual_Cost!$Q$2:$Q$1353,Annual_Cost!$A$2:$A$1353,A32,Annual_Cost!$B$2:$B$1353,B32)</f>
        <v>73925485.249619782</v>
      </c>
      <c r="D32" s="21">
        <f>SUMIFS(Annual_Cost!$R$2:$R$1353,Annual_Cost!$A$2:$A$1353,A32,Annual_Cost!$B$2:$B$1353,B32)</f>
        <v>96588672.23099041</v>
      </c>
      <c r="E32" s="21">
        <f>SUMIFS(Annual_Cost!$S$2:$S$1353,Annual_Cost!$A$2:$A$1353,A32,Annual_Cost!$B$2:$B$1353,B32)</f>
        <v>22663186.981370628</v>
      </c>
      <c r="F32" s="21">
        <f>SUMIFS(Annual_Cost!$Y$2:$Y$1353,Annual_Cost!$A$2:$A$1353,A32,Annual_Cost!$B$2:$B$1353,B32)</f>
        <v>20135948.097439263</v>
      </c>
      <c r="G32" s="21">
        <f>SUMIFS($E$2:E32,$A$2:A32,A32)</f>
        <v>65666862.410359152</v>
      </c>
      <c r="H32" s="21">
        <f>SUMIFS($F$2:F32,$A$2:A32,A32)</f>
        <v>60656331.697257176</v>
      </c>
    </row>
    <row r="33" spans="1:8">
      <c r="A33" t="s">
        <v>183</v>
      </c>
      <c r="B33" s="18">
        <v>2030</v>
      </c>
      <c r="C33" s="21">
        <f>SUMIFS(Annual_Cost!$Q$2:$Q$1353,Annual_Cost!$A$2:$A$1353,A33,Annual_Cost!$B$2:$B$1353,B33)</f>
        <v>75718868.285110563</v>
      </c>
      <c r="D33" s="21">
        <f>SUMIFS(Annual_Cost!$R$2:$R$1353,Annual_Cost!$A$2:$A$1353,A33,Annual_Cost!$B$2:$B$1353,B33)</f>
        <v>103610170.97083414</v>
      </c>
      <c r="E33" s="21">
        <f>SUMIFS(Annual_Cost!$S$2:$S$1353,Annual_Cost!$A$2:$A$1353,A33,Annual_Cost!$B$2:$B$1353,B33)</f>
        <v>27891302.685723577</v>
      </c>
      <c r="F33" s="21">
        <f>SUMIFS(Annual_Cost!$Y$2:$Y$1353,Annual_Cost!$A$2:$A$1353,A33,Annual_Cost!$B$2:$B$1353,B33)</f>
        <v>24059282.704622786</v>
      </c>
      <c r="G33" s="21">
        <f>SUMIFS($E$2:E33,$A$2:A33,A33)</f>
        <v>93558165.096082732</v>
      </c>
      <c r="H33" s="21">
        <f>SUMIFS($F$2:F33,$A$2:A33,A33)</f>
        <v>84715614.401879966</v>
      </c>
    </row>
    <row r="34" spans="1:8">
      <c r="A34" t="s">
        <v>183</v>
      </c>
      <c r="B34" s="18">
        <v>2031</v>
      </c>
      <c r="C34" s="21">
        <f>SUMIFS(Annual_Cost!$Q$2:$Q$1353,Annual_Cost!$A$2:$A$1353,A34,Annual_Cost!$B$2:$B$1353,B34)</f>
        <v>77501089.613041863</v>
      </c>
      <c r="D34" s="21">
        <f>SUMIFS(Annual_Cost!$R$2:$R$1353,Annual_Cost!$A$2:$A$1353,A34,Annual_Cost!$B$2:$B$1353,B34)</f>
        <v>110848934.60211179</v>
      </c>
      <c r="E34" s="21">
        <f>SUMIFS(Annual_Cost!$S$2:$S$1353,Annual_Cost!$A$2:$A$1353,A34,Annual_Cost!$B$2:$B$1353,B34)</f>
        <v>33347844.989069931</v>
      </c>
      <c r="F34" s="21">
        <f>SUMIFS(Annual_Cost!$Y$2:$Y$1353,Annual_Cost!$A$2:$A$1353,A34,Annual_Cost!$B$2:$B$1353,B34)</f>
        <v>27928295.172672965</v>
      </c>
      <c r="G34" s="21">
        <f>SUMIFS($E$2:E34,$A$2:A34,A34)</f>
        <v>126906010.08515266</v>
      </c>
      <c r="H34" s="21">
        <f>SUMIFS($F$2:F34,$A$2:A34,A34)</f>
        <v>112643909.57455292</v>
      </c>
    </row>
    <row r="35" spans="1:8">
      <c r="A35" t="s">
        <v>183</v>
      </c>
      <c r="B35" s="18">
        <v>2032</v>
      </c>
      <c r="C35" s="21">
        <f>SUMIFS(Annual_Cost!$Q$2:$Q$1353,Annual_Cost!$A$2:$A$1353,A35,Annual_Cost!$B$2:$B$1353,B35)</f>
        <v>79269067.097588092</v>
      </c>
      <c r="D35" s="21">
        <f>SUMIFS(Annual_Cost!$R$2:$R$1353,Annual_Cost!$A$2:$A$1353,A35,Annual_Cost!$B$2:$B$1353,B35)</f>
        <v>118298984.28807999</v>
      </c>
      <c r="E35" s="21">
        <f>SUMIFS(Annual_Cost!$S$2:$S$1353,Annual_Cost!$A$2:$A$1353,A35,Annual_Cost!$B$2:$B$1353,B35)</f>
        <v>39029917.1904919</v>
      </c>
      <c r="F35" s="21">
        <f>SUMIFS(Annual_Cost!$Y$2:$Y$1353,Annual_Cost!$A$2:$A$1353,A35,Annual_Cost!$B$2:$B$1353,B35)</f>
        <v>31734894.356023006</v>
      </c>
      <c r="G35" s="21">
        <f>SUMIFS($E$2:E35,$A$2:A35,A35)</f>
        <v>165935927.27564454</v>
      </c>
      <c r="H35" s="21">
        <f>SUMIFS($F$2:F35,$A$2:A35,A35)</f>
        <v>144378803.93057594</v>
      </c>
    </row>
    <row r="36" spans="1:8">
      <c r="A36" t="s">
        <v>183</v>
      </c>
      <c r="B36" s="18">
        <v>2033</v>
      </c>
      <c r="C36" s="21">
        <f>SUMIFS(Annual_Cost!$Q$2:$Q$1353,Annual_Cost!$A$2:$A$1353,A36,Annual_Cost!$B$2:$B$1353,B36)</f>
        <v>81018413.10016346</v>
      </c>
      <c r="D36" s="21">
        <f>SUMIFS(Annual_Cost!$R$2:$R$1353,Annual_Cost!$A$2:$A$1353,A36,Annual_Cost!$B$2:$B$1353,B36)</f>
        <v>125951583.00496964</v>
      </c>
      <c r="E36" s="21">
        <f>SUMIFS(Annual_Cost!$S$2:$S$1353,Annual_Cost!$A$2:$A$1353,A36,Annual_Cost!$B$2:$B$1353,B36)</f>
        <v>44933169.904806182</v>
      </c>
      <c r="F36" s="21">
        <f>SUMIFS(Annual_Cost!$Y$2:$Y$1353,Annual_Cost!$A$2:$A$1353,A36,Annual_Cost!$B$2:$B$1353,B36)</f>
        <v>35470659.249851026</v>
      </c>
      <c r="G36" s="21">
        <f>SUMIFS($E$2:E36,$A$2:A36,A36)</f>
        <v>210869097.18045074</v>
      </c>
      <c r="H36" s="21">
        <f>SUMIFS($F$2:F36,$A$2:A36,A36)</f>
        <v>179849463.18042696</v>
      </c>
    </row>
    <row r="37" spans="1:8">
      <c r="A37" t="s">
        <v>183</v>
      </c>
      <c r="B37" s="18">
        <v>2034</v>
      </c>
      <c r="C37" s="21">
        <f>SUMIFS(Annual_Cost!$Q$2:$Q$1353,Annual_Cost!$A$2:$A$1353,A37,Annual_Cost!$B$2:$B$1353,B37)</f>
        <v>82745982.149460658</v>
      </c>
      <c r="D37" s="21">
        <f>SUMIFS(Annual_Cost!$R$2:$R$1353,Annual_Cost!$A$2:$A$1353,A37,Annual_Cost!$B$2:$B$1353,B37)</f>
        <v>133798918.25967248</v>
      </c>
      <c r="E37" s="21">
        <f>SUMIFS(Annual_Cost!$S$2:$S$1353,Annual_Cost!$A$2:$A$1353,A37,Annual_Cost!$B$2:$B$1353,B37)</f>
        <v>51052936.110211819</v>
      </c>
      <c r="F37" s="21">
        <f>SUMIFS(Annual_Cost!$Y$2:$Y$1353,Annual_Cost!$A$2:$A$1353,A37,Annual_Cost!$B$2:$B$1353,B37)</f>
        <v>39127824.470136493</v>
      </c>
      <c r="G37" s="21">
        <f>SUMIFS($E$2:E37,$A$2:A37,A37)</f>
        <v>261922033.29066256</v>
      </c>
      <c r="H37" s="21">
        <f>SUMIFS($F$2:F37,$A$2:A37,A37)</f>
        <v>218977287.65056345</v>
      </c>
    </row>
    <row r="38" spans="1:8">
      <c r="A38" t="s">
        <v>183</v>
      </c>
      <c r="B38" s="18">
        <v>2035</v>
      </c>
      <c r="C38" s="21">
        <f>SUMIFS(Annual_Cost!$Q$2:$Q$1353,Annual_Cost!$A$2:$A$1353,A38,Annual_Cost!$B$2:$B$1353,B38)</f>
        <v>84450697.720464617</v>
      </c>
      <c r="D38" s="21">
        <f>SUMIFS(Annual_Cost!$R$2:$R$1353,Annual_Cost!$A$2:$A$1353,A38,Annual_Cost!$B$2:$B$1353,B38)</f>
        <v>141835875.9596194</v>
      </c>
      <c r="E38" s="21">
        <f>SUMIFS(Annual_Cost!$S$2:$S$1353,Annual_Cost!$A$2:$A$1353,A38,Annual_Cost!$B$2:$B$1353,B38)</f>
        <v>57385178.239154786</v>
      </c>
      <c r="F38" s="21">
        <f>SUMIFS(Annual_Cost!$Y$2:$Y$1353,Annual_Cost!$A$2:$A$1353,A38,Annual_Cost!$B$2:$B$1353,B38)</f>
        <v>42699961.933019042</v>
      </c>
      <c r="G38" s="21">
        <f>SUMIFS($E$2:E38,$A$2:A38,A38)</f>
        <v>319307211.52981734</v>
      </c>
      <c r="H38" s="21">
        <f>SUMIFS($F$2:F38,$A$2:A38,A38)</f>
        <v>261677249.58358249</v>
      </c>
    </row>
    <row r="39" spans="1:8">
      <c r="A39" t="s">
        <v>183</v>
      </c>
      <c r="B39" s="18">
        <v>2036</v>
      </c>
      <c r="C39" s="21">
        <f>SUMIFS(Annual_Cost!$Q$2:$Q$1353,Annual_Cost!$A$2:$A$1353,A39,Annual_Cost!$B$2:$B$1353,B39)</f>
        <v>86134801.548677891</v>
      </c>
      <c r="D39" s="21">
        <f>SUMIFS(Annual_Cost!$R$2:$R$1353,Annual_Cost!$A$2:$A$1353,A39,Annual_Cost!$B$2:$B$1353,B39)</f>
        <v>150062805.55394462</v>
      </c>
      <c r="E39" s="21">
        <f>SUMIFS(Annual_Cost!$S$2:$S$1353,Annual_Cost!$A$2:$A$1353,A39,Annual_Cost!$B$2:$B$1353,B39)</f>
        <v>63928004.005266726</v>
      </c>
      <c r="F39" s="21">
        <f>SUMIFS(Annual_Cost!$Y$2:$Y$1353,Annual_Cost!$A$2:$A$1353,A39,Annual_Cost!$B$2:$B$1353,B39)</f>
        <v>46182950.263895579</v>
      </c>
      <c r="G39" s="21">
        <f>SUMIFS($E$2:E39,$A$2:A39,A39)</f>
        <v>383235215.53508407</v>
      </c>
      <c r="H39" s="21">
        <f>SUMIFS($F$2:F39,$A$2:A39,A39)</f>
        <v>307860199.84747809</v>
      </c>
    </row>
    <row r="40" spans="1:8">
      <c r="A40" t="s">
        <v>183</v>
      </c>
      <c r="B40" s="18">
        <v>2037</v>
      </c>
      <c r="C40" s="21">
        <f>SUMIFS(Annual_Cost!$Q$2:$Q$1353,Annual_Cost!$A$2:$A$1353,A40,Annual_Cost!$B$2:$B$1353,B40)</f>
        <v>87797219.809933305</v>
      </c>
      <c r="D40" s="21">
        <f>SUMIFS(Annual_Cost!$R$2:$R$1353,Annual_Cost!$A$2:$A$1353,A40,Annual_Cost!$B$2:$B$1353,B40)</f>
        <v>158474641.33108589</v>
      </c>
      <c r="E40" s="21">
        <f>SUMIFS(Annual_Cost!$S$2:$S$1353,Annual_Cost!$A$2:$A$1353,A40,Annual_Cost!$B$2:$B$1353,B40)</f>
        <v>70677421.521152586</v>
      </c>
      <c r="F40" s="21">
        <f>SUMIFS(Annual_Cost!$Y$2:$Y$1353,Annual_Cost!$A$2:$A$1353,A40,Annual_Cost!$B$2:$B$1353,B40)</f>
        <v>49571721.438854277</v>
      </c>
      <c r="G40" s="21">
        <f>SUMIFS($E$2:E40,$A$2:A40,A40)</f>
        <v>453912637.05623662</v>
      </c>
      <c r="H40" s="21">
        <f>SUMIFS($F$2:F40,$A$2:A40,A40)</f>
        <v>357431921.28633237</v>
      </c>
    </row>
    <row r="41" spans="1:8">
      <c r="A41" t="s">
        <v>183</v>
      </c>
      <c r="B41" s="18">
        <v>2038</v>
      </c>
      <c r="C41" s="21">
        <f>SUMIFS(Annual_Cost!$Q$2:$Q$1353,Annual_Cost!$A$2:$A$1353,A41,Annual_Cost!$B$2:$B$1353,B41)</f>
        <v>89435486.278180078</v>
      </c>
      <c r="D41" s="21">
        <f>SUMIFS(Annual_Cost!$R$2:$R$1353,Annual_Cost!$A$2:$A$1353,A41,Annual_Cost!$B$2:$B$1353,B41)</f>
        <v>167063499.95760933</v>
      </c>
      <c r="E41" s="21">
        <f>SUMIFS(Annual_Cost!$S$2:$S$1353,Annual_Cost!$A$2:$A$1353,A41,Annual_Cost!$B$2:$B$1353,B41)</f>
        <v>77628013.679429248</v>
      </c>
      <c r="F41" s="21">
        <f>SUMIFS(Annual_Cost!$Y$2:$Y$1353,Annual_Cost!$A$2:$A$1353,A41,Annual_Cost!$B$2:$B$1353,B41)</f>
        <v>52860899.936016098</v>
      </c>
      <c r="G41" s="21">
        <f>SUMIFS($E$2:E41,$A$2:A41,A41)</f>
        <v>531540650.73566586</v>
      </c>
      <c r="H41" s="21">
        <f>SUMIFS($F$2:F41,$A$2:A41,A41)</f>
        <v>410292821.22234845</v>
      </c>
    </row>
    <row r="42" spans="1:8">
      <c r="A42" t="s">
        <v>183</v>
      </c>
      <c r="B42" s="18">
        <v>2039</v>
      </c>
      <c r="C42" s="21">
        <f>SUMIFS(Annual_Cost!$Q$2:$Q$1353,Annual_Cost!$A$2:$A$1353,A42,Annual_Cost!$B$2:$B$1353,B42)</f>
        <v>91047325.744300872</v>
      </c>
      <c r="D42" s="21">
        <f>SUMIFS(Annual_Cost!$R$2:$R$1353,Annual_Cost!$A$2:$A$1353,A42,Annual_Cost!$B$2:$B$1353,B42)</f>
        <v>175821306.26876557</v>
      </c>
      <c r="E42" s="21">
        <f>SUMIFS(Annual_Cost!$S$2:$S$1353,Annual_Cost!$A$2:$A$1353,A42,Annual_Cost!$B$2:$B$1353,B42)</f>
        <v>84773980.524464697</v>
      </c>
      <c r="F42" s="21">
        <f>SUMIFS(Annual_Cost!$Y$2:$Y$1353,Annual_Cost!$A$2:$A$1353,A42,Annual_Cost!$B$2:$B$1353,B42)</f>
        <v>56045587.994844466</v>
      </c>
      <c r="G42" s="21">
        <f>SUMIFS($E$2:E42,$A$2:A42,A42)</f>
        <v>616314631.26013052</v>
      </c>
      <c r="H42" s="21">
        <f>SUMIFS($F$2:F42,$A$2:A42,A42)</f>
        <v>466338409.21719289</v>
      </c>
    </row>
    <row r="43" spans="1:8">
      <c r="A43" t="s">
        <v>183</v>
      </c>
      <c r="B43" s="18">
        <v>2040</v>
      </c>
      <c r="C43" s="21">
        <f>SUMIFS(Annual_Cost!$Q$2:$Q$1353,Annual_Cost!$A$2:$A$1353,A43,Annual_Cost!$B$2:$B$1353,B43)</f>
        <v>92633692.319691837</v>
      </c>
      <c r="D43" s="21">
        <f>SUMIFS(Annual_Cost!$R$2:$R$1353,Annual_Cost!$A$2:$A$1353,A43,Annual_Cost!$B$2:$B$1353,B43)</f>
        <v>184745768.55614349</v>
      </c>
      <c r="E43" s="21">
        <f>SUMIFS(Annual_Cost!$S$2:$S$1353,Annual_Cost!$A$2:$A$1353,A43,Annual_Cost!$B$2:$B$1353,B43)</f>
        <v>92112076.236451671</v>
      </c>
      <c r="F43" s="21">
        <f>SUMIFS(Annual_Cost!$Y$2:$Y$1353,Annual_Cost!$A$2:$A$1353,A43,Annual_Cost!$B$2:$B$1353,B43)</f>
        <v>59123236.631883785</v>
      </c>
      <c r="G43" s="21">
        <f>SUMIFS($E$2:E43,$A$2:A43,A43)</f>
        <v>708426707.49658215</v>
      </c>
      <c r="H43" s="21">
        <f>SUMIFS($F$2:F43,$A$2:A43,A43)</f>
        <v>525461645.84907669</v>
      </c>
    </row>
    <row r="44" spans="1:8">
      <c r="A44" t="s">
        <v>183</v>
      </c>
      <c r="B44" s="18">
        <v>2041</v>
      </c>
      <c r="C44" s="21">
        <f>SUMIFS(Annual_Cost!$Q$2:$Q$1353,Annual_Cost!$A$2:$A$1353,A44,Annual_Cost!$B$2:$B$1353,B44)</f>
        <v>94196542.089983478</v>
      </c>
      <c r="D44" s="21">
        <f>SUMIFS(Annual_Cost!$R$2:$R$1353,Annual_Cost!$A$2:$A$1353,A44,Annual_Cost!$B$2:$B$1353,B44)</f>
        <v>193836870.37277627</v>
      </c>
      <c r="E44" s="21">
        <f>SUMIFS(Annual_Cost!$S$2:$S$1353,Annual_Cost!$A$2:$A$1353,A44,Annual_Cost!$B$2:$B$1353,B44)</f>
        <v>99640328.282792807</v>
      </c>
      <c r="F44" s="21">
        <f>SUMIFS(Annual_Cost!$Y$2:$Y$1353,Annual_Cost!$A$2:$A$1353,A44,Annual_Cost!$B$2:$B$1353,B44)</f>
        <v>62092558.398875386</v>
      </c>
      <c r="G44" s="21">
        <f>SUMIFS($E$2:E44,$A$2:A44,A44)</f>
        <v>808067035.77937496</v>
      </c>
      <c r="H44" s="21">
        <f>SUMIFS($F$2:F44,$A$2:A44,A44)</f>
        <v>587554204.2479521</v>
      </c>
    </row>
    <row r="45" spans="1:8">
      <c r="A45" t="s">
        <v>183</v>
      </c>
      <c r="B45" s="18">
        <v>2042</v>
      </c>
      <c r="C45" s="21">
        <f>SUMIFS(Annual_Cost!$Q$2:$Q$1353,Annual_Cost!$A$2:$A$1353,A45,Annual_Cost!$B$2:$B$1353,B45)</f>
        <v>95733508.863981813</v>
      </c>
      <c r="D45" s="21">
        <f>SUMIFS(Annual_Cost!$R$2:$R$1353,Annual_Cost!$A$2:$A$1353,A45,Annual_Cost!$B$2:$B$1353,B45)</f>
        <v>203086107.50821763</v>
      </c>
      <c r="E45" s="21">
        <f>SUMIFS(Annual_Cost!$S$2:$S$1353,Annual_Cost!$A$2:$A$1353,A45,Annual_Cost!$B$2:$B$1353,B45)</f>
        <v>107352598.64423582</v>
      </c>
      <c r="F45" s="21">
        <f>SUMIFS(Annual_Cost!$Y$2:$Y$1353,Annual_Cost!$A$2:$A$1353,A45,Annual_Cost!$B$2:$B$1353,B45)</f>
        <v>64950087.683935761</v>
      </c>
      <c r="G45" s="21">
        <f>SUMIFS($E$2:E45,$A$2:A45,A45)</f>
        <v>915419634.42361081</v>
      </c>
      <c r="H45" s="21">
        <f>SUMIFS($F$2:F45,$A$2:A45,A45)</f>
        <v>652504291.93188787</v>
      </c>
    </row>
    <row r="46" spans="1:8">
      <c r="A46" t="s">
        <v>183</v>
      </c>
      <c r="B46" s="18">
        <v>2043</v>
      </c>
      <c r="C46" s="21">
        <f>SUMIFS(Annual_Cost!$Q$2:$Q$1353,Annual_Cost!$A$2:$A$1353,A46,Annual_Cost!$B$2:$B$1353,B46)</f>
        <v>97235540.776297286</v>
      </c>
      <c r="D46" s="21">
        <f>SUMIFS(Annual_Cost!$R$2:$R$1353,Annual_Cost!$A$2:$A$1353,A46,Annual_Cost!$B$2:$B$1353,B46)</f>
        <v>212469986.96891129</v>
      </c>
      <c r="E46" s="21">
        <f>SUMIFS(Annual_Cost!$S$2:$S$1353,Annual_Cost!$A$2:$A$1353,A46,Annual_Cost!$B$2:$B$1353,B46)</f>
        <v>115234446.19261402</v>
      </c>
      <c r="F46" s="21">
        <f>SUMIFS(Annual_Cost!$Y$2:$Y$1353,Annual_Cost!$A$2:$A$1353,A46,Annual_Cost!$B$2:$B$1353,B46)</f>
        <v>67688092.305190146</v>
      </c>
      <c r="G46" s="21">
        <f>SUMIFS($E$2:E46,$A$2:A46,A46)</f>
        <v>1030654080.6162248</v>
      </c>
      <c r="H46" s="21">
        <f>SUMIFS($F$2:F46,$A$2:A46,A46)</f>
        <v>720192384.23707795</v>
      </c>
    </row>
    <row r="47" spans="1:8">
      <c r="A47" t="s">
        <v>183</v>
      </c>
      <c r="B47" s="18">
        <v>2044</v>
      </c>
      <c r="C47" s="21">
        <f>SUMIFS(Annual_Cost!$Q$2:$Q$1353,Annual_Cost!$A$2:$A$1353,A47,Annual_Cost!$B$2:$B$1353,B47)</f>
        <v>98698625.797811285</v>
      </c>
      <c r="D47" s="21">
        <f>SUMIFS(Annual_Cost!$R$2:$R$1353,Annual_Cost!$A$2:$A$1353,A47,Annual_Cost!$B$2:$B$1353,B47)</f>
        <v>221973881.23455516</v>
      </c>
      <c r="E47" s="21">
        <f>SUMIFS(Annual_Cost!$S$2:$S$1353,Annual_Cost!$A$2:$A$1353,A47,Annual_Cost!$B$2:$B$1353,B47)</f>
        <v>123275255.43674386</v>
      </c>
      <c r="F47" s="21">
        <f>SUMIFS(Annual_Cost!$Y$2:$Y$1353,Annual_Cost!$A$2:$A$1353,A47,Annual_Cost!$B$2:$B$1353,B47)</f>
        <v>70302155.627245814</v>
      </c>
      <c r="G47" s="21">
        <f>SUMIFS($E$2:E47,$A$2:A47,A47)</f>
        <v>1153929336.0529685</v>
      </c>
      <c r="H47" s="21">
        <f>SUMIFS($F$2:F47,$A$2:A47,A47)</f>
        <v>790494539.86432374</v>
      </c>
    </row>
    <row r="48" spans="1:8">
      <c r="A48" t="s">
        <v>183</v>
      </c>
      <c r="B48" s="18">
        <v>2045</v>
      </c>
      <c r="C48" s="21">
        <f>SUMIFS(Annual_Cost!$Q$2:$Q$1353,Annual_Cost!$A$2:$A$1353,A48,Annual_Cost!$B$2:$B$1353,B48)</f>
        <v>100120923.15504995</v>
      </c>
      <c r="D48" s="21">
        <f>SUMIFS(Annual_Cost!$R$2:$R$1353,Annual_Cost!$A$2:$A$1353,A48,Annual_Cost!$B$2:$B$1353,B48)</f>
        <v>231587022.1236904</v>
      </c>
      <c r="E48" s="21">
        <f>SUMIFS(Annual_Cost!$S$2:$S$1353,Annual_Cost!$A$2:$A$1353,A48,Annual_Cost!$B$2:$B$1353,B48)</f>
        <v>131466098.96864045</v>
      </c>
      <c r="F48" s="21">
        <f>SUMIFS(Annual_Cost!$Y$2:$Y$1353,Annual_Cost!$A$2:$A$1353,A48,Annual_Cost!$B$2:$B$1353,B48)</f>
        <v>72789591.496397361</v>
      </c>
      <c r="G48" s="21">
        <f>SUMIFS($E$2:E48,$A$2:A48,A48)</f>
        <v>1285395435.0216088</v>
      </c>
      <c r="H48" s="21">
        <f>SUMIFS($F$2:F48,$A$2:A48,A48)</f>
        <v>863284131.36072111</v>
      </c>
    </row>
    <row r="49" spans="1:8">
      <c r="A49" t="s">
        <v>183</v>
      </c>
      <c r="B49" s="18">
        <v>2046</v>
      </c>
      <c r="C49" s="21">
        <f>SUMIFS(Annual_Cost!$Q$2:$Q$1353,Annual_Cost!$A$2:$A$1353,A49,Annual_Cost!$B$2:$B$1353,B49)</f>
        <v>101498511.86405258</v>
      </c>
      <c r="D49" s="21">
        <f>SUMIFS(Annual_Cost!$R$2:$R$1353,Annual_Cost!$A$2:$A$1353,A49,Annual_Cost!$B$2:$B$1353,B49)</f>
        <v>241293141.35505322</v>
      </c>
      <c r="E49" s="21">
        <f>SUMIFS(Annual_Cost!$S$2:$S$1353,Annual_Cost!$A$2:$A$1353,A49,Annual_Cost!$B$2:$B$1353,B49)</f>
        <v>139794629.49100062</v>
      </c>
      <c r="F49" s="21">
        <f>SUMIFS(Annual_Cost!$Y$2:$Y$1353,Annual_Cost!$A$2:$A$1353,A49,Annual_Cost!$B$2:$B$1353,B49)</f>
        <v>75146501.858863145</v>
      </c>
      <c r="G49" s="21">
        <f>SUMIFS($E$2:E49,$A$2:A49,A49)</f>
        <v>1425190064.5126095</v>
      </c>
      <c r="H49" s="21">
        <f>SUMIFS($F$2:F49,$A$2:A49,A49)</f>
        <v>938430633.21958423</v>
      </c>
    </row>
    <row r="50" spans="1:8">
      <c r="A50" t="s">
        <v>183</v>
      </c>
      <c r="B50" s="18">
        <v>2047</v>
      </c>
      <c r="C50" s="21">
        <f>SUMIFS(Annual_Cost!$Q$2:$Q$1353,Annual_Cost!$A$2:$A$1353,A50,Annual_Cost!$B$2:$B$1353,B50)</f>
        <v>102812478.49361895</v>
      </c>
      <c r="D50" s="21">
        <f>SUMIFS(Annual_Cost!$R$2:$R$1353,Annual_Cost!$A$2:$A$1353,A50,Annual_Cost!$B$2:$B$1353,B50)</f>
        <v>251038890.40275347</v>
      </c>
      <c r="E50" s="21">
        <f>SUMIFS(Annual_Cost!$S$2:$S$1353,Annual_Cost!$A$2:$A$1353,A50,Annual_Cost!$B$2:$B$1353,B50)</f>
        <v>148226411.90913454</v>
      </c>
      <c r="F50" s="21">
        <f>SUMIFS(Annual_Cost!$Y$2:$Y$1353,Annual_Cost!$A$2:$A$1353,A50,Annual_Cost!$B$2:$B$1353,B50)</f>
        <v>77358252.808110476</v>
      </c>
      <c r="G50" s="21">
        <f>SUMIFS($E$2:E50,$A$2:A50,A50)</f>
        <v>1573416476.4217441</v>
      </c>
      <c r="H50" s="21">
        <f>SUMIFS($F$2:F50,$A$2:A50,A50)</f>
        <v>1015788886.0276947</v>
      </c>
    </row>
    <row r="51" spans="1:8">
      <c r="A51" t="s">
        <v>183</v>
      </c>
      <c r="B51" s="18">
        <v>2048</v>
      </c>
      <c r="C51" s="21">
        <f>SUMIFS(Annual_Cost!$Q$2:$Q$1353,Annual_Cost!$A$2:$A$1353,A51,Annual_Cost!$B$2:$B$1353,B51)</f>
        <v>104073545.17936319</v>
      </c>
      <c r="D51" s="21">
        <f>SUMIFS(Annual_Cost!$R$2:$R$1353,Annual_Cost!$A$2:$A$1353,A51,Annual_Cost!$B$2:$B$1353,B51)</f>
        <v>260839008.16826087</v>
      </c>
      <c r="E51" s="21">
        <f>SUMIFS(Annual_Cost!$S$2:$S$1353,Annual_Cost!$A$2:$A$1353,A51,Annual_Cost!$B$2:$B$1353,B51)</f>
        <v>156765462.98889768</v>
      </c>
      <c r="F51" s="21">
        <f>SUMIFS(Annual_Cost!$Y$2:$Y$1353,Annual_Cost!$A$2:$A$1353,A51,Annual_Cost!$B$2:$B$1353,B51)</f>
        <v>79431766.535235167</v>
      </c>
      <c r="G51" s="21">
        <f>SUMIFS($E$2:E51,$A$2:A51,A51)</f>
        <v>1730181939.4106417</v>
      </c>
      <c r="H51" s="21">
        <f>SUMIFS($F$2:F51,$A$2:A51,A51)</f>
        <v>1095220652.5629299</v>
      </c>
    </row>
    <row r="52" spans="1:8">
      <c r="A52" t="s">
        <v>183</v>
      </c>
      <c r="B52" s="18">
        <v>2049</v>
      </c>
      <c r="C52" s="21">
        <f>SUMIFS(Annual_Cost!$Q$2:$Q$1353,Annual_Cost!$A$2:$A$1353,A52,Annual_Cost!$B$2:$B$1353,B52)</f>
        <v>105279601.0422482</v>
      </c>
      <c r="D52" s="21">
        <f>SUMIFS(Annual_Cost!$R$2:$R$1353,Annual_Cost!$A$2:$A$1353,A52,Annual_Cost!$B$2:$B$1353,B52)</f>
        <v>270678581.3862381</v>
      </c>
      <c r="E52" s="21">
        <f>SUMIFS(Annual_Cost!$S$2:$S$1353,Annual_Cost!$A$2:$A$1353,A52,Annual_Cost!$B$2:$B$1353,B52)</f>
        <v>165398980.34398991</v>
      </c>
      <c r="F52" s="21">
        <f>SUMIFS(Annual_Cost!$Y$2:$Y$1353,Annual_Cost!$A$2:$A$1353,A52,Annual_Cost!$B$2:$B$1353,B52)</f>
        <v>81365338.38736403</v>
      </c>
      <c r="G52" s="21">
        <f>SUMIFS($E$2:E52,$A$2:A52,A52)</f>
        <v>1895580919.7546315</v>
      </c>
      <c r="H52" s="21">
        <f>SUMIFS($F$2:F52,$A$2:A52,A52)</f>
        <v>1176585990.950294</v>
      </c>
    </row>
    <row r="53" spans="1:8">
      <c r="A53" t="s">
        <v>183</v>
      </c>
      <c r="B53" s="18">
        <v>2050</v>
      </c>
      <c r="C53" s="21">
        <f>SUMIFS(Annual_Cost!$Q$2:$Q$1353,Annual_Cost!$A$2:$A$1353,A53,Annual_Cost!$B$2:$B$1353,B53)</f>
        <v>106431028.40462615</v>
      </c>
      <c r="D53" s="21">
        <f>SUMIFS(Annual_Cost!$R$2:$R$1353,Annual_Cost!$A$2:$A$1353,A53,Annual_Cost!$B$2:$B$1353,B53)</f>
        <v>280548448.28327656</v>
      </c>
      <c r="E53" s="21">
        <f>SUMIFS(Annual_Cost!$S$2:$S$1353,Annual_Cost!$A$2:$A$1353,A53,Annual_Cost!$B$2:$B$1353,B53)</f>
        <v>174117419.87865046</v>
      </c>
      <c r="F53" s="21">
        <f>SUMIFS(Annual_Cost!$Y$2:$Y$1353,Annual_Cost!$A$2:$A$1353,A53,Annual_Cost!$B$2:$B$1353,B53)</f>
        <v>83159449.439514264</v>
      </c>
      <c r="G53" s="21">
        <f>SUMIFS($E$2:E53,$A$2:A53,A53)</f>
        <v>2069698339.6332819</v>
      </c>
      <c r="H53" s="21">
        <f>SUMIFS($F$2:F53,$A$2:A53,A53)</f>
        <v>1259745440.3898082</v>
      </c>
    </row>
    <row r="54" spans="1:8">
      <c r="A54" t="s">
        <v>197</v>
      </c>
      <c r="B54" s="18">
        <v>2025</v>
      </c>
      <c r="C54" s="21">
        <f>SUMIFS(Annual_Cost!$Q$2:$Q$1353,Annual_Cost!$A$2:$A$1353,A54,Annual_Cost!$B$2:$B$1353,B54)</f>
        <v>38010269.831783548</v>
      </c>
      <c r="D54" s="21">
        <f>SUMIFS(Annual_Cost!$R$2:$R$1353,Annual_Cost!$A$2:$A$1353,A54,Annual_Cost!$B$2:$B$1353,B54)</f>
        <v>40336670.204270795</v>
      </c>
      <c r="E54" s="21">
        <f>SUMIFS(Annual_Cost!$S$2:$S$1353,Annual_Cost!$A$2:$A$1353,A54,Annual_Cost!$B$2:$B$1353,B54)</f>
        <v>2326400.3724872414</v>
      </c>
      <c r="F54" s="21">
        <f>SUMIFS(Annual_Cost!$Y$2:$Y$1353,Annual_Cost!$A$2:$A$1353,A54,Annual_Cost!$B$2:$B$1353,B54)</f>
        <v>2326400.3724872414</v>
      </c>
      <c r="G54" s="21">
        <f>SUMIFS($E$2:E54,$A$2:A54,A54)</f>
        <v>2326400.3724872414</v>
      </c>
      <c r="H54" s="21">
        <f>SUMIFS($F$2:F54,$A$2:A54,A54)</f>
        <v>2326400.3724872414</v>
      </c>
    </row>
    <row r="55" spans="1:8">
      <c r="A55" t="s">
        <v>197</v>
      </c>
      <c r="B55" s="18">
        <v>2026</v>
      </c>
      <c r="C55" s="21">
        <f>SUMIFS(Annual_Cost!$Q$2:$Q$1353,Annual_Cost!$A$2:$A$1353,A55,Annual_Cost!$B$2:$B$1353,B55)</f>
        <v>39047468.08911404</v>
      </c>
      <c r="D55" s="21">
        <f>SUMIFS(Annual_Cost!$R$2:$R$1353,Annual_Cost!$A$2:$A$1353,A55,Annual_Cost!$B$2:$B$1353,B55)</f>
        <v>43842007.932522729</v>
      </c>
      <c r="E55" s="21">
        <f>SUMIFS(Annual_Cost!$S$2:$S$1353,Annual_Cost!$A$2:$A$1353,A55,Annual_Cost!$B$2:$B$1353,B55)</f>
        <v>4794539.8434086917</v>
      </c>
      <c r="F55" s="21">
        <f>SUMIFS(Annual_Cost!$Y$2:$Y$1353,Annual_Cost!$A$2:$A$1353,A55,Annual_Cost!$B$2:$B$1353,B55)</f>
        <v>4654893.051853098</v>
      </c>
      <c r="G55" s="21">
        <f>SUMIFS($E$2:E55,$A$2:A55,A55)</f>
        <v>7120940.2158959331</v>
      </c>
      <c r="H55" s="21">
        <f>SUMIFS($F$2:F55,$A$2:A55,A55)</f>
        <v>6981293.4243403394</v>
      </c>
    </row>
    <row r="56" spans="1:8">
      <c r="A56" t="s">
        <v>197</v>
      </c>
      <c r="B56" s="18">
        <v>2027</v>
      </c>
      <c r="C56" s="21">
        <f>SUMIFS(Annual_Cost!$Q$2:$Q$1353,Annual_Cost!$A$2:$A$1353,A56,Annual_Cost!$B$2:$B$1353,B56)</f>
        <v>40113460.543095939</v>
      </c>
      <c r="D56" s="21">
        <f>SUMIFS(Annual_Cost!$R$2:$R$1353,Annual_Cost!$A$2:$A$1353,A56,Annual_Cost!$B$2:$B$1353,B56)</f>
        <v>47523372.68022912</v>
      </c>
      <c r="E56" s="21">
        <f>SUMIFS(Annual_Cost!$S$2:$S$1353,Annual_Cost!$A$2:$A$1353,A56,Annual_Cost!$B$2:$B$1353,B56)</f>
        <v>7409912.1371331792</v>
      </c>
      <c r="F56" s="21">
        <f>SUMIFS(Annual_Cost!$Y$2:$Y$1353,Annual_Cost!$A$2:$A$1353,A56,Annual_Cost!$B$2:$B$1353,B56)</f>
        <v>6984552.8675022908</v>
      </c>
      <c r="G56" s="21">
        <f>SUMIFS($E$2:E56,$A$2:A56,A56)</f>
        <v>14530852.353029113</v>
      </c>
      <c r="H56" s="21">
        <f>SUMIFS($F$2:F56,$A$2:A56,A56)</f>
        <v>13965846.29184263</v>
      </c>
    </row>
    <row r="57" spans="1:8">
      <c r="A57" t="s">
        <v>197</v>
      </c>
      <c r="B57" s="18">
        <v>2028</v>
      </c>
      <c r="C57" s="21">
        <f>SUMIFS(Annual_Cost!$Q$2:$Q$1353,Annual_Cost!$A$2:$A$1353,A57,Annual_Cost!$B$2:$B$1353,B57)</f>
        <v>41199812.667898573</v>
      </c>
      <c r="D57" s="21">
        <f>SUMIFS(Annual_Cost!$R$2:$R$1353,Annual_Cost!$A$2:$A$1353,A57,Annual_Cost!$B$2:$B$1353,B57)</f>
        <v>51375941.822355419</v>
      </c>
      <c r="E57" s="21">
        <f>SUMIFS(Annual_Cost!$S$2:$S$1353,Annual_Cost!$A$2:$A$1353,A57,Annual_Cost!$B$2:$B$1353,B57)</f>
        <v>10176129.154456841</v>
      </c>
      <c r="F57" s="21">
        <f>SUMIFS(Annual_Cost!$Y$2:$Y$1353,Annual_Cost!$A$2:$A$1353,A57,Annual_Cost!$B$2:$B$1353,B57)</f>
        <v>9312599.7202016991</v>
      </c>
      <c r="G57" s="21">
        <f>SUMIFS($E$2:E57,$A$2:A57,A57)</f>
        <v>24706981.507485956</v>
      </c>
      <c r="H57" s="21">
        <f>SUMIFS($F$2:F57,$A$2:A57,A57)</f>
        <v>23278446.012044329</v>
      </c>
    </row>
    <row r="58" spans="1:8">
      <c r="A58" t="s">
        <v>197</v>
      </c>
      <c r="B58" s="18">
        <v>2029</v>
      </c>
      <c r="C58" s="21">
        <f>SUMIFS(Annual_Cost!$Q$2:$Q$1353,Annual_Cost!$A$2:$A$1353,A58,Annual_Cost!$B$2:$B$1353,B58)</f>
        <v>42298473.109675892</v>
      </c>
      <c r="D58" s="21">
        <f>SUMIFS(Annual_Cost!$R$2:$R$1353,Annual_Cost!$A$2:$A$1353,A58,Annual_Cost!$B$2:$B$1353,B58)</f>
        <v>55393525.426823176</v>
      </c>
      <c r="E58" s="21">
        <f>SUMIFS(Annual_Cost!$S$2:$S$1353,Annual_Cost!$A$2:$A$1353,A58,Annual_Cost!$B$2:$B$1353,B58)</f>
        <v>13095052.31714729</v>
      </c>
      <c r="F58" s="21">
        <f>SUMIFS(Annual_Cost!$Y$2:$Y$1353,Annual_Cost!$A$2:$A$1353,A58,Annual_Cost!$B$2:$B$1353,B58)</f>
        <v>11634784.375563698</v>
      </c>
      <c r="G58" s="21">
        <f>SUMIFS($E$2:E58,$A$2:A58,A58)</f>
        <v>37802033.824633248</v>
      </c>
      <c r="H58" s="21">
        <f>SUMIFS($F$2:F58,$A$2:A58,A58)</f>
        <v>34913230.387608029</v>
      </c>
    </row>
    <row r="59" spans="1:8">
      <c r="A59" t="s">
        <v>197</v>
      </c>
      <c r="B59" s="18">
        <v>2030</v>
      </c>
      <c r="C59" s="21">
        <f>SUMIFS(Annual_Cost!$Q$2:$Q$1353,Annual_Cost!$A$2:$A$1353,A59,Annual_Cost!$B$2:$B$1353,B59)</f>
        <v>43403186.116455749</v>
      </c>
      <c r="D59" s="21">
        <f>SUMIFS(Annual_Cost!$R$2:$R$1353,Annual_Cost!$A$2:$A$1353,A59,Annual_Cost!$B$2:$B$1353,B59)</f>
        <v>59570605.36464826</v>
      </c>
      <c r="E59" s="21">
        <f>SUMIFS(Annual_Cost!$S$2:$S$1353,Annual_Cost!$A$2:$A$1353,A59,Annual_Cost!$B$2:$B$1353,B59)</f>
        <v>16167419.24819251</v>
      </c>
      <c r="F59" s="21">
        <f>SUMIFS(Annual_Cost!$Y$2:$Y$1353,Annual_Cost!$A$2:$A$1353,A59,Annual_Cost!$B$2:$B$1353,B59)</f>
        <v>13946157.864312477</v>
      </c>
      <c r="G59" s="21">
        <f>SUMIFS($E$2:E59,$A$2:A59,A59)</f>
        <v>53969453.07282576</v>
      </c>
      <c r="H59" s="21">
        <f>SUMIFS($F$2:F59,$A$2:A59,A59)</f>
        <v>48859388.251920506</v>
      </c>
    </row>
    <row r="60" spans="1:8">
      <c r="A60" t="s">
        <v>197</v>
      </c>
      <c r="B60" s="18">
        <v>2031</v>
      </c>
      <c r="C60" s="21">
        <f>SUMIFS(Annual_Cost!$Q$2:$Q$1353,Annual_Cost!$A$2:$A$1353,A60,Annual_Cost!$B$2:$B$1353,B60)</f>
        <v>44510666.576440796</v>
      </c>
      <c r="D60" s="21">
        <f>SUMIFS(Annual_Cost!$R$2:$R$1353,Annual_Cost!$A$2:$A$1353,A60,Annual_Cost!$B$2:$B$1353,B60)</f>
        <v>63904470.197833903</v>
      </c>
      <c r="E60" s="21">
        <f>SUMIFS(Annual_Cost!$S$2:$S$1353,Annual_Cost!$A$2:$A$1353,A60,Annual_Cost!$B$2:$B$1353,B60)</f>
        <v>19393803.621393111</v>
      </c>
      <c r="F60" s="21">
        <f>SUMIFS(Annual_Cost!$Y$2:$Y$1353,Annual_Cost!$A$2:$A$1353,A60,Annual_Cost!$B$2:$B$1353,B60)</f>
        <v>16242005.210131174</v>
      </c>
      <c r="G60" s="21">
        <f>SUMIFS($E$2:E60,$A$2:A60,A60)</f>
        <v>73363256.694218874</v>
      </c>
      <c r="H60" s="21">
        <f>SUMIFS($F$2:F60,$A$2:A60,A60)</f>
        <v>65101393.462051682</v>
      </c>
    </row>
    <row r="61" spans="1:8">
      <c r="A61" t="s">
        <v>197</v>
      </c>
      <c r="B61" s="18">
        <v>2032</v>
      </c>
      <c r="C61" s="21">
        <f>SUMIFS(Annual_Cost!$Q$2:$Q$1353,Annual_Cost!$A$2:$A$1353,A61,Annual_Cost!$B$2:$B$1353,B61)</f>
        <v>45617945.514357775</v>
      </c>
      <c r="D61" s="21">
        <f>SUMIFS(Annual_Cost!$R$2:$R$1353,Annual_Cost!$A$2:$A$1353,A61,Annual_Cost!$B$2:$B$1353,B61)</f>
        <v>68392037.533139035</v>
      </c>
      <c r="E61" s="21">
        <f>SUMIFS(Annual_Cost!$S$2:$S$1353,Annual_Cost!$A$2:$A$1353,A61,Annual_Cost!$B$2:$B$1353,B61)</f>
        <v>22774092.018781256</v>
      </c>
      <c r="F61" s="21">
        <f>SUMIFS(Annual_Cost!$Y$2:$Y$1353,Annual_Cost!$A$2:$A$1353,A61,Annual_Cost!$B$2:$B$1353,B61)</f>
        <v>18517420.899023462</v>
      </c>
      <c r="G61" s="21">
        <f>SUMIFS($E$2:E61,$A$2:A61,A61)</f>
        <v>96137348.713000134</v>
      </c>
      <c r="H61" s="21">
        <f>SUMIFS($F$2:F61,$A$2:A61,A61)</f>
        <v>83618814.361075148</v>
      </c>
    </row>
    <row r="62" spans="1:8">
      <c r="A62" t="s">
        <v>197</v>
      </c>
      <c r="B62" s="18">
        <v>2033</v>
      </c>
      <c r="C62" s="21">
        <f>SUMIFS(Annual_Cost!$Q$2:$Q$1353,Annual_Cost!$A$2:$A$1353,A62,Annual_Cost!$B$2:$B$1353,B62)</f>
        <v>46722152.508085415</v>
      </c>
      <c r="D62" s="21">
        <f>SUMIFS(Annual_Cost!$R$2:$R$1353,Annual_Cost!$A$2:$A$1353,A62,Annual_Cost!$B$2:$B$1353,B62)</f>
        <v>73029525.970873848</v>
      </c>
      <c r="E62" s="21">
        <f>SUMIFS(Annual_Cost!$S$2:$S$1353,Annual_Cost!$A$2:$A$1353,A62,Annual_Cost!$B$2:$B$1353,B62)</f>
        <v>26307373.462788418</v>
      </c>
      <c r="F62" s="21">
        <f>SUMIFS(Annual_Cost!$Y$2:$Y$1353,Annual_Cost!$A$2:$A$1353,A62,Annual_Cost!$B$2:$B$1353,B62)</f>
        <v>20767283.54207056</v>
      </c>
      <c r="G62" s="21">
        <f>SUMIFS($E$2:E62,$A$2:A62,A62)</f>
        <v>122444722.17578855</v>
      </c>
      <c r="H62" s="21">
        <f>SUMIFS($F$2:F62,$A$2:A62,A62)</f>
        <v>104386097.9031457</v>
      </c>
    </row>
    <row r="63" spans="1:8">
      <c r="A63" t="s">
        <v>197</v>
      </c>
      <c r="B63" s="18">
        <v>2034</v>
      </c>
      <c r="C63" s="21">
        <f>SUMIFS(Annual_Cost!$Q$2:$Q$1353,Annual_Cost!$A$2:$A$1353,A63,Annual_Cost!$B$2:$B$1353,B63)</f>
        <v>47820753.6647368</v>
      </c>
      <c r="D63" s="21">
        <f>SUMIFS(Annual_Cost!$R$2:$R$1353,Annual_Cost!$A$2:$A$1353,A63,Annual_Cost!$B$2:$B$1353,B63)</f>
        <v>77812985.701826766</v>
      </c>
      <c r="E63" s="21">
        <f>SUMIFS(Annual_Cost!$S$2:$S$1353,Annual_Cost!$A$2:$A$1353,A63,Annual_Cost!$B$2:$B$1353,B63)</f>
        <v>29992232.037089966</v>
      </c>
      <c r="F63" s="21">
        <f>SUMIFS(Annual_Cost!$Y$2:$Y$1353,Annual_Cost!$A$2:$A$1353,A63,Annual_Cost!$B$2:$B$1353,B63)</f>
        <v>22986548.473558336</v>
      </c>
      <c r="G63" s="21">
        <f>SUMIFS($E$2:E63,$A$2:A63,A63)</f>
        <v>152436954.21287853</v>
      </c>
      <c r="H63" s="21">
        <f>SUMIFS($F$2:F63,$A$2:A63,A63)</f>
        <v>127372646.37670404</v>
      </c>
    </row>
    <row r="64" spans="1:8">
      <c r="A64" t="s">
        <v>197</v>
      </c>
      <c r="B64" s="18">
        <v>2035</v>
      </c>
      <c r="C64" s="21">
        <f>SUMIFS(Annual_Cost!$Q$2:$Q$1353,Annual_Cost!$A$2:$A$1353,A64,Annual_Cost!$B$2:$B$1353,B64)</f>
        <v>48911695.301588289</v>
      </c>
      <c r="D64" s="21">
        <f>SUMIFS(Annual_Cost!$R$2:$R$1353,Annual_Cost!$A$2:$A$1353,A64,Annual_Cost!$B$2:$B$1353,B64)</f>
        <v>82738622.492801502</v>
      </c>
      <c r="E64" s="21">
        <f>SUMIFS(Annual_Cost!$S$2:$S$1353,Annual_Cost!$A$2:$A$1353,A64,Annual_Cost!$B$2:$B$1353,B64)</f>
        <v>33826927.19121322</v>
      </c>
      <c r="F64" s="21">
        <f>SUMIFS(Annual_Cost!$Y$2:$Y$1353,Annual_Cost!$A$2:$A$1353,A64,Annual_Cost!$B$2:$B$1353,B64)</f>
        <v>25170410.682636328</v>
      </c>
      <c r="G64" s="21">
        <f>SUMIFS($E$2:E64,$A$2:A64,A64)</f>
        <v>186263881.40409175</v>
      </c>
      <c r="H64" s="21">
        <f>SUMIFS($F$2:F64,$A$2:A64,A64)</f>
        <v>152543057.05934036</v>
      </c>
    </row>
    <row r="65" spans="1:8">
      <c r="A65" t="s">
        <v>197</v>
      </c>
      <c r="B65" s="18">
        <v>2036</v>
      </c>
      <c r="C65" s="21">
        <f>SUMIFS(Annual_Cost!$Q$2:$Q$1353,Annual_Cost!$A$2:$A$1353,A65,Annual_Cost!$B$2:$B$1353,B65)</f>
        <v>49994963.606261902</v>
      </c>
      <c r="D65" s="21">
        <f>SUMIFS(Annual_Cost!$R$2:$R$1353,Annual_Cost!$A$2:$A$1353,A65,Annual_Cost!$B$2:$B$1353,B65)</f>
        <v>87805627.538282275</v>
      </c>
      <c r="E65" s="21">
        <f>SUMIFS(Annual_Cost!$S$2:$S$1353,Annual_Cost!$A$2:$A$1353,A65,Annual_Cost!$B$2:$B$1353,B65)</f>
        <v>37810663.932020381</v>
      </c>
      <c r="F65" s="21">
        <f>SUMIFS(Annual_Cost!$Y$2:$Y$1353,Annual_Cost!$A$2:$A$1353,A65,Annual_Cost!$B$2:$B$1353,B65)</f>
        <v>27315228.10681694</v>
      </c>
      <c r="G65" s="21">
        <f>SUMIFS($E$2:E65,$A$2:A65,A65)</f>
        <v>224074545.33611214</v>
      </c>
      <c r="H65" s="21">
        <f>SUMIFS($F$2:F65,$A$2:A65,A65)</f>
        <v>179858285.16615731</v>
      </c>
    </row>
    <row r="66" spans="1:8">
      <c r="A66" t="s">
        <v>197</v>
      </c>
      <c r="B66" s="18">
        <v>2037</v>
      </c>
      <c r="C66" s="21">
        <f>SUMIFS(Annual_Cost!$Q$2:$Q$1353,Annual_Cost!$A$2:$A$1353,A66,Annual_Cost!$B$2:$B$1353,B66)</f>
        <v>51071167.522371329</v>
      </c>
      <c r="D66" s="21">
        <f>SUMIFS(Annual_Cost!$R$2:$R$1353,Annual_Cost!$A$2:$A$1353,A66,Annual_Cost!$B$2:$B$1353,B66)</f>
        <v>93014255.069382757</v>
      </c>
      <c r="E66" s="21">
        <f>SUMIFS(Annual_Cost!$S$2:$S$1353,Annual_Cost!$A$2:$A$1353,A66,Annual_Cost!$B$2:$B$1353,B66)</f>
        <v>41943087.547011435</v>
      </c>
      <c r="F66" s="21">
        <f>SUMIFS(Annual_Cost!$Y$2:$Y$1353,Annual_Cost!$A$2:$A$1353,A66,Annual_Cost!$B$2:$B$1353,B66)</f>
        <v>29418037.718646273</v>
      </c>
      <c r="G66" s="21">
        <f>SUMIFS($E$2:E66,$A$2:A66,A66)</f>
        <v>266017632.88312358</v>
      </c>
      <c r="H66" s="21">
        <f>SUMIFS($F$2:F66,$A$2:A66,A66)</f>
        <v>209276322.88480359</v>
      </c>
    </row>
    <row r="67" spans="1:8">
      <c r="A67" t="s">
        <v>197</v>
      </c>
      <c r="B67" s="18">
        <v>2038</v>
      </c>
      <c r="C67" s="21">
        <f>SUMIFS(Annual_Cost!$Q$2:$Q$1353,Annual_Cost!$A$2:$A$1353,A67,Annual_Cost!$B$2:$B$1353,B67)</f>
        <v>52139878.09032692</v>
      </c>
      <c r="D67" s="21">
        <f>SUMIFS(Annual_Cost!$R$2:$R$1353,Annual_Cost!$A$2:$A$1353,A67,Annual_Cost!$B$2:$B$1353,B67)</f>
        <v>98362941.37549603</v>
      </c>
      <c r="E67" s="21">
        <f>SUMIFS(Annual_Cost!$S$2:$S$1353,Annual_Cost!$A$2:$A$1353,A67,Annual_Cost!$B$2:$B$1353,B67)</f>
        <v>46223063.285169095</v>
      </c>
      <c r="F67" s="21">
        <f>SUMIFS(Annual_Cost!$Y$2:$Y$1353,Annual_Cost!$A$2:$A$1353,A67,Annual_Cost!$B$2:$B$1353,B67)</f>
        <v>31475656.88262536</v>
      </c>
      <c r="G67" s="21">
        <f>SUMIFS($E$2:E67,$A$2:A67,A67)</f>
        <v>312240696.16829264</v>
      </c>
      <c r="H67" s="21">
        <f>SUMIFS($F$2:F67,$A$2:A67,A67)</f>
        <v>240751979.76742896</v>
      </c>
    </row>
    <row r="68" spans="1:8">
      <c r="A68" t="s">
        <v>197</v>
      </c>
      <c r="B68" s="18">
        <v>2039</v>
      </c>
      <c r="C68" s="21">
        <f>SUMIFS(Annual_Cost!$Q$2:$Q$1353,Annual_Cost!$A$2:$A$1353,A68,Annual_Cost!$B$2:$B$1353,B68)</f>
        <v>53200028.280300274</v>
      </c>
      <c r="D68" s="21">
        <f>SUMIFS(Annual_Cost!$R$2:$R$1353,Annual_Cost!$A$2:$A$1353,A68,Annual_Cost!$B$2:$B$1353,B68)</f>
        <v>103848818.01161712</v>
      </c>
      <c r="E68" s="21">
        <f>SUMIFS(Annual_Cost!$S$2:$S$1353,Annual_Cost!$A$2:$A$1353,A68,Annual_Cost!$B$2:$B$1353,B68)</f>
        <v>50648789.73131685</v>
      </c>
      <c r="F68" s="21">
        <f>SUMIFS(Annual_Cost!$Y$2:$Y$1353,Annual_Cost!$A$2:$A$1353,A68,Annual_Cost!$B$2:$B$1353,B68)</f>
        <v>33484816.734536808</v>
      </c>
      <c r="G68" s="21">
        <f>SUMIFS($E$2:E68,$A$2:A68,A68)</f>
        <v>362889485.89960951</v>
      </c>
      <c r="H68" s="21">
        <f>SUMIFS($F$2:F68,$A$2:A68,A68)</f>
        <v>274236796.50196576</v>
      </c>
    </row>
    <row r="69" spans="1:8">
      <c r="A69" t="s">
        <v>197</v>
      </c>
      <c r="B69" s="18">
        <v>2040</v>
      </c>
      <c r="C69" s="21">
        <f>SUMIFS(Annual_Cost!$Q$2:$Q$1353,Annual_Cost!$A$2:$A$1353,A69,Annual_Cost!$B$2:$B$1353,B69)</f>
        <v>54251334.794248804</v>
      </c>
      <c r="D69" s="21">
        <f>SUMIFS(Annual_Cost!$R$2:$R$1353,Annual_Cost!$A$2:$A$1353,A69,Annual_Cost!$B$2:$B$1353,B69)</f>
        <v>109470182.94589356</v>
      </c>
      <c r="E69" s="21">
        <f>SUMIFS(Annual_Cost!$S$2:$S$1353,Annual_Cost!$A$2:$A$1353,A69,Annual_Cost!$B$2:$B$1353,B69)</f>
        <v>55218848.151644774</v>
      </c>
      <c r="F69" s="21">
        <f>SUMIFS(Annual_Cost!$Y$2:$Y$1353,Annual_Cost!$A$2:$A$1353,A69,Annual_Cost!$B$2:$B$1353,B69)</f>
        <v>35442877.407618351</v>
      </c>
      <c r="G69" s="21">
        <f>SUMIFS($E$2:E69,$A$2:A69,A69)</f>
        <v>418108334.05125427</v>
      </c>
      <c r="H69" s="21">
        <f>SUMIFS($F$2:F69,$A$2:A69,A69)</f>
        <v>309679673.90958411</v>
      </c>
    </row>
    <row r="70" spans="1:8">
      <c r="A70" t="s">
        <v>197</v>
      </c>
      <c r="B70" s="18">
        <v>2041</v>
      </c>
      <c r="C70" s="21">
        <f>SUMIFS(Annual_Cost!$Q$2:$Q$1353,Annual_Cost!$A$2:$A$1353,A70,Annual_Cost!$B$2:$B$1353,B70)</f>
        <v>55293943.547964111</v>
      </c>
      <c r="D70" s="21">
        <f>SUMIFS(Annual_Cost!$R$2:$R$1353,Annual_Cost!$A$2:$A$1353,A70,Annual_Cost!$B$2:$B$1353,B70)</f>
        <v>115226070.56848836</v>
      </c>
      <c r="E70" s="21">
        <f>SUMIFS(Annual_Cost!$S$2:$S$1353,Annual_Cost!$A$2:$A$1353,A70,Annual_Cost!$B$2:$B$1353,B70)</f>
        <v>59932127.020524248</v>
      </c>
      <c r="F70" s="21">
        <f>SUMIFS(Annual_Cost!$Y$2:$Y$1353,Annual_Cost!$A$2:$A$1353,A70,Annual_Cost!$B$2:$B$1353,B70)</f>
        <v>37347720.156331211</v>
      </c>
      <c r="G70" s="21">
        <f>SUMIFS($E$2:E70,$A$2:A70,A70)</f>
        <v>478040461.07177854</v>
      </c>
      <c r="H70" s="21">
        <f>SUMIFS($F$2:F70,$A$2:A70,A70)</f>
        <v>347027394.06591535</v>
      </c>
    </row>
    <row r="71" spans="1:8">
      <c r="A71" t="s">
        <v>197</v>
      </c>
      <c r="B71" s="18">
        <v>2042</v>
      </c>
      <c r="C71" s="21">
        <f>SUMIFS(Annual_Cost!$Q$2:$Q$1353,Annual_Cost!$A$2:$A$1353,A71,Annual_Cost!$B$2:$B$1353,B71)</f>
        <v>56326668.125526443</v>
      </c>
      <c r="D71" s="21">
        <f>SUMIFS(Annual_Cost!$R$2:$R$1353,Annual_Cost!$A$2:$A$1353,A71,Annual_Cost!$B$2:$B$1353,B71)</f>
        <v>121112798.09208518</v>
      </c>
      <c r="E71" s="21">
        <f>SUMIFS(Annual_Cost!$S$2:$S$1353,Annual_Cost!$A$2:$A$1353,A71,Annual_Cost!$B$2:$B$1353,B71)</f>
        <v>64786129.966558732</v>
      </c>
      <c r="F71" s="21">
        <f>SUMIFS(Annual_Cost!$Y$2:$Y$1353,Annual_Cost!$A$2:$A$1353,A71,Annual_Cost!$B$2:$B$1353,B71)</f>
        <v>39196674.09240479</v>
      </c>
      <c r="G71" s="21">
        <f>SUMIFS($E$2:E71,$A$2:A71,A71)</f>
        <v>542826591.03833723</v>
      </c>
      <c r="H71" s="21">
        <f>SUMIFS($F$2:F71,$A$2:A71,A71)</f>
        <v>386224068.15832013</v>
      </c>
    </row>
    <row r="72" spans="1:8">
      <c r="A72" t="s">
        <v>197</v>
      </c>
      <c r="B72" s="18">
        <v>2043</v>
      </c>
      <c r="C72" s="21">
        <f>SUMIFS(Annual_Cost!$Q$2:$Q$1353,Annual_Cost!$A$2:$A$1353,A72,Annual_Cost!$B$2:$B$1353,B72)</f>
        <v>57346444.993956536</v>
      </c>
      <c r="D72" s="21">
        <f>SUMIFS(Annual_Cost!$R$2:$R$1353,Annual_Cost!$A$2:$A$1353,A72,Annual_Cost!$B$2:$B$1353,B72)</f>
        <v>127122346.46157511</v>
      </c>
      <c r="E72" s="21">
        <f>SUMIFS(Annual_Cost!$S$2:$S$1353,Annual_Cost!$A$2:$A$1353,A72,Annual_Cost!$B$2:$B$1353,B72)</f>
        <v>69775901.46761857</v>
      </c>
      <c r="F72" s="21">
        <f>SUMIFS(Annual_Cost!$Y$2:$Y$1353,Annual_Cost!$A$2:$A$1353,A72,Annual_Cost!$B$2:$B$1353,B72)</f>
        <v>40985988.263644211</v>
      </c>
      <c r="G72" s="21">
        <f>SUMIFS($E$2:E72,$A$2:A72,A72)</f>
        <v>612602492.50595582</v>
      </c>
      <c r="H72" s="21">
        <f>SUMIFS($F$2:F72,$A$2:A72,A72)</f>
        <v>427210056.42196435</v>
      </c>
    </row>
    <row r="73" spans="1:8">
      <c r="A73" t="s">
        <v>197</v>
      </c>
      <c r="B73" s="18">
        <v>2044</v>
      </c>
      <c r="C73" s="21">
        <f>SUMIFS(Annual_Cost!$Q$2:$Q$1353,Annual_Cost!$A$2:$A$1353,A73,Annual_Cost!$B$2:$B$1353,B73)</f>
        <v>58350736.26765281</v>
      </c>
      <c r="D73" s="21">
        <f>SUMIFS(Annual_Cost!$R$2:$R$1353,Annual_Cost!$A$2:$A$1353,A73,Annual_Cost!$B$2:$B$1353,B73)</f>
        <v>133247034.64990813</v>
      </c>
      <c r="E73" s="21">
        <f>SUMIFS(Annual_Cost!$S$2:$S$1353,Annual_Cost!$A$2:$A$1353,A73,Annual_Cost!$B$2:$B$1353,B73)</f>
        <v>74896298.382255316</v>
      </c>
      <c r="F73" s="21">
        <f>SUMIFS(Annual_Cost!$Y$2:$Y$1353,Annual_Cost!$A$2:$A$1353,A73,Annual_Cost!$B$2:$B$1353,B73)</f>
        <v>42712312.427336782</v>
      </c>
      <c r="G73" s="21">
        <f>SUMIFS($E$2:E73,$A$2:A73,A73)</f>
        <v>687498790.88821113</v>
      </c>
      <c r="H73" s="21">
        <f>SUMIFS($F$2:F73,$A$2:A73,A73)</f>
        <v>469922368.8493011</v>
      </c>
    </row>
    <row r="74" spans="1:8">
      <c r="A74" t="s">
        <v>197</v>
      </c>
      <c r="B74" s="18">
        <v>2045</v>
      </c>
      <c r="C74" s="21">
        <f>SUMIFS(Annual_Cost!$Q$2:$Q$1353,Annual_Cost!$A$2:$A$1353,A74,Annual_Cost!$B$2:$B$1353,B74)</f>
        <v>59336473.736712515</v>
      </c>
      <c r="D74" s="21">
        <f>SUMIFS(Annual_Cost!$R$2:$R$1353,Annual_Cost!$A$2:$A$1353,A74,Annual_Cost!$B$2:$B$1353,B74)</f>
        <v>139477288.54061723</v>
      </c>
      <c r="E74" s="21">
        <f>SUMIFS(Annual_Cost!$S$2:$S$1353,Annual_Cost!$A$2:$A$1353,A74,Annual_Cost!$B$2:$B$1353,B74)</f>
        <v>80140814.803904727</v>
      </c>
      <c r="F74" s="21">
        <f>SUMIFS(Annual_Cost!$Y$2:$Y$1353,Annual_Cost!$A$2:$A$1353,A74,Annual_Cost!$B$2:$B$1353,B74)</f>
        <v>44372026.077659354</v>
      </c>
      <c r="G74" s="21">
        <f>SUMIFS($E$2:E74,$A$2:A74,A74)</f>
        <v>767639605.6921159</v>
      </c>
      <c r="H74" s="21">
        <f>SUMIFS($F$2:F74,$A$2:A74,A74)</f>
        <v>514294394.92696047</v>
      </c>
    </row>
    <row r="75" spans="1:8">
      <c r="A75" t="s">
        <v>197</v>
      </c>
      <c r="B75" s="18">
        <v>2046</v>
      </c>
      <c r="C75" s="21">
        <f>SUMIFS(Annual_Cost!$Q$2:$Q$1353,Annual_Cost!$A$2:$A$1353,A75,Annual_Cost!$B$2:$B$1353,B75)</f>
        <v>60299676.312702984</v>
      </c>
      <c r="D75" s="21">
        <f>SUMIFS(Annual_Cost!$R$2:$R$1353,Annual_Cost!$A$2:$A$1353,A75,Annual_Cost!$B$2:$B$1353,B75)</f>
        <v>145800399.00596425</v>
      </c>
      <c r="E75" s="21">
        <f>SUMIFS(Annual_Cost!$S$2:$S$1353,Annual_Cost!$A$2:$A$1353,A75,Annual_Cost!$B$2:$B$1353,B75)</f>
        <v>85500722.693261266</v>
      </c>
      <c r="F75" s="21">
        <f>SUMIFS(Annual_Cost!$Y$2:$Y$1353,Annual_Cost!$A$2:$A$1353,A75,Annual_Cost!$B$2:$B$1353,B75)</f>
        <v>45960851.573464185</v>
      </c>
      <c r="G75" s="21">
        <f>SUMIFS($E$2:E75,$A$2:A75,A75)</f>
        <v>853140328.38537717</v>
      </c>
      <c r="H75" s="21">
        <f>SUMIFS($F$2:F75,$A$2:A75,A75)</f>
        <v>560255246.50042462</v>
      </c>
    </row>
    <row r="76" spans="1:8">
      <c r="A76" t="s">
        <v>197</v>
      </c>
      <c r="B76" s="18">
        <v>2047</v>
      </c>
      <c r="C76" s="21">
        <f>SUMIFS(Annual_Cost!$Q$2:$Q$1353,Annual_Cost!$A$2:$A$1353,A76,Annual_Cost!$B$2:$B$1353,B76)</f>
        <v>61233813.356973812</v>
      </c>
      <c r="D76" s="21">
        <f>SUMIFS(Annual_Cost!$R$2:$R$1353,Annual_Cost!$A$2:$A$1353,A76,Annual_Cost!$B$2:$B$1353,B76)</f>
        <v>152196288.14157522</v>
      </c>
      <c r="E76" s="21">
        <f>SUMIFS(Annual_Cost!$S$2:$S$1353,Annual_Cost!$A$2:$A$1353,A76,Annual_Cost!$B$2:$B$1353,B76)</f>
        <v>90962474.784601405</v>
      </c>
      <c r="F76" s="21">
        <f>SUMIFS(Annual_Cost!$Y$2:$Y$1353,Annual_Cost!$A$2:$A$1353,A76,Annual_Cost!$B$2:$B$1353,B76)</f>
        <v>47472633.45180475</v>
      </c>
      <c r="G76" s="21">
        <f>SUMIFS($E$2:E76,$A$2:A76,A76)</f>
        <v>944102803.16997862</v>
      </c>
      <c r="H76" s="21">
        <f>SUMIFS($F$2:F76,$A$2:A76,A76)</f>
        <v>607727879.95222938</v>
      </c>
    </row>
    <row r="77" spans="1:8">
      <c r="A77" t="s">
        <v>197</v>
      </c>
      <c r="B77" s="18">
        <v>2048</v>
      </c>
      <c r="C77" s="21">
        <f>SUMIFS(Annual_Cost!$Q$2:$Q$1353,Annual_Cost!$A$2:$A$1353,A77,Annual_Cost!$B$2:$B$1353,B77)</f>
        <v>62137936.535000332</v>
      </c>
      <c r="D77" s="21">
        <f>SUMIFS(Annual_Cost!$R$2:$R$1353,Annual_Cost!$A$2:$A$1353,A77,Annual_Cost!$B$2:$B$1353,B77)</f>
        <v>158656745.27118066</v>
      </c>
      <c r="E77" s="21">
        <f>SUMIFS(Annual_Cost!$S$2:$S$1353,Annual_Cost!$A$2:$A$1353,A77,Annual_Cost!$B$2:$B$1353,B77)</f>
        <v>96518808.736180335</v>
      </c>
      <c r="F77" s="21">
        <f>SUMIFS(Annual_Cost!$Y$2:$Y$1353,Annual_Cost!$A$2:$A$1353,A77,Annual_Cost!$B$2:$B$1353,B77)</f>
        <v>48905283.954886504</v>
      </c>
      <c r="G77" s="21">
        <f>SUMIFS($E$2:E77,$A$2:A77,A77)</f>
        <v>1040621611.9061589</v>
      </c>
      <c r="H77" s="21">
        <f>SUMIFS($F$2:F77,$A$2:A77,A77)</f>
        <v>656633163.90711594</v>
      </c>
    </row>
    <row r="78" spans="1:8">
      <c r="A78" t="s">
        <v>197</v>
      </c>
      <c r="B78" s="18">
        <v>2049</v>
      </c>
      <c r="C78" s="21">
        <f>SUMIFS(Annual_Cost!$Q$2:$Q$1353,Annual_Cost!$A$2:$A$1353,A78,Annual_Cost!$B$2:$B$1353,B78)</f>
        <v>63009385.634150535</v>
      </c>
      <c r="D78" s="21">
        <f>SUMIFS(Annual_Cost!$R$2:$R$1353,Annual_Cost!$A$2:$A$1353,A78,Annual_Cost!$B$2:$B$1353,B78)</f>
        <v>165169499.51734486</v>
      </c>
      <c r="E78" s="21">
        <f>SUMIFS(Annual_Cost!$S$2:$S$1353,Annual_Cost!$A$2:$A$1353,A78,Annual_Cost!$B$2:$B$1353,B78)</f>
        <v>102160113.88319434</v>
      </c>
      <c r="F78" s="21">
        <f>SUMIFS(Annual_Cost!$Y$2:$Y$1353,Annual_Cost!$A$2:$A$1353,A78,Annual_Cost!$B$2:$B$1353,B78)</f>
        <v>50256006.527429581</v>
      </c>
      <c r="G78" s="21">
        <f>SUMIFS($E$2:E78,$A$2:A78,A78)</f>
        <v>1142781725.7893534</v>
      </c>
      <c r="H78" s="21">
        <f>SUMIFS($F$2:F78,$A$2:A78,A78)</f>
        <v>706889170.43454552</v>
      </c>
    </row>
    <row r="79" spans="1:8">
      <c r="A79" t="s">
        <v>197</v>
      </c>
      <c r="B79" s="18">
        <v>2050</v>
      </c>
      <c r="C79" s="21">
        <f>SUMIFS(Annual_Cost!$Q$2:$Q$1353,Annual_Cost!$A$2:$A$1353,A79,Annual_Cost!$B$2:$B$1353,B79)</f>
        <v>63847661.762046278</v>
      </c>
      <c r="D79" s="21">
        <f>SUMIFS(Annual_Cost!$R$2:$R$1353,Annual_Cost!$A$2:$A$1353,A79,Annual_Cost!$B$2:$B$1353,B79)</f>
        <v>171727186.33573109</v>
      </c>
      <c r="E79" s="21">
        <f>SUMIFS(Annual_Cost!$S$2:$S$1353,Annual_Cost!$A$2:$A$1353,A79,Annual_Cost!$B$2:$B$1353,B79)</f>
        <v>107879524.57368484</v>
      </c>
      <c r="F79" s="21">
        <f>SUMIFS(Annual_Cost!$Y$2:$Y$1353,Annual_Cost!$A$2:$A$1353,A79,Annual_Cost!$B$2:$B$1353,B79)</f>
        <v>51523861.74569194</v>
      </c>
      <c r="G79" s="21">
        <f>SUMIFS($E$2:E79,$A$2:A79,A79)</f>
        <v>1250661250.3630383</v>
      </c>
      <c r="H79" s="21">
        <f>SUMIFS($F$2:F79,$A$2:A79,A79)</f>
        <v>758413032.18023741</v>
      </c>
    </row>
    <row r="80" spans="1:8">
      <c r="A80" t="s">
        <v>202</v>
      </c>
      <c r="B80" s="18">
        <v>2025</v>
      </c>
      <c r="C80" s="21">
        <f>SUMIFS(Annual_Cost!$Q$2:$Q$1353,Annual_Cost!$A$2:$A$1353,A80,Annual_Cost!$B$2:$B$1353,B80)</f>
        <v>264463105.24406412</v>
      </c>
      <c r="D80" s="21">
        <f>SUMIFS(Annual_Cost!$R$2:$R$1353,Annual_Cost!$A$2:$A$1353,A80,Annual_Cost!$B$2:$B$1353,B80)</f>
        <v>280577928.76092273</v>
      </c>
      <c r="E80" s="21">
        <f>SUMIFS(Annual_Cost!$S$2:$S$1353,Annual_Cost!$A$2:$A$1353,A80,Annual_Cost!$B$2:$B$1353,B80)</f>
        <v>16114823.516858574</v>
      </c>
      <c r="F80" s="21">
        <f>SUMIFS(Annual_Cost!$Y$2:$Y$1353,Annual_Cost!$A$2:$A$1353,A80,Annual_Cost!$B$2:$B$1353,B80)</f>
        <v>16114823.516858574</v>
      </c>
      <c r="G80" s="21">
        <f>SUMIFS($E$2:E80,$A$2:A80,A80)</f>
        <v>16114823.516858574</v>
      </c>
      <c r="H80" s="21">
        <f>SUMIFS($F$2:F80,$A$2:A80,A80)</f>
        <v>16114823.516858574</v>
      </c>
    </row>
    <row r="81" spans="1:8">
      <c r="A81" t="s">
        <v>202</v>
      </c>
      <c r="B81" s="18">
        <v>2026</v>
      </c>
      <c r="C81" s="21">
        <f>SUMIFS(Annual_Cost!$Q$2:$Q$1353,Annual_Cost!$A$2:$A$1353,A81,Annual_Cost!$B$2:$B$1353,B81)</f>
        <v>270709940.07946074</v>
      </c>
      <c r="D81" s="21">
        <f>SUMIFS(Annual_Cost!$R$2:$R$1353,Annual_Cost!$A$2:$A$1353,A81,Annual_Cost!$B$2:$B$1353,B81)</f>
        <v>303741718.36319953</v>
      </c>
      <c r="E81" s="21">
        <f>SUMIFS(Annual_Cost!$S$2:$S$1353,Annual_Cost!$A$2:$A$1353,A81,Annual_Cost!$B$2:$B$1353,B81)</f>
        <v>33031778.283738784</v>
      </c>
      <c r="F81" s="21">
        <f>SUMIFS(Annual_Cost!$Y$2:$Y$1353,Annual_Cost!$A$2:$A$1353,A81,Annual_Cost!$B$2:$B$1353,B81)</f>
        <v>32069687.654115327</v>
      </c>
      <c r="G81" s="21">
        <f>SUMIFS($E$2:E81,$A$2:A81,A81)</f>
        <v>49146601.800597355</v>
      </c>
      <c r="H81" s="21">
        <f>SUMIFS($F$2:F81,$A$2:A81,A81)</f>
        <v>48184511.170973897</v>
      </c>
    </row>
    <row r="82" spans="1:8">
      <c r="A82" t="s">
        <v>202</v>
      </c>
      <c r="B82" s="18">
        <v>2027</v>
      </c>
      <c r="C82" s="21">
        <f>SUMIFS(Annual_Cost!$Q$2:$Q$1353,Annual_Cost!$A$2:$A$1353,A82,Annual_Cost!$B$2:$B$1353,B82)</f>
        <v>276898125.04360902</v>
      </c>
      <c r="D82" s="21">
        <f>SUMIFS(Annual_Cost!$R$2:$R$1353,Annual_Cost!$A$2:$A$1353,A82,Annual_Cost!$B$2:$B$1353,B82)</f>
        <v>327643710.14906037</v>
      </c>
      <c r="E82" s="21">
        <f>SUMIFS(Annual_Cost!$S$2:$S$1353,Annual_Cost!$A$2:$A$1353,A82,Annual_Cost!$B$2:$B$1353,B82)</f>
        <v>50745585.105451398</v>
      </c>
      <c r="F82" s="21">
        <f>SUMIFS(Annual_Cost!$Y$2:$Y$1353,Annual_Cost!$A$2:$A$1353,A82,Annual_Cost!$B$2:$B$1353,B82)</f>
        <v>47832580.926997274</v>
      </c>
      <c r="G82" s="21">
        <f>SUMIFS($E$2:E82,$A$2:A82,A82)</f>
        <v>99892186.906048745</v>
      </c>
      <c r="H82" s="21">
        <f>SUMIFS($F$2:F82,$A$2:A82,A82)</f>
        <v>96017092.097971171</v>
      </c>
    </row>
    <row r="83" spans="1:8">
      <c r="A83" t="s">
        <v>202</v>
      </c>
      <c r="B83" s="18">
        <v>2028</v>
      </c>
      <c r="C83" s="21">
        <f>SUMIFS(Annual_Cost!$Q$2:$Q$1353,Annual_Cost!$A$2:$A$1353,A83,Annual_Cost!$B$2:$B$1353,B83)</f>
        <v>283021391.77255023</v>
      </c>
      <c r="D83" s="21">
        <f>SUMIFS(Annual_Cost!$R$2:$R$1353,Annual_Cost!$A$2:$A$1353,A83,Annual_Cost!$B$2:$B$1353,B83)</f>
        <v>352270688.11057621</v>
      </c>
      <c r="E83" s="21">
        <f>SUMIFS(Annual_Cost!$S$2:$S$1353,Annual_Cost!$A$2:$A$1353,A83,Annual_Cost!$B$2:$B$1353,B83)</f>
        <v>69249296.338025987</v>
      </c>
      <c r="F83" s="21">
        <f>SUMIFS(Annual_Cost!$Y$2:$Y$1353,Annual_Cost!$A$2:$A$1353,A83,Annual_Cost!$B$2:$B$1353,B83)</f>
        <v>63372915.959819786</v>
      </c>
      <c r="G83" s="21">
        <f>SUMIFS($E$2:E83,$A$2:A83,A83)</f>
        <v>169141483.24407473</v>
      </c>
      <c r="H83" s="21">
        <f>SUMIFS($F$2:F83,$A$2:A83,A83)</f>
        <v>159390008.05779096</v>
      </c>
    </row>
    <row r="84" spans="1:8">
      <c r="A84" t="s">
        <v>202</v>
      </c>
      <c r="B84" s="18">
        <v>2029</v>
      </c>
      <c r="C84" s="21">
        <f>SUMIFS(Annual_Cost!$Q$2:$Q$1353,Annual_Cost!$A$2:$A$1353,A84,Annual_Cost!$B$2:$B$1353,B84)</f>
        <v>289072273.92839926</v>
      </c>
      <c r="D84" s="21">
        <f>SUMIFS(Annual_Cost!$R$2:$R$1353,Annual_Cost!$A$2:$A$1353,A84,Annual_Cost!$B$2:$B$1353,B84)</f>
        <v>377606212.86459786</v>
      </c>
      <c r="E84" s="21">
        <f>SUMIFS(Annual_Cost!$S$2:$S$1353,Annual_Cost!$A$2:$A$1353,A84,Annual_Cost!$B$2:$B$1353,B84)</f>
        <v>88533938.936198607</v>
      </c>
      <c r="F84" s="21">
        <f>SUMIFS(Annual_Cost!$Y$2:$Y$1353,Annual_Cost!$A$2:$A$1353,A84,Annual_Cost!$B$2:$B$1353,B84)</f>
        <v>78661258.045770973</v>
      </c>
      <c r="G84" s="21">
        <f>SUMIFS($E$2:E84,$A$2:A84,A84)</f>
        <v>257675422.18027335</v>
      </c>
      <c r="H84" s="21">
        <f>SUMIFS($F$2:F84,$A$2:A84,A84)</f>
        <v>238051266.10356194</v>
      </c>
    </row>
    <row r="85" spans="1:8">
      <c r="A85" t="s">
        <v>202</v>
      </c>
      <c r="B85" s="18">
        <v>2030</v>
      </c>
      <c r="C85" s="21">
        <f>SUMIFS(Annual_Cost!$Q$2:$Q$1353,Annual_Cost!$A$2:$A$1353,A85,Annual_Cost!$B$2:$B$1353,B85)</f>
        <v>295043550.00690281</v>
      </c>
      <c r="D85" s="21">
        <f>SUMIFS(Annual_Cost!$R$2:$R$1353,Annual_Cost!$A$2:$A$1353,A85,Annual_Cost!$B$2:$B$1353,B85)</f>
        <v>403632050.52666235</v>
      </c>
      <c r="E85" s="21">
        <f>SUMIFS(Annual_Cost!$S$2:$S$1353,Annual_Cost!$A$2:$A$1353,A85,Annual_Cost!$B$2:$B$1353,B85)</f>
        <v>108588500.51975954</v>
      </c>
      <c r="F85" s="21">
        <f>SUMIFS(Annual_Cost!$Y$2:$Y$1353,Annual_Cost!$A$2:$A$1353,A85,Annual_Cost!$B$2:$B$1353,B85)</f>
        <v>93669394.431448951</v>
      </c>
      <c r="G85" s="21">
        <f>SUMIFS($E$2:E85,$A$2:A85,A85)</f>
        <v>366263922.70003289</v>
      </c>
      <c r="H85" s="21">
        <f>SUMIFS($F$2:F85,$A$2:A85,A85)</f>
        <v>331720660.53501087</v>
      </c>
    </row>
    <row r="86" spans="1:8">
      <c r="A86" t="s">
        <v>202</v>
      </c>
      <c r="B86" s="18">
        <v>2031</v>
      </c>
      <c r="C86" s="21">
        <f>SUMIFS(Annual_Cost!$Q$2:$Q$1353,Annual_Cost!$A$2:$A$1353,A86,Annual_Cost!$B$2:$B$1353,B86)</f>
        <v>300926192.23902655</v>
      </c>
      <c r="D86" s="21">
        <f>SUMIFS(Annual_Cost!$R$2:$R$1353,Annual_Cost!$A$2:$A$1353,A86,Annual_Cost!$B$2:$B$1353,B86)</f>
        <v>430325454.20376635</v>
      </c>
      <c r="E86" s="21">
        <f>SUMIFS(Annual_Cost!$S$2:$S$1353,Annual_Cost!$A$2:$A$1353,A86,Annual_Cost!$B$2:$B$1353,B86)</f>
        <v>129399261.96473981</v>
      </c>
      <c r="F86" s="21">
        <f>SUMIFS(Annual_Cost!$Y$2:$Y$1353,Annual_Cost!$A$2:$A$1353,A86,Annual_Cost!$B$2:$B$1353,B86)</f>
        <v>108369844.7219536</v>
      </c>
      <c r="G86" s="21">
        <f>SUMIFS($E$2:E86,$A$2:A86,A86)</f>
        <v>495663184.66477269</v>
      </c>
      <c r="H86" s="21">
        <f>SUMIFS($F$2:F86,$A$2:A86,A86)</f>
        <v>440090505.25696445</v>
      </c>
    </row>
    <row r="87" spans="1:8">
      <c r="A87" t="s">
        <v>202</v>
      </c>
      <c r="B87" s="18">
        <v>2032</v>
      </c>
      <c r="C87" s="21">
        <f>SUMIFS(Annual_Cost!$Q$2:$Q$1353,Annual_Cost!$A$2:$A$1353,A87,Annual_Cost!$B$2:$B$1353,B87)</f>
        <v>306712266.67403722</v>
      </c>
      <c r="D87" s="21">
        <f>SUMIFS(Annual_Cost!$R$2:$R$1353,Annual_Cost!$A$2:$A$1353,A87,Annual_Cost!$B$2:$B$1353,B87)</f>
        <v>457662709.07771814</v>
      </c>
      <c r="E87" s="21">
        <f>SUMIFS(Annual_Cost!$S$2:$S$1353,Annual_Cost!$A$2:$A$1353,A87,Annual_Cost!$B$2:$B$1353,B87)</f>
        <v>150950442.40368092</v>
      </c>
      <c r="F87" s="21">
        <f>SUMIFS(Annual_Cost!$Y$2:$Y$1353,Annual_Cost!$A$2:$A$1353,A87,Annual_Cost!$B$2:$B$1353,B87)</f>
        <v>122736523.3519568</v>
      </c>
      <c r="G87" s="21">
        <f>SUMIFS($E$2:E87,$A$2:A87,A87)</f>
        <v>646613627.06845355</v>
      </c>
      <c r="H87" s="21">
        <f>SUMIFS($F$2:F87,$A$2:A87,A87)</f>
        <v>562827028.60892129</v>
      </c>
    </row>
    <row r="88" spans="1:8">
      <c r="A88" t="s">
        <v>202</v>
      </c>
      <c r="B88" s="18">
        <v>2033</v>
      </c>
      <c r="C88" s="21">
        <f>SUMIFS(Annual_Cost!$Q$2:$Q$1353,Annual_Cost!$A$2:$A$1353,A88,Annual_Cost!$B$2:$B$1353,B88)</f>
        <v>312390674.22657818</v>
      </c>
      <c r="D88" s="21">
        <f>SUMIFS(Annual_Cost!$R$2:$R$1353,Annual_Cost!$A$2:$A$1353,A88,Annual_Cost!$B$2:$B$1353,B88)</f>
        <v>485612564.04001641</v>
      </c>
      <c r="E88" s="21">
        <f>SUMIFS(Annual_Cost!$S$2:$S$1353,Annual_Cost!$A$2:$A$1353,A88,Annual_Cost!$B$2:$B$1353,B88)</f>
        <v>173221889.81343818</v>
      </c>
      <c r="F88" s="21">
        <f>SUMIFS(Annual_Cost!$Y$2:$Y$1353,Annual_Cost!$A$2:$A$1353,A88,Annual_Cost!$B$2:$B$1353,B88)</f>
        <v>136742959.40403917</v>
      </c>
      <c r="G88" s="21">
        <f>SUMIFS($E$2:E88,$A$2:A88,A88)</f>
        <v>819835516.88189173</v>
      </c>
      <c r="H88" s="21">
        <f>SUMIFS($F$2:F88,$A$2:A88,A88)</f>
        <v>699569988.01296043</v>
      </c>
    </row>
    <row r="89" spans="1:8">
      <c r="A89" t="s">
        <v>202</v>
      </c>
      <c r="B89" s="18">
        <v>2034</v>
      </c>
      <c r="C89" s="21">
        <f>SUMIFS(Annual_Cost!$Q$2:$Q$1353,Annual_Cost!$A$2:$A$1353,A89,Annual_Cost!$B$2:$B$1353,B89)</f>
        <v>317947360.54467398</v>
      </c>
      <c r="D89" s="21">
        <f>SUMIFS(Annual_Cost!$R$2:$R$1353,Annual_Cost!$A$2:$A$1353,A89,Annual_Cost!$B$2:$B$1353,B89)</f>
        <v>514136012.58224958</v>
      </c>
      <c r="E89" s="21">
        <f>SUMIFS(Annual_Cost!$S$2:$S$1353,Annual_Cost!$A$2:$A$1353,A89,Annual_Cost!$B$2:$B$1353,B89)</f>
        <v>196188652.03757554</v>
      </c>
      <c r="F89" s="21">
        <f>SUMIFS(Annual_Cost!$Y$2:$Y$1353,Annual_Cost!$A$2:$A$1353,A89,Annual_Cost!$B$2:$B$1353,B89)</f>
        <v>150362265.61753953</v>
      </c>
      <c r="G89" s="21">
        <f>SUMIFS($E$2:E89,$A$2:A89,A89)</f>
        <v>1016024168.9194672</v>
      </c>
      <c r="H89" s="21">
        <f>SUMIFS($F$2:F89,$A$2:A89,A89)</f>
        <v>849932253.63049996</v>
      </c>
    </row>
    <row r="90" spans="1:8">
      <c r="A90" t="s">
        <v>202</v>
      </c>
      <c r="B90" s="18">
        <v>2035</v>
      </c>
      <c r="C90" s="21">
        <f>SUMIFS(Annual_Cost!$Q$2:$Q$1353,Annual_Cost!$A$2:$A$1353,A90,Annual_Cost!$B$2:$B$1353,B90)</f>
        <v>323369575.64063013</v>
      </c>
      <c r="D90" s="21">
        <f>SUMIFS(Annual_Cost!$R$2:$R$1353,Annual_Cost!$A$2:$A$1353,A90,Annual_Cost!$B$2:$B$1353,B90)</f>
        <v>543192644.82232559</v>
      </c>
      <c r="E90" s="21">
        <f>SUMIFS(Annual_Cost!$S$2:$S$1353,Annual_Cost!$A$2:$A$1353,A90,Annual_Cost!$B$2:$B$1353,B90)</f>
        <v>219823069.18169546</v>
      </c>
      <c r="F90" s="21">
        <f>SUMIFS(Annual_Cost!$Y$2:$Y$1353,Annual_Cost!$A$2:$A$1353,A90,Annual_Cost!$B$2:$B$1353,B90)</f>
        <v>163569008.13202143</v>
      </c>
      <c r="G90" s="21">
        <f>SUMIFS($E$2:E90,$A$2:A90,A90)</f>
        <v>1235847238.1011627</v>
      </c>
      <c r="H90" s="21">
        <f>SUMIFS($F$2:F90,$A$2:A90,A90)</f>
        <v>1013501261.7625214</v>
      </c>
    </row>
    <row r="91" spans="1:8">
      <c r="A91" t="s">
        <v>202</v>
      </c>
      <c r="B91" s="18">
        <v>2036</v>
      </c>
      <c r="C91" s="21">
        <f>SUMIFS(Annual_Cost!$Q$2:$Q$1353,Annual_Cost!$A$2:$A$1353,A91,Annual_Cost!$B$2:$B$1353,B91)</f>
        <v>328647128.03995878</v>
      </c>
      <c r="D91" s="21">
        <f>SUMIFS(Annual_Cost!$R$2:$R$1353,Annual_Cost!$A$2:$A$1353,A91,Annual_Cost!$B$2:$B$1353,B91)</f>
        <v>572743041.02887392</v>
      </c>
      <c r="E91" s="21">
        <f>SUMIFS(Annual_Cost!$S$2:$S$1353,Annual_Cost!$A$2:$A$1353,A91,Annual_Cost!$B$2:$B$1353,B91)</f>
        <v>244095912.98891521</v>
      </c>
      <c r="F91" s="21">
        <f>SUMIFS(Annual_Cost!$Y$2:$Y$1353,Annual_Cost!$A$2:$A$1353,A91,Annual_Cost!$B$2:$B$1353,B91)</f>
        <v>176340081.07399252</v>
      </c>
      <c r="G91" s="21">
        <f>SUMIFS($E$2:E91,$A$2:A91,A91)</f>
        <v>1479943151.0900779</v>
      </c>
      <c r="H91" s="21">
        <f>SUMIFS($F$2:F91,$A$2:A91,A91)</f>
        <v>1189841342.836514</v>
      </c>
    </row>
    <row r="92" spans="1:8">
      <c r="A92" t="s">
        <v>202</v>
      </c>
      <c r="B92" s="18">
        <v>2037</v>
      </c>
      <c r="C92" s="21">
        <f>SUMIFS(Annual_Cost!$Q$2:$Q$1353,Annual_Cost!$A$2:$A$1353,A92,Annual_Cost!$B$2:$B$1353,B92)</f>
        <v>333772816.54773849</v>
      </c>
      <c r="D92" s="21">
        <f>SUMIFS(Annual_Cost!$R$2:$R$1353,Annual_Cost!$A$2:$A$1353,A92,Annual_Cost!$B$2:$B$1353,B92)</f>
        <v>602750367.15512717</v>
      </c>
      <c r="E92" s="21">
        <f>SUMIFS(Annual_Cost!$S$2:$S$1353,Annual_Cost!$A$2:$A$1353,A92,Annual_Cost!$B$2:$B$1353,B92)</f>
        <v>268977550.60738873</v>
      </c>
      <c r="F92" s="21">
        <f>SUMIFS(Annual_Cost!$Y$2:$Y$1353,Annual_Cost!$A$2:$A$1353,A92,Annual_Cost!$B$2:$B$1353,B92)</f>
        <v>188655442.21960974</v>
      </c>
      <c r="G92" s="21">
        <f>SUMIFS($E$2:E92,$A$2:A92,A92)</f>
        <v>1748920701.6974666</v>
      </c>
      <c r="H92" s="21">
        <f>SUMIFS($F$2:F92,$A$2:A92,A92)</f>
        <v>1378496785.0561237</v>
      </c>
    </row>
    <row r="93" spans="1:8">
      <c r="A93" t="s">
        <v>202</v>
      </c>
      <c r="B93" s="18">
        <v>2038</v>
      </c>
      <c r="C93" s="21">
        <f>SUMIFS(Annual_Cost!$Q$2:$Q$1353,Annual_Cost!$A$2:$A$1353,A93,Annual_Cost!$B$2:$B$1353,B93)</f>
        <v>338741191.25738955</v>
      </c>
      <c r="D93" s="21">
        <f>SUMIFS(Annual_Cost!$R$2:$R$1353,Annual_Cost!$A$2:$A$1353,A93,Annual_Cost!$B$2:$B$1353,B93)</f>
        <v>633178937.90307117</v>
      </c>
      <c r="E93" s="21">
        <f>SUMIFS(Annual_Cost!$S$2:$S$1353,Annual_Cost!$A$2:$A$1353,A93,Annual_Cost!$B$2:$B$1353,B93)</f>
        <v>294437746.64568162</v>
      </c>
      <c r="F93" s="21">
        <f>SUMIFS(Annual_Cost!$Y$2:$Y$1353,Annual_Cost!$A$2:$A$1353,A93,Annual_Cost!$B$2:$B$1353,B93)</f>
        <v>200497778.12294871</v>
      </c>
      <c r="G93" s="21">
        <f>SUMIFS($E$2:E93,$A$2:A93,A93)</f>
        <v>2043358448.3431482</v>
      </c>
      <c r="H93" s="21">
        <f>SUMIFS($F$2:F93,$A$2:A93,A93)</f>
        <v>1578994563.1790724</v>
      </c>
    </row>
    <row r="94" spans="1:8">
      <c r="A94" t="s">
        <v>202</v>
      </c>
      <c r="B94" s="18">
        <v>2039</v>
      </c>
      <c r="C94" s="21">
        <f>SUMIFS(Annual_Cost!$Q$2:$Q$1353,Annual_Cost!$A$2:$A$1353,A94,Annual_Cost!$B$2:$B$1353,B94)</f>
        <v>343551271.52327502</v>
      </c>
      <c r="D94" s="21">
        <f>SUMIFS(Annual_Cost!$R$2:$R$1353,Annual_Cost!$A$2:$A$1353,A94,Annual_Cost!$B$2:$B$1353,B94)</f>
        <v>663999921.35746312</v>
      </c>
      <c r="E94" s="21">
        <f>SUMIFS(Annual_Cost!$S$2:$S$1353,Annual_Cost!$A$2:$A$1353,A94,Annual_Cost!$B$2:$B$1353,B94)</f>
        <v>320448649.8341881</v>
      </c>
      <c r="F94" s="21">
        <f>SUMIFS(Annual_Cost!$Y$2:$Y$1353,Annual_Cost!$A$2:$A$1353,A94,Annual_Cost!$B$2:$B$1353,B94)</f>
        <v>211854308.25591749</v>
      </c>
      <c r="G94" s="21">
        <f>SUMIFS($E$2:E94,$A$2:A94,A94)</f>
        <v>2363807098.1773362</v>
      </c>
      <c r="H94" s="21">
        <f>SUMIFS($F$2:F94,$A$2:A94,A94)</f>
        <v>1790848871.4349899</v>
      </c>
    </row>
    <row r="95" spans="1:8">
      <c r="A95" t="s">
        <v>202</v>
      </c>
      <c r="B95" s="18">
        <v>2040</v>
      </c>
      <c r="C95" s="21">
        <f>SUMIFS(Annual_Cost!$Q$2:$Q$1353,Annual_Cost!$A$2:$A$1353,A95,Annual_Cost!$B$2:$B$1353,B95)</f>
        <v>348196584.614793</v>
      </c>
      <c r="D95" s="21">
        <f>SUMIFS(Annual_Cost!$R$2:$R$1353,Annual_Cost!$A$2:$A$1353,A95,Annual_Cost!$B$2:$B$1353,B95)</f>
        <v>695172910.94359112</v>
      </c>
      <c r="E95" s="21">
        <f>SUMIFS(Annual_Cost!$S$2:$S$1353,Annual_Cost!$A$2:$A$1353,A95,Annual_Cost!$B$2:$B$1353,B95)</f>
        <v>346976326.32879806</v>
      </c>
      <c r="F95" s="21">
        <f>SUMIFS(Annual_Cost!$Y$2:$Y$1353,Annual_Cost!$A$2:$A$1353,A95,Annual_Cost!$B$2:$B$1353,B95)</f>
        <v>222710900.51796132</v>
      </c>
      <c r="G95" s="21">
        <f>SUMIFS($E$2:E95,$A$2:A95,A95)</f>
        <v>2710783424.506134</v>
      </c>
      <c r="H95" s="21">
        <f>SUMIFS($F$2:F95,$A$2:A95,A95)</f>
        <v>2013559771.9529512</v>
      </c>
    </row>
    <row r="96" spans="1:8">
      <c r="A96" t="s">
        <v>202</v>
      </c>
      <c r="B96" s="18">
        <v>2041</v>
      </c>
      <c r="C96" s="21">
        <f>SUMIFS(Annual_Cost!$Q$2:$Q$1353,Annual_Cost!$A$2:$A$1353,A96,Annual_Cost!$B$2:$B$1353,B96)</f>
        <v>352672823.0275746</v>
      </c>
      <c r="D96" s="21">
        <f>SUMIFS(Annual_Cost!$R$2:$R$1353,Annual_Cost!$A$2:$A$1353,A96,Annual_Cost!$B$2:$B$1353,B96)</f>
        <v>726659887.84192753</v>
      </c>
      <c r="E96" s="21">
        <f>SUMIFS(Annual_Cost!$S$2:$S$1353,Annual_Cost!$A$2:$A$1353,A96,Annual_Cost!$B$2:$B$1353,B96)</f>
        <v>373987064.81435299</v>
      </c>
      <c r="F96" s="21">
        <f>SUMIFS(Annual_Cost!$Y$2:$Y$1353,Annual_Cost!$A$2:$A$1353,A96,Annual_Cost!$B$2:$B$1353,B96)</f>
        <v>233056374.48827484</v>
      </c>
      <c r="G96" s="21">
        <f>SUMIFS($E$2:E96,$A$2:A96,A96)</f>
        <v>3084770489.320487</v>
      </c>
      <c r="H96" s="21">
        <f>SUMIFS($F$2:F96,$A$2:A96,A96)</f>
        <v>2246616146.441226</v>
      </c>
    </row>
    <row r="97" spans="1:8">
      <c r="A97" t="s">
        <v>202</v>
      </c>
      <c r="B97" s="18">
        <v>2042</v>
      </c>
      <c r="C97" s="21">
        <f>SUMIFS(Annual_Cost!$Q$2:$Q$1353,Annual_Cost!$A$2:$A$1353,A97,Annual_Cost!$B$2:$B$1353,B97)</f>
        <v>356979601.69980502</v>
      </c>
      <c r="D97" s="21">
        <f>SUMIFS(Annual_Cost!$R$2:$R$1353,Annual_Cost!$A$2:$A$1353,A97,Annual_Cost!$B$2:$B$1353,B97)</f>
        <v>758429475.02410626</v>
      </c>
      <c r="E97" s="21">
        <f>SUMIFS(Annual_Cost!$S$2:$S$1353,Annual_Cost!$A$2:$A$1353,A97,Annual_Cost!$B$2:$B$1353,B97)</f>
        <v>401449873.32430112</v>
      </c>
      <c r="F97" s="21">
        <f>SUMIFS(Annual_Cost!$Y$2:$Y$1353,Annual_Cost!$A$2:$A$1353,A97,Annual_Cost!$B$2:$B$1353,B97)</f>
        <v>242883775.54350227</v>
      </c>
      <c r="G97" s="21">
        <f>SUMIFS($E$2:E97,$A$2:A97,A97)</f>
        <v>3486220362.6447883</v>
      </c>
      <c r="H97" s="21">
        <f>SUMIFS($F$2:F97,$A$2:A97,A97)</f>
        <v>2489499921.9847283</v>
      </c>
    </row>
    <row r="98" spans="1:8">
      <c r="A98" t="s">
        <v>202</v>
      </c>
      <c r="B98" s="18">
        <v>2043</v>
      </c>
      <c r="C98" s="21">
        <f>SUMIFS(Annual_Cost!$Q$2:$Q$1353,Annual_Cost!$A$2:$A$1353,A98,Annual_Cost!$B$2:$B$1353,B98)</f>
        <v>361122082.1186887</v>
      </c>
      <c r="D98" s="21">
        <f>SUMIFS(Annual_Cost!$R$2:$R$1353,Annual_Cost!$A$2:$A$1353,A98,Annual_Cost!$B$2:$B$1353,B98)</f>
        <v>790462010.08645344</v>
      </c>
      <c r="E98" s="21">
        <f>SUMIFS(Annual_Cost!$S$2:$S$1353,Annual_Cost!$A$2:$A$1353,A98,Annual_Cost!$B$2:$B$1353,B98)</f>
        <v>429339927.96776474</v>
      </c>
      <c r="F98" s="21">
        <f>SUMIFS(Annual_Cost!$Y$2:$Y$1353,Annual_Cost!$A$2:$A$1353,A98,Annual_Cost!$B$2:$B$1353,B98)</f>
        <v>252191958.52262825</v>
      </c>
      <c r="G98" s="21">
        <f>SUMIFS($E$2:E98,$A$2:A98,A98)</f>
        <v>3915560290.6125531</v>
      </c>
      <c r="H98" s="21">
        <f>SUMIFS($F$2:F98,$A$2:A98,A98)</f>
        <v>2741691880.5073566</v>
      </c>
    </row>
    <row r="99" spans="1:8">
      <c r="A99" t="s">
        <v>202</v>
      </c>
      <c r="B99" s="18">
        <v>2044</v>
      </c>
      <c r="C99" s="21">
        <f>SUMIFS(Annual_Cost!$Q$2:$Q$1353,Annual_Cost!$A$2:$A$1353,A99,Annual_Cost!$B$2:$B$1353,B99)</f>
        <v>365107696.92615861</v>
      </c>
      <c r="D99" s="21">
        <f>SUMIFS(Annual_Cost!$R$2:$R$1353,Annual_Cost!$A$2:$A$1353,A99,Annual_Cost!$B$2:$B$1353,B99)</f>
        <v>822743892.05155718</v>
      </c>
      <c r="E99" s="21">
        <f>SUMIFS(Annual_Cost!$S$2:$S$1353,Annual_Cost!$A$2:$A$1353,A99,Annual_Cost!$B$2:$B$1353,B99)</f>
        <v>457636195.12539858</v>
      </c>
      <c r="F99" s="21">
        <f>SUMIFS(Annual_Cost!$Y$2:$Y$1353,Annual_Cost!$A$2:$A$1353,A99,Annual_Cost!$B$2:$B$1353,B99)</f>
        <v>260983527.44339037</v>
      </c>
      <c r="G99" s="21">
        <f>SUMIFS($E$2:E99,$A$2:A99,A99)</f>
        <v>4373196485.7379513</v>
      </c>
      <c r="H99" s="21">
        <f>SUMIFS($F$2:F99,$A$2:A99,A99)</f>
        <v>3002675407.950747</v>
      </c>
    </row>
    <row r="100" spans="1:8">
      <c r="A100" t="s">
        <v>202</v>
      </c>
      <c r="B100" s="18">
        <v>2045</v>
      </c>
      <c r="C100" s="21">
        <f>SUMIFS(Annual_Cost!$Q$2:$Q$1353,Annual_Cost!$A$2:$A$1353,A100,Annual_Cost!$B$2:$B$1353,B100)</f>
        <v>368946613.78797674</v>
      </c>
      <c r="D100" s="21">
        <f>SUMIFS(Annual_Cost!$R$2:$R$1353,Annual_Cost!$A$2:$A$1353,A100,Annual_Cost!$B$2:$B$1353,B100)</f>
        <v>855269342.72337532</v>
      </c>
      <c r="E100" s="21">
        <f>SUMIFS(Annual_Cost!$S$2:$S$1353,Annual_Cost!$A$2:$A$1353,A100,Annual_Cost!$B$2:$B$1353,B100)</f>
        <v>486322728.93539858</v>
      </c>
      <c r="F100" s="21">
        <f>SUMIFS(Annual_Cost!$Y$2:$Y$1353,Annual_Cost!$A$2:$A$1353,A100,Annual_Cost!$B$2:$B$1353,B100)</f>
        <v>269265103.72126341</v>
      </c>
      <c r="G100" s="21">
        <f>SUMIFS($E$2:E100,$A$2:A100,A100)</f>
        <v>4859519214.6733494</v>
      </c>
      <c r="H100" s="21">
        <f>SUMIFS($F$2:F100,$A$2:A100,A100)</f>
        <v>3271940511.6720104</v>
      </c>
    </row>
    <row r="101" spans="1:8">
      <c r="A101" t="s">
        <v>202</v>
      </c>
      <c r="B101" s="18">
        <v>2046</v>
      </c>
      <c r="C101" s="21">
        <f>SUMIFS(Annual_Cost!$Q$2:$Q$1353,Annual_Cost!$A$2:$A$1353,A101,Annual_Cost!$B$2:$B$1353,B101)</f>
        <v>372632490.99155539</v>
      </c>
      <c r="D101" s="21">
        <f>SUMIFS(Annual_Cost!$R$2:$R$1353,Annual_Cost!$A$2:$A$1353,A101,Annual_Cost!$B$2:$B$1353,B101)</f>
        <v>887996238.66037428</v>
      </c>
      <c r="E101" s="21">
        <f>SUMIFS(Annual_Cost!$S$2:$S$1353,Annual_Cost!$A$2:$A$1353,A101,Annual_Cost!$B$2:$B$1353,B101)</f>
        <v>515363747.66881895</v>
      </c>
      <c r="F101" s="21">
        <f>SUMIFS(Annual_Cost!$Y$2:$Y$1353,Annual_Cost!$A$2:$A$1353,A101,Annual_Cost!$B$2:$B$1353,B101)</f>
        <v>277033409.38915473</v>
      </c>
      <c r="G101" s="21">
        <f>SUMIFS($E$2:E101,$A$2:A101,A101)</f>
        <v>5374882962.3421688</v>
      </c>
      <c r="H101" s="21">
        <f>SUMIFS($F$2:F101,$A$2:A101,A101)</f>
        <v>3548973921.0611653</v>
      </c>
    </row>
    <row r="102" spans="1:8">
      <c r="A102" t="s">
        <v>202</v>
      </c>
      <c r="B102" s="18">
        <v>2047</v>
      </c>
      <c r="C102" s="21">
        <f>SUMIFS(Annual_Cost!$Q$2:$Q$1353,Annual_Cost!$A$2:$A$1353,A102,Annual_Cost!$B$2:$B$1353,B102)</f>
        <v>376152910.15757573</v>
      </c>
      <c r="D102" s="21">
        <f>SUMIFS(Annual_Cost!$R$2:$R$1353,Annual_Cost!$A$2:$A$1353,A102,Annual_Cost!$B$2:$B$1353,B102)</f>
        <v>920866267.55662</v>
      </c>
      <c r="E102" s="21">
        <f>SUMIFS(Annual_Cost!$S$2:$S$1353,Annual_Cost!$A$2:$A$1353,A102,Annual_Cost!$B$2:$B$1353,B102)</f>
        <v>544713357.39904428</v>
      </c>
      <c r="F102" s="21">
        <f>SUMIFS(Annual_Cost!$Y$2:$Y$1353,Annual_Cost!$A$2:$A$1353,A102,Annual_Cost!$B$2:$B$1353,B102)</f>
        <v>284281816.35713685</v>
      </c>
      <c r="G102" s="21">
        <f>SUMIFS($E$2:E102,$A$2:A102,A102)</f>
        <v>5919596319.7412128</v>
      </c>
      <c r="H102" s="21">
        <f>SUMIFS($F$2:F102,$A$2:A102,A102)</f>
        <v>3833255737.4183021</v>
      </c>
    </row>
    <row r="103" spans="1:8">
      <c r="A103" t="s">
        <v>202</v>
      </c>
      <c r="B103" s="18">
        <v>2048</v>
      </c>
      <c r="C103" s="21">
        <f>SUMIFS(Annual_Cost!$Q$2:$Q$1353,Annual_Cost!$A$2:$A$1353,A103,Annual_Cost!$B$2:$B$1353,B103)</f>
        <v>379502887.32429856</v>
      </c>
      <c r="D103" s="21">
        <f>SUMIFS(Annual_Cost!$R$2:$R$1353,Annual_Cost!$A$2:$A$1353,A103,Annual_Cost!$B$2:$B$1353,B103)</f>
        <v>953835479.75352514</v>
      </c>
      <c r="E103" s="21">
        <f>SUMIFS(Annual_Cost!$S$2:$S$1353,Annual_Cost!$A$2:$A$1353,A103,Annual_Cost!$B$2:$B$1353,B103)</f>
        <v>574332592.42922652</v>
      </c>
      <c r="F103" s="21">
        <f>SUMIFS(Annual_Cost!$Y$2:$Y$1353,Annual_Cost!$A$2:$A$1353,A103,Annual_Cost!$B$2:$B$1353,B103)</f>
        <v>291009585.438124</v>
      </c>
      <c r="G103" s="21">
        <f>SUMIFS($E$2:E103,$A$2:A103,A103)</f>
        <v>6493928912.1704397</v>
      </c>
      <c r="H103" s="21">
        <f>SUMIFS($F$2:F103,$A$2:A103,A103)</f>
        <v>4124265322.8564262</v>
      </c>
    </row>
    <row r="104" spans="1:8">
      <c r="A104" t="s">
        <v>202</v>
      </c>
      <c r="B104" s="18">
        <v>2049</v>
      </c>
      <c r="C104" s="21">
        <f>SUMIFS(Annual_Cost!$Q$2:$Q$1353,Annual_Cost!$A$2:$A$1353,A104,Annual_Cost!$B$2:$B$1353,B104)</f>
        <v>382674155.98637003</v>
      </c>
      <c r="D104" s="21">
        <f>SUMIFS(Annual_Cost!$R$2:$R$1353,Annual_Cost!$A$2:$A$1353,A104,Annual_Cost!$B$2:$B$1353,B104)</f>
        <v>986850771.77879882</v>
      </c>
      <c r="E104" s="21">
        <f>SUMIFS(Annual_Cost!$S$2:$S$1353,Annual_Cost!$A$2:$A$1353,A104,Annual_Cost!$B$2:$B$1353,B104)</f>
        <v>604176615.79242897</v>
      </c>
      <c r="F104" s="21">
        <f>SUMIFS(Annual_Cost!$Y$2:$Y$1353,Annual_Cost!$A$2:$A$1353,A104,Annual_Cost!$B$2:$B$1353,B104)</f>
        <v>297214860.01572984</v>
      </c>
      <c r="G104" s="21">
        <f>SUMIFS($E$2:E104,$A$2:A104,A104)</f>
        <v>7098105527.9628687</v>
      </c>
      <c r="H104" s="21">
        <f>SUMIFS($F$2:F104,$A$2:A104,A104)</f>
        <v>4421480182.8721561</v>
      </c>
    </row>
    <row r="105" spans="1:8">
      <c r="A105" t="s">
        <v>202</v>
      </c>
      <c r="B105" s="18">
        <v>2050</v>
      </c>
      <c r="C105" s="21">
        <f>SUMIFS(Annual_Cost!$Q$2:$Q$1353,Annual_Cost!$A$2:$A$1353,A105,Annual_Cost!$B$2:$B$1353,B105)</f>
        <v>385658336.82877374</v>
      </c>
      <c r="D105" s="21">
        <f>SUMIFS(Annual_Cost!$R$2:$R$1353,Annual_Cost!$A$2:$A$1353,A105,Annual_Cost!$B$2:$B$1353,B105)</f>
        <v>1019857469.2208147</v>
      </c>
      <c r="E105" s="21">
        <f>SUMIFS(Annual_Cost!$S$2:$S$1353,Annual_Cost!$A$2:$A$1353,A105,Annual_Cost!$B$2:$B$1353,B105)</f>
        <v>634199132.39204085</v>
      </c>
      <c r="F105" s="21">
        <f>SUMIFS(Annual_Cost!$Y$2:$Y$1353,Annual_Cost!$A$2:$A$1353,A105,Annual_Cost!$B$2:$B$1353,B105)</f>
        <v>302897037.65135133</v>
      </c>
      <c r="G105" s="21">
        <f>SUMIFS($E$2:E105,$A$2:A105,A105)</f>
        <v>7732304660.3549099</v>
      </c>
      <c r="H105" s="21">
        <f>SUMIFS($F$2:F105,$A$2:A105,A105)</f>
        <v>4724377220.5235071</v>
      </c>
    </row>
    <row r="106" spans="1:8">
      <c r="A106" t="s">
        <v>205</v>
      </c>
      <c r="B106" s="18">
        <v>2025</v>
      </c>
      <c r="C106" s="21">
        <f>SUMIFS(Annual_Cost!$Q$2:$Q$1353,Annual_Cost!$A$2:$A$1353,A106,Annual_Cost!$B$2:$B$1353,B106)</f>
        <v>11990419.047032744</v>
      </c>
      <c r="D106" s="21">
        <f>SUMIFS(Annual_Cost!$R$2:$R$1353,Annual_Cost!$A$2:$A$1353,A106,Annual_Cost!$B$2:$B$1353,B106)</f>
        <v>12719948.562539289</v>
      </c>
      <c r="E106" s="21">
        <f>SUMIFS(Annual_Cost!$S$2:$S$1353,Annual_Cost!$A$2:$A$1353,A106,Annual_Cost!$B$2:$B$1353,B106)</f>
        <v>729529.51550654508</v>
      </c>
      <c r="F106" s="21">
        <f>SUMIFS(Annual_Cost!$Y$2:$Y$1353,Annual_Cost!$A$2:$A$1353,A106,Annual_Cost!$B$2:$B$1353,B106)</f>
        <v>729529.51550654508</v>
      </c>
      <c r="G106" s="21">
        <f>SUMIFS($E$2:E106,$A$2:A106,A106)</f>
        <v>729529.51550654508</v>
      </c>
      <c r="H106" s="21">
        <f>SUMIFS($F$2:F106,$A$2:A106,A106)</f>
        <v>729529.51550654508</v>
      </c>
    </row>
    <row r="107" spans="1:8">
      <c r="A107" t="s">
        <v>205</v>
      </c>
      <c r="B107" s="18">
        <v>2026</v>
      </c>
      <c r="C107" s="21">
        <f>SUMIFS(Annual_Cost!$Q$2:$Q$1353,Annual_Cost!$A$2:$A$1353,A107,Annual_Cost!$B$2:$B$1353,B107)</f>
        <v>12033613.977746809</v>
      </c>
      <c r="D107" s="21">
        <f>SUMIFS(Annual_Cost!$R$2:$R$1353,Annual_Cost!$A$2:$A$1353,A107,Annual_Cost!$B$2:$B$1353,B107)</f>
        <v>13498565.045185115</v>
      </c>
      <c r="E107" s="21">
        <f>SUMIFS(Annual_Cost!$S$2:$S$1353,Annual_Cost!$A$2:$A$1353,A107,Annual_Cost!$B$2:$B$1353,B107)</f>
        <v>1464951.0674383063</v>
      </c>
      <c r="F107" s="21">
        <f>SUMIFS(Annual_Cost!$Y$2:$Y$1353,Annual_Cost!$A$2:$A$1353,A107,Annual_Cost!$B$2:$B$1353,B107)</f>
        <v>1422282.5897459285</v>
      </c>
      <c r="G107" s="21">
        <f>SUMIFS($E$2:E107,$A$2:A107,A107)</f>
        <v>2194480.5829448514</v>
      </c>
      <c r="H107" s="21">
        <f>SUMIFS($F$2:F107,$A$2:A107,A107)</f>
        <v>2151812.1052524736</v>
      </c>
    </row>
    <row r="108" spans="1:8">
      <c r="A108" t="s">
        <v>205</v>
      </c>
      <c r="B108" s="18">
        <v>2027</v>
      </c>
      <c r="C108" s="21">
        <f>SUMIFS(Annual_Cost!$Q$2:$Q$1353,Annual_Cost!$A$2:$A$1353,A108,Annual_Cost!$B$2:$B$1353,B108)</f>
        <v>12087410.73880191</v>
      </c>
      <c r="D108" s="21">
        <f>SUMIFS(Annual_Cost!$R$2:$R$1353,Annual_Cost!$A$2:$A$1353,A108,Annual_Cost!$B$2:$B$1353,B108)</f>
        <v>14295660.677017491</v>
      </c>
      <c r="E108" s="21">
        <f>SUMIFS(Annual_Cost!$S$2:$S$1353,Annual_Cost!$A$2:$A$1353,A108,Annual_Cost!$B$2:$B$1353,B108)</f>
        <v>2208249.9382155817</v>
      </c>
      <c r="F108" s="21">
        <f>SUMIFS(Annual_Cost!$Y$2:$Y$1353,Annual_Cost!$A$2:$A$1353,A108,Annual_Cost!$B$2:$B$1353,B108)</f>
        <v>2081487.358106873</v>
      </c>
      <c r="G108" s="21">
        <f>SUMIFS($E$2:E108,$A$2:A108,A108)</f>
        <v>4402730.5211604331</v>
      </c>
      <c r="H108" s="21">
        <f>SUMIFS($F$2:F108,$A$2:A108,A108)</f>
        <v>4233299.4633593466</v>
      </c>
    </row>
    <row r="109" spans="1:8">
      <c r="A109" t="s">
        <v>205</v>
      </c>
      <c r="B109" s="18">
        <v>2028</v>
      </c>
      <c r="C109" s="21">
        <f>SUMIFS(Annual_Cost!$Q$2:$Q$1353,Annual_Cost!$A$2:$A$1353,A109,Annual_Cost!$B$2:$B$1353,B109)</f>
        <v>12143213.566420991</v>
      </c>
      <c r="D109" s="21">
        <f>SUMIFS(Annual_Cost!$R$2:$R$1353,Annual_Cost!$A$2:$A$1353,A109,Annual_Cost!$B$2:$B$1353,B109)</f>
        <v>15102525.13652922</v>
      </c>
      <c r="E109" s="21">
        <f>SUMIFS(Annual_Cost!$S$2:$S$1353,Annual_Cost!$A$2:$A$1353,A109,Annual_Cost!$B$2:$B$1353,B109)</f>
        <v>2959311.5701082293</v>
      </c>
      <c r="F109" s="21">
        <f>SUMIFS(Annual_Cost!$Y$2:$Y$1353,Annual_Cost!$A$2:$A$1353,A109,Annual_Cost!$B$2:$B$1353,B109)</f>
        <v>2708189.3008118491</v>
      </c>
      <c r="G109" s="21">
        <f>SUMIFS($E$2:E109,$A$2:A109,A109)</f>
        <v>7362042.0912686624</v>
      </c>
      <c r="H109" s="21">
        <f>SUMIFS($F$2:F109,$A$2:A109,A109)</f>
        <v>6941488.7641711961</v>
      </c>
    </row>
    <row r="110" spans="1:8">
      <c r="A110" t="s">
        <v>205</v>
      </c>
      <c r="B110" s="18">
        <v>2029</v>
      </c>
      <c r="C110" s="21">
        <f>SUMIFS(Annual_Cost!$Q$2:$Q$1353,Annual_Cost!$A$2:$A$1353,A110,Annual_Cost!$B$2:$B$1353,B110)</f>
        <v>12199771.67035584</v>
      </c>
      <c r="D110" s="21">
        <f>SUMIFS(Annual_Cost!$R$2:$R$1353,Annual_Cost!$A$2:$A$1353,A110,Annual_Cost!$B$2:$B$1353,B110)</f>
        <v>15917928.03448539</v>
      </c>
      <c r="E110" s="21">
        <f>SUMIFS(Annual_Cost!$S$2:$S$1353,Annual_Cost!$A$2:$A$1353,A110,Annual_Cost!$B$2:$B$1353,B110)</f>
        <v>3718156.3641295508</v>
      </c>
      <c r="F110" s="21">
        <f>SUMIFS(Annual_Cost!$Y$2:$Y$1353,Annual_Cost!$A$2:$A$1353,A110,Annual_Cost!$B$2:$B$1353,B110)</f>
        <v>3303533.7716543963</v>
      </c>
      <c r="G110" s="21">
        <f>SUMIFS($E$2:E110,$A$2:A110,A110)</f>
        <v>11080198.455398213</v>
      </c>
      <c r="H110" s="21">
        <f>SUMIFS($F$2:F110,$A$2:A110,A110)</f>
        <v>10245022.535825592</v>
      </c>
    </row>
    <row r="111" spans="1:8">
      <c r="A111" t="s">
        <v>205</v>
      </c>
      <c r="B111" s="18">
        <v>2030</v>
      </c>
      <c r="C111" s="21">
        <f>SUMIFS(Annual_Cost!$Q$2:$Q$1353,Annual_Cost!$A$2:$A$1353,A111,Annual_Cost!$B$2:$B$1353,B111)</f>
        <v>12260285.995721815</v>
      </c>
      <c r="D111" s="21">
        <f>SUMIFS(Annual_Cost!$R$2:$R$1353,Annual_Cost!$A$2:$A$1353,A111,Annual_Cost!$B$2:$B$1353,B111)</f>
        <v>16746418.923793335</v>
      </c>
      <c r="E111" s="21">
        <f>SUMIFS(Annual_Cost!$S$2:$S$1353,Annual_Cost!$A$2:$A$1353,A111,Annual_Cost!$B$2:$B$1353,B111)</f>
        <v>4486132.9280715194</v>
      </c>
      <c r="F111" s="21">
        <f>SUMIFS(Annual_Cost!$Y$2:$Y$1353,Annual_Cost!$A$2:$A$1353,A111,Annual_Cost!$B$2:$B$1353,B111)</f>
        <v>3869777.6716695442</v>
      </c>
      <c r="G111" s="21">
        <f>SUMIFS($E$2:E111,$A$2:A111,A111)</f>
        <v>15566331.383469732</v>
      </c>
      <c r="H111" s="21">
        <f>SUMIFS($F$2:F111,$A$2:A111,A111)</f>
        <v>14114800.207495136</v>
      </c>
    </row>
    <row r="112" spans="1:8">
      <c r="A112" t="s">
        <v>205</v>
      </c>
      <c r="B112" s="18">
        <v>2031</v>
      </c>
      <c r="C112" s="21">
        <f>SUMIFS(Annual_Cost!$Q$2:$Q$1353,Annual_Cost!$A$2:$A$1353,A112,Annual_Cost!$B$2:$B$1353,B112)</f>
        <v>12330882.213390894</v>
      </c>
      <c r="D112" s="21">
        <f>SUMIFS(Annual_Cost!$R$2:$R$1353,Annual_Cost!$A$2:$A$1353,A112,Annual_Cost!$B$2:$B$1353,B112)</f>
        <v>17597504.411913663</v>
      </c>
      <c r="E112" s="21">
        <f>SUMIFS(Annual_Cost!$S$2:$S$1353,Annual_Cost!$A$2:$A$1353,A112,Annual_Cost!$B$2:$B$1353,B112)</f>
        <v>5266622.1985227689</v>
      </c>
      <c r="F112" s="21">
        <f>SUMIFS(Annual_Cost!$Y$2:$Y$1353,Annual_Cost!$A$2:$A$1353,A112,Annual_Cost!$B$2:$B$1353,B112)</f>
        <v>4410713.1771634752</v>
      </c>
      <c r="G112" s="21">
        <f>SUMIFS($E$2:E112,$A$2:A112,A112)</f>
        <v>20832953.5819925</v>
      </c>
      <c r="H112" s="21">
        <f>SUMIFS($F$2:F112,$A$2:A112,A112)</f>
        <v>18525513.384658612</v>
      </c>
    </row>
    <row r="113" spans="1:8">
      <c r="A113" t="s">
        <v>205</v>
      </c>
      <c r="B113" s="18">
        <v>2032</v>
      </c>
      <c r="C113" s="21">
        <f>SUMIFS(Annual_Cost!$Q$2:$Q$1353,Annual_Cost!$A$2:$A$1353,A113,Annual_Cost!$B$2:$B$1353,B113)</f>
        <v>12408403.121389452</v>
      </c>
      <c r="D113" s="21">
        <f>SUMIFS(Annual_Cost!$R$2:$R$1353,Annual_Cost!$A$2:$A$1353,A113,Annual_Cost!$B$2:$B$1353,B113)</f>
        <v>18468372.844575007</v>
      </c>
      <c r="E113" s="21">
        <f>SUMIFS(Annual_Cost!$S$2:$S$1353,Annual_Cost!$A$2:$A$1353,A113,Annual_Cost!$B$2:$B$1353,B113)</f>
        <v>6059969.7231855541</v>
      </c>
      <c r="F113" s="21">
        <f>SUMIFS(Annual_Cost!$Y$2:$Y$1353,Annual_Cost!$A$2:$A$1353,A113,Annual_Cost!$B$2:$B$1353,B113)</f>
        <v>4927309.9409199078</v>
      </c>
      <c r="G113" s="21">
        <f>SUMIFS($E$2:E113,$A$2:A113,A113)</f>
        <v>26892923.305178054</v>
      </c>
      <c r="H113" s="21">
        <f>SUMIFS($F$2:F113,$A$2:A113,A113)</f>
        <v>23452823.325578518</v>
      </c>
    </row>
    <row r="114" spans="1:8">
      <c r="A114" t="s">
        <v>205</v>
      </c>
      <c r="B114" s="18">
        <v>2033</v>
      </c>
      <c r="C114" s="21">
        <f>SUMIFS(Annual_Cost!$Q$2:$Q$1353,Annual_Cost!$A$2:$A$1353,A114,Annual_Cost!$B$2:$B$1353,B114)</f>
        <v>12484771.25726245</v>
      </c>
      <c r="D114" s="21">
        <f>SUMIFS(Annual_Cost!$R$2:$R$1353,Annual_Cost!$A$2:$A$1353,A114,Annual_Cost!$B$2:$B$1353,B114)</f>
        <v>19347816.554535199</v>
      </c>
      <c r="E114" s="21">
        <f>SUMIFS(Annual_Cost!$S$2:$S$1353,Annual_Cost!$A$2:$A$1353,A114,Annual_Cost!$B$2:$B$1353,B114)</f>
        <v>6863045.2972727492</v>
      </c>
      <c r="F114" s="21">
        <f>SUMIFS(Annual_Cost!$Y$2:$Y$1353,Annual_Cost!$A$2:$A$1353,A114,Annual_Cost!$B$2:$B$1353,B114)</f>
        <v>5417751.3331819382</v>
      </c>
      <c r="G114" s="21">
        <f>SUMIFS($E$2:E114,$A$2:A114,A114)</f>
        <v>33755968.602450803</v>
      </c>
      <c r="H114" s="21">
        <f>SUMIFS($F$2:F114,$A$2:A114,A114)</f>
        <v>28870574.658760458</v>
      </c>
    </row>
    <row r="115" spans="1:8">
      <c r="A115" t="s">
        <v>205</v>
      </c>
      <c r="B115" s="18">
        <v>2034</v>
      </c>
      <c r="C115" s="21">
        <f>SUMIFS(Annual_Cost!$Q$2:$Q$1353,Annual_Cost!$A$2:$A$1353,A115,Annual_Cost!$B$2:$B$1353,B115)</f>
        <v>12552896.746677844</v>
      </c>
      <c r="D115" s="21">
        <f>SUMIFS(Annual_Cost!$R$2:$R$1353,Annual_Cost!$A$2:$A$1353,A115,Annual_Cost!$B$2:$B$1353,B115)</f>
        <v>20224234.701232355</v>
      </c>
      <c r="E115" s="21">
        <f>SUMIFS(Annual_Cost!$S$2:$S$1353,Annual_Cost!$A$2:$A$1353,A115,Annual_Cost!$B$2:$B$1353,B115)</f>
        <v>7671337.9545545112</v>
      </c>
      <c r="F115" s="21">
        <f>SUMIFS(Annual_Cost!$Y$2:$Y$1353,Annual_Cost!$A$2:$A$1353,A115,Annual_Cost!$B$2:$B$1353,B115)</f>
        <v>5879441.7678333111</v>
      </c>
      <c r="G115" s="21">
        <f>SUMIFS($E$2:E115,$A$2:A115,A115)</f>
        <v>41427306.557005316</v>
      </c>
      <c r="H115" s="21">
        <f>SUMIFS($F$2:F115,$A$2:A115,A115)</f>
        <v>34750016.426593766</v>
      </c>
    </row>
    <row r="116" spans="1:8">
      <c r="A116" t="s">
        <v>205</v>
      </c>
      <c r="B116" s="18">
        <v>2035</v>
      </c>
      <c r="C116" s="21">
        <f>SUMIFS(Annual_Cost!$Q$2:$Q$1353,Annual_Cost!$A$2:$A$1353,A116,Annual_Cost!$B$2:$B$1353,B116)</f>
        <v>12609515.675799023</v>
      </c>
      <c r="D116" s="21">
        <f>SUMIFS(Annual_Cost!$R$2:$R$1353,Annual_Cost!$A$2:$A$1353,A116,Annual_Cost!$B$2:$B$1353,B116)</f>
        <v>21090671.035040785</v>
      </c>
      <c r="E116" s="21">
        <f>SUMIFS(Annual_Cost!$S$2:$S$1353,Annual_Cost!$A$2:$A$1353,A116,Annual_Cost!$B$2:$B$1353,B116)</f>
        <v>8481155.3592417613</v>
      </c>
      <c r="F116" s="21">
        <f>SUMIFS(Annual_Cost!$Y$2:$Y$1353,Annual_Cost!$A$2:$A$1353,A116,Annual_Cost!$B$2:$B$1353,B116)</f>
        <v>6310776.0941055436</v>
      </c>
      <c r="G116" s="21">
        <f>SUMIFS($E$2:E116,$A$2:A116,A116)</f>
        <v>49908461.916247077</v>
      </c>
      <c r="H116" s="21">
        <f>SUMIFS($F$2:F116,$A$2:A116,A116)</f>
        <v>41060792.520699307</v>
      </c>
    </row>
    <row r="117" spans="1:8">
      <c r="A117" t="s">
        <v>205</v>
      </c>
      <c r="B117" s="18">
        <v>2036</v>
      </c>
      <c r="C117" s="21">
        <f>SUMIFS(Annual_Cost!$Q$2:$Q$1353,Annual_Cost!$A$2:$A$1353,A117,Annual_Cost!$B$2:$B$1353,B117)</f>
        <v>12660384.16141011</v>
      </c>
      <c r="D117" s="21">
        <f>SUMIFS(Annual_Cost!$R$2:$R$1353,Annual_Cost!$A$2:$A$1353,A117,Annual_Cost!$B$2:$B$1353,B117)</f>
        <v>21955005.915380109</v>
      </c>
      <c r="E117" s="21">
        <f>SUMIFS(Annual_Cost!$S$2:$S$1353,Annual_Cost!$A$2:$A$1353,A117,Annual_Cost!$B$2:$B$1353,B117)</f>
        <v>9294621.753969999</v>
      </c>
      <c r="F117" s="21">
        <f>SUMIFS(Annual_Cost!$Y$2:$Y$1353,Annual_Cost!$A$2:$A$1353,A117,Annual_Cost!$B$2:$B$1353,B117)</f>
        <v>6714632.5130056338</v>
      </c>
      <c r="G117" s="21">
        <f>SUMIFS($E$2:E117,$A$2:A117,A117)</f>
        <v>59203083.670217074</v>
      </c>
      <c r="H117" s="21">
        <f>SUMIFS($F$2:F117,$A$2:A117,A117)</f>
        <v>47775425.033704944</v>
      </c>
    </row>
    <row r="118" spans="1:8">
      <c r="A118" t="s">
        <v>205</v>
      </c>
      <c r="B118" s="18">
        <v>2037</v>
      </c>
      <c r="C118" s="21">
        <f>SUMIFS(Annual_Cost!$Q$2:$Q$1353,Annual_Cost!$A$2:$A$1353,A118,Annual_Cost!$B$2:$B$1353,B118)</f>
        <v>12704226.669052476</v>
      </c>
      <c r="D118" s="21">
        <f>SUMIFS(Annual_Cost!$R$2:$R$1353,Annual_Cost!$A$2:$A$1353,A118,Annual_Cost!$B$2:$B$1353,B118)</f>
        <v>22813905.95161527</v>
      </c>
      <c r="E118" s="21">
        <f>SUMIFS(Annual_Cost!$S$2:$S$1353,Annual_Cost!$A$2:$A$1353,A118,Annual_Cost!$B$2:$B$1353,B118)</f>
        <v>10109679.282562794</v>
      </c>
      <c r="F118" s="21">
        <f>SUMIFS(Annual_Cost!$Y$2:$Y$1353,Annual_Cost!$A$2:$A$1353,A118,Annual_Cost!$B$2:$B$1353,B118)</f>
        <v>7090725.6439932762</v>
      </c>
      <c r="G118" s="21">
        <f>SUMIFS($E$2:E118,$A$2:A118,A118)</f>
        <v>69312762.952779874</v>
      </c>
      <c r="H118" s="21">
        <f>SUMIFS($F$2:F118,$A$2:A118,A118)</f>
        <v>54866150.677698217</v>
      </c>
    </row>
    <row r="119" spans="1:8">
      <c r="A119" t="s">
        <v>205</v>
      </c>
      <c r="B119" s="18">
        <v>2038</v>
      </c>
      <c r="C119" s="21">
        <f>SUMIFS(Annual_Cost!$Q$2:$Q$1353,Annual_Cost!$A$2:$A$1353,A119,Annual_Cost!$B$2:$B$1353,B119)</f>
        <v>12744070.154993778</v>
      </c>
      <c r="D119" s="21">
        <f>SUMIFS(Annual_Cost!$R$2:$R$1353,Annual_Cost!$A$2:$A$1353,A119,Annual_Cost!$B$2:$B$1353,B119)</f>
        <v>23671715.58420305</v>
      </c>
      <c r="E119" s="21">
        <f>SUMIFS(Annual_Cost!$S$2:$S$1353,Annual_Cost!$A$2:$A$1353,A119,Annual_Cost!$B$2:$B$1353,B119)</f>
        <v>10927645.429209271</v>
      </c>
      <c r="F119" s="21">
        <f>SUMIFS(Annual_Cost!$Y$2:$Y$1353,Annual_Cost!$A$2:$A$1353,A119,Annual_Cost!$B$2:$B$1353,B119)</f>
        <v>7441194.7979903789</v>
      </c>
      <c r="G119" s="21">
        <f>SUMIFS($E$2:E119,$A$2:A119,A119)</f>
        <v>80240408.381989151</v>
      </c>
      <c r="H119" s="21">
        <f>SUMIFS($F$2:F119,$A$2:A119,A119)</f>
        <v>62307345.475688599</v>
      </c>
    </row>
    <row r="120" spans="1:8">
      <c r="A120" t="s">
        <v>205</v>
      </c>
      <c r="B120" s="18">
        <v>2039</v>
      </c>
      <c r="C120" s="21">
        <f>SUMIFS(Annual_Cost!$Q$2:$Q$1353,Annual_Cost!$A$2:$A$1353,A120,Annual_Cost!$B$2:$B$1353,B120)</f>
        <v>12783869.262642244</v>
      </c>
      <c r="D120" s="21">
        <f>SUMIFS(Annual_Cost!$R$2:$R$1353,Annual_Cost!$A$2:$A$1353,A120,Annual_Cost!$B$2:$B$1353,B120)</f>
        <v>24535301.475063503</v>
      </c>
      <c r="E120" s="21">
        <f>SUMIFS(Annual_Cost!$S$2:$S$1353,Annual_Cost!$A$2:$A$1353,A120,Annual_Cost!$B$2:$B$1353,B120)</f>
        <v>11751432.212421259</v>
      </c>
      <c r="F120" s="21">
        <f>SUMIFS(Annual_Cost!$Y$2:$Y$1353,Annual_Cost!$A$2:$A$1353,A120,Annual_Cost!$B$2:$B$1353,B120)</f>
        <v>7769081.0795021849</v>
      </c>
      <c r="G120" s="21">
        <f>SUMIFS($E$2:E120,$A$2:A120,A120)</f>
        <v>91991840.594410405</v>
      </c>
      <c r="H120" s="21">
        <f>SUMIFS($F$2:F120,$A$2:A120,A120)</f>
        <v>70076426.555190787</v>
      </c>
    </row>
    <row r="121" spans="1:8">
      <c r="A121" t="s">
        <v>205</v>
      </c>
      <c r="B121" s="18">
        <v>2040</v>
      </c>
      <c r="C121" s="21">
        <f>SUMIFS(Annual_Cost!$Q$2:$Q$1353,Annual_Cost!$A$2:$A$1353,A121,Annual_Cost!$B$2:$B$1353,B121)</f>
        <v>12822024.692708211</v>
      </c>
      <c r="D121" s="21">
        <f>SUMIFS(Annual_Cost!$R$2:$R$1353,Annual_Cost!$A$2:$A$1353,A121,Annual_Cost!$B$2:$B$1353,B121)</f>
        <v>25401503.856558908</v>
      </c>
      <c r="E121" s="21">
        <f>SUMIFS(Annual_Cost!$S$2:$S$1353,Annual_Cost!$A$2:$A$1353,A121,Annual_Cost!$B$2:$B$1353,B121)</f>
        <v>12579479.163850697</v>
      </c>
      <c r="F121" s="21">
        <f>SUMIFS(Annual_Cost!$Y$2:$Y$1353,Annual_Cost!$A$2:$A$1353,A121,Annual_Cost!$B$2:$B$1353,B121)</f>
        <v>8074288.9933456415</v>
      </c>
      <c r="G121" s="21">
        <f>SUMIFS($E$2:E121,$A$2:A121,A121)</f>
        <v>104571319.7582611</v>
      </c>
      <c r="H121" s="21">
        <f>SUMIFS($F$2:F121,$A$2:A121,A121)</f>
        <v>78150715.548536435</v>
      </c>
    </row>
    <row r="122" spans="1:8">
      <c r="A122" t="s">
        <v>205</v>
      </c>
      <c r="B122" s="18">
        <v>2041</v>
      </c>
      <c r="C122" s="21">
        <f>SUMIFS(Annual_Cost!$Q$2:$Q$1353,Annual_Cost!$A$2:$A$1353,A122,Annual_Cost!$B$2:$B$1353,B122)</f>
        <v>12845688.390847838</v>
      </c>
      <c r="D122" s="21">
        <f>SUMIFS(Annual_Cost!$R$2:$R$1353,Annual_Cost!$A$2:$A$1353,A122,Annual_Cost!$B$2:$B$1353,B122)</f>
        <v>26243747.04176607</v>
      </c>
      <c r="E122" s="21">
        <f>SUMIFS(Annual_Cost!$S$2:$S$1353,Annual_Cost!$A$2:$A$1353,A122,Annual_Cost!$B$2:$B$1353,B122)</f>
        <v>13398058.650918232</v>
      </c>
      <c r="F122" s="21">
        <f>SUMIFS(Annual_Cost!$Y$2:$Y$1353,Annual_Cost!$A$2:$A$1353,A122,Annual_Cost!$B$2:$B$1353,B122)</f>
        <v>8349227.2009842889</v>
      </c>
      <c r="G122" s="21">
        <f>SUMIFS($E$2:E122,$A$2:A122,A122)</f>
        <v>117969378.40917933</v>
      </c>
      <c r="H122" s="21">
        <f>SUMIFS($F$2:F122,$A$2:A122,A122)</f>
        <v>86499942.749520719</v>
      </c>
    </row>
    <row r="123" spans="1:8">
      <c r="A123" t="s">
        <v>205</v>
      </c>
      <c r="B123" s="18">
        <v>2042</v>
      </c>
      <c r="C123" s="21">
        <f>SUMIFS(Annual_Cost!$Q$2:$Q$1353,Annual_Cost!$A$2:$A$1353,A123,Annual_Cost!$B$2:$B$1353,B123)</f>
        <v>12855646.164398057</v>
      </c>
      <c r="D123" s="21">
        <f>SUMIFS(Annual_Cost!$R$2:$R$1353,Annual_Cost!$A$2:$A$1353,A123,Annual_Cost!$B$2:$B$1353,B123)</f>
        <v>27060980.586407132</v>
      </c>
      <c r="E123" s="21">
        <f>SUMIFS(Annual_Cost!$S$2:$S$1353,Annual_Cost!$A$2:$A$1353,A123,Annual_Cost!$B$2:$B$1353,B123)</f>
        <v>14205334.422009075</v>
      </c>
      <c r="F123" s="21">
        <f>SUMIFS(Annual_Cost!$Y$2:$Y$1353,Annual_Cost!$A$2:$A$1353,A123,Annual_Cost!$B$2:$B$1353,B123)</f>
        <v>8594460.9440403171</v>
      </c>
      <c r="G123" s="21">
        <f>SUMIFS($E$2:E123,$A$2:A123,A123)</f>
        <v>132174712.83118841</v>
      </c>
      <c r="H123" s="21">
        <f>SUMIFS($F$2:F123,$A$2:A123,A123)</f>
        <v>95094403.693561032</v>
      </c>
    </row>
    <row r="124" spans="1:8">
      <c r="A124" t="s">
        <v>205</v>
      </c>
      <c r="B124" s="18">
        <v>2043</v>
      </c>
      <c r="C124" s="21">
        <f>SUMIFS(Annual_Cost!$Q$2:$Q$1353,Annual_Cost!$A$2:$A$1353,A124,Annual_Cost!$B$2:$B$1353,B124)</f>
        <v>12855054.32666941</v>
      </c>
      <c r="D124" s="21">
        <f>SUMIFS(Annual_Cost!$R$2:$R$1353,Annual_Cost!$A$2:$A$1353,A124,Annual_Cost!$B$2:$B$1353,B124)</f>
        <v>27857450.150595348</v>
      </c>
      <c r="E124" s="21">
        <f>SUMIFS(Annual_Cost!$S$2:$S$1353,Annual_Cost!$A$2:$A$1353,A124,Annual_Cost!$B$2:$B$1353,B124)</f>
        <v>15002395.823925938</v>
      </c>
      <c r="F124" s="21">
        <f>SUMIFS(Annual_Cost!$Y$2:$Y$1353,Annual_Cost!$A$2:$A$1353,A124,Annual_Cost!$B$2:$B$1353,B124)</f>
        <v>8812326.408299135</v>
      </c>
      <c r="G124" s="21">
        <f>SUMIFS($E$2:E124,$A$2:A124,A124)</f>
        <v>147177108.65511435</v>
      </c>
      <c r="H124" s="21">
        <f>SUMIFS($F$2:F124,$A$2:A124,A124)</f>
        <v>103906730.10186017</v>
      </c>
    </row>
    <row r="125" spans="1:8">
      <c r="A125" t="s">
        <v>205</v>
      </c>
      <c r="B125" s="18">
        <v>2044</v>
      </c>
      <c r="C125" s="21">
        <f>SUMIFS(Annual_Cost!$Q$2:$Q$1353,Annual_Cost!$A$2:$A$1353,A125,Annual_Cost!$B$2:$B$1353,B125)</f>
        <v>12844014.103364104</v>
      </c>
      <c r="D125" s="21">
        <f>SUMIFS(Annual_Cost!$R$2:$R$1353,Annual_Cost!$A$2:$A$1353,A125,Annual_Cost!$B$2:$B$1353,B125)</f>
        <v>28631381.685471725</v>
      </c>
      <c r="E125" s="21">
        <f>SUMIFS(Annual_Cost!$S$2:$S$1353,Annual_Cost!$A$2:$A$1353,A125,Annual_Cost!$B$2:$B$1353,B125)</f>
        <v>15787367.58210762</v>
      </c>
      <c r="F125" s="21">
        <f>SUMIFS(Annual_Cost!$Y$2:$Y$1353,Annual_Cost!$A$2:$A$1353,A125,Annual_Cost!$B$2:$B$1353,B125)</f>
        <v>9003315.1322195418</v>
      </c>
      <c r="G125" s="21">
        <f>SUMIFS($E$2:E125,$A$2:A125,A125)</f>
        <v>162964476.23722199</v>
      </c>
      <c r="H125" s="21">
        <f>SUMIFS($F$2:F125,$A$2:A125,A125)</f>
        <v>112910045.2340797</v>
      </c>
    </row>
    <row r="126" spans="1:8">
      <c r="A126" t="s">
        <v>205</v>
      </c>
      <c r="B126" s="18">
        <v>2045</v>
      </c>
      <c r="C126" s="21">
        <f>SUMIFS(Annual_Cost!$Q$2:$Q$1353,Annual_Cost!$A$2:$A$1353,A126,Annual_Cost!$B$2:$B$1353,B126)</f>
        <v>12818542.833772166</v>
      </c>
      <c r="D126" s="21">
        <f>SUMIFS(Annual_Cost!$R$2:$R$1353,Annual_Cost!$A$2:$A$1353,A126,Annual_Cost!$B$2:$B$1353,B126)</f>
        <v>29371635.293664098</v>
      </c>
      <c r="E126" s="21">
        <f>SUMIFS(Annual_Cost!$S$2:$S$1353,Annual_Cost!$A$2:$A$1353,A126,Annual_Cost!$B$2:$B$1353,B126)</f>
        <v>16553092.459891932</v>
      </c>
      <c r="F126" s="21">
        <f>SUMIFS(Annual_Cost!$Y$2:$Y$1353,Annual_Cost!$A$2:$A$1353,A126,Annual_Cost!$B$2:$B$1353,B126)</f>
        <v>9165045.9518468007</v>
      </c>
      <c r="G126" s="21">
        <f>SUMIFS($E$2:E126,$A$2:A126,A126)</f>
        <v>179517568.69711393</v>
      </c>
      <c r="H126" s="21">
        <f>SUMIFS($F$2:F126,$A$2:A126,A126)</f>
        <v>122075091.1859265</v>
      </c>
    </row>
    <row r="127" spans="1:8">
      <c r="A127" t="s">
        <v>205</v>
      </c>
      <c r="B127" s="18">
        <v>2046</v>
      </c>
      <c r="C127" s="21">
        <f>SUMIFS(Annual_Cost!$Q$2:$Q$1353,Annual_Cost!$A$2:$A$1353,A127,Annual_Cost!$B$2:$B$1353,B127)</f>
        <v>12772489.038047796</v>
      </c>
      <c r="D127" s="21">
        <f>SUMIFS(Annual_Cost!$R$2:$R$1353,Annual_Cost!$A$2:$A$1353,A127,Annual_Cost!$B$2:$B$1353,B127)</f>
        <v>30060935.708007265</v>
      </c>
      <c r="E127" s="21">
        <f>SUMIFS(Annual_Cost!$S$2:$S$1353,Annual_Cost!$A$2:$A$1353,A127,Annual_Cost!$B$2:$B$1353,B127)</f>
        <v>17288446.669959471</v>
      </c>
      <c r="F127" s="21">
        <f>SUMIFS(Annual_Cost!$Y$2:$Y$1353,Annual_Cost!$A$2:$A$1353,A127,Annual_Cost!$B$2:$B$1353,B127)</f>
        <v>9293391.9890291672</v>
      </c>
      <c r="G127" s="21">
        <f>SUMIFS($E$2:E127,$A$2:A127,A127)</f>
        <v>196806015.36707342</v>
      </c>
      <c r="H127" s="21">
        <f>SUMIFS($F$2:F127,$A$2:A127,A127)</f>
        <v>131368483.17495567</v>
      </c>
    </row>
    <row r="128" spans="1:8">
      <c r="A128" t="s">
        <v>205</v>
      </c>
      <c r="B128" s="18">
        <v>2047</v>
      </c>
      <c r="C128" s="21">
        <f>SUMIFS(Annual_Cost!$Q$2:$Q$1353,Annual_Cost!$A$2:$A$1353,A128,Annual_Cost!$B$2:$B$1353,B128)</f>
        <v>12710745.392211011</v>
      </c>
      <c r="D128" s="21">
        <f>SUMIFS(Annual_Cost!$R$2:$R$1353,Annual_Cost!$A$2:$A$1353,A128,Annual_Cost!$B$2:$B$1353,B128)</f>
        <v>30707187.767049968</v>
      </c>
      <c r="E128" s="21">
        <f>SUMIFS(Annual_Cost!$S$2:$S$1353,Annual_Cost!$A$2:$A$1353,A128,Annual_Cost!$B$2:$B$1353,B128)</f>
        <v>17996442.374838956</v>
      </c>
      <c r="F128" s="21">
        <f>SUMIFS(Annual_Cost!$Y$2:$Y$1353,Annual_Cost!$A$2:$A$1353,A128,Annual_Cost!$B$2:$B$1353,B128)</f>
        <v>9392208.3179940395</v>
      </c>
      <c r="G128" s="21">
        <f>SUMIFS($E$2:E128,$A$2:A128,A128)</f>
        <v>214802457.74191236</v>
      </c>
      <c r="H128" s="21">
        <f>SUMIFS($F$2:F128,$A$2:A128,A128)</f>
        <v>140760691.49294969</v>
      </c>
    </row>
    <row r="129" spans="1:8">
      <c r="A129" t="s">
        <v>205</v>
      </c>
      <c r="B129" s="18">
        <v>2048</v>
      </c>
      <c r="C129" s="21">
        <f>SUMIFS(Annual_Cost!$Q$2:$Q$1353,Annual_Cost!$A$2:$A$1353,A129,Annual_Cost!$B$2:$B$1353,B129)</f>
        <v>12643687.478670936</v>
      </c>
      <c r="D129" s="21">
        <f>SUMIFS(Annual_Cost!$R$2:$R$1353,Annual_Cost!$A$2:$A$1353,A129,Annual_Cost!$B$2:$B$1353,B129)</f>
        <v>31333167.565250847</v>
      </c>
      <c r="E129" s="21">
        <f>SUMIFS(Annual_Cost!$S$2:$S$1353,Annual_Cost!$A$2:$A$1353,A129,Annual_Cost!$B$2:$B$1353,B129)</f>
        <v>18689480.086579911</v>
      </c>
      <c r="F129" s="21">
        <f>SUMIFS(Annual_Cost!$Y$2:$Y$1353,Annual_Cost!$A$2:$A$1353,A129,Annual_Cost!$B$2:$B$1353,B129)</f>
        <v>9469805.3423111364</v>
      </c>
      <c r="G129" s="21">
        <f>SUMIFS($E$2:E129,$A$2:A129,A129)</f>
        <v>233491937.82849228</v>
      </c>
      <c r="H129" s="21">
        <f>SUMIFS($F$2:F129,$A$2:A129,A129)</f>
        <v>150230496.83526084</v>
      </c>
    </row>
    <row r="130" spans="1:8">
      <c r="A130" t="s">
        <v>205</v>
      </c>
      <c r="B130" s="18">
        <v>2049</v>
      </c>
      <c r="C130" s="21">
        <f>SUMIFS(Annual_Cost!$Q$2:$Q$1353,Annual_Cost!$A$2:$A$1353,A130,Annual_Cost!$B$2:$B$1353,B130)</f>
        <v>12575646.905215619</v>
      </c>
      <c r="D130" s="21">
        <f>SUMIFS(Annual_Cost!$R$2:$R$1353,Annual_Cost!$A$2:$A$1353,A130,Annual_Cost!$B$2:$B$1353,B130)</f>
        <v>31948836.50009232</v>
      </c>
      <c r="E130" s="21">
        <f>SUMIFS(Annual_Cost!$S$2:$S$1353,Annual_Cost!$A$2:$A$1353,A130,Annual_Cost!$B$2:$B$1353,B130)</f>
        <v>19373189.594876699</v>
      </c>
      <c r="F130" s="21">
        <f>SUMIFS(Annual_Cost!$Y$2:$Y$1353,Annual_Cost!$A$2:$A$1353,A130,Annual_Cost!$B$2:$B$1353,B130)</f>
        <v>9530325.5422214009</v>
      </c>
      <c r="G130" s="21">
        <f>SUMIFS($E$2:E130,$A$2:A130,A130)</f>
        <v>252865127.42336899</v>
      </c>
      <c r="H130" s="21">
        <f>SUMIFS($F$2:F130,$A$2:A130,A130)</f>
        <v>159760822.37748224</v>
      </c>
    </row>
    <row r="131" spans="1:8">
      <c r="A131" t="s">
        <v>205</v>
      </c>
      <c r="B131" s="18">
        <v>2050</v>
      </c>
      <c r="C131" s="21">
        <f>SUMIFS(Annual_Cost!$Q$2:$Q$1353,Annual_Cost!$A$2:$A$1353,A131,Annual_Cost!$B$2:$B$1353,B131)</f>
        <v>12502064.649196867</v>
      </c>
      <c r="D131" s="21">
        <f>SUMIFS(Annual_Cost!$R$2:$R$1353,Annual_Cost!$A$2:$A$1353,A131,Annual_Cost!$B$2:$B$1353,B131)</f>
        <v>32542040.255607881</v>
      </c>
      <c r="E131" s="21">
        <f>SUMIFS(Annual_Cost!$S$2:$S$1353,Annual_Cost!$A$2:$A$1353,A131,Annual_Cost!$B$2:$B$1353,B131)</f>
        <v>20039975.606411014</v>
      </c>
      <c r="F131" s="21">
        <f>SUMIFS(Annual_Cost!$Y$2:$Y$1353,Annual_Cost!$A$2:$A$1353,A131,Annual_Cost!$B$2:$B$1353,B131)</f>
        <v>9571203.9574897047</v>
      </c>
      <c r="G131" s="21">
        <f>SUMIFS($E$2:E131,$A$2:A131,A131)</f>
        <v>272905103.02978003</v>
      </c>
      <c r="H131" s="21">
        <f>SUMIFS($F$2:F131,$A$2:A131,A131)</f>
        <v>169332026.33497193</v>
      </c>
    </row>
    <row r="132" spans="1:8">
      <c r="A132" t="s">
        <v>212</v>
      </c>
      <c r="B132" s="18">
        <v>2025</v>
      </c>
      <c r="C132" s="21">
        <f>SUMIFS(Annual_Cost!$Q$2:$Q$1353,Annual_Cost!$A$2:$A$1353,A132,Annual_Cost!$B$2:$B$1353,B132)</f>
        <v>49633305.967533663</v>
      </c>
      <c r="D132" s="21">
        <f>SUMIFS(Annual_Cost!$R$2:$R$1353,Annual_Cost!$A$2:$A$1353,A132,Annual_Cost!$B$2:$B$1353,B132)</f>
        <v>62996575.550374612</v>
      </c>
      <c r="E132" s="21">
        <f>SUMIFS(Annual_Cost!$S$2:$S$1353,Annual_Cost!$A$2:$A$1353,A132,Annual_Cost!$B$2:$B$1353,B132)</f>
        <v>13363269.582840949</v>
      </c>
      <c r="F132" s="21">
        <f>SUMIFS(Annual_Cost!$Y$2:$Y$1353,Annual_Cost!$A$2:$A$1353,A132,Annual_Cost!$B$2:$B$1353,B132)</f>
        <v>13363269.582840949</v>
      </c>
      <c r="G132" s="21">
        <f>SUMIFS($E$2:E132,$A$2:A132,A132)</f>
        <v>13363269.582840949</v>
      </c>
      <c r="H132" s="21">
        <f>SUMIFS($F$2:F132,$A$2:A132,A132)</f>
        <v>13363269.582840949</v>
      </c>
    </row>
    <row r="133" spans="1:8">
      <c r="A133" t="s">
        <v>212</v>
      </c>
      <c r="B133" s="18">
        <v>2026</v>
      </c>
      <c r="C133" s="21">
        <f>SUMIFS(Annual_Cost!$Q$2:$Q$1353,Annual_Cost!$A$2:$A$1353,A133,Annual_Cost!$B$2:$B$1353,B133)</f>
        <v>49729893.454674937</v>
      </c>
      <c r="D133" s="21">
        <f>SUMIFS(Annual_Cost!$R$2:$R$1353,Annual_Cost!$A$2:$A$1353,A133,Annual_Cost!$B$2:$B$1353,B133)</f>
        <v>76509146.154683024</v>
      </c>
      <c r="E133" s="21">
        <f>SUMIFS(Annual_Cost!$S$2:$S$1353,Annual_Cost!$A$2:$A$1353,A133,Annual_Cost!$B$2:$B$1353,B133)</f>
        <v>26779252.700008087</v>
      </c>
      <c r="F133" s="21">
        <f>SUMIFS(Annual_Cost!$Y$2:$Y$1353,Annual_Cost!$A$2:$A$1353,A133,Annual_Cost!$B$2:$B$1353,B133)</f>
        <v>25999274.466027271</v>
      </c>
      <c r="G133" s="21">
        <f>SUMIFS($E$2:E133,$A$2:A133,A133)</f>
        <v>40142522.282849036</v>
      </c>
      <c r="H133" s="21">
        <f>SUMIFS($F$2:F133,$A$2:A133,A133)</f>
        <v>39362544.048868224</v>
      </c>
    </row>
    <row r="134" spans="1:8">
      <c r="A134" t="s">
        <v>212</v>
      </c>
      <c r="B134" s="18">
        <v>2027</v>
      </c>
      <c r="C134" s="21">
        <f>SUMIFS(Annual_Cost!$Q$2:$Q$1353,Annual_Cost!$A$2:$A$1353,A134,Annual_Cost!$B$2:$B$1353,B134)</f>
        <v>49907864.250954308</v>
      </c>
      <c r="D134" s="21">
        <f>SUMIFS(Annual_Cost!$R$2:$R$1353,Annual_Cost!$A$2:$A$1353,A134,Annual_Cost!$B$2:$B$1353,B134)</f>
        <v>90221773.306734875</v>
      </c>
      <c r="E134" s="21">
        <f>SUMIFS(Annual_Cost!$S$2:$S$1353,Annual_Cost!$A$2:$A$1353,A134,Annual_Cost!$B$2:$B$1353,B134)</f>
        <v>40313909.055780567</v>
      </c>
      <c r="F134" s="21">
        <f>SUMIFS(Annual_Cost!$Y$2:$Y$1353,Annual_Cost!$A$2:$A$1353,A134,Annual_Cost!$B$2:$B$1353,B134)</f>
        <v>37999725.757168978</v>
      </c>
      <c r="G134" s="21">
        <f>SUMIFS($E$2:E134,$A$2:A134,A134)</f>
        <v>80456431.338629603</v>
      </c>
      <c r="H134" s="21">
        <f>SUMIFS($F$2:F134,$A$2:A134,A134)</f>
        <v>77362269.806037202</v>
      </c>
    </row>
    <row r="135" spans="1:8">
      <c r="A135" t="s">
        <v>212</v>
      </c>
      <c r="B135" s="18">
        <v>2028</v>
      </c>
      <c r="C135" s="21">
        <f>SUMIFS(Annual_Cost!$Q$2:$Q$1353,Annual_Cost!$A$2:$A$1353,A135,Annual_Cost!$B$2:$B$1353,B135)</f>
        <v>50125452.803870425</v>
      </c>
      <c r="D135" s="21">
        <f>SUMIFS(Annual_Cost!$R$2:$R$1353,Annual_Cost!$A$2:$A$1353,A135,Annual_Cost!$B$2:$B$1353,B135)</f>
        <v>104113651.40675883</v>
      </c>
      <c r="E135" s="21">
        <f>SUMIFS(Annual_Cost!$S$2:$S$1353,Annual_Cost!$A$2:$A$1353,A135,Annual_Cost!$B$2:$B$1353,B135)</f>
        <v>53988198.602888405</v>
      </c>
      <c r="F135" s="21">
        <f>SUMIFS(Annual_Cost!$Y$2:$Y$1353,Annual_Cost!$A$2:$A$1353,A135,Annual_Cost!$B$2:$B$1353,B135)</f>
        <v>49406849.654935226</v>
      </c>
      <c r="G135" s="21">
        <f>SUMIFS($E$2:E135,$A$2:A135,A135)</f>
        <v>134444629.94151801</v>
      </c>
      <c r="H135" s="21">
        <f>SUMIFS($F$2:F135,$A$2:A135,A135)</f>
        <v>126769119.46097243</v>
      </c>
    </row>
    <row r="136" spans="1:8">
      <c r="A136" t="s">
        <v>212</v>
      </c>
      <c r="B136" s="18">
        <v>2029</v>
      </c>
      <c r="C136" s="21">
        <f>SUMIFS(Annual_Cost!$Q$2:$Q$1353,Annual_Cost!$A$2:$A$1353,A136,Annual_Cost!$B$2:$B$1353,B136)</f>
        <v>50348859.905711301</v>
      </c>
      <c r="D136" s="21">
        <f>SUMIFS(Annual_Cost!$R$2:$R$1353,Annual_Cost!$A$2:$A$1353,A136,Annual_Cost!$B$2:$B$1353,B136)</f>
        <v>118137660.68026611</v>
      </c>
      <c r="E136" s="21">
        <f>SUMIFS(Annual_Cost!$S$2:$S$1353,Annual_Cost!$A$2:$A$1353,A136,Annual_Cost!$B$2:$B$1353,B136)</f>
        <v>67788800.774554819</v>
      </c>
      <c r="F136" s="21">
        <f>SUMIFS(Annual_Cost!$Y$2:$Y$1353,Annual_Cost!$A$2:$A$1353,A136,Annual_Cost!$B$2:$B$1353,B136)</f>
        <v>60229471.481928982</v>
      </c>
      <c r="G136" s="21">
        <f>SUMIFS($E$2:E136,$A$2:A136,A136)</f>
        <v>202233430.71607283</v>
      </c>
      <c r="H136" s="21">
        <f>SUMIFS($F$2:F136,$A$2:A136,A136)</f>
        <v>186998590.9429014</v>
      </c>
    </row>
    <row r="137" spans="1:8">
      <c r="A137" t="s">
        <v>212</v>
      </c>
      <c r="B137" s="18">
        <v>2030</v>
      </c>
      <c r="C137" s="21">
        <f>SUMIFS(Annual_Cost!$Q$2:$Q$1353,Annual_Cost!$A$2:$A$1353,A137,Annual_Cost!$B$2:$B$1353,B137)</f>
        <v>50572606.253608219</v>
      </c>
      <c r="D137" s="21">
        <f>SUMIFS(Annual_Cost!$R$2:$R$1353,Annual_Cost!$A$2:$A$1353,A137,Annual_Cost!$B$2:$B$1353,B137)</f>
        <v>132284329.43489239</v>
      </c>
      <c r="E137" s="21">
        <f>SUMIFS(Annual_Cost!$S$2:$S$1353,Annual_Cost!$A$2:$A$1353,A137,Annual_Cost!$B$2:$B$1353,B137)</f>
        <v>81711723.181284159</v>
      </c>
      <c r="F137" s="21">
        <f>SUMIFS(Annual_Cost!$Y$2:$Y$1353,Annual_Cost!$A$2:$A$1353,A137,Annual_Cost!$B$2:$B$1353,B137)</f>
        <v>70485250.203342855</v>
      </c>
      <c r="G137" s="21">
        <f>SUMIFS($E$2:E137,$A$2:A137,A137)</f>
        <v>283945153.89735699</v>
      </c>
      <c r="H137" s="21">
        <f>SUMIFS($F$2:F137,$A$2:A137,A137)</f>
        <v>257483841.14624426</v>
      </c>
    </row>
    <row r="138" spans="1:8">
      <c r="A138" t="s">
        <v>212</v>
      </c>
      <c r="B138" s="18">
        <v>2031</v>
      </c>
      <c r="C138" s="21">
        <f>SUMIFS(Annual_Cost!$Q$2:$Q$1353,Annual_Cost!$A$2:$A$1353,A138,Annual_Cost!$B$2:$B$1353,B138)</f>
        <v>50808634.011389188</v>
      </c>
      <c r="D138" s="21">
        <f>SUMIFS(Annual_Cost!$R$2:$R$1353,Annual_Cost!$A$2:$A$1353,A138,Annual_Cost!$B$2:$B$1353,B138)</f>
        <v>146588541.78222105</v>
      </c>
      <c r="E138" s="21">
        <f>SUMIFS(Annual_Cost!$S$2:$S$1353,Annual_Cost!$A$2:$A$1353,A138,Annual_Cost!$B$2:$B$1353,B138)</f>
        <v>95779907.770831853</v>
      </c>
      <c r="F138" s="21">
        <f>SUMIFS(Annual_Cost!$Y$2:$Y$1353,Annual_Cost!$A$2:$A$1353,A138,Annual_Cost!$B$2:$B$1353,B138)</f>
        <v>80214164.86468409</v>
      </c>
      <c r="G138" s="21">
        <f>SUMIFS($E$2:E138,$A$2:A138,A138)</f>
        <v>379725061.66818881</v>
      </c>
      <c r="H138" s="21">
        <f>SUMIFS($F$2:F138,$A$2:A138,A138)</f>
        <v>337698006.01092833</v>
      </c>
    </row>
    <row r="139" spans="1:8">
      <c r="A139" t="s">
        <v>212</v>
      </c>
      <c r="B139" s="18">
        <v>2032</v>
      </c>
      <c r="C139" s="21">
        <f>SUMIFS(Annual_Cost!$Q$2:$Q$1353,Annual_Cost!$A$2:$A$1353,A139,Annual_Cost!$B$2:$B$1353,B139)</f>
        <v>51081205.422169626</v>
      </c>
      <c r="D139" s="21">
        <f>SUMIFS(Annual_Cost!$R$2:$R$1353,Annual_Cost!$A$2:$A$1353,A139,Annual_Cost!$B$2:$B$1353,B139)</f>
        <v>161136905.21736369</v>
      </c>
      <c r="E139" s="21">
        <f>SUMIFS(Annual_Cost!$S$2:$S$1353,Annual_Cost!$A$2:$A$1353,A139,Annual_Cost!$B$2:$B$1353,B139)</f>
        <v>110055699.79519406</v>
      </c>
      <c r="F139" s="21">
        <f>SUMIFS(Annual_Cost!$Y$2:$Y$1353,Annual_Cost!$A$2:$A$1353,A139,Annual_Cost!$B$2:$B$1353,B139)</f>
        <v>89485355.27842477</v>
      </c>
      <c r="G139" s="21">
        <f>SUMIFS($E$2:E139,$A$2:A139,A139)</f>
        <v>489780761.46338284</v>
      </c>
      <c r="H139" s="21">
        <f>SUMIFS($F$2:F139,$A$2:A139,A139)</f>
        <v>427183361.28935313</v>
      </c>
    </row>
    <row r="140" spans="1:8">
      <c r="A140" t="s">
        <v>212</v>
      </c>
      <c r="B140" s="18">
        <v>2033</v>
      </c>
      <c r="C140" s="21">
        <f>SUMIFS(Annual_Cost!$Q$2:$Q$1353,Annual_Cost!$A$2:$A$1353,A140,Annual_Cost!$B$2:$B$1353,B140)</f>
        <v>51378379.742533356</v>
      </c>
      <c r="D140" s="21">
        <f>SUMIFS(Annual_Cost!$R$2:$R$1353,Annual_Cost!$A$2:$A$1353,A140,Annual_Cost!$B$2:$B$1353,B140)</f>
        <v>175918209.28210747</v>
      </c>
      <c r="E140" s="21">
        <f>SUMIFS(Annual_Cost!$S$2:$S$1353,Annual_Cost!$A$2:$A$1353,A140,Annual_Cost!$B$2:$B$1353,B140)</f>
        <v>124539829.53957412</v>
      </c>
      <c r="F140" s="21">
        <f>SUMIFS(Annual_Cost!$Y$2:$Y$1353,Annual_Cost!$A$2:$A$1353,A140,Annual_Cost!$B$2:$B$1353,B140)</f>
        <v>98312891.478423283</v>
      </c>
      <c r="G140" s="21">
        <f>SUMIFS($E$2:E140,$A$2:A140,A140)</f>
        <v>614320591.00295699</v>
      </c>
      <c r="H140" s="21">
        <f>SUMIFS($F$2:F140,$A$2:A140,A140)</f>
        <v>525496252.76777643</v>
      </c>
    </row>
    <row r="141" spans="1:8">
      <c r="A141" t="s">
        <v>212</v>
      </c>
      <c r="B141" s="18">
        <v>2034</v>
      </c>
      <c r="C141" s="21">
        <f>SUMIFS(Annual_Cost!$Q$2:$Q$1353,Annual_Cost!$A$2:$A$1353,A141,Annual_Cost!$B$2:$B$1353,B141)</f>
        <v>51669201.076240152</v>
      </c>
      <c r="D141" s="21">
        <f>SUMIFS(Annual_Cost!$R$2:$R$1353,Annual_Cost!$A$2:$A$1353,A141,Annual_Cost!$B$2:$B$1353,B141)</f>
        <v>190838144.47257072</v>
      </c>
      <c r="E141" s="21">
        <f>SUMIFS(Annual_Cost!$S$2:$S$1353,Annual_Cost!$A$2:$A$1353,A141,Annual_Cost!$B$2:$B$1353,B141)</f>
        <v>139168943.39633057</v>
      </c>
      <c r="F141" s="21">
        <f>SUMIFS(Annual_Cost!$Y$2:$Y$1353,Annual_Cost!$A$2:$A$1353,A141,Annual_Cost!$B$2:$B$1353,B141)</f>
        <v>106661406.84153086</v>
      </c>
      <c r="G141" s="21">
        <f>SUMIFS($E$2:E141,$A$2:A141,A141)</f>
        <v>753489534.39928758</v>
      </c>
      <c r="H141" s="21">
        <f>SUMIFS($F$2:F141,$A$2:A141,A141)</f>
        <v>632157659.60930729</v>
      </c>
    </row>
    <row r="142" spans="1:8">
      <c r="A142" t="s">
        <v>212</v>
      </c>
      <c r="B142" s="18">
        <v>2035</v>
      </c>
      <c r="C142" s="21">
        <f>SUMIFS(Annual_Cost!$Q$2:$Q$1353,Annual_Cost!$A$2:$A$1353,A142,Annual_Cost!$B$2:$B$1353,B142)</f>
        <v>51926221.386153705</v>
      </c>
      <c r="D142" s="21">
        <f>SUMIFS(Annual_Cost!$R$2:$R$1353,Annual_Cost!$A$2:$A$1353,A142,Annual_Cost!$B$2:$B$1353,B142)</f>
        <v>205782921.70930579</v>
      </c>
      <c r="E142" s="21">
        <f>SUMIFS(Annual_Cost!$S$2:$S$1353,Annual_Cost!$A$2:$A$1353,A142,Annual_Cost!$B$2:$B$1353,B142)</f>
        <v>153856700.3231521</v>
      </c>
      <c r="F142" s="21">
        <f>SUMIFS(Annual_Cost!$Y$2:$Y$1353,Annual_Cost!$A$2:$A$1353,A142,Annual_Cost!$B$2:$B$1353,B142)</f>
        <v>114483834.47654648</v>
      </c>
      <c r="G142" s="21">
        <f>SUMIFS($E$2:E142,$A$2:A142,A142)</f>
        <v>907346234.72243965</v>
      </c>
      <c r="H142" s="21">
        <f>SUMIFS($F$2:F142,$A$2:A142,A142)</f>
        <v>746641494.08585382</v>
      </c>
    </row>
    <row r="143" spans="1:8">
      <c r="A143" t="s">
        <v>212</v>
      </c>
      <c r="B143" s="18">
        <v>2036</v>
      </c>
      <c r="C143" s="21">
        <f>SUMIFS(Annual_Cost!$Q$2:$Q$1353,Annual_Cost!$A$2:$A$1353,A143,Annual_Cost!$B$2:$B$1353,B143)</f>
        <v>52137281.602204993</v>
      </c>
      <c r="D143" s="21">
        <f>SUMIFS(Annual_Cost!$R$2:$R$1353,Annual_Cost!$A$2:$A$1353,A143,Annual_Cost!$B$2:$B$1353,B143)</f>
        <v>220673845.08654165</v>
      </c>
      <c r="E143" s="21">
        <f>SUMIFS(Annual_Cost!$S$2:$S$1353,Annual_Cost!$A$2:$A$1353,A143,Annual_Cost!$B$2:$B$1353,B143)</f>
        <v>168536563.48433667</v>
      </c>
      <c r="F143" s="21">
        <f>SUMIFS(Annual_Cost!$Y$2:$Y$1353,Annual_Cost!$A$2:$A$1353,A143,Annual_Cost!$B$2:$B$1353,B143)</f>
        <v>121754399.34592284</v>
      </c>
      <c r="G143" s="21">
        <f>SUMIFS($E$2:E143,$A$2:A143,A143)</f>
        <v>1075882798.2067764</v>
      </c>
      <c r="H143" s="21">
        <f>SUMIFS($F$2:F143,$A$2:A143,A143)</f>
        <v>868395893.43177664</v>
      </c>
    </row>
    <row r="144" spans="1:8">
      <c r="A144" t="s">
        <v>212</v>
      </c>
      <c r="B144" s="18">
        <v>2037</v>
      </c>
      <c r="C144" s="21">
        <f>SUMIFS(Annual_Cost!$Q$2:$Q$1353,Annual_Cost!$A$2:$A$1353,A144,Annual_Cost!$B$2:$B$1353,B144)</f>
        <v>52325089.126615576</v>
      </c>
      <c r="D144" s="21">
        <f>SUMIFS(Annual_Cost!$R$2:$R$1353,Annual_Cost!$A$2:$A$1353,A144,Annual_Cost!$B$2:$B$1353,B144)</f>
        <v>235576076.79105341</v>
      </c>
      <c r="E144" s="21">
        <f>SUMIFS(Annual_Cost!$S$2:$S$1353,Annual_Cost!$A$2:$A$1353,A144,Annual_Cost!$B$2:$B$1353,B144)</f>
        <v>183250987.66443783</v>
      </c>
      <c r="F144" s="21">
        <f>SUMIFS(Annual_Cost!$Y$2:$Y$1353,Annual_Cost!$A$2:$A$1353,A144,Annual_Cost!$B$2:$B$1353,B144)</f>
        <v>128528555.77332743</v>
      </c>
      <c r="G144" s="21">
        <f>SUMIFS($E$2:E144,$A$2:A144,A144)</f>
        <v>1259133785.8712142</v>
      </c>
      <c r="H144" s="21">
        <f>SUMIFS($F$2:F144,$A$2:A144,A144)</f>
        <v>996924449.20510411</v>
      </c>
    </row>
    <row r="145" spans="1:8">
      <c r="A145" t="s">
        <v>212</v>
      </c>
      <c r="B145" s="18">
        <v>2038</v>
      </c>
      <c r="C145" s="21">
        <f>SUMIFS(Annual_Cost!$Q$2:$Q$1353,Annual_Cost!$A$2:$A$1353,A145,Annual_Cost!$B$2:$B$1353,B145)</f>
        <v>52485484.056950651</v>
      </c>
      <c r="D145" s="21">
        <f>SUMIFS(Annual_Cost!$R$2:$R$1353,Annual_Cost!$A$2:$A$1353,A145,Annual_Cost!$B$2:$B$1353,B145)</f>
        <v>250451046.52614966</v>
      </c>
      <c r="E145" s="21">
        <f>SUMIFS(Annual_Cost!$S$2:$S$1353,Annual_Cost!$A$2:$A$1353,A145,Annual_Cost!$B$2:$B$1353,B145)</f>
        <v>197965562.469199</v>
      </c>
      <c r="F145" s="21">
        <f>SUMIFS(Annual_Cost!$Y$2:$Y$1353,Annual_Cost!$A$2:$A$1353,A145,Annual_Cost!$B$2:$B$1353,B145)</f>
        <v>134804915.03590423</v>
      </c>
      <c r="G145" s="21">
        <f>SUMIFS($E$2:E145,$A$2:A145,A145)</f>
        <v>1457099348.3404131</v>
      </c>
      <c r="H145" s="21">
        <f>SUMIFS($F$2:F145,$A$2:A145,A145)</f>
        <v>1131729364.2410083</v>
      </c>
    </row>
    <row r="146" spans="1:8">
      <c r="A146" t="s">
        <v>212</v>
      </c>
      <c r="B146" s="18">
        <v>2039</v>
      </c>
      <c r="C146" s="21">
        <f>SUMIFS(Annual_Cost!$Q$2:$Q$1353,Annual_Cost!$A$2:$A$1353,A146,Annual_Cost!$B$2:$B$1353,B146)</f>
        <v>52630968.856894232</v>
      </c>
      <c r="D146" s="21">
        <f>SUMIFS(Annual_Cost!$R$2:$R$1353,Annual_Cost!$A$2:$A$1353,A146,Annual_Cost!$B$2:$B$1353,B146)</f>
        <v>265339680.39451355</v>
      </c>
      <c r="E146" s="21">
        <f>SUMIFS(Annual_Cost!$S$2:$S$1353,Annual_Cost!$A$2:$A$1353,A146,Annual_Cost!$B$2:$B$1353,B146)</f>
        <v>212708711.53761932</v>
      </c>
      <c r="F146" s="21">
        <f>SUMIFS(Annual_Cost!$Y$2:$Y$1353,Annual_Cost!$A$2:$A$1353,A146,Annual_Cost!$B$2:$B$1353,B146)</f>
        <v>140625516.65025651</v>
      </c>
      <c r="G146" s="21">
        <f>SUMIFS($E$2:E146,$A$2:A146,A146)</f>
        <v>1669808059.8780324</v>
      </c>
      <c r="H146" s="21">
        <f>SUMIFS($F$2:F146,$A$2:A146,A146)</f>
        <v>1272354880.8912649</v>
      </c>
    </row>
    <row r="147" spans="1:8">
      <c r="A147" t="s">
        <v>212</v>
      </c>
      <c r="B147" s="18">
        <v>2040</v>
      </c>
      <c r="C147" s="21">
        <f>SUMIFS(Annual_Cost!$Q$2:$Q$1353,Annual_Cost!$A$2:$A$1353,A147,Annual_Cost!$B$2:$B$1353,B147)</f>
        <v>52777531.882575005</v>
      </c>
      <c r="D147" s="21">
        <f>SUMIFS(Annual_Cost!$R$2:$R$1353,Annual_Cost!$A$2:$A$1353,A147,Annual_Cost!$B$2:$B$1353,B147)</f>
        <v>280314899.41596079</v>
      </c>
      <c r="E147" s="21">
        <f>SUMIFS(Annual_Cost!$S$2:$S$1353,Annual_Cost!$A$2:$A$1353,A147,Annual_Cost!$B$2:$B$1353,B147)</f>
        <v>227537367.53338578</v>
      </c>
      <c r="F147" s="21">
        <f>SUMIFS(Annual_Cost!$Y$2:$Y$1353,Annual_Cost!$A$2:$A$1353,A147,Annual_Cost!$B$2:$B$1353,B147)</f>
        <v>146047577.83050168</v>
      </c>
      <c r="G147" s="21">
        <f>SUMIFS($E$2:E147,$A$2:A147,A147)</f>
        <v>1897345427.4114182</v>
      </c>
      <c r="H147" s="21">
        <f>SUMIFS($F$2:F147,$A$2:A147,A147)</f>
        <v>1418402458.7217665</v>
      </c>
    </row>
    <row r="148" spans="1:8">
      <c r="A148" t="s">
        <v>212</v>
      </c>
      <c r="B148" s="18">
        <v>2041</v>
      </c>
      <c r="C148" s="21">
        <f>SUMIFS(Annual_Cost!$Q$2:$Q$1353,Annual_Cost!$A$2:$A$1353,A148,Annual_Cost!$B$2:$B$1353,B148)</f>
        <v>52919044.336559698</v>
      </c>
      <c r="D148" s="21">
        <f>SUMIFS(Annual_Cost!$R$2:$R$1353,Annual_Cost!$A$2:$A$1353,A148,Annual_Cost!$B$2:$B$1353,B148)</f>
        <v>295343425.72747725</v>
      </c>
      <c r="E148" s="21">
        <f>SUMIFS(Annual_Cost!$S$2:$S$1353,Annual_Cost!$A$2:$A$1353,A148,Annual_Cost!$B$2:$B$1353,B148)</f>
        <v>242424381.39091754</v>
      </c>
      <c r="F148" s="21">
        <f>SUMIFS(Annual_Cost!$Y$2:$Y$1353,Annual_Cost!$A$2:$A$1353,A148,Annual_Cost!$B$2:$B$1353,B148)</f>
        <v>151070859.74370772</v>
      </c>
      <c r="G148" s="21">
        <f>SUMIFS($E$2:E148,$A$2:A148,A148)</f>
        <v>2139769808.8023357</v>
      </c>
      <c r="H148" s="21">
        <f>SUMIFS($F$2:F148,$A$2:A148,A148)</f>
        <v>1569473318.4654741</v>
      </c>
    </row>
    <row r="149" spans="1:8">
      <c r="A149" t="s">
        <v>212</v>
      </c>
      <c r="B149" s="18">
        <v>2042</v>
      </c>
      <c r="C149" s="21">
        <f>SUMIFS(Annual_Cost!$Q$2:$Q$1353,Annual_Cost!$A$2:$A$1353,A149,Annual_Cost!$B$2:$B$1353,B149)</f>
        <v>53004942.07498382</v>
      </c>
      <c r="D149" s="21">
        <f>SUMIFS(Annual_Cost!$R$2:$R$1353,Annual_Cost!$A$2:$A$1353,A149,Annual_Cost!$B$2:$B$1353,B149)</f>
        <v>310125300.77705055</v>
      </c>
      <c r="E149" s="21">
        <f>SUMIFS(Annual_Cost!$S$2:$S$1353,Annual_Cost!$A$2:$A$1353,A149,Annual_Cost!$B$2:$B$1353,B149)</f>
        <v>257120358.70206672</v>
      </c>
      <c r="F149" s="21">
        <f>SUMIFS(Annual_Cost!$Y$2:$Y$1353,Annual_Cost!$A$2:$A$1353,A149,Annual_Cost!$B$2:$B$1353,B149)</f>
        <v>155562045.57625711</v>
      </c>
      <c r="G149" s="21">
        <f>SUMIFS($E$2:E149,$A$2:A149,A149)</f>
        <v>2396890167.5044026</v>
      </c>
      <c r="H149" s="21">
        <f>SUMIFS($F$2:F149,$A$2:A149,A149)</f>
        <v>1725035364.0417314</v>
      </c>
    </row>
    <row r="150" spans="1:8">
      <c r="A150" t="s">
        <v>212</v>
      </c>
      <c r="B150" s="18">
        <v>2043</v>
      </c>
      <c r="C150" s="21">
        <f>SUMIFS(Annual_Cost!$Q$2:$Q$1353,Annual_Cost!$A$2:$A$1353,A150,Annual_Cost!$B$2:$B$1353,B150)</f>
        <v>53039217.539537705</v>
      </c>
      <c r="D150" s="21">
        <f>SUMIFS(Annual_Cost!$R$2:$R$1353,Annual_Cost!$A$2:$A$1353,A150,Annual_Cost!$B$2:$B$1353,B150)</f>
        <v>324639915.20266277</v>
      </c>
      <c r="E150" s="21">
        <f>SUMIFS(Annual_Cost!$S$2:$S$1353,Annual_Cost!$A$2:$A$1353,A150,Annual_Cost!$B$2:$B$1353,B150)</f>
        <v>271600697.66312504</v>
      </c>
      <c r="F150" s="21">
        <f>SUMIFS(Annual_Cost!$Y$2:$Y$1353,Annual_Cost!$A$2:$A$1353,A150,Annual_Cost!$B$2:$B$1353,B150)</f>
        <v>159536785.23213997</v>
      </c>
      <c r="G150" s="21">
        <f>SUMIFS($E$2:E150,$A$2:A150,A150)</f>
        <v>2668490865.1675277</v>
      </c>
      <c r="H150" s="21">
        <f>SUMIFS($F$2:F150,$A$2:A150,A150)</f>
        <v>1884572149.2738714</v>
      </c>
    </row>
    <row r="151" spans="1:8">
      <c r="A151" t="s">
        <v>212</v>
      </c>
      <c r="B151" s="18">
        <v>2044</v>
      </c>
      <c r="C151" s="21">
        <f>SUMIFS(Annual_Cost!$Q$2:$Q$1353,Annual_Cost!$A$2:$A$1353,A151,Annual_Cost!$B$2:$B$1353,B151)</f>
        <v>53033037.96567931</v>
      </c>
      <c r="D151" s="21">
        <f>SUMIFS(Annual_Cost!$R$2:$R$1353,Annual_Cost!$A$2:$A$1353,A151,Annual_Cost!$B$2:$B$1353,B151)</f>
        <v>338916789.37024981</v>
      </c>
      <c r="E151" s="21">
        <f>SUMIFS(Annual_Cost!$S$2:$S$1353,Annual_Cost!$A$2:$A$1353,A151,Annual_Cost!$B$2:$B$1353,B151)</f>
        <v>285883751.40457052</v>
      </c>
      <c r="F151" s="21">
        <f>SUMIFS(Annual_Cost!$Y$2:$Y$1353,Annual_Cost!$A$2:$A$1353,A151,Annual_Cost!$B$2:$B$1353,B151)</f>
        <v>163035508.7186006</v>
      </c>
      <c r="G151" s="21">
        <f>SUMIFS($E$2:E151,$A$2:A151,A151)</f>
        <v>2954374616.5720983</v>
      </c>
      <c r="H151" s="21">
        <f>SUMIFS($F$2:F151,$A$2:A151,A151)</f>
        <v>2047607657.9924719</v>
      </c>
    </row>
    <row r="152" spans="1:8">
      <c r="A152" t="s">
        <v>212</v>
      </c>
      <c r="B152" s="18">
        <v>2045</v>
      </c>
      <c r="C152" s="21">
        <f>SUMIFS(Annual_Cost!$Q$2:$Q$1353,Annual_Cost!$A$2:$A$1353,A152,Annual_Cost!$B$2:$B$1353,B152)</f>
        <v>52986671.704703584</v>
      </c>
      <c r="D152" s="21">
        <f>SUMIFS(Annual_Cost!$R$2:$R$1353,Annual_Cost!$A$2:$A$1353,A152,Annual_Cost!$B$2:$B$1353,B152)</f>
        <v>352924896.13525796</v>
      </c>
      <c r="E152" s="21">
        <f>SUMIFS(Annual_Cost!$S$2:$S$1353,Annual_Cost!$A$2:$A$1353,A152,Annual_Cost!$B$2:$B$1353,B152)</f>
        <v>299938224.43055439</v>
      </c>
      <c r="F152" s="21">
        <f>SUMIFS(Annual_Cost!$Y$2:$Y$1353,Annual_Cost!$A$2:$A$1353,A152,Annual_Cost!$B$2:$B$1353,B152)</f>
        <v>166068522.62089741</v>
      </c>
      <c r="G152" s="21">
        <f>SUMIFS($E$2:E152,$A$2:A152,A152)</f>
        <v>3254312841.0026526</v>
      </c>
      <c r="H152" s="21">
        <f>SUMIFS($F$2:F152,$A$2:A152,A152)</f>
        <v>2213676180.6133695</v>
      </c>
    </row>
    <row r="153" spans="1:8">
      <c r="A153" t="s">
        <v>212</v>
      </c>
      <c r="B153" s="18">
        <v>2046</v>
      </c>
      <c r="C153" s="21">
        <f>SUMIFS(Annual_Cost!$Q$2:$Q$1353,Annual_Cost!$A$2:$A$1353,A153,Annual_Cost!$B$2:$B$1353,B153)</f>
        <v>52884251.104929447</v>
      </c>
      <c r="D153" s="21">
        <f>SUMIFS(Annual_Cost!$R$2:$R$1353,Annual_Cost!$A$2:$A$1353,A153,Annual_Cost!$B$2:$B$1353,B153)</f>
        <v>366521599.67957419</v>
      </c>
      <c r="E153" s="21">
        <f>SUMIFS(Annual_Cost!$S$2:$S$1353,Annual_Cost!$A$2:$A$1353,A153,Annual_Cost!$B$2:$B$1353,B153)</f>
        <v>313637348.57464474</v>
      </c>
      <c r="F153" s="21">
        <f>SUMIFS(Annual_Cost!$Y$2:$Y$1353,Annual_Cost!$A$2:$A$1353,A153,Annual_Cost!$B$2:$B$1353,B153)</f>
        <v>168595529.62433872</v>
      </c>
      <c r="G153" s="21">
        <f>SUMIFS($E$2:E153,$A$2:A153,A153)</f>
        <v>3567950189.5772972</v>
      </c>
      <c r="H153" s="21">
        <f>SUMIFS($F$2:F153,$A$2:A153,A153)</f>
        <v>2382271710.2377081</v>
      </c>
    </row>
    <row r="154" spans="1:8">
      <c r="A154" t="s">
        <v>212</v>
      </c>
      <c r="B154" s="18">
        <v>2047</v>
      </c>
      <c r="C154" s="21">
        <f>SUMIFS(Annual_Cost!$Q$2:$Q$1353,Annual_Cost!$A$2:$A$1353,A154,Annual_Cost!$B$2:$B$1353,B154)</f>
        <v>52701473.563909397</v>
      </c>
      <c r="D154" s="21">
        <f>SUMIFS(Annual_Cost!$R$2:$R$1353,Annual_Cost!$A$2:$A$1353,A154,Annual_Cost!$B$2:$B$1353,B154)</f>
        <v>379486290.62358582</v>
      </c>
      <c r="E154" s="21">
        <f>SUMIFS(Annual_Cost!$S$2:$S$1353,Annual_Cost!$A$2:$A$1353,A154,Annual_Cost!$B$2:$B$1353,B154)</f>
        <v>326784817.05967641</v>
      </c>
      <c r="F154" s="21">
        <f>SUMIFS(Annual_Cost!$Y$2:$Y$1353,Annual_Cost!$A$2:$A$1353,A154,Annual_Cost!$B$2:$B$1353,B154)</f>
        <v>170546545.42573273</v>
      </c>
      <c r="G154" s="21">
        <f>SUMIFS($E$2:E154,$A$2:A154,A154)</f>
        <v>3894735006.6369734</v>
      </c>
      <c r="H154" s="21">
        <f>SUMIFS($F$2:F154,$A$2:A154,A154)</f>
        <v>2552818255.6634407</v>
      </c>
    </row>
    <row r="155" spans="1:8">
      <c r="A155" t="s">
        <v>212</v>
      </c>
      <c r="B155" s="18">
        <v>2048</v>
      </c>
      <c r="C155" s="21">
        <f>SUMIFS(Annual_Cost!$Q$2:$Q$1353,Annual_Cost!$A$2:$A$1353,A155,Annual_Cost!$B$2:$B$1353,B155)</f>
        <v>52457182.576861769</v>
      </c>
      <c r="D155" s="21">
        <f>SUMIFS(Annual_Cost!$R$2:$R$1353,Annual_Cost!$A$2:$A$1353,A155,Annual_Cost!$B$2:$B$1353,B155)</f>
        <v>391894518.20687997</v>
      </c>
      <c r="E155" s="21">
        <f>SUMIFS(Annual_Cost!$S$2:$S$1353,Annual_Cost!$A$2:$A$1353,A155,Annual_Cost!$B$2:$B$1353,B155)</f>
        <v>339437335.63001823</v>
      </c>
      <c r="F155" s="21">
        <f>SUMIFS(Annual_Cost!$Y$2:$Y$1353,Annual_Cost!$A$2:$A$1353,A155,Annual_Cost!$B$2:$B$1353,B155)</f>
        <v>171990097.07269102</v>
      </c>
      <c r="G155" s="21">
        <f>SUMIFS($E$2:E155,$A$2:A155,A155)</f>
        <v>4234172342.2669916</v>
      </c>
      <c r="H155" s="21">
        <f>SUMIFS($F$2:F155,$A$2:A155,A155)</f>
        <v>2724808352.7361317</v>
      </c>
    </row>
    <row r="156" spans="1:8">
      <c r="A156" t="s">
        <v>212</v>
      </c>
      <c r="B156" s="18">
        <v>2049</v>
      </c>
      <c r="C156" s="21">
        <f>SUMIFS(Annual_Cost!$Q$2:$Q$1353,Annual_Cost!$A$2:$A$1353,A156,Annual_Cost!$B$2:$B$1353,B156)</f>
        <v>52192705.343490601</v>
      </c>
      <c r="D156" s="21">
        <f>SUMIFS(Annual_Cost!$R$2:$R$1353,Annual_Cost!$A$2:$A$1353,A156,Annual_Cost!$B$2:$B$1353,B156)</f>
        <v>404016291.22305924</v>
      </c>
      <c r="E156" s="21">
        <f>SUMIFS(Annual_Cost!$S$2:$S$1353,Annual_Cost!$A$2:$A$1353,A156,Annual_Cost!$B$2:$B$1353,B156)</f>
        <v>351823585.87956864</v>
      </c>
      <c r="F156" s="21">
        <f>SUMIFS(Annual_Cost!$Y$2:$Y$1353,Annual_Cost!$A$2:$A$1353,A156,Annual_Cost!$B$2:$B$1353,B156)</f>
        <v>173073891.13410047</v>
      </c>
      <c r="G156" s="21">
        <f>SUMIFS($E$2:E156,$A$2:A156,A156)</f>
        <v>4585995928.1465607</v>
      </c>
      <c r="H156" s="21">
        <f>SUMIFS($F$2:F156,$A$2:A156,A156)</f>
        <v>2897882243.8702321</v>
      </c>
    </row>
    <row r="157" spans="1:8">
      <c r="A157" t="s">
        <v>212</v>
      </c>
      <c r="B157" s="18">
        <v>2050</v>
      </c>
      <c r="C157" s="21">
        <f>SUMIFS(Annual_Cost!$Q$2:$Q$1353,Annual_Cost!$A$2:$A$1353,A157,Annual_Cost!$B$2:$B$1353,B157)</f>
        <v>51925115.064706586</v>
      </c>
      <c r="D157" s="21">
        <f>SUMIFS(Annual_Cost!$R$2:$R$1353,Annual_Cost!$A$2:$A$1353,A157,Annual_Cost!$B$2:$B$1353,B157)</f>
        <v>415971903.63947719</v>
      </c>
      <c r="E157" s="21">
        <f>SUMIFS(Annual_Cost!$S$2:$S$1353,Annual_Cost!$A$2:$A$1353,A157,Annual_Cost!$B$2:$B$1353,B157)</f>
        <v>364046788.57477063</v>
      </c>
      <c r="F157" s="21">
        <f>SUMIFS(Annual_Cost!$Y$2:$Y$1353,Annual_Cost!$A$2:$A$1353,A157,Annual_Cost!$B$2:$B$1353,B157)</f>
        <v>173870773.69513237</v>
      </c>
      <c r="G157" s="21">
        <f>SUMIFS($E$2:E157,$A$2:A157,A157)</f>
        <v>4950042716.7213316</v>
      </c>
      <c r="H157" s="21">
        <f>SUMIFS($F$2:F157,$A$2:A157,A157)</f>
        <v>3071753017.5653644</v>
      </c>
    </row>
    <row r="158" spans="1:8">
      <c r="A158" t="s">
        <v>217</v>
      </c>
      <c r="B158" s="18">
        <v>2025</v>
      </c>
      <c r="C158" s="21">
        <f>SUMIFS(Annual_Cost!$Q$2:$Q$1353,Annual_Cost!$A$2:$A$1353,A158,Annual_Cost!$B$2:$B$1353,B158)</f>
        <v>145036954.57235515</v>
      </c>
      <c r="D158" s="21">
        <f>SUMIFS(Annual_Cost!$R$2:$R$1353,Annual_Cost!$A$2:$A$1353,A158,Annual_Cost!$B$2:$B$1353,B158)</f>
        <v>153859610.35279903</v>
      </c>
      <c r="E158" s="21">
        <f>SUMIFS(Annual_Cost!$S$2:$S$1353,Annual_Cost!$A$2:$A$1353,A158,Annual_Cost!$B$2:$B$1353,B158)</f>
        <v>8822655.7804438714</v>
      </c>
      <c r="F158" s="21">
        <f>SUMIFS(Annual_Cost!$Y$2:$Y$1353,Annual_Cost!$A$2:$A$1353,A158,Annual_Cost!$B$2:$B$1353,B158)</f>
        <v>8822655.7804438714</v>
      </c>
      <c r="G158" s="21">
        <f>SUMIFS($E$2:E158,$A$2:A158,A158)</f>
        <v>8822655.7804438714</v>
      </c>
      <c r="H158" s="21">
        <f>SUMIFS($F$2:F158,$A$2:A158,A158)</f>
        <v>8822655.7804438714</v>
      </c>
    </row>
    <row r="159" spans="1:8">
      <c r="A159" t="s">
        <v>217</v>
      </c>
      <c r="B159" s="18">
        <v>2026</v>
      </c>
      <c r="C159" s="21">
        <f>SUMIFS(Annual_Cost!$Q$2:$Q$1353,Annual_Cost!$A$2:$A$1353,A159,Annual_Cost!$B$2:$B$1353,B159)</f>
        <v>149487951.24459887</v>
      </c>
      <c r="D159" s="21">
        <f>SUMIFS(Annual_Cost!$R$2:$R$1353,Annual_Cost!$A$2:$A$1353,A159,Annual_Cost!$B$2:$B$1353,B159)</f>
        <v>167679676.69127458</v>
      </c>
      <c r="E159" s="21">
        <f>SUMIFS(Annual_Cost!$S$2:$S$1353,Annual_Cost!$A$2:$A$1353,A159,Annual_Cost!$B$2:$B$1353,B159)</f>
        <v>18191725.44667571</v>
      </c>
      <c r="F159" s="21">
        <f>SUMIFS(Annual_Cost!$Y$2:$Y$1353,Annual_Cost!$A$2:$A$1353,A159,Annual_Cost!$B$2:$B$1353,B159)</f>
        <v>17661869.365704574</v>
      </c>
      <c r="G159" s="21">
        <f>SUMIFS($E$2:E159,$A$2:A159,A159)</f>
        <v>27014381.22711958</v>
      </c>
      <c r="H159" s="21">
        <f>SUMIFS($F$2:F159,$A$2:A159,A159)</f>
        <v>26484525.146148443</v>
      </c>
    </row>
    <row r="160" spans="1:8">
      <c r="A160" t="s">
        <v>217</v>
      </c>
      <c r="B160" s="18">
        <v>2027</v>
      </c>
      <c r="C160" s="21">
        <f>SUMIFS(Annual_Cost!$Q$2:$Q$1353,Annual_Cost!$A$2:$A$1353,A160,Annual_Cost!$B$2:$B$1353,B160)</f>
        <v>153921002.21041858</v>
      </c>
      <c r="D160" s="21">
        <f>SUMIFS(Annual_Cost!$R$2:$R$1353,Annual_Cost!$A$2:$A$1353,A160,Annual_Cost!$B$2:$B$1353,B160)</f>
        <v>182025222.95531273</v>
      </c>
      <c r="E160" s="21">
        <f>SUMIFS(Annual_Cost!$S$2:$S$1353,Annual_Cost!$A$2:$A$1353,A160,Annual_Cost!$B$2:$B$1353,B160)</f>
        <v>28104220.744894154</v>
      </c>
      <c r="F160" s="21">
        <f>SUMIFS(Annual_Cost!$Y$2:$Y$1353,Annual_Cost!$A$2:$A$1353,A160,Annual_Cost!$B$2:$B$1353,B160)</f>
        <v>26490923.503529221</v>
      </c>
      <c r="G160" s="21">
        <f>SUMIFS($E$2:E160,$A$2:A160,A160)</f>
        <v>55118601.972013734</v>
      </c>
      <c r="H160" s="21">
        <f>SUMIFS($F$2:F160,$A$2:A160,A160)</f>
        <v>52975448.649677664</v>
      </c>
    </row>
    <row r="161" spans="1:8">
      <c r="A161" t="s">
        <v>217</v>
      </c>
      <c r="B161" s="18">
        <v>2028</v>
      </c>
      <c r="C161" s="21">
        <f>SUMIFS(Annual_Cost!$Q$2:$Q$1353,Annual_Cost!$A$2:$A$1353,A161,Annual_Cost!$B$2:$B$1353,B161)</f>
        <v>158327161.25963882</v>
      </c>
      <c r="D161" s="21">
        <f>SUMIFS(Annual_Cost!$R$2:$R$1353,Annual_Cost!$A$2:$A$1353,A161,Annual_Cost!$B$2:$B$1353,B161)</f>
        <v>196882241.95225793</v>
      </c>
      <c r="E161" s="21">
        <f>SUMIFS(Annual_Cost!$S$2:$S$1353,Annual_Cost!$A$2:$A$1353,A161,Annual_Cost!$B$2:$B$1353,B161)</f>
        <v>38555080.692619145</v>
      </c>
      <c r="F161" s="21">
        <f>SUMIFS(Annual_Cost!$Y$2:$Y$1353,Annual_Cost!$A$2:$A$1353,A161,Annual_Cost!$B$2:$B$1353,B161)</f>
        <v>35283360.521538451</v>
      </c>
      <c r="G161" s="21">
        <f>SUMIFS($E$2:E161,$A$2:A161,A161)</f>
        <v>93673682.664632887</v>
      </c>
      <c r="H161" s="21">
        <f>SUMIFS($F$2:F161,$A$2:A161,A161)</f>
        <v>88258809.171216115</v>
      </c>
    </row>
    <row r="162" spans="1:8">
      <c r="A162" t="s">
        <v>217</v>
      </c>
      <c r="B162" s="18">
        <v>2029</v>
      </c>
      <c r="C162" s="21">
        <f>SUMIFS(Annual_Cost!$Q$2:$Q$1353,Annual_Cost!$A$2:$A$1353,A162,Annual_Cost!$B$2:$B$1353,B162)</f>
        <v>162687676.21585125</v>
      </c>
      <c r="D162" s="21">
        <f>SUMIFS(Annual_Cost!$R$2:$R$1353,Annual_Cost!$A$2:$A$1353,A162,Annual_Cost!$B$2:$B$1353,B162)</f>
        <v>212221804.07801467</v>
      </c>
      <c r="E162" s="21">
        <f>SUMIFS(Annual_Cost!$S$2:$S$1353,Annual_Cost!$A$2:$A$1353,A162,Annual_Cost!$B$2:$B$1353,B162)</f>
        <v>49534127.862163439</v>
      </c>
      <c r="F162" s="21">
        <f>SUMIFS(Annual_Cost!$Y$2:$Y$1353,Annual_Cost!$A$2:$A$1353,A162,Annual_Cost!$B$2:$B$1353,B162)</f>
        <v>44010431.035331875</v>
      </c>
      <c r="G162" s="21">
        <f>SUMIFS($E$2:E162,$A$2:A162,A162)</f>
        <v>143207810.52679634</v>
      </c>
      <c r="H162" s="21">
        <f>SUMIFS($F$2:F162,$A$2:A162,A162)</f>
        <v>132269240.20654799</v>
      </c>
    </row>
    <row r="163" spans="1:8">
      <c r="A163" t="s">
        <v>217</v>
      </c>
      <c r="B163" s="18">
        <v>2030</v>
      </c>
      <c r="C163" s="21">
        <f>SUMIFS(Annual_Cost!$Q$2:$Q$1353,Annual_Cost!$A$2:$A$1353,A163,Annual_Cost!$B$2:$B$1353,B163)</f>
        <v>167003529.33160102</v>
      </c>
      <c r="D163" s="21">
        <f>SUMIFS(Annual_Cost!$R$2:$R$1353,Annual_Cost!$A$2:$A$1353,A163,Annual_Cost!$B$2:$B$1353,B163)</f>
        <v>228037399.16704571</v>
      </c>
      <c r="E163" s="21">
        <f>SUMIFS(Annual_Cost!$S$2:$S$1353,Annual_Cost!$A$2:$A$1353,A163,Annual_Cost!$B$2:$B$1353,B163)</f>
        <v>61033869.835444674</v>
      </c>
      <c r="F163" s="21">
        <f>SUMIFS(Annual_Cost!$Y$2:$Y$1353,Annual_Cost!$A$2:$A$1353,A163,Annual_Cost!$B$2:$B$1353,B163)</f>
        <v>52648352.265014231</v>
      </c>
      <c r="G163" s="21">
        <f>SUMIFS($E$2:E163,$A$2:A163,A163)</f>
        <v>204241680.36224103</v>
      </c>
      <c r="H163" s="21">
        <f>SUMIFS($F$2:F163,$A$2:A163,A163)</f>
        <v>184917592.47156221</v>
      </c>
    </row>
    <row r="164" spans="1:8">
      <c r="A164" t="s">
        <v>217</v>
      </c>
      <c r="B164" s="18">
        <v>2031</v>
      </c>
      <c r="C164" s="21">
        <f>SUMIFS(Annual_Cost!$Q$2:$Q$1353,Annual_Cost!$A$2:$A$1353,A164,Annual_Cost!$B$2:$B$1353,B164)</f>
        <v>171273308.04779986</v>
      </c>
      <c r="D164" s="21">
        <f>SUMIFS(Annual_Cost!$R$2:$R$1353,Annual_Cost!$A$2:$A$1353,A164,Annual_Cost!$B$2:$B$1353,B164)</f>
        <v>244319395.33153969</v>
      </c>
      <c r="E164" s="21">
        <f>SUMIFS(Annual_Cost!$S$2:$S$1353,Annual_Cost!$A$2:$A$1353,A164,Annual_Cost!$B$2:$B$1353,B164)</f>
        <v>73046087.28373982</v>
      </c>
      <c r="F164" s="21">
        <f>SUMIFS(Annual_Cost!$Y$2:$Y$1353,Annual_Cost!$A$2:$A$1353,A164,Annual_Cost!$B$2:$B$1353,B164)</f>
        <v>61174948.112472177</v>
      </c>
      <c r="G164" s="21">
        <f>SUMIFS($E$2:E164,$A$2:A164,A164)</f>
        <v>277287767.64598083</v>
      </c>
      <c r="H164" s="21">
        <f>SUMIFS($F$2:F164,$A$2:A164,A164)</f>
        <v>246092540.58403438</v>
      </c>
    </row>
    <row r="165" spans="1:8">
      <c r="A165" t="s">
        <v>217</v>
      </c>
      <c r="B165" s="18">
        <v>2032</v>
      </c>
      <c r="C165" s="21">
        <f>SUMIFS(Annual_Cost!$Q$2:$Q$1353,Annual_Cost!$A$2:$A$1353,A165,Annual_Cost!$B$2:$B$1353,B165)</f>
        <v>175478847.84396154</v>
      </c>
      <c r="D165" s="21">
        <f>SUMIFS(Annual_Cost!$R$2:$R$1353,Annual_Cost!$A$2:$A$1353,A165,Annual_Cost!$B$2:$B$1353,B165)</f>
        <v>261032884.28296864</v>
      </c>
      <c r="E165" s="21">
        <f>SUMIFS(Annual_Cost!$S$2:$S$1353,Annual_Cost!$A$2:$A$1353,A165,Annual_Cost!$B$2:$B$1353,B165)</f>
        <v>85554036.439007103</v>
      </c>
      <c r="F165" s="21">
        <f>SUMIFS(Annual_Cost!$Y$2:$Y$1353,Annual_Cost!$A$2:$A$1353,A165,Annual_Cost!$B$2:$B$1353,B165)</f>
        <v>69563260.789716646</v>
      </c>
      <c r="G165" s="21">
        <f>SUMIFS($E$2:E165,$A$2:A165,A165)</f>
        <v>362841804.08498794</v>
      </c>
      <c r="H165" s="21">
        <f>SUMIFS($F$2:F165,$A$2:A165,A165)</f>
        <v>315655801.37375104</v>
      </c>
    </row>
    <row r="166" spans="1:8">
      <c r="A166" t="s">
        <v>217</v>
      </c>
      <c r="B166" s="18">
        <v>2033</v>
      </c>
      <c r="C166" s="21">
        <f>SUMIFS(Annual_Cost!$Q$2:$Q$1353,Annual_Cost!$A$2:$A$1353,A166,Annual_Cost!$B$2:$B$1353,B166)</f>
        <v>179610885.23870671</v>
      </c>
      <c r="D166" s="21">
        <f>SUMIFS(Annual_Cost!$R$2:$R$1353,Annual_Cost!$A$2:$A$1353,A166,Annual_Cost!$B$2:$B$1353,B166)</f>
        <v>278152182.22777039</v>
      </c>
      <c r="E166" s="21">
        <f>SUMIFS(Annual_Cost!$S$2:$S$1353,Annual_Cost!$A$2:$A$1353,A166,Annual_Cost!$B$2:$B$1353,B166)</f>
        <v>98541296.989063695</v>
      </c>
      <c r="F166" s="21">
        <f>SUMIFS(Annual_Cost!$Y$2:$Y$1353,Annual_Cost!$A$2:$A$1353,A166,Annual_Cost!$B$2:$B$1353,B166)</f>
        <v>77789409.804438919</v>
      </c>
      <c r="G166" s="21">
        <f>SUMIFS($E$2:E166,$A$2:A166,A166)</f>
        <v>461383101.07405162</v>
      </c>
      <c r="H166" s="21">
        <f>SUMIFS($F$2:F166,$A$2:A166,A166)</f>
        <v>393445211.17818999</v>
      </c>
    </row>
    <row r="167" spans="1:8">
      <c r="A167" t="s">
        <v>217</v>
      </c>
      <c r="B167" s="18">
        <v>2034</v>
      </c>
      <c r="C167" s="21">
        <f>SUMIFS(Annual_Cost!$Q$2:$Q$1353,Annual_Cost!$A$2:$A$1353,A167,Annual_Cost!$B$2:$B$1353,B167)</f>
        <v>183673357.94197914</v>
      </c>
      <c r="D167" s="21">
        <f>SUMIFS(Annual_Cost!$R$2:$R$1353,Annual_Cost!$A$2:$A$1353,A167,Annual_Cost!$B$2:$B$1353,B167)</f>
        <v>295670574.7528578</v>
      </c>
      <c r="E167" s="21">
        <f>SUMIFS(Annual_Cost!$S$2:$S$1353,Annual_Cost!$A$2:$A$1353,A167,Annual_Cost!$B$2:$B$1353,B167)</f>
        <v>111997216.81087866</v>
      </c>
      <c r="F167" s="21">
        <f>SUMIFS(Annual_Cost!$Y$2:$Y$1353,Annual_Cost!$A$2:$A$1353,A167,Annual_Cost!$B$2:$B$1353,B167)</f>
        <v>85836540.939774349</v>
      </c>
      <c r="G167" s="21">
        <f>SUMIFS($E$2:E167,$A$2:A167,A167)</f>
        <v>573380317.88493025</v>
      </c>
      <c r="H167" s="21">
        <f>SUMIFS($F$2:F167,$A$2:A167,A167)</f>
        <v>479281752.11796433</v>
      </c>
    </row>
    <row r="168" spans="1:8">
      <c r="A168" t="s">
        <v>217</v>
      </c>
      <c r="B168" s="18">
        <v>2035</v>
      </c>
      <c r="C168" s="21">
        <f>SUMIFS(Annual_Cost!$Q$2:$Q$1353,Annual_Cost!$A$2:$A$1353,A168,Annual_Cost!$B$2:$B$1353,B168)</f>
        <v>187659329.91994667</v>
      </c>
      <c r="D168" s="21">
        <f>SUMIFS(Annual_Cost!$R$2:$R$1353,Annual_Cost!$A$2:$A$1353,A168,Annual_Cost!$B$2:$B$1353,B168)</f>
        <v>313564086.68758178</v>
      </c>
      <c r="E168" s="21">
        <f>SUMIFS(Annual_Cost!$S$2:$S$1353,Annual_Cost!$A$2:$A$1353,A168,Annual_Cost!$B$2:$B$1353,B168)</f>
        <v>125904756.76763506</v>
      </c>
      <c r="F168" s="21">
        <f>SUMIFS(Annual_Cost!$Y$2:$Y$1353,Annual_Cost!$A$2:$A$1353,A168,Annual_Cost!$B$2:$B$1353,B168)</f>
        <v>93684963.367349535</v>
      </c>
      <c r="G168" s="21">
        <f>SUMIFS($E$2:E168,$A$2:A168,A168)</f>
        <v>699285074.65256536</v>
      </c>
      <c r="H168" s="21">
        <f>SUMIFS($F$2:F168,$A$2:A168,A168)</f>
        <v>572966715.48531389</v>
      </c>
    </row>
    <row r="169" spans="1:8">
      <c r="A169" t="s">
        <v>217</v>
      </c>
      <c r="B169" s="18">
        <v>2036</v>
      </c>
      <c r="C169" s="21">
        <f>SUMIFS(Annual_Cost!$Q$2:$Q$1353,Annual_Cost!$A$2:$A$1353,A169,Annual_Cost!$B$2:$B$1353,B169)</f>
        <v>191562344.25005418</v>
      </c>
      <c r="D169" s="21">
        <f>SUMIFS(Annual_Cost!$R$2:$R$1353,Annual_Cost!$A$2:$A$1353,A169,Annual_Cost!$B$2:$B$1353,B169)</f>
        <v>331807833.41459209</v>
      </c>
      <c r="E169" s="21">
        <f>SUMIFS(Annual_Cost!$S$2:$S$1353,Annual_Cost!$A$2:$A$1353,A169,Annual_Cost!$B$2:$B$1353,B169)</f>
        <v>140245489.16453794</v>
      </c>
      <c r="F169" s="21">
        <f>SUMIFS(Annual_Cost!$Y$2:$Y$1353,Annual_Cost!$A$2:$A$1353,A169,Annual_Cost!$B$2:$B$1353,B169)</f>
        <v>101316325.31946337</v>
      </c>
      <c r="G169" s="21">
        <f>SUMIFS($E$2:E169,$A$2:A169,A169)</f>
        <v>839530563.81710327</v>
      </c>
      <c r="H169" s="21">
        <f>SUMIFS($F$2:F169,$A$2:A169,A169)</f>
        <v>674283040.80477726</v>
      </c>
    </row>
    <row r="170" spans="1:8">
      <c r="A170" t="s">
        <v>217</v>
      </c>
      <c r="B170" s="18">
        <v>2037</v>
      </c>
      <c r="C170" s="21">
        <f>SUMIFS(Annual_Cost!$Q$2:$Q$1353,Annual_Cost!$A$2:$A$1353,A170,Annual_Cost!$B$2:$B$1353,B170)</f>
        <v>195384258.08809572</v>
      </c>
      <c r="D170" s="21">
        <f>SUMIFS(Annual_Cost!$R$2:$R$1353,Annual_Cost!$A$2:$A$1353,A170,Annual_Cost!$B$2:$B$1353,B170)</f>
        <v>350390200.94606555</v>
      </c>
      <c r="E170" s="21">
        <f>SUMIFS(Annual_Cost!$S$2:$S$1353,Annual_Cost!$A$2:$A$1353,A170,Annual_Cost!$B$2:$B$1353,B170)</f>
        <v>155005942.85796988</v>
      </c>
      <c r="F170" s="21">
        <f>SUMIFS(Annual_Cost!$Y$2:$Y$1353,Annual_Cost!$A$2:$A$1353,A170,Annual_Cost!$B$2:$B$1353,B170)</f>
        <v>108718049.63092177</v>
      </c>
      <c r="G170" s="21">
        <f>SUMIFS($E$2:E170,$A$2:A170,A170)</f>
        <v>994536506.67507315</v>
      </c>
      <c r="H170" s="21">
        <f>SUMIFS($F$2:F170,$A$2:A170,A170)</f>
        <v>783001090.43569899</v>
      </c>
    </row>
    <row r="171" spans="1:8">
      <c r="A171" t="s">
        <v>217</v>
      </c>
      <c r="B171" s="18">
        <v>2038</v>
      </c>
      <c r="C171" s="21">
        <f>SUMIFS(Annual_Cost!$Q$2:$Q$1353,Annual_Cost!$A$2:$A$1353,A171,Annual_Cost!$B$2:$B$1353,B171)</f>
        <v>199120370.88985598</v>
      </c>
      <c r="D171" s="21">
        <f>SUMIFS(Annual_Cost!$R$2:$R$1353,Annual_Cost!$A$2:$A$1353,A171,Annual_Cost!$B$2:$B$1353,B171)</f>
        <v>369287854.14948499</v>
      </c>
      <c r="E171" s="21">
        <f>SUMIFS(Annual_Cost!$S$2:$S$1353,Annual_Cost!$A$2:$A$1353,A171,Annual_Cost!$B$2:$B$1353,B171)</f>
        <v>170167483.25962907</v>
      </c>
      <c r="F171" s="21">
        <f>SUMIFS(Annual_Cost!$Y$2:$Y$1353,Annual_Cost!$A$2:$A$1353,A171,Annual_Cost!$B$2:$B$1353,B171)</f>
        <v>115875775.74891108</v>
      </c>
      <c r="G171" s="21">
        <f>SUMIFS($E$2:E171,$A$2:A171,A171)</f>
        <v>1164703989.9347022</v>
      </c>
      <c r="H171" s="21">
        <f>SUMIFS($F$2:F171,$A$2:A171,A171)</f>
        <v>898876866.18461013</v>
      </c>
    </row>
    <row r="172" spans="1:8">
      <c r="A172" t="s">
        <v>217</v>
      </c>
      <c r="B172" s="18">
        <v>2039</v>
      </c>
      <c r="C172" s="21">
        <f>SUMIFS(Annual_Cost!$Q$2:$Q$1353,Annual_Cost!$A$2:$A$1353,A172,Annual_Cost!$B$2:$B$1353,B172)</f>
        <v>202769251.85650426</v>
      </c>
      <c r="D172" s="21">
        <f>SUMIFS(Annual_Cost!$R$2:$R$1353,Annual_Cost!$A$2:$A$1353,A172,Annual_Cost!$B$2:$B$1353,B172)</f>
        <v>388482557.55157304</v>
      </c>
      <c r="E172" s="21">
        <f>SUMIFS(Annual_Cost!$S$2:$S$1353,Annual_Cost!$A$2:$A$1353,A172,Annual_Cost!$B$2:$B$1353,B172)</f>
        <v>185713305.69506878</v>
      </c>
      <c r="F172" s="21">
        <f>SUMIFS(Annual_Cost!$Y$2:$Y$1353,Annual_Cost!$A$2:$A$1353,A172,Annual_Cost!$B$2:$B$1353,B172)</f>
        <v>122778373.17244637</v>
      </c>
      <c r="G172" s="21">
        <f>SUMIFS($E$2:E172,$A$2:A172,A172)</f>
        <v>1350417295.629771</v>
      </c>
      <c r="H172" s="21">
        <f>SUMIFS($F$2:F172,$A$2:A172,A172)</f>
        <v>1021655239.3570565</v>
      </c>
    </row>
    <row r="173" spans="1:8">
      <c r="A173" t="s">
        <v>217</v>
      </c>
      <c r="B173" s="18">
        <v>2040</v>
      </c>
      <c r="C173" s="21">
        <f>SUMIFS(Annual_Cost!$Q$2:$Q$1353,Annual_Cost!$A$2:$A$1353,A173,Annual_Cost!$B$2:$B$1353,B173)</f>
        <v>206351156.11572054</v>
      </c>
      <c r="D173" s="21">
        <f>SUMIFS(Annual_Cost!$R$2:$R$1353,Annual_Cost!$A$2:$A$1353,A173,Annual_Cost!$B$2:$B$1353,B173)</f>
        <v>407998459.22930348</v>
      </c>
      <c r="E173" s="21">
        <f>SUMIFS(Annual_Cost!$S$2:$S$1353,Annual_Cost!$A$2:$A$1353,A173,Annual_Cost!$B$2:$B$1353,B173)</f>
        <v>201647303.11358291</v>
      </c>
      <c r="F173" s="21">
        <f>SUMIFS(Annual_Cost!$Y$2:$Y$1353,Annual_Cost!$A$2:$A$1353,A173,Annual_Cost!$B$2:$B$1353,B173)</f>
        <v>129429730.66378054</v>
      </c>
      <c r="G173" s="21">
        <f>SUMIFS($E$2:E173,$A$2:A173,A173)</f>
        <v>1552064598.7433538</v>
      </c>
      <c r="H173" s="21">
        <f>SUMIFS($F$2:F173,$A$2:A173,A173)</f>
        <v>1151084970.0208371</v>
      </c>
    </row>
    <row r="174" spans="1:8">
      <c r="A174" t="s">
        <v>217</v>
      </c>
      <c r="B174" s="18">
        <v>2041</v>
      </c>
      <c r="C174" s="21">
        <f>SUMIFS(Annual_Cost!$Q$2:$Q$1353,Annual_Cost!$A$2:$A$1353,A174,Annual_Cost!$B$2:$B$1353,B174)</f>
        <v>209866817.43445912</v>
      </c>
      <c r="D174" s="21">
        <f>SUMIFS(Annual_Cost!$R$2:$R$1353,Annual_Cost!$A$2:$A$1353,A174,Annual_Cost!$B$2:$B$1353,B174)</f>
        <v>427824903.0217796</v>
      </c>
      <c r="E174" s="21">
        <f>SUMIFS(Annual_Cost!$S$2:$S$1353,Annual_Cost!$A$2:$A$1353,A174,Annual_Cost!$B$2:$B$1353,B174)</f>
        <v>217958085.58732045</v>
      </c>
      <c r="F174" s="21">
        <f>SUMIFS(Annual_Cost!$Y$2:$Y$1353,Annual_Cost!$A$2:$A$1353,A174,Annual_Cost!$B$2:$B$1353,B174)</f>
        <v>135824273.07372621</v>
      </c>
      <c r="G174" s="21">
        <f>SUMIFS($E$2:E174,$A$2:A174,A174)</f>
        <v>1770022684.3306742</v>
      </c>
      <c r="H174" s="21">
        <f>SUMIFS($F$2:F174,$A$2:A174,A174)</f>
        <v>1286909243.0945632</v>
      </c>
    </row>
    <row r="175" spans="1:8">
      <c r="A175" t="s">
        <v>217</v>
      </c>
      <c r="B175" s="18">
        <v>2042</v>
      </c>
      <c r="C175" s="21">
        <f>SUMIFS(Annual_Cost!$Q$2:$Q$1353,Annual_Cost!$A$2:$A$1353,A175,Annual_Cost!$B$2:$B$1353,B175)</f>
        <v>213299519.31237411</v>
      </c>
      <c r="D175" s="21">
        <f>SUMIFS(Annual_Cost!$R$2:$R$1353,Annual_Cost!$A$2:$A$1353,A175,Annual_Cost!$B$2:$B$1353,B175)</f>
        <v>447914809.19402075</v>
      </c>
      <c r="E175" s="21">
        <f>SUMIFS(Annual_Cost!$S$2:$S$1353,Annual_Cost!$A$2:$A$1353,A175,Annual_Cost!$B$2:$B$1353,B175)</f>
        <v>234615289.88164663</v>
      </c>
      <c r="F175" s="21">
        <f>SUMIFS(Annual_Cost!$Y$2:$Y$1353,Annual_Cost!$A$2:$A$1353,A175,Annual_Cost!$B$2:$B$1353,B175)</f>
        <v>141946108.82503456</v>
      </c>
      <c r="G175" s="21">
        <f>SUMIFS($E$2:E175,$A$2:A175,A175)</f>
        <v>2004637974.2123208</v>
      </c>
      <c r="H175" s="21">
        <f>SUMIFS($F$2:F175,$A$2:A175,A175)</f>
        <v>1428855351.9195979</v>
      </c>
    </row>
    <row r="176" spans="1:8">
      <c r="A176" t="s">
        <v>217</v>
      </c>
      <c r="B176" s="18">
        <v>2043</v>
      </c>
      <c r="C176" s="21">
        <f>SUMIFS(Annual_Cost!$Q$2:$Q$1353,Annual_Cost!$A$2:$A$1353,A176,Annual_Cost!$B$2:$B$1353,B176)</f>
        <v>216623480.95628786</v>
      </c>
      <c r="D176" s="21">
        <f>SUMIFS(Annual_Cost!$R$2:$R$1353,Annual_Cost!$A$2:$A$1353,A176,Annual_Cost!$B$2:$B$1353,B176)</f>
        <v>468197478.56077641</v>
      </c>
      <c r="E176" s="21">
        <f>SUMIFS(Annual_Cost!$S$2:$S$1353,Annual_Cost!$A$2:$A$1353,A176,Annual_Cost!$B$2:$B$1353,B176)</f>
        <v>251573997.60448855</v>
      </c>
      <c r="F176" s="21">
        <f>SUMIFS(Annual_Cost!$Y$2:$Y$1353,Annual_Cost!$A$2:$A$1353,A176,Annual_Cost!$B$2:$B$1353,B176)</f>
        <v>147773209.60934821</v>
      </c>
      <c r="G176" s="21">
        <f>SUMIFS($E$2:E176,$A$2:A176,A176)</f>
        <v>2256211971.8168092</v>
      </c>
      <c r="H176" s="21">
        <f>SUMIFS($F$2:F176,$A$2:A176,A176)</f>
        <v>1576628561.5289462</v>
      </c>
    </row>
    <row r="177" spans="1:8">
      <c r="A177" t="s">
        <v>217</v>
      </c>
      <c r="B177" s="18">
        <v>2044</v>
      </c>
      <c r="C177" s="21">
        <f>SUMIFS(Annual_Cost!$Q$2:$Q$1353,Annual_Cost!$A$2:$A$1353,A177,Annual_Cost!$B$2:$B$1353,B177)</f>
        <v>219814385.66616893</v>
      </c>
      <c r="D177" s="21">
        <f>SUMIFS(Annual_Cost!$R$2:$R$1353,Annual_Cost!$A$2:$A$1353,A177,Annual_Cost!$B$2:$B$1353,B177)</f>
        <v>488599176.54444253</v>
      </c>
      <c r="E177" s="21">
        <f>SUMIFS(Annual_Cost!$S$2:$S$1353,Annual_Cost!$A$2:$A$1353,A177,Annual_Cost!$B$2:$B$1353,B177)</f>
        <v>268784790.87827361</v>
      </c>
      <c r="F177" s="21">
        <f>SUMIFS(Annual_Cost!$Y$2:$Y$1353,Annual_Cost!$A$2:$A$1353,A177,Annual_Cost!$B$2:$B$1353,B177)</f>
        <v>153284210.45744479</v>
      </c>
      <c r="G177" s="21">
        <f>SUMIFS($E$2:E177,$A$2:A177,A177)</f>
        <v>2524996762.6950827</v>
      </c>
      <c r="H177" s="21">
        <f>SUMIFS($F$2:F177,$A$2:A177,A177)</f>
        <v>1729912771.9863911</v>
      </c>
    </row>
    <row r="178" spans="1:8">
      <c r="A178" t="s">
        <v>217</v>
      </c>
      <c r="B178" s="18">
        <v>2045</v>
      </c>
      <c r="C178" s="21">
        <f>SUMIFS(Annual_Cost!$Q$2:$Q$1353,Annual_Cost!$A$2:$A$1353,A178,Annual_Cost!$B$2:$B$1353,B178)</f>
        <v>222856209.60269767</v>
      </c>
      <c r="D178" s="21">
        <f>SUMIFS(Annual_Cost!$R$2:$R$1353,Annual_Cost!$A$2:$A$1353,A178,Annual_Cost!$B$2:$B$1353,B178)</f>
        <v>509059095.9107582</v>
      </c>
      <c r="E178" s="21">
        <f>SUMIFS(Annual_Cost!$S$2:$S$1353,Annual_Cost!$A$2:$A$1353,A178,Annual_Cost!$B$2:$B$1353,B178)</f>
        <v>286202886.30806059</v>
      </c>
      <c r="F178" s="21">
        <f>SUMIFS(Annual_Cost!$Y$2:$Y$1353,Annual_Cost!$A$2:$A$1353,A178,Annual_Cost!$B$2:$B$1353,B178)</f>
        <v>158463598.92692134</v>
      </c>
      <c r="G178" s="21">
        <f>SUMIFS($E$2:E178,$A$2:A178,A178)</f>
        <v>2811199649.0031433</v>
      </c>
      <c r="H178" s="21">
        <f>SUMIFS($F$2:F178,$A$2:A178,A178)</f>
        <v>1888376370.9133124</v>
      </c>
    </row>
    <row r="179" spans="1:8">
      <c r="A179" t="s">
        <v>217</v>
      </c>
      <c r="B179" s="18">
        <v>2046</v>
      </c>
      <c r="C179" s="21">
        <f>SUMIFS(Annual_Cost!$Q$2:$Q$1353,Annual_Cost!$A$2:$A$1353,A179,Annual_Cost!$B$2:$B$1353,B179)</f>
        <v>225741221.5962148</v>
      </c>
      <c r="D179" s="21">
        <f>SUMIFS(Annual_Cost!$R$2:$R$1353,Annual_Cost!$A$2:$A$1353,A179,Annual_Cost!$B$2:$B$1353,B179)</f>
        <v>529531850.75545537</v>
      </c>
      <c r="E179" s="21">
        <f>SUMIFS(Annual_Cost!$S$2:$S$1353,Annual_Cost!$A$2:$A$1353,A179,Annual_Cost!$B$2:$B$1353,B179)</f>
        <v>303790629.15924054</v>
      </c>
      <c r="F179" s="21">
        <f>SUMIFS(Annual_Cost!$Y$2:$Y$1353,Annual_Cost!$A$2:$A$1353,A179,Annual_Cost!$B$2:$B$1353,B179)</f>
        <v>163302432.73250848</v>
      </c>
      <c r="G179" s="21">
        <f>SUMIFS($E$2:E179,$A$2:A179,A179)</f>
        <v>3114990278.162384</v>
      </c>
      <c r="H179" s="21">
        <f>SUMIFS($F$2:F179,$A$2:A179,A179)</f>
        <v>2051678803.6458209</v>
      </c>
    </row>
    <row r="180" spans="1:8">
      <c r="A180" t="s">
        <v>217</v>
      </c>
      <c r="B180" s="18">
        <v>2047</v>
      </c>
      <c r="C180" s="21">
        <f>SUMIFS(Annual_Cost!$Q$2:$Q$1353,Annual_Cost!$A$2:$A$1353,A180,Annual_Cost!$B$2:$B$1353,B180)</f>
        <v>228436343.36850455</v>
      </c>
      <c r="D180" s="21">
        <f>SUMIFS(Annual_Cost!$R$2:$R$1353,Annual_Cost!$A$2:$A$1353,A180,Annual_Cost!$B$2:$B$1353,B180)</f>
        <v>549909314.33867884</v>
      </c>
      <c r="E180" s="21">
        <f>SUMIFS(Annual_Cost!$S$2:$S$1353,Annual_Cost!$A$2:$A$1353,A180,Annual_Cost!$B$2:$B$1353,B180)</f>
        <v>321472970.97017431</v>
      </c>
      <c r="F180" s="21">
        <f>SUMIFS(Annual_Cost!$Y$2:$Y$1353,Annual_Cost!$A$2:$A$1353,A180,Annual_Cost!$B$2:$B$1353,B180)</f>
        <v>167774332.78577909</v>
      </c>
      <c r="G180" s="21">
        <f>SUMIFS($E$2:E180,$A$2:A180,A180)</f>
        <v>3436463249.1325583</v>
      </c>
      <c r="H180" s="21">
        <f>SUMIFS($F$2:F180,$A$2:A180,A180)</f>
        <v>2219453136.4316001</v>
      </c>
    </row>
    <row r="181" spans="1:8">
      <c r="A181" t="s">
        <v>217</v>
      </c>
      <c r="B181" s="18">
        <v>2048</v>
      </c>
      <c r="C181" s="21">
        <f>SUMIFS(Annual_Cost!$Q$2:$Q$1353,Annual_Cost!$A$2:$A$1353,A181,Annual_Cost!$B$2:$B$1353,B181)</f>
        <v>230980653.82924935</v>
      </c>
      <c r="D181" s="21">
        <f>SUMIFS(Annual_Cost!$R$2:$R$1353,Annual_Cost!$A$2:$A$1353,A181,Annual_Cost!$B$2:$B$1353,B181)</f>
        <v>570252677.54483712</v>
      </c>
      <c r="E181" s="21">
        <f>SUMIFS(Annual_Cost!$S$2:$S$1353,Annual_Cost!$A$2:$A$1353,A181,Annual_Cost!$B$2:$B$1353,B181)</f>
        <v>339272023.71558774</v>
      </c>
      <c r="F181" s="21">
        <f>SUMIFS(Annual_Cost!$Y$2:$Y$1353,Annual_Cost!$A$2:$A$1353,A181,Annual_Cost!$B$2:$B$1353,B181)</f>
        <v>171906334.889732</v>
      </c>
      <c r="G181" s="21">
        <f>SUMIFS($E$2:E181,$A$2:A181,A181)</f>
        <v>3775735272.848146</v>
      </c>
      <c r="H181" s="21">
        <f>SUMIFS($F$2:F181,$A$2:A181,A181)</f>
        <v>2391359471.321332</v>
      </c>
    </row>
    <row r="182" spans="1:8">
      <c r="A182" t="s">
        <v>217</v>
      </c>
      <c r="B182" s="18">
        <v>2049</v>
      </c>
      <c r="C182" s="21">
        <f>SUMIFS(Annual_Cost!$Q$2:$Q$1353,Annual_Cost!$A$2:$A$1353,A182,Annual_Cost!$B$2:$B$1353,B182)</f>
        <v>233384599.04721838</v>
      </c>
      <c r="D182" s="21">
        <f>SUMIFS(Annual_Cost!$R$2:$R$1353,Annual_Cost!$A$2:$A$1353,A182,Annual_Cost!$B$2:$B$1353,B182)</f>
        <v>590560520.8272568</v>
      </c>
      <c r="E182" s="21">
        <f>SUMIFS(Annual_Cost!$S$2:$S$1353,Annual_Cost!$A$2:$A$1353,A182,Annual_Cost!$B$2:$B$1353,B182)</f>
        <v>357175921.78003842</v>
      </c>
      <c r="F182" s="21">
        <f>SUMIFS(Annual_Cost!$Y$2:$Y$1353,Annual_Cost!$A$2:$A$1353,A182,Annual_Cost!$B$2:$B$1353,B182)</f>
        <v>175706885.73176265</v>
      </c>
      <c r="G182" s="21">
        <f>SUMIFS($E$2:E182,$A$2:A182,A182)</f>
        <v>4132911194.6281843</v>
      </c>
      <c r="H182" s="21">
        <f>SUMIFS($F$2:F182,$A$2:A182,A182)</f>
        <v>2567066357.0530949</v>
      </c>
    </row>
    <row r="183" spans="1:8">
      <c r="A183" t="s">
        <v>217</v>
      </c>
      <c r="B183" s="18">
        <v>2050</v>
      </c>
      <c r="C183" s="21">
        <f>SUMIFS(Annual_Cost!$Q$2:$Q$1353,Annual_Cost!$A$2:$A$1353,A183,Annual_Cost!$B$2:$B$1353,B183)</f>
        <v>235662051.76121998</v>
      </c>
      <c r="D183" s="21">
        <f>SUMIFS(Annual_Cost!$R$2:$R$1353,Annual_Cost!$A$2:$A$1353,A183,Annual_Cost!$B$2:$B$1353,B183)</f>
        <v>610842905.30705357</v>
      </c>
      <c r="E183" s="21">
        <f>SUMIFS(Annual_Cost!$S$2:$S$1353,Annual_Cost!$A$2:$A$1353,A183,Annual_Cost!$B$2:$B$1353,B183)</f>
        <v>375180853.54583359</v>
      </c>
      <c r="F183" s="21">
        <f>SUMIFS(Annual_Cost!$Y$2:$Y$1353,Annual_Cost!$A$2:$A$1353,A183,Annual_Cost!$B$2:$B$1353,B183)</f>
        <v>179188465.13383317</v>
      </c>
      <c r="G183" s="21">
        <f>SUMIFS($E$2:E183,$A$2:A183,A183)</f>
        <v>4508092048.1740179</v>
      </c>
      <c r="H183" s="21">
        <f>SUMIFS($F$2:F183,$A$2:A183,A183)</f>
        <v>2746254822.1869278</v>
      </c>
    </row>
    <row r="184" spans="1:8">
      <c r="A184" t="s">
        <v>223</v>
      </c>
      <c r="B184" s="18">
        <v>2025</v>
      </c>
      <c r="C184" s="21">
        <f>SUMIFS(Annual_Cost!$Q$2:$Q$1353,Annual_Cost!$A$2:$A$1353,A184,Annual_Cost!$B$2:$B$1353,B184)</f>
        <v>726525731.28914821</v>
      </c>
      <c r="D184" s="21">
        <f>SUMIFS(Annual_Cost!$R$2:$R$1353,Annual_Cost!$A$2:$A$1353,A184,Annual_Cost!$B$2:$B$1353,B184)</f>
        <v>770728923.05126536</v>
      </c>
      <c r="E184" s="21">
        <f>SUMIFS(Annual_Cost!$S$2:$S$1353,Annual_Cost!$A$2:$A$1353,A184,Annual_Cost!$B$2:$B$1353,B184)</f>
        <v>44203191.762117147</v>
      </c>
      <c r="F184" s="21">
        <f>SUMIFS(Annual_Cost!$Y$2:$Y$1353,Annual_Cost!$A$2:$A$1353,A184,Annual_Cost!$B$2:$B$1353,B184)</f>
        <v>44203191.762117147</v>
      </c>
      <c r="G184" s="21">
        <f>SUMIFS($E$2:E184,$A$2:A184,A184)</f>
        <v>44203191.762117147</v>
      </c>
      <c r="H184" s="21">
        <f>SUMIFS($F$2:F184,$A$2:A184,A184)</f>
        <v>44203191.762117147</v>
      </c>
    </row>
    <row r="185" spans="1:8">
      <c r="A185" t="s">
        <v>223</v>
      </c>
      <c r="B185" s="18">
        <v>2026</v>
      </c>
      <c r="C185" s="21">
        <f>SUMIFS(Annual_Cost!$Q$2:$Q$1353,Annual_Cost!$A$2:$A$1353,A185,Annual_Cost!$B$2:$B$1353,B185)</f>
        <v>754536866.36085188</v>
      </c>
      <c r="D185" s="21">
        <f>SUMIFS(Annual_Cost!$R$2:$R$1353,Annual_Cost!$A$2:$A$1353,A185,Annual_Cost!$B$2:$B$1353,B185)</f>
        <v>846392357.69537067</v>
      </c>
      <c r="E185" s="21">
        <f>SUMIFS(Annual_Cost!$S$2:$S$1353,Annual_Cost!$A$2:$A$1353,A185,Annual_Cost!$B$2:$B$1353,B185)</f>
        <v>91855491.33451879</v>
      </c>
      <c r="F185" s="21">
        <f>SUMIFS(Annual_Cost!$Y$2:$Y$1353,Annual_Cost!$A$2:$A$1353,A185,Annual_Cost!$B$2:$B$1353,B185)</f>
        <v>89180088.674290091</v>
      </c>
      <c r="G185" s="21">
        <f>SUMIFS($E$2:E185,$A$2:A185,A185)</f>
        <v>136058683.09663594</v>
      </c>
      <c r="H185" s="21">
        <f>SUMIFS($F$2:F185,$A$2:A185,A185)</f>
        <v>133383280.43640724</v>
      </c>
    </row>
    <row r="186" spans="1:8">
      <c r="A186" t="s">
        <v>223</v>
      </c>
      <c r="B186" s="18">
        <v>2027</v>
      </c>
      <c r="C186" s="21">
        <f>SUMIFS(Annual_Cost!$Q$2:$Q$1353,Annual_Cost!$A$2:$A$1353,A186,Annual_Cost!$B$2:$B$1353,B186)</f>
        <v>782125729.62357259</v>
      </c>
      <c r="D186" s="21">
        <f>SUMIFS(Annual_Cost!$R$2:$R$1353,Annual_Cost!$A$2:$A$1353,A186,Annual_Cost!$B$2:$B$1353,B186)</f>
        <v>925014534.98252916</v>
      </c>
      <c r="E186" s="21">
        <f>SUMIFS(Annual_Cost!$S$2:$S$1353,Annual_Cost!$A$2:$A$1353,A186,Annual_Cost!$B$2:$B$1353,B186)</f>
        <v>142888805.35895658</v>
      </c>
      <c r="F186" s="21">
        <f>SUMIFS(Annual_Cost!$Y$2:$Y$1353,Annual_Cost!$A$2:$A$1353,A186,Annual_Cost!$B$2:$B$1353,B186)</f>
        <v>134686403.39236173</v>
      </c>
      <c r="G186" s="21">
        <f>SUMIFS($E$2:E186,$A$2:A186,A186)</f>
        <v>278947488.45559251</v>
      </c>
      <c r="H186" s="21">
        <f>SUMIFS($F$2:F186,$A$2:A186,A186)</f>
        <v>268069683.82876897</v>
      </c>
    </row>
    <row r="187" spans="1:8">
      <c r="A187" t="s">
        <v>223</v>
      </c>
      <c r="B187" s="18">
        <v>2028</v>
      </c>
      <c r="C187" s="21">
        <f>SUMIFS(Annual_Cost!$Q$2:$Q$1353,Annual_Cost!$A$2:$A$1353,A187,Annual_Cost!$B$2:$B$1353,B187)</f>
        <v>809253487.76202774</v>
      </c>
      <c r="D187" s="21">
        <f>SUMIFS(Annual_Cost!$R$2:$R$1353,Annual_Cost!$A$2:$A$1353,A187,Annual_Cost!$B$2:$B$1353,B187)</f>
        <v>1006479423.6206843</v>
      </c>
      <c r="E187" s="21">
        <f>SUMIFS(Annual_Cost!$S$2:$S$1353,Annual_Cost!$A$2:$A$1353,A187,Annual_Cost!$B$2:$B$1353,B187)</f>
        <v>197225935.85865653</v>
      </c>
      <c r="F187" s="21">
        <f>SUMIFS(Annual_Cost!$Y$2:$Y$1353,Annual_Cost!$A$2:$A$1353,A187,Annual_Cost!$B$2:$B$1353,B187)</f>
        <v>180489670.20917076</v>
      </c>
      <c r="G187" s="21">
        <f>SUMIFS($E$2:E187,$A$2:A187,A187)</f>
        <v>476173424.31424904</v>
      </c>
      <c r="H187" s="21">
        <f>SUMIFS($F$2:F187,$A$2:A187,A187)</f>
        <v>448559354.03793973</v>
      </c>
    </row>
    <row r="188" spans="1:8">
      <c r="A188" t="s">
        <v>223</v>
      </c>
      <c r="B188" s="18">
        <v>2029</v>
      </c>
      <c r="C188" s="21">
        <f>SUMIFS(Annual_Cost!$Q$2:$Q$1353,Annual_Cost!$A$2:$A$1353,A188,Annual_Cost!$B$2:$B$1353,B188)</f>
        <v>835885242.70119786</v>
      </c>
      <c r="D188" s="21">
        <f>SUMIFS(Annual_Cost!$R$2:$R$1353,Annual_Cost!$A$2:$A$1353,A188,Annual_Cost!$B$2:$B$1353,B188)</f>
        <v>1090666984.7248392</v>
      </c>
      <c r="E188" s="21">
        <f>SUMIFS(Annual_Cost!$S$2:$S$1353,Annual_Cost!$A$2:$A$1353,A188,Annual_Cost!$B$2:$B$1353,B188)</f>
        <v>254781742.02364135</v>
      </c>
      <c r="F188" s="21">
        <f>SUMIFS(Annual_Cost!$Y$2:$Y$1353,Annual_Cost!$A$2:$A$1353,A188,Annual_Cost!$B$2:$B$1353,B188)</f>
        <v>226370277.83340174</v>
      </c>
      <c r="G188" s="21">
        <f>SUMIFS($E$2:E188,$A$2:A188,A188)</f>
        <v>730955166.33789039</v>
      </c>
      <c r="H188" s="21">
        <f>SUMIFS($F$2:F188,$A$2:A188,A188)</f>
        <v>674929631.87134147</v>
      </c>
    </row>
    <row r="189" spans="1:8">
      <c r="A189" t="s">
        <v>223</v>
      </c>
      <c r="B189" s="18">
        <v>2030</v>
      </c>
      <c r="C189" s="21">
        <f>SUMIFS(Annual_Cost!$Q$2:$Q$1353,Annual_Cost!$A$2:$A$1353,A189,Annual_Cost!$B$2:$B$1353,B189)</f>
        <v>861986612.84313977</v>
      </c>
      <c r="D189" s="21">
        <f>SUMIFS(Annual_Cost!$R$2:$R$1353,Annual_Cost!$A$2:$A$1353,A189,Annual_Cost!$B$2:$B$1353,B189)</f>
        <v>1177449634.6305676</v>
      </c>
      <c r="E189" s="21">
        <f>SUMIFS(Annual_Cost!$S$2:$S$1353,Annual_Cost!$A$2:$A$1353,A189,Annual_Cost!$B$2:$B$1353,B189)</f>
        <v>315463021.78742778</v>
      </c>
      <c r="F189" s="21">
        <f>SUMIFS(Annual_Cost!$Y$2:$Y$1353,Annual_Cost!$A$2:$A$1353,A189,Annual_Cost!$B$2:$B$1353,B189)</f>
        <v>272121173.74220818</v>
      </c>
      <c r="G189" s="21">
        <f>SUMIFS($E$2:E189,$A$2:A189,A189)</f>
        <v>1046418188.1253182</v>
      </c>
      <c r="H189" s="21">
        <f>SUMIFS($F$2:F189,$A$2:A189,A189)</f>
        <v>947050805.61354971</v>
      </c>
    </row>
    <row r="190" spans="1:8">
      <c r="A190" t="s">
        <v>223</v>
      </c>
      <c r="B190" s="18">
        <v>2031</v>
      </c>
      <c r="C190" s="21">
        <f>SUMIFS(Annual_Cost!$Q$2:$Q$1353,Annual_Cost!$A$2:$A$1353,A190,Annual_Cost!$B$2:$B$1353,B190)</f>
        <v>887521560.48434103</v>
      </c>
      <c r="D190" s="21">
        <f>SUMIFS(Annual_Cost!$R$2:$R$1353,Annual_Cost!$A$2:$A$1353,A190,Annual_Cost!$B$2:$B$1353,B190)</f>
        <v>1266689226.4915998</v>
      </c>
      <c r="E190" s="21">
        <f>SUMIFS(Annual_Cost!$S$2:$S$1353,Annual_Cost!$A$2:$A$1353,A190,Annual_Cost!$B$2:$B$1353,B190)</f>
        <v>379167666.00725877</v>
      </c>
      <c r="F190" s="21">
        <f>SUMIFS(Annual_Cost!$Y$2:$Y$1353,Annual_Cost!$A$2:$A$1353,A190,Annual_Cost!$B$2:$B$1353,B190)</f>
        <v>317546950.92456526</v>
      </c>
      <c r="G190" s="21">
        <f>SUMIFS($E$2:E190,$A$2:A190,A190)</f>
        <v>1425585854.1325769</v>
      </c>
      <c r="H190" s="21">
        <f>SUMIFS($F$2:F190,$A$2:A190,A190)</f>
        <v>1264597756.538115</v>
      </c>
    </row>
    <row r="191" spans="1:8">
      <c r="A191" t="s">
        <v>223</v>
      </c>
      <c r="B191" s="18">
        <v>2032</v>
      </c>
      <c r="C191" s="21">
        <f>SUMIFS(Annual_Cost!$Q$2:$Q$1353,Annual_Cost!$A$2:$A$1353,A191,Annual_Cost!$B$2:$B$1353,B191)</f>
        <v>912456276.45998514</v>
      </c>
      <c r="D191" s="21">
        <f>SUMIFS(Annual_Cost!$R$2:$R$1353,Annual_Cost!$A$2:$A$1353,A191,Annual_Cost!$B$2:$B$1353,B191)</f>
        <v>1358242260.7069142</v>
      </c>
      <c r="E191" s="21">
        <f>SUMIFS(Annual_Cost!$S$2:$S$1353,Annual_Cost!$A$2:$A$1353,A191,Annual_Cost!$B$2:$B$1353,B191)</f>
        <v>445785984.24692905</v>
      </c>
      <c r="F191" s="21">
        <f>SUMIFS(Annual_Cost!$Y$2:$Y$1353,Annual_Cost!$A$2:$A$1353,A191,Annual_Cost!$B$2:$B$1353,B191)</f>
        <v>362464799.66702002</v>
      </c>
      <c r="G191" s="21">
        <f>SUMIFS($E$2:E191,$A$2:A191,A191)</f>
        <v>1871371838.3795061</v>
      </c>
      <c r="H191" s="21">
        <f>SUMIFS($F$2:F191,$A$2:A191,A191)</f>
        <v>1627062556.2051351</v>
      </c>
    </row>
    <row r="192" spans="1:8">
      <c r="A192" t="s">
        <v>223</v>
      </c>
      <c r="B192" s="18">
        <v>2033</v>
      </c>
      <c r="C192" s="21">
        <f>SUMIFS(Annual_Cost!$Q$2:$Q$1353,Annual_Cost!$A$2:$A$1353,A192,Annual_Cost!$B$2:$B$1353,B192)</f>
        <v>936754781.54353511</v>
      </c>
      <c r="D192" s="21">
        <f>SUMIFS(Annual_Cost!$R$2:$R$1353,Annual_Cost!$A$2:$A$1353,A192,Annual_Cost!$B$2:$B$1353,B192)</f>
        <v>1451953740.5837791</v>
      </c>
      <c r="E192" s="21">
        <f>SUMIFS(Annual_Cost!$S$2:$S$1353,Annual_Cost!$A$2:$A$1353,A192,Annual_Cost!$B$2:$B$1353,B192)</f>
        <v>515198959.04024398</v>
      </c>
      <c r="F192" s="21">
        <f>SUMIFS(Annual_Cost!$Y$2:$Y$1353,Annual_Cost!$A$2:$A$1353,A192,Annual_Cost!$B$2:$B$1353,B192)</f>
        <v>406702815.77529573</v>
      </c>
      <c r="G192" s="21">
        <f>SUMIFS($E$2:E192,$A$2:A192,A192)</f>
        <v>2386570797.4197502</v>
      </c>
      <c r="H192" s="21">
        <f>SUMIFS($F$2:F192,$A$2:A192,A192)</f>
        <v>2033765371.9804308</v>
      </c>
    </row>
    <row r="193" spans="1:8">
      <c r="A193" t="s">
        <v>223</v>
      </c>
      <c r="B193" s="18">
        <v>2034</v>
      </c>
      <c r="C193" s="21">
        <f>SUMIFS(Annual_Cost!$Q$2:$Q$1353,Annual_Cost!$A$2:$A$1353,A193,Annual_Cost!$B$2:$B$1353,B193)</f>
        <v>960386655.94414592</v>
      </c>
      <c r="D193" s="21">
        <f>SUMIFS(Annual_Cost!$R$2:$R$1353,Annual_Cost!$A$2:$A$1353,A193,Annual_Cost!$B$2:$B$1353,B193)</f>
        <v>1547668758.231868</v>
      </c>
      <c r="E193" s="21">
        <f>SUMIFS(Annual_Cost!$S$2:$S$1353,Annual_Cost!$A$2:$A$1353,A193,Annual_Cost!$B$2:$B$1353,B193)</f>
        <v>587282102.28772211</v>
      </c>
      <c r="F193" s="21">
        <f>SUMIFS(Annual_Cost!$Y$2:$Y$1353,Annual_Cost!$A$2:$A$1353,A193,Annual_Cost!$B$2:$B$1353,B193)</f>
        <v>450102829.79925168</v>
      </c>
      <c r="G193" s="21">
        <f>SUMIFS($E$2:E193,$A$2:A193,A193)</f>
        <v>2973852899.7074723</v>
      </c>
      <c r="H193" s="21">
        <f>SUMIFS($F$2:F193,$A$2:A193,A193)</f>
        <v>2483868201.7796826</v>
      </c>
    </row>
    <row r="194" spans="1:8">
      <c r="A194" t="s">
        <v>223</v>
      </c>
      <c r="B194" s="18">
        <v>2035</v>
      </c>
      <c r="C194" s="21">
        <f>SUMIFS(Annual_Cost!$Q$2:$Q$1353,Annual_Cost!$A$2:$A$1353,A194,Annual_Cost!$B$2:$B$1353,B194)</f>
        <v>983328664.68731308</v>
      </c>
      <c r="D194" s="21">
        <f>SUMIFS(Annual_Cost!$R$2:$R$1353,Annual_Cost!$A$2:$A$1353,A194,Annual_Cost!$B$2:$B$1353,B194)</f>
        <v>1645236903.4983358</v>
      </c>
      <c r="E194" s="21">
        <f>SUMIFS(Annual_Cost!$S$2:$S$1353,Annual_Cost!$A$2:$A$1353,A194,Annual_Cost!$B$2:$B$1353,B194)</f>
        <v>661908238.81102276</v>
      </c>
      <c r="F194" s="21">
        <f>SUMIFS(Annual_Cost!$Y$2:$Y$1353,Annual_Cost!$A$2:$A$1353,A194,Annual_Cost!$B$2:$B$1353,B194)</f>
        <v>492521892.71929038</v>
      </c>
      <c r="G194" s="21">
        <f>SUMIFS($E$2:E194,$A$2:A194,A194)</f>
        <v>3635761138.5184951</v>
      </c>
      <c r="H194" s="21">
        <f>SUMIFS($F$2:F194,$A$2:A194,A194)</f>
        <v>2976390094.4989729</v>
      </c>
    </row>
    <row r="195" spans="1:8">
      <c r="A195" t="s">
        <v>223</v>
      </c>
      <c r="B195" s="18">
        <v>2036</v>
      </c>
      <c r="C195" s="21">
        <f>SUMIFS(Annual_Cost!$Q$2:$Q$1353,Annual_Cost!$A$2:$A$1353,A195,Annual_Cost!$B$2:$B$1353,B195)</f>
        <v>1005567407.7324066</v>
      </c>
      <c r="D195" s="21">
        <f>SUMIFS(Annual_Cost!$R$2:$R$1353,Annual_Cost!$A$2:$A$1353,A195,Annual_Cost!$B$2:$B$1353,B195)</f>
        <v>1744518981.982954</v>
      </c>
      <c r="E195" s="21">
        <f>SUMIFS(Annual_Cost!$S$2:$S$1353,Annual_Cost!$A$2:$A$1353,A195,Annual_Cost!$B$2:$B$1353,B195)</f>
        <v>738951574.25054741</v>
      </c>
      <c r="F195" s="21">
        <f>SUMIFS(Annual_Cost!$Y$2:$Y$1353,Annual_Cost!$A$2:$A$1353,A195,Annual_Cost!$B$2:$B$1353,B195)</f>
        <v>533834339.61474556</v>
      </c>
      <c r="G195" s="21">
        <f>SUMIFS($E$2:E195,$A$2:A195,A195)</f>
        <v>4374712712.769043</v>
      </c>
      <c r="H195" s="21">
        <f>SUMIFS($F$2:F195,$A$2:A195,A195)</f>
        <v>3510224434.1137185</v>
      </c>
    </row>
    <row r="196" spans="1:8">
      <c r="A196" t="s">
        <v>223</v>
      </c>
      <c r="B196" s="18">
        <v>2037</v>
      </c>
      <c r="C196" s="21">
        <f>SUMIFS(Annual_Cost!$Q$2:$Q$1353,Annual_Cost!$A$2:$A$1353,A196,Annual_Cost!$B$2:$B$1353,B196)</f>
        <v>1027096720.6864815</v>
      </c>
      <c r="D196" s="21">
        <f>SUMIFS(Annual_Cost!$R$2:$R$1353,Annual_Cost!$A$2:$A$1353,A196,Annual_Cost!$B$2:$B$1353,B196)</f>
        <v>1845385299.6152189</v>
      </c>
      <c r="E196" s="21">
        <f>SUMIFS(Annual_Cost!$S$2:$S$1353,Annual_Cost!$A$2:$A$1353,A196,Annual_Cost!$B$2:$B$1353,B196)</f>
        <v>818288578.9287374</v>
      </c>
      <c r="F196" s="21">
        <f>SUMIFS(Annual_Cost!$Y$2:$Y$1353,Annual_Cost!$A$2:$A$1353,A196,Annual_Cost!$B$2:$B$1353,B196)</f>
        <v>573931145.45231616</v>
      </c>
      <c r="G196" s="21">
        <f>SUMIFS($E$2:E196,$A$2:A196,A196)</f>
        <v>5193001291.6977806</v>
      </c>
      <c r="H196" s="21">
        <f>SUMIFS($F$2:F196,$A$2:A196,A196)</f>
        <v>4084155579.5660348</v>
      </c>
    </row>
    <row r="197" spans="1:8">
      <c r="A197" t="s">
        <v>223</v>
      </c>
      <c r="B197" s="18">
        <v>2038</v>
      </c>
      <c r="C197" s="21">
        <f>SUMIFS(Annual_Cost!$Q$2:$Q$1353,Annual_Cost!$A$2:$A$1353,A197,Annual_Cost!$B$2:$B$1353,B197)</f>
        <v>1047912505.2559375</v>
      </c>
      <c r="D197" s="21">
        <f>SUMIFS(Annual_Cost!$R$2:$R$1353,Annual_Cost!$A$2:$A$1353,A197,Annual_Cost!$B$2:$B$1353,B197)</f>
        <v>1947708212.7420611</v>
      </c>
      <c r="E197" s="21">
        <f>SUMIFS(Annual_Cost!$S$2:$S$1353,Annual_Cost!$A$2:$A$1353,A197,Annual_Cost!$B$2:$B$1353,B197)</f>
        <v>899795707.48612368</v>
      </c>
      <c r="F197" s="21">
        <f>SUMIFS(Annual_Cost!$Y$2:$Y$1353,Annual_Cost!$A$2:$A$1353,A197,Annual_Cost!$B$2:$B$1353,B197)</f>
        <v>612717092.73278546</v>
      </c>
      <c r="G197" s="21">
        <f>SUMIFS($E$2:E197,$A$2:A197,A197)</f>
        <v>6092796999.1839046</v>
      </c>
      <c r="H197" s="21">
        <f>SUMIFS($F$2:F197,$A$2:A197,A197)</f>
        <v>4696872672.2988205</v>
      </c>
    </row>
    <row r="198" spans="1:8">
      <c r="A198" t="s">
        <v>223</v>
      </c>
      <c r="B198" s="18">
        <v>2039</v>
      </c>
      <c r="C198" s="21">
        <f>SUMIFS(Annual_Cost!$Q$2:$Q$1353,Annual_Cost!$A$2:$A$1353,A198,Annual_Cost!$B$2:$B$1353,B198)</f>
        <v>1067997328.632212</v>
      </c>
      <c r="D198" s="21">
        <f>SUMIFS(Annual_Cost!$R$2:$R$1353,Annual_Cost!$A$2:$A$1353,A198,Annual_Cost!$B$2:$B$1353,B198)</f>
        <v>2051333449.4061227</v>
      </c>
      <c r="E198" s="21">
        <f>SUMIFS(Annual_Cost!$S$2:$S$1353,Annual_Cost!$A$2:$A$1353,A198,Annual_Cost!$B$2:$B$1353,B198)</f>
        <v>983336120.77391064</v>
      </c>
      <c r="F198" s="21">
        <f>SUMIFS(Annual_Cost!$Y$2:$Y$1353,Annual_Cost!$A$2:$A$1353,A198,Annual_Cost!$B$2:$B$1353,B198)</f>
        <v>650101018.54824054</v>
      </c>
      <c r="G198" s="21">
        <f>SUMIFS($E$2:E198,$A$2:A198,A198)</f>
        <v>7076133119.9578152</v>
      </c>
      <c r="H198" s="21">
        <f>SUMIFS($F$2:F198,$A$2:A198,A198)</f>
        <v>5346973690.8470612</v>
      </c>
    </row>
    <row r="199" spans="1:8">
      <c r="A199" t="s">
        <v>223</v>
      </c>
      <c r="B199" s="18">
        <v>2040</v>
      </c>
      <c r="C199" s="21">
        <f>SUMIFS(Annual_Cost!$Q$2:$Q$1353,Annual_Cost!$A$2:$A$1353,A199,Annual_Cost!$B$2:$B$1353,B199)</f>
        <v>1087331283.440233</v>
      </c>
      <c r="D199" s="21">
        <f>SUMIFS(Annual_Cost!$R$2:$R$1353,Annual_Cost!$A$2:$A$1353,A199,Annual_Cost!$B$2:$B$1353,B199)</f>
        <v>2156097195.3161058</v>
      </c>
      <c r="E199" s="21">
        <f>SUMIFS(Annual_Cost!$S$2:$S$1353,Annual_Cost!$A$2:$A$1353,A199,Annual_Cost!$B$2:$B$1353,B199)</f>
        <v>1068765911.8758729</v>
      </c>
      <c r="F199" s="21">
        <f>SUMIFS(Annual_Cost!$Y$2:$Y$1353,Annual_Cost!$A$2:$A$1353,A199,Annual_Cost!$B$2:$B$1353,B199)</f>
        <v>686000169.50787652</v>
      </c>
      <c r="G199" s="21">
        <f>SUMIFS($E$2:E199,$A$2:A199,A199)</f>
        <v>8144899031.8336878</v>
      </c>
      <c r="H199" s="21">
        <f>SUMIFS($F$2:F199,$A$2:A199,A199)</f>
        <v>6032973860.3549376</v>
      </c>
    </row>
    <row r="200" spans="1:8">
      <c r="A200" t="s">
        <v>223</v>
      </c>
      <c r="B200" s="18">
        <v>2041</v>
      </c>
      <c r="C200" s="21">
        <f>SUMIFS(Annual_Cost!$Q$2:$Q$1353,Annual_Cost!$A$2:$A$1353,A200,Annual_Cost!$B$2:$B$1353,B200)</f>
        <v>1105895041.7015219</v>
      </c>
      <c r="D200" s="21">
        <f>SUMIFS(Annual_Cost!$R$2:$R$1353,Annual_Cost!$A$2:$A$1353,A200,Annual_Cost!$B$2:$B$1353,B200)</f>
        <v>2261831781.6256423</v>
      </c>
      <c r="E200" s="21">
        <f>SUMIFS(Annual_Cost!$S$2:$S$1353,Annual_Cost!$A$2:$A$1353,A200,Annual_Cost!$B$2:$B$1353,B200)</f>
        <v>1155936739.9241204</v>
      </c>
      <c r="F200" s="21">
        <f>SUMIFS(Annual_Cost!$Y$2:$Y$1353,Annual_Cost!$A$2:$A$1353,A200,Annual_Cost!$B$2:$B$1353,B200)</f>
        <v>720341560.15059149</v>
      </c>
      <c r="G200" s="21">
        <f>SUMIFS($E$2:E200,$A$2:A200,A200)</f>
        <v>9300835771.7578087</v>
      </c>
      <c r="H200" s="21">
        <f>SUMIFS($F$2:F200,$A$2:A200,A200)</f>
        <v>6753315420.5055294</v>
      </c>
    </row>
    <row r="201" spans="1:8">
      <c r="A201" t="s">
        <v>223</v>
      </c>
      <c r="B201" s="18">
        <v>2042</v>
      </c>
      <c r="C201" s="21">
        <f>SUMIFS(Annual_Cost!$Q$2:$Q$1353,Annual_Cost!$A$2:$A$1353,A201,Annual_Cost!$B$2:$B$1353,B201)</f>
        <v>1123669011.2156687</v>
      </c>
      <c r="D201" s="21">
        <f>SUMIFS(Annual_Cost!$R$2:$R$1353,Annual_Cost!$A$2:$A$1353,A201,Annual_Cost!$B$2:$B$1353,B201)</f>
        <v>2368364219.6354179</v>
      </c>
      <c r="E201" s="21">
        <f>SUMIFS(Annual_Cost!$S$2:$S$1353,Annual_Cost!$A$2:$A$1353,A201,Annual_Cost!$B$2:$B$1353,B201)</f>
        <v>1244695208.4197493</v>
      </c>
      <c r="F201" s="21">
        <f>SUMIFS(Annual_Cost!$Y$2:$Y$1353,Annual_Cost!$A$2:$A$1353,A201,Annual_Cost!$B$2:$B$1353,B201)</f>
        <v>753061071.15813339</v>
      </c>
      <c r="G201" s="21">
        <f>SUMIFS($E$2:E201,$A$2:A201,A201)</f>
        <v>10545530980.177559</v>
      </c>
      <c r="H201" s="21">
        <f>SUMIFS($F$2:F201,$A$2:A201,A201)</f>
        <v>7506376491.6636629</v>
      </c>
    </row>
    <row r="202" spans="1:8">
      <c r="A202" t="s">
        <v>223</v>
      </c>
      <c r="B202" s="18">
        <v>2043</v>
      </c>
      <c r="C202" s="21">
        <f>SUMIFS(Annual_Cost!$Q$2:$Q$1353,Annual_Cost!$A$2:$A$1353,A202,Annual_Cost!$B$2:$B$1353,B202)</f>
        <v>1140635825.8083508</v>
      </c>
      <c r="D202" s="21">
        <f>SUMIFS(Annual_Cost!$R$2:$R$1353,Annual_Cost!$A$2:$A$1353,A202,Annual_Cost!$B$2:$B$1353,B202)</f>
        <v>2475520989.136095</v>
      </c>
      <c r="E202" s="21">
        <f>SUMIFS(Annual_Cost!$S$2:$S$1353,Annual_Cost!$A$2:$A$1353,A202,Annual_Cost!$B$2:$B$1353,B202)</f>
        <v>1334885163.3277442</v>
      </c>
      <c r="F202" s="21">
        <f>SUMIFS(Annual_Cost!$Y$2:$Y$1353,Annual_Cost!$A$2:$A$1353,A202,Annual_Cost!$B$2:$B$1353,B202)</f>
        <v>784104346.72569776</v>
      </c>
      <c r="G202" s="21">
        <f>SUMIFS($E$2:E202,$A$2:A202,A202)</f>
        <v>11880416143.505302</v>
      </c>
      <c r="H202" s="21">
        <f>SUMIFS($F$2:F202,$A$2:A202,A202)</f>
        <v>8290480838.3893604</v>
      </c>
    </row>
    <row r="203" spans="1:8">
      <c r="A203" t="s">
        <v>223</v>
      </c>
      <c r="B203" s="18">
        <v>2044</v>
      </c>
      <c r="C203" s="21">
        <f>SUMIFS(Annual_Cost!$Q$2:$Q$1353,Annual_Cost!$A$2:$A$1353,A203,Annual_Cost!$B$2:$B$1353,B203)</f>
        <v>1156793660.4275157</v>
      </c>
      <c r="D203" s="21">
        <f>SUMIFS(Annual_Cost!$R$2:$R$1353,Annual_Cost!$A$2:$A$1353,A203,Annual_Cost!$B$2:$B$1353,B203)</f>
        <v>2583157456.0435543</v>
      </c>
      <c r="E203" s="21">
        <f>SUMIFS(Annual_Cost!$S$2:$S$1353,Annual_Cost!$A$2:$A$1353,A203,Annual_Cost!$B$2:$B$1353,B203)</f>
        <v>1426363795.6160386</v>
      </c>
      <c r="F203" s="21">
        <f>SUMIFS(Annual_Cost!$Y$2:$Y$1353,Annual_Cost!$A$2:$A$1353,A203,Annual_Cost!$B$2:$B$1353,B203)</f>
        <v>813435341.7902472</v>
      </c>
      <c r="G203" s="21">
        <f>SUMIFS($E$2:E203,$A$2:A203,A203)</f>
        <v>13306779939.121342</v>
      </c>
      <c r="H203" s="21">
        <f>SUMIFS($F$2:F203,$A$2:A203,A203)</f>
        <v>9103916180.1796074</v>
      </c>
    </row>
    <row r="204" spans="1:8">
      <c r="A204" t="s">
        <v>223</v>
      </c>
      <c r="B204" s="18">
        <v>2045</v>
      </c>
      <c r="C204" s="21">
        <f>SUMIFS(Annual_Cost!$Q$2:$Q$1353,Annual_Cost!$A$2:$A$1353,A204,Annual_Cost!$B$2:$B$1353,B204)</f>
        <v>1172144363.0293479</v>
      </c>
      <c r="D204" s="21">
        <f>SUMIFS(Annual_Cost!$R$2:$R$1353,Annual_Cost!$A$2:$A$1353,A204,Annual_Cost!$B$2:$B$1353,B204)</f>
        <v>2691135648.6975079</v>
      </c>
      <c r="E204" s="21">
        <f>SUMIFS(Annual_Cost!$S$2:$S$1353,Annual_Cost!$A$2:$A$1353,A204,Annual_Cost!$B$2:$B$1353,B204)</f>
        <v>1518991285.66816</v>
      </c>
      <c r="F204" s="21">
        <f>SUMIFS(Annual_Cost!$Y$2:$Y$1353,Annual_Cost!$A$2:$A$1353,A204,Annual_Cost!$B$2:$B$1353,B204)</f>
        <v>841028645.69478905</v>
      </c>
      <c r="G204" s="21">
        <f>SUMIFS($E$2:E204,$A$2:A204,A204)</f>
        <v>14825771224.789501</v>
      </c>
      <c r="H204" s="21">
        <f>SUMIFS($F$2:F204,$A$2:A204,A204)</f>
        <v>9944944825.8743973</v>
      </c>
    </row>
    <row r="205" spans="1:8">
      <c r="A205" t="s">
        <v>223</v>
      </c>
      <c r="B205" s="18">
        <v>2046</v>
      </c>
      <c r="C205" s="21">
        <f>SUMIFS(Annual_Cost!$Q$2:$Q$1353,Annual_Cost!$A$2:$A$1353,A205,Annual_Cost!$B$2:$B$1353,B205)</f>
        <v>1186694304.7135479</v>
      </c>
      <c r="D205" s="21">
        <f>SUMIFS(Annual_Cost!$R$2:$R$1353,Annual_Cost!$A$2:$A$1353,A205,Annual_Cost!$B$2:$B$1353,B205)</f>
        <v>2799327124.8094683</v>
      </c>
      <c r="E205" s="21">
        <f>SUMIFS(Annual_Cost!$S$2:$S$1353,Annual_Cost!$A$2:$A$1353,A205,Annual_Cost!$B$2:$B$1353,B205)</f>
        <v>1612632820.0959203</v>
      </c>
      <c r="F205" s="21">
        <f>SUMIFS(Annual_Cost!$Y$2:$Y$1353,Annual_Cost!$A$2:$A$1353,A205,Annual_Cost!$B$2:$B$1353,B205)</f>
        <v>866869604.7497524</v>
      </c>
      <c r="G205" s="21">
        <f>SUMIFS($E$2:E205,$A$2:A205,A205)</f>
        <v>16438404044.885422</v>
      </c>
      <c r="H205" s="21">
        <f>SUMIFS($F$2:F205,$A$2:A205,A205)</f>
        <v>10811814430.624149</v>
      </c>
    </row>
    <row r="206" spans="1:8">
      <c r="A206" t="s">
        <v>223</v>
      </c>
      <c r="B206" s="18">
        <v>2047</v>
      </c>
      <c r="C206" s="21">
        <f>SUMIFS(Annual_Cost!$Q$2:$Q$1353,Annual_Cost!$A$2:$A$1353,A206,Annual_Cost!$B$2:$B$1353,B206)</f>
        <v>1200451107.9160507</v>
      </c>
      <c r="D206" s="21">
        <f>SUMIFS(Annual_Cost!$R$2:$R$1353,Annual_Cost!$A$2:$A$1353,A206,Annual_Cost!$B$2:$B$1353,B206)</f>
        <v>2907606425.5803943</v>
      </c>
      <c r="E206" s="21">
        <f>SUMIFS(Annual_Cost!$S$2:$S$1353,Annual_Cost!$A$2:$A$1353,A206,Annual_Cost!$B$2:$B$1353,B206)</f>
        <v>1707155317.6643436</v>
      </c>
      <c r="F206" s="21">
        <f>SUMIFS(Annual_Cost!$Y$2:$Y$1353,Annual_Cost!$A$2:$A$1353,A206,Annual_Cost!$B$2:$B$1353,B206)</f>
        <v>890951558.130849</v>
      </c>
      <c r="G206" s="21">
        <f>SUMIFS($E$2:E206,$A$2:A206,A206)</f>
        <v>18145559362.549767</v>
      </c>
      <c r="H206" s="21">
        <f>SUMIFS($F$2:F206,$A$2:A206,A206)</f>
        <v>11702765988.754999</v>
      </c>
    </row>
    <row r="207" spans="1:8">
      <c r="A207" t="s">
        <v>223</v>
      </c>
      <c r="B207" s="18">
        <v>2048</v>
      </c>
      <c r="C207" s="21">
        <f>SUMIFS(Annual_Cost!$Q$2:$Q$1353,Annual_Cost!$A$2:$A$1353,A207,Annual_Cost!$B$2:$B$1353,B207)</f>
        <v>1213429803.8431692</v>
      </c>
      <c r="D207" s="21">
        <f>SUMIFS(Annual_Cost!$R$2:$R$1353,Annual_Cost!$A$2:$A$1353,A207,Annual_Cost!$B$2:$B$1353,B207)</f>
        <v>3015867268.0812912</v>
      </c>
      <c r="E207" s="21">
        <f>SUMIFS(Annual_Cost!$S$2:$S$1353,Annual_Cost!$A$2:$A$1353,A207,Annual_Cost!$B$2:$B$1353,B207)</f>
        <v>1802437464.238122</v>
      </c>
      <c r="F207" s="21">
        <f>SUMIFS(Annual_Cost!$Y$2:$Y$1353,Annual_Cost!$A$2:$A$1353,A207,Annual_Cost!$B$2:$B$1353,B207)</f>
        <v>913280190.18999922</v>
      </c>
      <c r="G207" s="21">
        <f>SUMIFS($E$2:E207,$A$2:A207,A207)</f>
        <v>19947996826.787888</v>
      </c>
      <c r="H207" s="21">
        <f>SUMIFS($F$2:F207,$A$2:A207,A207)</f>
        <v>12616046178.944998</v>
      </c>
    </row>
    <row r="208" spans="1:8">
      <c r="A208" t="s">
        <v>223</v>
      </c>
      <c r="B208" s="18">
        <v>2049</v>
      </c>
      <c r="C208" s="21">
        <f>SUMIFS(Annual_Cost!$Q$2:$Q$1353,Annual_Cost!$A$2:$A$1353,A208,Annual_Cost!$B$2:$B$1353,B208)</f>
        <v>1225648619.4279537</v>
      </c>
      <c r="D208" s="21">
        <f>SUMIFS(Annual_Cost!$R$2:$R$1353,Annual_Cost!$A$2:$A$1353,A208,Annual_Cost!$B$2:$B$1353,B208)</f>
        <v>3124014472.5597925</v>
      </c>
      <c r="E208" s="21">
        <f>SUMIFS(Annual_Cost!$S$2:$S$1353,Annual_Cost!$A$2:$A$1353,A208,Annual_Cost!$B$2:$B$1353,B208)</f>
        <v>1898365853.1318388</v>
      </c>
      <c r="F208" s="21">
        <f>SUMIFS(Annual_Cost!$Y$2:$Y$1353,Annual_Cost!$A$2:$A$1353,A208,Annual_Cost!$B$2:$B$1353,B208)</f>
        <v>933870207.07048583</v>
      </c>
      <c r="G208" s="21">
        <f>SUMIFS($E$2:E208,$A$2:A208,A208)</f>
        <v>21846362679.919727</v>
      </c>
      <c r="H208" s="21">
        <f>SUMIFS($F$2:F208,$A$2:A208,A208)</f>
        <v>13549916386.015484</v>
      </c>
    </row>
    <row r="209" spans="1:8">
      <c r="A209" t="s">
        <v>223</v>
      </c>
      <c r="B209" s="18">
        <v>2050</v>
      </c>
      <c r="C209" s="21">
        <f>SUMIFS(Annual_Cost!$Q$2:$Q$1353,Annual_Cost!$A$2:$A$1353,A209,Annual_Cost!$B$2:$B$1353,B209)</f>
        <v>1237130637.0836959</v>
      </c>
      <c r="D209" s="21">
        <f>SUMIFS(Annual_Cost!$R$2:$R$1353,Annual_Cost!$A$2:$A$1353,A209,Annual_Cost!$B$2:$B$1353,B209)</f>
        <v>3231969086.2037196</v>
      </c>
      <c r="E209" s="21">
        <f>SUMIFS(Annual_Cost!$S$2:$S$1353,Annual_Cost!$A$2:$A$1353,A209,Annual_Cost!$B$2:$B$1353,B209)</f>
        <v>1994838449.1200237</v>
      </c>
      <c r="F209" s="21">
        <f>SUMIFS(Annual_Cost!$Y$2:$Y$1353,Annual_Cost!$A$2:$A$1353,A209,Annual_Cost!$B$2:$B$1353,B209)</f>
        <v>952745953.07701516</v>
      </c>
      <c r="G209" s="21">
        <f>SUMIFS($E$2:E209,$A$2:A209,A209)</f>
        <v>23841201129.039749</v>
      </c>
      <c r="H209" s="21">
        <f>SUMIFS($F$2:F209,$A$2:A209,A209)</f>
        <v>14502662339.092499</v>
      </c>
    </row>
    <row r="210" spans="1:8">
      <c r="A210" t="s">
        <v>75</v>
      </c>
      <c r="B210" s="18">
        <v>2025</v>
      </c>
      <c r="C210" s="21">
        <f>SUMIFS(Annual_Cost!$Q$2:$Q$1353,Annual_Cost!$A$2:$A$1353,A210,Annual_Cost!$B$2:$B$1353,B210)</f>
        <v>2320369255.0214124</v>
      </c>
      <c r="D210" s="21">
        <f>SUMIFS(Annual_Cost!$R$2:$R$1353,Annual_Cost!$A$2:$A$1353,A210,Annual_Cost!$B$2:$B$1353,B210)</f>
        <v>2667641077.4663606</v>
      </c>
      <c r="E210" s="21">
        <f>SUMIFS(Annual_Cost!$S$2:$S$1353,Annual_Cost!$A$2:$A$1353,A210,Annual_Cost!$B$2:$B$1353,B210)</f>
        <v>347271822.44494838</v>
      </c>
      <c r="F210" s="21">
        <f>SUMIFS(Annual_Cost!$Y$2:$Y$1353,Annual_Cost!$A$2:$A$1353,A210,Annual_Cost!$B$2:$B$1353,B210)</f>
        <v>347271822.44494838</v>
      </c>
      <c r="G210" s="21">
        <f>SUMIFS($E$2:E210,$A$2:A210,A210)</f>
        <v>347271822.44494838</v>
      </c>
      <c r="H210" s="21">
        <f>SUMIFS($F$2:F210,$A$2:A210,A210)</f>
        <v>347271822.44494838</v>
      </c>
    </row>
    <row r="211" spans="1:8">
      <c r="A211" t="s">
        <v>75</v>
      </c>
      <c r="B211" s="18">
        <v>2026</v>
      </c>
      <c r="C211" s="21">
        <f>SUMIFS(Annual_Cost!$Q$2:$Q$1353,Annual_Cost!$A$2:$A$1353,A211,Annual_Cost!$B$2:$B$1353,B211)</f>
        <v>2364993704.8578534</v>
      </c>
      <c r="D211" s="21">
        <f>SUMIFS(Annual_Cost!$R$2:$R$1353,Annual_Cost!$A$2:$A$1353,A211,Annual_Cost!$B$2:$B$1353,B211)</f>
        <v>3065444226.1932602</v>
      </c>
      <c r="E211" s="21">
        <f>SUMIFS(Annual_Cost!$S$2:$S$1353,Annual_Cost!$A$2:$A$1353,A211,Annual_Cost!$B$2:$B$1353,B211)</f>
        <v>700450521.33540666</v>
      </c>
      <c r="F211" s="21">
        <f>SUMIFS(Annual_Cost!$Y$2:$Y$1353,Annual_Cost!$A$2:$A$1353,A211,Annual_Cost!$B$2:$B$1353,B211)</f>
        <v>680049049.84020102</v>
      </c>
      <c r="G211" s="21">
        <f>SUMIFS($E$2:E211,$A$2:A211,A211)</f>
        <v>1047722343.780355</v>
      </c>
      <c r="H211" s="21">
        <f>SUMIFS($F$2:F211,$A$2:A211,A211)</f>
        <v>1027320872.2851493</v>
      </c>
    </row>
    <row r="212" spans="1:8">
      <c r="A212" t="s">
        <v>75</v>
      </c>
      <c r="B212" s="18">
        <v>2027</v>
      </c>
      <c r="C212" s="21">
        <f>SUMIFS(Annual_Cost!$Q$2:$Q$1353,Annual_Cost!$A$2:$A$1353,A212,Annual_Cost!$B$2:$B$1353,B212)</f>
        <v>2410838113.2098169</v>
      </c>
      <c r="D212" s="21">
        <f>SUMIFS(Annual_Cost!$R$2:$R$1353,Annual_Cost!$A$2:$A$1353,A212,Annual_Cost!$B$2:$B$1353,B212)</f>
        <v>3471532565.4809389</v>
      </c>
      <c r="E212" s="21">
        <f>SUMIFS(Annual_Cost!$S$2:$S$1353,Annual_Cost!$A$2:$A$1353,A212,Annual_Cost!$B$2:$B$1353,B212)</f>
        <v>1060694452.2711215</v>
      </c>
      <c r="F212" s="21">
        <f>SUMIFS(Annual_Cost!$Y$2:$Y$1353,Annual_Cost!$A$2:$A$1353,A212,Annual_Cost!$B$2:$B$1353,B212)</f>
        <v>999806251.55162764</v>
      </c>
      <c r="G212" s="21">
        <f>SUMIFS($E$2:E212,$A$2:A212,A212)</f>
        <v>2108416796.0514765</v>
      </c>
      <c r="H212" s="21">
        <f>SUMIFS($F$2:F212,$A$2:A212,A212)</f>
        <v>2027127123.836777</v>
      </c>
    </row>
    <row r="213" spans="1:8">
      <c r="A213" t="s">
        <v>75</v>
      </c>
      <c r="B213" s="18">
        <v>2028</v>
      </c>
      <c r="C213" s="21">
        <f>SUMIFS(Annual_Cost!$Q$2:$Q$1353,Annual_Cost!$A$2:$A$1353,A213,Annual_Cost!$B$2:$B$1353,B213)</f>
        <v>2456914573.7993269</v>
      </c>
      <c r="D213" s="21">
        <f>SUMIFS(Annual_Cost!$R$2:$R$1353,Annual_Cost!$A$2:$A$1353,A213,Annual_Cost!$B$2:$B$1353,B213)</f>
        <v>3885262129.9673672</v>
      </c>
      <c r="E213" s="21">
        <f>SUMIFS(Annual_Cost!$S$2:$S$1353,Annual_Cost!$A$2:$A$1353,A213,Annual_Cost!$B$2:$B$1353,B213)</f>
        <v>1428347556.1680408</v>
      </c>
      <c r="F213" s="21">
        <f>SUMIFS(Annual_Cost!$Y$2:$Y$1353,Annual_Cost!$A$2:$A$1353,A213,Annual_Cost!$B$2:$B$1353,B213)</f>
        <v>1307140352.6846516</v>
      </c>
      <c r="G213" s="21">
        <f>SUMIFS($E$2:E213,$A$2:A213,A213)</f>
        <v>3536764352.2195172</v>
      </c>
      <c r="H213" s="21">
        <f>SUMIFS($F$2:F213,$A$2:A213,A213)</f>
        <v>3334267476.5214286</v>
      </c>
    </row>
    <row r="214" spans="1:8">
      <c r="A214" t="s">
        <v>75</v>
      </c>
      <c r="B214" s="18">
        <v>2029</v>
      </c>
      <c r="C214" s="21">
        <f>SUMIFS(Annual_Cost!$Q$2:$Q$1353,Annual_Cost!$A$2:$A$1353,A214,Annual_Cost!$B$2:$B$1353,B214)</f>
        <v>2502458599.4221954</v>
      </c>
      <c r="D214" s="21">
        <f>SUMIFS(Annual_Cost!$R$2:$R$1353,Annual_Cost!$A$2:$A$1353,A214,Annual_Cost!$B$2:$B$1353,B214)</f>
        <v>4305375613.1937895</v>
      </c>
      <c r="E214" s="21">
        <f>SUMIFS(Annual_Cost!$S$2:$S$1353,Annual_Cost!$A$2:$A$1353,A214,Annual_Cost!$B$2:$B$1353,B214)</f>
        <v>1802917013.771594</v>
      </c>
      <c r="F214" s="21">
        <f>SUMIFS(Annual_Cost!$Y$2:$Y$1353,Annual_Cost!$A$2:$A$1353,A214,Annual_Cost!$B$2:$B$1353,B214)</f>
        <v>1601868415.2028935</v>
      </c>
      <c r="G214" s="21">
        <f>SUMIFS($E$2:E214,$A$2:A214,A214)</f>
        <v>5339681365.9911118</v>
      </c>
      <c r="H214" s="21">
        <f>SUMIFS($F$2:F214,$A$2:A214,A214)</f>
        <v>4936135891.7243223</v>
      </c>
    </row>
    <row r="215" spans="1:8">
      <c r="A215" t="s">
        <v>75</v>
      </c>
      <c r="B215" s="18">
        <v>2030</v>
      </c>
      <c r="C215" s="21">
        <f>SUMIFS(Annual_Cost!$Q$2:$Q$1353,Annual_Cost!$A$2:$A$1353,A215,Annual_Cost!$B$2:$B$1353,B215)</f>
        <v>2547286730.2564878</v>
      </c>
      <c r="D215" s="21">
        <f>SUMIFS(Annual_Cost!$R$2:$R$1353,Annual_Cost!$A$2:$A$1353,A215,Annual_Cost!$B$2:$B$1353,B215)</f>
        <v>4731631338.7734299</v>
      </c>
      <c r="E215" s="21">
        <f>SUMIFS(Annual_Cost!$S$2:$S$1353,Annual_Cost!$A$2:$A$1353,A215,Annual_Cost!$B$2:$B$1353,B215)</f>
        <v>2184344608.516942</v>
      </c>
      <c r="F215" s="21">
        <f>SUMIFS(Annual_Cost!$Y$2:$Y$1353,Annual_Cost!$A$2:$A$1353,A215,Annual_Cost!$B$2:$B$1353,B215)</f>
        <v>1884234847.4289021</v>
      </c>
      <c r="G215" s="21">
        <f>SUMIFS($E$2:E215,$A$2:A215,A215)</f>
        <v>7524025974.5080538</v>
      </c>
      <c r="H215" s="21">
        <f>SUMIFS($F$2:F215,$A$2:A215,A215)</f>
        <v>6820370739.1532249</v>
      </c>
    </row>
    <row r="216" spans="1:8">
      <c r="A216" t="s">
        <v>75</v>
      </c>
      <c r="B216" s="18">
        <v>2031</v>
      </c>
      <c r="C216" s="21">
        <f>SUMIFS(Annual_Cost!$Q$2:$Q$1353,Annual_Cost!$A$2:$A$1353,A216,Annual_Cost!$B$2:$B$1353,B216)</f>
        <v>2591622285.868926</v>
      </c>
      <c r="D216" s="21">
        <f>SUMIFS(Annual_Cost!$R$2:$R$1353,Annual_Cost!$A$2:$A$1353,A216,Annual_Cost!$B$2:$B$1353,B216)</f>
        <v>5164496680.7539864</v>
      </c>
      <c r="E216" s="21">
        <f>SUMIFS(Annual_Cost!$S$2:$S$1353,Annual_Cost!$A$2:$A$1353,A216,Annual_Cost!$B$2:$B$1353,B216)</f>
        <v>2572874394.8850598</v>
      </c>
      <c r="F216" s="21">
        <f>SUMIFS(Annual_Cost!$Y$2:$Y$1353,Annual_Cost!$A$2:$A$1353,A216,Annual_Cost!$B$2:$B$1353,B216)</f>
        <v>2154741800.1407218</v>
      </c>
      <c r="G216" s="21">
        <f>SUMIFS($E$2:E216,$A$2:A216,A216)</f>
        <v>10096900369.393114</v>
      </c>
      <c r="H216" s="21">
        <f>SUMIFS($F$2:F216,$A$2:A216,A216)</f>
        <v>8975112539.2939472</v>
      </c>
    </row>
    <row r="217" spans="1:8">
      <c r="A217" t="s">
        <v>75</v>
      </c>
      <c r="B217" s="18">
        <v>2032</v>
      </c>
      <c r="C217" s="21">
        <f>SUMIFS(Annual_Cost!$Q$2:$Q$1353,Annual_Cost!$A$2:$A$1353,A217,Annual_Cost!$B$2:$B$1353,B217)</f>
        <v>2635892108.7926588</v>
      </c>
      <c r="D217" s="21">
        <f>SUMIFS(Annual_Cost!$R$2:$R$1353,Annual_Cost!$A$2:$A$1353,A217,Annual_Cost!$B$2:$B$1353,B217)</f>
        <v>5605491600.380744</v>
      </c>
      <c r="E217" s="21">
        <f>SUMIFS(Annual_Cost!$S$2:$S$1353,Annual_Cost!$A$2:$A$1353,A217,Annual_Cost!$B$2:$B$1353,B217)</f>
        <v>2969599491.5880857</v>
      </c>
      <c r="F217" s="21">
        <f>SUMIFS(Annual_Cost!$Y$2:$Y$1353,Annual_Cost!$A$2:$A$1353,A217,Annual_Cost!$B$2:$B$1353,B217)</f>
        <v>2414556138.6998119</v>
      </c>
      <c r="G217" s="21">
        <f>SUMIFS($E$2:E217,$A$2:A217,A217)</f>
        <v>13066499860.981199</v>
      </c>
      <c r="H217" s="21">
        <f>SUMIFS($F$2:F217,$A$2:A217,A217)</f>
        <v>11389668677.993759</v>
      </c>
    </row>
    <row r="218" spans="1:8">
      <c r="A218" t="s">
        <v>75</v>
      </c>
      <c r="B218" s="18">
        <v>2033</v>
      </c>
      <c r="C218" s="21">
        <f>SUMIFS(Annual_Cost!$Q$2:$Q$1353,Annual_Cost!$A$2:$A$1353,A218,Annual_Cost!$B$2:$B$1353,B218)</f>
        <v>2679786246.7138886</v>
      </c>
      <c r="D218" s="21">
        <f>SUMIFS(Annual_Cost!$R$2:$R$1353,Annual_Cost!$A$2:$A$1353,A218,Annual_Cost!$B$2:$B$1353,B218)</f>
        <v>6054087195.5670261</v>
      </c>
      <c r="E218" s="21">
        <f>SUMIFS(Annual_Cost!$S$2:$S$1353,Annual_Cost!$A$2:$A$1353,A218,Annual_Cost!$B$2:$B$1353,B218)</f>
        <v>3374300948.8531375</v>
      </c>
      <c r="F218" s="21">
        <f>SUMIFS(Annual_Cost!$Y$2:$Y$1353,Annual_Cost!$A$2:$A$1353,A218,Annual_Cost!$B$2:$B$1353,B218)</f>
        <v>2663704328.3789425</v>
      </c>
      <c r="G218" s="21">
        <f>SUMIFS($E$2:E218,$A$2:A218,A218)</f>
        <v>16440800809.834337</v>
      </c>
      <c r="H218" s="21">
        <f>SUMIFS($F$2:F218,$A$2:A218,A218)</f>
        <v>14053373006.372702</v>
      </c>
    </row>
    <row r="219" spans="1:8">
      <c r="A219" t="s">
        <v>75</v>
      </c>
      <c r="B219" s="18">
        <v>2034</v>
      </c>
      <c r="C219" s="21">
        <f>SUMIFS(Annual_Cost!$Q$2:$Q$1353,Annual_Cost!$A$2:$A$1353,A219,Annual_Cost!$B$2:$B$1353,B219)</f>
        <v>2722644074.6175537</v>
      </c>
      <c r="D219" s="21">
        <f>SUMIFS(Annual_Cost!$R$2:$R$1353,Annual_Cost!$A$2:$A$1353,A219,Annual_Cost!$B$2:$B$1353,B219)</f>
        <v>6508299403.7198811</v>
      </c>
      <c r="E219" s="21">
        <f>SUMIFS(Annual_Cost!$S$2:$S$1353,Annual_Cost!$A$2:$A$1353,A219,Annual_Cost!$B$2:$B$1353,B219)</f>
        <v>3785655329.1023264</v>
      </c>
      <c r="F219" s="21">
        <f>SUMIFS(Annual_Cost!$Y$2:$Y$1353,Annual_Cost!$A$2:$A$1353,A219,Annual_Cost!$B$2:$B$1353,B219)</f>
        <v>2901389587.1098423</v>
      </c>
      <c r="G219" s="21">
        <f>SUMIFS($E$2:E219,$A$2:A219,A219)</f>
        <v>20226456138.936665</v>
      </c>
      <c r="H219" s="21">
        <f>SUMIFS($F$2:F219,$A$2:A219,A219)</f>
        <v>16954762593.482544</v>
      </c>
    </row>
    <row r="220" spans="1:8">
      <c r="A220" t="s">
        <v>75</v>
      </c>
      <c r="B220" s="18">
        <v>2035</v>
      </c>
      <c r="C220" s="21">
        <f>SUMIFS(Annual_Cost!$Q$2:$Q$1353,Annual_Cost!$A$2:$A$1353,A220,Annual_Cost!$B$2:$B$1353,B220)</f>
        <v>2763894109.1024461</v>
      </c>
      <c r="D220" s="21">
        <f>SUMIFS(Annual_Cost!$R$2:$R$1353,Annual_Cost!$A$2:$A$1353,A220,Annual_Cost!$B$2:$B$1353,B220)</f>
        <v>6965608059.3539028</v>
      </c>
      <c r="E220" s="21">
        <f>SUMIFS(Annual_Cost!$S$2:$S$1353,Annual_Cost!$A$2:$A$1353,A220,Annual_Cost!$B$2:$B$1353,B220)</f>
        <v>4201713950.2514572</v>
      </c>
      <c r="F220" s="21">
        <f>SUMIFS(Annual_Cost!$Y$2:$Y$1353,Annual_Cost!$A$2:$A$1353,A220,Annual_Cost!$B$2:$B$1353,B220)</f>
        <v>3126469782.5187898</v>
      </c>
      <c r="G220" s="21">
        <f>SUMIFS($E$2:E220,$A$2:A220,A220)</f>
        <v>24428170089.188122</v>
      </c>
      <c r="H220" s="21">
        <f>SUMIFS($F$2:F220,$A$2:A220,A220)</f>
        <v>20081232376.001335</v>
      </c>
    </row>
    <row r="221" spans="1:8">
      <c r="A221" t="s">
        <v>75</v>
      </c>
      <c r="B221" s="18">
        <v>2036</v>
      </c>
      <c r="C221" s="21">
        <f>SUMIFS(Annual_Cost!$Q$2:$Q$1353,Annual_Cost!$A$2:$A$1353,A221,Annual_Cost!$B$2:$B$1353,B221)</f>
        <v>2803270676.8198757</v>
      </c>
      <c r="D221" s="21">
        <f>SUMIFS(Annual_Cost!$R$2:$R$1353,Annual_Cost!$A$2:$A$1353,A221,Annual_Cost!$B$2:$B$1353,B221)</f>
        <v>7424243822.7334423</v>
      </c>
      <c r="E221" s="21">
        <f>SUMIFS(Annual_Cost!$S$2:$S$1353,Annual_Cost!$A$2:$A$1353,A221,Annual_Cost!$B$2:$B$1353,B221)</f>
        <v>4620973145.9135666</v>
      </c>
      <c r="F221" s="21">
        <f>SUMIFS(Annual_Cost!$Y$2:$Y$1353,Annual_Cost!$A$2:$A$1353,A221,Annual_Cost!$B$2:$B$1353,B221)</f>
        <v>3338289319.1994781</v>
      </c>
      <c r="G221" s="21">
        <f>SUMIFS($E$2:E221,$A$2:A221,A221)</f>
        <v>29049143235.101688</v>
      </c>
      <c r="H221" s="21">
        <f>SUMIFS($F$2:F221,$A$2:A221,A221)</f>
        <v>23419521695.200813</v>
      </c>
    </row>
    <row r="222" spans="1:8">
      <c r="A222" t="s">
        <v>75</v>
      </c>
      <c r="B222" s="18">
        <v>2037</v>
      </c>
      <c r="C222" s="21">
        <f>SUMIFS(Annual_Cost!$Q$2:$Q$1353,Annual_Cost!$A$2:$A$1353,A222,Annual_Cost!$B$2:$B$1353,B222)</f>
        <v>2841203816.5237522</v>
      </c>
      <c r="D222" s="21">
        <f>SUMIFS(Annual_Cost!$R$2:$R$1353,Annual_Cost!$A$2:$A$1353,A222,Annual_Cost!$B$2:$B$1353,B222)</f>
        <v>7885316251.3333073</v>
      </c>
      <c r="E222" s="21">
        <f>SUMIFS(Annual_Cost!$S$2:$S$1353,Annual_Cost!$A$2:$A$1353,A222,Annual_Cost!$B$2:$B$1353,B222)</f>
        <v>5044112434.8095551</v>
      </c>
      <c r="F222" s="21">
        <f>SUMIFS(Annual_Cost!$Y$2:$Y$1353,Annual_Cost!$A$2:$A$1353,A222,Annual_Cost!$B$2:$B$1353,B222)</f>
        <v>3537838975.2066135</v>
      </c>
      <c r="G222" s="21">
        <f>SUMIFS($E$2:E222,$A$2:A222,A222)</f>
        <v>34093255669.911243</v>
      </c>
      <c r="H222" s="21">
        <f>SUMIFS($F$2:F222,$A$2:A222,A222)</f>
        <v>26957360670.407425</v>
      </c>
    </row>
    <row r="223" spans="1:8">
      <c r="A223" t="s">
        <v>75</v>
      </c>
      <c r="B223" s="18">
        <v>2038</v>
      </c>
      <c r="C223" s="21">
        <f>SUMIFS(Annual_Cost!$Q$2:$Q$1353,Annual_Cost!$A$2:$A$1353,A223,Annual_Cost!$B$2:$B$1353,B223)</f>
        <v>2877574465.4502463</v>
      </c>
      <c r="D223" s="21">
        <f>SUMIFS(Annual_Cost!$R$2:$R$1353,Annual_Cost!$A$2:$A$1353,A223,Annual_Cost!$B$2:$B$1353,B223)</f>
        <v>8347829023.0028915</v>
      </c>
      <c r="E223" s="21">
        <f>SUMIFS(Annual_Cost!$S$2:$S$1353,Annual_Cost!$A$2:$A$1353,A223,Annual_Cost!$B$2:$B$1353,B223)</f>
        <v>5470254557.5526447</v>
      </c>
      <c r="F223" s="21">
        <f>SUMIFS(Annual_Cost!$Y$2:$Y$1353,Annual_Cost!$A$2:$A$1353,A223,Annual_Cost!$B$2:$B$1353,B223)</f>
        <v>3724977171.0692616</v>
      </c>
      <c r="G223" s="21">
        <f>SUMIFS($E$2:E223,$A$2:A223,A223)</f>
        <v>39563510227.46389</v>
      </c>
      <c r="H223" s="21">
        <f>SUMIFS($F$2:F223,$A$2:A223,A223)</f>
        <v>30682337841.476685</v>
      </c>
    </row>
    <row r="224" spans="1:8">
      <c r="A224" t="s">
        <v>75</v>
      </c>
      <c r="B224" s="18">
        <v>2039</v>
      </c>
      <c r="C224" s="21">
        <f>SUMIFS(Annual_Cost!$Q$2:$Q$1353,Annual_Cost!$A$2:$A$1353,A224,Annual_Cost!$B$2:$B$1353,B224)</f>
        <v>2912604434.9000659</v>
      </c>
      <c r="D224" s="21">
        <f>SUMIFS(Annual_Cost!$R$2:$R$1353,Annual_Cost!$A$2:$A$1353,A224,Annual_Cost!$B$2:$B$1353,B224)</f>
        <v>8812385755.568697</v>
      </c>
      <c r="E224" s="21">
        <f>SUMIFS(Annual_Cost!$S$2:$S$1353,Annual_Cost!$A$2:$A$1353,A224,Annual_Cost!$B$2:$B$1353,B224)</f>
        <v>5899781320.6686306</v>
      </c>
      <c r="F224" s="21">
        <f>SUMIFS(Annual_Cost!$Y$2:$Y$1353,Annual_Cost!$A$2:$A$1353,A224,Annual_Cost!$B$2:$B$1353,B224)</f>
        <v>3900450481.5301208</v>
      </c>
      <c r="G224" s="21">
        <f>SUMIFS($E$2:E224,$A$2:A224,A224)</f>
        <v>45463291548.132523</v>
      </c>
      <c r="H224" s="21">
        <f>SUMIFS($F$2:F224,$A$2:A224,A224)</f>
        <v>34582788323.006805</v>
      </c>
    </row>
    <row r="225" spans="1:8">
      <c r="A225" t="s">
        <v>75</v>
      </c>
      <c r="B225" s="18">
        <v>2040</v>
      </c>
      <c r="C225" s="21">
        <f>SUMIFS(Annual_Cost!$Q$2:$Q$1353,Annual_Cost!$A$2:$A$1353,A225,Annual_Cost!$B$2:$B$1353,B225)</f>
        <v>2946631937.9979463</v>
      </c>
      <c r="D225" s="21">
        <f>SUMIFS(Annual_Cost!$R$2:$R$1353,Annual_Cost!$A$2:$A$1353,A225,Annual_Cost!$B$2:$B$1353,B225)</f>
        <v>9280321914.1016598</v>
      </c>
      <c r="E225" s="21">
        <f>SUMIFS(Annual_Cost!$S$2:$S$1353,Annual_Cost!$A$2:$A$1353,A225,Annual_Cost!$B$2:$B$1353,B225)</f>
        <v>6333689976.1037149</v>
      </c>
      <c r="F225" s="21">
        <f>SUMIFS(Annual_Cost!$Y$2:$Y$1353,Annual_Cost!$A$2:$A$1353,A225,Annual_Cost!$B$2:$B$1353,B225)</f>
        <v>4065354582.2690001</v>
      </c>
      <c r="G225" s="21">
        <f>SUMIFS($E$2:E225,$A$2:A225,A225)</f>
        <v>51796981524.236237</v>
      </c>
      <c r="H225" s="21">
        <f>SUMIFS($F$2:F225,$A$2:A225,A225)</f>
        <v>38648142905.275803</v>
      </c>
    </row>
    <row r="226" spans="1:8">
      <c r="A226" t="s">
        <v>75</v>
      </c>
      <c r="B226" s="18">
        <v>2041</v>
      </c>
      <c r="C226" s="21">
        <f>SUMIFS(Annual_Cost!$Q$2:$Q$1353,Annual_Cost!$A$2:$A$1353,A226,Annual_Cost!$B$2:$B$1353,B226)</f>
        <v>2979522386.3532629</v>
      </c>
      <c r="D226" s="21">
        <f>SUMIFS(Annual_Cost!$R$2:$R$1353,Annual_Cost!$A$2:$A$1353,A226,Annual_Cost!$B$2:$B$1353,B226)</f>
        <v>9750787959.747036</v>
      </c>
      <c r="E226" s="21">
        <f>SUMIFS(Annual_Cost!$S$2:$S$1353,Annual_Cost!$A$2:$A$1353,A226,Annual_Cost!$B$2:$B$1353,B226)</f>
        <v>6771265573.3937721</v>
      </c>
      <c r="F226" s="21">
        <f>SUMIFS(Annual_Cost!$Y$2:$Y$1353,Annual_Cost!$A$2:$A$1353,A226,Annual_Cost!$B$2:$B$1353,B226)</f>
        <v>4219628842.0183296</v>
      </c>
      <c r="G226" s="21">
        <f>SUMIFS($E$2:E226,$A$2:A226,A226)</f>
        <v>58568247097.630005</v>
      </c>
      <c r="H226" s="21">
        <f>SUMIFS($F$2:F226,$A$2:A226,A226)</f>
        <v>42867771747.294128</v>
      </c>
    </row>
    <row r="227" spans="1:8">
      <c r="A227" t="s">
        <v>75</v>
      </c>
      <c r="B227" s="18">
        <v>2042</v>
      </c>
      <c r="C227" s="21">
        <f>SUMIFS(Annual_Cost!$Q$2:$Q$1353,Annual_Cost!$A$2:$A$1353,A227,Annual_Cost!$B$2:$B$1353,B227)</f>
        <v>3010145214.9289331</v>
      </c>
      <c r="D227" s="21">
        <f>SUMIFS(Annual_Cost!$R$2:$R$1353,Annual_Cost!$A$2:$A$1353,A227,Annual_Cost!$B$2:$B$1353,B227)</f>
        <v>10217485428.329575</v>
      </c>
      <c r="E227" s="21">
        <f>SUMIFS(Annual_Cost!$S$2:$S$1353,Annual_Cost!$A$2:$A$1353,A227,Annual_Cost!$B$2:$B$1353,B227)</f>
        <v>7207340213.4006433</v>
      </c>
      <c r="F227" s="21">
        <f>SUMIFS(Annual_Cost!$Y$2:$Y$1353,Annual_Cost!$A$2:$A$1353,A227,Annual_Cost!$B$2:$B$1353,B227)</f>
        <v>4360559359.9057503</v>
      </c>
      <c r="G227" s="21">
        <f>SUMIFS($E$2:E227,$A$2:A227,A227)</f>
        <v>65775587311.030647</v>
      </c>
      <c r="H227" s="21">
        <f>SUMIFS($F$2:F227,$A$2:A227,A227)</f>
        <v>47228331107.199875</v>
      </c>
    </row>
    <row r="228" spans="1:8">
      <c r="A228" t="s">
        <v>75</v>
      </c>
      <c r="B228" s="18">
        <v>2043</v>
      </c>
      <c r="C228" s="21">
        <f>SUMIFS(Annual_Cost!$Q$2:$Q$1353,Annual_Cost!$A$2:$A$1353,A228,Annual_Cost!$B$2:$B$1353,B228)</f>
        <v>3038660656.8347721</v>
      </c>
      <c r="D228" s="21">
        <f>SUMIFS(Annual_Cost!$R$2:$R$1353,Annual_Cost!$A$2:$A$1353,A228,Annual_Cost!$B$2:$B$1353,B228)</f>
        <v>10679695503.817163</v>
      </c>
      <c r="E228" s="21">
        <f>SUMIFS(Annual_Cost!$S$2:$S$1353,Annual_Cost!$A$2:$A$1353,A228,Annual_Cost!$B$2:$B$1353,B228)</f>
        <v>7641034846.9823895</v>
      </c>
      <c r="F228" s="21">
        <f>SUMIFS(Annual_Cost!$Y$2:$Y$1353,Annual_Cost!$A$2:$A$1353,A228,Annual_Cost!$B$2:$B$1353,B228)</f>
        <v>4488302665.725563</v>
      </c>
      <c r="G228" s="21">
        <f>SUMIFS($E$2:E228,$A$2:A228,A228)</f>
        <v>73416622158.013031</v>
      </c>
      <c r="H228" s="21">
        <f>SUMIFS($F$2:F228,$A$2:A228,A228)</f>
        <v>51716633772.925438</v>
      </c>
    </row>
    <row r="229" spans="1:8">
      <c r="A229" t="s">
        <v>75</v>
      </c>
      <c r="B229" s="18">
        <v>2044</v>
      </c>
      <c r="C229" s="21">
        <f>SUMIFS(Annual_Cost!$Q$2:$Q$1353,Annual_Cost!$A$2:$A$1353,A229,Annual_Cost!$B$2:$B$1353,B229)</f>
        <v>3065081485.101553</v>
      </c>
      <c r="D229" s="21">
        <f>SUMIFS(Annual_Cost!$R$2:$R$1353,Annual_Cost!$A$2:$A$1353,A229,Annual_Cost!$B$2:$B$1353,B229)</f>
        <v>11137497035.910791</v>
      </c>
      <c r="E229" s="21">
        <f>SUMIFS(Annual_Cost!$S$2:$S$1353,Annual_Cost!$A$2:$A$1353,A229,Annual_Cost!$B$2:$B$1353,B229)</f>
        <v>8072415550.8092384</v>
      </c>
      <c r="F229" s="21">
        <f>SUMIFS(Annual_Cost!$Y$2:$Y$1353,Annual_Cost!$A$2:$A$1353,A229,Annual_Cost!$B$2:$B$1353,B229)</f>
        <v>4603585791.2457972</v>
      </c>
      <c r="G229" s="21">
        <f>SUMIFS($E$2:E229,$A$2:A229,A229)</f>
        <v>81489037708.822266</v>
      </c>
      <c r="H229" s="21">
        <f>SUMIFS($F$2:F229,$A$2:A229,A229)</f>
        <v>56320219564.171234</v>
      </c>
    </row>
    <row r="230" spans="1:8">
      <c r="A230" t="s">
        <v>75</v>
      </c>
      <c r="B230" s="18">
        <v>2045</v>
      </c>
      <c r="C230" s="21">
        <f>SUMIFS(Annual_Cost!$Q$2:$Q$1353,Annual_Cost!$A$2:$A$1353,A230,Annual_Cost!$B$2:$B$1353,B230)</f>
        <v>3089454613.0267906</v>
      </c>
      <c r="D230" s="21">
        <f>SUMIFS(Annual_Cost!$R$2:$R$1353,Annual_Cost!$A$2:$A$1353,A230,Annual_Cost!$B$2:$B$1353,B230)</f>
        <v>11590144041.888084</v>
      </c>
      <c r="E230" s="21">
        <f>SUMIFS(Annual_Cost!$S$2:$S$1353,Annual_Cost!$A$2:$A$1353,A230,Annual_Cost!$B$2:$B$1353,B230)</f>
        <v>8500689428.8612947</v>
      </c>
      <c r="F230" s="21">
        <f>SUMIFS(Annual_Cost!$Y$2:$Y$1353,Annual_Cost!$A$2:$A$1353,A230,Annual_Cost!$B$2:$B$1353,B230)</f>
        <v>4706625630.628582</v>
      </c>
      <c r="G230" s="21">
        <f>SUMIFS($E$2:E230,$A$2:A230,A230)</f>
        <v>89989727137.683563</v>
      </c>
      <c r="H230" s="21">
        <f>SUMIFS($F$2:F230,$A$2:A230,A230)</f>
        <v>61026845194.79982</v>
      </c>
    </row>
    <row r="231" spans="1:8">
      <c r="A231" t="s">
        <v>75</v>
      </c>
      <c r="B231" s="18">
        <v>2046</v>
      </c>
      <c r="C231" s="21">
        <f>SUMIFS(Annual_Cost!$Q$2:$Q$1353,Annual_Cost!$A$2:$A$1353,A231,Annual_Cost!$B$2:$B$1353,B231)</f>
        <v>3111446170.4361229</v>
      </c>
      <c r="D231" s="21">
        <f>SUMIFS(Annual_Cost!$R$2:$R$1353,Annual_Cost!$A$2:$A$1353,A231,Annual_Cost!$B$2:$B$1353,B231)</f>
        <v>12034316547.897503</v>
      </c>
      <c r="E231" s="21">
        <f>SUMIFS(Annual_Cost!$S$2:$S$1353,Annual_Cost!$A$2:$A$1353,A231,Annual_Cost!$B$2:$B$1353,B231)</f>
        <v>8922870377.4613781</v>
      </c>
      <c r="F231" s="21">
        <f>SUMIFS(Annual_Cost!$Y$2:$Y$1353,Annual_Cost!$A$2:$A$1353,A231,Annual_Cost!$B$2:$B$1353,B231)</f>
        <v>4796482510.4347935</v>
      </c>
      <c r="G231" s="21">
        <f>SUMIFS($E$2:E231,$A$2:A231,A231)</f>
        <v>98912597515.144943</v>
      </c>
      <c r="H231" s="21">
        <f>SUMIFS($F$2:F231,$A$2:A231,A231)</f>
        <v>65823327705.234612</v>
      </c>
    </row>
    <row r="232" spans="1:8">
      <c r="A232" t="s">
        <v>75</v>
      </c>
      <c r="B232" s="18">
        <v>2047</v>
      </c>
      <c r="C232" s="21">
        <f>SUMIFS(Annual_Cost!$Q$2:$Q$1353,Annual_Cost!$A$2:$A$1353,A232,Annual_Cost!$B$2:$B$1353,B232)</f>
        <v>3130426819.2088079</v>
      </c>
      <c r="D232" s="21">
        <f>SUMIFS(Annual_Cost!$R$2:$R$1353,Annual_Cost!$A$2:$A$1353,A232,Annual_Cost!$B$2:$B$1353,B232)</f>
        <v>12465566463.072456</v>
      </c>
      <c r="E232" s="21">
        <f>SUMIFS(Annual_Cost!$S$2:$S$1353,Annual_Cost!$A$2:$A$1353,A232,Annual_Cost!$B$2:$B$1353,B232)</f>
        <v>9335139643.8636494</v>
      </c>
      <c r="F232" s="21">
        <f>SUMIFS(Annual_Cost!$Y$2:$Y$1353,Annual_Cost!$A$2:$A$1353,A232,Annual_Cost!$B$2:$B$1353,B232)</f>
        <v>4871939374.8241692</v>
      </c>
      <c r="G232" s="21">
        <f>SUMIFS($E$2:E232,$A$2:A232,A232)</f>
        <v>108247737159.00859</v>
      </c>
      <c r="H232" s="21">
        <f>SUMIFS($F$2:F232,$A$2:A232,A232)</f>
        <v>70695267080.058777</v>
      </c>
    </row>
    <row r="233" spans="1:8">
      <c r="A233" t="s">
        <v>75</v>
      </c>
      <c r="B233" s="18">
        <v>2048</v>
      </c>
      <c r="C233" s="21">
        <f>SUMIFS(Annual_Cost!$Q$2:$Q$1353,Annual_Cost!$A$2:$A$1353,A233,Annual_Cost!$B$2:$B$1353,B233)</f>
        <v>3146927555.5568399</v>
      </c>
      <c r="D233" s="21">
        <f>SUMIFS(Annual_Cost!$R$2:$R$1353,Annual_Cost!$A$2:$A$1353,A233,Annual_Cost!$B$2:$B$1353,B233)</f>
        <v>12884966673.066259</v>
      </c>
      <c r="E233" s="21">
        <f>SUMIFS(Annual_Cost!$S$2:$S$1353,Annual_Cost!$A$2:$A$1353,A233,Annual_Cost!$B$2:$B$1353,B233)</f>
        <v>9738039117.5094185</v>
      </c>
      <c r="F233" s="21">
        <f>SUMIFS(Annual_Cost!$Y$2:$Y$1353,Annual_Cost!$A$2:$A$1353,A233,Annual_Cost!$B$2:$B$1353,B233)</f>
        <v>4934184066.7276096</v>
      </c>
      <c r="G233" s="21">
        <f>SUMIFS($E$2:E233,$A$2:A233,A233)</f>
        <v>117985776276.51801</v>
      </c>
      <c r="H233" s="21">
        <f>SUMIFS($F$2:F233,$A$2:A233,A233)</f>
        <v>75629451146.786392</v>
      </c>
    </row>
    <row r="234" spans="1:8">
      <c r="A234" t="s">
        <v>75</v>
      </c>
      <c r="B234" s="18">
        <v>2049</v>
      </c>
      <c r="C234" s="21">
        <f>SUMIFS(Annual_Cost!$Q$2:$Q$1353,Annual_Cost!$A$2:$A$1353,A234,Annual_Cost!$B$2:$B$1353,B234)</f>
        <v>3161810445.455987</v>
      </c>
      <c r="D234" s="21">
        <f>SUMIFS(Annual_Cost!$R$2:$R$1353,Annual_Cost!$A$2:$A$1353,A234,Annual_Cost!$B$2:$B$1353,B234)</f>
        <v>13298018595.157709</v>
      </c>
      <c r="E234" s="21">
        <f>SUMIFS(Annual_Cost!$S$2:$S$1353,Annual_Cost!$A$2:$A$1353,A234,Annual_Cost!$B$2:$B$1353,B234)</f>
        <v>10136208149.701721</v>
      </c>
      <c r="F234" s="21">
        <f>SUMIFS(Annual_Cost!$Y$2:$Y$1353,Annual_Cost!$A$2:$A$1353,A234,Annual_Cost!$B$2:$B$1353,B234)</f>
        <v>4986342747.3977537</v>
      </c>
      <c r="G234" s="21">
        <f>SUMIFS($E$2:E234,$A$2:A234,A234)</f>
        <v>128121984426.21973</v>
      </c>
      <c r="H234" s="21">
        <f>SUMIFS($F$2:F234,$A$2:A234,A234)</f>
        <v>80615793894.184143</v>
      </c>
    </row>
    <row r="235" spans="1:8">
      <c r="A235" t="s">
        <v>75</v>
      </c>
      <c r="B235" s="18">
        <v>2050</v>
      </c>
      <c r="C235" s="21">
        <f>SUMIFS(Annual_Cost!$Q$2:$Q$1353,Annual_Cost!$A$2:$A$1353,A235,Annual_Cost!$B$2:$B$1353,B235)</f>
        <v>3175463295.520721</v>
      </c>
      <c r="D235" s="21">
        <f>SUMIFS(Annual_Cost!$R$2:$R$1353,Annual_Cost!$A$2:$A$1353,A235,Annual_Cost!$B$2:$B$1353,B235)</f>
        <v>13706780327.285557</v>
      </c>
      <c r="E235" s="21">
        <f>SUMIFS(Annual_Cost!$S$2:$S$1353,Annual_Cost!$A$2:$A$1353,A235,Annual_Cost!$B$2:$B$1353,B235)</f>
        <v>10531317031.764833</v>
      </c>
      <c r="F235" s="21">
        <f>SUMIFS(Annual_Cost!$Y$2:$Y$1353,Annual_Cost!$A$2:$A$1353,A235,Annual_Cost!$B$2:$B$1353,B235)</f>
        <v>5029815666.0310564</v>
      </c>
      <c r="G235" s="21">
        <f>SUMIFS($E$2:E235,$A$2:A235,A235)</f>
        <v>138653301457.98456</v>
      </c>
      <c r="H235" s="21">
        <f>SUMIFS($F$2:F235,$A$2:A235,A235)</f>
        <v>85645609560.215195</v>
      </c>
    </row>
  </sheetData>
  <autoFilter ref="A1:H1" xr:uid="{00000000-0009-0000-0000-000006000000}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"/>
  <sheetViews>
    <sheetView tabSelected="1" workbookViewId="0">
      <pane ySplit="1" topLeftCell="A2" activePane="bottomLeft" state="frozen"/>
      <selection pane="bottomLeft" activeCell="A10" sqref="A10"/>
    </sheetView>
  </sheetViews>
  <sheetFormatPr defaultColWidth="11.19921875" defaultRowHeight="13.8"/>
  <cols>
    <col min="1" max="1" width="11.69921875" customWidth="1"/>
    <col min="2" max="3" width="16.69921875" customWidth="1"/>
    <col min="4" max="4" width="15.69921875" customWidth="1"/>
    <col min="5" max="5" width="18.69921875" customWidth="1"/>
    <col min="6" max="6" width="23.69921875" customWidth="1"/>
    <col min="7" max="7" width="24.69921875" customWidth="1"/>
    <col min="8" max="8" width="11.69921875" customWidth="1"/>
    <col min="9" max="9" width="23.69921875" customWidth="1"/>
  </cols>
  <sheetData>
    <row r="1" spans="1:9" ht="28.05" customHeight="1">
      <c r="A1" s="1" t="s">
        <v>322</v>
      </c>
      <c r="B1" s="1" t="s">
        <v>323</v>
      </c>
      <c r="C1" s="1" t="s">
        <v>328</v>
      </c>
      <c r="D1" s="1" t="s">
        <v>330</v>
      </c>
      <c r="E1" s="1" t="s">
        <v>349</v>
      </c>
      <c r="F1" s="1" t="s">
        <v>350</v>
      </c>
      <c r="G1" s="1" t="s">
        <v>353</v>
      </c>
      <c r="H1" s="1" t="s">
        <v>354</v>
      </c>
      <c r="I1" s="1" t="s">
        <v>355</v>
      </c>
    </row>
    <row r="2" spans="1:9" ht="41.4">
      <c r="A2" t="s">
        <v>75</v>
      </c>
      <c r="B2" s="12" t="s">
        <v>331</v>
      </c>
      <c r="C2" s="21">
        <f>SUMIFS(Annual_Mortality!$H$2:$H$1821,Annual_Mortality!$A$2:$A$1821,A2)</f>
        <v>3202374.5912800184</v>
      </c>
      <c r="D2" s="21">
        <f>SUMIFS(Annual_Mortality!$J$2:$J$1821,Annual_Mortality!$A$2:$A$1821,A2)</f>
        <v>4990996.7511879038</v>
      </c>
      <c r="E2" s="21">
        <f>SUMIFS(Budget_Impact!$E$2:$E$235,Budget_Impact!$A$2:$A$235,A2)</f>
        <v>138653301457.98456</v>
      </c>
      <c r="F2" s="21">
        <f>SUMIFS(Budget_Impact!$F$2:$F$235,Budget_Impact!$A$2:$A$235,A2)</f>
        <v>85645609560.215195</v>
      </c>
      <c r="G2" s="21">
        <f t="shared" ref="G2:G10" si="0">IF(C2&gt;0,F2/C2,"")</f>
        <v>26744.407038897301</v>
      </c>
      <c r="H2" s="29" t="str">
        <f t="shared" ref="H2:H10" si="1">IF(AND(C2&gt;0,F2&lt;0),"Dominant (more health, lower cost)",IF(AND(C2&lt;=0,F2&gt;0),"Dominated (less/no health, higher cost)",IF(AND(C2&lt;=0,F2&lt;=0),"No deaths averted; ratio not defined","USD per death averted")))</f>
        <v>USD per death averted</v>
      </c>
      <c r="I2" s="14" t="str">
        <f>IF(AND(ABS(F2-SUMIFS(Budget_Impact!$F$2:$F$235,Budget_Impact!$A$2:$A$235,A2))&lt;=Calculation_Assumptions!$B$11,ABS(C2-SUMIFS(Annual_Mortality!$H$2:$H$1821,Annual_Mortality!$A$2:$A$1821,A2))&lt;=Calculation_Assumptions!$B$11),"consistent","mismatch")</f>
        <v>consistent</v>
      </c>
    </row>
    <row r="3" spans="1:9" ht="27.6">
      <c r="A3" t="s">
        <v>159</v>
      </c>
      <c r="B3" s="12" t="s">
        <v>161</v>
      </c>
      <c r="C3" s="21">
        <f>SUMIFS(Annual_Mortality!$H$2:$H$1821,Annual_Mortality!$A$2:$A$1821,A3)</f>
        <v>2290512.6587750972</v>
      </c>
      <c r="D3" s="21">
        <f>SUMIFS(Annual_Mortality!$J$2:$J$1821,Annual_Mortality!$A$2:$A$1821,A3)</f>
        <v>5147999.975477647</v>
      </c>
      <c r="E3" s="21">
        <f>SUMIFS(Budget_Impact!$E$2:$E$235,Budget_Impact!$A$2:$A$235,A3)</f>
        <v>1940175341.2454748</v>
      </c>
      <c r="F3" s="21">
        <f>SUMIFS(Budget_Impact!$F$2:$F$235,Budget_Impact!$A$2:$A$235,A3)</f>
        <v>1192277956.27703</v>
      </c>
      <c r="G3" s="21">
        <f t="shared" si="0"/>
        <v>520.52886575821299</v>
      </c>
      <c r="H3" s="29" t="str">
        <f t="shared" si="1"/>
        <v>USD per death averted</v>
      </c>
      <c r="I3" s="14" t="str">
        <f>IF(AND(ABS(F3-SUMIFS(Budget_Impact!$F$2:$F$235,Budget_Impact!$A$2:$A$235,A3))&lt;=Calculation_Assumptions!$B$11,ABS(C3-SUMIFS(Annual_Mortality!$H$2:$H$1821,Annual_Mortality!$A$2:$A$1821,A3))&lt;=Calculation_Assumptions!$B$11),"consistent","mismatch")</f>
        <v>consistent</v>
      </c>
    </row>
    <row r="4" spans="1:9" ht="41.4">
      <c r="A4" t="s">
        <v>223</v>
      </c>
      <c r="B4" s="12" t="s">
        <v>225</v>
      </c>
      <c r="C4" s="21">
        <f>SUMIFS(Annual_Mortality!$H$2:$H$1821,Annual_Mortality!$A$2:$A$1821,A4)</f>
        <v>490516.33533610625</v>
      </c>
      <c r="D4" s="21">
        <f>SUMIFS(Annual_Mortality!$J$2:$J$1821,Annual_Mortality!$A$2:$A$1821,A4)</f>
        <v>-92767.152559676411</v>
      </c>
      <c r="E4" s="21">
        <f>SUMIFS(Budget_Impact!$E$2:$E$235,Budget_Impact!$A$2:$A$235,A4)</f>
        <v>23841201129.039749</v>
      </c>
      <c r="F4" s="21">
        <f>SUMIFS(Budget_Impact!$F$2:$F$235,Budget_Impact!$A$2:$A$235,A4)</f>
        <v>14502662339.092499</v>
      </c>
      <c r="G4" s="21">
        <f t="shared" si="0"/>
        <v>29566.114916754286</v>
      </c>
      <c r="H4" s="29" t="str">
        <f t="shared" si="1"/>
        <v>USD per death averted</v>
      </c>
      <c r="I4" s="14" t="str">
        <f>IF(AND(ABS(F4-SUMIFS(Budget_Impact!$F$2:$F$235,Budget_Impact!$A$2:$A$235,A4))&lt;=Calculation_Assumptions!$B$11,ABS(C4-SUMIFS(Annual_Mortality!$H$2:$H$1821,Annual_Mortality!$A$2:$A$1821,A4))&lt;=Calculation_Assumptions!$B$11),"consistent","mismatch")</f>
        <v>consistent</v>
      </c>
    </row>
    <row r="5" spans="1:9" ht="55.2">
      <c r="A5" t="s">
        <v>202</v>
      </c>
      <c r="B5" s="12" t="s">
        <v>204</v>
      </c>
      <c r="C5" s="21">
        <f>SUMIFS(Annual_Mortality!$H$2:$H$1821,Annual_Mortality!$A$2:$A$1821,A5)</f>
        <v>231140.09263229102</v>
      </c>
      <c r="D5" s="21">
        <f>SUMIFS(Annual_Mortality!$J$2:$J$1821,Annual_Mortality!$A$2:$A$1821,A5)</f>
        <v>-38194.261582118401</v>
      </c>
      <c r="E5" s="21">
        <f>SUMIFS(Budget_Impact!$E$2:$E$235,Budget_Impact!$A$2:$A$235,A5)</f>
        <v>7732304660.3549099</v>
      </c>
      <c r="F5" s="21">
        <f>SUMIFS(Budget_Impact!$F$2:$F$235,Budget_Impact!$A$2:$A$235,A5)</f>
        <v>4724377220.5235071</v>
      </c>
      <c r="G5" s="21">
        <f t="shared" si="0"/>
        <v>20439.453695466316</v>
      </c>
      <c r="H5" s="29" t="str">
        <f t="shared" si="1"/>
        <v>USD per death averted</v>
      </c>
      <c r="I5" s="14" t="str">
        <f>IF(AND(ABS(F5-SUMIFS(Budget_Impact!$F$2:$F$235,Budget_Impact!$A$2:$A$235,A5))&lt;=Calculation_Assumptions!$B$11,ABS(C5-SUMIFS(Annual_Mortality!$H$2:$H$1821,Annual_Mortality!$A$2:$A$1821,A5))&lt;=Calculation_Assumptions!$B$11),"consistent","mismatch")</f>
        <v>consistent</v>
      </c>
    </row>
    <row r="6" spans="1:9" ht="27.6">
      <c r="A6" t="s">
        <v>197</v>
      </c>
      <c r="B6" s="12" t="s">
        <v>199</v>
      </c>
      <c r="C6" s="21">
        <f>SUMIFS(Annual_Mortality!$H$2:$H$1821,Annual_Mortality!$A$2:$A$1821,A6)</f>
        <v>96795.305701519159</v>
      </c>
      <c r="D6" s="21">
        <f>SUMIFS(Annual_Mortality!$J$2:$J$1821,Annual_Mortality!$A$2:$A$1821,A6)</f>
        <v>-19674.05922865506</v>
      </c>
      <c r="E6" s="21">
        <f>SUMIFS(Budget_Impact!$E$2:$E$235,Budget_Impact!$A$2:$A$235,A6)</f>
        <v>1250661250.3630383</v>
      </c>
      <c r="F6" s="21">
        <f>SUMIFS(Budget_Impact!$F$2:$F$235,Budget_Impact!$A$2:$A$235,A6)</f>
        <v>758413032.18023741</v>
      </c>
      <c r="G6" s="21">
        <f t="shared" si="0"/>
        <v>7835.2253415976811</v>
      </c>
      <c r="H6" s="29" t="str">
        <f t="shared" si="1"/>
        <v>USD per death averted</v>
      </c>
      <c r="I6" s="14" t="str">
        <f>IF(AND(ABS(F6-SUMIFS(Budget_Impact!$F$2:$F$235,Budget_Impact!$A$2:$A$235,A6))&lt;=Calculation_Assumptions!$B$11,ABS(C6-SUMIFS(Annual_Mortality!$H$2:$H$1821,Annual_Mortality!$A$2:$A$1821,A6))&lt;=Calculation_Assumptions!$B$11),"consistent","mismatch")</f>
        <v>consistent</v>
      </c>
    </row>
    <row r="7" spans="1:9" ht="27.6">
      <c r="A7" t="s">
        <v>183</v>
      </c>
      <c r="B7" s="12" t="s">
        <v>185</v>
      </c>
      <c r="C7" s="21">
        <f>SUMIFS(Annual_Mortality!$H$2:$H$1821,Annual_Mortality!$A$2:$A$1821,A7)</f>
        <v>84390.266280384516</v>
      </c>
      <c r="D7" s="21">
        <f>SUMIFS(Annual_Mortality!$J$2:$J$1821,Annual_Mortality!$A$2:$A$1821,A7)</f>
        <v>-19918.35356302881</v>
      </c>
      <c r="E7" s="21">
        <f>SUMIFS(Budget_Impact!$E$2:$E$235,Budget_Impact!$A$2:$A$235,A7)</f>
        <v>2069698339.6332819</v>
      </c>
      <c r="F7" s="21">
        <f>SUMIFS(Budget_Impact!$F$2:$F$235,Budget_Impact!$A$2:$A$235,A7)</f>
        <v>1259745440.3898082</v>
      </c>
      <c r="G7" s="21">
        <f t="shared" si="0"/>
        <v>14927.615421953238</v>
      </c>
      <c r="H7" s="29" t="str">
        <f t="shared" si="1"/>
        <v>USD per death averted</v>
      </c>
      <c r="I7" s="14" t="str">
        <f>IF(AND(ABS(F7-SUMIFS(Budget_Impact!$F$2:$F$235,Budget_Impact!$A$2:$A$235,A7))&lt;=Calculation_Assumptions!$B$11,ABS(C7-SUMIFS(Annual_Mortality!$H$2:$H$1821,Annual_Mortality!$A$2:$A$1821,A7))&lt;=Calculation_Assumptions!$B$11),"consistent","mismatch")</f>
        <v>consistent</v>
      </c>
    </row>
    <row r="8" spans="1:9" ht="41.4">
      <c r="A8" t="s">
        <v>217</v>
      </c>
      <c r="B8" s="12" t="s">
        <v>219</v>
      </c>
      <c r="C8" s="21">
        <f>SUMIFS(Annual_Mortality!$H$2:$H$1821,Annual_Mortality!$A$2:$A$1821,A8)</f>
        <v>51809.964825454976</v>
      </c>
      <c r="D8" s="21">
        <f>SUMIFS(Annual_Mortality!$J$2:$J$1821,Annual_Mortality!$A$2:$A$1821,A8)</f>
        <v>-9285.2010243191799</v>
      </c>
      <c r="E8" s="21">
        <f>SUMIFS(Budget_Impact!$E$2:$E$235,Budget_Impact!$A$2:$A$235,A8)</f>
        <v>4508092048.1740179</v>
      </c>
      <c r="F8" s="21">
        <f>SUMIFS(Budget_Impact!$F$2:$F$235,Budget_Impact!$A$2:$A$235,A8)</f>
        <v>2746254822.1869278</v>
      </c>
      <c r="G8" s="21">
        <f t="shared" si="0"/>
        <v>53006.305474997229</v>
      </c>
      <c r="H8" s="29" t="str">
        <f t="shared" si="1"/>
        <v>USD per death averted</v>
      </c>
      <c r="I8" s="14" t="str">
        <f>IF(AND(ABS(F8-SUMIFS(Budget_Impact!$F$2:$F$235,Budget_Impact!$A$2:$A$235,A8))&lt;=Calculation_Assumptions!$B$11,ABS(C8-SUMIFS(Annual_Mortality!$H$2:$H$1821,Annual_Mortality!$A$2:$A$1821,A8))&lt;=Calculation_Assumptions!$B$11),"consistent","mismatch")</f>
        <v>consistent</v>
      </c>
    </row>
    <row r="9" spans="1:9" ht="27.6">
      <c r="A9" t="s">
        <v>205</v>
      </c>
      <c r="B9" s="12" t="s">
        <v>207</v>
      </c>
      <c r="C9" s="21">
        <f>SUMIFS(Annual_Mortality!$H$2:$H$1821,Annual_Mortality!$A$2:$A$1821,A9)</f>
        <v>10939.534394774066</v>
      </c>
      <c r="D9" s="21">
        <f>SUMIFS(Annual_Mortality!$J$2:$J$1821,Annual_Mortality!$A$2:$A$1821,A9)</f>
        <v>-568.45155966809034</v>
      </c>
      <c r="E9" s="21">
        <f>SUMIFS(Budget_Impact!$E$2:$E$235,Budget_Impact!$A$2:$A$235,A9)</f>
        <v>272905103.02978003</v>
      </c>
      <c r="F9" s="21">
        <f>SUMIFS(Budget_Impact!$F$2:$F$235,Budget_Impact!$A$2:$A$235,A9)</f>
        <v>169332026.33497193</v>
      </c>
      <c r="G9" s="21">
        <f t="shared" si="0"/>
        <v>15478.906160381348</v>
      </c>
      <c r="H9" s="29" t="str">
        <f t="shared" si="1"/>
        <v>USD per death averted</v>
      </c>
      <c r="I9" s="14" t="str">
        <f>IF(AND(ABS(F9-SUMIFS(Budget_Impact!$F$2:$F$235,Budget_Impact!$A$2:$A$235,A9))&lt;=Calculation_Assumptions!$B$11,ABS(C9-SUMIFS(Annual_Mortality!$H$2:$H$1821,Annual_Mortality!$A$2:$A$1821,A9))&lt;=Calculation_Assumptions!$B$11),"consistent","mismatch")</f>
        <v>consistent</v>
      </c>
    </row>
    <row r="10" spans="1:9" ht="27.6">
      <c r="A10" t="s">
        <v>212</v>
      </c>
      <c r="B10" s="12" t="s">
        <v>214</v>
      </c>
      <c r="C10" s="21">
        <f>SUMIFS(Annual_Mortality!$H$2:$H$1821,Annual_Mortality!$A$2:$A$1821,A10)</f>
        <v>1807.0187938084746</v>
      </c>
      <c r="D10" s="21">
        <f>SUMIFS(Annual_Mortality!$J$2:$J$1821,Annual_Mortality!$A$2:$A$1821,A10)</f>
        <v>-98.370735119666278</v>
      </c>
      <c r="E10" s="21">
        <f>SUMIFS(Budget_Impact!$E$2:$E$235,Budget_Impact!$A$2:$A$235,A10)</f>
        <v>4950042716.7213316</v>
      </c>
      <c r="F10" s="21">
        <f>SUMIFS(Budget_Impact!$F$2:$F$235,Budget_Impact!$A$2:$A$235,A10)</f>
        <v>3071753017.5653644</v>
      </c>
      <c r="G10" s="21">
        <f t="shared" si="0"/>
        <v>1699900.9794974709</v>
      </c>
      <c r="H10" s="29" t="str">
        <f t="shared" si="1"/>
        <v>USD per death averted</v>
      </c>
      <c r="I10" s="14" t="str">
        <f>IF(AND(ABS(F10-SUMIFS(Budget_Impact!$F$2:$F$235,Budget_Impact!$A$2:$A$235,A10))&lt;=Calculation_Assumptions!$B$11,ABS(C10-SUMIFS(Annual_Mortality!$H$2:$H$1821,Annual_Mortality!$A$2:$A$1821,A10))&lt;=Calculation_Assumptions!$B$11),"consistent","mismatch")</f>
        <v>consistent</v>
      </c>
    </row>
  </sheetData>
  <autoFilter ref="A1:I1" xr:uid="{00000000-0009-0000-0000-000007000000}"/>
  <conditionalFormatting sqref="H2:H10">
    <cfRule type="containsText" dxfId="7" priority="1" operator="containsText" text="Dominated">
      <formula>NOT(ISERROR(SEARCH("Dominated", H2)))</formula>
    </cfRule>
  </conditionalFormatting>
  <conditionalFormatting sqref="I2:I10">
    <cfRule type="containsText" dxfId="6" priority="2" operator="containsText" text="mismatch">
      <formula>NOT(ISERROR(SEARCH("mismatch", I2)))</formula>
    </cfRule>
    <cfRule type="containsText" dxfId="5" priority="3" operator="containsText" text="consistent">
      <formula>NOT(ISERROR(SEARCH("consistent", I2)))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2"/>
  <sheetViews>
    <sheetView workbookViewId="0">
      <pane ySplit="3" topLeftCell="A4" activePane="bottomLeft" state="frozen"/>
      <selection pane="bottomLeft"/>
    </sheetView>
  </sheetViews>
  <sheetFormatPr defaultColWidth="11.19921875" defaultRowHeight="13.8"/>
  <cols>
    <col min="1" max="1" width="12.69921875" customWidth="1"/>
    <col min="2" max="4" width="21.69921875" customWidth="1"/>
    <col min="5" max="7" width="17.69921875" customWidth="1"/>
    <col min="8" max="8" width="29.69921875" customWidth="1"/>
    <col min="9" max="9" width="25.69921875" customWidth="1"/>
    <col min="10" max="10" width="29.69921875" customWidth="1"/>
    <col min="11" max="11" width="25.69921875" customWidth="1"/>
    <col min="12" max="12" width="24.69921875" customWidth="1"/>
    <col min="13" max="13" width="18.69921875" customWidth="1"/>
    <col min="14" max="14" width="23.69921875" customWidth="1"/>
    <col min="15" max="15" width="16.69921875" customWidth="1"/>
    <col min="16" max="16" width="25.69921875" customWidth="1"/>
    <col min="17" max="17" width="22.69921875" customWidth="1"/>
  </cols>
  <sheetData>
    <row r="1" spans="1:17" ht="248.4">
      <c r="A1" s="12" t="s">
        <v>356</v>
      </c>
    </row>
    <row r="3" spans="1:17">
      <c r="A3" s="1" t="s">
        <v>322</v>
      </c>
      <c r="B3" s="1" t="s">
        <v>357</v>
      </c>
      <c r="C3" s="1" t="s">
        <v>358</v>
      </c>
      <c r="D3" s="1" t="s">
        <v>359</v>
      </c>
      <c r="E3" s="1" t="s">
        <v>360</v>
      </c>
      <c r="F3" s="1" t="s">
        <v>361</v>
      </c>
      <c r="G3" s="1" t="s">
        <v>362</v>
      </c>
      <c r="H3" s="1" t="s">
        <v>363</v>
      </c>
      <c r="I3" s="1" t="s">
        <v>364</v>
      </c>
      <c r="J3" s="1" t="s">
        <v>365</v>
      </c>
      <c r="K3" s="1" t="s">
        <v>366</v>
      </c>
      <c r="L3" s="1" t="s">
        <v>367</v>
      </c>
      <c r="M3" s="1" t="s">
        <v>349</v>
      </c>
      <c r="N3" s="1" t="s">
        <v>350</v>
      </c>
      <c r="O3" s="1" t="s">
        <v>328</v>
      </c>
      <c r="P3" s="1" t="s">
        <v>368</v>
      </c>
      <c r="Q3" s="1" t="s">
        <v>369</v>
      </c>
    </row>
    <row r="4" spans="1:17">
      <c r="A4" t="s">
        <v>159</v>
      </c>
      <c r="B4" s="10">
        <v>8871423390796.5391</v>
      </c>
      <c r="C4" s="10">
        <v>6819618269150.1904</v>
      </c>
      <c r="D4" s="10">
        <v>4598676390802.7197</v>
      </c>
      <c r="E4" s="10">
        <v>4829822214379.6904</v>
      </c>
      <c r="F4" s="10">
        <v>3712066341951.3301</v>
      </c>
      <c r="G4" s="10">
        <v>2502460308072.0298</v>
      </c>
      <c r="H4" s="10">
        <v>4046384574713.1602</v>
      </c>
      <c r="I4" s="10">
        <v>2206467268094</v>
      </c>
      <c r="J4" s="10">
        <v>2718007686765.0898</v>
      </c>
      <c r="K4" s="10">
        <v>1481656896674.47</v>
      </c>
      <c r="L4" s="10">
        <v>2290512.6587751</v>
      </c>
      <c r="M4" s="21">
        <f>IFERROR(INDEX(Cost_Effectiveness!$E$2:$E$10,MATCH(A4,Cost_Effectiveness!$A$2:$A$10,0)),"")</f>
        <v>1940175341.2454748</v>
      </c>
      <c r="N4" s="21">
        <f>IFERROR(INDEX(Cost_Effectiveness!$F$2:$F$10,MATCH(A4,Cost_Effectiveness!$A$2:$A$10,0)),"")</f>
        <v>1192277956.27703</v>
      </c>
      <c r="O4" s="21">
        <f>IFERROR(INDEX(Cost_Effectiveness!$C$2:$C$10,MATCH(A4,Cost_Effectiveness!$A$2:$A$10,0)),"")</f>
        <v>2290512.6587750972</v>
      </c>
      <c r="P4" s="26">
        <f t="shared" ref="P4:P12" si="0">IF(M4=0,"",C4/M4)</f>
        <v>3514.9494605845312</v>
      </c>
      <c r="Q4" s="21">
        <f t="shared" ref="Q4:Q12" si="1">C4-M4</f>
        <v>6817678093808.9453</v>
      </c>
    </row>
    <row r="5" spans="1:17">
      <c r="A5" t="s">
        <v>183</v>
      </c>
      <c r="B5" s="10">
        <v>312723000992.08899</v>
      </c>
      <c r="C5" s="10">
        <v>239181214138.22699</v>
      </c>
      <c r="D5" s="10">
        <v>160108290067.505</v>
      </c>
      <c r="E5" s="10">
        <v>156790302453.78</v>
      </c>
      <c r="F5" s="10">
        <v>119915431272.62</v>
      </c>
      <c r="G5" s="10">
        <v>80267743055.806503</v>
      </c>
      <c r="H5" s="10">
        <v>148817074086.25299</v>
      </c>
      <c r="I5" s="10">
        <v>74626183256.483597</v>
      </c>
      <c r="J5" s="10">
        <v>99055035891.761505</v>
      </c>
      <c r="K5" s="10">
        <v>49673265484.4394</v>
      </c>
      <c r="L5" s="10">
        <v>84390.2662804016</v>
      </c>
      <c r="M5" s="21">
        <f>IFERROR(INDEX(Cost_Effectiveness!$E$2:$E$10,MATCH(A5,Cost_Effectiveness!$A$2:$A$10,0)),"")</f>
        <v>2069698339.6332819</v>
      </c>
      <c r="N5" s="21">
        <f>IFERROR(INDEX(Cost_Effectiveness!$F$2:$F$10,MATCH(A5,Cost_Effectiveness!$A$2:$A$10,0)),"")</f>
        <v>1259745440.3898082</v>
      </c>
      <c r="O5" s="21">
        <f>IFERROR(INDEX(Cost_Effectiveness!$C$2:$C$10,MATCH(A5,Cost_Effectiveness!$A$2:$A$10,0)),"")</f>
        <v>84390.266280384516</v>
      </c>
      <c r="P5" s="26">
        <f t="shared" si="0"/>
        <v>115.56332126188309</v>
      </c>
      <c r="Q5" s="21">
        <f t="shared" si="1"/>
        <v>237111515798.59372</v>
      </c>
    </row>
    <row r="6" spans="1:17">
      <c r="A6" t="s">
        <v>197</v>
      </c>
      <c r="B6" s="10">
        <v>355509259019.854</v>
      </c>
      <c r="C6" s="10">
        <v>271607650637.862</v>
      </c>
      <c r="D6" s="10">
        <v>181520637378.104</v>
      </c>
      <c r="E6" s="10">
        <v>227151609433.22198</v>
      </c>
      <c r="F6" s="10">
        <v>173680413696.62399</v>
      </c>
      <c r="G6" s="10">
        <v>116208494066.924</v>
      </c>
      <c r="H6" s="10">
        <v>170684163524.634</v>
      </c>
      <c r="I6" s="10">
        <v>108359158640.937</v>
      </c>
      <c r="J6" s="10">
        <v>113409741190.03101</v>
      </c>
      <c r="K6" s="10">
        <v>72095178576.027802</v>
      </c>
      <c r="L6" s="10">
        <v>96795.305701520803</v>
      </c>
      <c r="M6" s="21">
        <f>IFERROR(INDEX(Cost_Effectiveness!$E$2:$E$10,MATCH(A6,Cost_Effectiveness!$A$2:$A$10,0)),"")</f>
        <v>1250661250.3630383</v>
      </c>
      <c r="N6" s="21">
        <f>IFERROR(INDEX(Cost_Effectiveness!$F$2:$F$10,MATCH(A6,Cost_Effectiveness!$A$2:$A$10,0)),"")</f>
        <v>758413032.18023741</v>
      </c>
      <c r="O6" s="21">
        <f>IFERROR(INDEX(Cost_Effectiveness!$C$2:$C$10,MATCH(A6,Cost_Effectiveness!$A$2:$A$10,0)),"")</f>
        <v>96795.305701519159</v>
      </c>
      <c r="P6" s="26">
        <f t="shared" si="0"/>
        <v>217.17123686291595</v>
      </c>
      <c r="Q6" s="21">
        <f t="shared" si="1"/>
        <v>270356989387.49896</v>
      </c>
    </row>
    <row r="7" spans="1:17">
      <c r="A7" t="s">
        <v>202</v>
      </c>
      <c r="B7" s="10">
        <v>853380548398.479</v>
      </c>
      <c r="C7" s="10">
        <v>652354879431.75806</v>
      </c>
      <c r="D7" s="10">
        <v>436341148537.06299</v>
      </c>
      <c r="E7" s="10">
        <v>566982815960.17798</v>
      </c>
      <c r="F7" s="10">
        <v>433766106116.69702</v>
      </c>
      <c r="G7" s="10">
        <v>290470798958.91498</v>
      </c>
      <c r="H7" s="10">
        <v>407784509353.99902</v>
      </c>
      <c r="I7" s="10">
        <v>269184585484.95401</v>
      </c>
      <c r="J7" s="10">
        <v>271244024404.48099</v>
      </c>
      <c r="K7" s="10">
        <v>179291819310.91901</v>
      </c>
      <c r="L7" s="10">
        <v>231140.09263228299</v>
      </c>
      <c r="M7" s="21">
        <f>IFERROR(INDEX(Cost_Effectiveness!$E$2:$E$10,MATCH(A7,Cost_Effectiveness!$A$2:$A$10,0)),"")</f>
        <v>7732304660.3549099</v>
      </c>
      <c r="N7" s="21">
        <f>IFERROR(INDEX(Cost_Effectiveness!$F$2:$F$10,MATCH(A7,Cost_Effectiveness!$A$2:$A$10,0)),"")</f>
        <v>4724377220.5235071</v>
      </c>
      <c r="O7" s="21">
        <f>IFERROR(INDEX(Cost_Effectiveness!$C$2:$C$10,MATCH(A7,Cost_Effectiveness!$A$2:$A$10,0)),"")</f>
        <v>231140.09263229102</v>
      </c>
      <c r="P7" s="26">
        <f t="shared" si="0"/>
        <v>84.36745680450403</v>
      </c>
      <c r="Q7" s="21">
        <f t="shared" si="1"/>
        <v>644622574771.4032</v>
      </c>
    </row>
    <row r="8" spans="1:17">
      <c r="A8" t="s">
        <v>205</v>
      </c>
      <c r="B8" s="10">
        <v>40387834247.030098</v>
      </c>
      <c r="C8" s="10">
        <v>30874481440.4561</v>
      </c>
      <c r="D8" s="10">
        <v>20651764769.096699</v>
      </c>
      <c r="E8" s="10">
        <v>63681846088.558098</v>
      </c>
      <c r="F8" s="10">
        <v>48682003799.9944</v>
      </c>
      <c r="G8" s="10">
        <v>32563177696.954899</v>
      </c>
      <c r="H8" s="10">
        <v>19296893919.087898</v>
      </c>
      <c r="I8" s="10">
        <v>30423314264.614201</v>
      </c>
      <c r="J8" s="10">
        <v>12835323393.2274</v>
      </c>
      <c r="K8" s="10">
        <v>20237731282.971001</v>
      </c>
      <c r="L8" s="10">
        <v>10939.534394779699</v>
      </c>
      <c r="M8" s="21">
        <f>IFERROR(INDEX(Cost_Effectiveness!$E$2:$E$10,MATCH(A8,Cost_Effectiveness!$A$2:$A$10,0)),"")</f>
        <v>272905103.02978003</v>
      </c>
      <c r="N8" s="21">
        <f>IFERROR(INDEX(Cost_Effectiveness!$F$2:$F$10,MATCH(A8,Cost_Effectiveness!$A$2:$A$10,0)),"")</f>
        <v>169332026.33497193</v>
      </c>
      <c r="O8" s="21">
        <f>IFERROR(INDEX(Cost_Effectiveness!$C$2:$C$10,MATCH(A8,Cost_Effectiveness!$A$2:$A$10,0)),"")</f>
        <v>10939.534394774066</v>
      </c>
      <c r="P8" s="26">
        <f t="shared" si="0"/>
        <v>113.13266442323362</v>
      </c>
      <c r="Q8" s="21">
        <f t="shared" si="1"/>
        <v>30601576337.426319</v>
      </c>
    </row>
    <row r="9" spans="1:17">
      <c r="A9" t="s">
        <v>212</v>
      </c>
      <c r="B9" s="10">
        <v>6671319716.6633501</v>
      </c>
      <c r="C9" s="10">
        <v>5099909566.2560301</v>
      </c>
      <c r="D9" s="10">
        <v>3411325244.2288098</v>
      </c>
      <c r="E9" s="10">
        <v>10371285328.4394</v>
      </c>
      <c r="F9" s="10">
        <v>7928445604.82934</v>
      </c>
      <c r="G9" s="10">
        <v>5303356878.6073999</v>
      </c>
      <c r="H9" s="10">
        <v>3187409416.0053401</v>
      </c>
      <c r="I9" s="10">
        <v>4954541451.9488897</v>
      </c>
      <c r="J9" s="10">
        <v>2120093019.4033501</v>
      </c>
      <c r="K9" s="10">
        <v>3295791027.7045698</v>
      </c>
      <c r="L9" s="10">
        <v>1807.0187938055001</v>
      </c>
      <c r="M9" s="21">
        <f>IFERROR(INDEX(Cost_Effectiveness!$E$2:$E$10,MATCH(A9,Cost_Effectiveness!$A$2:$A$10,0)),"")</f>
        <v>4950042716.7213316</v>
      </c>
      <c r="N9" s="21">
        <f>IFERROR(INDEX(Cost_Effectiveness!$F$2:$F$10,MATCH(A9,Cost_Effectiveness!$A$2:$A$10,0)),"")</f>
        <v>3071753017.5653644</v>
      </c>
      <c r="O9" s="21">
        <f>IFERROR(INDEX(Cost_Effectiveness!$C$2:$C$10,MATCH(A9,Cost_Effectiveness!$A$2:$A$10,0)),"")</f>
        <v>1807.0187938084746</v>
      </c>
      <c r="P9" s="26">
        <f t="shared" si="0"/>
        <v>1.0302758699492522</v>
      </c>
      <c r="Q9" s="21">
        <f t="shared" si="1"/>
        <v>149866849.53469849</v>
      </c>
    </row>
    <row r="10" spans="1:17">
      <c r="A10" t="s">
        <v>217</v>
      </c>
      <c r="B10" s="10">
        <v>190739828446.392</v>
      </c>
      <c r="C10" s="10">
        <v>145762803850.04599</v>
      </c>
      <c r="D10" s="10">
        <v>97452803763.346695</v>
      </c>
      <c r="E10" s="10">
        <v>111634259707.59801</v>
      </c>
      <c r="F10" s="10">
        <v>85387645757.945297</v>
      </c>
      <c r="G10" s="10">
        <v>57163287562.907303</v>
      </c>
      <c r="H10" s="10">
        <v>91378934069.519104</v>
      </c>
      <c r="I10" s="10">
        <v>53090034210.031502</v>
      </c>
      <c r="J10" s="10">
        <v>60746173151.429398</v>
      </c>
      <c r="K10" s="10">
        <v>35346455680.510803</v>
      </c>
      <c r="L10" s="10">
        <v>51809.9648254446</v>
      </c>
      <c r="M10" s="21">
        <f>IFERROR(INDEX(Cost_Effectiveness!$E$2:$E$10,MATCH(A10,Cost_Effectiveness!$A$2:$A$10,0)),"")</f>
        <v>4508092048.1740179</v>
      </c>
      <c r="N10" s="21">
        <f>IFERROR(INDEX(Cost_Effectiveness!$F$2:$F$10,MATCH(A10,Cost_Effectiveness!$A$2:$A$10,0)),"")</f>
        <v>2746254822.1869278</v>
      </c>
      <c r="O10" s="21">
        <f>IFERROR(INDEX(Cost_Effectiveness!$C$2:$C$10,MATCH(A10,Cost_Effectiveness!$A$2:$A$10,0)),"")</f>
        <v>51809.964825454976</v>
      </c>
      <c r="P10" s="26">
        <f t="shared" si="0"/>
        <v>32.333590861146355</v>
      </c>
      <c r="Q10" s="21">
        <f t="shared" si="1"/>
        <v>141254711801.87198</v>
      </c>
    </row>
    <row r="11" spans="1:17">
      <c r="A11" t="s">
        <v>223</v>
      </c>
      <c r="B11" s="10">
        <v>1858763790939.8601</v>
      </c>
      <c r="C11" s="10">
        <v>1425324314032.9299</v>
      </c>
      <c r="D11" s="10">
        <v>957700437183.94495</v>
      </c>
      <c r="E11" s="10">
        <v>909145943736.67004</v>
      </c>
      <c r="F11" s="10">
        <v>696997150613.79797</v>
      </c>
      <c r="G11" s="10">
        <v>468176003230.34698</v>
      </c>
      <c r="H11" s="10">
        <v>865812886848.64905</v>
      </c>
      <c r="I11" s="10">
        <v>424217537278.33502</v>
      </c>
      <c r="J11" s="10">
        <v>578944260589.21204</v>
      </c>
      <c r="K11" s="10">
        <v>283573170119.79102</v>
      </c>
      <c r="L11" s="10">
        <v>490516.33533610799</v>
      </c>
      <c r="M11" s="21">
        <f>IFERROR(INDEX(Cost_Effectiveness!$E$2:$E$10,MATCH(A11,Cost_Effectiveness!$A$2:$A$10,0)),"")</f>
        <v>23841201129.039749</v>
      </c>
      <c r="N11" s="21">
        <f>IFERROR(INDEX(Cost_Effectiveness!$F$2:$F$10,MATCH(A11,Cost_Effectiveness!$A$2:$A$10,0)),"")</f>
        <v>14502662339.092499</v>
      </c>
      <c r="O11" s="21">
        <f>IFERROR(INDEX(Cost_Effectiveness!$C$2:$C$10,MATCH(A11,Cost_Effectiveness!$A$2:$A$10,0)),"")</f>
        <v>490516.33533610625</v>
      </c>
      <c r="P11" s="26">
        <f t="shared" si="0"/>
        <v>59.784081612264714</v>
      </c>
      <c r="Q11" s="21">
        <f t="shared" si="1"/>
        <v>1401483112903.8901</v>
      </c>
    </row>
    <row r="12" spans="1:17">
      <c r="A12" t="s">
        <v>75</v>
      </c>
      <c r="B12" s="10">
        <v>12269848568672.1</v>
      </c>
      <c r="C12" s="10">
        <v>9420474246364.1602</v>
      </c>
      <c r="D12" s="10">
        <v>6341248470469.1504</v>
      </c>
      <c r="E12" s="10">
        <v>6732890710613.2803</v>
      </c>
      <c r="F12" s="10">
        <v>5168424492091.9297</v>
      </c>
      <c r="G12" s="10">
        <v>3478130357020.23</v>
      </c>
      <c r="H12" s="10">
        <v>5655249799302.1504</v>
      </c>
      <c r="I12" s="10">
        <v>3107806884178.6401</v>
      </c>
      <c r="J12" s="10">
        <v>3790177613526.5298</v>
      </c>
      <c r="K12" s="10">
        <v>2082294121538.97</v>
      </c>
      <c r="L12" s="10">
        <v>3202374.5912800198</v>
      </c>
      <c r="M12" s="21">
        <f>IFERROR(INDEX(Cost_Effectiveness!$E$2:$E$10,MATCH(A12,Cost_Effectiveness!$A$2:$A$10,0)),"")</f>
        <v>138653301457.98456</v>
      </c>
      <c r="N12" s="21">
        <f>IFERROR(INDEX(Cost_Effectiveness!$F$2:$F$10,MATCH(A12,Cost_Effectiveness!$A$2:$A$10,0)),"")</f>
        <v>85645609560.215195</v>
      </c>
      <c r="O12" s="21">
        <f>IFERROR(INDEX(Cost_Effectiveness!$C$2:$C$10,MATCH(A12,Cost_Effectiveness!$A$2:$A$10,0)),"")</f>
        <v>3202374.5912800184</v>
      </c>
      <c r="P12" s="26">
        <f t="shared" si="0"/>
        <v>67.942660919753152</v>
      </c>
      <c r="Q12" s="21">
        <f t="shared" si="1"/>
        <v>9281820944906.1758</v>
      </c>
    </row>
  </sheetData>
  <autoFilter ref="A3:Q3" xr:uid="{00000000-0009-0000-0000-000008000000}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4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5" width="11.69921875" customWidth="1"/>
  </cols>
  <sheetData>
    <row r="1" spans="1:5" ht="28.05" customHeight="1">
      <c r="A1" s="1" t="s">
        <v>378</v>
      </c>
      <c r="B1" s="1" t="s">
        <v>379</v>
      </c>
      <c r="C1" s="1" t="s">
        <v>380</v>
      </c>
      <c r="D1" s="1" t="s">
        <v>381</v>
      </c>
      <c r="E1" s="1" t="s">
        <v>382</v>
      </c>
    </row>
    <row r="2" spans="1:5" ht="55.2">
      <c r="A2" t="s">
        <v>383</v>
      </c>
      <c r="B2" t="s">
        <v>130</v>
      </c>
      <c r="C2" s="14">
        <f>COUNTIF(Selected_Interventions!$U$2:$U$18,"&gt;1")</f>
        <v>0</v>
      </c>
      <c r="D2" s="14" t="str">
        <f>IF(C2=0,"PASS","FAIL")</f>
        <v>PASS</v>
      </c>
      <c r="E2" s="12" t="s">
        <v>384</v>
      </c>
    </row>
    <row r="3" spans="1:5" ht="110.4">
      <c r="A3" t="s">
        <v>385</v>
      </c>
      <c r="B3" t="s">
        <v>130</v>
      </c>
      <c r="C3" s="14">
        <f>COUNTIF(Input_Diagnostic!$E$2:$E$3,"FAIL")</f>
        <v>0</v>
      </c>
      <c r="D3" s="14" t="str">
        <f>IF(C3=0,"PASS","REVIEW")</f>
        <v>PASS</v>
      </c>
      <c r="E3" s="12" t="s">
        <v>386</v>
      </c>
    </row>
    <row r="4" spans="1:5" ht="110.4">
      <c r="A4" t="s">
        <v>387</v>
      </c>
      <c r="B4" t="s">
        <v>130</v>
      </c>
      <c r="C4" s="14">
        <f>COUNTIF(Input_Diagnostic!$E$2:$E$3,"REVIEW")</f>
        <v>2</v>
      </c>
      <c r="D4" s="14" t="str">
        <f>IF(C4=0,"PASS","REVIEW")</f>
        <v>REVIEW</v>
      </c>
      <c r="E4" s="12" t="s">
        <v>388</v>
      </c>
    </row>
    <row r="5" spans="1:5" ht="96.6">
      <c r="A5" t="s">
        <v>389</v>
      </c>
      <c r="B5" t="s">
        <v>390</v>
      </c>
      <c r="C5" s="14" t="b">
        <f>COUNTBLANK(Annual_Mortality!$G$2:$G$1821)=0</f>
        <v>1</v>
      </c>
      <c r="D5" s="14" t="str">
        <f>IF(C5=TRUE,"PASS","FAIL")</f>
        <v>PASS</v>
      </c>
      <c r="E5" s="12" t="s">
        <v>391</v>
      </c>
    </row>
    <row r="6" spans="1:5" ht="55.2">
      <c r="A6" t="s">
        <v>392</v>
      </c>
      <c r="B6" t="s">
        <v>130</v>
      </c>
      <c r="C6" s="14">
        <f>Calculation_Assumptions!$B$16</f>
        <v>0</v>
      </c>
      <c r="D6" s="14" t="str">
        <f>IF(C6=0,"PASS","FAIL")</f>
        <v>PASS</v>
      </c>
      <c r="E6" s="12" t="s">
        <v>393</v>
      </c>
    </row>
    <row r="7" spans="1:5" ht="69">
      <c r="A7" t="s">
        <v>394</v>
      </c>
      <c r="B7" t="s">
        <v>395</v>
      </c>
      <c r="C7" s="14">
        <f>Calculation_Assumptions!$B$14</f>
        <v>127.1</v>
      </c>
      <c r="D7" s="14" t="str">
        <f>IF(C7&lt;=Calculation_Assumptions!$B$12,"PASS","REVIEW")</f>
        <v>PASS</v>
      </c>
      <c r="E7" s="12" t="s">
        <v>396</v>
      </c>
    </row>
    <row r="8" spans="1:5" ht="82.8">
      <c r="A8" t="s">
        <v>397</v>
      </c>
      <c r="B8" t="s">
        <v>398</v>
      </c>
      <c r="C8" s="14">
        <f>Calculation_Assumptions!$B$15</f>
        <v>1</v>
      </c>
      <c r="D8" s="14" t="str">
        <f>IF(C8=1,"PASS","FAIL")</f>
        <v>PASS</v>
      </c>
      <c r="E8" s="12" t="s">
        <v>399</v>
      </c>
    </row>
    <row r="9" spans="1:5" ht="82.8">
      <c r="A9" t="s">
        <v>400</v>
      </c>
      <c r="B9" t="s">
        <v>401</v>
      </c>
      <c r="C9" s="14">
        <f>ABS(SUM(Budget_Impact!$D$2:$D$235)-SUM(Annual_Cost!$R$2:$R$1353))+ABS(SUM(Budget_Impact!$C$2:$C$235)-SUM(Annual_Cost!$Q$2:$Q$1353))</f>
        <v>3.814697265625E-4</v>
      </c>
      <c r="D9" s="14" t="str">
        <f>IF(C9&lt;=Calculation_Assumptions!$B$11,"PASS","FAIL")</f>
        <v>PASS</v>
      </c>
      <c r="E9" s="12" t="s">
        <v>402</v>
      </c>
    </row>
    <row r="10" spans="1:5" ht="82.8">
      <c r="A10" t="s">
        <v>403</v>
      </c>
      <c r="B10" t="s">
        <v>130</v>
      </c>
      <c r="C10" s="14">
        <f>COUNTIF(Annual_Cost!$AH$2:$AH$1353,"&gt;1")</f>
        <v>0</v>
      </c>
      <c r="D10" s="14" t="str">
        <f>IF(C10=0,"PASS","FAIL")</f>
        <v>PASS</v>
      </c>
      <c r="E10" s="12" t="s">
        <v>404</v>
      </c>
    </row>
    <row r="11" spans="1:5" ht="82.8">
      <c r="A11" t="s">
        <v>405</v>
      </c>
      <c r="B11" t="s">
        <v>406</v>
      </c>
      <c r="C11" s="14" t="str">
        <f>IF(COUNTIF(Cost_Effectiveness!$I$2:$I$10,"mismatch")=0,"consistent","mismatch")</f>
        <v>consistent</v>
      </c>
      <c r="D11" s="14" t="str">
        <f>IF(C11="consistent","PASS","FAIL")</f>
        <v>PASS</v>
      </c>
      <c r="E11" s="12" t="s">
        <v>407</v>
      </c>
    </row>
    <row r="12" spans="1:5" ht="82.8">
      <c r="A12" t="s">
        <v>408</v>
      </c>
      <c r="B12" t="s">
        <v>409</v>
      </c>
      <c r="C12" s="14">
        <f>INDEX(Cost_Effectiveness!$C$2:$C$10,MATCH(Calculation_Assumptions!$B$20,Cost_Effectiveness!$A$2:$A$10,0))</f>
        <v>3202374.5912800184</v>
      </c>
      <c r="D12" s="14" t="str">
        <f>IF(ABS(C12-Calculation_Assumptions!$B$17)&lt;=ABS(Calculation_Assumptions!$B$17)*0.000001+0.5,"PASS","FAIL")</f>
        <v>PASS</v>
      </c>
      <c r="E12" s="12" t="s">
        <v>410</v>
      </c>
    </row>
    <row r="13" spans="1:5" ht="96.6">
      <c r="A13" t="s">
        <v>411</v>
      </c>
      <c r="B13" t="s">
        <v>409</v>
      </c>
      <c r="C13" s="14">
        <f>INDEX(Cost_Effectiveness!$F$2:$F$10,MATCH(Calculation_Assumptions!$B$20,Cost_Effectiveness!$A$2:$A$10,0))</f>
        <v>85645609560.215195</v>
      </c>
      <c r="D13" s="14" t="str">
        <f>IF(ABS(C13-Calculation_Assumptions!$B$18)&lt;=ABS(Calculation_Assumptions!$B$18)*0.000001+1,"PASS","FAIL")</f>
        <v>PASS</v>
      </c>
      <c r="E13" s="12" t="s">
        <v>412</v>
      </c>
    </row>
    <row r="14" spans="1:5" ht="96.6">
      <c r="A14" t="s">
        <v>413</v>
      </c>
      <c r="B14" t="s">
        <v>409</v>
      </c>
      <c r="C14" s="14">
        <f>INDEX(Cost_Effectiveness!$G$2:$G$10,MATCH(Calculation_Assumptions!$B$20,Cost_Effectiveness!$A$2:$A$10,0))</f>
        <v>26744.407038897301</v>
      </c>
      <c r="D14" s="14" t="str">
        <f>IF(ABS(C14-Calculation_Assumptions!$B$19)&lt;=ABS(Calculation_Assumptions!$B$19)*0.000001+1,"PASS","FAIL")</f>
        <v>PASS</v>
      </c>
      <c r="E14" s="12" t="s">
        <v>414</v>
      </c>
    </row>
  </sheetData>
  <autoFilter ref="A1:E1" xr:uid="{00000000-0009-0000-0000-000009000000}"/>
  <conditionalFormatting sqref="D2:D14">
    <cfRule type="containsText" dxfId="4" priority="1" operator="containsText" text="REVIEW">
      <formula>NOT(ISERROR(SEARCH("REVIEW", D2)))</formula>
    </cfRule>
    <cfRule type="containsText" dxfId="3" priority="2" operator="containsText" text="FAIL">
      <formula>NOT(ISERROR(SEARCH("FAIL", D2)))</formula>
    </cfRule>
    <cfRule type="containsText" dxfId="2" priority="3" operator="containsText" text="PASS">
      <formula>NOT(ISERROR(SEARCH("PASS", D2)))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5" width="11.69921875" customWidth="1"/>
  </cols>
  <sheetData>
    <row r="1" spans="1:5" ht="28.05" customHeight="1">
      <c r="A1" s="1" t="s">
        <v>44</v>
      </c>
      <c r="B1" s="1" t="s">
        <v>370</v>
      </c>
      <c r="C1" s="1" t="s">
        <v>371</v>
      </c>
      <c r="D1" s="1" t="s">
        <v>372</v>
      </c>
      <c r="E1" s="1" t="s">
        <v>373</v>
      </c>
    </row>
    <row r="2" spans="1:5" ht="82.8">
      <c r="A2" t="s">
        <v>374</v>
      </c>
      <c r="B2" t="s">
        <v>319</v>
      </c>
      <c r="C2" t="s">
        <v>244</v>
      </c>
      <c r="D2" s="12" t="s">
        <v>375</v>
      </c>
      <c r="E2" t="s">
        <v>376</v>
      </c>
    </row>
    <row r="3" spans="1:5" ht="69">
      <c r="A3" t="s">
        <v>374</v>
      </c>
      <c r="B3" t="s">
        <v>319</v>
      </c>
      <c r="C3" t="s">
        <v>243</v>
      </c>
      <c r="D3" s="12" t="s">
        <v>377</v>
      </c>
      <c r="E3" t="s">
        <v>376</v>
      </c>
    </row>
  </sheetData>
  <autoFilter ref="A1:E1" xr:uid="{00000000-0009-0000-0000-00000A000000}"/>
  <conditionalFormatting sqref="E2:E3">
    <cfRule type="containsText" dxfId="1" priority="1" operator="containsText" text="REVIEW">
      <formula>NOT(ISERROR(SEARCH("REVIEW", E2)))</formula>
    </cfRule>
    <cfRule type="containsText" dxfId="0" priority="2" operator="containsText" text="FAIL">
      <formula>NOT(ISERROR(SEARCH("FAIL", E2)))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5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10.69921875" customWidth="1"/>
    <col min="2" max="2" width="26.69921875" customWidth="1"/>
    <col min="3" max="3" width="88.69921875" customWidth="1"/>
    <col min="4" max="4" width="58.69921875" customWidth="1"/>
  </cols>
  <sheetData>
    <row r="1" spans="1:4" ht="28.05" customHeight="1">
      <c r="A1" s="1" t="s">
        <v>415</v>
      </c>
      <c r="B1" s="1" t="s">
        <v>416</v>
      </c>
      <c r="C1" s="1" t="s">
        <v>417</v>
      </c>
      <c r="D1" s="1" t="s">
        <v>5</v>
      </c>
    </row>
    <row r="2" spans="1:4" ht="27.6">
      <c r="A2" t="s">
        <v>418</v>
      </c>
      <c r="B2" t="s">
        <v>419</v>
      </c>
      <c r="C2" s="12" t="s">
        <v>420</v>
      </c>
      <c r="D2" s="12" t="s">
        <v>421</v>
      </c>
    </row>
    <row r="3" spans="1:4" ht="27.6">
      <c r="A3" t="s">
        <v>422</v>
      </c>
      <c r="B3" t="s">
        <v>423</v>
      </c>
      <c r="C3" s="12" t="s">
        <v>424</v>
      </c>
      <c r="D3" s="12" t="s">
        <v>421</v>
      </c>
    </row>
    <row r="4" spans="1:4" ht="27.6">
      <c r="A4" t="s">
        <v>425</v>
      </c>
      <c r="B4" t="s">
        <v>426</v>
      </c>
      <c r="C4" s="12" t="s">
        <v>427</v>
      </c>
      <c r="D4" s="12" t="s">
        <v>421</v>
      </c>
    </row>
    <row r="5" spans="1:4" ht="27.6">
      <c r="A5" t="s">
        <v>428</v>
      </c>
      <c r="B5" t="s">
        <v>429</v>
      </c>
      <c r="C5" s="12" t="s">
        <v>430</v>
      </c>
      <c r="D5" s="12" t="s">
        <v>421</v>
      </c>
    </row>
    <row r="6" spans="1:4" ht="27.6">
      <c r="A6" t="s">
        <v>431</v>
      </c>
      <c r="B6" t="s">
        <v>432</v>
      </c>
      <c r="C6" s="12" t="s">
        <v>433</v>
      </c>
      <c r="D6" s="12" t="s">
        <v>434</v>
      </c>
    </row>
    <row r="7" spans="1:4">
      <c r="A7" t="s">
        <v>435</v>
      </c>
      <c r="B7" t="s">
        <v>436</v>
      </c>
      <c r="C7" s="12" t="s">
        <v>437</v>
      </c>
      <c r="D7" s="12" t="s">
        <v>438</v>
      </c>
    </row>
    <row r="8" spans="1:4" ht="27.6">
      <c r="A8" t="s">
        <v>439</v>
      </c>
      <c r="B8" t="s">
        <v>440</v>
      </c>
      <c r="C8" s="12" t="s">
        <v>441</v>
      </c>
      <c r="D8" s="12" t="s">
        <v>438</v>
      </c>
    </row>
    <row r="9" spans="1:4" ht="27.6">
      <c r="A9" t="s">
        <v>442</v>
      </c>
      <c r="B9" t="s">
        <v>443</v>
      </c>
      <c r="C9" s="12" t="s">
        <v>444</v>
      </c>
      <c r="D9" s="12" t="s">
        <v>438</v>
      </c>
    </row>
    <row r="10" spans="1:4">
      <c r="A10" t="s">
        <v>445</v>
      </c>
      <c r="B10" t="s">
        <v>93</v>
      </c>
      <c r="C10" s="12" t="s">
        <v>446</v>
      </c>
      <c r="D10" s="12" t="s">
        <v>438</v>
      </c>
    </row>
    <row r="11" spans="1:4">
      <c r="A11" t="s">
        <v>447</v>
      </c>
      <c r="B11" t="s">
        <v>95</v>
      </c>
      <c r="C11" s="12" t="s">
        <v>448</v>
      </c>
      <c r="D11" s="12" t="s">
        <v>438</v>
      </c>
    </row>
    <row r="12" spans="1:4">
      <c r="A12" t="s">
        <v>449</v>
      </c>
      <c r="B12" t="s">
        <v>450</v>
      </c>
      <c r="C12" s="12" t="s">
        <v>451</v>
      </c>
      <c r="D12" s="12" t="s">
        <v>452</v>
      </c>
    </row>
    <row r="13" spans="1:4" ht="27.6">
      <c r="A13" t="s">
        <v>453</v>
      </c>
      <c r="B13" t="s">
        <v>454</v>
      </c>
      <c r="C13" s="12" t="s">
        <v>455</v>
      </c>
      <c r="D13" s="12" t="s">
        <v>456</v>
      </c>
    </row>
    <row r="14" spans="1:4" ht="27.6">
      <c r="A14" t="s">
        <v>457</v>
      </c>
      <c r="B14" t="s">
        <v>458</v>
      </c>
      <c r="C14" s="12" t="s">
        <v>459</v>
      </c>
      <c r="D14" s="12" t="s">
        <v>460</v>
      </c>
    </row>
    <row r="15" spans="1:4" ht="27.6">
      <c r="A15" t="s">
        <v>461</v>
      </c>
      <c r="B15" t="s">
        <v>462</v>
      </c>
      <c r="C15" s="12" t="s">
        <v>463</v>
      </c>
      <c r="D15" s="12" t="s">
        <v>464</v>
      </c>
    </row>
  </sheetData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0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30.69921875" customWidth="1"/>
    <col min="2" max="2" width="16.69921875" customWidth="1"/>
    <col min="3" max="3" width="14.69921875" customWidth="1"/>
    <col min="4" max="4" width="24.69921875" customWidth="1"/>
    <col min="5" max="5" width="62.69921875" customWidth="1"/>
    <col min="6" max="6" width="40.69921875" customWidth="1"/>
  </cols>
  <sheetData>
    <row r="1" spans="1:6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s="4">
        <v>2025</v>
      </c>
      <c r="C2" t="s">
        <v>25</v>
      </c>
      <c r="D2" t="s">
        <v>26</v>
      </c>
      <c r="E2" s="12" t="s">
        <v>27</v>
      </c>
      <c r="F2" t="s">
        <v>28</v>
      </c>
    </row>
    <row r="3" spans="1:6">
      <c r="A3" t="s">
        <v>7</v>
      </c>
      <c r="B3" s="4">
        <v>2050</v>
      </c>
      <c r="C3" t="s">
        <v>25</v>
      </c>
      <c r="D3" t="s">
        <v>26</v>
      </c>
      <c r="E3" s="12" t="s">
        <v>29</v>
      </c>
      <c r="F3" t="s">
        <v>28</v>
      </c>
    </row>
    <row r="4" spans="1:6">
      <c r="A4" t="s">
        <v>8</v>
      </c>
      <c r="B4" s="2" t="s">
        <v>72</v>
      </c>
      <c r="C4" t="s">
        <v>30</v>
      </c>
      <c r="D4" t="s">
        <v>26</v>
      </c>
      <c r="E4" s="12" t="s">
        <v>31</v>
      </c>
      <c r="F4" t="s">
        <v>32</v>
      </c>
    </row>
    <row r="5" spans="1:6">
      <c r="A5" t="s">
        <v>9</v>
      </c>
      <c r="B5" s="5">
        <v>0.03</v>
      </c>
      <c r="C5" t="s">
        <v>33</v>
      </c>
      <c r="D5" t="s">
        <v>26</v>
      </c>
      <c r="E5" s="12" t="s">
        <v>34</v>
      </c>
      <c r="F5" t="s">
        <v>28</v>
      </c>
    </row>
    <row r="6" spans="1:6">
      <c r="A6" t="s">
        <v>10</v>
      </c>
      <c r="B6" s="4">
        <v>2023</v>
      </c>
      <c r="C6" t="s">
        <v>35</v>
      </c>
      <c r="D6" t="s">
        <v>36</v>
      </c>
      <c r="E6" s="12" t="s">
        <v>37</v>
      </c>
      <c r="F6" t="s">
        <v>38</v>
      </c>
    </row>
    <row r="7" spans="1:6">
      <c r="A7" t="s">
        <v>11</v>
      </c>
      <c r="B7" s="2" t="s">
        <v>67</v>
      </c>
      <c r="C7" t="s">
        <v>11</v>
      </c>
      <c r="D7" t="s">
        <v>36</v>
      </c>
      <c r="E7" s="12" t="s">
        <v>39</v>
      </c>
      <c r="F7" t="s">
        <v>38</v>
      </c>
    </row>
    <row r="8" spans="1:6">
      <c r="A8" t="s">
        <v>12</v>
      </c>
      <c r="B8" s="2" t="s">
        <v>73</v>
      </c>
      <c r="C8" t="s">
        <v>40</v>
      </c>
      <c r="D8" t="s">
        <v>36</v>
      </c>
      <c r="E8" s="12" t="s">
        <v>41</v>
      </c>
      <c r="F8" t="s">
        <v>38</v>
      </c>
    </row>
    <row r="9" spans="1:6">
      <c r="A9" t="s">
        <v>13</v>
      </c>
      <c r="B9" s="2" t="s">
        <v>74</v>
      </c>
      <c r="C9" t="s">
        <v>40</v>
      </c>
      <c r="D9" t="s">
        <v>26</v>
      </c>
      <c r="E9" s="12" t="s">
        <v>42</v>
      </c>
      <c r="F9" t="s">
        <v>38</v>
      </c>
    </row>
    <row r="10" spans="1:6">
      <c r="A10" t="s">
        <v>14</v>
      </c>
      <c r="B10" s="4">
        <v>0</v>
      </c>
      <c r="C10" t="s">
        <v>43</v>
      </c>
      <c r="D10" t="s">
        <v>44</v>
      </c>
      <c r="E10" s="12" t="s">
        <v>45</v>
      </c>
      <c r="F10" t="s">
        <v>38</v>
      </c>
    </row>
    <row r="11" spans="1:6">
      <c r="A11" t="s">
        <v>15</v>
      </c>
      <c r="B11" s="6">
        <v>1E-3</v>
      </c>
      <c r="C11" t="s">
        <v>46</v>
      </c>
      <c r="D11" t="s">
        <v>47</v>
      </c>
      <c r="E11" s="12" t="s">
        <v>48</v>
      </c>
      <c r="F11" t="s">
        <v>49</v>
      </c>
    </row>
    <row r="12" spans="1:6">
      <c r="A12" t="s">
        <v>16</v>
      </c>
      <c r="B12" s="7">
        <v>1000</v>
      </c>
      <c r="C12" t="s">
        <v>50</v>
      </c>
      <c r="D12" t="s">
        <v>47</v>
      </c>
      <c r="E12" s="12" t="s">
        <v>51</v>
      </c>
      <c r="F12" t="s">
        <v>52</v>
      </c>
    </row>
    <row r="13" spans="1:6">
      <c r="A13" t="s">
        <v>17</v>
      </c>
      <c r="B13" s="4">
        <v>2</v>
      </c>
      <c r="C13" t="s">
        <v>53</v>
      </c>
      <c r="D13" t="s">
        <v>54</v>
      </c>
      <c r="E13" s="12" t="s">
        <v>55</v>
      </c>
      <c r="F13" t="s">
        <v>56</v>
      </c>
    </row>
    <row r="14" spans="1:6">
      <c r="A14" t="s">
        <v>18</v>
      </c>
      <c r="B14" s="8">
        <v>127.1</v>
      </c>
      <c r="C14" t="s">
        <v>50</v>
      </c>
      <c r="D14" t="s">
        <v>57</v>
      </c>
      <c r="E14" s="12" t="s">
        <v>58</v>
      </c>
      <c r="F14" t="s">
        <v>59</v>
      </c>
    </row>
    <row r="15" spans="1:6">
      <c r="A15" t="s">
        <v>19</v>
      </c>
      <c r="B15" s="9">
        <v>1</v>
      </c>
      <c r="C15" t="s">
        <v>60</v>
      </c>
      <c r="D15" t="s">
        <v>57</v>
      </c>
      <c r="E15" s="12" t="s">
        <v>61</v>
      </c>
      <c r="F15" t="s">
        <v>59</v>
      </c>
    </row>
    <row r="16" spans="1:6">
      <c r="A16" t="s">
        <v>20</v>
      </c>
      <c r="B16" s="9">
        <v>0</v>
      </c>
      <c r="C16" t="s">
        <v>60</v>
      </c>
      <c r="D16" t="s">
        <v>57</v>
      </c>
      <c r="E16" s="12" t="s">
        <v>62</v>
      </c>
      <c r="F16" t="s">
        <v>59</v>
      </c>
    </row>
    <row r="17" spans="1:6">
      <c r="A17" t="s">
        <v>21</v>
      </c>
      <c r="B17" s="10">
        <v>3202374.5912800198</v>
      </c>
      <c r="C17" t="s">
        <v>63</v>
      </c>
      <c r="D17" t="s">
        <v>64</v>
      </c>
      <c r="E17" s="12" t="s">
        <v>65</v>
      </c>
      <c r="F17" t="s">
        <v>66</v>
      </c>
    </row>
    <row r="18" spans="1:6">
      <c r="A18" t="s">
        <v>22</v>
      </c>
      <c r="B18" s="10">
        <v>85645609560.215195</v>
      </c>
      <c r="C18" t="s">
        <v>67</v>
      </c>
      <c r="D18" t="s">
        <v>64</v>
      </c>
      <c r="E18" s="12" t="s">
        <v>68</v>
      </c>
      <c r="F18" t="s">
        <v>66</v>
      </c>
    </row>
    <row r="19" spans="1:6">
      <c r="A19" t="s">
        <v>23</v>
      </c>
      <c r="B19" s="11">
        <v>26744.407038897301</v>
      </c>
      <c r="C19" t="s">
        <v>69</v>
      </c>
      <c r="D19" t="s">
        <v>64</v>
      </c>
      <c r="E19" s="12" t="s">
        <v>70</v>
      </c>
      <c r="F19" t="s">
        <v>66</v>
      </c>
    </row>
    <row r="20" spans="1:6">
      <c r="A20" t="s">
        <v>24</v>
      </c>
      <c r="B20" s="3" t="s">
        <v>75</v>
      </c>
      <c r="C20" t="s">
        <v>30</v>
      </c>
      <c r="D20" t="s">
        <v>64</v>
      </c>
      <c r="E20" s="12" t="s">
        <v>71</v>
      </c>
      <c r="F20" t="s">
        <v>66</v>
      </c>
    </row>
  </sheetData>
  <autoFilter ref="A1:F1" xr:uid="{00000000-0009-0000-0000-00000C000000}"/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2"/>
  <sheetViews>
    <sheetView workbookViewId="0">
      <pane ySplit="1" topLeftCell="A2" activePane="bottomLeft" state="frozen"/>
      <selection pane="bottomLeft"/>
    </sheetView>
  </sheetViews>
  <sheetFormatPr defaultColWidth="11.19921875" defaultRowHeight="13.8"/>
  <cols>
    <col min="1" max="1" width="22.69921875" customWidth="1"/>
    <col min="2" max="2" width="18.69921875" customWidth="1"/>
    <col min="3" max="3" width="34.69921875" customWidth="1"/>
    <col min="4" max="4" width="52.69921875" customWidth="1"/>
    <col min="5" max="5" width="26.69921875" customWidth="1"/>
  </cols>
  <sheetData>
    <row r="1" spans="1:5" ht="28.05" customHeight="1">
      <c r="A1" s="1" t="s">
        <v>465</v>
      </c>
      <c r="B1" s="1" t="s">
        <v>466</v>
      </c>
      <c r="C1" s="1" t="s">
        <v>467</v>
      </c>
      <c r="D1" s="1" t="s">
        <v>468</v>
      </c>
      <c r="E1" s="1" t="s">
        <v>469</v>
      </c>
    </row>
    <row r="2" spans="1:5">
      <c r="A2" t="s">
        <v>470</v>
      </c>
      <c r="B2" t="s">
        <v>471</v>
      </c>
      <c r="C2" s="12" t="s">
        <v>472</v>
      </c>
      <c r="D2" s="12" t="s">
        <v>473</v>
      </c>
      <c r="E2" t="s">
        <v>474</v>
      </c>
    </row>
    <row r="3" spans="1:5">
      <c r="A3" t="s">
        <v>475</v>
      </c>
      <c r="B3" t="s">
        <v>476</v>
      </c>
      <c r="C3" s="12" t="s">
        <v>470</v>
      </c>
      <c r="D3" s="12" t="s">
        <v>477</v>
      </c>
      <c r="E3" t="s">
        <v>474</v>
      </c>
    </row>
    <row r="4" spans="1:5">
      <c r="A4" t="s">
        <v>478</v>
      </c>
      <c r="B4" t="s">
        <v>479</v>
      </c>
      <c r="C4" s="12" t="s">
        <v>480</v>
      </c>
      <c r="D4" s="12" t="s">
        <v>481</v>
      </c>
      <c r="E4" t="s">
        <v>474</v>
      </c>
    </row>
    <row r="5" spans="1:5" ht="41.4">
      <c r="A5" t="s">
        <v>482</v>
      </c>
      <c r="B5" t="s">
        <v>483</v>
      </c>
      <c r="C5" s="12" t="s">
        <v>484</v>
      </c>
      <c r="D5" s="12" t="s">
        <v>485</v>
      </c>
      <c r="E5" t="s">
        <v>474</v>
      </c>
    </row>
    <row r="6" spans="1:5">
      <c r="A6" t="s">
        <v>482</v>
      </c>
      <c r="B6" t="s">
        <v>486</v>
      </c>
      <c r="C6" s="12" t="s">
        <v>487</v>
      </c>
      <c r="D6" s="12" t="s">
        <v>488</v>
      </c>
      <c r="E6" t="s">
        <v>489</v>
      </c>
    </row>
    <row r="7" spans="1:5">
      <c r="A7" t="s">
        <v>490</v>
      </c>
      <c r="B7" t="s">
        <v>491</v>
      </c>
      <c r="C7" s="12" t="s">
        <v>482</v>
      </c>
      <c r="D7" s="12" t="s">
        <v>492</v>
      </c>
      <c r="E7" t="s">
        <v>474</v>
      </c>
    </row>
    <row r="8" spans="1:5" ht="27.6">
      <c r="A8" t="s">
        <v>493</v>
      </c>
      <c r="B8" t="s">
        <v>494</v>
      </c>
      <c r="C8" s="12" t="s">
        <v>495</v>
      </c>
      <c r="D8" s="12" t="s">
        <v>496</v>
      </c>
      <c r="E8" t="s">
        <v>474</v>
      </c>
    </row>
    <row r="9" spans="1:5">
      <c r="A9" t="s">
        <v>497</v>
      </c>
      <c r="B9" t="s">
        <v>498</v>
      </c>
      <c r="C9" s="12" t="s">
        <v>499</v>
      </c>
      <c r="D9" s="12" t="s">
        <v>500</v>
      </c>
      <c r="E9" t="s">
        <v>474</v>
      </c>
    </row>
    <row r="10" spans="1:5">
      <c r="A10" t="s">
        <v>501</v>
      </c>
      <c r="B10" t="s">
        <v>502</v>
      </c>
      <c r="C10" s="12" t="s">
        <v>503</v>
      </c>
      <c r="D10" s="12" t="s">
        <v>504</v>
      </c>
      <c r="E10" t="s">
        <v>474</v>
      </c>
    </row>
    <row r="11" spans="1:5">
      <c r="A11" t="s">
        <v>505</v>
      </c>
      <c r="B11" t="s">
        <v>506</v>
      </c>
      <c r="C11" s="12" t="s">
        <v>507</v>
      </c>
      <c r="D11" s="12" t="s">
        <v>508</v>
      </c>
      <c r="E11" t="s">
        <v>474</v>
      </c>
    </row>
    <row r="12" spans="1:5">
      <c r="A12" t="s">
        <v>509</v>
      </c>
      <c r="B12" t="s">
        <v>510</v>
      </c>
      <c r="C12" s="12" t="s">
        <v>511</v>
      </c>
      <c r="D12" s="12" t="s">
        <v>512</v>
      </c>
      <c r="E12" t="s">
        <v>513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Run_Metadata</vt:lpstr>
      <vt:lpstr>Selected_Interventions</vt:lpstr>
      <vt:lpstr>Cost_Components</vt:lpstr>
      <vt:lpstr>Annual_Mortality</vt:lpstr>
      <vt:lpstr>Annual_Cost</vt:lpstr>
      <vt:lpstr>Budget_Impact</vt:lpstr>
      <vt:lpstr>Cost_Effectiveness</vt:lpstr>
      <vt:lpstr>Economic_Value</vt:lpstr>
      <vt:lpstr>QA_Checks</vt:lpstr>
      <vt:lpstr>Input_Diagnostic</vt:lpstr>
      <vt:lpstr>Methods_and_Sources</vt:lpstr>
      <vt:lpstr>Calculation_Assumptions</vt:lpstr>
      <vt:lpstr>Calculation_Map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wrgar</dc:creator>
  <cp:lastModifiedBy>William R Garcia</cp:lastModifiedBy>
  <dcterms:created xsi:type="dcterms:W3CDTF">2026-08-20T17:49:50Z</dcterms:created>
  <dcterms:modified xsi:type="dcterms:W3CDTF">2026-08-20T17:53:56Z</dcterms:modified>
</cp:coreProperties>
</file>